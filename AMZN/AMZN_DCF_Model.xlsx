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 Model" sheetId="1" state="visible" r:id="rId3"/>
    <sheet name="Key Insigh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<sst xmlns="http://schemas.openxmlformats.org/spreadsheetml/2006/main" count="155" uniqueCount="143">
  <si>
    <t xml:space="preserve">AMAZON.COM, INC. (AMZN) - DISCOUNTED CASH FLOW MODEL</t>
  </si>
  <si>
    <t xml:space="preserve">Date: January 7, 2026 | All figures in USD Billions unless otherwise noted</t>
  </si>
  <si>
    <t xml:space="preserve">HISTORICAL GROWTH METRICS (User Provided)</t>
  </si>
  <si>
    <t xml:space="preserve">Metric</t>
  </si>
  <si>
    <t xml:space="preserve">Historical CAGR</t>
  </si>
  <si>
    <t xml:space="preserve">EPS Growth (CAGR)</t>
  </si>
  <si>
    <t xml:space="preserve">Equity Growth (CAGR)</t>
  </si>
  <si>
    <t xml:space="preserve">FCF Growth (CAGR)</t>
  </si>
  <si>
    <t xml:space="preserve">Revenue Growth (CAGR)</t>
  </si>
  <si>
    <t xml:space="preserve">SCENARIO ASSUMPTIONS</t>
  </si>
  <si>
    <t xml:space="preserve">Input</t>
  </si>
  <si>
    <t xml:space="preserve">Conservative</t>
  </si>
  <si>
    <t xml:space="preserve">Base Case</t>
  </si>
  <si>
    <t xml:space="preserve">Bull Case</t>
  </si>
  <si>
    <t xml:space="preserve">Risk-Free Rate</t>
  </si>
  <si>
    <t xml:space="preserve">Equity Risk Premium</t>
  </si>
  <si>
    <t xml:space="preserve">Beta (Levered)</t>
  </si>
  <si>
    <t xml:space="preserve">Cost of Debt (Pre-Tax)</t>
  </si>
  <si>
    <t xml:space="preserve">Tax Rate</t>
  </si>
  <si>
    <t xml:space="preserve">Target Debt/Capital</t>
  </si>
  <si>
    <t xml:space="preserve">Revenue Growth Y1 (2025)</t>
  </si>
  <si>
    <t xml:space="preserve">Revenue Growth Y2 (2026)</t>
  </si>
  <si>
    <t xml:space="preserve">Revenue Growth Y3 (2027)</t>
  </si>
  <si>
    <t xml:space="preserve">Revenue Growth Y4 (2028)</t>
  </si>
  <si>
    <t xml:space="preserve">Revenue Growth Y5 (2029)</t>
  </si>
  <si>
    <t xml:space="preserve">Terminal Growth Rate</t>
  </si>
  <si>
    <t xml:space="preserve">Operating Margin Y1-3</t>
  </si>
  <si>
    <t xml:space="preserve">Operating Margin Y4-5</t>
  </si>
  <si>
    <t xml:space="preserve">Terminal Operating Margin</t>
  </si>
  <si>
    <t xml:space="preserve">D&amp;A as % of Revenue</t>
  </si>
  <si>
    <t xml:space="preserve">CapEx as % of Revenue (Y1-3)</t>
  </si>
  <si>
    <t xml:space="preserve">CapEx as % of Revenue (Y4+)</t>
  </si>
  <si>
    <t xml:space="preserve">NWC as % of Revenue Change</t>
  </si>
  <si>
    <t xml:space="preserve">WACC CALCULATION</t>
  </si>
  <si>
    <t xml:space="preserve">Base</t>
  </si>
  <si>
    <t xml:space="preserve">Bull</t>
  </si>
  <si>
    <t xml:space="preserve">Cost of Equity (CAPM)</t>
  </si>
  <si>
    <t xml:space="preserve">After-Tax Cost of Debt</t>
  </si>
  <si>
    <t xml:space="preserve">Weight of Equity</t>
  </si>
  <si>
    <t xml:space="preserve">Weight of Debt</t>
  </si>
  <si>
    <t xml:space="preserve">WACC</t>
  </si>
  <si>
    <t xml:space="preserve">BASE CASE - DETAILED PROJECTIONS (USD Billions)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</si>
  <si>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</si>
  <si>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</si>
  <si>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</si>
  <si>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</si>
  <si>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</si>
  <si>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</si>
  <si>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Terminal</t>
  </si>
  <si>
    <t xml:space="preserve">Revenue</t>
  </si>
  <si>
    <t xml:space="preserve">YoY Growth %</t>
  </si>
  <si>
    <t xml:space="preserve">Operating Margin %</t>
  </si>
  <si>
    <t xml:space="preserve">EBIT</t>
  </si>
  <si>
    <t xml:space="preserve">Taxes (@ effective rate)</t>
  </si>
  <si>
    <t xml:space="preserve">NOPAT</t>
  </si>
  <si>
    <t xml:space="preserve">(+) D&amp;A</t>
  </si>
  <si>
    <t xml:space="preserve">(-) CapEx</t>
  </si>
  <si>
    <t xml:space="preserve">(-) Chg in NWC</t>
  </si>
  <si>
    <t xml:space="preserve">Unlevered Free Cash Flow</t>
  </si>
  <si>
    <t xml:space="preserve">FCF Margin %</t>
  </si>
  <si>
    <t xml:space="preserve">FCF Growth %</t>
  </si>
  <si>
    <t xml:space="preserve">-</t>
  </si>
  <si>
    <t xml:space="preserve">BASE CASE - DCF VALUATION</t>
  </si>
  <si>
    <t xml:space="preserve">Year</t>
  </si>
  <si>
    <t xml:space="preserve">Discount Factor</t>
  </si>
  <si>
    <t xml:space="preserve">Free Cash Flow</t>
  </si>
  <si>
    <t xml:space="preserve">PV of FCF</t>
  </si>
  <si>
    <t xml:space="preserve">Sum of PV of FCF (Yrs 1-5)</t>
  </si>
  <si>
    <t xml:space="preserve">Terminal Value Calculation</t>
  </si>
  <si>
    <t xml:space="preserve">Terminal Year FCF</t>
  </si>
  <si>
    <t xml:space="preserve">Terminal Growth</t>
  </si>
  <si>
    <t xml:space="preserve">Terminal Value</t>
  </si>
  <si>
    <t xml:space="preserve">PV of Terminal Value</t>
  </si>
  <si>
    <t xml:space="preserve">Valuation Bridge</t>
  </si>
  <si>
    <t xml:space="preserve">PV of FCF (Stage 1)</t>
  </si>
  <si>
    <t xml:space="preserve">Enterprise Value</t>
  </si>
  <si>
    <t xml:space="preserve">(-) Total Debt</t>
  </si>
  <si>
    <t xml:space="preserve">(+) Cash &amp; Securities</t>
  </si>
  <si>
    <t xml:space="preserve">Equity Value</t>
  </si>
  <si>
    <t xml:space="preserve">Shares Outstanding (B)</t>
  </si>
  <si>
    <t xml:space="preserve">BASE CASE IMPLIED PRICE</t>
  </si>
  <si>
    <t xml:space="preserve">THREE-SCENARIO VALUATION SUMMARY</t>
  </si>
  <si>
    <t xml:space="preserve">Current Share Price</t>
  </si>
  <si>
    <t xml:space="preserve">Scenario</t>
  </si>
  <si>
    <t xml:space="preserve">Implied Price</t>
  </si>
  <si>
    <t xml:space="preserve">vs Current</t>
  </si>
  <si>
    <t xml:space="preserve">Probability-Weighted Price</t>
  </si>
  <si>
    <t xml:space="preserve">(25% Cons / 50% Base / 25% Bull)</t>
  </si>
  <si>
    <t xml:space="preserve">KEY VALUATION METRICS</t>
  </si>
  <si>
    <t xml:space="preserve">Value</t>
  </si>
  <si>
    <t xml:space="preserve">Enterprise Value (Base)</t>
  </si>
  <si>
    <t xml:space="preserve">Equity Value (Base)</t>
  </si>
  <si>
    <t xml:space="preserve">EV / 2024 Revenue</t>
  </si>
  <si>
    <t xml:space="preserve">EV / 2024 EBIT</t>
  </si>
  <si>
    <t xml:space="preserve">EV / 2025E FCF</t>
  </si>
  <si>
    <t xml:space="preserve">Price / 2024 EPS ($5.53)</t>
  </si>
  <si>
    <t xml:space="preserve">5-Year Revenue CAGR (Base)</t>
  </si>
  <si>
    <t xml:space="preserve">5-Year FCF CAGR (Base)</t>
  </si>
  <si>
    <t xml:space="preserve">Terminal Value % of EV</t>
  </si>
  <si>
    <t xml:space="preserve">SENSITIVITY ANALYSIS - BASE CASE SHARE PRICE</t>
  </si>
  <si>
    <t xml:space="preserve">WACC \ Terminal Growth</t>
  </si>
  <si>
    <t xml:space="preserve">AMAZON VALUATION - KEY INSIGHTS</t>
  </si>
  <si>
    <t xml:space="preserve">GROWTH PROFILE ANALYSIS</t>
  </si>
  <si>
    <t xml:space="preserve">Historical Revenue CAGR</t>
  </si>
  <si>
    <t xml:space="preserve">21.8% - Exceptional, driven by e-commerce boom &amp; AWS</t>
  </si>
  <si>
    <t xml:space="preserve">Historical EPS CAGR</t>
  </si>
  <si>
    <t xml:space="preserve">64.5% - Reflects operating leverage as scale achieved</t>
  </si>
  <si>
    <t xml:space="preserve">Historical FCF CAGR</t>
  </si>
  <si>
    <t xml:space="preserve">32.7% - Strong but volatile due to CapEx cycles</t>
  </si>
  <si>
    <t xml:space="preserve">Historical Equity CAGR</t>
  </si>
  <si>
    <t xml:space="preserve">38.8% - Consistent compounding of book value</t>
  </si>
  <si>
    <t xml:space="preserve">DCF MODEL INSIGHTS</t>
  </si>
  <si>
    <t xml:space="preserve">Key Value Driver #1</t>
  </si>
  <si>
    <t xml:space="preserve">Operating margin expansion from 10.8% to 14-18%</t>
  </si>
  <si>
    <t xml:space="preserve">Key Value Driver #2</t>
  </si>
  <si>
    <t xml:space="preserve">CapEx moderation as % of revenue over time</t>
  </si>
  <si>
    <t xml:space="preserve">Key Value Driver #3</t>
  </si>
  <si>
    <t xml:space="preserve">Terminal growth rate assumption (GDP+ for platform)</t>
  </si>
  <si>
    <t xml:space="preserve">Key Value Driver #4</t>
  </si>
  <si>
    <t xml:space="preserve">WACC - lower beta reflects maturing business</t>
  </si>
  <si>
    <t xml:space="preserve">CURRENT MARKET PRICING</t>
  </si>
  <si>
    <t xml:space="preserve">Implied Growth Rate</t>
  </si>
  <si>
    <t xml:space="preserve">Market pricing ~12-15% long-term FCF growth</t>
  </si>
  <si>
    <t xml:space="preserve">P/E Multiple</t>
  </si>
  <si>
    <t xml:space="preserve">~33x reflects premium growth expectations</t>
  </si>
  <si>
    <t xml:space="preserve">EV/Revenue</t>
  </si>
  <si>
    <t xml:space="preserve">~3.5x reasonable for diversified tech platform</t>
  </si>
  <si>
    <t xml:space="preserve">SCENARIO ANALYSIS INTERPRETATION</t>
  </si>
  <si>
    <t xml:space="preserve">Assumes growth slows, margins stable - value oriented</t>
  </si>
  <si>
    <t xml:space="preserve">Balanced view with margin expansion, moderate growth</t>
  </si>
  <si>
    <t xml:space="preserve">AWS dominance, AI monetization, margin expansion</t>
  </si>
  <si>
    <t xml:space="preserve">KEY RISKS TO MONITOR</t>
  </si>
  <si>
    <t xml:space="preserve">• AWS competition from Azure/GCP eating into cloud margins</t>
  </si>
  <si>
    <t xml:space="preserve">• Regulatory actions (antitrust) affecting business model</t>
  </si>
  <si>
    <t xml:space="preserve">• CapEx requirements for AI infrastructure</t>
  </si>
  <si>
    <t xml:space="preserve">• Consumer spending weakness affecting retail</t>
  </si>
  <si>
    <t xml:space="preserve">• Labor costs and union activity</t>
  </si>
  <si>
    <t xml:space="preserve">KEY CATALYSTS</t>
  </si>
  <si>
    <t xml:space="preserve">• AI/ML services driving AWS growth acceleration</t>
  </si>
  <si>
    <t xml:space="preserve">• Advertising revenue continues rapid expansion</t>
  </si>
  <si>
    <t xml:space="preserve">• International profitability improvement</t>
  </si>
  <si>
    <t xml:space="preserve">• Healthcare &amp; logistics platform monetization</t>
  </si>
  <si>
    <t xml:space="preserve">• Prime membership pricing power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</si>
</sst>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.00%"/>
    <numFmt numFmtId="167" formatCode="#,##0.0"/>
    <numFmt numFmtId="168" formatCode="0.0000"/>
    <numFmt numFmtId="169" formatCode="0.00"/>
    <numFmt numFmtId="170" formatCode="\$#,##0.00"/>
    <numFmt numFmtId="171" formatCode="0.0\x"/>
    <numFmt numFmtId="172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DCE6F1"/>
      </patternFill>
    </fill>
    <fill>
      <patternFill patternType="solid">
        <fgColor rgb="FFF2F2F2"/>
        <bgColor rgb="FFDCE6F1"/>
      </patternFill>
    </fill>
    <fill>
      <patternFill patternType="solid">
        <fgColor rgb="FFDCE6F1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0" t="s">
        <v>5</v>
      </c>
      <c r="B6" s="5" t="n">
        <v>0.645</v>
      </c>
    </row>
    <row r="7" customFormat="false" ht="15" hidden="false" customHeight="false" outlineLevel="0" collapsed="false">
      <c r="A7" s="0" t="s">
        <v>6</v>
      </c>
      <c r="B7" s="5" t="n">
        <v>0.388</v>
      </c>
    </row>
    <row r="8" customFormat="false" ht="15" hidden="false" customHeight="false" outlineLevel="0" collapsed="false">
      <c r="A8" s="0" t="s">
        <v>7</v>
      </c>
      <c r="B8" s="5" t="n">
        <v>0.327</v>
      </c>
    </row>
    <row r="9" customFormat="false" ht="15" hidden="false" customHeight="false" outlineLevel="0" collapsed="false">
      <c r="A9" s="0" t="s">
        <v>8</v>
      </c>
      <c r="B9" s="5" t="n">
        <v>0.218</v>
      </c>
    </row>
    <row r="12" customFormat="false" ht="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4" t="s">
        <v>10</v>
      </c>
      <c r="B13" s="4" t="s">
        <v>11</v>
      </c>
      <c r="C13" s="4" t="s">
        <v>12</v>
      </c>
      <c r="D13" s="4" t="s">
        <v>13</v>
      </c>
    </row>
    <row r="14" customFormat="false" ht="15" hidden="false" customHeight="false" outlineLevel="0" collapsed="false">
      <c r="A14" s="0" t="s">
        <v>14</v>
      </c>
      <c r="B14" s="5" t="n">
        <v>0.0417</v>
      </c>
      <c r="C14" s="5" t="n">
        <v>0.0417</v>
      </c>
      <c r="D14" s="7" t="n">
        <v>0.0417</v>
      </c>
    </row>
    <row r="15" customFormat="false" ht="15" hidden="false" customHeight="false" outlineLevel="0" collapsed="false">
      <c r="A15" s="0" t="s">
        <v>15</v>
      </c>
      <c r="B15" s="5" t="n">
        <v>0.06</v>
      </c>
      <c r="C15" s="5" t="n">
        <v>0.055</v>
      </c>
      <c r="D15" s="7" t="n">
        <v>0.05</v>
      </c>
    </row>
    <row r="16" customFormat="false" ht="15" hidden="false" customHeight="false" outlineLevel="0" collapsed="false">
      <c r="A16" s="0" t="s">
        <v>16</v>
      </c>
      <c r="B16" s="5" t="n">
        <v>1.15</v>
      </c>
      <c r="C16" s="5" t="n">
        <v>1</v>
      </c>
      <c r="D16" s="7" t="n">
        <v>0.9</v>
      </c>
    </row>
    <row r="17" customFormat="false" ht="15" hidden="false" customHeight="false" outlineLevel="0" collapsed="false">
      <c r="A17" s="0" t="s">
        <v>17</v>
      </c>
      <c r="B17" s="5" t="n">
        <v>0.045</v>
      </c>
      <c r="C17" s="5" t="n">
        <v>0.045</v>
      </c>
      <c r="D17" s="7" t="n">
        <v>0.045</v>
      </c>
    </row>
    <row r="18" customFormat="false" ht="15" hidden="false" customHeight="false" outlineLevel="0" collapsed="false">
      <c r="A18" s="0" t="s">
        <v>18</v>
      </c>
      <c r="B18" s="5" t="n">
        <v>0.177</v>
      </c>
      <c r="C18" s="5" t="n">
        <v>0.177</v>
      </c>
      <c r="D18" s="7" t="n">
        <v>0.177</v>
      </c>
    </row>
    <row r="19" customFormat="false" ht="15" hidden="false" customHeight="false" outlineLevel="0" collapsed="false">
      <c r="A19" s="0" t="s">
        <v>19</v>
      </c>
      <c r="B19" s="5" t="n">
        <v>0.03</v>
      </c>
      <c r="C19" s="5" t="n">
        <v>0.03</v>
      </c>
      <c r="D19" s="7" t="n">
        <v>0.03</v>
      </c>
    </row>
    <row r="20" customFormat="false" ht="15" hidden="false" customHeight="false" outlineLevel="0" collapsed="false">
      <c r="A20" s="0" t="s">
        <v>20</v>
      </c>
      <c r="B20" s="5" t="n">
        <v>0.12</v>
      </c>
      <c r="C20" s="5" t="n">
        <v>0.15</v>
      </c>
      <c r="D20" s="7" t="n">
        <v>0.18</v>
      </c>
    </row>
    <row r="21" customFormat="false" ht="15" hidden="false" customHeight="false" outlineLevel="0" collapsed="false">
      <c r="A21" s="0" t="s">
        <v>21</v>
      </c>
      <c r="B21" s="5" t="n">
        <v>0.1</v>
      </c>
      <c r="C21" s="5" t="n">
        <v>0.14</v>
      </c>
      <c r="D21" s="7" t="n">
        <v>0.17</v>
      </c>
    </row>
    <row r="22" customFormat="false" ht="15" hidden="false" customHeight="false" outlineLevel="0" collapsed="false">
      <c r="A22" s="0" t="s">
        <v>22</v>
      </c>
      <c r="B22" s="5" t="n">
        <v>0.09</v>
      </c>
      <c r="C22" s="5" t="n">
        <v>0.13</v>
      </c>
      <c r="D22" s="7" t="n">
        <v>0.16</v>
      </c>
    </row>
    <row r="23" customFormat="false" ht="15" hidden="false" customHeight="false" outlineLevel="0" collapsed="false">
      <c r="A23" s="0" t="s">
        <v>23</v>
      </c>
      <c r="B23" s="5" t="n">
        <v>0.08</v>
      </c>
      <c r="C23" s="5" t="n">
        <v>0.11</v>
      </c>
      <c r="D23" s="7" t="n">
        <v>0.14</v>
      </c>
    </row>
    <row r="24" customFormat="false" ht="15" hidden="false" customHeight="false" outlineLevel="0" collapsed="false">
      <c r="A24" s="0" t="s">
        <v>24</v>
      </c>
      <c r="B24" s="5" t="n">
        <v>0.07</v>
      </c>
      <c r="C24" s="5" t="n">
        <v>0.09</v>
      </c>
      <c r="D24" s="7" t="n">
        <v>0.12</v>
      </c>
    </row>
    <row r="25" customFormat="false" ht="15" hidden="false" customHeight="false" outlineLevel="0" collapsed="false">
      <c r="A25" s="0" t="s">
        <v>25</v>
      </c>
      <c r="B25" s="5" t="n">
        <v>0.025</v>
      </c>
      <c r="C25" s="5" t="n">
        <v>0.03</v>
      </c>
      <c r="D25" s="7" t="n">
        <v>0.04</v>
      </c>
    </row>
    <row r="26" customFormat="false" ht="15" hidden="false" customHeight="false" outlineLevel="0" collapsed="false">
      <c r="A26" s="0" t="s">
        <v>26</v>
      </c>
      <c r="B26" s="5" t="n">
        <v>0.11</v>
      </c>
      <c r="C26" s="5" t="n">
        <v>0.12</v>
      </c>
      <c r="D26" s="7" t="n">
        <v>0.13</v>
      </c>
    </row>
    <row r="27" customFormat="false" ht="15" hidden="false" customHeight="false" outlineLevel="0" collapsed="false">
      <c r="A27" s="0" t="s">
        <v>27</v>
      </c>
      <c r="B27" s="5" t="n">
        <v>0.12</v>
      </c>
      <c r="C27" s="5" t="n">
        <v>0.14</v>
      </c>
      <c r="D27" s="7" t="n">
        <v>0.16</v>
      </c>
    </row>
    <row r="28" customFormat="false" ht="15" hidden="false" customHeight="false" outlineLevel="0" collapsed="false">
      <c r="A28" s="0" t="s">
        <v>28</v>
      </c>
      <c r="B28" s="5" t="n">
        <v>0.13</v>
      </c>
      <c r="C28" s="5" t="n">
        <v>0.16</v>
      </c>
      <c r="D28" s="7" t="n">
        <v>0.18</v>
      </c>
    </row>
    <row r="29" customFormat="false" ht="15" hidden="false" customHeight="false" outlineLevel="0" collapsed="false">
      <c r="A29" s="0" t="s">
        <v>29</v>
      </c>
      <c r="B29" s="5" t="n">
        <v>0.08</v>
      </c>
      <c r="C29" s="5" t="n">
        <v>0.08</v>
      </c>
      <c r="D29" s="7" t="n">
        <v>0.08</v>
      </c>
    </row>
    <row r="30" customFormat="false" ht="15" hidden="false" customHeight="false" outlineLevel="0" collapsed="false">
      <c r="A30" s="0" t="s">
        <v>30</v>
      </c>
      <c r="B30" s="5" t="n">
        <v>0.14</v>
      </c>
      <c r="C30" s="5" t="n">
        <v>0.12</v>
      </c>
      <c r="D30" s="7" t="n">
        <v>0.1</v>
      </c>
    </row>
    <row r="31" customFormat="false" ht="15" hidden="false" customHeight="false" outlineLevel="0" collapsed="false">
      <c r="A31" s="0" t="s">
        <v>31</v>
      </c>
      <c r="B31" s="5" t="n">
        <v>0.11</v>
      </c>
      <c r="C31" s="5" t="n">
        <v>0.09</v>
      </c>
      <c r="D31" s="7" t="n">
        <v>0.08</v>
      </c>
    </row>
    <row r="32" customFormat="false" ht="15" hidden="false" customHeight="false" outlineLevel="0" collapsed="false">
      <c r="A32" s="0" t="s">
        <v>32</v>
      </c>
      <c r="B32" s="5" t="n">
        <v>0.025</v>
      </c>
      <c r="C32" s="5" t="n">
        <v>0.02</v>
      </c>
      <c r="D32" s="7" t="n">
        <v>0.015</v>
      </c>
    </row>
    <row r="35" customFormat="false" ht="15" hidden="false" customHeight="false" outlineLevel="0" collapsed="false">
      <c r="A35" s="6" t="s">
        <v>33</v>
      </c>
      <c r="B35" s="8" t="s">
        <v>11</v>
      </c>
      <c r="C35" s="8" t="s">
        <v>34</v>
      </c>
      <c r="D35" s="8" t="s">
        <v>35</v>
      </c>
    </row>
    <row r="36" customFormat="false" ht="15" hidden="false" customHeight="false" outlineLevel="0" collapsed="false">
      <c r="A36" s="0" t="s">
        <v>36</v>
      </c>
      <c r="B36" s="9" t="n">
        <f aca="false">B14+B16*B15</f>
        <v>0.1107</v>
      </c>
      <c r="C36" s="9" t="n">
        <f aca="false">C14+C16*C15</f>
        <v>0.0967</v>
      </c>
      <c r="D36" s="9" t="n">
        <f aca="false">D14+D16*D15</f>
        <v>0.0867</v>
      </c>
    </row>
    <row r="37" customFormat="false" ht="15" hidden="false" customHeight="false" outlineLevel="0" collapsed="false">
      <c r="A37" s="0" t="s">
        <v>37</v>
      </c>
      <c r="B37" s="9" t="n">
        <f aca="false">B17*(1-B18)</f>
        <v>0.037035</v>
      </c>
      <c r="C37" s="9" t="n">
        <f aca="false">C17*(1-C18)</f>
        <v>0.037035</v>
      </c>
      <c r="D37" s="9" t="n">
        <f aca="false">D17*(1-D18)</f>
        <v>0.037035</v>
      </c>
    </row>
    <row r="38" customFormat="false" ht="15" hidden="false" customHeight="false" outlineLevel="0" collapsed="false">
      <c r="A38" s="0" t="s">
        <v>38</v>
      </c>
      <c r="B38" s="9" t="n">
        <f aca="false">1-B19</f>
        <v>0.97</v>
      </c>
      <c r="C38" s="9" t="n">
        <f aca="false">1-C19</f>
        <v>0.97</v>
      </c>
      <c r="D38" s="9" t="n">
        <f aca="false">1-D19</f>
        <v>0.97</v>
      </c>
    </row>
    <row r="39" customFormat="false" ht="15" hidden="false" customHeight="false" outlineLevel="0" collapsed="false">
      <c r="A39" s="0" t="s">
        <v>39</v>
      </c>
      <c r="B39" s="9" t="n">
        <f aca="false">B19</f>
        <v>0.03</v>
      </c>
      <c r="C39" s="9" t="n">
        <f aca="false">C19</f>
        <v>0.03</v>
      </c>
      <c r="D39" s="9" t="n">
        <f aca="false">D19</f>
        <v>0.03</v>
      </c>
    </row>
    <row r="40" customFormat="false" ht="15" hidden="false" customHeight="false" outlineLevel="0" collapsed="false">
      <c r="A40" s="8" t="s">
        <v>40</v>
      </c>
      <c r="B40" s="10" t="n">
        <f aca="false">B36*B38+B37*B39</f>
        <v>0.10849005</v>
      </c>
      <c r="C40" s="11" t="n">
        <f aca="false">C36*C38+C37*C39</f>
        <v>0.09491005</v>
      </c>
      <c r="D40" s="12" t="n">
        <f aca="false">D36*D38+D37*D39</f>
        <v>0.08521005</v>
      </c>
    </row>
    <row r="44" customFormat="false" ht="15" hidden="false" customHeight="false" outlineLevel="0" collapsed="false">
      <c r="A44" s="6" t="s">
        <v>41</v>
      </c>
    </row>
    <row r="45" customFormat="false" ht="15" hidden="false" customHeight="false" outlineLevel="0" collapsed="false">
      <c r="A45" s="4" t="s">
        <v>3</v>
      </c>
      <c r="B45" s="4" t="s">
        <v>42</v>
      </c>
      <c r="C45" s="4" t="s">
        <v>43</v>
      </c>
      <c r="D45" s="4" t="s">
        <v>44</v>
      </c>
      <c r="E45" s="4" t="s">
        <v>45</v>
      </c>
      <c r="F45" s="4" t="s">
        <v>46</v>
      </c>
      <c r="G45" s="4" t="s">
        <v>47</v>
      </c>
      <c r="H45" s="4" t="s">
        <v>48</v>
      </c>
    </row>
    <row r="46" customFormat="false" ht="15" hidden="false" customHeight="false" outlineLevel="0" collapsed="false">
      <c r="A46" s="0" t="s">
        <v>49</v>
      </c>
      <c r="B46" s="13" t="n">
        <v>638</v>
      </c>
      <c r="C46" s="14" t="n">
        <f aca="false">B46*(1+$C$20)</f>
        <v>733.7</v>
      </c>
      <c r="D46" s="14" t="n">
        <f aca="false">C46*(1+$C$21)</f>
        <v>836.418</v>
      </c>
      <c r="E46" s="14" t="n">
        <f aca="false">D46*(1+$C$22)</f>
        <v>945.15234</v>
      </c>
      <c r="F46" s="14" t="n">
        <f aca="false">E46*(1+$C$23)</f>
        <v>1049.1190974</v>
      </c>
      <c r="G46" s="14" t="n">
        <f aca="false">F46*(1+$C$24)</f>
        <v>1143.539816166</v>
      </c>
      <c r="H46" s="14" t="n">
        <f aca="false">G46*(1+$C$25)</f>
        <v>1177.84601065098</v>
      </c>
    </row>
    <row r="47" customFormat="false" ht="15" hidden="false" customHeight="false" outlineLevel="0" collapsed="false">
      <c r="A47" s="0" t="s">
        <v>50</v>
      </c>
      <c r="B47" s="5" t="n">
        <v>0.11</v>
      </c>
      <c r="C47" s="15" t="n">
        <f aca="false">$C$20</f>
        <v>0.15</v>
      </c>
      <c r="D47" s="15" t="n">
        <f aca="false">$C$21</f>
        <v>0.14</v>
      </c>
      <c r="E47" s="15" t="n">
        <f aca="false">$C$22</f>
        <v>0.13</v>
      </c>
      <c r="F47" s="15" t="n">
        <f aca="false">$C$23</f>
        <v>0.11</v>
      </c>
      <c r="G47" s="15" t="n">
        <f aca="false">$C$24</f>
        <v>0.09</v>
      </c>
      <c r="H47" s="15" t="n">
        <f aca="false">$C$25</f>
        <v>0.03</v>
      </c>
    </row>
    <row r="48" customFormat="false" ht="15" hidden="false" customHeight="false" outlineLevel="0" collapsed="false">
      <c r="A48" s="0" t="s">
        <v>51</v>
      </c>
      <c r="B48" s="5" t="n">
        <v>0.108</v>
      </c>
      <c r="C48" s="15" t="n">
        <f aca="false">$C$26</f>
        <v>0.12</v>
      </c>
      <c r="D48" s="15" t="n">
        <f aca="false">$C$26</f>
        <v>0.12</v>
      </c>
      <c r="E48" s="15" t="n">
        <f aca="false">$C$26</f>
        <v>0.12</v>
      </c>
      <c r="F48" s="15" t="n">
        <f aca="false">$C$27</f>
        <v>0.14</v>
      </c>
      <c r="G48" s="15" t="n">
        <f aca="false">$C$27</f>
        <v>0.14</v>
      </c>
      <c r="H48" s="15" t="n">
        <f aca="false">$C$28</f>
        <v>0.16</v>
      </c>
    </row>
    <row r="49" customFormat="false" ht="15" hidden="false" customHeight="false" outlineLevel="0" collapsed="false">
      <c r="A49" s="0" t="s">
        <v>52</v>
      </c>
      <c r="B49" s="14" t="n">
        <f aca="false">B46*B48</f>
        <v>68.904</v>
      </c>
      <c r="C49" s="14" t="n">
        <f aca="false">C46*C48</f>
        <v>88.044</v>
      </c>
      <c r="D49" s="14" t="n">
        <f aca="false">D46*D48</f>
        <v>100.37016</v>
      </c>
      <c r="E49" s="14" t="n">
        <f aca="false">E46*E48</f>
        <v>113.4182808</v>
      </c>
      <c r="F49" s="14" t="n">
        <f aca="false">F46*F48</f>
        <v>146.876673636</v>
      </c>
      <c r="G49" s="14" t="n">
        <f aca="false">G46*G48</f>
        <v>160.09557426324</v>
      </c>
      <c r="H49" s="14" t="n">
        <f aca="false">H46*H48</f>
        <v>188.455361704157</v>
      </c>
    </row>
    <row r="50" customFormat="false" ht="15" hidden="false" customHeight="false" outlineLevel="0" collapsed="false">
      <c r="A50" s="0" t="s">
        <v>53</v>
      </c>
      <c r="B50" s="14" t="n">
        <f aca="false">B49*$C$18</f>
        <v>12.196008</v>
      </c>
      <c r="C50" s="14" t="n">
        <f aca="false">C49*$C$18</f>
        <v>15.583788</v>
      </c>
      <c r="D50" s="14" t="n">
        <f aca="false">D49*$C$18</f>
        <v>17.76551832</v>
      </c>
      <c r="E50" s="14" t="n">
        <f aca="false">E49*$C$18</f>
        <v>20.0750357016</v>
      </c>
      <c r="F50" s="14" t="n">
        <f aca="false">F49*$C$18</f>
        <v>25.997171233572</v>
      </c>
      <c r="G50" s="14" t="n">
        <f aca="false">G49*$C$18</f>
        <v>28.3369166445935</v>
      </c>
      <c r="H50" s="14" t="n">
        <f aca="false">H49*$C$18</f>
        <v>33.3565990216358</v>
      </c>
    </row>
    <row r="51" customFormat="false" ht="15" hidden="false" customHeight="false" outlineLevel="0" collapsed="false">
      <c r="A51" s="0" t="s">
        <v>54</v>
      </c>
      <c r="B51" s="14" t="n">
        <f aca="false">B49-B50</f>
        <v>56.707992</v>
      </c>
      <c r="C51" s="14" t="n">
        <f aca="false">C49-C50</f>
        <v>72.460212</v>
      </c>
      <c r="D51" s="14" t="n">
        <f aca="false">D49-D50</f>
        <v>82.60464168</v>
      </c>
      <c r="E51" s="14" t="n">
        <f aca="false">E49-E50</f>
        <v>93.3432450984</v>
      </c>
      <c r="F51" s="14" t="n">
        <f aca="false">F49-F50</f>
        <v>120.879502402428</v>
      </c>
      <c r="G51" s="14" t="n">
        <f aca="false">G49-G50</f>
        <v>131.758657618647</v>
      </c>
      <c r="H51" s="14" t="n">
        <f aca="false">H49-H50</f>
        <v>155.098762682521</v>
      </c>
    </row>
    <row r="52" customFormat="false" ht="15" hidden="false" customHeight="false" outlineLevel="0" collapsed="false">
      <c r="A52" s="0" t="s">
        <v>55</v>
      </c>
      <c r="B52" s="13" t="n">
        <v>52.8</v>
      </c>
      <c r="C52" s="14" t="n">
        <f aca="false">C46*$C$29</f>
        <v>58.696</v>
      </c>
      <c r="D52" s="14" t="n">
        <f aca="false">D46*$C$29</f>
        <v>66.91344</v>
      </c>
      <c r="E52" s="14" t="n">
        <f aca="false">E46*$C$29</f>
        <v>75.6121872</v>
      </c>
      <c r="F52" s="14" t="n">
        <f aca="false">F46*$C$29</f>
        <v>83.929527792</v>
      </c>
      <c r="G52" s="14" t="n">
        <f aca="false">G46*$C$29</f>
        <v>91.48318529328</v>
      </c>
      <c r="H52" s="14" t="n">
        <f aca="false">H46*$C$29</f>
        <v>94.2276808520784</v>
      </c>
    </row>
    <row r="53" customFormat="false" ht="15" hidden="false" customHeight="false" outlineLevel="0" collapsed="false">
      <c r="A53" s="0" t="s">
        <v>56</v>
      </c>
      <c r="B53" s="13" t="n">
        <v>83</v>
      </c>
      <c r="C53" s="14" t="n">
        <f aca="false">C46*$C$30</f>
        <v>88.044</v>
      </c>
      <c r="D53" s="14" t="n">
        <f aca="false">D46*$C$30</f>
        <v>100.37016</v>
      </c>
      <c r="E53" s="14" t="n">
        <f aca="false">E46*$C$30</f>
        <v>113.4182808</v>
      </c>
      <c r="F53" s="14" t="n">
        <f aca="false">F46*$C$31</f>
        <v>94.420718766</v>
      </c>
      <c r="G53" s="14" t="n">
        <f aca="false">G46*$C$31</f>
        <v>102.91858345494</v>
      </c>
      <c r="H53" s="14" t="n">
        <f aca="false">H46*$C$31</f>
        <v>106.006140958588</v>
      </c>
    </row>
    <row r="54" customFormat="false" ht="15" hidden="false" customHeight="false" outlineLevel="0" collapsed="false">
      <c r="A54" s="0" t="s">
        <v>57</v>
      </c>
      <c r="B54" s="13" t="n">
        <v>15.5</v>
      </c>
      <c r="C54" s="14" t="n">
        <f aca="false">(C46-B46)*$C$32</f>
        <v>1.914</v>
      </c>
      <c r="D54" s="14" t="n">
        <f aca="false">(D46-C46)*$C$32</f>
        <v>2.05436</v>
      </c>
      <c r="E54" s="14" t="n">
        <f aca="false">(E46-D46)*$C$32</f>
        <v>2.1746868</v>
      </c>
      <c r="F54" s="14" t="n">
        <f aca="false">(F46-E46)*$C$32</f>
        <v>2.079335148</v>
      </c>
      <c r="G54" s="14" t="n">
        <f aca="false">(G46-F46)*$C$32</f>
        <v>1.88841437532</v>
      </c>
      <c r="H54" s="14" t="n">
        <f aca="false">(H46-G46)*$C$32</f>
        <v>0.686123889699602</v>
      </c>
    </row>
    <row r="55" customFormat="false" ht="15" hidden="false" customHeight="false" outlineLevel="0" collapsed="false">
      <c r="A55" s="8" t="s">
        <v>58</v>
      </c>
      <c r="B55" s="16" t="n">
        <f aca="false">B51+B52-B53-B54</f>
        <v>11.007992</v>
      </c>
      <c r="C55" s="16" t="n">
        <f aca="false">C51+C52-C53-C54</f>
        <v>41.198212</v>
      </c>
      <c r="D55" s="16" t="n">
        <f aca="false">D51+D52-D53-D54</f>
        <v>47.09356168</v>
      </c>
      <c r="E55" s="16" t="n">
        <f aca="false">E51+E52-E53-E54</f>
        <v>53.3624646984</v>
      </c>
      <c r="F55" s="16" t="n">
        <f aca="false">F51+F52-F53-F54</f>
        <v>108.308976280428</v>
      </c>
      <c r="G55" s="16" t="n">
        <f aca="false">G51+G52-G53-G54</f>
        <v>118.434845081667</v>
      </c>
      <c r="H55" s="16" t="n">
        <f aca="false">H51+H52-H53-H54</f>
        <v>142.634178686312</v>
      </c>
    </row>
    <row r="56" customFormat="false" ht="15" hidden="false" customHeight="false" outlineLevel="0" collapsed="false">
      <c r="A56" s="0" t="s">
        <v>59</v>
      </c>
      <c r="B56" s="15" t="n">
        <f aca="false">B55/B46</f>
        <v>0.0172539059561129</v>
      </c>
      <c r="C56" s="15" t="n">
        <f aca="false">C55/C46</f>
        <v>0.0561513043478261</v>
      </c>
      <c r="D56" s="15" t="n">
        <f aca="false">D55/D46</f>
        <v>0.0563038596491228</v>
      </c>
      <c r="E56" s="15" t="n">
        <f aca="false">E55/E46</f>
        <v>0.0564591150442478</v>
      </c>
      <c r="F56" s="15" t="n">
        <f aca="false">F55/F46</f>
        <v>0.103238018018018</v>
      </c>
      <c r="G56" s="15" t="n">
        <f aca="false">G55/G46</f>
        <v>0.103568623853211</v>
      </c>
      <c r="H56" s="15" t="n">
        <f aca="false">H55/H46</f>
        <v>0.121097475728155</v>
      </c>
    </row>
    <row r="57" customFormat="false" ht="15" hidden="false" customHeight="false" outlineLevel="0" collapsed="false">
      <c r="A57" s="0" t="s">
        <v>60</v>
      </c>
      <c r="B57" s="0" t="s">
        <v>61</v>
      </c>
      <c r="C57" s="15" t="n">
        <f aca="false">(C55-B55)/ABS(B55)</f>
        <v>2.74257285070701</v>
      </c>
      <c r="D57" s="15" t="n">
        <f aca="false">(D55-C55)/C55</f>
        <v>0.143097221792053</v>
      </c>
      <c r="E57" s="15" t="n">
        <f aca="false">(E55-D55)/D55</f>
        <v>0.133115924868819</v>
      </c>
      <c r="F57" s="15" t="n">
        <f aca="false">(F55-E55)/E55</f>
        <v>1.02968466491533</v>
      </c>
      <c r="G57" s="15" t="n">
        <f aca="false">(G55-F55)/F55</f>
        <v>0.0934905780571793</v>
      </c>
      <c r="H57" s="15" t="n">
        <f aca="false">(H55-G55)/G55</f>
        <v>0.204326130438711</v>
      </c>
    </row>
    <row r="60" customFormat="false" ht="15" hidden="false" customHeight="false" outlineLevel="0" collapsed="false">
      <c r="A60" s="6" t="s">
        <v>62</v>
      </c>
    </row>
    <row r="61" customFormat="false" ht="15" hidden="false" customHeight="false" outlineLevel="0" collapsed="false">
      <c r="A61" s="0" t="s">
        <v>63</v>
      </c>
      <c r="B61" s="17" t="n">
        <v>0</v>
      </c>
      <c r="C61" s="17" t="n">
        <v>1</v>
      </c>
      <c r="D61" s="17" t="n">
        <v>2</v>
      </c>
      <c r="E61" s="17" t="n">
        <v>3</v>
      </c>
      <c r="F61" s="17" t="n">
        <v>4</v>
      </c>
      <c r="G61" s="17" t="n">
        <v>5</v>
      </c>
    </row>
    <row r="62" customFormat="false" ht="15" hidden="false" customHeight="false" outlineLevel="0" collapsed="false">
      <c r="A62" s="0" t="s">
        <v>64</v>
      </c>
      <c r="B62" s="18" t="n">
        <v>1</v>
      </c>
      <c r="C62" s="18" t="n">
        <f aca="false">1/(1+$C$40)^C61</f>
        <v>0.913317034581973</v>
      </c>
      <c r="D62" s="18" t="n">
        <f aca="false">1/(1+$C$40)^D61</f>
        <v>0.834148005657609</v>
      </c>
      <c r="E62" s="18" t="n">
        <f aca="false">1/(1+$C$40)^E61</f>
        <v>0.761841582929675</v>
      </c>
      <c r="F62" s="18" t="n">
        <f aca="false">1/(1+$C$40)^F61</f>
        <v>0.695802895342567</v>
      </c>
      <c r="G62" s="18" t="n">
        <f aca="false">1/(1+$C$40)^G61</f>
        <v>0.635488637027824</v>
      </c>
    </row>
    <row r="63" customFormat="false" ht="15" hidden="false" customHeight="false" outlineLevel="0" collapsed="false">
      <c r="A63" s="0" t="s">
        <v>65</v>
      </c>
      <c r="B63" s="14" t="n">
        <f aca="false">B55</f>
        <v>11.007992</v>
      </c>
      <c r="C63" s="14" t="n">
        <f aca="false">C55</f>
        <v>41.198212</v>
      </c>
      <c r="D63" s="14" t="n">
        <f aca="false">D55</f>
        <v>47.09356168</v>
      </c>
      <c r="E63" s="14" t="n">
        <f aca="false">E55</f>
        <v>53.3624646984</v>
      </c>
      <c r="F63" s="14" t="n">
        <f aca="false">F55</f>
        <v>108.308976280428</v>
      </c>
      <c r="G63" s="14" t="n">
        <f aca="false">G55</f>
        <v>118.434845081667</v>
      </c>
    </row>
    <row r="64" customFormat="false" ht="15" hidden="false" customHeight="false" outlineLevel="0" collapsed="false">
      <c r="A64" s="0" t="s">
        <v>66</v>
      </c>
      <c r="C64" s="14" t="n">
        <f aca="false">C63*C62</f>
        <v>37.6270288139195</v>
      </c>
      <c r="D64" s="14" t="n">
        <f aca="false">D63*D62</f>
        <v>39.2830005546856</v>
      </c>
      <c r="E64" s="14" t="n">
        <f aca="false">E63*E62</f>
        <v>40.653744574858</v>
      </c>
      <c r="F64" s="14" t="n">
        <f aca="false">F63*F62</f>
        <v>75.3616992875112</v>
      </c>
      <c r="G64" s="14" t="n">
        <f aca="false">G63*G62</f>
        <v>75.2639982775498</v>
      </c>
    </row>
    <row r="66" customFormat="false" ht="15" hidden="false" customHeight="false" outlineLevel="0" collapsed="false">
      <c r="A66" s="0" t="s">
        <v>67</v>
      </c>
      <c r="B66" s="16" t="n">
        <f aca="false">SUM(C64:G64)</f>
        <v>268.189471508524</v>
      </c>
    </row>
    <row r="68" customFormat="false" ht="15" hidden="false" customHeight="false" outlineLevel="0" collapsed="false">
      <c r="A68" s="8" t="s">
        <v>68</v>
      </c>
    </row>
    <row r="69" customFormat="false" ht="15" hidden="false" customHeight="false" outlineLevel="0" collapsed="false">
      <c r="A69" s="0" t="s">
        <v>69</v>
      </c>
      <c r="B69" s="14" t="n">
        <f aca="false">H55</f>
        <v>142.634178686312</v>
      </c>
    </row>
    <row r="70" customFormat="false" ht="15" hidden="false" customHeight="false" outlineLevel="0" collapsed="false">
      <c r="A70" s="0" t="s">
        <v>40</v>
      </c>
      <c r="B70" s="9" t="n">
        <f aca="false">C40</f>
        <v>0.09491005</v>
      </c>
    </row>
    <row r="71" customFormat="false" ht="15" hidden="false" customHeight="false" outlineLevel="0" collapsed="false">
      <c r="A71" s="0" t="s">
        <v>70</v>
      </c>
      <c r="B71" s="15" t="n">
        <f aca="false">C25</f>
        <v>0.03</v>
      </c>
    </row>
    <row r="72" customFormat="false" ht="15" hidden="false" customHeight="false" outlineLevel="0" collapsed="false">
      <c r="A72" s="0" t="s">
        <v>71</v>
      </c>
      <c r="B72" s="14" t="n">
        <f aca="false">B69/(B70-B71)</f>
        <v>2197.41286112569</v>
      </c>
    </row>
    <row r="73" customFormat="false" ht="15" hidden="false" customHeight="false" outlineLevel="0" collapsed="false">
      <c r="A73" s="0" t="s">
        <v>72</v>
      </c>
      <c r="B73" s="16" t="n">
        <f aca="false">B72*G62</f>
        <v>1396.43090410418</v>
      </c>
    </row>
    <row r="75" customFormat="false" ht="15" hidden="false" customHeight="false" outlineLevel="0" collapsed="false">
      <c r="A75" s="8" t="s">
        <v>73</v>
      </c>
    </row>
    <row r="76" customFormat="false" ht="15" hidden="false" customHeight="false" outlineLevel="0" collapsed="false">
      <c r="A76" s="0" t="s">
        <v>74</v>
      </c>
      <c r="B76" s="14" t="n">
        <f aca="false">B66</f>
        <v>268.189471508524</v>
      </c>
    </row>
    <row r="77" customFormat="false" ht="15" hidden="false" customHeight="false" outlineLevel="0" collapsed="false">
      <c r="A77" s="0" t="s">
        <v>72</v>
      </c>
      <c r="B77" s="14" t="n">
        <f aca="false">B73</f>
        <v>1396.43090410418</v>
      </c>
    </row>
    <row r="78" customFormat="false" ht="15" hidden="false" customHeight="false" outlineLevel="0" collapsed="false">
      <c r="A78" s="0" t="s">
        <v>75</v>
      </c>
      <c r="B78" s="19" t="n">
        <f aca="false">B76+B77</f>
        <v>1664.6203756127</v>
      </c>
    </row>
    <row r="79" customFormat="false" ht="15" hidden="false" customHeight="false" outlineLevel="0" collapsed="false">
      <c r="A79" s="0" t="s">
        <v>76</v>
      </c>
      <c r="B79" s="13" t="n">
        <v>75.8</v>
      </c>
    </row>
    <row r="80" customFormat="false" ht="15" hidden="false" customHeight="false" outlineLevel="0" collapsed="false">
      <c r="A80" s="0" t="s">
        <v>77</v>
      </c>
      <c r="B80" s="13" t="n">
        <v>101.2</v>
      </c>
    </row>
    <row r="81" customFormat="false" ht="15" hidden="false" customHeight="false" outlineLevel="0" collapsed="false">
      <c r="A81" s="0" t="s">
        <v>78</v>
      </c>
      <c r="B81" s="19" t="n">
        <f aca="false">B78-B79+B80</f>
        <v>1690.0203756127</v>
      </c>
    </row>
    <row r="83" customFormat="false" ht="15" hidden="false" customHeight="false" outlineLevel="0" collapsed="false">
      <c r="A83" s="0" t="s">
        <v>79</v>
      </c>
      <c r="B83" s="20" t="n">
        <v>10.69</v>
      </c>
    </row>
    <row r="84" customFormat="false" ht="17.35" hidden="false" customHeight="false" outlineLevel="0" collapsed="false">
      <c r="A84" s="8" t="s">
        <v>80</v>
      </c>
      <c r="B84" s="21" t="n">
        <f aca="false">B81/B83</f>
        <v>158.093580506333</v>
      </c>
    </row>
    <row r="88" customFormat="false" ht="15" hidden="false" customHeight="false" outlineLevel="0" collapsed="false">
      <c r="A88" s="6" t="s">
        <v>81</v>
      </c>
    </row>
    <row r="89" customFormat="false" ht="15" hidden="false" customHeight="false" outlineLevel="0" collapsed="false">
      <c r="A89" s="0" t="s">
        <v>82</v>
      </c>
      <c r="B89" s="22" t="n">
        <v>233.06</v>
      </c>
    </row>
    <row r="91" customFormat="false" ht="15" hidden="false" customHeight="false" outlineLevel="0" collapsed="false">
      <c r="A91" s="4" t="s">
        <v>83</v>
      </c>
      <c r="B91" s="4" t="s">
        <v>40</v>
      </c>
      <c r="C91" s="4" t="s">
        <v>84</v>
      </c>
      <c r="D91" s="4" t="s">
        <v>85</v>
      </c>
    </row>
    <row r="92" customFormat="false" ht="15" hidden="false" customHeight="false" outlineLevel="0" collapsed="false">
      <c r="A92" s="23" t="s">
        <v>11</v>
      </c>
      <c r="B92" s="15" t="n">
        <f aca="false">B40</f>
        <v>0.10849005</v>
      </c>
      <c r="C92" s="24" t="n">
        <f aca="false">(SUM(C55/(1+$B$40)^1,D55/(1+$B$40)^2,E55/(1+$B$40)^3,F55/(1+$B$40)^4,G55/(1+$B$40)^5)+((H46*$B$28*(1-$B$18)+H46*$B$29-H46*$B$31-(H46-G46)*$B$32)/($B$40-$B$25))*(1/(1+$B$40)^5)-B79+B80)/B83</f>
        <v>86.5678642992969</v>
      </c>
      <c r="D92" s="15" t="n">
        <f aca="false">(C92-$B$89)/$B$89</f>
        <v>-0.628559751569137</v>
      </c>
    </row>
    <row r="93" customFormat="false" ht="15" hidden="false" customHeight="false" outlineLevel="0" collapsed="false">
      <c r="A93" s="25" t="s">
        <v>12</v>
      </c>
      <c r="B93" s="15" t="n">
        <f aca="false">C40</f>
        <v>0.09491005</v>
      </c>
      <c r="C93" s="24" t="n">
        <f aca="false">B84</f>
        <v>158.093580506333</v>
      </c>
      <c r="D93" s="15" t="n">
        <f aca="false">(C93-$B$89)/$B$89</f>
        <v>-0.32166145839555</v>
      </c>
    </row>
    <row r="94" customFormat="false" ht="15" hidden="false" customHeight="false" outlineLevel="0" collapsed="false">
      <c r="A94" s="26" t="s">
        <v>13</v>
      </c>
      <c r="B94" s="15" t="n">
        <f aca="false">D40</f>
        <v>0.08521005</v>
      </c>
      <c r="C94" s="24" t="n">
        <f aca="false">(SUM(B46*(1+$D$20)/(1+$D$40)^1,B46*(1+$D$20)*(1+$D$21)/(1+$D$40)^2,B46*(1+$D$20)*(1+$D$21)*(1+$D$22)/(1+$D$40)^3,B46*(1+$D$20)*(1+$D$21)*(1+$D$22)*(1+$D$23)/(1+$D$40)^4,B46*(1+$D$20)*(1+$D$21)*(1+$D$22)*(1+$D$23)*(1+$D$24)/(1+$D$40)^5)*($D$27*(1-$D$18)+$D$29-$D$31)+((B46*(1+$D$20)*(1+$D$21)*(1+$D$22)*(1+$D$23)*(1+$D$24)*(1+$D$25)*$D$28*(1-$D$18)+B46*(1+$D$20)*(1+$D$21)*(1+$D$22)*(1+$D$23)*(1+$D$24)*(1+$D$25)*$D$29-B46*(1+$D$20)*(1+$D$21)*(1+$D$22)*(1+$D$23)*(1+$D$24)*(1+$D$25)*$D$31)/($D$40-$D$25))*(1/(1+$D$40)^5)-B79+B80)/B83</f>
        <v>327.312406050604</v>
      </c>
      <c r="D94" s="15" t="n">
        <f aca="false">(C94-$B$89)/$B$89</f>
        <v>0.404412623575919</v>
      </c>
    </row>
    <row r="96" customFormat="false" ht="15" hidden="false" customHeight="false" outlineLevel="0" collapsed="false">
      <c r="A96" s="8" t="s">
        <v>86</v>
      </c>
    </row>
    <row r="97" customFormat="false" ht="15" hidden="false" customHeight="false" outlineLevel="0" collapsed="false">
      <c r="A97" s="0" t="s">
        <v>87</v>
      </c>
      <c r="B97" s="27" t="n">
        <f aca="false">0.25*C92+0.5*C93+0.25*C94</f>
        <v>182.516857840642</v>
      </c>
      <c r="C97" s="28" t="n">
        <f aca="false">(B97-B89)/B89</f>
        <v>-0.216867511196079</v>
      </c>
    </row>
    <row r="101" customFormat="false" ht="15" hidden="false" customHeight="false" outlineLevel="0" collapsed="false">
      <c r="A101" s="6" t="s">
        <v>88</v>
      </c>
    </row>
    <row r="102" customFormat="false" ht="15" hidden="false" customHeight="false" outlineLevel="0" collapsed="false">
      <c r="A102" s="4" t="s">
        <v>3</v>
      </c>
      <c r="B102" s="4" t="s">
        <v>89</v>
      </c>
    </row>
    <row r="103" customFormat="false" ht="15" hidden="false" customHeight="false" outlineLevel="0" collapsed="false">
      <c r="A103" s="0" t="s">
        <v>90</v>
      </c>
      <c r="B103" s="14" t="n">
        <f aca="false">B78</f>
        <v>1664.6203756127</v>
      </c>
    </row>
    <row r="104" customFormat="false" ht="15" hidden="false" customHeight="false" outlineLevel="0" collapsed="false">
      <c r="A104" s="0" t="s">
        <v>91</v>
      </c>
      <c r="B104" s="14" t="n">
        <f aca="false">B81</f>
        <v>1690.0203756127</v>
      </c>
    </row>
    <row r="105" customFormat="false" ht="15" hidden="false" customHeight="false" outlineLevel="0" collapsed="false">
      <c r="A105" s="0" t="s">
        <v>92</v>
      </c>
      <c r="B105" s="29" t="n">
        <f aca="false">B78/B46</f>
        <v>2.60912284578793</v>
      </c>
    </row>
    <row r="106" customFormat="false" ht="15" hidden="false" customHeight="false" outlineLevel="0" collapsed="false">
      <c r="A106" s="0" t="s">
        <v>93</v>
      </c>
      <c r="B106" s="29" t="n">
        <f aca="false">B78/B49</f>
        <v>24.1585448684068</v>
      </c>
    </row>
    <row r="107" customFormat="false" ht="15" hidden="false" customHeight="false" outlineLevel="0" collapsed="false">
      <c r="A107" s="0" t="s">
        <v>94</v>
      </c>
      <c r="B107" s="29" t="n">
        <f aca="false">B78/C55</f>
        <v>40.4051606805825</v>
      </c>
    </row>
    <row r="108" customFormat="false" ht="15" hidden="false" customHeight="false" outlineLevel="0" collapsed="false">
      <c r="A108" s="0" t="s">
        <v>95</v>
      </c>
      <c r="B108" s="29" t="n">
        <f aca="false">B84/5.53</f>
        <v>28.5883509053044</v>
      </c>
    </row>
    <row r="109" customFormat="false" ht="15" hidden="false" customHeight="false" outlineLevel="0" collapsed="false">
      <c r="A109" s="0" t="s">
        <v>96</v>
      </c>
      <c r="B109" s="15" t="n">
        <f aca="false">(G46/B46)^(1/5)-1</f>
        <v>0.123792481936049</v>
      </c>
    </row>
    <row r="110" customFormat="false" ht="15" hidden="false" customHeight="false" outlineLevel="0" collapsed="false">
      <c r="A110" s="0" t="s">
        <v>97</v>
      </c>
      <c r="B110" s="15" t="n">
        <f aca="false">(G55/B55)^(1/5)-1</f>
        <v>0.608252659351998</v>
      </c>
    </row>
    <row r="111" customFormat="false" ht="15" hidden="false" customHeight="false" outlineLevel="0" collapsed="false">
      <c r="A111" s="0" t="s">
        <v>98</v>
      </c>
      <c r="B111" s="15" t="n">
        <f aca="false">B77/B78</f>
        <v>0.838888508492628</v>
      </c>
    </row>
    <row r="115" customFormat="false" ht="15" hidden="false" customHeight="false" outlineLevel="0" collapsed="false">
      <c r="A115" s="6" t="s">
        <v>99</v>
      </c>
    </row>
    <row r="116" customFormat="false" ht="15" hidden="false" customHeight="false" outlineLevel="0" collapsed="false">
      <c r="A116" s="8" t="s">
        <v>100</v>
      </c>
      <c r="B116" s="30" t="n">
        <v>0.02</v>
      </c>
      <c r="C116" s="30" t="n">
        <v>0.025</v>
      </c>
      <c r="D116" s="30" t="n">
        <v>0.03</v>
      </c>
      <c r="E116" s="30" t="n">
        <v>0.035</v>
      </c>
      <c r="F116" s="30" t="n">
        <v>0.04</v>
      </c>
    </row>
    <row r="117" customFormat="false" ht="15" hidden="false" customHeight="false" outlineLevel="0" collapsed="false">
      <c r="A117" s="30" t="n">
        <v>0.065</v>
      </c>
      <c r="B117" s="31" t="n">
        <f aca="false">(SUM(C55/(1+0.065)^1,D55/(1+0.065)^2,E55/(1+0.065)^3,F55/(1+0.065)^4,G55/(1+0.065)^5)+(H55/(0.065-0.02))*(1/(1+0.065)^5)-B79+B80)/B83</f>
        <v>246.387309607423</v>
      </c>
      <c r="C117" s="31" t="n">
        <f aca="false">(SUM(C55/(1+0.065)^1,D55/(1+0.065)^2,E55/(1+0.065)^3,F55/(1+0.065)^4,G55/(1+0.065)^5)+(H55/(0.065-0.025))*(1/(1+0.065)^5)-B79+B80)/B83</f>
        <v>273.439059336153</v>
      </c>
      <c r="D117" s="31" t="n">
        <f aca="false">(SUM(C55/(1+0.065)^1,D55/(1+0.065)^2,E55/(1+0.065)^3,F55/(1+0.065)^4,G55/(1+0.065)^5)+(H55/(0.065-0.03))*(1/(1+0.065)^5)-B79+B80)/B83</f>
        <v>308.219880415949</v>
      </c>
      <c r="E117" s="31" t="n">
        <f aca="false">(SUM(C55/(1+0.065)^1,D55/(1+0.065)^2,E55/(1+0.065)^3,F55/(1+0.065)^4,G55/(1+0.065)^5)+(H55/(0.065-0.035))*(1/(1+0.065)^5)-B79+B80)/B83</f>
        <v>354.594308522343</v>
      </c>
      <c r="F117" s="31" t="n">
        <f aca="false">(SUM(C55/(1+0.065)^1,D55/(1+0.065)^2,E55/(1+0.065)^3,F55/(1+0.065)^4,G55/(1+0.065)^5)+(H55/(0.065-0.04))*(1/(1+0.065)^5)-B79+B80)/B83</f>
        <v>419.518507871295</v>
      </c>
    </row>
    <row r="118" customFormat="false" ht="15" hidden="false" customHeight="false" outlineLevel="0" collapsed="false">
      <c r="A118" s="30" t="n">
        <v>0.07</v>
      </c>
      <c r="B118" s="31" t="n">
        <f aca="false">(SUM(C55/(1+0.07)^1,D55/(1+0.07)^2,E55/(1+0.07)^3,F55/(1+0.07)^4,G55/(1+0.07)^5)+(H55/(0.07-0.02))*(1/(1+0.07)^5)-B79+B80)/B83</f>
        <v>219.793337584403</v>
      </c>
      <c r="C118" s="31" t="n">
        <f aca="false">(SUM(C55/(1+0.07)^1,D55/(1+0.07)^2,E55/(1+0.07)^3,F55/(1+0.07)^4,G55/(1+0.07)^5)+(H55/(0.07-0.025))*(1/(1+0.07)^5)-B79+B80)/B83</f>
        <v>240.933800763978</v>
      </c>
      <c r="D118" s="31" t="n">
        <f aca="false">(SUM(C55/(1+0.07)^1,D55/(1+0.07)^2,E55/(1+0.07)^3,F55/(1+0.07)^4,G55/(1+0.07)^5)+(H55/(0.07-0.03))*(1/(1+0.07)^5)-B79+B80)/B83</f>
        <v>267.359379738446</v>
      </c>
      <c r="E118" s="31" t="n">
        <f aca="false">(SUM(C55/(1+0.07)^1,D55/(1+0.07)^2,E55/(1+0.07)^3,F55/(1+0.07)^4,G55/(1+0.07)^5)+(H55/(0.07-0.035))*(1/(1+0.07)^5)-B79+B80)/B83</f>
        <v>301.335124134191</v>
      </c>
      <c r="F118" s="31" t="n">
        <f aca="false">(SUM(C55/(1+0.07)^1,D55/(1+0.07)^2,E55/(1+0.07)^3,F55/(1+0.07)^4,G55/(1+0.07)^5)+(H55/(0.07-0.04))*(1/(1+0.07)^5)-B79+B80)/B83</f>
        <v>346.636116661852</v>
      </c>
    </row>
    <row r="119" customFormat="false" ht="15" hidden="false" customHeight="false" outlineLevel="0" collapsed="false">
      <c r="A119" s="30" t="n">
        <v>0.075</v>
      </c>
      <c r="B119" s="31" t="n">
        <f aca="false">(SUM(C55/(1+0.075)^1,D55/(1+0.075)^2,E55/(1+0.075)^3,F55/(1+0.075)^4,G55/(1+0.075)^5)+(H55/(0.075-0.02))*(1/(1+0.075)^5)-B79+B80)/B83</f>
        <v>198.077479086115</v>
      </c>
      <c r="C119" s="31" t="n">
        <f aca="false">(SUM(C55/(1+0.075)^1,D55/(1+0.075)^2,E55/(1+0.075)^3,F55/(1+0.075)^4,G55/(1+0.075)^5)+(H55/(0.075-0.025))*(1/(1+0.075)^5)-B79+B80)/B83</f>
        <v>214.97569635495</v>
      </c>
      <c r="D119" s="31" t="n">
        <f aca="false">(SUM(C55/(1+0.075)^1,D55/(1+0.075)^2,E55/(1+0.075)^3,F55/(1+0.075)^4,G55/(1+0.075)^5)+(H55/(0.075-0.03))*(1/(1+0.075)^5)-B79+B80)/B83</f>
        <v>235.629073016861</v>
      </c>
      <c r="E119" s="31" t="n">
        <f aca="false">(SUM(C55/(1+0.075)^1,D55/(1+0.075)^2,E55/(1+0.075)^3,F55/(1+0.075)^4,G55/(1+0.075)^5)+(H55/(0.075-0.035))*(1/(1+0.075)^5)-B79+B80)/B83</f>
        <v>261.445793844248</v>
      </c>
      <c r="F119" s="31" t="n">
        <f aca="false">(SUM(C55/(1+0.075)^1,D55/(1+0.075)^2,E55/(1+0.075)^3,F55/(1+0.075)^4,G55/(1+0.075)^5)+(H55/(0.075-0.04))*(1/(1+0.075)^5)-B79+B80)/B83</f>
        <v>294.638720622318</v>
      </c>
    </row>
    <row r="120" customFormat="false" ht="15" hidden="false" customHeight="false" outlineLevel="0" collapsed="false">
      <c r="A120" s="30" t="n">
        <v>0.08</v>
      </c>
      <c r="B120" s="31" t="n">
        <f aca="false">(SUM(C55/(1+0.08)^1,D55/(1+0.08)^2,E55/(1+0.08)^3,F55/(1+0.08)^4,G55/(1+0.08)^5)+(H55/(0.08-0.02))*(1/(1+0.08)^5)-B79+B80)/B83</f>
        <v>180.019145134368</v>
      </c>
      <c r="C120" s="31" t="n">
        <f aca="false">(SUM(C55/(1+0.08)^1,D55/(1+0.08)^2,E55/(1+0.08)^3,F55/(1+0.08)^4,G55/(1+0.08)^5)+(H55/(0.08-0.025))*(1/(1+0.08)^5)-B79+B80)/B83</f>
        <v>193.778028448796</v>
      </c>
      <c r="D120" s="31" t="n">
        <f aca="false">(SUM(C55/(1+0.08)^1,D55/(1+0.08)^2,E55/(1+0.08)^3,F55/(1+0.08)^4,G55/(1+0.08)^5)+(H55/(0.08-0.03))*(1/(1+0.08)^5)-B79+B80)/B83</f>
        <v>210.288688426109</v>
      </c>
      <c r="E120" s="31" t="n">
        <f aca="false">(SUM(C55/(1+0.08)^1,D55/(1+0.08)^2,E55/(1+0.08)^3,F55/(1+0.08)^4,G55/(1+0.08)^5)+(H55/(0.08-0.035))*(1/(1+0.08)^5)-B79+B80)/B83</f>
        <v>230.468383953937</v>
      </c>
      <c r="F120" s="31" t="n">
        <f aca="false">(SUM(C55/(1+0.08)^1,D55/(1+0.08)^2,E55/(1+0.08)^3,F55/(1+0.08)^4,G55/(1+0.08)^5)+(H55/(0.08-0.04))*(1/(1+0.08)^5)-B79+B80)/B83</f>
        <v>255.693003363721</v>
      </c>
    </row>
    <row r="121" customFormat="false" ht="15" hidden="false" customHeight="false" outlineLevel="0" collapsed="false">
      <c r="A121" s="30" t="n">
        <v>0.085</v>
      </c>
      <c r="B121" s="31" t="n">
        <f aca="false">(SUM(C55/(1+0.085)^1,D55/(1+0.085)^2,E55/(1+0.085)^3,F55/(1+0.085)^4,G55/(1+0.085)^5)+(H55/(0.085-0.02))*(1/(1+0.085)^5)-B79+B80)/B83</f>
        <v>164.773344142381</v>
      </c>
      <c r="C121" s="31" t="n">
        <f aca="false">(SUM(C55/(1+0.085)^1,D55/(1+0.085)^2,E55/(1+0.085)^3,F55/(1+0.085)^4,G55/(1+0.085)^5)+(H55/(0.085-0.025))*(1/(1+0.085)^5)-B79+B80)/B83</f>
        <v>176.149685287933</v>
      </c>
      <c r="D121" s="31" t="n">
        <f aca="false">(SUM(C55/(1+0.085)^1,D55/(1+0.085)^2,E55/(1+0.085)^3,F55/(1+0.085)^4,G55/(1+0.085)^5)+(H55/(0.085-0.03))*(1/(1+0.085)^5)-B79+B80)/B83</f>
        <v>189.594452096312</v>
      </c>
      <c r="E121" s="31" t="n">
        <f aca="false">(SUM(C55/(1+0.085)^1,D55/(1+0.085)^2,E55/(1+0.085)^3,F55/(1+0.085)^4,G55/(1+0.085)^5)+(H55/(0.085-0.035))*(1/(1+0.085)^5)-B79+B80)/B83</f>
        <v>205.728172266366</v>
      </c>
      <c r="F121" s="31" t="n">
        <f aca="false">(SUM(C55/(1+0.085)^1,D55/(1+0.085)^2,E55/(1+0.085)^3,F55/(1+0.085)^4,G55/(1+0.085)^5)+(H55/(0.085-0.04))*(1/(1+0.085)^5)-B79+B80)/B83</f>
        <v>225.447163585322</v>
      </c>
    </row>
    <row r="122" customFormat="false" ht="15" hidden="false" customHeight="false" outlineLevel="0" collapsed="false">
      <c r="A122" s="30" t="n">
        <v>0.09</v>
      </c>
      <c r="B122" s="31" t="n">
        <f aca="false">(SUM(C55/(1+0.09)^1,D55/(1+0.09)^2,E55/(1+0.09)^3,F55/(1+0.09)^4,G55/(1+0.09)^5)+(H55/(0.09-0.02))*(1/(1+0.09)^5)-B79+B80)/B83</f>
        <v>151.736538898041</v>
      </c>
      <c r="C122" s="31" t="n">
        <f aca="false">(SUM(C55/(1+0.09)^1,D55/(1+0.09)^2,E55/(1+0.09)^3,F55/(1+0.09)^4,G55/(1+0.09)^5)+(H55/(0.09-0.025))*(1/(1+0.09)^5)-B79+B80)/B83</f>
        <v>161.266080678602</v>
      </c>
      <c r="D122" s="31" t="n">
        <f aca="false">(SUM(C55/(1+0.09)^1,D55/(1+0.09)^2,E55/(1+0.09)^3,F55/(1+0.09)^4,G55/(1+0.09)^5)+(H55/(0.09-0.03))*(1/(1+0.09)^5)-B79+B80)/B83</f>
        <v>172.38387942259</v>
      </c>
      <c r="E122" s="31" t="n">
        <f aca="false">(SUM(C55/(1+0.09)^1,D55/(1+0.09)^2,E55/(1+0.09)^3,F55/(1+0.09)^4,G55/(1+0.09)^5)+(H55/(0.09-0.035))*(1/(1+0.09)^5)-B79+B80)/B83</f>
        <v>185.523096120031</v>
      </c>
      <c r="F122" s="31" t="n">
        <f aca="false">(SUM(C55/(1+0.09)^1,D55/(1+0.09)^2,E55/(1+0.09)^3,F55/(1+0.09)^4,G55/(1+0.09)^5)+(H55/(0.09-0.04))*(1/(1+0.09)^5)-B79+B80)/B83</f>
        <v>201.290156156959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32" t="s">
        <v>101</v>
      </c>
    </row>
    <row r="4" customFormat="false" ht="15" hidden="false" customHeight="false" outlineLevel="0" collapsed="false">
      <c r="A4" s="6" t="s">
        <v>102</v>
      </c>
    </row>
    <row r="5" customFormat="false" ht="15" hidden="false" customHeight="false" outlineLevel="0" collapsed="false">
      <c r="A5" s="0" t="s">
        <v>103</v>
      </c>
      <c r="B5" s="0" t="s">
        <v>104</v>
      </c>
    </row>
    <row r="6" customFormat="false" ht="15" hidden="false" customHeight="false" outlineLevel="0" collapsed="false">
      <c r="A6" s="0" t="s">
        <v>105</v>
      </c>
      <c r="B6" s="0" t="s">
        <v>106</v>
      </c>
    </row>
    <row r="7" customFormat="false" ht="15" hidden="false" customHeight="false" outlineLevel="0" collapsed="false">
      <c r="A7" s="0" t="s">
        <v>107</v>
      </c>
      <c r="B7" s="0" t="s">
        <v>108</v>
      </c>
    </row>
    <row r="8" customFormat="false" ht="15" hidden="false" customHeight="false" outlineLevel="0" collapsed="false">
      <c r="A8" s="0" t="s">
        <v>109</v>
      </c>
      <c r="B8" s="0" t="s">
        <v>110</v>
      </c>
    </row>
    <row r="10" customFormat="false" ht="15" hidden="false" customHeight="false" outlineLevel="0" collapsed="false">
      <c r="A10" s="6" t="s">
        <v>111</v>
      </c>
    </row>
    <row r="11" customFormat="false" ht="15" hidden="false" customHeight="false" outlineLevel="0" collapsed="false">
      <c r="A11" s="0" t="s">
        <v>112</v>
      </c>
      <c r="B11" s="0" t="s">
        <v>113</v>
      </c>
    </row>
    <row r="12" customFormat="false" ht="15" hidden="false" customHeight="false" outlineLevel="0" collapsed="false">
      <c r="A12" s="0" t="s">
        <v>114</v>
      </c>
      <c r="B12" s="0" t="s">
        <v>115</v>
      </c>
    </row>
    <row r="13" customFormat="false" ht="15" hidden="false" customHeight="false" outlineLevel="0" collapsed="false">
      <c r="A13" s="0" t="s">
        <v>116</v>
      </c>
      <c r="B13" s="0" t="s">
        <v>117</v>
      </c>
    </row>
    <row r="14" customFormat="false" ht="15" hidden="false" customHeight="false" outlineLevel="0" collapsed="false">
      <c r="A14" s="0" t="s">
        <v>118</v>
      </c>
      <c r="B14" s="0" t="s">
        <v>119</v>
      </c>
    </row>
    <row r="16" customFormat="false" ht="15" hidden="false" customHeight="false" outlineLevel="0" collapsed="false">
      <c r="A16" s="6" t="s">
        <v>120</v>
      </c>
    </row>
    <row r="17" customFormat="false" ht="15" hidden="false" customHeight="false" outlineLevel="0" collapsed="false">
      <c r="A17" s="0" t="s">
        <v>121</v>
      </c>
      <c r="B17" s="0" t="s">
        <v>122</v>
      </c>
    </row>
    <row r="18" customFormat="false" ht="15" hidden="false" customHeight="false" outlineLevel="0" collapsed="false">
      <c r="A18" s="0" t="s">
        <v>123</v>
      </c>
      <c r="B18" s="0" t="s">
        <v>124</v>
      </c>
    </row>
    <row r="19" customFormat="false" ht="15" hidden="false" customHeight="false" outlineLevel="0" collapsed="false">
      <c r="A19" s="0" t="s">
        <v>125</v>
      </c>
      <c r="B19" s="0" t="s">
        <v>126</v>
      </c>
    </row>
    <row r="21" customFormat="false" ht="15" hidden="false" customHeight="false" outlineLevel="0" collapsed="false">
      <c r="A21" s="6" t="s">
        <v>127</v>
      </c>
    </row>
    <row r="22" customFormat="false" ht="15" hidden="false" customHeight="false" outlineLevel="0" collapsed="false">
      <c r="A22" s="0" t="s">
        <v>11</v>
      </c>
      <c r="B22" s="0" t="s">
        <v>128</v>
      </c>
    </row>
    <row r="23" customFormat="false" ht="15" hidden="false" customHeight="false" outlineLevel="0" collapsed="false">
      <c r="A23" s="0" t="s">
        <v>12</v>
      </c>
      <c r="B23" s="0" t="s">
        <v>129</v>
      </c>
    </row>
    <row r="24" customFormat="false" ht="15" hidden="false" customHeight="false" outlineLevel="0" collapsed="false">
      <c r="A24" s="0" t="s">
        <v>13</v>
      </c>
      <c r="B24" s="0" t="s">
        <v>130</v>
      </c>
    </row>
    <row r="26" customFormat="false" ht="15" hidden="false" customHeight="false" outlineLevel="0" collapsed="false">
      <c r="A26" s="6" t="s">
        <v>131</v>
      </c>
    </row>
    <row r="27" customFormat="false" ht="15" hidden="false" customHeight="false" outlineLevel="0" collapsed="false">
      <c r="B27" s="0" t="s">
        <v>132</v>
      </c>
    </row>
    <row r="28" customFormat="false" ht="15" hidden="false" customHeight="false" outlineLevel="0" collapsed="false">
      <c r="B28" s="0" t="s">
        <v>133</v>
      </c>
    </row>
    <row r="29" customFormat="false" ht="15" hidden="false" customHeight="false" outlineLevel="0" collapsed="false">
      <c r="B29" s="0" t="s">
        <v>134</v>
      </c>
    </row>
    <row r="30" customFormat="false" ht="15" hidden="false" customHeight="false" outlineLevel="0" collapsed="false">
      <c r="B30" s="0" t="s">
        <v>135</v>
      </c>
    </row>
    <row r="31" customFormat="false" ht="15" hidden="false" customHeight="false" outlineLevel="0" collapsed="false">
      <c r="B31" s="0" t="s">
        <v>136</v>
      </c>
    </row>
    <row r="33" customFormat="false" ht="15" hidden="false" customHeight="false" outlineLevel="0" collapsed="false">
      <c r="A33" s="6" t="s">
        <v>137</v>
      </c>
    </row>
    <row r="34" customFormat="false" ht="15" hidden="false" customHeight="false" outlineLevel="0" collapsed="false">
      <c r="B34" s="0" t="s">
        <v>138</v>
      </c>
    </row>
    <row r="35" customFormat="false" ht="15" hidden="false" customHeight="false" outlineLevel="0" collapsed="false">
      <c r="B35" s="0" t="s">
        <v>139</v>
      </c>
    </row>
    <row r="36" customFormat="false" ht="15" hidden="false" customHeight="false" outlineLevel="0" collapsed="false">
      <c r="B36" s="0" t="s">
        <v>140</v>
      </c>
    </row>
    <row r="37" customFormat="false" ht="15" hidden="false" customHeight="false" outlineLevel="0" collapsed="false">
      <c r="B37" s="0" t="s">
        <v>141</v>
      </c>
    </row>
    <row r="38" customFormat="false" ht="15" hidden="false" customHeight="false" outlineLevel="0" collapsed="false">
      <c r="B38" s="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2026-01-06T18:54:32Z</dcterms:created>
  <dc:creator>openpyxl</dc:creator>
  <dc:description/>
  <dc:language>en-US</dc:language>
  <cp:lastModifiedBy/>
  <dcterms:modified xsi:type="dcterms:W3CDTF">2026-01-06T18:54:32Z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