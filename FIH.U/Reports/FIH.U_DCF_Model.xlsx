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PS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Philosoph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0.00&quot;x&quot;"/>
    <numFmt numFmtId="168" formatCode="0.000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  <u val="singl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fe6e9"/>
        <bgColor rgb="00dfe6e9"/>
      </patternFill>
    </fill>
    <fill>
      <patternFill patternType="solid">
        <fgColor rgb="002d3436"/>
        <bgColor rgb="002d3436"/>
      </patternFill>
    </fill>
    <fill>
      <patternFill patternType="solid">
        <fgColor rgb="0000b894"/>
        <bgColor rgb="0000b894"/>
      </patternFill>
    </fill>
  </fills>
  <borders count="2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4" fillId="3" borderId="1" pivotButton="0" quotePrefix="0" xfId="0"/>
    <xf numFmtId="164" fontId="0" fillId="0" borderId="1" pivotButton="0" quotePrefix="0" xfId="0"/>
    <xf numFmtId="168" fontId="0" fillId="0" borderId="1" pivotButton="0" quotePrefix="0" xfId="0"/>
    <xf numFmtId="167" fontId="0" fillId="0" borderId="1" pivotButton="0" quotePrefix="0" xfId="0"/>
    <xf numFmtId="0" fontId="5" fillId="0" borderId="0" pivotButton="0" quotePrefix="0" xfId="0"/>
    <xf numFmtId="164" fontId="4" fillId="4" borderId="1" pivotButton="0" quotePrefix="0" xfId="0"/>
    <xf numFmtId="166" fontId="0" fillId="0" borderId="1" pivotButton="0" quotePrefix="0" xfId="0"/>
    <xf numFmtId="1" fontId="0" fillId="2" borderId="1" pivotButton="0" quotePrefix="0" xfId="0"/>
    <xf numFmtId="0" fontId="0" fillId="0" borderId="0" applyAlignment="1" pivotButton="0" quotePrefix="0" xfId="0">
      <alignment vertical="top" wrapText="1"/>
    </xf>
    <xf numFmtId="167" fontId="4" fillId="3" borderId="1" pivotButton="0" quotePrefix="0" xfId="0"/>
    <xf numFmtId="166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FIH.U - Fairfax India Holdings - Book Value Growth Model</t>
        </is>
      </c>
    </row>
    <row r="2">
      <c r="A2" s="2" t="inlineStr">
        <is>
          <t>Holdco valuation: BVPS projected forward, exit at Price/Book multiple, discounted at Cost of Equity</t>
        </is>
      </c>
    </row>
    <row r="3">
      <c r="A3" s="2" t="inlineStr">
        <is>
          <t>Gray cells = INPUTS (editable). Green cells = calculated outputs. No FCF DCF used - see 'Philosophy' tab.</t>
        </is>
      </c>
    </row>
    <row r="5">
      <c r="A5" s="3" t="inlineStr">
        <is>
          <t>KEY INPUTS</t>
        </is>
      </c>
    </row>
    <row r="6">
      <c r="A6" t="inlineStr">
        <is>
          <t>Current Stock Price ($)</t>
        </is>
      </c>
      <c r="B6" s="4" t="n">
        <v>17.85</v>
      </c>
    </row>
    <row r="7">
      <c r="A7" t="inlineStr">
        <is>
          <t>Shares Outstanding (M)</t>
        </is>
      </c>
      <c r="B7" s="5" t="n">
        <v>134.2</v>
      </c>
    </row>
    <row r="8">
      <c r="A8" t="inlineStr">
        <is>
          <t>Current BVPS - Q1 2026 ($)</t>
        </is>
      </c>
      <c r="B8" s="4" t="n">
        <v>19.08</v>
      </c>
    </row>
    <row r="9">
      <c r="A9" t="inlineStr">
        <is>
          <t>FY2025 BVPS ($, for reference)</t>
        </is>
      </c>
      <c r="B9" s="4" t="n">
        <v>22.94</v>
      </c>
    </row>
    <row r="11">
      <c r="A11" t="inlineStr">
        <is>
          <t>Annual BVPS Growth Rate (Base)</t>
        </is>
      </c>
      <c r="B11" s="6" t="n">
        <v>0.08500000000000001</v>
      </c>
    </row>
    <row r="12">
      <c r="A12" t="inlineStr">
        <is>
          <t>Exit Price/Book Multiple (Base)</t>
        </is>
      </c>
      <c r="B12" s="7" t="n">
        <v>0.8</v>
      </c>
    </row>
    <row r="13">
      <c r="A13" t="inlineStr">
        <is>
          <t>Cost of Equity / WACC (Base)</t>
        </is>
      </c>
      <c r="B13" s="6" t="n">
        <v>0.11</v>
      </c>
    </row>
    <row r="15">
      <c r="A15" s="3" t="inlineStr">
        <is>
          <t>BVPS PROJECTION - BASE CASE</t>
        </is>
      </c>
    </row>
    <row r="16">
      <c r="A16" t="inlineStr"/>
      <c r="B16" s="8" t="inlineStr">
        <is>
          <t>Year 0 (Q1-2026)</t>
        </is>
      </c>
      <c r="C16" s="8" t="inlineStr">
        <is>
          <t>Year 1</t>
        </is>
      </c>
      <c r="D16" s="8" t="inlineStr">
        <is>
          <t>Year 2</t>
        </is>
      </c>
      <c r="E16" s="8" t="inlineStr">
        <is>
          <t>Year 3</t>
        </is>
      </c>
      <c r="F16" s="8" t="inlineStr">
        <is>
          <t>Year 4</t>
        </is>
      </c>
      <c r="G16" s="8" t="inlineStr">
        <is>
          <t>Year 5</t>
        </is>
      </c>
    </row>
    <row r="17">
      <c r="A17" t="inlineStr">
        <is>
          <t>Projected BVPS ($)</t>
        </is>
      </c>
      <c r="B17" s="9">
        <f>B8</f>
        <v/>
      </c>
      <c r="C17" s="9">
        <f>B17*(1+$B$11)</f>
        <v/>
      </c>
      <c r="D17" s="9">
        <f>C17*(1+$B$11)</f>
        <v/>
      </c>
      <c r="E17" s="9">
        <f>D17*(1+$B$11)</f>
        <v/>
      </c>
      <c r="F17" s="9">
        <f>E17*(1+$B$11)</f>
        <v/>
      </c>
      <c r="G17" s="9">
        <f>F17*(1+$B$11)</f>
        <v/>
      </c>
    </row>
    <row r="18">
      <c r="A18" t="inlineStr">
        <is>
          <t>Discount Factor (at Cost of Equity)</t>
        </is>
      </c>
      <c r="C18" s="10">
        <f>1/(1+$B$13)^1</f>
        <v/>
      </c>
      <c r="D18" s="10">
        <f>1/(1+$B$13)^2</f>
        <v/>
      </c>
      <c r="E18" s="10">
        <f>1/(1+$B$13)^3</f>
        <v/>
      </c>
      <c r="F18" s="10">
        <f>1/(1+$B$13)^4</f>
        <v/>
      </c>
      <c r="G18" s="10">
        <f>1/(1+$B$13)^5</f>
        <v/>
      </c>
    </row>
    <row r="20">
      <c r="A20" s="3" t="inlineStr">
        <is>
          <t>VALUATION - BASE CASE</t>
        </is>
      </c>
    </row>
    <row r="21">
      <c r="A21" t="inlineStr">
        <is>
          <t>BVPS at Year 5 ($)</t>
        </is>
      </c>
      <c r="B21" s="9">
        <f>G17</f>
        <v/>
      </c>
    </row>
    <row r="22">
      <c r="A22" t="inlineStr">
        <is>
          <t>Exit Price/Book Multiple</t>
        </is>
      </c>
      <c r="B22" s="11">
        <f>B12</f>
        <v/>
      </c>
    </row>
    <row r="23">
      <c r="A23" t="inlineStr">
        <is>
          <t>Exit Value per Share ($)</t>
        </is>
      </c>
      <c r="B23" s="9">
        <f>B21*B22</f>
        <v/>
      </c>
    </row>
    <row r="24">
      <c r="A24" t="inlineStr">
        <is>
          <t>Discount Factor (Year 5)</t>
        </is>
      </c>
      <c r="B24" s="10">
        <f>G18</f>
        <v/>
      </c>
    </row>
    <row r="25">
      <c r="A25" s="12" t="inlineStr">
        <is>
          <t>INTRINSIC VALUE PER SHARE</t>
        </is>
      </c>
      <c r="B25" s="13">
        <f>B23*B24</f>
        <v/>
      </c>
    </row>
    <row r="26">
      <c r="A26" t="inlineStr">
        <is>
          <t>Current Price ($)</t>
        </is>
      </c>
      <c r="B26" s="9">
        <f>B6</f>
        <v/>
      </c>
    </row>
    <row r="27">
      <c r="A27" t="inlineStr">
        <is>
          <t>Upside / (Downside) to IV</t>
        </is>
      </c>
      <c r="B27" s="14">
        <f>(B25-B6)/B6</f>
        <v/>
      </c>
    </row>
    <row r="28">
      <c r="A28" t="inlineStr">
        <is>
          <t>Implied P/B on Current BVPS</t>
        </is>
      </c>
      <c r="B28" s="11">
        <f>B25/B8</f>
        <v/>
      </c>
    </row>
    <row r="30">
      <c r="A30" s="3" t="inlineStr">
        <is>
          <t>ENTRY PRICE (15% CAGR Target, Base Case)</t>
        </is>
      </c>
    </row>
    <row r="31">
      <c r="A31" t="inlineStr">
        <is>
          <t>Exit Value per Share (Year 5, undiscounted)</t>
        </is>
      </c>
      <c r="B31" s="9">
        <f>B23</f>
        <v/>
      </c>
    </row>
    <row r="32">
      <c r="A32" t="inlineStr">
        <is>
          <t>Years to Exit</t>
        </is>
      </c>
      <c r="B32" s="15" t="n">
        <v>5</v>
      </c>
    </row>
    <row r="33">
      <c r="A33" t="inlineStr">
        <is>
          <t>Entry Price for 15% CAGR</t>
        </is>
      </c>
      <c r="B33" s="13">
        <f>B31/(1.15^B32)</f>
        <v/>
      </c>
    </row>
    <row r="34">
      <c r="A34" t="inlineStr">
        <is>
          <t>Entry Price Discount vs Current</t>
        </is>
      </c>
      <c r="B34" s="14">
        <f>(B33-B6)/B6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FIH.U - Scenario Comparison</t>
        </is>
      </c>
    </row>
    <row r="3">
      <c r="A3" s="8" t="inlineStr">
        <is>
          <t>Assumption / Output</t>
        </is>
      </c>
      <c r="B3" s="8" t="inlineStr">
        <is>
          <t>Bear</t>
        </is>
      </c>
      <c r="C3" s="8" t="inlineStr">
        <is>
          <t>Base</t>
        </is>
      </c>
      <c r="D3" s="8" t="inlineStr">
        <is>
          <t>Bull</t>
        </is>
      </c>
    </row>
    <row r="4">
      <c r="A4" t="inlineStr">
        <is>
          <t>Starting BVPS ($, Q1 2026)</t>
        </is>
      </c>
      <c r="B4" s="9">
        <f>'BVPS Model'!$B$8</f>
        <v/>
      </c>
      <c r="C4" s="9">
        <f>'BVPS Model'!$B$8</f>
        <v/>
      </c>
      <c r="D4" s="9">
        <f>'BVPS Model'!$B$8</f>
        <v/>
      </c>
    </row>
    <row r="5">
      <c r="A5" t="inlineStr">
        <is>
          <t>Annual BVPS Growth Rate</t>
        </is>
      </c>
      <c r="B5" s="6" t="n">
        <v>0.045</v>
      </c>
      <c r="C5" s="6" t="n">
        <v>0.08500000000000001</v>
      </c>
      <c r="D5" s="6" t="n">
        <v>0.12</v>
      </c>
    </row>
    <row r="6">
      <c r="A6" t="inlineStr">
        <is>
          <t>Exit Price/Book Multiple</t>
        </is>
      </c>
      <c r="B6" s="7" t="n">
        <v>0.65</v>
      </c>
      <c r="C6" s="7" t="n">
        <v>0.8</v>
      </c>
      <c r="D6" s="7" t="n">
        <v>0.95</v>
      </c>
    </row>
    <row r="7">
      <c r="A7" t="inlineStr">
        <is>
          <t>Cost of Equity (WACC)</t>
        </is>
      </c>
      <c r="B7" s="6" t="n">
        <v>0.13</v>
      </c>
      <c r="C7" s="6" t="n">
        <v>0.11</v>
      </c>
      <c r="D7" s="6" t="n">
        <v>0.1</v>
      </c>
    </row>
    <row r="9">
      <c r="A9" t="inlineStr">
        <is>
          <t>BVPS at Year 5 ($)</t>
        </is>
      </c>
      <c r="B9" s="9">
        <f>B4*(1+B5)^5</f>
        <v/>
      </c>
      <c r="C9" s="9">
        <f>C4*(1+C5)^5</f>
        <v/>
      </c>
      <c r="D9" s="9">
        <f>D4*(1+D5)^5</f>
        <v/>
      </c>
    </row>
    <row r="10">
      <c r="A10" t="inlineStr">
        <is>
          <t>Exit Value per Share ($)</t>
        </is>
      </c>
      <c r="B10" s="9">
        <f>B9*B6</f>
        <v/>
      </c>
      <c r="C10" s="9">
        <f>C9*C6</f>
        <v/>
      </c>
      <c r="D10" s="9">
        <f>D9*D6</f>
        <v/>
      </c>
    </row>
    <row r="11">
      <c r="A11" t="inlineStr">
        <is>
          <t>Discount Factor (Year 5)</t>
        </is>
      </c>
      <c r="B11" s="10">
        <f>1/(1+B7)^5</f>
        <v/>
      </c>
      <c r="C11" s="10">
        <f>1/(1+C7)^5</f>
        <v/>
      </c>
      <c r="D11" s="10">
        <f>1/(1+D7)^5</f>
        <v/>
      </c>
    </row>
    <row r="12">
      <c r="A12" s="12" t="inlineStr">
        <is>
          <t>INTRINSIC VALUE PER SHARE</t>
        </is>
      </c>
      <c r="B12" s="13">
        <f>B10*B11</f>
        <v/>
      </c>
      <c r="C12" s="13">
        <f>C10*C11</f>
        <v/>
      </c>
      <c r="D12" s="13">
        <f>D10*D11</f>
        <v/>
      </c>
    </row>
    <row r="13">
      <c r="A13" t="inlineStr">
        <is>
          <t>Current Price ($)</t>
        </is>
      </c>
      <c r="B13" s="9">
        <f>'BVPS Model'!$B$6</f>
        <v/>
      </c>
      <c r="C13" s="9">
        <f>'BVPS Model'!$B$6</f>
        <v/>
      </c>
      <c r="D13" s="9">
        <f>'BVPS Model'!$B$6</f>
        <v/>
      </c>
    </row>
    <row r="14">
      <c r="A14" t="inlineStr">
        <is>
          <t>Upside / (Downside)</t>
        </is>
      </c>
      <c r="B14" s="14">
        <f>(B12-B13)/B13</f>
        <v/>
      </c>
      <c r="C14" s="14">
        <f>(C12-C13)/C13</f>
        <v/>
      </c>
      <c r="D14" s="14">
        <f>(D12-D13)/D13</f>
        <v/>
      </c>
    </row>
    <row r="15">
      <c r="A15" t="inlineStr">
        <is>
          <t>Entry Price (15% CAGR)</t>
        </is>
      </c>
      <c r="B15" s="9">
        <f>B10/(1.15^5)</f>
        <v/>
      </c>
      <c r="C15" s="9">
        <f>C10/(1.15^5)</f>
        <v/>
      </c>
      <c r="D15" s="9">
        <f>D10/(1.15^5)</f>
        <v/>
      </c>
    </row>
    <row r="17">
      <c r="A17" s="3" t="inlineStr">
        <is>
          <t>PROBABILITY-WEIGHTED VALUE</t>
        </is>
      </c>
    </row>
    <row r="18">
      <c r="A18" t="inlineStr">
        <is>
          <t>Scenario Weight</t>
        </is>
      </c>
      <c r="B18" s="6" t="n">
        <v>0.25</v>
      </c>
      <c r="C18" s="6" t="n">
        <v>0.5</v>
      </c>
      <c r="D18" s="6" t="n">
        <v>0.25</v>
      </c>
    </row>
    <row r="19">
      <c r="A19" t="inlineStr">
        <is>
          <t>Weighted Intrinsic Value</t>
        </is>
      </c>
      <c r="B19" s="13">
        <f>SUMPRODUCT(B12:D12,B18:D18)</f>
        <v/>
      </c>
    </row>
    <row r="20">
      <c r="A20" t="inlineStr">
        <is>
          <t>Weighted Upside vs Current</t>
        </is>
      </c>
      <c r="B20" s="14">
        <f>(B19-'BVPS Model'!$B$6)/'BVPS Model'!$B$6</f>
        <v/>
      </c>
    </row>
    <row r="22">
      <c r="A22" s="3" t="inlineStr">
        <is>
          <t>Scenario Notes</t>
        </is>
      </c>
    </row>
    <row r="23" ht="70" customHeight="1">
      <c r="A23" s="12" t="inlineStr">
        <is>
          <t>Bear:</t>
        </is>
      </c>
      <c r="B23" s="16" t="inlineStr">
        <is>
          <t>BVPS compounds only ~4.5%/yr - rupee depreciation accelerates (as seen in Q1 2026's -5.2% single-quarter move), the Anchorage/BIAL IPO is shelved again past the September 2026 long-stop (as happened with the prior long-stop), Indian public holdings (IIFL Finance, CSB Bank, 5paisa, Fairchem) stay in a bear market, and further impairments occur (as with Sanmar sold well below carrying value in April 2026). Exit P/B falls to 0.65x, a 2020-style trough discount reflecting a loss of market confidence in Level-3 private marks.</t>
        </is>
      </c>
    </row>
    <row r="24" ht="70" customHeight="1">
      <c r="A24" s="12" t="inlineStr">
        <is>
          <t>Base:</t>
        </is>
      </c>
      <c r="B24" s="16" t="inlineStr">
        <is>
          <t>BVPS compounds ~8.5%/yr - between the 5yr (7.0%) and 10yr (9.2%) historical CAGR, reflecting India nominal GDP growth (~10-11%) less structural rupee depreciation (~2-3%/yr) less base+performance fee drag (~1.5%/yr), applied uniformly across 5 years (no deceleration needed since this is already a blended/normalized rate). Exit P/B of 0.80x reflects the persistent discount to book the stock has traded at every year since 2019 (versus 1.05-1.4x in the 2015-2018 period) - i.e., the market does NOT re-rate to book value even if BVPS keeps compounding.</t>
        </is>
      </c>
    </row>
    <row r="25" ht="70" customHeight="1">
      <c r="A25" s="12" t="inlineStr">
        <is>
          <t>Bull:</t>
        </is>
      </c>
      <c r="B25" s="16" t="inlineStr">
        <is>
          <t>BVPS compounds 12%/yr - the Anchorage/BIAL IPO (long-stop September 16, 2026) crystallizes value and shifts ~85% of the portfolio to public mark-to-market (from 31% today), Indian public-holdings marks recover from the Q1 2026 trough, and continued accretive buybacks below book add per-share value. Exit P/B narrows to 0.95x as the IPO catalyst plus improved earnings transparency closes most (not all) of the historical discount.</t>
        </is>
      </c>
    </row>
  </sheetData>
  <mergeCells count="3">
    <mergeCell ref="B23:E23"/>
    <mergeCell ref="B25:E25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Analysis - Base Case</t>
        </is>
      </c>
    </row>
    <row r="2">
      <c r="A2" s="2" t="inlineStr">
        <is>
          <t>Intrinsic Value ($/share) by Cost of Equity (rows) x Exit Price/Book Multiple (columns)</t>
        </is>
      </c>
    </row>
    <row r="3">
      <c r="A3" s="2" t="inlineStr">
        <is>
          <t>Uses Base-case Year-5 BVPS. Axis 2 is EXIT P/B (not Gordon-growth terminal growth) since there is no perpetuity FCF.</t>
        </is>
      </c>
    </row>
    <row r="5">
      <c r="A5" s="8" t="inlineStr">
        <is>
          <t>Cost of Equity \ Exit P/B</t>
        </is>
      </c>
      <c r="B5" s="17" t="n">
        <v>0.65</v>
      </c>
      <c r="C5" s="17" t="n">
        <v>0.75</v>
      </c>
      <c r="D5" s="17" t="n">
        <v>0.8</v>
      </c>
      <c r="E5" s="17" t="n">
        <v>0.85</v>
      </c>
      <c r="F5" s="17" t="n">
        <v>0.95</v>
      </c>
    </row>
    <row r="6">
      <c r="A6" s="18" t="n">
        <v>0.09</v>
      </c>
      <c r="B6" s="9">
        <f>'BVPS Model'!$B$21*B$5/(1+$A6)^5</f>
        <v/>
      </c>
      <c r="C6" s="9">
        <f>'BVPS Model'!$B$21*C$5/(1+$A6)^5</f>
        <v/>
      </c>
      <c r="D6" s="9">
        <f>'BVPS Model'!$B$21*D$5/(1+$A6)^5</f>
        <v/>
      </c>
      <c r="E6" s="9">
        <f>'BVPS Model'!$B$21*E$5/(1+$A6)^5</f>
        <v/>
      </c>
      <c r="F6" s="9">
        <f>'BVPS Model'!$B$21*F$5/(1+$A6)^5</f>
        <v/>
      </c>
    </row>
    <row r="7">
      <c r="A7" s="18" t="n">
        <v>0.1</v>
      </c>
      <c r="B7" s="9">
        <f>'BVPS Model'!$B$21*B$5/(1+$A7)^5</f>
        <v/>
      </c>
      <c r="C7" s="9">
        <f>'BVPS Model'!$B$21*C$5/(1+$A7)^5</f>
        <v/>
      </c>
      <c r="D7" s="9">
        <f>'BVPS Model'!$B$21*D$5/(1+$A7)^5</f>
        <v/>
      </c>
      <c r="E7" s="9">
        <f>'BVPS Model'!$B$21*E$5/(1+$A7)^5</f>
        <v/>
      </c>
      <c r="F7" s="9">
        <f>'BVPS Model'!$B$21*F$5/(1+$A7)^5</f>
        <v/>
      </c>
    </row>
    <row r="8">
      <c r="A8" s="18" t="n">
        <v>0.11</v>
      </c>
      <c r="B8" s="9">
        <f>'BVPS Model'!$B$21*B$5/(1+$A8)^5</f>
        <v/>
      </c>
      <c r="C8" s="9">
        <f>'BVPS Model'!$B$21*C$5/(1+$A8)^5</f>
        <v/>
      </c>
      <c r="D8" s="9">
        <f>'BVPS Model'!$B$21*D$5/(1+$A8)^5</f>
        <v/>
      </c>
      <c r="E8" s="9">
        <f>'BVPS Model'!$B$21*E$5/(1+$A8)^5</f>
        <v/>
      </c>
      <c r="F8" s="9">
        <f>'BVPS Model'!$B$21*F$5/(1+$A8)^5</f>
        <v/>
      </c>
    </row>
    <row r="9">
      <c r="A9" s="18" t="n">
        <v>0.12</v>
      </c>
      <c r="B9" s="9">
        <f>'BVPS Model'!$B$21*B$5/(1+$A9)^5</f>
        <v/>
      </c>
      <c r="C9" s="9">
        <f>'BVPS Model'!$B$21*C$5/(1+$A9)^5</f>
        <v/>
      </c>
      <c r="D9" s="9">
        <f>'BVPS Model'!$B$21*D$5/(1+$A9)^5</f>
        <v/>
      </c>
      <c r="E9" s="9">
        <f>'BVPS Model'!$B$21*E$5/(1+$A9)^5</f>
        <v/>
      </c>
      <c r="F9" s="9">
        <f>'BVPS Model'!$B$21*F$5/(1+$A9)^5</f>
        <v/>
      </c>
    </row>
    <row r="10">
      <c r="A10" s="18" t="n">
        <v>0.13</v>
      </c>
      <c r="B10" s="9">
        <f>'BVPS Model'!$B$21*B$5/(1+$A10)^5</f>
        <v/>
      </c>
      <c r="C10" s="9">
        <f>'BVPS Model'!$B$21*C$5/(1+$A10)^5</f>
        <v/>
      </c>
      <c r="D10" s="9">
        <f>'BVPS Model'!$B$21*D$5/(1+$A10)^5</f>
        <v/>
      </c>
      <c r="E10" s="9">
        <f>'BVPS Model'!$B$21*E$5/(1+$A10)^5</f>
        <v/>
      </c>
      <c r="F10" s="9">
        <f>'BVPS Model'!$B$21*F$5/(1+$A10)^5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Historical BVPS &amp; Book Value Growth</t>
        </is>
      </c>
    </row>
    <row r="3">
      <c r="A3" s="8" t="inlineStr">
        <is>
          <t>Period</t>
        </is>
      </c>
      <c r="B3" s="8" t="inlineStr">
        <is>
          <t>BVPS ($)</t>
        </is>
      </c>
      <c r="C3" s="8" t="inlineStr">
        <is>
          <t>Shareholders Equity ($M)</t>
        </is>
      </c>
      <c r="D3" s="8" t="inlineStr">
        <is>
          <t>Net Earnings ($M)</t>
        </is>
      </c>
    </row>
    <row r="4">
      <c r="A4" t="inlineStr">
        <is>
          <t>FY2015</t>
        </is>
      </c>
      <c r="B4" s="9" t="n">
        <v>9.5</v>
      </c>
      <c r="C4" s="19" t="n">
        <v>1013.3</v>
      </c>
      <c r="D4" s="19" t="n">
        <v>40.9</v>
      </c>
    </row>
    <row r="5">
      <c r="A5" t="inlineStr">
        <is>
          <t>FY2016</t>
        </is>
      </c>
      <c r="B5" s="9" t="n">
        <v>10.25</v>
      </c>
      <c r="C5" s="19" t="n">
        <v>1075.4</v>
      </c>
      <c r="D5" s="19" t="n">
        <v>107.8</v>
      </c>
    </row>
    <row r="6">
      <c r="A6" t="inlineStr">
        <is>
          <t>FY2017</t>
        </is>
      </c>
      <c r="B6" s="9" t="n">
        <v>14.46</v>
      </c>
      <c r="C6" s="19" t="n">
        <v>2132.5</v>
      </c>
      <c r="D6" s="19" t="n">
        <v>452.5</v>
      </c>
    </row>
    <row r="7">
      <c r="A7" t="inlineStr">
        <is>
          <t>FY2018</t>
        </is>
      </c>
      <c r="B7" s="9" t="n">
        <v>13.86</v>
      </c>
      <c r="C7" s="19" t="n">
        <v>2117.9</v>
      </c>
      <c r="D7" s="19" t="n">
        <v>96.40000000000001</v>
      </c>
    </row>
    <row r="8">
      <c r="A8" t="inlineStr">
        <is>
          <t>FY2019</t>
        </is>
      </c>
      <c r="B8" s="9" t="n">
        <v>16.89</v>
      </c>
      <c r="C8" s="19" t="n">
        <v>2577.9</v>
      </c>
      <c r="D8" s="19" t="n">
        <v>516.3</v>
      </c>
    </row>
    <row r="9">
      <c r="A9" t="inlineStr">
        <is>
          <t>FY2020</t>
        </is>
      </c>
      <c r="B9" s="9" t="n">
        <v>16.37</v>
      </c>
      <c r="C9" s="19" t="n">
        <v>2446.9</v>
      </c>
      <c r="D9" s="19" t="n">
        <v>-41.5</v>
      </c>
    </row>
    <row r="10">
      <c r="A10" t="inlineStr">
        <is>
          <t>FY2021</t>
        </is>
      </c>
      <c r="B10" s="9" t="n">
        <v>19.65</v>
      </c>
      <c r="C10" s="19" t="n">
        <v>2774.8</v>
      </c>
      <c r="D10" s="19" t="n">
        <v>494.5</v>
      </c>
    </row>
    <row r="11">
      <c r="A11" t="inlineStr">
        <is>
          <t>FY2022</t>
        </is>
      </c>
      <c r="B11" s="9" t="n">
        <v>19.11</v>
      </c>
      <c r="C11" s="19" t="n">
        <v>2642</v>
      </c>
      <c r="D11" s="19" t="n">
        <v>191.4</v>
      </c>
    </row>
    <row r="12">
      <c r="A12" t="inlineStr">
        <is>
          <t>FY2023</t>
        </is>
      </c>
      <c r="B12" s="9" t="n">
        <v>21.85</v>
      </c>
      <c r="C12" s="19" t="n">
        <v>2958.7</v>
      </c>
      <c r="D12" s="19" t="n">
        <v>371.8</v>
      </c>
    </row>
    <row r="13">
      <c r="A13" t="inlineStr">
        <is>
          <t>FY2024</t>
        </is>
      </c>
      <c r="B13" s="9" t="n">
        <v>20.96</v>
      </c>
      <c r="C13" s="19" t="n">
        <v>2826.5</v>
      </c>
      <c r="D13" s="19" t="n">
        <v>-41.2</v>
      </c>
    </row>
    <row r="14">
      <c r="A14" t="inlineStr">
        <is>
          <t>FY2025</t>
        </is>
      </c>
      <c r="B14" s="9" t="n">
        <v>22.94</v>
      </c>
      <c r="C14" s="19" t="n">
        <v>3079.6</v>
      </c>
      <c r="D14" s="19" t="n">
        <v>410.5</v>
      </c>
    </row>
    <row r="15">
      <c r="A15" t="inlineStr">
        <is>
          <t>Q1 2026</t>
        </is>
      </c>
      <c r="B15" s="9" t="n">
        <v>19.08</v>
      </c>
      <c r="C15" s="19" t="n">
        <v>2560.4</v>
      </c>
      <c r="D15" s="19" t="n">
        <v>-364.4</v>
      </c>
    </row>
    <row r="17">
      <c r="A17" s="12" t="inlineStr">
        <is>
          <t>BVPS CAGR 2015-2025 (10yr)</t>
        </is>
      </c>
      <c r="B17" s="14">
        <f>(B14/B4)^(1/10)-1</f>
        <v/>
      </c>
    </row>
    <row r="18">
      <c r="A18" s="12" t="inlineStr">
        <is>
          <t>BVPS CAGR 2020-2025 (5yr)</t>
        </is>
      </c>
      <c r="B18" s="14">
        <f>(B14/B9)^(1/5)-1</f>
        <v/>
      </c>
    </row>
    <row r="20">
      <c r="A20" s="2" t="inlineStr">
        <is>
          <t>Note: Net Earnings are mark-to-market portfolio gains/losses, NOT operating FCF.</t>
        </is>
      </c>
    </row>
  </sheetData>
  <mergeCells count="1"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FIH.U - Valuation Philosophy &amp; Sanity Check</t>
        </is>
      </c>
    </row>
    <row r="3">
      <c r="A3" s="3" t="inlineStr">
        <is>
          <t>WHY NOT A CONVENTIONAL FCF DCF</t>
        </is>
      </c>
    </row>
    <row r="4" ht="90" customHeight="1">
      <c r="A4" s="16" t="inlineStr">
        <is>
          <t>FCF DCF requires (1) operating cash generation distinct from investment marks, and (2) a stable margin/reinvestment structure to project forward. Fairfax India has neither: cash flow statement items are dominated by portfolio purchases/sales and mark-to-market non-cash items, and the 'business' is capital allocation into a concentrated, illiquid basket of Indian private and public holdings (BIAL alone ~55-62% of portfolio value) rather than a scalable operating model with a repeatable unit economics.</t>
        </is>
      </c>
    </row>
    <row r="6">
      <c r="A6" s="3" t="inlineStr">
        <is>
          <t>METHODOLOGY SUMMARY</t>
        </is>
      </c>
    </row>
    <row r="7" ht="200" customHeight="1">
      <c r="A7" s="16" t="inlineStr">
        <is>
          <t>Fairfax India is a permanent-capital investment holding company, not an operating business - it has no product revenue, no operating margin, and no free cash flow to discount. Reported 'net earnings' are unrealized/realized mark-to-market swings on a ~70% privately-valued (Level 3, internal DCF) portfolio of Indian equity and infrastructure stakes, and have ranged from -$364M to +$411M across the last five reported periods alone. Attempting a conventional revenue-growth/FCF-margin DCF on this entity would either double-count value already embedded in Level-3 marks or produce a meaningless output driven by noise in quarterly realized/unrealized gains. Instead, the company's own primary performance metric - Book Value Per Share - is projected forward using a growth rate anchored to its 10-year (9.2%) and 5-year (7.0%) historical CAGRs, net of the base+performance fee drag already embedded in reported BVPS. A scenario-specific EXIT PRICE-TO-BOOK multiple, calibrated to the stock's own trading history (1.05-1.4x at IPO/peak, but a persistent 0.6-0.85x discount every year since 2019), converts the projected Year-5 BVPS into an expected per-share market value; that value is discounted back 5 years at a cost-of-equity rate built up from risk-free + equity risk premium + small-cap + EM + Level-3-opacity components. The exit P/B multiple functions as the terminal value mechanism - there is no separate Gordon-growth perpetuity calculation, because there is no perpetual free cash flow stream to grow.</t>
        </is>
      </c>
    </row>
    <row r="9">
      <c r="A9" s="3" t="inlineStr">
        <is>
          <t>COST OF EQUITY RATIONALE</t>
        </is>
      </c>
    </row>
    <row r="10" ht="120" customHeight="1">
      <c r="A10" s="16" t="inlineStr">
        <is>
          <t>Built up from: risk-free rate (~4.3% US 10yr, since USD-reporting) + equity risk premium (~5%) + small/mid-cap size premium (~1.5%) + emerging-market/India-specific premium (~1.5%) + governance/Level-3 valuation-opacity premium (~1%) + controlled-company (Fairfax 95.3% voting control vs 43.6% equity interest) discount-rate premium, netted against the diversification benefit of a multi-asset portfolio versus a single operating company. Bull case uses 10% (IPO catalyst reduces valuation-opacity premium); bear case uses 13% (elevated EM/currency/execution risk premium in a stress scenario). For reference, BIAL itself (the largest single holding) is internally DCF'd by the company at 12.2%-17.2% after-tax discount rates, consistent with the range used here at the holdco level.</t>
        </is>
      </c>
    </row>
    <row r="12">
      <c r="A12" s="3" t="inlineStr">
        <is>
          <t>SANITY CHECK</t>
        </is>
      </c>
    </row>
    <row r="13" ht="140" customHeight="1">
      <c r="A13" s="16" t="inlineStr">
        <is>
          <t>Base-case IV of $13.62 implies 0.71x current BVPS ($19.08) and 0.59x FY2025 BVPS ($22.94) - both comfortably within, or below, the persistent 2019-2025 trading range of 0.6x-0.85x book, which is the expected result of discounting a 0.80x exit multiple back 5 years at 11% cost of equity. Bull case ($19.83) implies 1.04x current BVPS, at the high end of the historical range but still below the 2017-2018 peak of ~1.35x, consistent with a partial (not full) re-rating on the IPO catalyst. Bear case ($8.39) implies 0.44x current BVPS, below even the 2020 COVID trough of 0.60x, appropriately reflecting a severe stress scenario (IPO shelved again + accelerated rupee depreciation + Level-3 mark confidence crisis).</t>
        </is>
      </c>
    </row>
    <row r="15">
      <c r="A15" s="2" t="inlineStr">
        <is>
          <t>Historical Price/Book Range: IPO 2015 ~1.05x | Peak 2017-18 ~1.35x | Post-2019 persistent 0.60x-0.85x | 2020 trough 0.60x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2026-07-18T00:07:16Z</dcterms:created>
  <dcterms:modified xmlns:dcterms="http://purl.org/dc/terms/" xmlns:xsi="http://www.w3.org/2001/XMLSchema-instance" xsi:type="dcterms:W3CDTF">2026-07-18T00:07:16Z</dcterms:modified>
</cp:coreProperties>
</file>