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  <sheet name="WACC &amp; Assumptions" sheetId="5" r:id="rId5"/>
  </sheets>
  <calcPr calcId="124519" fullCalcOnLoad="1"/>
</workbook>
</file>

<file path=xl/sharedStrings.xml><?xml version="1.0" encoding="utf-8"?>
<sst xmlns="http://schemas.openxmlformats.org/spreadsheetml/2006/main" count="323" uniqueCount="273">
  <si>
    <t>TAH.NZ — Third Age Health Services DCF Valuation</t>
  </si>
  <si>
    <t>Base Case  |  NZD 000s  |  Shaded grey cells are INPUTS — change them to see results update</t>
  </si>
  <si>
    <t>Valuation date: 2026-06-25  |  Current Price: NZD $4.40  |  Shares: 9,954k</t>
  </si>
  <si>
    <t>KEY INPUTS</t>
  </si>
  <si>
    <t>Current Stock Price (NZD)</t>
  </si>
  <si>
    <t>Shares Outstanding (000s)</t>
  </si>
  <si>
    <t>Cash &amp; Equivalents (NZD 000s)</t>
  </si>
  <si>
    <t>Bank Debt (NZD 000s)</t>
  </si>
  <si>
    <t>Net Financial Debt (000s) [=Debt - Cash]</t>
  </si>
  <si>
    <t>Lease Liabilities (IFRS16, note only)</t>
  </si>
  <si>
    <t>Base Year FCF (NZD 000s) [FY26E normalised]</t>
  </si>
  <si>
    <t>DISCOUNT RATE ASSUMPTIONS</t>
  </si>
  <si>
    <t>WACC</t>
  </si>
  <si>
    <t>Terminal Growth Rate</t>
  </si>
  <si>
    <t>YEAR 1-5 FCF GROWTH RATES</t>
  </si>
  <si>
    <t>Year 1</t>
  </si>
  <si>
    <t>Year 2</t>
  </si>
  <si>
    <t>Year 3</t>
  </si>
  <si>
    <t>Year 4</t>
  </si>
  <si>
    <t>Year 5</t>
  </si>
  <si>
    <t>FCF Growth Rate (adjust here)</t>
  </si>
  <si>
    <t>FREE CASH FLOW PROJECTIONS</t>
  </si>
  <si>
    <t>Beginning FCF (NZD 000s)</t>
  </si>
  <si>
    <t>Base FCF</t>
  </si>
  <si>
    <t>Projected FCF (NZD 000s)</t>
  </si>
  <si>
    <t>Discount Factor</t>
  </si>
  <si>
    <t>PV of FCF (NZD 000s)</t>
  </si>
  <si>
    <t>TERMINAL VALUE &amp; EQUITY VALUATION</t>
  </si>
  <si>
    <t>Sum of PV of FCF (NZD 000s)</t>
  </si>
  <si>
    <t>Terminal Year FCF x (1+g)</t>
  </si>
  <si>
    <t>Terminal Value (NZD 000s)</t>
  </si>
  <si>
    <t>PV of Terminal Value (NZD 000s)</t>
  </si>
  <si>
    <t>Enterprise Value (NZD 000s)</t>
  </si>
  <si>
    <t>Less: Net Financial Debt (000s)</t>
  </si>
  <si>
    <t>Equity Value (NZD 000s)</t>
  </si>
  <si>
    <t>INTRINSIC VALUE PER SHARE (NZD)</t>
  </si>
  <si>
    <t>Upside / (Downside) vs $4.40</t>
  </si>
  <si>
    <t>ENTRY PRICE FOR 15% CAGR TARGET</t>
  </si>
  <si>
    <t>Terminal Value per Share (NZD)</t>
  </si>
  <si>
    <t>Entry Price (15% CAGR over 5 years)</t>
  </si>
  <si>
    <t>Entry Price vs Current ($4.40)</t>
  </si>
  <si>
    <t>NOTES</t>
  </si>
  <si>
    <t>- All figures in NZD thousands (000s) except per-share amounts and percentages</t>
  </si>
  <si>
    <t>- WACC 14.5% includes premiums: NZ small-cap base (11.5%) + single-payer +1% + workforce +0.5% + illiquidity +1% + integration +0.5%</t>
  </si>
  <si>
    <t>- Base FCF $3,200k = FY26E normalised (~15% FCF margin on $21.5M revenue). FY25 FCF $3,549k excluded as peak-cycle.</t>
  </si>
  <si>
    <t>- Growth rates 10%-&gt;4% reflect organic ARC growth (~6-8%) + modest bolt-on M&amp;A, decelerating toward terminal 3%</t>
  </si>
  <si>
    <t>- Lease liabilities (IFRS16, $2,428k) treated as operating leases; excluded from financial net debt calculation</t>
  </si>
  <si>
    <t>TAH.NZ — Bear / Base / Bull Scenario Comparison</t>
  </si>
  <si>
    <t>NZD 000s where noted. Static values from DCF model. See DCF Model sheet for interactive base case.</t>
  </si>
  <si>
    <t>Scenario</t>
  </si>
  <si>
    <t>BEAR</t>
  </si>
  <si>
    <t>BASE</t>
  </si>
  <si>
    <t>BULL</t>
  </si>
  <si>
    <t>16.0%</t>
  </si>
  <si>
    <t>14.5%</t>
  </si>
  <si>
    <t>13.0%</t>
  </si>
  <si>
    <t>2.0%</t>
  </si>
  <si>
    <t>3.0%</t>
  </si>
  <si>
    <t>3.5%</t>
  </si>
  <si>
    <t>Y1 FCF Growth</t>
  </si>
  <si>
    <t>5.0%</t>
  </si>
  <si>
    <t>10.0%</t>
  </si>
  <si>
    <t>15.0%</t>
  </si>
  <si>
    <t>Y2 FCF Growth</t>
  </si>
  <si>
    <t>4.0%</t>
  </si>
  <si>
    <t>9.0%</t>
  </si>
  <si>
    <t>Y3 FCF Growth</t>
  </si>
  <si>
    <t>7.0%</t>
  </si>
  <si>
    <t>11.0%</t>
  </si>
  <si>
    <t>Y4 FCF Growth</t>
  </si>
  <si>
    <t>Y5 FCF Growth</t>
  </si>
  <si>
    <t>1.0%</t>
  </si>
  <si>
    <t>FCF Margin (approx.)</t>
  </si>
  <si>
    <t>13%</t>
  </si>
  <si>
    <t>15%</t>
  </si>
  <si>
    <t>17%</t>
  </si>
  <si>
    <t>Description</t>
  </si>
  <si>
    <t>Funding freeze + workforce collapse</t>
  </si>
  <si>
    <t>Organic growth + modest M&amp;A</t>
  </si>
  <si>
    <t>Capitation reweighting + M&amp;A success</t>
  </si>
  <si>
    <t>Y1 Projected FCF ($000s)</t>
  </si>
  <si>
    <t>3,360</t>
  </si>
  <si>
    <t>3,520</t>
  </si>
  <si>
    <t>3,680</t>
  </si>
  <si>
    <t>Y2 Projected FCF ($000s)</t>
  </si>
  <si>
    <t>3,494</t>
  </si>
  <si>
    <t>3,837</t>
  </si>
  <si>
    <t>4,158</t>
  </si>
  <si>
    <t>Y3 Projected FCF ($000s)</t>
  </si>
  <si>
    <t>3,599</t>
  </si>
  <si>
    <t>4,105</t>
  </si>
  <si>
    <t>4,616</t>
  </si>
  <si>
    <t>Y4 Projected FCF ($000s)</t>
  </si>
  <si>
    <t>3,671</t>
  </si>
  <si>
    <t>4,311</t>
  </si>
  <si>
    <t>5,031</t>
  </si>
  <si>
    <t>Y5 Projected FCF ($000s)</t>
  </si>
  <si>
    <t>3,708</t>
  </si>
  <si>
    <t>4,483</t>
  </si>
  <si>
    <t>5,383</t>
  </si>
  <si>
    <t>Sum PV of FCF ($000s)</t>
  </si>
  <si>
    <t>11,592</t>
  </si>
  <si>
    <t>13,522</t>
  </si>
  <si>
    <t>15,721</t>
  </si>
  <si>
    <t>Terminal Value ($000s)</t>
  </si>
  <si>
    <t>27,015</t>
  </si>
  <si>
    <t>40,153</t>
  </si>
  <si>
    <t>58,651</t>
  </si>
  <si>
    <t>PV of Terminal Value ($000s)</t>
  </si>
  <si>
    <t>12,862</t>
  </si>
  <si>
    <t>20,403</t>
  </si>
  <si>
    <t>31,834</t>
  </si>
  <si>
    <t>Enterprise Value ($000s)</t>
  </si>
  <si>
    <t>24,455</t>
  </si>
  <si>
    <t>33,924</t>
  </si>
  <si>
    <t>47,555</t>
  </si>
  <si>
    <t>Net Financial Debt ($000s)</t>
  </si>
  <si>
    <t>-500</t>
  </si>
  <si>
    <t>Equity Value ($000s)</t>
  </si>
  <si>
    <t>24,955</t>
  </si>
  <si>
    <t>34,424</t>
  </si>
  <si>
    <t>48,055</t>
  </si>
  <si>
    <t>INTRINSIC VALUE / SHARE</t>
  </si>
  <si>
    <t>$2.51</t>
  </si>
  <si>
    <t>$3.46</t>
  </si>
  <si>
    <t>$4.83</t>
  </si>
  <si>
    <t>-43.0%</t>
  </si>
  <si>
    <t>-21.4%</t>
  </si>
  <si>
    <t>+9.7%</t>
  </si>
  <si>
    <t>Entry Price (15% CAGR, 5yr)</t>
  </si>
  <si>
    <t>$1.35</t>
  </si>
  <si>
    <t>$2.01</t>
  </si>
  <si>
    <t>$2.93</t>
  </si>
  <si>
    <t>Terminal Value per Share</t>
  </si>
  <si>
    <t>$2.71</t>
  </si>
  <si>
    <t>$4.03</t>
  </si>
  <si>
    <t>$5.89</t>
  </si>
  <si>
    <t>Probability Weight</t>
  </si>
  <si>
    <t>25%</t>
  </si>
  <si>
    <t>50%</t>
  </si>
  <si>
    <t>Probability-Weighted IV</t>
  </si>
  <si>
    <t>$3.56</t>
  </si>
  <si>
    <t>TAH.NZ — Sensitivity: Intrinsic Value (NZD/share) by WACC &amp; Terminal Growth</t>
  </si>
  <si>
    <t>Base FCF $3,200k  |  Growth rates: Y1 10%, Y2 9%, Y3 7%, Y4 5%, Y5 4%  |  Net cash $500k  |  Shares 9,954k</t>
  </si>
  <si>
    <t>WACC  \  Term. Growth</t>
  </si>
  <si>
    <t>2.5%</t>
  </si>
  <si>
    <t>12.0%</t>
  </si>
  <si>
    <t>Green = above current price ($4.40) | Blue = between $3.00 and $4.40 | Red = below $3.00 | Bold green = base case</t>
  </si>
  <si>
    <t>Sensitivity uses static formula values. For live sensitivity, adjust WACC and Terminal Growth in DCF Model sheet.</t>
  </si>
  <si>
    <t>LIVE SENSITIVITY — linked to DCF Model inputs</t>
  </si>
  <si>
    <t>Note: These values use the base-case growth rates from the DCF Model sheet but vary WACC and terminal growth statically.</t>
  </si>
  <si>
    <t>Live sensitivity updates when you change FCF growth rates in the DCF Model sheet.</t>
  </si>
  <si>
    <t>TAH.NZ — Historical Financial Data &amp; Valuation Multiples</t>
  </si>
  <si>
    <t>Figures in NZD 000s unless noted. Source: Annual Reports FY2017-FY2025 + H1 FY2026.</t>
  </si>
  <si>
    <t>Metric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</si>
  <si>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</si>
  <si>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</si>
  <si>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</si>
  <si>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</si>
  <si>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</si>
  <si>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</si>
  <si>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</si>
  <si>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</si>
  <si>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</si>
  <si>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H1 FY26</t>
  </si>
  <si>
    <t>Revenue ($000s)</t>
  </si>
  <si>
    <t>EBITDA ($000s)</t>
  </si>
  <si>
    <t>Net Income ($000s)</t>
  </si>
  <si>
    <t>Free Cash Flow ($000s)</t>
  </si>
  <si>
    <t>Shareholders Equity ($000s)</t>
  </si>
  <si>
    <t>FCF Margin (%)</t>
  </si>
  <si>
    <t>EBITDA Margin (%)</t>
  </si>
  <si>
    <t>Net Margin (%)</t>
  </si>
  <si>
    <t>HISTORICAL GROWTH RATES</t>
  </si>
  <si>
    <t>3-Year CAGR</t>
  </si>
  <si>
    <t>5-Year CAGR</t>
  </si>
  <si>
    <t>Note</t>
  </si>
  <si>
    <t>Revenue</t>
  </si>
  <si>
    <t>ACQUISITION-DISTORTED — cannot use for organic growth forecasting</t>
  </si>
  <si>
    <t>EPS</t>
  </si>
  <si>
    <t>Diluted by acquisition costs in FY23; improving FY24-25</t>
  </si>
  <si>
    <t>Shareholders Equity</t>
  </si>
  <si>
    <t>5yr inflated by negative equity base in FY2020 ($861k); use cautiously</t>
  </si>
  <si>
    <t>Free Cash Flow</t>
  </si>
  <si>
    <t>FY22 and FY23 depressed (deal costs); high base effect in FY25</t>
  </si>
  <si>
    <t>SELECTED ORGANIC GROWTH</t>
  </si>
  <si>
    <t>Custom estimate: organic ARC patient growth + capitation uplift, ex-M&amp;A</t>
  </si>
  <si>
    <t>HISTORICAL TRADING MULTIPLES (NZX FY-end prices)</t>
  </si>
  <si>
    <t>Period</t>
  </si>
  <si>
    <t>FY-End Price</t>
  </si>
  <si>
    <t>P/E</t>
  </si>
  <si>
    <t>EV/EBITDA</t>
  </si>
  <si>
    <t>P/Sales</t>
  </si>
  <si>
    <t>P/Book</t>
  </si>
  <si>
    <t>16.4x</t>
  </si>
  <si>
    <t>9.5x</t>
  </si>
  <si>
    <t>3.3x</t>
  </si>
  <si>
    <t>9.2x</t>
  </si>
  <si>
    <t>19.4x</t>
  </si>
  <si>
    <t>12.7x</t>
  </si>
  <si>
    <t>3.9x</t>
  </si>
  <si>
    <t>8.5x</t>
  </si>
  <si>
    <t>30.5x</t>
  </si>
  <si>
    <t>1.19x</t>
  </si>
  <si>
    <t>5.2x</t>
  </si>
  <si>
    <t>10.8x</t>
  </si>
  <si>
    <t>4.9x</t>
  </si>
  <si>
    <t>0.99x</t>
  </si>
  <si>
    <t>5.1x</t>
  </si>
  <si>
    <t>13.3x</t>
  </si>
  <si>
    <t>6.3x</t>
  </si>
  <si>
    <t>1.63x</t>
  </si>
  <si>
    <t>7.8x</t>
  </si>
  <si>
    <t>Current $4.40 (FY26E)</t>
  </si>
  <si>
    <t>14.1x</t>
  </si>
  <si>
    <t>8.0x</t>
  </si>
  <si>
    <t>2.04x</t>
  </si>
  <si>
    <t>8.1x</t>
  </si>
  <si>
    <t>FY23 P/E of 30.5x is outlier (EastMed/DFM acquisition costs depressed earnings). FY24 P/Sales 0.99x anomalously low.</t>
  </si>
  <si>
    <t>Sanity check: Base IV $3.46 implies EV/EBITDA 6.3x, P/E 11.1x, P/Sales 1.6x — all within historical ranges. PASS.</t>
  </si>
  <si>
    <t>TAH.NZ — WACC Construction &amp; Scenario Assumptions</t>
  </si>
  <si>
    <t>Rationale for discount rate and growth rate selection.</t>
  </si>
  <si>
    <t>WACC CONSTRUCTION (BASE CASE)</t>
  </si>
  <si>
    <t>Component</t>
  </si>
  <si>
    <t>Rate</t>
  </si>
  <si>
    <t>Rationale</t>
  </si>
  <si>
    <t>NZ Small-Cap Base WACC</t>
  </si>
  <si>
    <t>11.5%</t>
  </si>
  <si>
    <t>Midpoint of 11-12% NZ small-cap equity risk range</t>
  </si>
  <si>
    <t>+ Single-payer funding concentration</t>
  </si>
  <si>
    <t>+1.0%</t>
  </si>
  <si>
    <t>100% revenue from Health NZ/PHOs; under Commissioner control; price-taker</t>
  </si>
  <si>
    <t>+ Clinical workforce constraint</t>
  </si>
  <si>
    <t>+0.5%</t>
  </si>
  <si>
    <t>GP shortage structural; growth ceiling constrained; wage inflation structural</t>
  </si>
  <si>
    <t>+ Micro-cap illiquidity premium</t>
  </si>
  <si>
    <t>Market cap ~NZD 44M (vs $300M threshold); thin NZX trading; limited inst. coverage</t>
  </si>
  <si>
    <t>+ Acquisition integration complexity</t>
  </si>
  <si>
    <t>4 acquisitions in 18 months; 67-80% minority structures; EastMed loss-making at NCI</t>
  </si>
  <si>
    <t>Applied to Base scenario DCF</t>
  </si>
  <si>
    <t>Bull Case WACC</t>
  </si>
  <si>
    <t>Partial premium compression: capitation success + scale growth toward $50M+ revenue</t>
  </si>
  <si>
    <t>Bear Case WACC</t>
  </si>
  <si>
    <t>Escalated: funding deterioration or workforce crisis materialises</t>
  </si>
  <si>
    <t>FCF NORMALISATION RATIONALE</t>
  </si>
  <si>
    <t>FCF Measure</t>
  </si>
  <si>
    <t>Amount</t>
  </si>
  <si>
    <t>FY2025 FCF (peak)</t>
  </si>
  <si>
    <t>$3,549k</t>
  </si>
  <si>
    <t>FCF margin 18.6% — near-peak after sharp margin expansion; not sustainable as perpetual base</t>
  </si>
  <si>
    <t>H1 FY26 FCF (annualised)</t>
  </si>
  <si>
    <t>$2,760k</t>
  </si>
  <si>
    <t>FCF margin 13.0% — partly seasonal; H2 typically stronger; captures FY26 start of "difficult" year</t>
  </si>
  <si>
    <t>FY26E Prelim NPAT</t>
  </si>
  <si>
    <t>$3,100k</t>
  </si>
  <si>
    <t>Prelim unaudited; implies strong FCF conversion similar to FY25 ~95%</t>
  </si>
  <si>
    <t>SELECTED BASE FCF</t>
  </si>
  <si>
    <t>$3,200k</t>
  </si>
  <si>
    <t>FY26E estimate; FCF margin ~15% on ~$21.5M revenue; mid-cycle between peak and H1 run-rate</t>
  </si>
  <si>
    <t>Mid-cycle avg FY21-FY25</t>
  </si>
  <si>
    <t>$1,880k</t>
  </si>
  <si>
    <t>Simple average; understates current scale but confirms conservative approach appropriate</t>
  </si>
  <si>
    <t>GROWTH RATE SELECTION RATIONALE</t>
  </si>
  <si>
    <t>Why standard CAGRs cannot be used:</t>
  </si>
  <si>
    <t>- Revenue 3yr CAGR 47.9%, FCF 3yr CAGR 50.7%: acquisition-dominated (DFM/EastMed FY23, Hub FY24, ARC Health/Cicada FY26)</t>
  </si>
  <si>
    <t>- Revenue 5yr CAGR 29.4%: includes same inorganic bolts; diverges 71% from Equity CAGR -&gt; FLAGGED</t>
  </si>
  <si>
    <t>- Equity CAGR distorted by negative equity base (FY17-FY19) and rapid retained earnings in post-listing years</t>
  </si>
  <si>
    <t>Selected growth framework:</t>
  </si>
  <si>
    <t>Organic ARC patient growth ~3.7% (H1 FY26) + capitation uplift 9.69% (FY26) = combined ~10-13% near term</t>
  </si>
  <si>
    <t>Through-cycle organic estimate 6-8% pa (demographics + partial capitation formula benefit)</t>
  </si>
  <si>
    <t>Bolt-on M&amp;A adds ~2pp in active acquisition years (modelled conservatively)</t>
  </si>
  <si>
    <t>FY27 management guidance explicitly "difficult" -&gt; decelerate quickly from Y1 10% toward 4% by Y5</t>
  </si>
  <si>
    <t>Terminal growth 3%: NZ demographic tailwind (~2-3% population growth in 65+ cohort) moderating at maturity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</si>
</sst>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"/>
    <numFmt numFmtId="166" formatCode="0.0%"/>
  </numFmts>
  <fonts count="9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D5F5E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6" fontId="0" fillId="2" borderId="2" xfId="0" applyNumberForma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165" fontId="0" fillId="5" borderId="2" xfId="0" applyNumberFormat="1" applyFill="1" applyBorder="1" applyAlignment="1">
      <alignment horizontal="right"/>
    </xf>
    <xf numFmtId="0" fontId="5" fillId="0" borderId="0" xfId="0" applyFont="1"/>
    <xf numFmtId="164" fontId="4" fillId="6" borderId="2" xfId="0" applyNumberFormat="1" applyFont="1" applyFill="1" applyBorder="1" applyAlignment="1">
      <alignment horizontal="right"/>
    </xf>
    <xf numFmtId="166" fontId="4" fillId="6" borderId="2" xfId="0" applyNumberFormat="1" applyFont="1" applyFill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4" fontId="4" fillId="7" borderId="2" xfId="0" applyNumberFormat="1" applyFont="1" applyFill="1" applyBorder="1" applyAlignment="1">
      <alignment horizontal="right"/>
    </xf>
    <xf numFmtId="166" fontId="4" fillId="7" borderId="2" xfId="0" applyNumberFormat="1" applyFont="1" applyFill="1" applyBorder="1" applyAlignment="1">
      <alignment horizontal="right"/>
    </xf>
    <xf numFmtId="0" fontId="6" fillId="0" borderId="0" xfId="0" applyFont="1" applyAlignment="1">
      <alignment wrapText="1"/>
    </xf>
    <xf numFmtId="0" fontId="4" fillId="4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7" fillId="0" borderId="0" xfId="0" applyFont="1"/>
    <xf numFmtId="165" fontId="0" fillId="9" borderId="2" xfId="0" applyNumberFormat="1" applyFill="1" applyBorder="1" applyAlignment="1">
      <alignment horizontal="right"/>
    </xf>
    <xf numFmtId="165" fontId="0" fillId="10" borderId="2" xfId="0" applyNumberFormat="1" applyFill="1" applyBorder="1" applyAlignment="1">
      <alignment horizontal="right"/>
    </xf>
    <xf numFmtId="164" fontId="0" fillId="9" borderId="2" xfId="0" applyNumberFormat="1" applyFill="1" applyBorder="1" applyAlignment="1">
      <alignment horizontal="right"/>
    </xf>
    <xf numFmtId="164" fontId="0" fillId="5" borderId="2" xfId="0" applyNumberFormat="1" applyFill="1" applyBorder="1" applyAlignment="1">
      <alignment horizontal="right"/>
    </xf>
    <xf numFmtId="164" fontId="0" fillId="10" borderId="2" xfId="0" applyNumberFormat="1" applyFill="1" applyBorder="1" applyAlignment="1">
      <alignment horizontal="right"/>
    </xf>
    <xf numFmtId="166" fontId="0" fillId="9" borderId="2" xfId="0" applyNumberFormat="1" applyFill="1" applyBorder="1" applyAlignment="1">
      <alignment horizontal="right"/>
    </xf>
    <xf numFmtId="166" fontId="0" fillId="5" borderId="2" xfId="0" applyNumberFormat="1" applyFill="1" applyBorder="1" applyAlignment="1">
      <alignment horizontal="right"/>
    </xf>
    <xf numFmtId="166" fontId="0" fillId="10" borderId="2" xfId="0" applyNumberForma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984E3"/>
  </sheetPr>
  <dimension ref="A1:G50"/>
  <sheetViews>
    <sheetView tabSelected="1" workbookViewId="0"/>
  </sheetViews>
  <sheetFormatPr defaultRowHeight="15"/>
  <cols>
    <col min="1" max="1" width="30.7109375" customWidth="1"/>
    <col min="2" max="2" width="16.7109375" customWidth="1"/>
    <col min="3" max="7" width="13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6" spans="1:2">
      <c r="A6" s="3" t="s">
        <v>3</v>
      </c>
    </row>
    <row r="7" spans="1:2">
      <c r="A7" t="s">
        <v>4</v>
      </c>
      <c r="B7" s="4">
        <v>4.4</v>
      </c>
    </row>
    <row r="8" spans="1:2">
      <c r="A8" t="s">
        <v>5</v>
      </c>
      <c r="B8" s="5">
        <v>9954</v>
      </c>
    </row>
    <row r="9" spans="1:2">
      <c r="A9" t="s">
        <v>6</v>
      </c>
      <c r="B9" s="5">
        <v>1650</v>
      </c>
    </row>
    <row r="10" spans="1:2">
      <c r="A10" t="s">
        <v>7</v>
      </c>
      <c r="B10" s="5">
        <v>1150</v>
      </c>
    </row>
    <row r="11" spans="1:2">
      <c r="A11" t="s">
        <v>8</v>
      </c>
      <c r="B11" s="6">
        <f>B10-B9</f>
        <v>0</v>
      </c>
    </row>
    <row r="12" spans="1:2">
      <c r="A12" t="s">
        <v>9</v>
      </c>
      <c r="B12" s="7">
        <v>2428</v>
      </c>
    </row>
    <row r="13" spans="1:2">
      <c r="A13" t="s">
        <v>10</v>
      </c>
      <c r="B13" s="5">
        <v>3200</v>
      </c>
    </row>
    <row r="15" spans="1:2">
      <c r="A15" s="3" t="s">
        <v>11</v>
      </c>
    </row>
    <row r="16" spans="1:2">
      <c r="A16" t="s">
        <v>12</v>
      </c>
      <c r="B16" s="8">
        <v>0.145</v>
      </c>
    </row>
    <row r="17" spans="1:7">
      <c r="A17" t="s">
        <v>13</v>
      </c>
      <c r="B17" s="8">
        <v>0.03</v>
      </c>
    </row>
    <row r="19" spans="1:7">
      <c r="A19" s="3" t="s">
        <v>14</v>
      </c>
    </row>
    <row r="20" spans="1:7">
      <c r="B20" s="9" t="s">
        <v>15</v>
      </c>
      <c r="C20" s="9" t="s">
        <v>16</v>
      </c>
      <c r="D20" s="9" t="s">
        <v>17</v>
      </c>
      <c r="E20" s="9" t="s">
        <v>18</v>
      </c>
      <c r="F20" s="9" t="s">
        <v>19</v>
      </c>
    </row>
    <row r="21" spans="1:7">
      <c r="A21" t="s">
        <v>20</v>
      </c>
      <c r="B21" s="8">
        <v>0.1</v>
      </c>
      <c r="C21" s="8">
        <v>0.09</v>
      </c>
      <c r="D21" s="8">
        <v>0.07000000000000001</v>
      </c>
      <c r="E21" s="8">
        <v>0.05</v>
      </c>
      <c r="F21" s="8">
        <v>0.04</v>
      </c>
    </row>
    <row r="23" spans="1:7">
      <c r="A23" s="3" t="s">
        <v>21</v>
      </c>
    </row>
    <row r="24" spans="1:7">
      <c r="A24" t="s">
        <v>22</v>
      </c>
      <c r="B24" s="9" t="s">
        <v>23</v>
      </c>
      <c r="C24" s="9" t="s">
        <v>15</v>
      </c>
      <c r="D24" s="9" t="s">
        <v>16</v>
      </c>
      <c r="E24" s="9" t="s">
        <v>17</v>
      </c>
      <c r="F24" s="9" t="s">
        <v>18</v>
      </c>
      <c r="G24" s="9" t="s">
        <v>19</v>
      </c>
    </row>
    <row r="25" spans="1:7">
      <c r="A25" t="s">
        <v>24</v>
      </c>
      <c r="B25" s="10">
        <f>$B$13</f>
        <v>0</v>
      </c>
      <c r="C25" s="10">
        <f>$B$13*(1+C$21)</f>
        <v>0</v>
      </c>
      <c r="D25" s="10">
        <f>C25*(1+D$21)</f>
        <v>0</v>
      </c>
      <c r="E25" s="10">
        <f>D25*(1+E$21)</f>
        <v>0</v>
      </c>
      <c r="F25" s="10">
        <f>E25*(1+F$21)</f>
        <v>0</v>
      </c>
      <c r="G25" s="10">
        <f>F25*(1+G$21)</f>
        <v>0</v>
      </c>
    </row>
    <row r="26" spans="1:7">
      <c r="A26" t="s">
        <v>25</v>
      </c>
      <c r="B26" s="7"/>
      <c r="C26" s="10">
        <f>1/(1+$B$16)^1</f>
        <v>0</v>
      </c>
      <c r="D26" s="10">
        <f>1/(1+$B$16)^2</f>
        <v>0</v>
      </c>
      <c r="E26" s="10">
        <f>1/(1+$B$16)^3</f>
        <v>0</v>
      </c>
      <c r="F26" s="10">
        <f>1/(1+$B$16)^4</f>
        <v>0</v>
      </c>
      <c r="G26" s="10">
        <f>1/(1+$B$16)^5</f>
        <v>0</v>
      </c>
    </row>
    <row r="27" spans="1:7">
      <c r="A27" t="s">
        <v>26</v>
      </c>
      <c r="B27" s="7"/>
      <c r="C27" s="10">
        <f>C25*C26</f>
        <v>0</v>
      </c>
      <c r="D27" s="10">
        <f>D25*D26</f>
        <v>0</v>
      </c>
      <c r="E27" s="10">
        <f>E25*E26</f>
        <v>0</v>
      </c>
      <c r="F27" s="10">
        <f>F25*F26</f>
        <v>0</v>
      </c>
      <c r="G27" s="10">
        <f>G25*G26</f>
        <v>0</v>
      </c>
    </row>
    <row r="29" spans="1:7">
      <c r="A29" s="3" t="s">
        <v>27</v>
      </c>
    </row>
    <row r="30" spans="1:7">
      <c r="A30" t="s">
        <v>28</v>
      </c>
      <c r="B30" s="6">
        <f>SUM(C27:G27)</f>
        <v>0</v>
      </c>
    </row>
    <row r="31" spans="1:7">
      <c r="A31" t="s">
        <v>29</v>
      </c>
      <c r="B31" s="6">
        <f>G25*(1+$B$17)</f>
        <v>0</v>
      </c>
    </row>
    <row r="32" spans="1:7">
      <c r="A32" t="s">
        <v>30</v>
      </c>
      <c r="B32" s="6">
        <f>B31/($B$16-$B$17)</f>
        <v>0</v>
      </c>
    </row>
    <row r="33" spans="1:2">
      <c r="A33" t="s">
        <v>31</v>
      </c>
      <c r="B33" s="6">
        <f>B32*G26</f>
        <v>0</v>
      </c>
    </row>
    <row r="34" spans="1:2">
      <c r="A34" t="s">
        <v>32</v>
      </c>
      <c r="B34" s="6">
        <f>B30+B33</f>
        <v>0</v>
      </c>
    </row>
    <row r="35" spans="1:2">
      <c r="A35" t="s">
        <v>33</v>
      </c>
      <c r="B35" s="6">
        <f>B11</f>
        <v>0</v>
      </c>
    </row>
    <row r="36" spans="1:2">
      <c r="A36" t="s">
        <v>34</v>
      </c>
      <c r="B36" s="6">
        <f>B34-B35</f>
        <v>0</v>
      </c>
    </row>
    <row r="37" spans="1:2">
      <c r="A37" s="11" t="s">
        <v>35</v>
      </c>
      <c r="B37" s="12">
        <f>B36/$B$8</f>
        <v>0</v>
      </c>
    </row>
    <row r="38" spans="1:2">
      <c r="A38" t="s">
        <v>36</v>
      </c>
      <c r="B38" s="13">
        <f>(B37-$B$7)/$B$7</f>
        <v>0</v>
      </c>
    </row>
    <row r="40" spans="1:2">
      <c r="A40" s="3" t="s">
        <v>37</v>
      </c>
    </row>
    <row r="41" spans="1:2">
      <c r="A41" t="s">
        <v>38</v>
      </c>
      <c r="B41" s="14">
        <f>B32/$B$8</f>
        <v>0</v>
      </c>
    </row>
    <row r="42" spans="1:2">
      <c r="A42" t="s">
        <v>39</v>
      </c>
      <c r="B42" s="15">
        <f>B41/(1.15^5)</f>
        <v>0</v>
      </c>
    </row>
    <row r="43" spans="1:2">
      <c r="A43" t="s">
        <v>40</v>
      </c>
      <c r="B43" s="16">
        <f>($B$7-B42)/$B$7</f>
        <v>0</v>
      </c>
    </row>
    <row r="45" spans="1:2">
      <c r="A45" s="11" t="s">
        <v>41</v>
      </c>
    </row>
    <row r="46" spans="1:2">
      <c r="A46" s="17" t="s">
        <v>42</v>
      </c>
    </row>
    <row r="47" spans="1:2">
      <c r="A47" s="17" t="s">
        <v>43</v>
      </c>
    </row>
    <row r="48" spans="1:2">
      <c r="A48" s="17" t="s">
        <v>44</v>
      </c>
    </row>
    <row r="49" spans="1:1">
      <c r="A49" s="17" t="s">
        <v>45</v>
      </c>
    </row>
    <row r="50" spans="1:1">
      <c r="A50" s="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894"/>
  </sheetPr>
  <dimension ref="A1:D35"/>
  <sheetViews>
    <sheetView workbookViewId="0"/>
  </sheetViews>
  <sheetFormatPr defaultRowHeight="15"/>
  <cols>
    <col min="1" max="1" width="32.7109375" customWidth="1"/>
    <col min="2" max="4" width="15.7109375" customWidth="1"/>
  </cols>
  <sheetData>
    <row r="1" spans="1:4">
      <c r="A1" s="1" t="s">
        <v>47</v>
      </c>
    </row>
    <row r="2" spans="1:4">
      <c r="A2" s="2" t="s">
        <v>48</v>
      </c>
    </row>
    <row r="4" spans="1:4">
      <c r="A4" s="18" t="s">
        <v>49</v>
      </c>
      <c r="B4" s="19" t="s">
        <v>50</v>
      </c>
      <c r="C4" s="20" t="s">
        <v>51</v>
      </c>
      <c r="D4" s="21" t="s">
        <v>52</v>
      </c>
    </row>
    <row r="5" spans="1:4">
      <c r="A5" s="22" t="s">
        <v>12</v>
      </c>
      <c r="B5" s="23" t="s">
        <v>53</v>
      </c>
      <c r="C5" s="10" t="s">
        <v>54</v>
      </c>
      <c r="D5" s="24" t="s">
        <v>55</v>
      </c>
    </row>
    <row r="6" spans="1:4">
      <c r="A6" s="22" t="s">
        <v>13</v>
      </c>
      <c r="B6" s="23" t="s">
        <v>56</v>
      </c>
      <c r="C6" s="10" t="s">
        <v>57</v>
      </c>
      <c r="D6" s="24" t="s">
        <v>58</v>
      </c>
    </row>
    <row r="7" spans="1:4">
      <c r="A7" s="22" t="s">
        <v>59</v>
      </c>
      <c r="B7" s="23" t="s">
        <v>60</v>
      </c>
      <c r="C7" s="10" t="s">
        <v>61</v>
      </c>
      <c r="D7" s="24" t="s">
        <v>62</v>
      </c>
    </row>
    <row r="8" spans="1:4">
      <c r="A8" s="22" t="s">
        <v>63</v>
      </c>
      <c r="B8" s="23" t="s">
        <v>64</v>
      </c>
      <c r="C8" s="10" t="s">
        <v>65</v>
      </c>
      <c r="D8" s="24" t="s">
        <v>55</v>
      </c>
    </row>
    <row r="9" spans="1:4">
      <c r="A9" s="22" t="s">
        <v>66</v>
      </c>
      <c r="B9" s="23" t="s">
        <v>57</v>
      </c>
      <c r="C9" s="10" t="s">
        <v>67</v>
      </c>
      <c r="D9" s="24" t="s">
        <v>68</v>
      </c>
    </row>
    <row r="10" spans="1:4">
      <c r="A10" s="22" t="s">
        <v>69</v>
      </c>
      <c r="B10" s="23" t="s">
        <v>56</v>
      </c>
      <c r="C10" s="10" t="s">
        <v>60</v>
      </c>
      <c r="D10" s="24" t="s">
        <v>65</v>
      </c>
    </row>
    <row r="11" spans="1:4">
      <c r="A11" s="22" t="s">
        <v>70</v>
      </c>
      <c r="B11" s="23" t="s">
        <v>71</v>
      </c>
      <c r="C11" s="10" t="s">
        <v>64</v>
      </c>
      <c r="D11" s="24" t="s">
        <v>67</v>
      </c>
    </row>
    <row r="12" spans="1:4">
      <c r="A12" s="22" t="s">
        <v>72</v>
      </c>
      <c r="B12" s="23" t="s">
        <v>73</v>
      </c>
      <c r="C12" s="10" t="s">
        <v>74</v>
      </c>
      <c r="D12" s="24" t="s">
        <v>75</v>
      </c>
    </row>
    <row r="13" spans="1:4">
      <c r="A13" s="22" t="s">
        <v>76</v>
      </c>
      <c r="B13" s="23" t="s">
        <v>77</v>
      </c>
      <c r="C13" s="10" t="s">
        <v>78</v>
      </c>
      <c r="D13" s="24" t="s">
        <v>79</v>
      </c>
    </row>
    <row r="15" spans="1:4">
      <c r="A15" s="22" t="s">
        <v>80</v>
      </c>
      <c r="B15" s="23" t="s">
        <v>81</v>
      </c>
      <c r="C15" s="10" t="s">
        <v>82</v>
      </c>
      <c r="D15" s="24" t="s">
        <v>83</v>
      </c>
    </row>
    <row r="16" spans="1:4">
      <c r="A16" s="22" t="s">
        <v>84</v>
      </c>
      <c r="B16" s="23" t="s">
        <v>85</v>
      </c>
      <c r="C16" s="10" t="s">
        <v>86</v>
      </c>
      <c r="D16" s="24" t="s">
        <v>87</v>
      </c>
    </row>
    <row r="17" spans="1:4">
      <c r="A17" s="22" t="s">
        <v>88</v>
      </c>
      <c r="B17" s="23" t="s">
        <v>89</v>
      </c>
      <c r="C17" s="10" t="s">
        <v>90</v>
      </c>
      <c r="D17" s="24" t="s">
        <v>91</v>
      </c>
    </row>
    <row r="18" spans="1:4">
      <c r="A18" s="22" t="s">
        <v>92</v>
      </c>
      <c r="B18" s="23" t="s">
        <v>93</v>
      </c>
      <c r="C18" s="10" t="s">
        <v>94</v>
      </c>
      <c r="D18" s="24" t="s">
        <v>95</v>
      </c>
    </row>
    <row r="19" spans="1:4">
      <c r="A19" s="22" t="s">
        <v>96</v>
      </c>
      <c r="B19" s="23" t="s">
        <v>97</v>
      </c>
      <c r="C19" s="10" t="s">
        <v>98</v>
      </c>
      <c r="D19" s="24" t="s">
        <v>99</v>
      </c>
    </row>
    <row r="21" spans="1:4">
      <c r="A21" s="22" t="s">
        <v>100</v>
      </c>
      <c r="B21" s="23" t="s">
        <v>101</v>
      </c>
      <c r="C21" s="10" t="s">
        <v>102</v>
      </c>
      <c r="D21" s="24" t="s">
        <v>103</v>
      </c>
    </row>
    <row r="22" spans="1:4">
      <c r="A22" s="22" t="s">
        <v>104</v>
      </c>
      <c r="B22" s="23" t="s">
        <v>105</v>
      </c>
      <c r="C22" s="10" t="s">
        <v>106</v>
      </c>
      <c r="D22" s="24" t="s">
        <v>107</v>
      </c>
    </row>
    <row r="23" spans="1:4">
      <c r="A23" s="22" t="s">
        <v>108</v>
      </c>
      <c r="B23" s="23" t="s">
        <v>109</v>
      </c>
      <c r="C23" s="10" t="s">
        <v>110</v>
      </c>
      <c r="D23" s="24" t="s">
        <v>111</v>
      </c>
    </row>
    <row r="24" spans="1:4">
      <c r="A24" s="22" t="s">
        <v>112</v>
      </c>
      <c r="B24" s="23" t="s">
        <v>113</v>
      </c>
      <c r="C24" s="10" t="s">
        <v>114</v>
      </c>
      <c r="D24" s="24" t="s">
        <v>115</v>
      </c>
    </row>
    <row r="25" spans="1:4">
      <c r="A25" s="22" t="s">
        <v>116</v>
      </c>
      <c r="B25" s="23" t="s">
        <v>117</v>
      </c>
      <c r="C25" s="10" t="s">
        <v>117</v>
      </c>
      <c r="D25" s="24" t="s">
        <v>117</v>
      </c>
    </row>
    <row r="26" spans="1:4">
      <c r="A26" s="22" t="s">
        <v>118</v>
      </c>
      <c r="B26" s="23" t="s">
        <v>119</v>
      </c>
      <c r="C26" s="10" t="s">
        <v>120</v>
      </c>
      <c r="D26" s="24" t="s">
        <v>121</v>
      </c>
    </row>
    <row r="28" spans="1:4">
      <c r="A28" s="11" t="s">
        <v>122</v>
      </c>
      <c r="B28" s="15" t="s">
        <v>123</v>
      </c>
      <c r="C28" s="12" t="s">
        <v>124</v>
      </c>
      <c r="D28" s="12" t="s">
        <v>125</v>
      </c>
    </row>
    <row r="29" spans="1:4">
      <c r="A29" s="22" t="s">
        <v>36</v>
      </c>
      <c r="B29" s="25" t="s">
        <v>126</v>
      </c>
      <c r="C29" s="26" t="s">
        <v>127</v>
      </c>
      <c r="D29" s="27" t="s">
        <v>128</v>
      </c>
    </row>
    <row r="31" spans="1:4">
      <c r="A31" s="22" t="s">
        <v>129</v>
      </c>
      <c r="B31" s="25" t="s">
        <v>130</v>
      </c>
      <c r="C31" s="26" t="s">
        <v>131</v>
      </c>
      <c r="D31" s="27" t="s">
        <v>132</v>
      </c>
    </row>
    <row r="32" spans="1:4">
      <c r="A32" s="22" t="s">
        <v>133</v>
      </c>
      <c r="B32" s="25" t="s">
        <v>134</v>
      </c>
      <c r="C32" s="26" t="s">
        <v>135</v>
      </c>
      <c r="D32" s="27" t="s">
        <v>136</v>
      </c>
    </row>
    <row r="34" spans="1:4">
      <c r="A34" s="22" t="s">
        <v>137</v>
      </c>
      <c r="B34" s="28" t="s">
        <v>138</v>
      </c>
      <c r="C34" s="29" t="s">
        <v>139</v>
      </c>
      <c r="D34" s="30" t="s">
        <v>138</v>
      </c>
    </row>
    <row r="35" spans="1:4">
      <c r="A35" s="22" t="s">
        <v>140</v>
      </c>
      <c r="B35" s="22"/>
      <c r="C35" s="12" t="s">
        <v>141</v>
      </c>
      <c r="D35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C5CE7"/>
  </sheetPr>
  <dimension ref="A1:F25"/>
  <sheetViews>
    <sheetView workbookViewId="0"/>
  </sheetViews>
  <sheetFormatPr defaultRowHeight="15"/>
  <cols>
    <col min="1" max="1" width="16.7109375" customWidth="1"/>
    <col min="2" max="6" width="12.7109375" customWidth="1"/>
  </cols>
  <sheetData>
    <row r="1" spans="1:6">
      <c r="A1" s="1" t="s">
        <v>142</v>
      </c>
    </row>
    <row r="2" spans="1:6">
      <c r="A2" s="2" t="s">
        <v>143</v>
      </c>
    </row>
    <row r="4" spans="1:6">
      <c r="A4" s="9" t="s">
        <v>144</v>
      </c>
      <c r="B4" s="9" t="s">
        <v>56</v>
      </c>
      <c r="C4" s="9" t="s">
        <v>145</v>
      </c>
      <c r="D4" s="9" t="s">
        <v>57</v>
      </c>
      <c r="E4" s="9" t="s">
        <v>58</v>
      </c>
      <c r="F4" s="9" t="s">
        <v>64</v>
      </c>
    </row>
    <row r="5" spans="1:6">
      <c r="A5" s="18" t="s">
        <v>68</v>
      </c>
      <c r="B5" s="27">
        <v>4.56</v>
      </c>
      <c r="C5" s="27">
        <v>4.76</v>
      </c>
      <c r="D5" s="27">
        <v>4.98</v>
      </c>
      <c r="E5" s="27">
        <v>5.22</v>
      </c>
      <c r="F5" s="27">
        <v>5.51</v>
      </c>
    </row>
    <row r="6" spans="1:6">
      <c r="A6" s="18" t="s">
        <v>146</v>
      </c>
      <c r="B6" s="26">
        <v>4.1</v>
      </c>
      <c r="C6" s="26">
        <v>4.25</v>
      </c>
      <c r="D6" s="27">
        <v>4.42</v>
      </c>
      <c r="E6" s="27">
        <v>4.61</v>
      </c>
      <c r="F6" s="27">
        <v>4.82</v>
      </c>
    </row>
    <row r="7" spans="1:6">
      <c r="A7" s="18" t="s">
        <v>55</v>
      </c>
      <c r="B7" s="26">
        <v>3.73</v>
      </c>
      <c r="C7" s="26">
        <v>3.85</v>
      </c>
      <c r="D7" s="26">
        <v>3.98</v>
      </c>
      <c r="E7" s="26">
        <v>4.12</v>
      </c>
      <c r="F7" s="26">
        <v>4.29</v>
      </c>
    </row>
    <row r="8" spans="1:6">
      <c r="A8" s="18" t="s">
        <v>54</v>
      </c>
      <c r="B8" s="26">
        <v>3.28</v>
      </c>
      <c r="C8" s="26">
        <v>3.36</v>
      </c>
      <c r="D8" s="12">
        <v>3.46</v>
      </c>
      <c r="E8" s="26">
        <v>3.56</v>
      </c>
      <c r="F8" s="26">
        <v>3.68</v>
      </c>
    </row>
    <row r="9" spans="1:6">
      <c r="A9" s="18" t="s">
        <v>53</v>
      </c>
      <c r="B9" s="25">
        <v>2.92</v>
      </c>
      <c r="C9" s="25">
        <v>2.99</v>
      </c>
      <c r="D9" s="26">
        <v>3.06</v>
      </c>
      <c r="E9" s="26">
        <v>3.13</v>
      </c>
      <c r="F9" s="26">
        <v>3.22</v>
      </c>
    </row>
    <row r="11" spans="1:6">
      <c r="A11" s="17" t="s">
        <v>147</v>
      </c>
    </row>
    <row r="12" spans="1:6">
      <c r="A12" s="17" t="s">
        <v>148</v>
      </c>
    </row>
    <row r="15" spans="1:6">
      <c r="A15" s="3" t="s">
        <v>149</v>
      </c>
    </row>
    <row r="16" spans="1:6">
      <c r="A16" s="17" t="s">
        <v>150</v>
      </c>
    </row>
    <row r="18" spans="1:6">
      <c r="A18" s="9" t="s">
        <v>144</v>
      </c>
      <c r="B18" s="9" t="s">
        <v>56</v>
      </c>
      <c r="C18" s="9" t="s">
        <v>145</v>
      </c>
      <c r="D18" s="9" t="s">
        <v>57</v>
      </c>
      <c r="E18" s="9" t="s">
        <v>58</v>
      </c>
      <c r="F18" s="9" t="s">
        <v>64</v>
      </c>
    </row>
    <row r="19" spans="1:6">
      <c r="A19" s="18" t="s">
        <v>68</v>
      </c>
      <c r="B19" s="31">
        <f>('DCF Model'!$B$13*(1+'DCF Model'!C$21)/(1+0.11)^1 + 'DCF Model'!$B$13*(1+'DCF Model'!C$21)*(1+'DCF Model'!D$21)/(1+0.11)^2 + 'DCF Model'!$B$13*(1+'DCF Model'!C$21)*(1+'DCF Model'!D$21)*(1+'DCF Model'!E$21)/(1+0.11)^3 + 'DCF Model'!$B$13*(1+'DCF Model'!C$21)*(1+'DCF Model'!D$21)*(1+'DCF Model'!E$21)*(1+'DCF Model'!F$21)/(1+0.11)^4 + 'DCF Model'!$B$13*(1+'DCF Model'!C$21)*(1+'DCF Model'!D$21)*(1+'DCF Model'!E$21)*(1+'DCF Model'!F$21)*(1+'DCF Model'!G$21)/(1+0.11)^5 + ('DCF Model'!$B$13*(1+'DCF Model'!C$21)*(1+'DCF Model'!D$21)*(1+'DCF Model'!E$21)*(1+'DCF Model'!F$21)*(1+'DCF Model'!G$21)*(1+0.02)/(0.11-0.02))/(1+0.11)^5-'DCF Model'!$B$11)/'DCF Model'!$B$8</f>
        <v>0</v>
      </c>
      <c r="C19" s="31">
        <f>('DCF Model'!$B$13*(1+'DCF Model'!C$21)/(1+0.11)^1 + 'DCF Model'!$B$13*(1+'DCF Model'!C$21)*(1+'DCF Model'!D$21)/(1+0.11)^2 + 'DCF Model'!$B$13*(1+'DCF Model'!C$21)*(1+'DCF Model'!D$21)*(1+'DCF Model'!E$21)/(1+0.11)^3 + 'DCF Model'!$B$13*(1+'DCF Model'!C$21)*(1+'DCF Model'!D$21)*(1+'DCF Model'!E$21)*(1+'DCF Model'!F$21)/(1+0.11)^4 + 'DCF Model'!$B$13*(1+'DCF Model'!C$21)*(1+'DCF Model'!D$21)*(1+'DCF Model'!E$21)*(1+'DCF Model'!F$21)*(1+'DCF Model'!G$21)/(1+0.11)^5 + ('DCF Model'!$B$13*(1+'DCF Model'!C$21)*(1+'DCF Model'!D$21)*(1+'DCF Model'!E$21)*(1+'DCF Model'!F$21)*(1+'DCF Model'!G$21)*(1+0.025)/(0.11-0.025))/(1+0.11)^5-'DCF Model'!$B$11)/'DCF Model'!$B$8</f>
        <v>0</v>
      </c>
      <c r="D19" s="31">
        <f>('DCF Model'!$B$13*(1+'DCF Model'!C$21)/(1+0.11)^1 + 'DCF Model'!$B$13*(1+'DCF Model'!C$21)*(1+'DCF Model'!D$21)/(1+0.11)^2 + 'DCF Model'!$B$13*(1+'DCF Model'!C$21)*(1+'DCF Model'!D$21)*(1+'DCF Model'!E$21)/(1+0.11)^3 + 'DCF Model'!$B$13*(1+'DCF Model'!C$21)*(1+'DCF Model'!D$21)*(1+'DCF Model'!E$21)*(1+'DCF Model'!F$21)/(1+0.11)^4 + 'DCF Model'!$B$13*(1+'DCF Model'!C$21)*(1+'DCF Model'!D$21)*(1+'DCF Model'!E$21)*(1+'DCF Model'!F$21)*(1+'DCF Model'!G$21)/(1+0.11)^5 + ('DCF Model'!$B$13*(1+'DCF Model'!C$21)*(1+'DCF Model'!D$21)*(1+'DCF Model'!E$21)*(1+'DCF Model'!F$21)*(1+'DCF Model'!G$21)*(1+0.03)/(0.11-0.03))/(1+0.11)^5-'DCF Model'!$B$11)/'DCF Model'!$B$8</f>
        <v>0</v>
      </c>
      <c r="E19" s="31">
        <f>('DCF Model'!$B$13*(1+'DCF Model'!C$21)/(1+0.11)^1 + 'DCF Model'!$B$13*(1+'DCF Model'!C$21)*(1+'DCF Model'!D$21)/(1+0.11)^2 + 'DCF Model'!$B$13*(1+'DCF Model'!C$21)*(1+'DCF Model'!D$21)*(1+'DCF Model'!E$21)/(1+0.11)^3 + 'DCF Model'!$B$13*(1+'DCF Model'!C$21)*(1+'DCF Model'!D$21)*(1+'DCF Model'!E$21)*(1+'DCF Model'!F$21)/(1+0.11)^4 + 'DCF Model'!$B$13*(1+'DCF Model'!C$21)*(1+'DCF Model'!D$21)*(1+'DCF Model'!E$21)*(1+'DCF Model'!F$21)*(1+'DCF Model'!G$21)/(1+0.11)^5 + ('DCF Model'!$B$13*(1+'DCF Model'!C$21)*(1+'DCF Model'!D$21)*(1+'DCF Model'!E$21)*(1+'DCF Model'!F$21)*(1+'DCF Model'!G$21)*(1+0.035)/(0.11-0.035))/(1+0.11)^5-'DCF Model'!$B$11)/'DCF Model'!$B$8</f>
        <v>0</v>
      </c>
      <c r="F19" s="31">
        <f>('DCF Model'!$B$13*(1+'DCF Model'!C$21)/(1+0.11)^1 + 'DCF Model'!$B$13*(1+'DCF Model'!C$21)*(1+'DCF Model'!D$21)/(1+0.11)^2 + 'DCF Model'!$B$13*(1+'DCF Model'!C$21)*(1+'DCF Model'!D$21)*(1+'DCF Model'!E$21)/(1+0.11)^3 + 'DCF Model'!$B$13*(1+'DCF Model'!C$21)*(1+'DCF Model'!D$21)*(1+'DCF Model'!E$21)*(1+'DCF Model'!F$21)/(1+0.11)^4 + 'DCF Model'!$B$13*(1+'DCF Model'!C$21)*(1+'DCF Model'!D$21)*(1+'DCF Model'!E$21)*(1+'DCF Model'!F$21)*(1+'DCF Model'!G$21)/(1+0.11)^5 + ('DCF Model'!$B$13*(1+'DCF Model'!C$21)*(1+'DCF Model'!D$21)*(1+'DCF Model'!E$21)*(1+'DCF Model'!F$21)*(1+'DCF Model'!G$21)*(1+0.04)/(0.11-0.04))/(1+0.11)^5-'DCF Model'!$B$11)/'DCF Model'!$B$8</f>
        <v>0</v>
      </c>
    </row>
    <row r="20" spans="1:6">
      <c r="A20" s="18" t="s">
        <v>146</v>
      </c>
      <c r="B20" s="31">
        <f>('DCF Model'!$B$13*(1+'DCF Model'!C$21)/(1+0.12)^1 + 'DCF Model'!$B$13*(1+'DCF Model'!C$21)*(1+'DCF Model'!D$21)/(1+0.12)^2 + 'DCF Model'!$B$13*(1+'DCF Model'!C$21)*(1+'DCF Model'!D$21)*(1+'DCF Model'!E$21)/(1+0.12)^3 + 'DCF Model'!$B$13*(1+'DCF Model'!C$21)*(1+'DCF Model'!D$21)*(1+'DCF Model'!E$21)*(1+'DCF Model'!F$21)/(1+0.12)^4 + 'DCF Model'!$B$13*(1+'DCF Model'!C$21)*(1+'DCF Model'!D$21)*(1+'DCF Model'!E$21)*(1+'DCF Model'!F$21)*(1+'DCF Model'!G$21)/(1+0.12)^5 + ('DCF Model'!$B$13*(1+'DCF Model'!C$21)*(1+'DCF Model'!D$21)*(1+'DCF Model'!E$21)*(1+'DCF Model'!F$21)*(1+'DCF Model'!G$21)*(1+0.02)/(0.12-0.02))/(1+0.12)^5-'DCF Model'!$B$11)/'DCF Model'!$B$8</f>
        <v>0</v>
      </c>
      <c r="C20" s="31">
        <f>('DCF Model'!$B$13*(1+'DCF Model'!C$21)/(1+0.12)^1 + 'DCF Model'!$B$13*(1+'DCF Model'!C$21)*(1+'DCF Model'!D$21)/(1+0.12)^2 + 'DCF Model'!$B$13*(1+'DCF Model'!C$21)*(1+'DCF Model'!D$21)*(1+'DCF Model'!E$21)/(1+0.12)^3 + 'DCF Model'!$B$13*(1+'DCF Model'!C$21)*(1+'DCF Model'!D$21)*(1+'DCF Model'!E$21)*(1+'DCF Model'!F$21)/(1+0.12)^4 + 'DCF Model'!$B$13*(1+'DCF Model'!C$21)*(1+'DCF Model'!D$21)*(1+'DCF Model'!E$21)*(1+'DCF Model'!F$21)*(1+'DCF Model'!G$21)/(1+0.12)^5 + ('DCF Model'!$B$13*(1+'DCF Model'!C$21)*(1+'DCF Model'!D$21)*(1+'DCF Model'!E$21)*(1+'DCF Model'!F$21)*(1+'DCF Model'!G$21)*(1+0.025)/(0.12-0.025))/(1+0.12)^5-'DCF Model'!$B$11)/'DCF Model'!$B$8</f>
        <v>0</v>
      </c>
      <c r="D20" s="31">
        <f>('DCF Model'!$B$13*(1+'DCF Model'!C$21)/(1+0.12)^1 + 'DCF Model'!$B$13*(1+'DCF Model'!C$21)*(1+'DCF Model'!D$21)/(1+0.12)^2 + 'DCF Model'!$B$13*(1+'DCF Model'!C$21)*(1+'DCF Model'!D$21)*(1+'DCF Model'!E$21)/(1+0.12)^3 + 'DCF Model'!$B$13*(1+'DCF Model'!C$21)*(1+'DCF Model'!D$21)*(1+'DCF Model'!E$21)*(1+'DCF Model'!F$21)/(1+0.12)^4 + 'DCF Model'!$B$13*(1+'DCF Model'!C$21)*(1+'DCF Model'!D$21)*(1+'DCF Model'!E$21)*(1+'DCF Model'!F$21)*(1+'DCF Model'!G$21)/(1+0.12)^5 + ('DCF Model'!$B$13*(1+'DCF Model'!C$21)*(1+'DCF Model'!D$21)*(1+'DCF Model'!E$21)*(1+'DCF Model'!F$21)*(1+'DCF Model'!G$21)*(1+0.03)/(0.12-0.03))/(1+0.12)^5-'DCF Model'!$B$11)/'DCF Model'!$B$8</f>
        <v>0</v>
      </c>
      <c r="E20" s="31">
        <f>('DCF Model'!$B$13*(1+'DCF Model'!C$21)/(1+0.12)^1 + 'DCF Model'!$B$13*(1+'DCF Model'!C$21)*(1+'DCF Model'!D$21)/(1+0.12)^2 + 'DCF Model'!$B$13*(1+'DCF Model'!C$21)*(1+'DCF Model'!D$21)*(1+'DCF Model'!E$21)/(1+0.12)^3 + 'DCF Model'!$B$13*(1+'DCF Model'!C$21)*(1+'DCF Model'!D$21)*(1+'DCF Model'!E$21)*(1+'DCF Model'!F$21)/(1+0.12)^4 + 'DCF Model'!$B$13*(1+'DCF Model'!C$21)*(1+'DCF Model'!D$21)*(1+'DCF Model'!E$21)*(1+'DCF Model'!F$21)*(1+'DCF Model'!G$21)/(1+0.12)^5 + ('DCF Model'!$B$13*(1+'DCF Model'!C$21)*(1+'DCF Model'!D$21)*(1+'DCF Model'!E$21)*(1+'DCF Model'!F$21)*(1+'DCF Model'!G$21)*(1+0.035)/(0.12-0.035))/(1+0.12)^5-'DCF Model'!$B$11)/'DCF Model'!$B$8</f>
        <v>0</v>
      </c>
      <c r="F20" s="31">
        <f>('DCF Model'!$B$13*(1+'DCF Model'!C$21)/(1+0.12)^1 + 'DCF Model'!$B$13*(1+'DCF Model'!C$21)*(1+'DCF Model'!D$21)/(1+0.12)^2 + 'DCF Model'!$B$13*(1+'DCF Model'!C$21)*(1+'DCF Model'!D$21)*(1+'DCF Model'!E$21)/(1+0.12)^3 + 'DCF Model'!$B$13*(1+'DCF Model'!C$21)*(1+'DCF Model'!D$21)*(1+'DCF Model'!E$21)*(1+'DCF Model'!F$21)/(1+0.12)^4 + 'DCF Model'!$B$13*(1+'DCF Model'!C$21)*(1+'DCF Model'!D$21)*(1+'DCF Model'!E$21)*(1+'DCF Model'!F$21)*(1+'DCF Model'!G$21)/(1+0.12)^5 + ('DCF Model'!$B$13*(1+'DCF Model'!C$21)*(1+'DCF Model'!D$21)*(1+'DCF Model'!E$21)*(1+'DCF Model'!F$21)*(1+'DCF Model'!G$21)*(1+0.04)/(0.12-0.04))/(1+0.12)^5-'DCF Model'!$B$11)/'DCF Model'!$B$8</f>
        <v>0</v>
      </c>
    </row>
    <row r="21" spans="1:6">
      <c r="A21" s="18" t="s">
        <v>55</v>
      </c>
      <c r="B21" s="31">
        <f>('DCF Model'!$B$13*(1+'DCF Model'!C$21)/(1+0.13)^1 + 'DCF Model'!$B$13*(1+'DCF Model'!C$21)*(1+'DCF Model'!D$21)/(1+0.13)^2 + 'DCF Model'!$B$13*(1+'DCF Model'!C$21)*(1+'DCF Model'!D$21)*(1+'DCF Model'!E$21)/(1+0.13)^3 + 'DCF Model'!$B$13*(1+'DCF Model'!C$21)*(1+'DCF Model'!D$21)*(1+'DCF Model'!E$21)*(1+'DCF Model'!F$21)/(1+0.13)^4 + 'DCF Model'!$B$13*(1+'DCF Model'!C$21)*(1+'DCF Model'!D$21)*(1+'DCF Model'!E$21)*(1+'DCF Model'!F$21)*(1+'DCF Model'!G$21)/(1+0.13)^5 + ('DCF Model'!$B$13*(1+'DCF Model'!C$21)*(1+'DCF Model'!D$21)*(1+'DCF Model'!E$21)*(1+'DCF Model'!F$21)*(1+'DCF Model'!G$21)*(1+0.02)/(0.13-0.02))/(1+0.13)^5-'DCF Model'!$B$11)/'DCF Model'!$B$8</f>
        <v>0</v>
      </c>
      <c r="C21" s="31">
        <f>('DCF Model'!$B$13*(1+'DCF Model'!C$21)/(1+0.13)^1 + 'DCF Model'!$B$13*(1+'DCF Model'!C$21)*(1+'DCF Model'!D$21)/(1+0.13)^2 + 'DCF Model'!$B$13*(1+'DCF Model'!C$21)*(1+'DCF Model'!D$21)*(1+'DCF Model'!E$21)/(1+0.13)^3 + 'DCF Model'!$B$13*(1+'DCF Model'!C$21)*(1+'DCF Model'!D$21)*(1+'DCF Model'!E$21)*(1+'DCF Model'!F$21)/(1+0.13)^4 + 'DCF Model'!$B$13*(1+'DCF Model'!C$21)*(1+'DCF Model'!D$21)*(1+'DCF Model'!E$21)*(1+'DCF Model'!F$21)*(1+'DCF Model'!G$21)/(1+0.13)^5 + ('DCF Model'!$B$13*(1+'DCF Model'!C$21)*(1+'DCF Model'!D$21)*(1+'DCF Model'!E$21)*(1+'DCF Model'!F$21)*(1+'DCF Model'!G$21)*(1+0.025)/(0.13-0.025))/(1+0.13)^5-'DCF Model'!$B$11)/'DCF Model'!$B$8</f>
        <v>0</v>
      </c>
      <c r="D21" s="31">
        <f>('DCF Model'!$B$13*(1+'DCF Model'!C$21)/(1+0.13)^1 + 'DCF Model'!$B$13*(1+'DCF Model'!C$21)*(1+'DCF Model'!D$21)/(1+0.13)^2 + 'DCF Model'!$B$13*(1+'DCF Model'!C$21)*(1+'DCF Model'!D$21)*(1+'DCF Model'!E$21)/(1+0.13)^3 + 'DCF Model'!$B$13*(1+'DCF Model'!C$21)*(1+'DCF Model'!D$21)*(1+'DCF Model'!E$21)*(1+'DCF Model'!F$21)/(1+0.13)^4 + 'DCF Model'!$B$13*(1+'DCF Model'!C$21)*(1+'DCF Model'!D$21)*(1+'DCF Model'!E$21)*(1+'DCF Model'!F$21)*(1+'DCF Model'!G$21)/(1+0.13)^5 + ('DCF Model'!$B$13*(1+'DCF Model'!C$21)*(1+'DCF Model'!D$21)*(1+'DCF Model'!E$21)*(1+'DCF Model'!F$21)*(1+'DCF Model'!G$21)*(1+0.03)/(0.13-0.03))/(1+0.13)^5-'DCF Model'!$B$11)/'DCF Model'!$B$8</f>
        <v>0</v>
      </c>
      <c r="E21" s="31">
        <f>('DCF Model'!$B$13*(1+'DCF Model'!C$21)/(1+0.13)^1 + 'DCF Model'!$B$13*(1+'DCF Model'!C$21)*(1+'DCF Model'!D$21)/(1+0.13)^2 + 'DCF Model'!$B$13*(1+'DCF Model'!C$21)*(1+'DCF Model'!D$21)*(1+'DCF Model'!E$21)/(1+0.13)^3 + 'DCF Model'!$B$13*(1+'DCF Model'!C$21)*(1+'DCF Model'!D$21)*(1+'DCF Model'!E$21)*(1+'DCF Model'!F$21)/(1+0.13)^4 + 'DCF Model'!$B$13*(1+'DCF Model'!C$21)*(1+'DCF Model'!D$21)*(1+'DCF Model'!E$21)*(1+'DCF Model'!F$21)*(1+'DCF Model'!G$21)/(1+0.13)^5 + ('DCF Model'!$B$13*(1+'DCF Model'!C$21)*(1+'DCF Model'!D$21)*(1+'DCF Model'!E$21)*(1+'DCF Model'!F$21)*(1+'DCF Model'!G$21)*(1+0.035)/(0.13-0.035))/(1+0.13)^5-'DCF Model'!$B$11)/'DCF Model'!$B$8</f>
        <v>0</v>
      </c>
      <c r="F21" s="31">
        <f>('DCF Model'!$B$13*(1+'DCF Model'!C$21)/(1+0.13)^1 + 'DCF Model'!$B$13*(1+'DCF Model'!C$21)*(1+'DCF Model'!D$21)/(1+0.13)^2 + 'DCF Model'!$B$13*(1+'DCF Model'!C$21)*(1+'DCF Model'!D$21)*(1+'DCF Model'!E$21)/(1+0.13)^3 + 'DCF Model'!$B$13*(1+'DCF Model'!C$21)*(1+'DCF Model'!D$21)*(1+'DCF Model'!E$21)*(1+'DCF Model'!F$21)/(1+0.13)^4 + 'DCF Model'!$B$13*(1+'DCF Model'!C$21)*(1+'DCF Model'!D$21)*(1+'DCF Model'!E$21)*(1+'DCF Model'!F$21)*(1+'DCF Model'!G$21)/(1+0.13)^5 + ('DCF Model'!$B$13*(1+'DCF Model'!C$21)*(1+'DCF Model'!D$21)*(1+'DCF Model'!E$21)*(1+'DCF Model'!F$21)*(1+'DCF Model'!G$21)*(1+0.04)/(0.13-0.04))/(1+0.13)^5-'DCF Model'!$B$11)/'DCF Model'!$B$8</f>
        <v>0</v>
      </c>
    </row>
    <row r="22" spans="1:6">
      <c r="A22" s="18" t="s">
        <v>54</v>
      </c>
      <c r="B22" s="31">
        <f>('DCF Model'!$B$13*(1+'DCF Model'!C$21)/(1+0.145)^1 + 'DCF Model'!$B$13*(1+'DCF Model'!C$21)*(1+'DCF Model'!D$21)/(1+0.145)^2 + 'DCF Model'!$B$13*(1+'DCF Model'!C$21)*(1+'DCF Model'!D$21)*(1+'DCF Model'!E$21)/(1+0.145)^3 + 'DCF Model'!$B$13*(1+'DCF Model'!C$21)*(1+'DCF Model'!D$21)*(1+'DCF Model'!E$21)*(1+'DCF Model'!F$21)/(1+0.145)^4 + 'DCF Model'!$B$13*(1+'DCF Model'!C$21)*(1+'DCF Model'!D$21)*(1+'DCF Model'!E$21)*(1+'DCF Model'!F$21)*(1+'DCF Model'!G$21)/(1+0.145)^5 + ('DCF Model'!$B$13*(1+'DCF Model'!C$21)*(1+'DCF Model'!D$21)*(1+'DCF Model'!E$21)*(1+'DCF Model'!F$21)*(1+'DCF Model'!G$21)*(1+0.02)/(0.145-0.02))/(1+0.145)^5-'DCF Model'!$B$11)/'DCF Model'!$B$8</f>
        <v>0</v>
      </c>
      <c r="C22" s="31">
        <f>('DCF Model'!$B$13*(1+'DCF Model'!C$21)/(1+0.145)^1 + 'DCF Model'!$B$13*(1+'DCF Model'!C$21)*(1+'DCF Model'!D$21)/(1+0.145)^2 + 'DCF Model'!$B$13*(1+'DCF Model'!C$21)*(1+'DCF Model'!D$21)*(1+'DCF Model'!E$21)/(1+0.145)^3 + 'DCF Model'!$B$13*(1+'DCF Model'!C$21)*(1+'DCF Model'!D$21)*(1+'DCF Model'!E$21)*(1+'DCF Model'!F$21)/(1+0.145)^4 + 'DCF Model'!$B$13*(1+'DCF Model'!C$21)*(1+'DCF Model'!D$21)*(1+'DCF Model'!E$21)*(1+'DCF Model'!F$21)*(1+'DCF Model'!G$21)/(1+0.145)^5 + ('DCF Model'!$B$13*(1+'DCF Model'!C$21)*(1+'DCF Model'!D$21)*(1+'DCF Model'!E$21)*(1+'DCF Model'!F$21)*(1+'DCF Model'!G$21)*(1+0.025)/(0.145-0.025))/(1+0.145)^5-'DCF Model'!$B$11)/'DCF Model'!$B$8</f>
        <v>0</v>
      </c>
      <c r="D22" s="12">
        <f>('DCF Model'!$B$13*(1+'DCF Model'!C$21)/(1+0.145)^1 + 'DCF Model'!$B$13*(1+'DCF Model'!C$21)*(1+'DCF Model'!D$21)/(1+0.145)^2 + 'DCF Model'!$B$13*(1+'DCF Model'!C$21)*(1+'DCF Model'!D$21)*(1+'DCF Model'!E$21)/(1+0.145)^3 + 'DCF Model'!$B$13*(1+'DCF Model'!C$21)*(1+'DCF Model'!D$21)*(1+'DCF Model'!E$21)*(1+'DCF Model'!F$21)/(1+0.145)^4 + 'DCF Model'!$B$13*(1+'DCF Model'!C$21)*(1+'DCF Model'!D$21)*(1+'DCF Model'!E$21)*(1+'DCF Model'!F$21)*(1+'DCF Model'!G$21)/(1+0.145)^5 + ('DCF Model'!$B$13*(1+'DCF Model'!C$21)*(1+'DCF Model'!D$21)*(1+'DCF Model'!E$21)*(1+'DCF Model'!F$21)*(1+'DCF Model'!G$21)*(1+0.03)/(0.145-0.03))/(1+0.145)^5-'DCF Model'!$B$11)/'DCF Model'!$B$8</f>
        <v>0</v>
      </c>
      <c r="E22" s="31">
        <f>('DCF Model'!$B$13*(1+'DCF Model'!C$21)/(1+0.145)^1 + 'DCF Model'!$B$13*(1+'DCF Model'!C$21)*(1+'DCF Model'!D$21)/(1+0.145)^2 + 'DCF Model'!$B$13*(1+'DCF Model'!C$21)*(1+'DCF Model'!D$21)*(1+'DCF Model'!E$21)/(1+0.145)^3 + 'DCF Model'!$B$13*(1+'DCF Model'!C$21)*(1+'DCF Model'!D$21)*(1+'DCF Model'!E$21)*(1+'DCF Model'!F$21)/(1+0.145)^4 + 'DCF Model'!$B$13*(1+'DCF Model'!C$21)*(1+'DCF Model'!D$21)*(1+'DCF Model'!E$21)*(1+'DCF Model'!F$21)*(1+'DCF Model'!G$21)/(1+0.145)^5 + ('DCF Model'!$B$13*(1+'DCF Model'!C$21)*(1+'DCF Model'!D$21)*(1+'DCF Model'!E$21)*(1+'DCF Model'!F$21)*(1+'DCF Model'!G$21)*(1+0.035)/(0.145-0.035))/(1+0.145)^5-'DCF Model'!$B$11)/'DCF Model'!$B$8</f>
        <v>0</v>
      </c>
      <c r="F22" s="31">
        <f>('DCF Model'!$B$13*(1+'DCF Model'!C$21)/(1+0.145)^1 + 'DCF Model'!$B$13*(1+'DCF Model'!C$21)*(1+'DCF Model'!D$21)/(1+0.145)^2 + 'DCF Model'!$B$13*(1+'DCF Model'!C$21)*(1+'DCF Model'!D$21)*(1+'DCF Model'!E$21)/(1+0.145)^3 + 'DCF Model'!$B$13*(1+'DCF Model'!C$21)*(1+'DCF Model'!D$21)*(1+'DCF Model'!E$21)*(1+'DCF Model'!F$21)/(1+0.145)^4 + 'DCF Model'!$B$13*(1+'DCF Model'!C$21)*(1+'DCF Model'!D$21)*(1+'DCF Model'!E$21)*(1+'DCF Model'!F$21)*(1+'DCF Model'!G$21)/(1+0.145)^5 + ('DCF Model'!$B$13*(1+'DCF Model'!C$21)*(1+'DCF Model'!D$21)*(1+'DCF Model'!E$21)*(1+'DCF Model'!F$21)*(1+'DCF Model'!G$21)*(1+0.04)/(0.145-0.04))/(1+0.145)^5-'DCF Model'!$B$11)/'DCF Model'!$B$8</f>
        <v>0</v>
      </c>
    </row>
    <row r="23" spans="1:6">
      <c r="A23" s="18" t="s">
        <v>53</v>
      </c>
      <c r="B23" s="31">
        <f>('DCF Model'!$B$13*(1+'DCF Model'!C$21)/(1+0.16)^1 + 'DCF Model'!$B$13*(1+'DCF Model'!C$21)*(1+'DCF Model'!D$21)/(1+0.16)^2 + 'DCF Model'!$B$13*(1+'DCF Model'!C$21)*(1+'DCF Model'!D$21)*(1+'DCF Model'!E$21)/(1+0.16)^3 + 'DCF Model'!$B$13*(1+'DCF Model'!C$21)*(1+'DCF Model'!D$21)*(1+'DCF Model'!E$21)*(1+'DCF Model'!F$21)/(1+0.16)^4 + 'DCF Model'!$B$13*(1+'DCF Model'!C$21)*(1+'DCF Model'!D$21)*(1+'DCF Model'!E$21)*(1+'DCF Model'!F$21)*(1+'DCF Model'!G$21)/(1+0.16)^5 + ('DCF Model'!$B$13*(1+'DCF Model'!C$21)*(1+'DCF Model'!D$21)*(1+'DCF Model'!E$21)*(1+'DCF Model'!F$21)*(1+'DCF Model'!G$21)*(1+0.02)/(0.16-0.02))/(1+0.16)^5-'DCF Model'!$B$11)/'DCF Model'!$B$8</f>
        <v>0</v>
      </c>
      <c r="C23" s="31">
        <f>('DCF Model'!$B$13*(1+'DCF Model'!C$21)/(1+0.16)^1 + 'DCF Model'!$B$13*(1+'DCF Model'!C$21)*(1+'DCF Model'!D$21)/(1+0.16)^2 + 'DCF Model'!$B$13*(1+'DCF Model'!C$21)*(1+'DCF Model'!D$21)*(1+'DCF Model'!E$21)/(1+0.16)^3 + 'DCF Model'!$B$13*(1+'DCF Model'!C$21)*(1+'DCF Model'!D$21)*(1+'DCF Model'!E$21)*(1+'DCF Model'!F$21)/(1+0.16)^4 + 'DCF Model'!$B$13*(1+'DCF Model'!C$21)*(1+'DCF Model'!D$21)*(1+'DCF Model'!E$21)*(1+'DCF Model'!F$21)*(1+'DCF Model'!G$21)/(1+0.16)^5 + ('DCF Model'!$B$13*(1+'DCF Model'!C$21)*(1+'DCF Model'!D$21)*(1+'DCF Model'!E$21)*(1+'DCF Model'!F$21)*(1+'DCF Model'!G$21)*(1+0.025)/(0.16-0.025))/(1+0.16)^5-'DCF Model'!$B$11)/'DCF Model'!$B$8</f>
        <v>0</v>
      </c>
      <c r="D23" s="31">
        <f>('DCF Model'!$B$13*(1+'DCF Model'!C$21)/(1+0.16)^1 + 'DCF Model'!$B$13*(1+'DCF Model'!C$21)*(1+'DCF Model'!D$21)/(1+0.16)^2 + 'DCF Model'!$B$13*(1+'DCF Model'!C$21)*(1+'DCF Model'!D$21)*(1+'DCF Model'!E$21)/(1+0.16)^3 + 'DCF Model'!$B$13*(1+'DCF Model'!C$21)*(1+'DCF Model'!D$21)*(1+'DCF Model'!E$21)*(1+'DCF Model'!F$21)/(1+0.16)^4 + 'DCF Model'!$B$13*(1+'DCF Model'!C$21)*(1+'DCF Model'!D$21)*(1+'DCF Model'!E$21)*(1+'DCF Model'!F$21)*(1+'DCF Model'!G$21)/(1+0.16)^5 + ('DCF Model'!$B$13*(1+'DCF Model'!C$21)*(1+'DCF Model'!D$21)*(1+'DCF Model'!E$21)*(1+'DCF Model'!F$21)*(1+'DCF Model'!G$21)*(1+0.03)/(0.16-0.03))/(1+0.16)^5-'DCF Model'!$B$11)/'DCF Model'!$B$8</f>
        <v>0</v>
      </c>
      <c r="E23" s="31">
        <f>('DCF Model'!$B$13*(1+'DCF Model'!C$21)/(1+0.16)^1 + 'DCF Model'!$B$13*(1+'DCF Model'!C$21)*(1+'DCF Model'!D$21)/(1+0.16)^2 + 'DCF Model'!$B$13*(1+'DCF Model'!C$21)*(1+'DCF Model'!D$21)*(1+'DCF Model'!E$21)/(1+0.16)^3 + 'DCF Model'!$B$13*(1+'DCF Model'!C$21)*(1+'DCF Model'!D$21)*(1+'DCF Model'!E$21)*(1+'DCF Model'!F$21)/(1+0.16)^4 + 'DCF Model'!$B$13*(1+'DCF Model'!C$21)*(1+'DCF Model'!D$21)*(1+'DCF Model'!E$21)*(1+'DCF Model'!F$21)*(1+'DCF Model'!G$21)/(1+0.16)^5 + ('DCF Model'!$B$13*(1+'DCF Model'!C$21)*(1+'DCF Model'!D$21)*(1+'DCF Model'!E$21)*(1+'DCF Model'!F$21)*(1+'DCF Model'!G$21)*(1+0.035)/(0.16-0.035))/(1+0.16)^5-'DCF Model'!$B$11)/'DCF Model'!$B$8</f>
        <v>0</v>
      </c>
      <c r="F23" s="31">
        <f>('DCF Model'!$B$13*(1+'DCF Model'!C$21)/(1+0.16)^1 + 'DCF Model'!$B$13*(1+'DCF Model'!C$21)*(1+'DCF Model'!D$21)/(1+0.16)^2 + 'DCF Model'!$B$13*(1+'DCF Model'!C$21)*(1+'DCF Model'!D$21)*(1+'DCF Model'!E$21)/(1+0.16)^3 + 'DCF Model'!$B$13*(1+'DCF Model'!C$21)*(1+'DCF Model'!D$21)*(1+'DCF Model'!E$21)*(1+'DCF Model'!F$21)/(1+0.16)^4 + 'DCF Model'!$B$13*(1+'DCF Model'!C$21)*(1+'DCF Model'!D$21)*(1+'DCF Model'!E$21)*(1+'DCF Model'!F$21)*(1+'DCF Model'!G$21)/(1+0.16)^5 + ('DCF Model'!$B$13*(1+'DCF Model'!C$21)*(1+'DCF Model'!D$21)*(1+'DCF Model'!E$21)*(1+'DCF Model'!F$21)*(1+'DCF Model'!G$21)*(1+0.04)/(0.16-0.04))/(1+0.16)^5-'DCF Model'!$B$11)/'DCF Model'!$B$8</f>
        <v>0</v>
      </c>
    </row>
    <row r="25" spans="1:6">
      <c r="A25" s="17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DCB6E"/>
  </sheetPr>
  <dimension ref="A1:K34"/>
  <sheetViews>
    <sheetView workbookViewId="0"/>
  </sheetViews>
  <sheetFormatPr defaultRowHeight="15"/>
  <cols>
    <col min="1" max="1" width="26.7109375" customWidth="1"/>
    <col min="2" max="11" width="12.7109375" customWidth="1"/>
  </cols>
  <sheetData>
    <row r="1" spans="1:11">
      <c r="A1" s="1" t="s">
        <v>152</v>
      </c>
    </row>
    <row r="2" spans="1:11">
      <c r="A2" s="2" t="s">
        <v>153</v>
      </c>
    </row>
    <row r="4" spans="1:11">
      <c r="A4" s="18" t="s">
        <v>154</v>
      </c>
      <c r="B4" s="9" t="s">
        <v>155</v>
      </c>
      <c r="C4" s="9" t="s">
        <v>156</v>
      </c>
      <c r="D4" s="9" t="s">
        <v>157</v>
      </c>
      <c r="E4" s="9" t="s">
        <v>158</v>
      </c>
      <c r="F4" s="9" t="s">
        <v>159</v>
      </c>
      <c r="G4" s="9" t="s">
        <v>160</v>
      </c>
      <c r="H4" s="9" t="s">
        <v>161</v>
      </c>
      <c r="I4" s="9" t="s">
        <v>162</v>
      </c>
      <c r="J4" s="9" t="s">
        <v>163</v>
      </c>
      <c r="K4" s="9" t="s">
        <v>164</v>
      </c>
    </row>
    <row r="5" spans="1:11">
      <c r="A5" t="s">
        <v>165</v>
      </c>
      <c r="B5" s="7">
        <v>3764.5</v>
      </c>
      <c r="C5" s="7">
        <v>4574.9</v>
      </c>
      <c r="D5" s="7">
        <v>5671.8</v>
      </c>
      <c r="E5" s="7">
        <v>5260.4</v>
      </c>
      <c r="F5" s="7">
        <v>5490.4</v>
      </c>
      <c r="G5" s="7">
        <v>5900</v>
      </c>
      <c r="H5" s="7">
        <v>11217</v>
      </c>
      <c r="I5" s="7">
        <v>15151</v>
      </c>
      <c r="J5" s="7">
        <v>19081</v>
      </c>
      <c r="K5" s="7">
        <v>10653</v>
      </c>
    </row>
    <row r="6" spans="1:11">
      <c r="A6" t="s">
        <v>166</v>
      </c>
      <c r="B6" s="7">
        <v>345.5</v>
      </c>
      <c r="C6" s="7">
        <v>620.7</v>
      </c>
      <c r="D6" s="7">
        <v>1407.8</v>
      </c>
      <c r="E6" s="7">
        <v>1573.5</v>
      </c>
      <c r="F6" s="7">
        <v>1709.6</v>
      </c>
      <c r="G6" s="7">
        <v>1726</v>
      </c>
      <c r="H6" s="7">
        <v>1558</v>
      </c>
      <c r="I6" s="7">
        <v>2996</v>
      </c>
      <c r="J6" s="7">
        <v>4678</v>
      </c>
      <c r="K6" s="7">
        <v>2759</v>
      </c>
    </row>
    <row r="7" spans="1:11">
      <c r="A7" t="s">
        <v>167</v>
      </c>
      <c r="B7" s="7">
        <v>110.3</v>
      </c>
      <c r="C7" s="7">
        <v>333.6</v>
      </c>
      <c r="D7" s="7">
        <v>1050.3</v>
      </c>
      <c r="E7" s="7">
        <v>1322.6</v>
      </c>
      <c r="F7" s="7">
        <v>1041.5</v>
      </c>
      <c r="G7" s="7">
        <v>1173</v>
      </c>
      <c r="H7" s="7">
        <v>439</v>
      </c>
      <c r="I7" s="7">
        <v>1400</v>
      </c>
      <c r="J7" s="7">
        <v>2339</v>
      </c>
      <c r="K7" s="7">
        <v>1415</v>
      </c>
    </row>
    <row r="8" spans="1:11">
      <c r="A8" t="s">
        <v>168</v>
      </c>
      <c r="B8" s="7">
        <v>350.4</v>
      </c>
      <c r="C8" s="7">
        <v>403.9</v>
      </c>
      <c r="D8" s="7">
        <v>1046.4</v>
      </c>
      <c r="E8" s="7">
        <v>1336</v>
      </c>
      <c r="F8" s="7">
        <v>1550.3</v>
      </c>
      <c r="G8" s="7">
        <v>1037</v>
      </c>
      <c r="H8" s="7">
        <v>734</v>
      </c>
      <c r="I8" s="7">
        <v>2528</v>
      </c>
      <c r="J8" s="7">
        <v>3549</v>
      </c>
      <c r="K8" s="7">
        <v>1380</v>
      </c>
    </row>
    <row r="9" spans="1:11">
      <c r="A9" t="s">
        <v>169</v>
      </c>
      <c r="B9" s="7">
        <v>-1206.3</v>
      </c>
      <c r="C9" s="7">
        <v>-1242.4</v>
      </c>
      <c r="D9" s="7">
        <v>-29.6</v>
      </c>
      <c r="E9" s="7">
        <v>861</v>
      </c>
      <c r="F9" s="7">
        <v>1976</v>
      </c>
      <c r="G9" s="7">
        <v>2696</v>
      </c>
      <c r="H9" s="7">
        <v>2544</v>
      </c>
      <c r="I9" s="7">
        <v>2913</v>
      </c>
      <c r="J9" s="7">
        <v>3967</v>
      </c>
      <c r="K9" s="7">
        <v>4815</v>
      </c>
    </row>
    <row r="10" spans="1:11">
      <c r="A10" t="s">
        <v>170</v>
      </c>
      <c r="B10" s="32">
        <v>0.09300000000000001</v>
      </c>
      <c r="C10" s="32">
        <v>0.08800000000000001</v>
      </c>
      <c r="D10" s="32">
        <v>0.185</v>
      </c>
      <c r="E10" s="32">
        <v>0.254</v>
      </c>
      <c r="F10" s="32">
        <v>0.282</v>
      </c>
      <c r="G10" s="32">
        <v>0.176</v>
      </c>
      <c r="H10" s="32">
        <v>0.065</v>
      </c>
      <c r="I10" s="32">
        <v>0.167</v>
      </c>
      <c r="J10" s="32">
        <v>0.186</v>
      </c>
      <c r="K10" s="32">
        <v>0.13</v>
      </c>
    </row>
    <row r="11" spans="1:11">
      <c r="A11" t="s">
        <v>171</v>
      </c>
      <c r="B11" s="32">
        <v>0.092</v>
      </c>
      <c r="C11" s="32">
        <v>0.136</v>
      </c>
      <c r="D11" s="32">
        <v>0.248</v>
      </c>
      <c r="E11" s="32">
        <v>0.299</v>
      </c>
      <c r="F11" s="32">
        <v>0.311</v>
      </c>
      <c r="G11" s="32">
        <v>0.293</v>
      </c>
      <c r="H11" s="32">
        <v>0.139</v>
      </c>
      <c r="I11" s="32">
        <v>0.198</v>
      </c>
      <c r="J11" s="32">
        <v>0.245</v>
      </c>
      <c r="K11" s="32">
        <v>0.259</v>
      </c>
    </row>
    <row r="12" spans="1:11">
      <c r="A12" t="s">
        <v>172</v>
      </c>
      <c r="B12" s="32">
        <v>0.029</v>
      </c>
      <c r="C12" s="32">
        <v>0.073</v>
      </c>
      <c r="D12" s="32">
        <v>0.185</v>
      </c>
      <c r="E12" s="32">
        <v>0.251</v>
      </c>
      <c r="F12" s="32">
        <v>0.19</v>
      </c>
      <c r="G12" s="32">
        <v>0.199</v>
      </c>
      <c r="H12" s="32">
        <v>0.039</v>
      </c>
      <c r="I12" s="32">
        <v>0.092</v>
      </c>
      <c r="J12" s="32">
        <v>0.123</v>
      </c>
      <c r="K12" s="32">
        <v>0.133</v>
      </c>
    </row>
    <row r="15" spans="1:11">
      <c r="A15" s="3" t="s">
        <v>173</v>
      </c>
    </row>
    <row r="16" spans="1:11">
      <c r="A16" s="18" t="s">
        <v>154</v>
      </c>
      <c r="B16" s="9" t="s">
        <v>174</v>
      </c>
      <c r="C16" s="9" t="s">
        <v>175</v>
      </c>
      <c r="D16" s="9" t="s">
        <v>176</v>
      </c>
    </row>
    <row r="17" spans="1:6">
      <c r="A17" s="22" t="s">
        <v>177</v>
      </c>
      <c r="B17" s="32">
        <v>0.479</v>
      </c>
      <c r="C17" s="32">
        <v>0.294</v>
      </c>
      <c r="D17" s="17" t="s">
        <v>178</v>
      </c>
    </row>
    <row r="18" spans="1:6">
      <c r="A18" s="22" t="s">
        <v>179</v>
      </c>
      <c r="B18" s="32">
        <v>0.253</v>
      </c>
      <c r="C18" s="32">
        <v>0.096</v>
      </c>
      <c r="D18" s="17" t="s">
        <v>180</v>
      </c>
    </row>
    <row r="19" spans="1:6">
      <c r="A19" s="22" t="s">
        <v>181</v>
      </c>
      <c r="B19" s="32">
        <v>0.137</v>
      </c>
      <c r="C19" s="32">
        <v>0.357</v>
      </c>
      <c r="D19" s="17" t="s">
        <v>182</v>
      </c>
    </row>
    <row r="20" spans="1:6">
      <c r="A20" s="22" t="s">
        <v>183</v>
      </c>
      <c r="B20" s="32">
        <v>0.507</v>
      </c>
      <c r="C20" s="32">
        <v>0.216</v>
      </c>
      <c r="D20" s="17" t="s">
        <v>184</v>
      </c>
    </row>
    <row r="21" spans="1:6">
      <c r="A21" s="11" t="s">
        <v>185</v>
      </c>
      <c r="B21" s="32">
        <v>0.06</v>
      </c>
      <c r="C21" s="32"/>
      <c r="D21" s="17" t="s">
        <v>186</v>
      </c>
    </row>
    <row r="24" spans="1:6">
      <c r="A24" s="3" t="s">
        <v>187</v>
      </c>
    </row>
    <row r="25" spans="1:6">
      <c r="A25" s="18" t="s">
        <v>188</v>
      </c>
      <c r="B25" s="9" t="s">
        <v>189</v>
      </c>
      <c r="C25" s="9" t="s">
        <v>190</v>
      </c>
      <c r="D25" s="9" t="s">
        <v>191</v>
      </c>
      <c r="E25" s="9" t="s">
        <v>192</v>
      </c>
      <c r="F25" s="9" t="s">
        <v>193</v>
      </c>
    </row>
    <row r="26" spans="1:6">
      <c r="A26" s="22" t="s">
        <v>159</v>
      </c>
      <c r="B26" s="7">
        <v>1.82</v>
      </c>
      <c r="C26" s="22" t="s">
        <v>194</v>
      </c>
      <c r="D26" s="22" t="s">
        <v>195</v>
      </c>
      <c r="E26" s="22" t="s">
        <v>196</v>
      </c>
      <c r="F26" s="22" t="s">
        <v>197</v>
      </c>
    </row>
    <row r="27" spans="1:6">
      <c r="A27" s="22" t="s">
        <v>160</v>
      </c>
      <c r="B27" s="7">
        <v>2.31</v>
      </c>
      <c r="C27" s="22" t="s">
        <v>198</v>
      </c>
      <c r="D27" s="22" t="s">
        <v>199</v>
      </c>
      <c r="E27" s="22" t="s">
        <v>200</v>
      </c>
      <c r="F27" s="22" t="s">
        <v>201</v>
      </c>
    </row>
    <row r="28" spans="1:6">
      <c r="A28" s="22" t="s">
        <v>161</v>
      </c>
      <c r="B28" s="7">
        <v>1.34</v>
      </c>
      <c r="C28" s="22" t="s">
        <v>202</v>
      </c>
      <c r="D28" s="22" t="s">
        <v>197</v>
      </c>
      <c r="E28" s="22" t="s">
        <v>203</v>
      </c>
      <c r="F28" s="22" t="s">
        <v>204</v>
      </c>
    </row>
    <row r="29" spans="1:6">
      <c r="A29" s="22" t="s">
        <v>162</v>
      </c>
      <c r="B29" s="7">
        <v>1.51</v>
      </c>
      <c r="C29" s="22" t="s">
        <v>205</v>
      </c>
      <c r="D29" s="22" t="s">
        <v>206</v>
      </c>
      <c r="E29" s="22" t="s">
        <v>207</v>
      </c>
      <c r="F29" s="22" t="s">
        <v>208</v>
      </c>
    </row>
    <row r="30" spans="1:6">
      <c r="A30" s="22" t="s">
        <v>163</v>
      </c>
      <c r="B30" s="7">
        <v>3.12</v>
      </c>
      <c r="C30" s="22" t="s">
        <v>209</v>
      </c>
      <c r="D30" s="22" t="s">
        <v>210</v>
      </c>
      <c r="E30" s="22" t="s">
        <v>211</v>
      </c>
      <c r="F30" s="22" t="s">
        <v>212</v>
      </c>
    </row>
    <row r="31" spans="1:6">
      <c r="A31" s="11" t="s">
        <v>213</v>
      </c>
      <c r="B31" s="31">
        <v>4.4</v>
      </c>
      <c r="C31" s="33" t="s">
        <v>214</v>
      </c>
      <c r="D31" s="33" t="s">
        <v>215</v>
      </c>
      <c r="E31" s="33" t="s">
        <v>216</v>
      </c>
      <c r="F31" s="33" t="s">
        <v>217</v>
      </c>
    </row>
    <row r="33" spans="1:1">
      <c r="A33" s="17" t="s">
        <v>218</v>
      </c>
    </row>
    <row r="34" spans="1:1">
      <c r="A34" s="17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17055"/>
  </sheetPr>
  <dimension ref="A1:C36"/>
  <sheetViews>
    <sheetView workbookViewId="0"/>
  </sheetViews>
  <sheetFormatPr defaultRowHeight="15"/>
  <cols>
    <col min="1" max="1" width="36.7109375" customWidth="1"/>
    <col min="2" max="3" width="18.7109375" customWidth="1"/>
  </cols>
  <sheetData>
    <row r="1" spans="1:3">
      <c r="A1" s="1" t="s">
        <v>220</v>
      </c>
    </row>
    <row r="2" spans="1:3">
      <c r="A2" s="2" t="s">
        <v>221</v>
      </c>
    </row>
    <row r="4" spans="1:3">
      <c r="A4" s="3" t="s">
        <v>222</v>
      </c>
    </row>
    <row r="5" spans="1:3">
      <c r="A5" s="18" t="s">
        <v>223</v>
      </c>
      <c r="B5" s="9" t="s">
        <v>224</v>
      </c>
      <c r="C5" s="9" t="s">
        <v>225</v>
      </c>
    </row>
    <row r="6" spans="1:3">
      <c r="A6" s="22" t="s">
        <v>226</v>
      </c>
      <c r="B6" s="22" t="s">
        <v>227</v>
      </c>
      <c r="C6" s="17" t="s">
        <v>228</v>
      </c>
    </row>
    <row r="7" spans="1:3">
      <c r="A7" s="22" t="s">
        <v>229</v>
      </c>
      <c r="B7" s="22" t="s">
        <v>230</v>
      </c>
      <c r="C7" s="17" t="s">
        <v>231</v>
      </c>
    </row>
    <row r="8" spans="1:3">
      <c r="A8" s="22" t="s">
        <v>232</v>
      </c>
      <c r="B8" s="22" t="s">
        <v>233</v>
      </c>
      <c r="C8" s="17" t="s">
        <v>234</v>
      </c>
    </row>
    <row r="9" spans="1:3">
      <c r="A9" s="22" t="s">
        <v>235</v>
      </c>
      <c r="B9" s="22" t="s">
        <v>230</v>
      </c>
      <c r="C9" s="17" t="s">
        <v>236</v>
      </c>
    </row>
    <row r="10" spans="1:3">
      <c r="A10" s="22" t="s">
        <v>237</v>
      </c>
      <c r="B10" s="22" t="s">
        <v>233</v>
      </c>
      <c r="C10" s="17" t="s">
        <v>238</v>
      </c>
    </row>
    <row r="11" spans="1:3">
      <c r="A11" s="11">
        <f> BASE CASE WACC</f>
        <v>0</v>
      </c>
      <c r="B11" s="11" t="s">
        <v>54</v>
      </c>
      <c r="C11" s="17" t="s">
        <v>239</v>
      </c>
    </row>
    <row r="12" spans="1:3">
      <c r="A12" s="22" t="s">
        <v>240</v>
      </c>
      <c r="B12" s="22" t="s">
        <v>55</v>
      </c>
      <c r="C12" s="17" t="s">
        <v>241</v>
      </c>
    </row>
    <row r="13" spans="1:3">
      <c r="A13" s="22" t="s">
        <v>242</v>
      </c>
      <c r="B13" s="22" t="s">
        <v>53</v>
      </c>
      <c r="C13" s="17" t="s">
        <v>243</v>
      </c>
    </row>
    <row r="16" spans="1:3">
      <c r="A16" s="3" t="s">
        <v>244</v>
      </c>
    </row>
    <row r="17" spans="1:3">
      <c r="A17" s="18" t="s">
        <v>245</v>
      </c>
      <c r="B17" s="9" t="s">
        <v>246</v>
      </c>
      <c r="C17" s="9" t="s">
        <v>176</v>
      </c>
    </row>
    <row r="18" spans="1:3">
      <c r="A18" s="22" t="s">
        <v>247</v>
      </c>
      <c r="B18" s="22" t="s">
        <v>248</v>
      </c>
      <c r="C18" s="17" t="s">
        <v>249</v>
      </c>
    </row>
    <row r="19" spans="1:3">
      <c r="A19" s="22" t="s">
        <v>250</v>
      </c>
      <c r="B19" s="22" t="s">
        <v>251</v>
      </c>
      <c r="C19" s="17" t="s">
        <v>252</v>
      </c>
    </row>
    <row r="20" spans="1:3">
      <c r="A20" s="22" t="s">
        <v>253</v>
      </c>
      <c r="B20" s="22" t="s">
        <v>254</v>
      </c>
      <c r="C20" s="17" t="s">
        <v>255</v>
      </c>
    </row>
    <row r="21" spans="1:3">
      <c r="A21" s="11" t="s">
        <v>256</v>
      </c>
      <c r="B21" s="11" t="s">
        <v>257</v>
      </c>
      <c r="C21" s="17" t="s">
        <v>258</v>
      </c>
    </row>
    <row r="22" spans="1:3">
      <c r="A22" s="22" t="s">
        <v>259</v>
      </c>
      <c r="B22" s="22" t="s">
        <v>260</v>
      </c>
      <c r="C22" s="17" t="s">
        <v>261</v>
      </c>
    </row>
    <row r="25" spans="1:3">
      <c r="A25" s="3" t="s">
        <v>262</v>
      </c>
    </row>
    <row r="26" spans="1:3">
      <c r="A26" s="11" t="s">
        <v>263</v>
      </c>
    </row>
    <row r="27" spans="1:3">
      <c r="A27" s="17" t="s">
        <v>264</v>
      </c>
    </row>
    <row r="28" spans="1:3">
      <c r="A28" s="17" t="s">
        <v>265</v>
      </c>
    </row>
    <row r="29" spans="1:3">
      <c r="A29" s="17" t="s">
        <v>266</v>
      </c>
    </row>
    <row r="31" spans="1:3">
      <c r="A31" s="11" t="s">
        <v>267</v>
      </c>
    </row>
    <row r="32" spans="1:3">
      <c r="A32" s="17" t="s">
        <v>268</v>
      </c>
    </row>
    <row r="33" spans="1:1">
      <c r="A33" s="17" t="s">
        <v>269</v>
      </c>
    </row>
    <row r="34" spans="1:1">
      <c r="A34" s="17" t="s">
        <v>270</v>
      </c>
    </row>
    <row r="35" spans="1:1">
      <c r="A35" s="17" t="s">
        <v>271</v>
      </c>
    </row>
    <row r="36" spans="1:1">
      <c r="A36" s="1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</vt:lpstr>
      <vt:lpstr>WACC &amp; 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2026-06-25T03:39:48Z</dcterms:created>
  <dcterms:modified xsi:type="dcterms:W3CDTF">2026-06-25T03:39:48Z</dcterms:modified>
</cp:coreProperties>
</file>