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Historical Financials" sheetId="2" state="visible" r:id="rId4"/>
    <sheet name="DCF Assumptions" sheetId="3" state="visible" r:id="rId5"/>
    <sheet name="DCF Model" sheetId="4" state="visible" r:id="rId6"/>
    <sheet name="Sensitivity" sheetId="5" state="visible" r:id="rId7"/>
    <sheet name="Valuation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<sst xmlns="http://schemas.openxmlformats.org/spreadsheetml/2006/main" count="185" uniqueCount="178">
  <si>
    <t xml:space="preserve">THIRD AGE HEALTH SERVICES LIMITED (TAH.NZ)</t>
  </si>
  <si>
    <t xml:space="preserve">DISCOUNTED CASH FLOW VALUATION MODEL</t>
  </si>
  <si>
    <t xml:space="preserve">As of December 30, 2025</t>
  </si>
  <si>
    <t xml:space="preserve">Company Description</t>
  </si>
  <si>
    <t xml:space="preserve">Third Age Health is New Zealand's premier provider of managed medical services for aged</t>
  </si>
  <si>
    <t xml:space="preserve">residential care facilities, private hospitals, and secure dementia centers. The company</t>
  </si>
  <si>
    <t xml:space="preserve">provides 24/7 healthcare services to elderly residents through two segments:</t>
  </si>
  <si>
    <t xml:space="preserve">  1) Aged Medical Residential Care Services - medical care for aged care sector</t>
  </si>
  <si>
    <t xml:space="preserve">  2) General Practice Medical Services - primary care services to community</t>
  </si>
  <si>
    <t xml:space="preserve">Key Investment Highlights</t>
  </si>
  <si>
    <t xml:space="preserve">• Aging population tailwind - NZ's 65+ population reaching 20% by 2028</t>
  </si>
  <si>
    <t xml:space="preserve">• Demand for 15,000 additional aged care beds by 2030</t>
  </si>
  <si>
    <t xml:space="preserve">• Asset-light business model with strong cash flow conversion</t>
  </si>
  <si>
    <t xml:space="preserve">• Consistent revenue growth (26% FY25, 45% H1 FY26)</t>
  </si>
  <si>
    <t xml:space="preserve">• High return on equity (~72%) and ROIC (~27%)</t>
  </si>
  <si>
    <t xml:space="preserve">• Strong gross margins (~52%) and growing EBITDA margins</t>
  </si>
  <si>
    <t xml:space="preserve">Key Metrics Summary</t>
  </si>
  <si>
    <t xml:space="preserve">Current</t>
  </si>
  <si>
    <t xml:space="preserve">Share Price (NZD)</t>
  </si>
  <si>
    <t xml:space="preserve">Shares Outstanding (M)</t>
  </si>
  <si>
    <t xml:space="preserve">Market Cap (NZD M)</t>
  </si>
  <si>
    <t xml:space="preserve">Net Debt (NZD M)</t>
  </si>
  <si>
    <t xml:space="preserve">Enterprise Value (NZD M)</t>
  </si>
  <si>
    <t xml:space="preserve">TTM Revenue (NZD M)</t>
  </si>
  <si>
    <t xml:space="preserve">TTM EBITDA (NZD M)</t>
  </si>
  <si>
    <t xml:space="preserve">TTM Net Income (NZD M)</t>
  </si>
  <si>
    <t xml:space="preserve">TTM Free Cash Flow (NZD M)</t>
  </si>
  <si>
    <t xml:space="preserve">EV/Revenue</t>
  </si>
  <si>
    <t xml:space="preserve">EV/EBITDA</t>
  </si>
  <si>
    <t xml:space="preserve">P/E Ratio</t>
  </si>
  <si>
    <t xml:space="preserve">EV/FCF</t>
  </si>
  <si>
    <t xml:space="preserve">FCF Yield (%)</t>
  </si>
  <si>
    <t xml:space="preserve">HISTORICAL FINANCIALS (NZD Millions)</t>
  </si>
  <si>
    <t xml:space="preserve">Fiscal Year End: March 31</t>
  </si>
  <si>
    <t xml:space="preserve">FY2022</t>
  </si>
  <si>
    <t xml:space="preserve">FY2023</t>
  </si>
  <si>
    <t xml:space="preserve">FY2024</t>
  </si>
  <si>
    <t xml:space="preserve">FY2025</t>
  </si>
  <si>
    <t xml:space="preserve">H1 FY2026</t>
  </si>
  <si>
    <t xml:space="preserve">Revenue</t>
  </si>
  <si>
    <t xml:space="preserve">Revenue Growth %</t>
  </si>
  <si>
    <t xml:space="preserve">N/A</t>
  </si>
  <si>
    <t xml:space="preserve">Gross Profit</t>
  </si>
  <si>
    <t xml:space="preserve">Gross Margin %</t>
  </si>
  <si>
    <t xml:space="preserve">EBITDA</t>
  </si>
  <si>
    <t xml:space="preserve">EBITDA Margin %</t>
  </si>
  <si>
    <t xml:space="preserve">Depreciation &amp; Amort.</t>
  </si>
  <si>
    <t xml:space="preserve">EBIT</t>
  </si>
  <si>
    <t xml:space="preserve">EBIT Margin %</t>
  </si>
  <si>
    <t xml:space="preserve">Interest Expense</t>
  </si>
  <si>
    <t xml:space="preserve">Pre-Tax Income</t>
  </si>
  <si>
    <t xml:space="preserve">Income Tax (28%)</t>
  </si>
  <si>
    <t xml:space="preserve">Net Income</t>
  </si>
  <si>
    <t xml:space="preserve">Net Margin %</t>
  </si>
  <si>
    <t xml:space="preserve">Operating Cash Flow</t>
  </si>
  <si>
    <t xml:space="preserve">CapEx</t>
  </si>
  <si>
    <t xml:space="preserve">Free Cash Flow</t>
  </si>
  <si>
    <t xml:space="preserve">FCF Conversion %</t>
  </si>
  <si>
    <t xml:space="preserve">DCF MODEL ASSUMPTIONS</t>
  </si>
  <si>
    <t xml:space="preserve">REVENUE ASSUMPTIONS</t>
  </si>
  <si>
    <t xml:space="preserve">Base Year Revenue (FY2025, NZD M)</t>
  </si>
  <si>
    <t xml:space="preserve">Source: Company FY2025 Annual Report</t>
  </si>
  <si>
    <t xml:space="preserve">Year 1 Revenue Growth (FY2026)</t>
  </si>
  <si>
    <t xml:space="preserve">Strong H1 momentum (+45%), Hub acquisition benefits</t>
  </si>
  <si>
    <t xml:space="preserve">Year 2 Revenue Growth (FY2027)</t>
  </si>
  <si>
    <t xml:space="preserve">Continued organic growth + acquisitions</t>
  </si>
  <si>
    <t xml:space="preserve">Year 3 Revenue Growth (FY2028)</t>
  </si>
  <si>
    <t xml:space="preserve">Industry tailwinds, 65+ population growth</t>
  </si>
  <si>
    <t xml:space="preserve">Year 4 Revenue Growth (FY2029)</t>
  </si>
  <si>
    <t xml:space="preserve">Maturing growth trajectory</t>
  </si>
  <si>
    <t xml:space="preserve">Year 5 Revenue Growth (FY2030)</t>
  </si>
  <si>
    <t xml:space="preserve">Sustainable long-term growth</t>
  </si>
  <si>
    <t xml:space="preserve">Terminal Growth Rate</t>
  </si>
  <si>
    <t xml:space="preserve">NZ long-term GDP + population growth</t>
  </si>
  <si>
    <t xml:space="preserve">MARGIN ASSUMPTIONS</t>
  </si>
  <si>
    <t xml:space="preserve">EBITDA Margin Year 1</t>
  </si>
  <si>
    <t xml:space="preserve">Slight expansion from current 24.5%</t>
  </si>
  <si>
    <t xml:space="preserve">EBITDA Margin Year 2-3</t>
  </si>
  <si>
    <t xml:space="preserve">Scale benefits</t>
  </si>
  <si>
    <t xml:space="preserve">EBITDA Margin Year 4-5</t>
  </si>
  <si>
    <t xml:space="preserve">Operating leverage</t>
  </si>
  <si>
    <t xml:space="preserve">Terminal EBITDA Margin</t>
  </si>
  <si>
    <t xml:space="preserve">Sustainable margin</t>
  </si>
  <si>
    <t xml:space="preserve">D&amp;A as % of Revenue</t>
  </si>
  <si>
    <t xml:space="preserve">Asset-light model</t>
  </si>
  <si>
    <t xml:space="preserve">CapEx as % of Revenue</t>
  </si>
  <si>
    <t xml:space="preserve">Minimal capital requirements</t>
  </si>
  <si>
    <t xml:space="preserve">NWC Change as % of Rev Growth</t>
  </si>
  <si>
    <t xml:space="preserve">Working capital efficiency</t>
  </si>
  <si>
    <t xml:space="preserve">WACC ASSUMPTIONS</t>
  </si>
  <si>
    <t xml:space="preserve">Risk-Free Rate (NZ 10Y Govt Bond)</t>
  </si>
  <si>
    <t xml:space="preserve">Source: RBNZ, Dec 2025</t>
  </si>
  <si>
    <t xml:space="preserve">Equity Risk Premium</t>
  </si>
  <si>
    <t xml:space="preserve">NZ market risk premium</t>
  </si>
  <si>
    <t xml:space="preserve">Unlevered Beta</t>
  </si>
  <si>
    <t xml:space="preserve">Healthcare services sector</t>
  </si>
  <si>
    <t xml:space="preserve">Target Debt/Equity</t>
  </si>
  <si>
    <t xml:space="preserve">Company target capital structure</t>
  </si>
  <si>
    <t xml:space="preserve">Cost of Debt (pre-tax)</t>
  </si>
  <si>
    <t xml:space="preserve">Estimated bank lending rate</t>
  </si>
  <si>
    <t xml:space="preserve">Tax Rate</t>
  </si>
  <si>
    <t xml:space="preserve">NZ corporate tax rate</t>
  </si>
  <si>
    <t xml:space="preserve">Company Specific Premium</t>
  </si>
  <si>
    <t xml:space="preserve">Small cap / liquidity premium</t>
  </si>
  <si>
    <t xml:space="preserve">WACC CALCULATION</t>
  </si>
  <si>
    <t xml:space="preserve">Levered Beta</t>
  </si>
  <si>
    <t xml:space="preserve">Cost of Equity</t>
  </si>
  <si>
    <t xml:space="preserve">After-Tax Cost of Debt</t>
  </si>
  <si>
    <t xml:space="preserve">Weight of Equity</t>
  </si>
  <si>
    <t xml:space="preserve">Weight of Debt</t>
  </si>
  <si>
    <t xml:space="preserve">WACC</t>
  </si>
  <si>
    <t xml:space="preserve">DISCOUNTED CASH FLOW MODEL</t>
  </si>
  <si>
    <t xml:space="preserve">Projection Period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</si>
  <si>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</si>
  <si>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</si>
  <si>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</si>
  <si>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</si>
  <si>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</si>
  <si>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Terminal</t>
  </si>
  <si>
    <t xml:space="preserve">Year</t>
  </si>
  <si>
    <t xml:space="preserve">REVENUE PROJECTIONS</t>
  </si>
  <si>
    <t xml:space="preserve">Revenue Growth Rate</t>
  </si>
  <si>
    <t xml:space="preserve">Revenue (NZD M)</t>
  </si>
  <si>
    <t xml:space="preserve">EBITDA CALCULATION</t>
  </si>
  <si>
    <t xml:space="preserve">EBITDA Margin</t>
  </si>
  <si>
    <t xml:space="preserve">EBITDA (NZD M)</t>
  </si>
  <si>
    <t xml:space="preserve">FREE CASH FLOW CALCULATION</t>
  </si>
  <si>
    <t xml:space="preserve">Less: D&amp;A</t>
  </si>
  <si>
    <t xml:space="preserve">Less: Taxes (28%)</t>
  </si>
  <si>
    <t xml:space="preserve">NOPAT (Net Operating Profit After Tax)</t>
  </si>
  <si>
    <t xml:space="preserve">Add: D&amp;A</t>
  </si>
  <si>
    <t xml:space="preserve">Less: CapEx</t>
  </si>
  <si>
    <t xml:space="preserve">Less: Change in NWC</t>
  </si>
  <si>
    <t xml:space="preserve">Unlevered Free Cash Flow</t>
  </si>
  <si>
    <t xml:space="preserve">TERMINAL VALUE</t>
  </si>
  <si>
    <t xml:space="preserve">Terminal Year FCF</t>
  </si>
  <si>
    <t xml:space="preserve">Terminal Value (Gordon Growth)</t>
  </si>
  <si>
    <t xml:space="preserve">Terminal Value / Final Year EBITDA</t>
  </si>
  <si>
    <t xml:space="preserve">DCF VALUATION</t>
  </si>
  <si>
    <t xml:space="preserve">Discount Rate (WACC)</t>
  </si>
  <si>
    <t xml:space="preserve">Discount Factor</t>
  </si>
  <si>
    <t xml:space="preserve">Present Value of FCF</t>
  </si>
  <si>
    <t xml:space="preserve">PV of Terminal Value</t>
  </si>
  <si>
    <t xml:space="preserve">Sum of PV of FCFs</t>
  </si>
  <si>
    <t xml:space="preserve">Enterprise Value</t>
  </si>
  <si>
    <t xml:space="preserve">Less: Net Debt</t>
  </si>
  <si>
    <t xml:space="preserve">Equity Value (NZD M)</t>
  </si>
  <si>
    <t xml:space="preserve">Implied Share Price (NZD)</t>
  </si>
  <si>
    <t xml:space="preserve">Current Share Price (NZD)</t>
  </si>
  <si>
    <t xml:space="preserve">Upside / (Downside) %</t>
  </si>
  <si>
    <t xml:space="preserve">SENSITIVITY ANALYSIS</t>
  </si>
  <si>
    <t xml:space="preserve">Base Case Implied Share Price (NZD)</t>
  </si>
  <si>
    <t xml:space="preserve">WACC vs Terminal Growth Rate</t>
  </si>
  <si>
    <t xml:space="preserve">Terminal Growth →</t>
  </si>
  <si>
    <t xml:space="preserve">WACC ↓</t>
  </si>
  <si>
    <t xml:space="preserve">Revenue Growth vs EBITDA Margin</t>
  </si>
  <si>
    <t xml:space="preserve">EBITDA Margin →</t>
  </si>
  <si>
    <t xml:space="preserve">Rev Growth Y1 ↓</t>
  </si>
  <si>
    <t xml:space="preserve">Note: Base case highlighted in yellow</t>
  </si>
  <si>
    <t xml:space="preserve">VALUATION SUMMARY - FOOTBALL FIELD</t>
  </si>
  <si>
    <t xml:space="preserve">Valuation Methodology</t>
  </si>
  <si>
    <t xml:space="preserve">Low</t>
  </si>
  <si>
    <t xml:space="preserve">Base</t>
  </si>
  <si>
    <t xml:space="preserve">High</t>
  </si>
  <si>
    <t xml:space="preserve">DCF (WACC 10-12%, TG 2-3%)</t>
  </si>
  <si>
    <t xml:space="preserve">EV/EBITDA (7-12x)</t>
  </si>
  <si>
    <t xml:space="preserve">EV/Revenue (2-3x)</t>
  </si>
  <si>
    <t xml:space="preserve">P/E (15-25x)</t>
  </si>
  <si>
    <t xml:space="preserve">Current Share Price</t>
  </si>
  <si>
    <t xml:space="preserve">INVESTMENT RECOMMENDATION</t>
  </si>
  <si>
    <t xml:space="preserve">Based on DCF analysis, the intrinsic value of TAH.NZ appears to be</t>
  </si>
  <si>
    <t xml:space="preserve">above the current trading price, suggesting potential upside.</t>
  </si>
  <si>
    <t xml:space="preserve">Key Risks:</t>
  </si>
  <si>
    <t xml:space="preserve">• Healthcare worker shortages could pressure margins</t>
  </si>
  <si>
    <t xml:space="preserve">• Government funding policy changes</t>
  </si>
  <si>
    <t xml:space="preserve">• Competition from larger players</t>
  </si>
  <si>
    <t xml:space="preserve">• Key personnel risk (lean management team)</t>
  </si>
  <si>
    <t xml:space="preserve">• Small cap liquidity risk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</si>
</sst>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F3F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F3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5" customFormat="false" ht="15" hidden="false" customHeight="false" outlineLevel="0" collapsed="false">
      <c r="A15" s="0" t="s">
        <v>12</v>
      </c>
    </row>
    <row r="16" customFormat="false" ht="15" hidden="false" customHeight="false" outlineLevel="0" collapsed="false">
      <c r="A16" s="0" t="s">
        <v>13</v>
      </c>
    </row>
    <row r="17" customFormat="false" ht="15" hidden="false" customHeight="false" outlineLevel="0" collapsed="false">
      <c r="A17" s="0" t="s">
        <v>14</v>
      </c>
    </row>
    <row r="18" customFormat="false" ht="15" hidden="false" customHeight="false" outlineLevel="0" collapsed="false">
      <c r="A18" s="0" t="s">
        <v>15</v>
      </c>
    </row>
    <row r="20" customFormat="false" ht="15" hidden="false" customHeight="false" outlineLevel="0" collapsed="false">
      <c r="A20" s="3" t="s">
        <v>16</v>
      </c>
      <c r="B20" s="3" t="s">
        <v>17</v>
      </c>
    </row>
    <row r="21" customFormat="false" ht="15" hidden="false" customHeight="false" outlineLevel="0" collapsed="false">
      <c r="A21" s="0" t="s">
        <v>18</v>
      </c>
      <c r="B21" s="4" t="n">
        <v>4.8</v>
      </c>
    </row>
    <row r="22" customFormat="false" ht="15" hidden="false" customHeight="false" outlineLevel="0" collapsed="false">
      <c r="A22" s="0" t="s">
        <v>19</v>
      </c>
      <c r="B22" s="4" t="n">
        <v>9.95</v>
      </c>
    </row>
    <row r="23" customFormat="false" ht="15" hidden="false" customHeight="false" outlineLevel="0" collapsed="false">
      <c r="A23" s="0" t="s">
        <v>20</v>
      </c>
      <c r="B23" s="5" t="n">
        <f aca="false">B21*B22</f>
        <v>47.76</v>
      </c>
    </row>
    <row r="24" customFormat="false" ht="15" hidden="false" customHeight="false" outlineLevel="0" collapsed="false">
      <c r="A24" s="0" t="s">
        <v>21</v>
      </c>
      <c r="B24" s="4" t="n">
        <v>2.13</v>
      </c>
    </row>
    <row r="25" customFormat="false" ht="15" hidden="false" customHeight="false" outlineLevel="0" collapsed="false">
      <c r="A25" s="0" t="s">
        <v>22</v>
      </c>
      <c r="B25" s="5" t="n">
        <f aca="false">B23+B24</f>
        <v>49.89</v>
      </c>
    </row>
    <row r="26" customFormat="false" ht="15" hidden="false" customHeight="false" outlineLevel="0" collapsed="false">
      <c r="A26" s="0" t="s">
        <v>23</v>
      </c>
      <c r="B26" s="4" t="n">
        <v>20.32</v>
      </c>
    </row>
    <row r="27" customFormat="false" ht="15" hidden="false" customHeight="false" outlineLevel="0" collapsed="false">
      <c r="A27" s="0" t="s">
        <v>24</v>
      </c>
      <c r="B27" s="4" t="n">
        <v>4.68</v>
      </c>
    </row>
    <row r="28" customFormat="false" ht="15" hidden="false" customHeight="false" outlineLevel="0" collapsed="false">
      <c r="A28" s="0" t="s">
        <v>25</v>
      </c>
      <c r="B28" s="4" t="n">
        <v>2.73</v>
      </c>
    </row>
    <row r="29" customFormat="false" ht="15" hidden="false" customHeight="false" outlineLevel="0" collapsed="false">
      <c r="A29" s="0" t="s">
        <v>26</v>
      </c>
      <c r="B29" s="4" t="n">
        <v>3.5</v>
      </c>
    </row>
    <row r="30" customFormat="false" ht="15" hidden="false" customHeight="false" outlineLevel="0" collapsed="false">
      <c r="A30" s="0" t="s">
        <v>27</v>
      </c>
      <c r="B30" s="5" t="n">
        <f aca="false">B25/B26</f>
        <v>2.45521653543307</v>
      </c>
    </row>
    <row r="31" customFormat="false" ht="15" hidden="false" customHeight="false" outlineLevel="0" collapsed="false">
      <c r="A31" s="0" t="s">
        <v>28</v>
      </c>
      <c r="B31" s="5" t="n">
        <f aca="false">B25/B27</f>
        <v>10.6602564102564</v>
      </c>
    </row>
    <row r="32" customFormat="false" ht="15" hidden="false" customHeight="false" outlineLevel="0" collapsed="false">
      <c r="A32" s="0" t="s">
        <v>29</v>
      </c>
      <c r="B32" s="5" t="n">
        <f aca="false">B23/B28</f>
        <v>17.4945054945055</v>
      </c>
    </row>
    <row r="33" customFormat="false" ht="15" hidden="false" customHeight="false" outlineLevel="0" collapsed="false">
      <c r="A33" s="0" t="s">
        <v>30</v>
      </c>
      <c r="B33" s="5" t="n">
        <f aca="false">B25/B29</f>
        <v>14.2542857142857</v>
      </c>
    </row>
    <row r="34" customFormat="false" ht="15" hidden="false" customHeight="false" outlineLevel="0" collapsed="false">
      <c r="A34" s="0" t="s">
        <v>31</v>
      </c>
      <c r="B34" s="5" t="n">
        <f aca="false">B29/B23*100</f>
        <v>7.32830820770519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2" t="s">
        <v>32</v>
      </c>
    </row>
    <row r="3" customFormat="false" ht="15" hidden="false" customHeight="false" outlineLevel="0" collapsed="false">
      <c r="A3" s="0" t="s">
        <v>33</v>
      </c>
    </row>
    <row r="4" customFormat="false" ht="15" hidden="false" customHeight="false" outlineLevel="0" collapsed="false"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</row>
    <row r="5" customFormat="false" ht="15" hidden="false" customHeight="false" outlineLevel="0" collapsed="false">
      <c r="A5" s="0" t="s">
        <v>39</v>
      </c>
      <c r="B5" s="4" t="n">
        <v>9.5</v>
      </c>
      <c r="C5" s="4" t="n">
        <v>11.5</v>
      </c>
      <c r="D5" s="4" t="n">
        <v>15.15</v>
      </c>
      <c r="E5" s="4" t="n">
        <v>19.08</v>
      </c>
      <c r="F5" s="4" t="n">
        <v>10.65</v>
      </c>
    </row>
    <row r="6" customFormat="false" ht="15" hidden="false" customHeight="false" outlineLevel="0" collapsed="false">
      <c r="A6" s="0" t="s">
        <v>40</v>
      </c>
      <c r="B6" s="0" t="s">
        <v>41</v>
      </c>
      <c r="C6" s="5" t="n">
        <f aca="false">C5/B5-1</f>
        <v>0.210526315789474</v>
      </c>
      <c r="D6" s="5" t="n">
        <f aca="false">D5/C5-1</f>
        <v>0.317391304347826</v>
      </c>
      <c r="E6" s="5" t="n">
        <f aca="false">E5/D5-1</f>
        <v>0.259405940594059</v>
      </c>
      <c r="F6" s="5" t="n">
        <f aca="false">F5/(E5/2)-1</f>
        <v>0.116352201257862</v>
      </c>
    </row>
    <row r="8" customFormat="false" ht="15" hidden="false" customHeight="false" outlineLevel="0" collapsed="false">
      <c r="A8" s="0" t="s">
        <v>42</v>
      </c>
      <c r="B8" s="4" t="n">
        <v>4.5</v>
      </c>
      <c r="C8" s="4" t="n">
        <v>5.5</v>
      </c>
      <c r="D8" s="4" t="n">
        <v>7.21</v>
      </c>
      <c r="E8" s="4" t="n">
        <v>9.95</v>
      </c>
      <c r="F8" s="4" t="n">
        <v>5.5</v>
      </c>
    </row>
    <row r="9" customFormat="false" ht="15" hidden="false" customHeight="false" outlineLevel="0" collapsed="false">
      <c r="A9" s="0" t="s">
        <v>43</v>
      </c>
      <c r="B9" s="5" t="n">
        <f aca="false">B8/B5</f>
        <v>0.473684210526316</v>
      </c>
      <c r="C9" s="5" t="n">
        <f aca="false">C8/C5</f>
        <v>0.478260869565217</v>
      </c>
      <c r="D9" s="5" t="n">
        <f aca="false">D8/D5</f>
        <v>0.475907590759076</v>
      </c>
      <c r="E9" s="5" t="n">
        <f aca="false">E8/E5</f>
        <v>0.521488469601677</v>
      </c>
      <c r="F9" s="5" t="n">
        <f aca="false">F8/F5</f>
        <v>0.516431924882629</v>
      </c>
    </row>
    <row r="11" customFormat="false" ht="15" hidden="false" customHeight="false" outlineLevel="0" collapsed="false">
      <c r="A11" s="0" t="s">
        <v>44</v>
      </c>
      <c r="B11" s="4" t="n">
        <v>1.8</v>
      </c>
      <c r="C11" s="4" t="n">
        <v>2.3</v>
      </c>
      <c r="D11" s="4" t="n">
        <v>3.2</v>
      </c>
      <c r="E11" s="4" t="n">
        <v>4.68</v>
      </c>
      <c r="F11" s="4" t="n">
        <v>2.8</v>
      </c>
    </row>
    <row r="12" customFormat="false" ht="15" hidden="false" customHeight="false" outlineLevel="0" collapsed="false">
      <c r="A12" s="0" t="s">
        <v>45</v>
      </c>
      <c r="B12" s="5" t="n">
        <f aca="false">B11/B5</f>
        <v>0.189473684210526</v>
      </c>
      <c r="C12" s="5" t="n">
        <f aca="false">C11/C5</f>
        <v>0.2</v>
      </c>
      <c r="D12" s="5" t="n">
        <f aca="false">D11/D5</f>
        <v>0.211221122112211</v>
      </c>
      <c r="E12" s="5" t="n">
        <f aca="false">E11/E5</f>
        <v>0.245283018867925</v>
      </c>
      <c r="F12" s="5" t="n">
        <f aca="false">F11/F5</f>
        <v>0.262910798122066</v>
      </c>
    </row>
    <row r="14" customFormat="false" ht="15" hidden="false" customHeight="false" outlineLevel="0" collapsed="false">
      <c r="A14" s="0" t="s">
        <v>46</v>
      </c>
      <c r="B14" s="4" t="n">
        <v>0.2</v>
      </c>
      <c r="C14" s="4" t="n">
        <v>0.25</v>
      </c>
      <c r="D14" s="4" t="n">
        <v>0.35</v>
      </c>
      <c r="E14" s="4" t="n">
        <v>0.45</v>
      </c>
      <c r="F14" s="4" t="n">
        <v>0.25</v>
      </c>
    </row>
    <row r="15" customFormat="false" ht="15" hidden="false" customHeight="false" outlineLevel="0" collapsed="false">
      <c r="A15" s="0" t="s">
        <v>47</v>
      </c>
      <c r="B15" s="5" t="n">
        <f aca="false">B11-B14</f>
        <v>1.6</v>
      </c>
      <c r="C15" s="5" t="n">
        <f aca="false">C11-C14</f>
        <v>2.05</v>
      </c>
      <c r="D15" s="5" t="n">
        <f aca="false">D11-D14</f>
        <v>2.85</v>
      </c>
      <c r="E15" s="5" t="n">
        <f aca="false">E11-E14</f>
        <v>4.23</v>
      </c>
      <c r="F15" s="5" t="n">
        <f aca="false">F11-F14</f>
        <v>2.55</v>
      </c>
    </row>
    <row r="16" customFormat="false" ht="15" hidden="false" customHeight="false" outlineLevel="0" collapsed="false">
      <c r="A16" s="0" t="s">
        <v>48</v>
      </c>
      <c r="B16" s="5" t="n">
        <f aca="false">B15/B5</f>
        <v>0.168421052631579</v>
      </c>
      <c r="C16" s="5" t="n">
        <f aca="false">C15/C5</f>
        <v>0.178260869565217</v>
      </c>
      <c r="D16" s="5" t="n">
        <f aca="false">D15/D5</f>
        <v>0.188118811881188</v>
      </c>
      <c r="E16" s="5" t="n">
        <f aca="false">E15/E5</f>
        <v>0.221698113207547</v>
      </c>
      <c r="F16" s="5" t="n">
        <f aca="false">F15/F5</f>
        <v>0.23943661971831</v>
      </c>
    </row>
    <row r="18" customFormat="false" ht="15" hidden="false" customHeight="false" outlineLevel="0" collapsed="false">
      <c r="A18" s="0" t="s">
        <v>49</v>
      </c>
      <c r="B18" s="4" t="n">
        <v>0.1</v>
      </c>
      <c r="C18" s="4" t="n">
        <v>0.12</v>
      </c>
      <c r="D18" s="4" t="n">
        <v>0.18</v>
      </c>
      <c r="E18" s="4" t="n">
        <v>0.22</v>
      </c>
      <c r="F18" s="4" t="n">
        <v>0.12</v>
      </c>
    </row>
    <row r="19" customFormat="false" ht="15" hidden="false" customHeight="false" outlineLevel="0" collapsed="false">
      <c r="A19" s="0" t="s">
        <v>50</v>
      </c>
      <c r="B19" s="5" t="n">
        <f aca="false">B15-B18</f>
        <v>1.5</v>
      </c>
      <c r="C19" s="5" t="n">
        <f aca="false">C15-C18</f>
        <v>1.93</v>
      </c>
      <c r="D19" s="5" t="n">
        <f aca="false">D15-D18</f>
        <v>2.67</v>
      </c>
      <c r="E19" s="5" t="n">
        <f aca="false">E15-E18</f>
        <v>4.01</v>
      </c>
      <c r="F19" s="5" t="n">
        <f aca="false">F15-F18</f>
        <v>2.43</v>
      </c>
    </row>
    <row r="20" customFormat="false" ht="15" hidden="false" customHeight="false" outlineLevel="0" collapsed="false">
      <c r="A20" s="0" t="s">
        <v>51</v>
      </c>
      <c r="B20" s="5" t="n">
        <f aca="false">B19*0.28</f>
        <v>0.42</v>
      </c>
      <c r="C20" s="5" t="n">
        <f aca="false">C19*0.28</f>
        <v>0.5404</v>
      </c>
      <c r="D20" s="5" t="n">
        <f aca="false">D19*0.28</f>
        <v>0.7476</v>
      </c>
      <c r="E20" s="5" t="n">
        <f aca="false">E19*0.28</f>
        <v>1.1228</v>
      </c>
      <c r="F20" s="5" t="n">
        <f aca="false">F19*0.28</f>
        <v>0.6804</v>
      </c>
    </row>
    <row r="21" customFormat="false" ht="15" hidden="false" customHeight="false" outlineLevel="0" collapsed="false">
      <c r="A21" s="0" t="s">
        <v>52</v>
      </c>
      <c r="B21" s="5" t="n">
        <f aca="false">B19-B20</f>
        <v>1.08</v>
      </c>
      <c r="C21" s="5" t="n">
        <f aca="false">C19-C20</f>
        <v>1.3896</v>
      </c>
      <c r="D21" s="5" t="n">
        <f aca="false">D19-D20</f>
        <v>1.9224</v>
      </c>
      <c r="E21" s="5" t="n">
        <f aca="false">E19-E20</f>
        <v>2.8872</v>
      </c>
      <c r="F21" s="5" t="n">
        <f aca="false">F19-F20</f>
        <v>1.7496</v>
      </c>
    </row>
    <row r="22" customFormat="false" ht="15" hidden="false" customHeight="false" outlineLevel="0" collapsed="false">
      <c r="A22" s="0" t="s">
        <v>53</v>
      </c>
      <c r="B22" s="5" t="n">
        <f aca="false">B21/B5</f>
        <v>0.113684210526316</v>
      </c>
      <c r="C22" s="5" t="n">
        <f aca="false">C21/C5</f>
        <v>0.120834782608696</v>
      </c>
      <c r="D22" s="5" t="n">
        <f aca="false">D21/D5</f>
        <v>0.126891089108911</v>
      </c>
      <c r="E22" s="5" t="n">
        <f aca="false">E21/E5</f>
        <v>0.151320754716981</v>
      </c>
      <c r="F22" s="5" t="n">
        <f aca="false">F21/F5</f>
        <v>0.164281690140845</v>
      </c>
    </row>
    <row r="24" customFormat="false" ht="15" hidden="false" customHeight="false" outlineLevel="0" collapsed="false">
      <c r="A24" s="0" t="s">
        <v>54</v>
      </c>
      <c r="B24" s="4" t="n">
        <v>1.6</v>
      </c>
      <c r="C24" s="4" t="n">
        <v>2.1</v>
      </c>
      <c r="D24" s="4" t="n">
        <v>3</v>
      </c>
      <c r="E24" s="4" t="n">
        <v>3.42</v>
      </c>
      <c r="F24" s="4" t="n">
        <v>2</v>
      </c>
    </row>
    <row r="25" customFormat="false" ht="15" hidden="false" customHeight="false" outlineLevel="0" collapsed="false">
      <c r="A25" s="0" t="s">
        <v>55</v>
      </c>
      <c r="B25" s="4" t="n">
        <v>0.05</v>
      </c>
      <c r="C25" s="4" t="n">
        <v>0.05</v>
      </c>
      <c r="D25" s="4" t="n">
        <v>0.05</v>
      </c>
      <c r="E25" s="4" t="n">
        <v>0.05</v>
      </c>
      <c r="F25" s="4" t="n">
        <v>0.03</v>
      </c>
    </row>
    <row r="26" customFormat="false" ht="15" hidden="false" customHeight="false" outlineLevel="0" collapsed="false">
      <c r="A26" s="0" t="s">
        <v>56</v>
      </c>
      <c r="B26" s="5" t="n">
        <f aca="false">B24-B25</f>
        <v>1.55</v>
      </c>
      <c r="C26" s="5" t="n">
        <f aca="false">C24-C25</f>
        <v>2.05</v>
      </c>
      <c r="D26" s="5" t="n">
        <f aca="false">D24-D25</f>
        <v>2.95</v>
      </c>
      <c r="E26" s="5" t="n">
        <f aca="false">E24-E25</f>
        <v>3.37</v>
      </c>
      <c r="F26" s="5" t="n">
        <f aca="false">F24-F25</f>
        <v>1.97</v>
      </c>
    </row>
    <row r="27" customFormat="false" ht="15" hidden="false" customHeight="false" outlineLevel="0" collapsed="false">
      <c r="A27" s="0" t="s">
        <v>57</v>
      </c>
      <c r="B27" s="5" t="n">
        <f aca="false">B26/B21</f>
        <v>1.43518518518519</v>
      </c>
      <c r="C27" s="5" t="n">
        <f aca="false">C26/C21</f>
        <v>1.47524467472654</v>
      </c>
      <c r="D27" s="5" t="n">
        <f aca="false">D26/D21</f>
        <v>1.53454015813566</v>
      </c>
      <c r="E27" s="5" t="n">
        <f aca="false">E26/E21</f>
        <v>1.1672208367969</v>
      </c>
      <c r="F27" s="5" t="n">
        <f aca="false">F26/F21</f>
        <v>1.12597165066301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" t="s">
        <v>58</v>
      </c>
    </row>
    <row r="3" customFormat="false" ht="15" hidden="false" customHeight="false" outlineLevel="0" collapsed="false">
      <c r="A3" s="3" t="s">
        <v>59</v>
      </c>
    </row>
    <row r="4" customFormat="false" ht="15" hidden="false" customHeight="false" outlineLevel="0" collapsed="false">
      <c r="A4" s="0" t="s">
        <v>60</v>
      </c>
      <c r="B4" s="6" t="n">
        <v>19.08</v>
      </c>
      <c r="C4" s="7" t="s">
        <v>61</v>
      </c>
    </row>
    <row r="5" customFormat="false" ht="15" hidden="false" customHeight="false" outlineLevel="0" collapsed="false">
      <c r="A5" s="0" t="s">
        <v>62</v>
      </c>
      <c r="B5" s="6" t="n">
        <v>0.3</v>
      </c>
      <c r="C5" s="7" t="s">
        <v>63</v>
      </c>
    </row>
    <row r="6" customFormat="false" ht="15" hidden="false" customHeight="false" outlineLevel="0" collapsed="false">
      <c r="A6" s="0" t="s">
        <v>64</v>
      </c>
      <c r="B6" s="6" t="n">
        <v>0.2</v>
      </c>
      <c r="C6" s="7" t="s">
        <v>65</v>
      </c>
    </row>
    <row r="7" customFormat="false" ht="15" hidden="false" customHeight="false" outlineLevel="0" collapsed="false">
      <c r="A7" s="0" t="s">
        <v>66</v>
      </c>
      <c r="B7" s="6" t="n">
        <v>0.15</v>
      </c>
      <c r="C7" s="7" t="s">
        <v>67</v>
      </c>
    </row>
    <row r="8" customFormat="false" ht="15" hidden="false" customHeight="false" outlineLevel="0" collapsed="false">
      <c r="A8" s="0" t="s">
        <v>68</v>
      </c>
      <c r="B8" s="6" t="n">
        <v>0.12</v>
      </c>
      <c r="C8" s="7" t="s">
        <v>69</v>
      </c>
    </row>
    <row r="9" customFormat="false" ht="15" hidden="false" customHeight="false" outlineLevel="0" collapsed="false">
      <c r="A9" s="0" t="s">
        <v>70</v>
      </c>
      <c r="B9" s="6" t="n">
        <v>0.1</v>
      </c>
      <c r="C9" s="7" t="s">
        <v>71</v>
      </c>
    </row>
    <row r="10" customFormat="false" ht="15" hidden="false" customHeight="false" outlineLevel="0" collapsed="false">
      <c r="A10" s="0" t="s">
        <v>72</v>
      </c>
      <c r="B10" s="6" t="n">
        <v>0.025</v>
      </c>
      <c r="C10" s="7" t="s">
        <v>73</v>
      </c>
    </row>
    <row r="12" customFormat="false" ht="15" hidden="false" customHeight="false" outlineLevel="0" collapsed="false">
      <c r="A12" s="3" t="s">
        <v>74</v>
      </c>
    </row>
    <row r="13" customFormat="false" ht="15" hidden="false" customHeight="false" outlineLevel="0" collapsed="false">
      <c r="A13" s="0" t="s">
        <v>75</v>
      </c>
      <c r="B13" s="6" t="n">
        <v>0.25</v>
      </c>
      <c r="C13" s="7" t="s">
        <v>76</v>
      </c>
    </row>
    <row r="14" customFormat="false" ht="15" hidden="false" customHeight="false" outlineLevel="0" collapsed="false">
      <c r="A14" s="0" t="s">
        <v>77</v>
      </c>
      <c r="B14" s="6" t="n">
        <v>0.26</v>
      </c>
      <c r="C14" s="7" t="s">
        <v>78</v>
      </c>
    </row>
    <row r="15" customFormat="false" ht="15" hidden="false" customHeight="false" outlineLevel="0" collapsed="false">
      <c r="A15" s="0" t="s">
        <v>79</v>
      </c>
      <c r="B15" s="6" t="n">
        <v>0.27</v>
      </c>
      <c r="C15" s="7" t="s">
        <v>80</v>
      </c>
    </row>
    <row r="16" customFormat="false" ht="15" hidden="false" customHeight="false" outlineLevel="0" collapsed="false">
      <c r="A16" s="0" t="s">
        <v>81</v>
      </c>
      <c r="B16" s="6" t="n">
        <v>0.27</v>
      </c>
      <c r="C16" s="7" t="s">
        <v>82</v>
      </c>
    </row>
    <row r="17" customFormat="false" ht="15" hidden="false" customHeight="false" outlineLevel="0" collapsed="false">
      <c r="A17" s="0" t="s">
        <v>83</v>
      </c>
      <c r="B17" s="6" t="n">
        <v>0.023</v>
      </c>
      <c r="C17" s="7" t="s">
        <v>84</v>
      </c>
    </row>
    <row r="18" customFormat="false" ht="15" hidden="false" customHeight="false" outlineLevel="0" collapsed="false">
      <c r="A18" s="0" t="s">
        <v>85</v>
      </c>
      <c r="B18" s="6" t="n">
        <v>0.005</v>
      </c>
      <c r="C18" s="7" t="s">
        <v>86</v>
      </c>
    </row>
    <row r="19" customFormat="false" ht="15" hidden="false" customHeight="false" outlineLevel="0" collapsed="false">
      <c r="A19" s="0" t="s">
        <v>87</v>
      </c>
      <c r="B19" s="6" t="n">
        <v>0.05</v>
      </c>
      <c r="C19" s="7" t="s">
        <v>88</v>
      </c>
    </row>
    <row r="22" customFormat="false" ht="15" hidden="false" customHeight="false" outlineLevel="0" collapsed="false">
      <c r="A22" s="3" t="s">
        <v>89</v>
      </c>
    </row>
    <row r="23" customFormat="false" ht="15" hidden="false" customHeight="false" outlineLevel="0" collapsed="false">
      <c r="A23" s="0" t="s">
        <v>90</v>
      </c>
      <c r="B23" s="6" t="n">
        <v>0.045</v>
      </c>
      <c r="C23" s="7" t="s">
        <v>91</v>
      </c>
    </row>
    <row r="24" customFormat="false" ht="15" hidden="false" customHeight="false" outlineLevel="0" collapsed="false">
      <c r="A24" s="0" t="s">
        <v>92</v>
      </c>
      <c r="B24" s="6" t="n">
        <v>0.055</v>
      </c>
      <c r="C24" s="7" t="s">
        <v>93</v>
      </c>
    </row>
    <row r="25" customFormat="false" ht="15" hidden="false" customHeight="false" outlineLevel="0" collapsed="false">
      <c r="A25" s="0" t="s">
        <v>94</v>
      </c>
      <c r="B25" s="6" t="n">
        <v>0.8</v>
      </c>
      <c r="C25" s="7" t="s">
        <v>95</v>
      </c>
    </row>
    <row r="26" customFormat="false" ht="15" hidden="false" customHeight="false" outlineLevel="0" collapsed="false">
      <c r="A26" s="0" t="s">
        <v>96</v>
      </c>
      <c r="B26" s="6" t="n">
        <v>0.4</v>
      </c>
      <c r="C26" s="7" t="s">
        <v>97</v>
      </c>
    </row>
    <row r="27" customFormat="false" ht="15" hidden="false" customHeight="false" outlineLevel="0" collapsed="false">
      <c r="A27" s="0" t="s">
        <v>98</v>
      </c>
      <c r="B27" s="6" t="n">
        <v>0.07</v>
      </c>
      <c r="C27" s="7" t="s">
        <v>99</v>
      </c>
    </row>
    <row r="28" customFormat="false" ht="15" hidden="false" customHeight="false" outlineLevel="0" collapsed="false">
      <c r="A28" s="0" t="s">
        <v>100</v>
      </c>
      <c r="B28" s="6" t="n">
        <v>0.28</v>
      </c>
      <c r="C28" s="7" t="s">
        <v>101</v>
      </c>
    </row>
    <row r="29" customFormat="false" ht="15" hidden="false" customHeight="false" outlineLevel="0" collapsed="false">
      <c r="A29" s="0" t="s">
        <v>102</v>
      </c>
      <c r="B29" s="6" t="n">
        <v>0.02</v>
      </c>
      <c r="C29" s="7" t="s">
        <v>103</v>
      </c>
    </row>
    <row r="32" customFormat="false" ht="15" hidden="false" customHeight="false" outlineLevel="0" collapsed="false">
      <c r="A32" s="3" t="s">
        <v>104</v>
      </c>
    </row>
    <row r="33" customFormat="false" ht="15" hidden="false" customHeight="false" outlineLevel="0" collapsed="false">
      <c r="A33" s="0" t="s">
        <v>105</v>
      </c>
      <c r="B33" s="5" t="n">
        <f aca="false">B25*(1+(1-B28)*B26)</f>
        <v>1.0304</v>
      </c>
    </row>
    <row r="34" customFormat="false" ht="15" hidden="false" customHeight="false" outlineLevel="0" collapsed="false">
      <c r="A34" s="0" t="s">
        <v>106</v>
      </c>
      <c r="B34" s="5" t="n">
        <f aca="false">B23+B33*B24+B29</f>
        <v>0.121672</v>
      </c>
    </row>
    <row r="35" customFormat="false" ht="15" hidden="false" customHeight="false" outlineLevel="0" collapsed="false">
      <c r="A35" s="0" t="s">
        <v>107</v>
      </c>
      <c r="B35" s="5" t="n">
        <f aca="false">B27*(1-B28)</f>
        <v>0.0504</v>
      </c>
    </row>
    <row r="36" customFormat="false" ht="15" hidden="false" customHeight="false" outlineLevel="0" collapsed="false">
      <c r="A36" s="0" t="s">
        <v>108</v>
      </c>
      <c r="B36" s="5" t="n">
        <f aca="false">1/(1+B26)</f>
        <v>0.714285714285714</v>
      </c>
    </row>
    <row r="37" customFormat="false" ht="15" hidden="false" customHeight="false" outlineLevel="0" collapsed="false">
      <c r="A37" s="0" t="s">
        <v>109</v>
      </c>
      <c r="B37" s="5" t="n">
        <f aca="false">B26/(1+B26)</f>
        <v>0.285714285714286</v>
      </c>
    </row>
    <row r="38" customFormat="false" ht="15" hidden="false" customHeight="false" outlineLevel="0" collapsed="false">
      <c r="A38" s="0" t="s">
        <v>110</v>
      </c>
      <c r="B38" s="8" t="n">
        <f aca="false">B34*B36+B35*B37</f>
        <v>0.101308571428571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</row>
    <row r="4" customFormat="false" ht="15" hidden="false" customHeight="false" outlineLevel="0" collapsed="false">
      <c r="A4" s="0" t="s">
        <v>119</v>
      </c>
      <c r="B4" s="0" t="n">
        <v>1</v>
      </c>
      <c r="C4" s="0" t="n">
        <v>2</v>
      </c>
      <c r="D4" s="0" t="n">
        <v>3</v>
      </c>
      <c r="E4" s="0" t="n">
        <v>4</v>
      </c>
      <c r="F4" s="0" t="n">
        <v>5</v>
      </c>
    </row>
    <row r="6" customFormat="false" ht="15" hidden="false" customHeight="false" outlineLevel="0" collapsed="false">
      <c r="A6" s="3" t="s">
        <v>120</v>
      </c>
    </row>
    <row r="7" customFormat="false" ht="15" hidden="false" customHeight="false" outlineLevel="0" collapsed="false">
      <c r="A7" s="0" t="s">
        <v>121</v>
      </c>
      <c r="B7" s="9" t="n">
        <f aca="false">'DCF Assumptions'!B5</f>
        <v>0.3</v>
      </c>
      <c r="C7" s="9" t="n">
        <f aca="false">'DCF Assumptions'!B6</f>
        <v>0.2</v>
      </c>
      <c r="D7" s="9" t="n">
        <f aca="false">'DCF Assumptions'!B7</f>
        <v>0.15</v>
      </c>
      <c r="E7" s="9" t="n">
        <f aca="false">'DCF Assumptions'!B8</f>
        <v>0.12</v>
      </c>
      <c r="F7" s="9" t="n">
        <f aca="false">'DCF Assumptions'!B9</f>
        <v>0.1</v>
      </c>
      <c r="G7" s="9" t="n">
        <f aca="false">'DCF Assumptions'!B10</f>
        <v>0.025</v>
      </c>
    </row>
    <row r="8" customFormat="false" ht="15" hidden="false" customHeight="false" outlineLevel="0" collapsed="false">
      <c r="A8" s="0" t="s">
        <v>122</v>
      </c>
      <c r="B8" s="5" t="n">
        <f aca="false">'DCF Assumptions'!B4*(1+B7)</f>
        <v>24.804</v>
      </c>
      <c r="C8" s="5" t="n">
        <f aca="false">B8*(1+C7)</f>
        <v>29.7648</v>
      </c>
      <c r="D8" s="5" t="n">
        <f aca="false">C8*(1+D7)</f>
        <v>34.22952</v>
      </c>
      <c r="E8" s="5" t="n">
        <f aca="false">D8*(1+E7)</f>
        <v>38.3370624</v>
      </c>
      <c r="F8" s="5" t="n">
        <f aca="false">E8*(1+F7)</f>
        <v>42.17076864</v>
      </c>
    </row>
    <row r="10" customFormat="false" ht="15" hidden="false" customHeight="false" outlineLevel="0" collapsed="false">
      <c r="A10" s="3" t="s">
        <v>123</v>
      </c>
    </row>
    <row r="11" customFormat="false" ht="15" hidden="false" customHeight="false" outlineLevel="0" collapsed="false">
      <c r="A11" s="0" t="s">
        <v>124</v>
      </c>
      <c r="B11" s="9" t="n">
        <f aca="false">'DCF Assumptions'!B13</f>
        <v>0.25</v>
      </c>
      <c r="C11" s="9" t="n">
        <f aca="false">'DCF Assumptions'!B14</f>
        <v>0.26</v>
      </c>
      <c r="D11" s="9" t="n">
        <f aca="false">'DCF Assumptions'!B14</f>
        <v>0.26</v>
      </c>
      <c r="E11" s="9" t="n">
        <f aca="false">'DCF Assumptions'!B15</f>
        <v>0.27</v>
      </c>
      <c r="F11" s="9" t="n">
        <f aca="false">'DCF Assumptions'!B15</f>
        <v>0.27</v>
      </c>
    </row>
    <row r="12" customFormat="false" ht="15" hidden="false" customHeight="false" outlineLevel="0" collapsed="false">
      <c r="A12" s="0" t="s">
        <v>125</v>
      </c>
      <c r="B12" s="5" t="n">
        <f aca="false">B8*B11</f>
        <v>6.201</v>
      </c>
      <c r="C12" s="5" t="n">
        <f aca="false">C8*C11</f>
        <v>7.738848</v>
      </c>
      <c r="D12" s="5" t="n">
        <f aca="false">D8*D11</f>
        <v>8.8996752</v>
      </c>
      <c r="E12" s="5" t="n">
        <f aca="false">E8*E11</f>
        <v>10.351006848</v>
      </c>
      <c r="F12" s="5" t="n">
        <f aca="false">F8*F11</f>
        <v>11.3861075328</v>
      </c>
    </row>
    <row r="14" customFormat="false" ht="15" hidden="false" customHeight="false" outlineLevel="0" collapsed="false">
      <c r="A14" s="3" t="s">
        <v>126</v>
      </c>
    </row>
    <row r="15" customFormat="false" ht="15" hidden="false" customHeight="false" outlineLevel="0" collapsed="false">
      <c r="A15" s="0" t="s">
        <v>44</v>
      </c>
      <c r="B15" s="5" t="n">
        <f aca="false">B12</f>
        <v>6.201</v>
      </c>
      <c r="C15" s="5" t="n">
        <f aca="false">C12</f>
        <v>7.738848</v>
      </c>
      <c r="D15" s="5" t="n">
        <f aca="false">D12</f>
        <v>8.8996752</v>
      </c>
      <c r="E15" s="5" t="n">
        <f aca="false">E12</f>
        <v>10.351006848</v>
      </c>
      <c r="F15" s="5" t="n">
        <f aca="false">F12</f>
        <v>11.3861075328</v>
      </c>
    </row>
    <row r="16" customFormat="false" ht="15" hidden="false" customHeight="false" outlineLevel="0" collapsed="false">
      <c r="A16" s="0" t="s">
        <v>127</v>
      </c>
      <c r="B16" s="5" t="n">
        <f aca="false">-B8*'DCF Assumptions'!$B$17</f>
        <v>-0.570492</v>
      </c>
      <c r="C16" s="5" t="n">
        <f aca="false">-C8*'DCF Assumptions'!$B$17</f>
        <v>-0.6845904</v>
      </c>
      <c r="D16" s="5" t="n">
        <f aca="false">-D8*'DCF Assumptions'!$B$17</f>
        <v>-0.78727896</v>
      </c>
      <c r="E16" s="5" t="n">
        <f aca="false">-E8*'DCF Assumptions'!$B$17</f>
        <v>-0.8817524352</v>
      </c>
      <c r="F16" s="5" t="n">
        <f aca="false">-F8*'DCF Assumptions'!$B$17</f>
        <v>-0.96992767872</v>
      </c>
    </row>
    <row r="17" customFormat="false" ht="15" hidden="false" customHeight="false" outlineLevel="0" collapsed="false">
      <c r="A17" s="0" t="s">
        <v>47</v>
      </c>
      <c r="B17" s="5" t="n">
        <f aca="false">B15+B16</f>
        <v>5.630508</v>
      </c>
      <c r="C17" s="5" t="n">
        <f aca="false">C15+C16</f>
        <v>7.0542576</v>
      </c>
      <c r="D17" s="5" t="n">
        <f aca="false">D15+D16</f>
        <v>8.11239624</v>
      </c>
      <c r="E17" s="5" t="n">
        <f aca="false">E15+E16</f>
        <v>9.4692544128</v>
      </c>
      <c r="F17" s="5" t="n">
        <f aca="false">F15+F16</f>
        <v>10.41617985408</v>
      </c>
    </row>
    <row r="18" customFormat="false" ht="15" hidden="false" customHeight="false" outlineLevel="0" collapsed="false">
      <c r="A18" s="0" t="s">
        <v>128</v>
      </c>
      <c r="B18" s="5" t="n">
        <f aca="false">-B17*0.28</f>
        <v>-1.57654224</v>
      </c>
      <c r="C18" s="5" t="n">
        <f aca="false">-C17*0.28</f>
        <v>-1.975192128</v>
      </c>
      <c r="D18" s="5" t="n">
        <f aca="false">-D17*0.28</f>
        <v>-2.2714709472</v>
      </c>
      <c r="E18" s="5" t="n">
        <f aca="false">-E17*0.28</f>
        <v>-2.651391235584</v>
      </c>
      <c r="F18" s="5" t="n">
        <f aca="false">-F17*0.28</f>
        <v>-2.9165303591424</v>
      </c>
    </row>
    <row r="19" customFormat="false" ht="15" hidden="false" customHeight="false" outlineLevel="0" collapsed="false">
      <c r="A19" s="0" t="s">
        <v>129</v>
      </c>
      <c r="B19" s="5" t="n">
        <f aca="false">B17+B18</f>
        <v>4.05396576</v>
      </c>
      <c r="C19" s="5" t="n">
        <f aca="false">C17+C18</f>
        <v>5.079065472</v>
      </c>
      <c r="D19" s="5" t="n">
        <f aca="false">D17+D18</f>
        <v>5.8409252928</v>
      </c>
      <c r="E19" s="5" t="n">
        <f aca="false">E17+E18</f>
        <v>6.817863177216</v>
      </c>
      <c r="F19" s="5" t="n">
        <f aca="false">F17+F18</f>
        <v>7.4996494949376</v>
      </c>
    </row>
    <row r="20" customFormat="false" ht="15" hidden="false" customHeight="false" outlineLevel="0" collapsed="false">
      <c r="A20" s="0" t="s">
        <v>130</v>
      </c>
      <c r="B20" s="5" t="n">
        <f aca="false">-B16</f>
        <v>0.570492</v>
      </c>
      <c r="C20" s="5" t="n">
        <f aca="false">-C16</f>
        <v>0.6845904</v>
      </c>
      <c r="D20" s="5" t="n">
        <f aca="false">-D16</f>
        <v>0.78727896</v>
      </c>
      <c r="E20" s="5" t="n">
        <f aca="false">-E16</f>
        <v>0.8817524352</v>
      </c>
      <c r="F20" s="5" t="n">
        <f aca="false">-F16</f>
        <v>0.96992767872</v>
      </c>
    </row>
    <row r="21" customFormat="false" ht="15" hidden="false" customHeight="false" outlineLevel="0" collapsed="false">
      <c r="A21" s="0" t="s">
        <v>131</v>
      </c>
      <c r="B21" s="5" t="n">
        <f aca="false">-B8*'DCF Assumptions'!$B$18</f>
        <v>-0.12402</v>
      </c>
      <c r="C21" s="5" t="n">
        <f aca="false">-C8*'DCF Assumptions'!$B$18</f>
        <v>-0.148824</v>
      </c>
      <c r="D21" s="5" t="n">
        <f aca="false">-D8*'DCF Assumptions'!$B$18</f>
        <v>-0.1711476</v>
      </c>
      <c r="E21" s="5" t="n">
        <f aca="false">-E8*'DCF Assumptions'!$B$18</f>
        <v>-0.191685312</v>
      </c>
      <c r="F21" s="5" t="n">
        <f aca="false">-F8*'DCF Assumptions'!$B$18</f>
        <v>-0.2108538432</v>
      </c>
    </row>
    <row r="22" customFormat="false" ht="15" hidden="false" customHeight="false" outlineLevel="0" collapsed="false">
      <c r="A22" s="0" t="s">
        <v>132</v>
      </c>
      <c r="B22" s="5" t="n">
        <f aca="false">-(B8-'DCF Assumptions'!B4)*'DCF Assumptions'!$B$19</f>
        <v>-0.2862</v>
      </c>
      <c r="C22" s="5" t="n">
        <f aca="false">-(C8-B8)*'DCF Assumptions'!$B$19</f>
        <v>-0.24804</v>
      </c>
      <c r="D22" s="5" t="n">
        <f aca="false">-(D8-C8)*'DCF Assumptions'!$B$19</f>
        <v>-0.223236</v>
      </c>
      <c r="E22" s="5" t="n">
        <f aca="false">-(E8-D8)*'DCF Assumptions'!$B$19</f>
        <v>-0.20537712</v>
      </c>
      <c r="F22" s="5" t="n">
        <f aca="false">-(F8-E8)*'DCF Assumptions'!$B$19</f>
        <v>-0.191685312</v>
      </c>
    </row>
    <row r="23" customFormat="false" ht="15" hidden="false" customHeight="false" outlineLevel="0" collapsed="false">
      <c r="A23" s="0" t="s">
        <v>133</v>
      </c>
      <c r="B23" s="8" t="n">
        <f aca="false">B19+B20+B21+B22</f>
        <v>4.21423776</v>
      </c>
      <c r="C23" s="8" t="n">
        <f aca="false">C19+C20+C21+C22</f>
        <v>5.366791872</v>
      </c>
      <c r="D23" s="8" t="n">
        <f aca="false">D19+D20+D21+D22</f>
        <v>6.2338206528</v>
      </c>
      <c r="E23" s="8" t="n">
        <f aca="false">E19+E20+E21+E22</f>
        <v>7.302553180416</v>
      </c>
      <c r="F23" s="8" t="n">
        <f aca="false">F19+F20+F21+F22</f>
        <v>8.0670380184576</v>
      </c>
    </row>
    <row r="25" customFormat="false" ht="15" hidden="false" customHeight="false" outlineLevel="0" collapsed="false">
      <c r="A25" s="3" t="s">
        <v>134</v>
      </c>
    </row>
    <row r="26" customFormat="false" ht="15" hidden="false" customHeight="false" outlineLevel="0" collapsed="false">
      <c r="A26" s="0" t="s">
        <v>72</v>
      </c>
      <c r="B26" s="9" t="n">
        <f aca="false">'DCF Assumptions'!B10</f>
        <v>0.025</v>
      </c>
    </row>
    <row r="27" customFormat="false" ht="15" hidden="false" customHeight="false" outlineLevel="0" collapsed="false">
      <c r="A27" s="0" t="s">
        <v>81</v>
      </c>
      <c r="B27" s="9" t="n">
        <f aca="false">'DCF Assumptions'!B16</f>
        <v>0.27</v>
      </c>
    </row>
    <row r="28" customFormat="false" ht="15" hidden="false" customHeight="false" outlineLevel="0" collapsed="false">
      <c r="A28" s="0" t="s">
        <v>135</v>
      </c>
      <c r="B28" s="5" t="n">
        <f aca="false">F23*(1+B26)</f>
        <v>8.26871396891904</v>
      </c>
    </row>
    <row r="29" customFormat="false" ht="15" hidden="false" customHeight="false" outlineLevel="0" collapsed="false">
      <c r="A29" s="0" t="s">
        <v>110</v>
      </c>
      <c r="B29" s="9" t="n">
        <f aca="false">'DCF Assumptions'!B38</f>
        <v>0.101308571428571</v>
      </c>
    </row>
    <row r="30" customFormat="false" ht="15" hidden="false" customHeight="false" outlineLevel="0" collapsed="false">
      <c r="A30" s="0" t="s">
        <v>136</v>
      </c>
      <c r="B30" s="8" t="n">
        <f aca="false">B28/(B29-B26)</f>
        <v>108.358914524549</v>
      </c>
    </row>
    <row r="31" customFormat="false" ht="15" hidden="false" customHeight="false" outlineLevel="0" collapsed="false">
      <c r="A31" s="0" t="s">
        <v>137</v>
      </c>
      <c r="B31" s="5" t="n">
        <f aca="false">B30/F12</f>
        <v>9.51676542772843</v>
      </c>
    </row>
    <row r="33" customFormat="false" ht="15" hidden="false" customHeight="false" outlineLevel="0" collapsed="false">
      <c r="A33" s="3" t="s">
        <v>138</v>
      </c>
    </row>
    <row r="34" customFormat="false" ht="15" hidden="false" customHeight="false" outlineLevel="0" collapsed="false">
      <c r="A34" s="0" t="s">
        <v>139</v>
      </c>
      <c r="B34" s="9" t="n">
        <f aca="false">'DCF Assumptions'!B38</f>
        <v>0.101308571428571</v>
      </c>
    </row>
    <row r="35" customFormat="false" ht="15" hidden="false" customHeight="false" outlineLevel="0" collapsed="false">
      <c r="A35" s="0" t="s">
        <v>140</v>
      </c>
      <c r="B35" s="5" t="n">
        <f aca="false">1/(1+$B$34)^1</f>
        <v>0.908010730092513</v>
      </c>
      <c r="C35" s="5" t="n">
        <f aca="false">1/(1+$B$34)^2</f>
        <v>0.824483485963139</v>
      </c>
      <c r="D35" s="5" t="n">
        <f aca="false">1/(1+$B$34)^3</f>
        <v>0.74863985203861</v>
      </c>
      <c r="E35" s="5" t="n">
        <f aca="false">1/(1+$B$34)^4</f>
        <v>0.67977301862593</v>
      </c>
      <c r="F35" s="5" t="n">
        <f aca="false">1/(1+$B$34)^5</f>
        <v>0.617241194939722</v>
      </c>
    </row>
    <row r="36" customFormat="false" ht="15" hidden="false" customHeight="false" outlineLevel="0" collapsed="false">
      <c r="A36" s="0" t="s">
        <v>141</v>
      </c>
      <c r="B36" s="5" t="n">
        <f aca="false">B23*B35</f>
        <v>3.82657310524104</v>
      </c>
      <c r="C36" s="5" t="n">
        <f aca="false">C23*C35</f>
        <v>4.4248312710652</v>
      </c>
      <c r="D36" s="5" t="n">
        <f aca="false">D23*D35</f>
        <v>4.66688657114742</v>
      </c>
      <c r="E36" s="5" t="n">
        <f aca="false">E23*E35</f>
        <v>4.96407861912777</v>
      </c>
      <c r="F36" s="5" t="n">
        <f aca="false">F23*F35</f>
        <v>4.97930818613693</v>
      </c>
    </row>
    <row r="37" customFormat="false" ht="15" hidden="false" customHeight="false" outlineLevel="0" collapsed="false">
      <c r="A37" s="0" t="s">
        <v>142</v>
      </c>
      <c r="F37" s="5" t="n">
        <f aca="false">B30*F35</f>
        <v>66.883585883504</v>
      </c>
    </row>
    <row r="39" customFormat="false" ht="15" hidden="false" customHeight="false" outlineLevel="0" collapsed="false">
      <c r="A39" s="0" t="s">
        <v>143</v>
      </c>
      <c r="B39" s="8" t="n">
        <f aca="false">SUM(B36:F36)</f>
        <v>22.8616777527184</v>
      </c>
    </row>
    <row r="40" customFormat="false" ht="15" hidden="false" customHeight="false" outlineLevel="0" collapsed="false">
      <c r="A40" s="0" t="s">
        <v>142</v>
      </c>
      <c r="B40" s="8" t="n">
        <f aca="false">F37</f>
        <v>66.883585883504</v>
      </c>
    </row>
    <row r="41" customFormat="false" ht="15" hidden="false" customHeight="false" outlineLevel="0" collapsed="false">
      <c r="A41" s="0" t="s">
        <v>144</v>
      </c>
      <c r="B41" s="10" t="n">
        <f aca="false">B39+B40</f>
        <v>89.7452636362224</v>
      </c>
    </row>
    <row r="42" customFormat="false" ht="15" hidden="false" customHeight="false" outlineLevel="0" collapsed="false">
      <c r="A42" s="0" t="s">
        <v>145</v>
      </c>
      <c r="B42" s="4" t="n">
        <v>-2.13</v>
      </c>
    </row>
    <row r="43" customFormat="false" ht="15" hidden="false" customHeight="false" outlineLevel="0" collapsed="false">
      <c r="A43" s="0" t="s">
        <v>146</v>
      </c>
      <c r="B43" s="10" t="n">
        <f aca="false">B41+B42</f>
        <v>87.6152636362224</v>
      </c>
    </row>
    <row r="44" customFormat="false" ht="15" hidden="false" customHeight="false" outlineLevel="0" collapsed="false">
      <c r="A44" s="0" t="s">
        <v>19</v>
      </c>
      <c r="B44" s="4" t="n">
        <v>9.95</v>
      </c>
    </row>
    <row r="45" customFormat="false" ht="15" hidden="false" customHeight="false" outlineLevel="0" collapsed="false">
      <c r="A45" s="0" t="s">
        <v>147</v>
      </c>
      <c r="B45" s="11" t="n">
        <f aca="false">B43/B44</f>
        <v>8.80555413429371</v>
      </c>
    </row>
    <row r="47" customFormat="false" ht="15" hidden="false" customHeight="false" outlineLevel="0" collapsed="false">
      <c r="A47" s="0" t="s">
        <v>148</v>
      </c>
      <c r="B47" s="4" t="n">
        <v>4.8</v>
      </c>
    </row>
    <row r="48" customFormat="false" ht="15" hidden="false" customHeight="false" outlineLevel="0" collapsed="false">
      <c r="A48" s="0" t="s">
        <v>149</v>
      </c>
      <c r="B48" s="8" t="n">
        <f aca="false">(B45-B47)/B47</f>
        <v>0.834490444644522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151</v>
      </c>
      <c r="B3" s="12" t="n">
        <f aca="false">'DCF Model'!B45</f>
        <v>8.80555413429371</v>
      </c>
    </row>
    <row r="5" customFormat="false" ht="15" hidden="false" customHeight="false" outlineLevel="0" collapsed="false">
      <c r="A5" s="3" t="s">
        <v>152</v>
      </c>
    </row>
    <row r="7" customFormat="false" ht="15" hidden="false" customHeight="false" outlineLevel="0" collapsed="false">
      <c r="A7" s="0" t="s">
        <v>153</v>
      </c>
      <c r="C7" s="4" t="n">
        <v>0.015</v>
      </c>
      <c r="D7" s="4" t="n">
        <v>0.02</v>
      </c>
      <c r="E7" s="4" t="n">
        <v>0.025</v>
      </c>
      <c r="F7" s="4" t="n">
        <v>0.03</v>
      </c>
      <c r="G7" s="4" t="n">
        <v>0.035</v>
      </c>
    </row>
    <row r="8" customFormat="false" ht="15" hidden="false" customHeight="false" outlineLevel="0" collapsed="false">
      <c r="A8" s="0" t="s">
        <v>154</v>
      </c>
    </row>
    <row r="9" customFormat="false" ht="15" hidden="false" customHeight="false" outlineLevel="0" collapsed="false">
      <c r="B9" s="4" t="n">
        <v>0.09</v>
      </c>
      <c r="C9" s="5" t="n">
        <f aca="false">(('DCF Model'!F23*(1+0.015))/(0.09-0.015)*1/(1+0.09)^5+'DCF Model'!B39+'DCF Model'!B42)/'DCF Model'!B44</f>
        <v>9.21479712181085</v>
      </c>
      <c r="D9" s="5" t="n">
        <f aca="false">(('DCF Model'!F23*(1+0.02))/(0.09-0.02)*1/(1+0.09)^5+'DCF Model'!B39+'DCF Model'!B42)/'DCF Model'!B44</f>
        <v>9.76180770911851</v>
      </c>
      <c r="E9" s="5" t="n">
        <f aca="false">(('DCF Model'!F23*(1+0.025))/(0.09-0.025)*1/(1+0.09)^5+'DCF Model'!B39+'DCF Model'!B42)/'DCF Model'!B44</f>
        <v>10.3929737713966</v>
      </c>
      <c r="F9" s="5" t="n">
        <f aca="false">(('DCF Model'!F23*(1+0.03))/(0.09-0.03)*1/(1+0.09)^5+'DCF Model'!B39+'DCF Model'!B42)/'DCF Model'!B44</f>
        <v>11.1293341773877</v>
      </c>
      <c r="G9" s="5" t="n">
        <f aca="false">(('DCF Model'!F23*(1+0.035))/(0.09-0.035)*1/(1+0.09)^5+'DCF Model'!B39+'DCF Model'!B42)/'DCF Model'!B44</f>
        <v>11.9995782935589</v>
      </c>
    </row>
    <row r="10" customFormat="false" ht="15" hidden="false" customHeight="false" outlineLevel="0" collapsed="false">
      <c r="B10" s="4" t="n">
        <v>0.1</v>
      </c>
      <c r="C10" s="5" t="n">
        <f aca="false">(('DCF Model'!F23*(1+0.015))/(0.1-0.015)*1/(1+0.1)^5+'DCF Model'!B39+'DCF Model'!B42)/'DCF Model'!B44</f>
        <v>8.09497306220998</v>
      </c>
      <c r="D10" s="5" t="n">
        <f aca="false">(('DCF Model'!F23*(1+0.02))/(0.1-0.02)*1/(1+0.1)^5+'DCF Model'!B39+'DCF Model'!B42)/'DCF Model'!B44</f>
        <v>8.50214831431966</v>
      </c>
      <c r="E10" s="5" t="n">
        <f aca="false">(('DCF Model'!F23*(1+0.025))/(0.1-0.025)*1/(1+0.1)^5+'DCF Model'!B39+'DCF Model'!B42)/'DCF Model'!B44</f>
        <v>8.96361360004396</v>
      </c>
      <c r="F10" s="5" t="n">
        <f aca="false">(('DCF Model'!F23*(1+0.03))/(0.1-0.03)*1/(1+0.1)^5+'DCF Model'!B39+'DCF Model'!B42)/'DCF Model'!B44</f>
        <v>9.49100249801458</v>
      </c>
      <c r="G10" s="5" t="n">
        <f aca="false">(('DCF Model'!F23*(1+0.035))/(0.1-0.035)*1/(1+0.1)^5+'DCF Model'!B39+'DCF Model'!B42)/'DCF Model'!B44</f>
        <v>10.0995281495192</v>
      </c>
    </row>
    <row r="11" customFormat="false" ht="15" hidden="false" customHeight="false" outlineLevel="0" collapsed="false">
      <c r="B11" s="4" t="n">
        <v>0.11</v>
      </c>
      <c r="C11" s="5" t="n">
        <f aca="false">(('DCF Model'!F23*(1+0.015))/(0.11-0.015)*1/(1+0.11)^5+'DCF Model'!B39+'DCF Model'!B42)/'DCF Model'!B44</f>
        <v>7.22424197666657</v>
      </c>
      <c r="D11" s="5" t="n">
        <f aca="false">(('DCF Model'!F23*(1+0.02))/(0.11-0.02)*1/(1+0.11)^5+'DCF Model'!B39+'DCF Model'!B42)/'DCF Model'!B44</f>
        <v>7.53656427895952</v>
      </c>
      <c r="E11" s="13" t="n">
        <f aca="false">(('DCF Model'!F23*(1+0.025))/(0.11-0.025)*1/(1+0.11)^5+'DCF Model'!B39+'DCF Model'!B42)/'DCF Model'!B44</f>
        <v>7.88563038152222</v>
      </c>
      <c r="F11" s="5" t="n">
        <f aca="false">(('DCF Model'!F23*(1+0.03))/(0.11-0.03)*1/(1+0.11)^5+'DCF Model'!B39+'DCF Model'!B42)/'DCF Model'!B44</f>
        <v>8.27832974690526</v>
      </c>
      <c r="G11" s="5" t="n">
        <f aca="false">(('DCF Model'!F23*(1+0.035))/(0.11-0.035)*1/(1+0.11)^5+'DCF Model'!B39+'DCF Model'!B42)/'DCF Model'!B44</f>
        <v>8.72338902767271</v>
      </c>
    </row>
    <row r="12" customFormat="false" ht="15" hidden="false" customHeight="false" outlineLevel="0" collapsed="false">
      <c r="B12" s="4" t="n">
        <v>0.12</v>
      </c>
      <c r="C12" s="5" t="n">
        <f aca="false">(('DCF Model'!F23*(1+0.015))/(0.12-0.015)*1/(1+0.12)^5+'DCF Model'!B39+'DCF Model'!B42)/'DCF Model'!B44</f>
        <v>6.53069345975387</v>
      </c>
      <c r="D12" s="5" t="n">
        <f aca="false">(('DCF Model'!F23*(1+0.02))/(0.12-0.02)*1/(1+0.12)^5+'DCF Model'!B39+'DCF Model'!B42)/'DCF Model'!B44</f>
        <v>6.77605112904839</v>
      </c>
      <c r="E12" s="5" t="n">
        <f aca="false">(('DCF Model'!F23*(1+0.025))/(0.12-0.025)*1/(1+0.12)^5+'DCF Model'!B39+'DCF Model'!B42)/'DCF Model'!B44</f>
        <v>7.04723592142654</v>
      </c>
      <c r="F12" s="5" t="n">
        <f aca="false">(('DCF Model'!F23*(1+0.03))/(0.12-0.03)*1/(1+0.12)^5+'DCF Model'!B39+'DCF Model'!B42)/'DCF Model'!B44</f>
        <v>7.34855235740226</v>
      </c>
      <c r="G12" s="5" t="n">
        <f aca="false">(('DCF Model'!F23*(1+0.035))/(0.12-0.035)*1/(1+0.12)^5+'DCF Model'!B39+'DCF Model'!B42)/'DCF Model'!B44</f>
        <v>7.68531778584571</v>
      </c>
    </row>
    <row r="13" customFormat="false" ht="15" hidden="false" customHeight="false" outlineLevel="0" collapsed="false">
      <c r="B13" s="4" t="n">
        <v>0.13</v>
      </c>
      <c r="C13" s="5" t="n">
        <f aca="false">(('DCF Model'!F23*(1+0.015))/(0.13-0.015)*1/(1+0.13)^5+'DCF Model'!B39+'DCF Model'!B42)/'DCF Model'!B44</f>
        <v>5.96747647432364</v>
      </c>
      <c r="D13" s="5" t="n">
        <f aca="false">(('DCF Model'!F23*(1+0.02))/(0.13-0.02)*1/(1+0.13)^5+'DCF Model'!B39+'DCF Model'!B42)/'DCF Model'!B44</f>
        <v>6.16401908832732</v>
      </c>
      <c r="E13" s="5" t="n">
        <f aca="false">(('DCF Model'!F23*(1+0.025))/(0.13-0.025)*1/(1+0.13)^5+'DCF Model'!B39+'DCF Model'!B42)/'DCF Model'!B44</f>
        <v>6.37928004652182</v>
      </c>
      <c r="F13" s="5" t="n">
        <f aca="false">(('DCF Model'!F23*(1+0.03))/(0.13-0.03)*1/(1+0.13)^5+'DCF Model'!B39+'DCF Model'!B42)/'DCF Model'!B44</f>
        <v>6.61606710053577</v>
      </c>
      <c r="G13" s="5" t="n">
        <f aca="false">(('DCF Model'!F23*(1+0.035))/(0.13-0.035)*1/(1+0.13)^5+'DCF Model'!B39+'DCF Model'!B42)/'DCF Model'!B44</f>
        <v>6.87777910760383</v>
      </c>
    </row>
    <row r="16" customFormat="false" ht="15" hidden="false" customHeight="false" outlineLevel="0" collapsed="false">
      <c r="A16" s="3" t="s">
        <v>155</v>
      </c>
    </row>
    <row r="18" customFormat="false" ht="15" hidden="false" customHeight="false" outlineLevel="0" collapsed="false">
      <c r="A18" s="0" t="s">
        <v>156</v>
      </c>
      <c r="C18" s="4" t="n">
        <v>0.23</v>
      </c>
      <c r="D18" s="4" t="n">
        <v>0.25</v>
      </c>
      <c r="E18" s="4" t="n">
        <v>0.27</v>
      </c>
      <c r="F18" s="4" t="n">
        <v>0.29</v>
      </c>
      <c r="G18" s="4" t="n">
        <v>0.31</v>
      </c>
    </row>
    <row r="19" customFormat="false" ht="15" hidden="false" customHeight="false" outlineLevel="0" collapsed="false">
      <c r="A19" s="0" t="s">
        <v>157</v>
      </c>
    </row>
    <row r="20" customFormat="false" ht="15" hidden="false" customHeight="false" outlineLevel="0" collapsed="false">
      <c r="B20" s="4" t="n">
        <v>0.2</v>
      </c>
    </row>
    <row r="21" customFormat="false" ht="15" hidden="false" customHeight="false" outlineLevel="0" collapsed="false">
      <c r="B21" s="4" t="n">
        <v>0.25</v>
      </c>
    </row>
    <row r="22" customFormat="false" ht="15" hidden="false" customHeight="false" outlineLevel="0" collapsed="false">
      <c r="B22" s="4" t="n">
        <v>0.3</v>
      </c>
    </row>
    <row r="23" customFormat="false" ht="15" hidden="false" customHeight="false" outlineLevel="0" collapsed="false">
      <c r="B23" s="4" t="n">
        <v>0.35</v>
      </c>
    </row>
    <row r="24" customFormat="false" ht="15" hidden="false" customHeight="false" outlineLevel="0" collapsed="false">
      <c r="B24" s="4" t="n">
        <v>0.4</v>
      </c>
    </row>
    <row r="26" customFormat="false" ht="15" hidden="false" customHeight="false" outlineLevel="0" collapsed="false">
      <c r="A26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2" t="s">
        <v>159</v>
      </c>
    </row>
    <row r="3" customFormat="false" ht="15" hidden="false" customHeight="false" outlineLevel="0" collapsed="false">
      <c r="A3" s="3" t="s">
        <v>160</v>
      </c>
      <c r="B3" s="3" t="s">
        <v>161</v>
      </c>
      <c r="C3" s="3" t="s">
        <v>162</v>
      </c>
      <c r="D3" s="3" t="s">
        <v>163</v>
      </c>
    </row>
    <row r="4" customFormat="false" ht="15" hidden="false" customHeight="false" outlineLevel="0" collapsed="false">
      <c r="A4" s="0" t="s">
        <v>164</v>
      </c>
      <c r="B4" s="5" t="n">
        <f aca="false">MIN(Sensitivity!C13,Sensitivity!G9)</f>
        <v>5.96747647432364</v>
      </c>
      <c r="C4" s="8" t="n">
        <f aca="false">'DCF Model'!B45</f>
        <v>8.80555413429371</v>
      </c>
      <c r="D4" s="5" t="n">
        <f aca="false">MAX(Sensitivity!C9,Sensitivity!G13)</f>
        <v>9.21479712181085</v>
      </c>
    </row>
    <row r="5" customFormat="false" ht="15" hidden="false" customHeight="false" outlineLevel="0" collapsed="false">
      <c r="A5" s="0" t="s">
        <v>165</v>
      </c>
      <c r="B5" s="5" t="n">
        <f aca="false">(7*'DCF Model'!F12-'DCF Model'!B42)/'DCF Model'!B44</f>
        <v>8.22439725925628</v>
      </c>
      <c r="C5" s="8" t="n">
        <f aca="false">(9.5*'DCF Model'!F12-'DCF Model'!B42)/'DCF Model'!B44</f>
        <v>11.0852282976482</v>
      </c>
      <c r="D5" s="5" t="n">
        <f aca="false">(12*'DCF Model'!F12-'DCF Model'!B42)/'DCF Model'!B44</f>
        <v>13.9460593360402</v>
      </c>
    </row>
    <row r="6" customFormat="false" ht="15" hidden="false" customHeight="false" outlineLevel="0" collapsed="false">
      <c r="A6" s="0" t="s">
        <v>166</v>
      </c>
      <c r="B6" s="5" t="n">
        <f aca="false">(2*'DCF Model'!F8-'DCF Model'!B42)/'DCF Model'!B44</f>
        <v>8.69060676180905</v>
      </c>
      <c r="C6" s="8" t="n">
        <f aca="false">(2.5*'DCF Model'!F8-'DCF Model'!B42)/'DCF Model'!B44</f>
        <v>10.8097408643216</v>
      </c>
      <c r="D6" s="5" t="n">
        <f aca="false">(3*'DCF Model'!F8-'DCF Model'!B42)/'DCF Model'!B44</f>
        <v>12.9288749668342</v>
      </c>
    </row>
    <row r="7" customFormat="false" ht="15" hidden="false" customHeight="false" outlineLevel="0" collapsed="false">
      <c r="A7" s="0" t="s">
        <v>167</v>
      </c>
      <c r="B7" s="5" t="n">
        <f aca="false">15*'DCF Model'!F19/'DCF Model'!B44</f>
        <v>11.306004263725</v>
      </c>
      <c r="C7" s="8" t="n">
        <f aca="false">20*'DCF Model'!F19/'DCF Model'!B44</f>
        <v>15.0746723516334</v>
      </c>
      <c r="D7" s="5" t="n">
        <f aca="false">25*'DCF Model'!F19/'DCF Model'!B44</f>
        <v>18.8433404395417</v>
      </c>
    </row>
    <row r="9" customFormat="false" ht="15" hidden="false" customHeight="false" outlineLevel="0" collapsed="false">
      <c r="A9" s="0" t="s">
        <v>168</v>
      </c>
      <c r="B9" s="4" t="n">
        <v>4.8</v>
      </c>
    </row>
    <row r="11" customFormat="false" ht="15" hidden="false" customHeight="false" outlineLevel="0" collapsed="false">
      <c r="A11" s="3" t="s">
        <v>169</v>
      </c>
    </row>
    <row r="12" customFormat="false" ht="15" hidden="false" customHeight="false" outlineLevel="0" collapsed="false">
      <c r="A12" s="0" t="s">
        <v>170</v>
      </c>
    </row>
    <row r="13" customFormat="false" ht="15" hidden="false" customHeight="false" outlineLevel="0" collapsed="false">
      <c r="A13" s="0" t="s">
        <v>171</v>
      </c>
    </row>
    <row r="15" customFormat="false" ht="15" hidden="false" customHeight="false" outlineLevel="0" collapsed="false">
      <c r="A15" s="0" t="s">
        <v>172</v>
      </c>
    </row>
    <row r="16" customFormat="false" ht="15" hidden="false" customHeight="false" outlineLevel="0" collapsed="false">
      <c r="A16" s="0" t="s">
        <v>173</v>
      </c>
    </row>
    <row r="17" customFormat="false" ht="15" hidden="false" customHeight="false" outlineLevel="0" collapsed="false">
      <c r="A17" s="0" t="s">
        <v>174</v>
      </c>
    </row>
    <row r="18" customFormat="false" ht="15" hidden="false" customHeight="false" outlineLevel="0" collapsed="false">
      <c r="A18" s="0" t="s">
        <v>175</v>
      </c>
    </row>
    <row r="19" customFormat="false" ht="15" hidden="false" customHeight="false" outlineLevel="0" collapsed="false">
      <c r="A19" s="0" t="s">
        <v>176</v>
      </c>
    </row>
    <row r="20" customFormat="false" ht="15" hidden="false" customHeight="false" outlineLevel="0" collapsed="false">
      <c r="A20" s="0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2025-12-29T21:14:37Z</dcterms:created>
  <dc:creator>openpyxl</dc:creator>
  <dc:description/>
  <dc:language>en-US</dc:language>
  <cp:lastModifiedBy/>
  <dcterms:modified xsi:type="dcterms:W3CDTF">2025-12-29T21:14:37Z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