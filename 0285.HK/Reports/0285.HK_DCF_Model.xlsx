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<sst xmlns="http://schemas.openxmlformats.org/spreadsheetml/2006/main" count="86" uniqueCount="79">
  <si>
    <t>0285.HK DCF Valuation Model</t>
  </si>
  <si>
    <t>Gray cells are INPUTS - adjust to see valuation change</t>
  </si>
  <si>
    <t>Currency: HKD (millions)</t>
  </si>
  <si>
    <t>KEY INPUTS</t>
  </si>
  <si>
    <t>Current Stock Price (HKD)</t>
  </si>
  <si>
    <t>Shares Outstanding (M)</t>
  </si>
  <si>
    <t>Cash &amp; Equivalents (M HKD)</t>
  </si>
  <si>
    <t>Total Debt (M HKD)</t>
  </si>
  <si>
    <t>Net Debt (M HKD)</t>
  </si>
  <si>
    <t>Base Year FCF (M HKD)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</si>
  <si>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</si>
  <si>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</si>
  <si>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</si>
  <si>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</si>
  <si>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</si>
  <si>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</si>
  <si>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</si>
  <si>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</si>
  <si>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</si>
  <si>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</si>
  <si>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</si>
  <si>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 (M HKD)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</si>
  <si>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</si>
  <si>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</si>
  <si>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</si>
  <si>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</si>
  <si>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</si>
  <si>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</si>
  <si>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</si>
  <si>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</si>
  <si>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</si>
  <si>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</si>
  <si>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</si>
  <si>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ENTRY PRICE ANALYSIS</t>
  </si>
  <si>
    <t>Terminal Value per Share</t>
  </si>
  <si>
    <t>Entry Price (15% CAGR)</t>
  </si>
  <si>
    <t>MARKET COMPARISON</t>
  </si>
  <si>
    <t>Upside to IV</t>
  </si>
  <si>
    <t>Discount to Entry Price</t>
  </si>
  <si>
    <t>Note: FCF estimated as 70% of Net Profit. Values converted from RMB at 1.10 exchange rate.</t>
  </si>
  <si>
    <t>Sensitivity Analysis</t>
  </si>
  <si>
    <t>Intrinsic Value per Share (HKD) by WACC &amp; Terminal Growth</t>
  </si>
  <si>
    <t>WACC \ Term G</t>
  </si>
  <si>
    <t>Scenario Analysis</t>
  </si>
  <si>
    <t>Bull / Base / Bear Case Comparison</t>
  </si>
  <si>
    <t>Scenario</t>
  </si>
  <si>
    <t>Bull</t>
  </si>
  <si>
    <t>Bear</t>
  </si>
  <si>
    <t>Year 1 Growth</t>
  </si>
  <si>
    <t>Year 5 Growth</t>
  </si>
  <si>
    <t>Terminal Growth</t>
  </si>
  <si>
    <t>RESULTS</t>
  </si>
  <si>
    <t>Intrinsic Value (HKD)</t>
  </si>
  <si>
    <t>Upside from Current</t>
  </si>
  <si>
    <t>Enterprise Value (M)</t>
  </si>
  <si>
    <t>PROBABILITY-WEIGHTED</t>
  </si>
  <si>
    <t>Bull Weight</t>
  </si>
  <si>
    <t>Base Weight</t>
  </si>
  <si>
    <t>Bear Weight</t>
  </si>
  <si>
    <t>Weighted IV (HKD)</t>
  </si>
  <si>
    <t>Historical Growth Rates</t>
  </si>
  <si>
    <t>BYD Electronic (0285.HK)</t>
  </si>
  <si>
    <t>Metric</t>
  </si>
  <si>
    <t>3-Year CAGR</t>
  </si>
  <si>
    <t>5-Year CAGR</t>
  </si>
  <si>
    <t>Revenue</t>
  </si>
  <si>
    <t>Net Profit</t>
  </si>
  <si>
    <t>Shareholders Equity</t>
  </si>
  <si>
    <t>Selected Growth Rate:</t>
  </si>
  <si>
    <t>Source:</t>
  </si>
  <si>
    <t>equity_5yr_cagr</t>
  </si>
  <si>
    <t>Growth Divergence Warning:</t>
  </si>
  <si>
    <t>Revenue growth (27.3%) significantly exceeds equity growth (13.8%), suggesting lower profitability retention</t>
  </si>
  <si>
    <t>KEY FINANCIALS (FY2024)</t>
  </si>
  <si>
    <t>Revenue (RMB M)</t>
  </si>
  <si>
    <t>Net Profit (RMB M)</t>
  </si>
  <si>
    <t>Shareholders Equity (RMB M)</t>
  </si>
  <si>
    <t>Total Debt (RMB M)</t>
  </si>
  <si>
    <t>Cash (RMB M)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</si>
</sst>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HKD 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5" fillId="3" borderId="2" xfId="0" applyFont="1" applyFill="1" applyBorder="1"/>
    <xf numFmtId="0" fontId="6" fillId="0" borderId="0" xfId="0" applyFont="1"/>
    <xf numFmtId="166" fontId="5" fillId="4" borderId="2" xfId="0" applyNumberFormat="1" applyFont="1" applyFill="1" applyBorder="1"/>
    <xf numFmtId="166" fontId="0" fillId="0" borderId="2" xfId="0" applyNumberFormat="1" applyBorder="1"/>
    <xf numFmtId="165" fontId="0" fillId="0" borderId="2" xfId="0" applyNumberFormat="1" applyBorder="1"/>
    <xf numFmtId="165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>
      <c r="A5" s="4" t="s">
        <v>3</v>
      </c>
    </row>
    <row r="6" spans="1:6">
      <c r="A6" t="s">
        <v>4</v>
      </c>
      <c r="B6" s="5">
        <v>23.5</v>
      </c>
    </row>
    <row r="7" spans="1:6">
      <c r="A7" t="s">
        <v>5</v>
      </c>
      <c r="B7" s="5">
        <v>2253.2</v>
      </c>
    </row>
    <row r="8" spans="1:6">
      <c r="A8" t="s">
        <v>6</v>
      </c>
      <c r="B8" s="5">
        <v>7757.200000000001</v>
      </c>
    </row>
    <row r="9" spans="1:6">
      <c r="A9" t="s">
        <v>7</v>
      </c>
      <c r="B9" s="5">
        <v>11888.03</v>
      </c>
    </row>
    <row r="10" spans="1:6">
      <c r="A10" t="s">
        <v>8</v>
      </c>
      <c r="B10" s="6">
        <f>B9-B8</f>
        <v>0</v>
      </c>
    </row>
    <row r="11" spans="1:6">
      <c r="A11" t="s">
        <v>9</v>
      </c>
      <c r="B11" s="5">
        <v>3284.5</v>
      </c>
    </row>
    <row r="13" spans="1:6">
      <c r="A13" t="s">
        <v>10</v>
      </c>
      <c r="B13" s="7">
        <v>0.106</v>
      </c>
    </row>
    <row r="14" spans="1:6">
      <c r="A14" t="s">
        <v>11</v>
      </c>
      <c r="B14" s="7">
        <v>0.03</v>
      </c>
    </row>
    <row r="16" spans="1:6">
      <c r="A16" s="4" t="s">
        <v>12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</row>
    <row r="17" spans="1:7">
      <c r="A17" t="s">
        <v>13</v>
      </c>
      <c r="B17" s="7">
        <v>0.14</v>
      </c>
      <c r="C17" s="7">
        <v>0.13</v>
      </c>
      <c r="D17" s="7">
        <v>0.11</v>
      </c>
      <c r="E17" s="7">
        <v>0.09</v>
      </c>
      <c r="F17" s="7">
        <v>0.07000000000000001</v>
      </c>
    </row>
    <row r="19" spans="1:7">
      <c r="A19" s="4" t="s">
        <v>19</v>
      </c>
    </row>
    <row r="20" spans="1:7">
      <c r="A20" s="8"/>
      <c r="B20" s="8" t="s">
        <v>20</v>
      </c>
      <c r="C20" s="8" t="s">
        <v>14</v>
      </c>
      <c r="D20" s="8" t="s">
        <v>15</v>
      </c>
      <c r="E20" s="8" t="s">
        <v>16</v>
      </c>
      <c r="F20" s="8" t="s">
        <v>17</v>
      </c>
      <c r="G20" s="8" t="s">
        <v>18</v>
      </c>
    </row>
    <row r="21" spans="1:7">
      <c r="A21" t="s">
        <v>21</v>
      </c>
      <c r="B21" s="6">
        <f>B11</f>
        <v>0</v>
      </c>
      <c r="C21" s="6">
        <f>B21*(1+B17)</f>
        <v>0</v>
      </c>
      <c r="D21" s="6">
        <f>C21*(1+C17)</f>
        <v>0</v>
      </c>
      <c r="E21" s="6">
        <f>D21*(1+D17)</f>
        <v>0</v>
      </c>
      <c r="F21" s="6">
        <f>E21*(1+E17)</f>
        <v>0</v>
      </c>
      <c r="G21" s="6">
        <f>F21*(1+F17)</f>
        <v>0</v>
      </c>
    </row>
    <row r="22" spans="1:7">
      <c r="A22" t="s">
        <v>22</v>
      </c>
      <c r="C22" s="6">
        <f>1/(1+$B$13)^1</f>
        <v>0</v>
      </c>
      <c r="D22" s="6">
        <f>1/(1+$B$13)^2</f>
        <v>0</v>
      </c>
      <c r="E22" s="6">
        <f>1/(1+$B$13)^3</f>
        <v>0</v>
      </c>
      <c r="F22" s="6">
        <f>1/(1+$B$13)^4</f>
        <v>0</v>
      </c>
      <c r="G22" s="6">
        <f>1/(1+$B$13)^5</f>
        <v>0</v>
      </c>
    </row>
    <row r="23" spans="1:7">
      <c r="A23" t="s">
        <v>23</v>
      </c>
      <c r="C23" s="6">
        <f>C21*C22</f>
        <v>0</v>
      </c>
      <c r="D23" s="6">
        <f>D21*D22</f>
        <v>0</v>
      </c>
      <c r="E23" s="6">
        <f>E21*E22</f>
        <v>0</v>
      </c>
      <c r="F23" s="6">
        <f>F21*F22</f>
        <v>0</v>
      </c>
      <c r="G23" s="6">
        <f>G21*G22</f>
        <v>0</v>
      </c>
    </row>
    <row r="25" spans="1:7">
      <c r="A25" s="4" t="s">
        <v>24</v>
      </c>
    </row>
    <row r="26" spans="1:7">
      <c r="A26" t="s">
        <v>25</v>
      </c>
      <c r="B26" s="6">
        <f>SUM(C23:G23)</f>
        <v>0</v>
      </c>
    </row>
    <row r="27" spans="1:7">
      <c r="A27" t="s">
        <v>26</v>
      </c>
      <c r="B27" s="6">
        <f>G21*(1+$B$14)</f>
        <v>0</v>
      </c>
    </row>
    <row r="28" spans="1:7">
      <c r="A28" t="s">
        <v>27</v>
      </c>
      <c r="B28" s="6">
        <f>B27/($B$13-$B$14)</f>
        <v>0</v>
      </c>
    </row>
    <row r="29" spans="1:7">
      <c r="A29" t="s">
        <v>28</v>
      </c>
      <c r="B29" s="6">
        <f>B28*G22</f>
        <v>0</v>
      </c>
    </row>
    <row r="30" spans="1:7">
      <c r="A30" t="s">
        <v>29</v>
      </c>
      <c r="B30" s="6">
        <f>B26+B29</f>
        <v>0</v>
      </c>
    </row>
    <row r="31" spans="1:7">
      <c r="A31" t="s">
        <v>30</v>
      </c>
      <c r="B31" s="6">
        <f>B10</f>
        <v>0</v>
      </c>
    </row>
    <row r="32" spans="1:7">
      <c r="A32" t="s">
        <v>31</v>
      </c>
      <c r="B32" s="6">
        <f>B30-B31</f>
        <v>0</v>
      </c>
    </row>
    <row r="33" spans="1:7">
      <c r="A33" s="9" t="s">
        <v>32</v>
      </c>
      <c r="B33" s="10">
        <f>B32/B7</f>
        <v>0</v>
      </c>
    </row>
    <row r="35" spans="1:7">
      <c r="A35" s="4" t="s">
        <v>33</v>
      </c>
    </row>
    <row r="36" spans="1:7">
      <c r="A36" t="s">
        <v>34</v>
      </c>
      <c r="B36" s="11">
        <f>B28/B7</f>
        <v>0</v>
      </c>
    </row>
    <row r="37" spans="1:7">
      <c r="A37" t="s">
        <v>35</v>
      </c>
      <c r="B37" s="10">
        <f>B36/(1.15^5)</f>
        <v>0</v>
      </c>
    </row>
    <row r="39" spans="1:7">
      <c r="A39" s="4" t="s">
        <v>36</v>
      </c>
    </row>
    <row r="40" spans="1:7">
      <c r="A40" t="s">
        <v>37</v>
      </c>
      <c r="B40" s="12">
        <f>(B33-B6)/B6</f>
        <v>0</v>
      </c>
    </row>
    <row r="41" spans="1:7">
      <c r="A41" t="s">
        <v>38</v>
      </c>
      <c r="B41" s="12">
        <f>(B6-B37)/B37</f>
        <v>0</v>
      </c>
    </row>
    <row r="43" spans="1:7">
      <c r="A43" s="3" t="s">
        <v>39</v>
      </c>
      <c r="B43" s="3"/>
      <c r="C43" s="3"/>
      <c r="D43" s="3"/>
      <c r="E43" s="3"/>
      <c r="F43" s="3"/>
      <c r="G43" s="3"/>
    </row>
  </sheetData>
  <mergeCells count="1">
    <mergeCell ref="A43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40</v>
      </c>
    </row>
    <row r="2" spans="1:6">
      <c r="A2" t="s">
        <v>41</v>
      </c>
    </row>
    <row r="4" spans="1:6">
      <c r="A4" s="8" t="s">
        <v>42</v>
      </c>
      <c r="B4" s="13">
        <v>0.02</v>
      </c>
      <c r="C4" s="13">
        <v>0.025</v>
      </c>
      <c r="D4" s="13">
        <v>0.03</v>
      </c>
      <c r="E4" s="13">
        <v>0.035</v>
      </c>
      <c r="F4" s="13">
        <v>0.04</v>
      </c>
    </row>
    <row r="5" spans="1:6">
      <c r="A5" s="13">
        <v>0.08500000000000001</v>
      </c>
      <c r="B5" s="11">
        <v>31.15</v>
      </c>
      <c r="C5" s="11">
        <v>34.07</v>
      </c>
      <c r="D5" s="11">
        <v>37.53</v>
      </c>
      <c r="E5" s="11">
        <v>41.67</v>
      </c>
      <c r="F5" s="11">
        <v>46.74</v>
      </c>
    </row>
    <row r="6" spans="1:6">
      <c r="A6" s="13">
        <v>0.095</v>
      </c>
      <c r="B6" s="11">
        <v>25.47</v>
      </c>
      <c r="C6" s="11">
        <v>27.56</v>
      </c>
      <c r="D6" s="11">
        <v>29.98</v>
      </c>
      <c r="E6" s="11">
        <v>32.8</v>
      </c>
      <c r="F6" s="11">
        <v>36.13</v>
      </c>
    </row>
    <row r="7" spans="1:6">
      <c r="A7" s="13">
        <v>0.105</v>
      </c>
      <c r="B7" s="11">
        <v>21.19</v>
      </c>
      <c r="C7" s="11">
        <v>22.74</v>
      </c>
      <c r="D7" s="11">
        <v>24.51</v>
      </c>
      <c r="E7" s="11">
        <v>26.53</v>
      </c>
      <c r="F7" s="11">
        <v>28.86</v>
      </c>
    </row>
    <row r="8" spans="1:6">
      <c r="A8" s="13">
        <v>0.115</v>
      </c>
      <c r="B8" s="11">
        <v>17.86</v>
      </c>
      <c r="C8" s="11">
        <v>19.05</v>
      </c>
      <c r="D8" s="11">
        <v>20.39</v>
      </c>
      <c r="E8" s="11">
        <v>21.89</v>
      </c>
      <c r="F8" s="11">
        <v>23.6</v>
      </c>
    </row>
    <row r="9" spans="1:6">
      <c r="A9" s="13">
        <v>0.125</v>
      </c>
      <c r="B9" s="11">
        <v>15.2</v>
      </c>
      <c r="C9" s="11">
        <v>16.14</v>
      </c>
      <c r="D9" s="11">
        <v>17.18</v>
      </c>
      <c r="E9" s="11">
        <v>18.33</v>
      </c>
      <c r="F9" s="11">
        <v>19.62</v>
      </c>
    </row>
  </sheetData>
  <conditionalFormatting sqref="B5:F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s="1" t="s">
        <v>43</v>
      </c>
    </row>
    <row r="2" spans="1:4">
      <c r="A2" t="s">
        <v>44</v>
      </c>
    </row>
    <row r="4" spans="1:4">
      <c r="A4" s="8" t="s">
        <v>45</v>
      </c>
      <c r="B4" s="8" t="s">
        <v>46</v>
      </c>
      <c r="C4" s="8" t="s">
        <v>20</v>
      </c>
      <c r="D4" s="8" t="s">
        <v>47</v>
      </c>
    </row>
    <row r="5" spans="1:4">
      <c r="A5" s="9" t="s">
        <v>48</v>
      </c>
      <c r="B5" s="12">
        <v>0.2</v>
      </c>
      <c r="C5" s="12">
        <v>0.14</v>
      </c>
      <c r="D5" s="12">
        <v>0.08</v>
      </c>
    </row>
    <row r="6" spans="1:4">
      <c r="A6" s="9" t="s">
        <v>49</v>
      </c>
      <c r="B6" s="12">
        <v>0.12</v>
      </c>
      <c r="C6" s="12">
        <v>0.07000000000000001</v>
      </c>
      <c r="D6" s="12">
        <v>0.04</v>
      </c>
    </row>
    <row r="7" spans="1:4">
      <c r="A7" s="9" t="s">
        <v>10</v>
      </c>
      <c r="B7" s="12">
        <v>0.095</v>
      </c>
      <c r="C7" s="12">
        <v>0.106</v>
      </c>
      <c r="D7" s="12">
        <v>0.115</v>
      </c>
    </row>
    <row r="8" spans="1:4">
      <c r="A8" s="9" t="s">
        <v>50</v>
      </c>
      <c r="B8" s="12">
        <v>0.035</v>
      </c>
      <c r="C8" s="12">
        <v>0.03</v>
      </c>
      <c r="D8" s="12">
        <v>0.025</v>
      </c>
    </row>
    <row r="10" spans="1:4">
      <c r="A10" s="4" t="s">
        <v>51</v>
      </c>
    </row>
    <row r="11" spans="1:4">
      <c r="A11" s="9" t="s">
        <v>52</v>
      </c>
      <c r="B11" s="10">
        <v>40.65</v>
      </c>
      <c r="C11" s="10">
        <v>25.64</v>
      </c>
      <c r="D11" s="10">
        <v>17.45</v>
      </c>
    </row>
    <row r="12" spans="1:4">
      <c r="A12" s="9" t="s">
        <v>53</v>
      </c>
      <c r="B12" s="12">
        <v>0.73</v>
      </c>
      <c r="C12" s="12">
        <v>0.091</v>
      </c>
      <c r="D12" s="12">
        <v>-0.257</v>
      </c>
    </row>
    <row r="13" spans="1:4">
      <c r="A13" s="9" t="s">
        <v>54</v>
      </c>
      <c r="B13" s="6">
        <v>95720.8</v>
      </c>
      <c r="C13" s="6">
        <v>61904.1</v>
      </c>
      <c r="D13" s="6">
        <v>43453.6</v>
      </c>
    </row>
    <row r="15" spans="1:4">
      <c r="A15" s="4" t="s">
        <v>55</v>
      </c>
    </row>
    <row r="16" spans="1:4">
      <c r="A16" s="9" t="s">
        <v>56</v>
      </c>
      <c r="B16" s="12">
        <v>0.25</v>
      </c>
    </row>
    <row r="17" spans="1:2">
      <c r="A17" s="9" t="s">
        <v>57</v>
      </c>
      <c r="B17" s="12">
        <v>0.5</v>
      </c>
    </row>
    <row r="18" spans="1:2">
      <c r="A18" s="9" t="s">
        <v>58</v>
      </c>
      <c r="B18" s="12">
        <v>0.25</v>
      </c>
    </row>
    <row r="19" spans="1:2">
      <c r="A19" s="9" t="s">
        <v>59</v>
      </c>
      <c r="B19" s="10">
        <v>27.35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1" t="s">
        <v>60</v>
      </c>
    </row>
    <row r="2" spans="1:3">
      <c r="A2" t="s">
        <v>61</v>
      </c>
    </row>
    <row r="4" spans="1:3">
      <c r="A4" s="8" t="s">
        <v>62</v>
      </c>
      <c r="B4" s="8" t="s">
        <v>63</v>
      </c>
      <c r="C4" s="8" t="s">
        <v>64</v>
      </c>
    </row>
    <row r="5" spans="1:3">
      <c r="A5" t="s">
        <v>65</v>
      </c>
      <c r="B5" s="12">
        <v>0.258</v>
      </c>
      <c r="C5" s="12">
        <v>0.273</v>
      </c>
    </row>
    <row r="6" spans="1:3">
      <c r="A6" t="s">
        <v>66</v>
      </c>
      <c r="B6" s="12">
        <v>0.2269</v>
      </c>
      <c r="C6" s="12">
        <v>0.217</v>
      </c>
    </row>
    <row r="7" spans="1:3">
      <c r="A7" t="s">
        <v>67</v>
      </c>
      <c r="B7" s="12">
        <v>0.1048</v>
      </c>
      <c r="C7" s="12">
        <v>0.1378</v>
      </c>
    </row>
    <row r="9" spans="1:3">
      <c r="A9" s="9" t="s">
        <v>68</v>
      </c>
      <c r="B9" s="12">
        <v>0.1378</v>
      </c>
    </row>
    <row r="10" spans="1:3">
      <c r="A10" t="s">
        <v>69</v>
      </c>
      <c r="B10" t="s">
        <v>70</v>
      </c>
    </row>
    <row r="12" spans="1:3">
      <c r="A12" s="9" t="s">
        <v>71</v>
      </c>
    </row>
    <row r="13" spans="1:3">
      <c r="A13" s="3" t="s">
        <v>72</v>
      </c>
      <c r="B13" s="3"/>
      <c r="C13" s="3"/>
    </row>
    <row r="14" spans="1:3">
      <c r="A14" s="3"/>
      <c r="B14" s="3"/>
      <c r="C14" s="3"/>
    </row>
    <row r="16" spans="1:3">
      <c r="A16" s="4" t="s">
        <v>73</v>
      </c>
    </row>
    <row r="17" spans="1:2">
      <c r="A17" t="s">
        <v>74</v>
      </c>
      <c r="B17" s="6">
        <v>177305.5</v>
      </c>
    </row>
    <row r="18" spans="1:2">
      <c r="A18" t="s">
        <v>75</v>
      </c>
      <c r="B18" s="6">
        <v>4265.6</v>
      </c>
    </row>
    <row r="19" spans="1:2">
      <c r="A19" t="s">
        <v>76</v>
      </c>
      <c r="B19" s="6">
        <v>32401.7</v>
      </c>
    </row>
    <row r="20" spans="1:2">
      <c r="A20" t="s">
        <v>77</v>
      </c>
      <c r="B20" s="6">
        <v>10807.3</v>
      </c>
    </row>
    <row r="21" spans="1:2">
      <c r="A21" t="s">
        <v>78</v>
      </c>
      <c r="B21" s="6">
        <v>7052</v>
      </c>
    </row>
  </sheetData>
  <mergeCells count="1">
    <mergeCell ref="A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Scenarios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2026-02-03T09:53:17Z</dcterms:created>
  <dcterms:modified xsi:type="dcterms:W3CDTF">2026-02-03T09:53:17Z</dcterms:modified>
</cp:coreProperties>
</file>