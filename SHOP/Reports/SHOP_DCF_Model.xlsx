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 Comparison" sheetId="2" r:id="rId2"/>
    <sheet name="Sensitivity Analysis" sheetId="3" r:id="rId3"/>
    <sheet name="Historical Data" sheetId="4" r:id="rId4"/>
  </sheets>
  <calcPr calcId="124519" fullCalcOnLoad="1"/>
</workbook>
</file>

<file path=xl/sharedStrings.xml><?xml version="1.0" encoding="utf-8"?>
<sst xmlns="http://schemas.openxmlformats.org/spreadsheetml/2006/main" count="109" uniqueCount="97">
  <si>
    <t>SHOPIFY (SHOP) DCF Valuation Model</t>
  </si>
  <si>
    <t>Gray cells are INPUTS - adjust to see valuation update</t>
  </si>
  <si>
    <t>Data as of: 2026-01-23</t>
  </si>
  <si>
    <t>KEY INPUTS</t>
  </si>
  <si>
    <t>Current Stock Price</t>
  </si>
  <si>
    <t>Shares Outstanding (M)</t>
  </si>
  <si>
    <t>Cash &amp; Equivalents (M)</t>
  </si>
  <si>
    <t>Total Debt (M)</t>
  </si>
  <si>
    <t>Net Debt (M)</t>
  </si>
  <si>
    <t>Base Year FCF (M)</t>
  </si>
  <si>
    <t>WACC (%)</t>
  </si>
  <si>
    <t>Terminal Growth Rate (%)</t>
  </si>
  <si>
    <t>GROWTH ASSUMPTIONS</t>
  </si>
  <si>
    <t>FCF Growth Rate</t>
  </si>
  <si>
    <t>Year 1</t>
  </si>
  <si>
    <t>Year 2</t>
  </si>
  <si>
    <t>Year 3</t>
  </si>
  <si>
    <t>Year 4</t>
  </si>
  <si>
    <t>Year 5</t>
  </si>
  <si>
    <t>FREE CASH FLOW PROJECTIONS</t>
  </si>
  <si>
    <t>Base Year</t>
  </si>
  <si>
    <t>Free Cash Flow (M)</t>
  </si>
  <si>
    <t>Discount Factor</t>
  </si>
  <si>
    <t>PV of FCF (M)</t>
  </si>
  <si>
    <t>TERMINAL VALUE CALCULATION</t>
  </si>
  <si>
    <t>Year 5 FCF</t>
  </si>
  <si>
    <t>Terminal FCF (Y5 × (1+g))</t>
  </si>
  <si>
    <t>Terminal Value</t>
  </si>
  <si>
    <t>Discount Factor (Year 5)</t>
  </si>
  <si>
    <t>PV of Terminal Value</t>
  </si>
  <si>
    <t>VALUATION SUMMARY</t>
  </si>
  <si>
    <t>Sum of PV of FCF (Y1-Y5)</t>
  </si>
  <si>
    <t>Enterprise Value (M)</t>
  </si>
  <si>
    <t>Less: Net Debt (M)</t>
  </si>
  <si>
    <t>Equity Value (M)</t>
  </si>
  <si>
    <t>INTRINSIC VALUE PER SHARE</t>
  </si>
  <si>
    <t>Current Market Price</t>
  </si>
  <si>
    <t>Upside/(Downside) %</t>
  </si>
  <si>
    <t>ENTRY PRICE ANALYSIS</t>
  </si>
  <si>
    <t>(15% CAGR Target to Terminal Value)</t>
  </si>
  <si>
    <t>Terminal Value per Share</t>
  </si>
  <si>
    <t>Years to Terminal</t>
  </si>
  <si>
    <t>Target CAGR</t>
  </si>
  <si>
    <t>Entry Price for 15% CAGR</t>
  </si>
  <si>
    <t>Discount from Current Price</t>
  </si>
  <si>
    <t>IMPORTANT NOTES:</t>
  </si>
  <si>
    <t>Shopify currently trades at 110x P/FCF, reflecting premium SaaS multiples. This model uses aggressive growth assumptions (30%+ FCF growth) to approach market valuations. Historical growth: Revenue 3Y CAGR 29.4%, FCF growing 47.5% recently. Adjust gray input cells to model different scenarios.</t>
  </si>
  <si>
    <t>Scenario Comparison</t>
  </si>
  <si>
    <t>Base, Bull, and Bear Case Valuations</t>
  </si>
  <si>
    <t>Metric</t>
  </si>
  <si>
    <t>Bear Case</t>
  </si>
  <si>
    <t>Base Case</t>
  </si>
  <si>
    <t>Bull Case</t>
  </si>
  <si>
    <t>ASSUMPTIONS</t>
  </si>
  <si>
    <t>Year 1 Growth</t>
  </si>
  <si>
    <t>Year 5 Growth</t>
  </si>
  <si>
    <t>WACC</t>
  </si>
  <si>
    <t>Terminal Growth</t>
  </si>
  <si>
    <t>VALUATION RESULTS</t>
  </si>
  <si>
    <t>Intrinsic Value/Share</t>
  </si>
  <si>
    <t>Upside/(Downside)</t>
  </si>
  <si>
    <t>Entry Price (15% CAGR)</t>
  </si>
  <si>
    <t>PROBABILITY-WEIGHTED</t>
  </si>
  <si>
    <t>Weight</t>
  </si>
  <si>
    <t>Weighted IV</t>
  </si>
  <si>
    <t>Sensitivity Analysis</t>
  </si>
  <si>
    <t>Intrinsic Value by WACC &amp; Terminal Growth Rate</t>
  </si>
  <si>
    <t>(Based on Base Case growth assumptions)</t>
  </si>
  <si>
    <t>WACC ↓ \ Term G →</t>
  </si>
  <si>
    <t>Color Legend:</t>
  </si>
  <si>
    <t>Green: &gt;15% upside</t>
  </si>
  <si>
    <t>Yellow: -15% to +15%</t>
  </si>
  <si>
    <t>Red: &gt;15% downside</t>
  </si>
  <si>
    <t>Historical Growth Rates</t>
  </si>
  <si>
    <t>Data from 2026-01-23</t>
  </si>
  <si>
    <t>Period</t>
  </si>
  <si>
    <t>CAGR</t>
  </si>
  <si>
    <t>Revenue</t>
  </si>
  <si>
    <t>3-Year</t>
  </si>
  <si>
    <t>1-Year</t>
  </si>
  <si>
    <t>Equity</t>
  </si>
  <si>
    <t>2-Year</t>
  </si>
  <si>
    <t>FCF</t>
  </si>
  <si>
    <t>Selected Growth Rate:</t>
  </si>
  <si>
    <t>Source:</t>
  </si>
  <si>
    <t>equity_1yr_cagr_moderated</t>
  </si>
  <si>
    <t>Notes:</t>
  </si>
  <si>
    <t>FY2022 excluded due to impairments. Strong recent FCF growth (47.5%). Current trading at 110x P/FCF suggests market pricing aggressive growth.</t>
  </si>
  <si>
    <t>KEY METRICS</t>
  </si>
  <si>
    <t>TTM Free Cash Flow</t>
  </si>
  <si>
    <t>$1334.7M</t>
  </si>
  <si>
    <t>Net Cash Position</t>
  </si>
  <si>
    <t>$590.0M</t>
  </si>
  <si>
    <t>Current Market Cap</t>
  </si>
  <si>
    <t>$147,595M</t>
  </si>
  <si>
    <t>Current P/FCF Multiple</t>
  </si>
  <si>
    <t>110.6x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</si>
</sst>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FEAA7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FF7675"/>
        <bgColor indexed="64"/>
      </patternFill>
    </fill>
    <fill>
      <patternFill patternType="solid">
        <fgColor rgb="FF55EFC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 applyAlignment="1">
      <alignment horizontal="center"/>
    </xf>
    <xf numFmtId="0" fontId="5" fillId="0" borderId="0" xfId="0" applyFont="1"/>
    <xf numFmtId="166" fontId="4" fillId="4" borderId="3" xfId="0" applyNumberFormat="1" applyFont="1" applyFill="1" applyBorder="1"/>
    <xf numFmtId="166" fontId="0" fillId="0" borderId="2" xfId="0" applyNumberFormat="1" applyBorder="1"/>
    <xf numFmtId="165" fontId="0" fillId="0" borderId="2" xfId="0" applyNumberFormat="1" applyBorder="1"/>
    <xf numFmtId="0" fontId="6" fillId="0" borderId="0" xfId="0" applyFont="1"/>
    <xf numFmtId="0" fontId="0" fillId="5" borderId="2" xfId="0" applyFill="1" applyBorder="1" applyAlignment="1">
      <alignment wrapText="1"/>
    </xf>
    <xf numFmtId="166" fontId="5" fillId="6" borderId="2" xfId="0" applyNumberFormat="1" applyFont="1" applyFill="1" applyBorder="1"/>
    <xf numFmtId="165" fontId="4" fillId="3" borderId="2" xfId="0" applyNumberFormat="1" applyFont="1" applyFill="1" applyBorder="1" applyAlignment="1">
      <alignment horizontal="center"/>
    </xf>
    <xf numFmtId="165" fontId="4" fillId="3" borderId="2" xfId="0" applyNumberFormat="1" applyFont="1" applyFill="1" applyBorder="1"/>
    <xf numFmtId="166" fontId="0" fillId="7" borderId="2" xfId="0" applyNumberFormat="1" applyFill="1" applyBorder="1"/>
    <xf numFmtId="0" fontId="0" fillId="8" borderId="2" xfId="0" applyFill="1" applyBorder="1"/>
    <xf numFmtId="0" fontId="0" fillId="5" borderId="2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3" spans="1:6">
      <c r="A3" t="s">
        <v>2</v>
      </c>
    </row>
    <row r="5" spans="1:6">
      <c r="A5" s="3" t="s">
        <v>3</v>
      </c>
    </row>
    <row r="6" spans="1:6">
      <c r="A6" t="s">
        <v>4</v>
      </c>
      <c r="B6" s="4">
        <v>113.5</v>
      </c>
    </row>
    <row r="7" spans="1:6">
      <c r="A7" t="s">
        <v>5</v>
      </c>
      <c r="B7" s="4">
        <v>1300.4</v>
      </c>
    </row>
    <row r="8" spans="1:6">
      <c r="A8" t="s">
        <v>6</v>
      </c>
      <c r="B8" s="4">
        <v>1507</v>
      </c>
    </row>
    <row r="9" spans="1:6">
      <c r="A9" t="s">
        <v>7</v>
      </c>
      <c r="B9" s="4">
        <v>917</v>
      </c>
    </row>
    <row r="10" spans="1:6">
      <c r="A10" t="s">
        <v>8</v>
      </c>
      <c r="B10" s="5">
        <f>B9-B8</f>
        <v>0</v>
      </c>
    </row>
    <row r="11" spans="1:6">
      <c r="A11" t="s">
        <v>9</v>
      </c>
      <c r="B11" s="4">
        <v>1334.7</v>
      </c>
    </row>
    <row r="13" spans="1:6">
      <c r="A13" t="s">
        <v>10</v>
      </c>
      <c r="B13" s="6">
        <v>0.1</v>
      </c>
    </row>
    <row r="14" spans="1:6">
      <c r="A14" t="s">
        <v>11</v>
      </c>
      <c r="B14" s="6">
        <v>0.035</v>
      </c>
    </row>
    <row r="16" spans="1:6">
      <c r="A16" s="3" t="s">
        <v>12</v>
      </c>
      <c r="B16" s="7" t="s">
        <v>14</v>
      </c>
      <c r="C16" s="7" t="s">
        <v>15</v>
      </c>
      <c r="D16" s="7" t="s">
        <v>16</v>
      </c>
      <c r="E16" s="7" t="s">
        <v>17</v>
      </c>
      <c r="F16" s="7" t="s">
        <v>18</v>
      </c>
    </row>
    <row r="17" spans="1:7">
      <c r="A17" s="8" t="s">
        <v>13</v>
      </c>
      <c r="B17" s="6">
        <v>0.3</v>
      </c>
      <c r="C17" s="6">
        <v>0.28</v>
      </c>
      <c r="D17" s="6">
        <v>0.25</v>
      </c>
      <c r="E17" s="6">
        <v>0.22</v>
      </c>
      <c r="F17" s="6">
        <v>0.18</v>
      </c>
    </row>
    <row r="19" spans="1:7">
      <c r="A19" s="3" t="s">
        <v>19</v>
      </c>
    </row>
    <row r="20" spans="1:7">
      <c r="A20" s="7"/>
      <c r="B20" s="7" t="s">
        <v>20</v>
      </c>
      <c r="C20" s="7" t="s">
        <v>14</v>
      </c>
      <c r="D20" s="7" t="s">
        <v>15</v>
      </c>
      <c r="E20" s="7" t="s">
        <v>16</v>
      </c>
      <c r="F20" s="7" t="s">
        <v>17</v>
      </c>
      <c r="G20" s="7" t="s">
        <v>18</v>
      </c>
    </row>
    <row r="21" spans="1:7">
      <c r="A21" t="s">
        <v>21</v>
      </c>
      <c r="B21" s="5">
        <f>B11</f>
        <v>0</v>
      </c>
      <c r="C21" s="5">
        <f>B21*(1+B17)</f>
        <v>0</v>
      </c>
      <c r="D21" s="5">
        <f>C21*(1+C17)</f>
        <v>0</v>
      </c>
      <c r="E21" s="5">
        <f>D21*(1+D17)</f>
        <v>0</v>
      </c>
      <c r="F21" s="5">
        <f>E21*(1+E17)</f>
        <v>0</v>
      </c>
      <c r="G21" s="5">
        <f>F21*(1+F17)</f>
        <v>0</v>
      </c>
    </row>
    <row r="22" spans="1:7">
      <c r="A22" t="s">
        <v>22</v>
      </c>
      <c r="B22" s="5"/>
      <c r="C22" s="5">
        <f>1/(1+$B$13)^1</f>
        <v>0</v>
      </c>
      <c r="D22" s="5">
        <f>1/(1+$B$13)^2</f>
        <v>0</v>
      </c>
      <c r="E22" s="5">
        <f>1/(1+$B$13)^3</f>
        <v>0</v>
      </c>
      <c r="F22" s="5">
        <f>1/(1+$B$13)^4</f>
        <v>0</v>
      </c>
      <c r="G22" s="5">
        <f>1/(1+$B$13)^5</f>
        <v>0</v>
      </c>
    </row>
    <row r="23" spans="1:7">
      <c r="A23" t="s">
        <v>23</v>
      </c>
      <c r="B23" s="5"/>
      <c r="C23" s="5">
        <f>C21*C22</f>
        <v>0</v>
      </c>
      <c r="D23" s="5">
        <f>D21*D22</f>
        <v>0</v>
      </c>
      <c r="E23" s="5">
        <f>E21*E22</f>
        <v>0</v>
      </c>
      <c r="F23" s="5">
        <f>F21*F22</f>
        <v>0</v>
      </c>
      <c r="G23" s="5">
        <f>G21*G22</f>
        <v>0</v>
      </c>
    </row>
    <row r="25" spans="1:7">
      <c r="A25" s="3" t="s">
        <v>24</v>
      </c>
    </row>
    <row r="26" spans="1:7">
      <c r="A26" t="s">
        <v>25</v>
      </c>
      <c r="B26" s="5">
        <f>G21</f>
        <v>0</v>
      </c>
    </row>
    <row r="27" spans="1:7">
      <c r="A27" t="s">
        <v>26</v>
      </c>
      <c r="B27" s="5">
        <f>B26*(1+$B$14)</f>
        <v>0</v>
      </c>
    </row>
    <row r="28" spans="1:7">
      <c r="A28" t="s">
        <v>27</v>
      </c>
      <c r="B28" s="5">
        <f>B27/($B$13-$B$14)</f>
        <v>0</v>
      </c>
    </row>
    <row r="29" spans="1:7">
      <c r="A29" t="s">
        <v>28</v>
      </c>
      <c r="B29" s="5">
        <f>G22</f>
        <v>0</v>
      </c>
    </row>
    <row r="30" spans="1:7">
      <c r="A30" t="s">
        <v>29</v>
      </c>
      <c r="B30" s="5">
        <f>B28*B29</f>
        <v>0</v>
      </c>
    </row>
    <row r="32" spans="1:7">
      <c r="A32" s="3" t="s">
        <v>30</v>
      </c>
    </row>
    <row r="33" spans="1:2">
      <c r="A33" t="s">
        <v>31</v>
      </c>
      <c r="B33" s="5">
        <f>SUM(C23:G23)</f>
        <v>0</v>
      </c>
    </row>
    <row r="34" spans="1:2">
      <c r="A34" t="s">
        <v>29</v>
      </c>
      <c r="B34" s="5">
        <f>B30</f>
        <v>0</v>
      </c>
    </row>
    <row r="35" spans="1:2">
      <c r="A35" t="s">
        <v>32</v>
      </c>
      <c r="B35" s="5">
        <f>B33+B34</f>
        <v>0</v>
      </c>
    </row>
    <row r="36" spans="1:2">
      <c r="A36" t="s">
        <v>33</v>
      </c>
      <c r="B36" s="5">
        <f>B10</f>
        <v>0</v>
      </c>
    </row>
    <row r="37" spans="1:2">
      <c r="A37" t="s">
        <v>34</v>
      </c>
      <c r="B37" s="5">
        <f>B35-B36</f>
        <v>0</v>
      </c>
    </row>
    <row r="38" spans="1:2">
      <c r="A38" t="s">
        <v>5</v>
      </c>
      <c r="B38" s="5">
        <f>B7</f>
        <v>0</v>
      </c>
    </row>
    <row r="40" spans="1:2">
      <c r="A40" s="8" t="s">
        <v>35</v>
      </c>
      <c r="B40" s="9">
        <f>B37/B38</f>
        <v>0</v>
      </c>
    </row>
    <row r="42" spans="1:2">
      <c r="A42" t="s">
        <v>36</v>
      </c>
      <c r="B42" s="10">
        <f>B6</f>
        <v>0</v>
      </c>
    </row>
    <row r="43" spans="1:2">
      <c r="A43" t="s">
        <v>37</v>
      </c>
      <c r="B43" s="11">
        <f>(B40-B42)/B42</f>
        <v>0</v>
      </c>
    </row>
    <row r="45" spans="1:2">
      <c r="A45" s="3" t="s">
        <v>38</v>
      </c>
    </row>
    <row r="46" spans="1:2">
      <c r="A46" t="s">
        <v>39</v>
      </c>
    </row>
    <row r="47" spans="1:2">
      <c r="A47" t="s">
        <v>40</v>
      </c>
      <c r="B47" s="10">
        <f>B28/B38</f>
        <v>0</v>
      </c>
    </row>
    <row r="48" spans="1:2">
      <c r="A48" t="s">
        <v>41</v>
      </c>
      <c r="B48" s="5">
        <v>5</v>
      </c>
    </row>
    <row r="49" spans="1:7">
      <c r="A49" t="s">
        <v>42</v>
      </c>
      <c r="B49" s="6">
        <v>0.15</v>
      </c>
    </row>
    <row r="50" spans="1:7">
      <c r="A50" s="8" t="s">
        <v>43</v>
      </c>
      <c r="B50" s="9">
        <f>B47/(1+B49)^B48</f>
        <v>0</v>
      </c>
    </row>
    <row r="51" spans="1:7">
      <c r="A51" t="s">
        <v>44</v>
      </c>
      <c r="B51" s="11">
        <f>(B50-B6)/B6</f>
        <v>0</v>
      </c>
    </row>
    <row r="53" spans="1:7">
      <c r="A53" s="12" t="s">
        <v>45</v>
      </c>
    </row>
    <row r="54" spans="1:7">
      <c r="A54" s="13" t="s">
        <v>46</v>
      </c>
      <c r="B54" s="13"/>
      <c r="C54" s="13"/>
      <c r="D54" s="13"/>
      <c r="E54" s="13"/>
      <c r="F54" s="13"/>
      <c r="G54" s="13"/>
    </row>
    <row r="55" spans="1:7">
      <c r="A55" s="13"/>
      <c r="B55" s="13"/>
      <c r="C55" s="13"/>
      <c r="D55" s="13"/>
      <c r="E55" s="13"/>
      <c r="F55" s="13"/>
      <c r="G55" s="13"/>
    </row>
    <row r="56" spans="1:7">
      <c r="A56" s="13"/>
      <c r="B56" s="13"/>
      <c r="C56" s="13"/>
      <c r="D56" s="13"/>
      <c r="E56" s="13"/>
      <c r="F56" s="13"/>
      <c r="G56" s="13"/>
    </row>
  </sheetData>
  <mergeCells count="1">
    <mergeCell ref="A54:G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5.7109375" customWidth="1"/>
    <col min="2" max="4" width="16.7109375" customWidth="1"/>
  </cols>
  <sheetData>
    <row r="1" spans="1:4">
      <c r="A1" s="1" t="s">
        <v>47</v>
      </c>
    </row>
    <row r="2" spans="1:4">
      <c r="A2" t="s">
        <v>48</v>
      </c>
    </row>
    <row r="4" spans="1:4">
      <c r="A4" s="7" t="s">
        <v>49</v>
      </c>
      <c r="B4" s="7" t="s">
        <v>50</v>
      </c>
      <c r="C4" s="7" t="s">
        <v>51</v>
      </c>
      <c r="D4" s="7" t="s">
        <v>52</v>
      </c>
    </row>
    <row r="6" spans="1:4">
      <c r="A6" s="3" t="s">
        <v>53</v>
      </c>
    </row>
    <row r="7" spans="1:4">
      <c r="A7" t="s">
        <v>54</v>
      </c>
      <c r="B7" s="11">
        <v>0.2</v>
      </c>
      <c r="C7" s="11">
        <v>0.3</v>
      </c>
      <c r="D7" s="11">
        <v>0.4</v>
      </c>
    </row>
    <row r="8" spans="1:4">
      <c r="A8" t="s">
        <v>55</v>
      </c>
      <c r="B8" s="11">
        <v>0.08</v>
      </c>
      <c r="C8" s="11">
        <v>0.18</v>
      </c>
      <c r="D8" s="11">
        <v>0.25</v>
      </c>
    </row>
    <row r="9" spans="1:4">
      <c r="A9" t="s">
        <v>56</v>
      </c>
      <c r="B9" s="11">
        <v>0.12</v>
      </c>
      <c r="C9" s="11">
        <v>0.1</v>
      </c>
      <c r="D9" s="11">
        <v>0.09</v>
      </c>
    </row>
    <row r="10" spans="1:4">
      <c r="A10" t="s">
        <v>57</v>
      </c>
      <c r="B10" s="11">
        <v>0.025</v>
      </c>
      <c r="C10" s="11">
        <v>0.035</v>
      </c>
      <c r="D10" s="11">
        <v>0.04</v>
      </c>
    </row>
    <row r="12" spans="1:4">
      <c r="A12" s="3" t="s">
        <v>58</v>
      </c>
    </row>
    <row r="13" spans="1:4">
      <c r="A13" t="s">
        <v>59</v>
      </c>
      <c r="B13" s="10">
        <v>18.62</v>
      </c>
      <c r="C13" s="10">
        <v>38.76</v>
      </c>
      <c r="D13" s="10">
        <v>69.61</v>
      </c>
    </row>
    <row r="14" spans="1:4">
      <c r="A14" t="s">
        <v>60</v>
      </c>
      <c r="B14" s="11">
        <v>-0.836</v>
      </c>
      <c r="C14" s="11">
        <v>-0.659</v>
      </c>
      <c r="D14" s="11">
        <v>-0.387</v>
      </c>
    </row>
    <row r="15" spans="1:4">
      <c r="A15" t="s">
        <v>61</v>
      </c>
      <c r="B15" s="10">
        <v>10.84</v>
      </c>
      <c r="C15" s="10">
        <v>24.33</v>
      </c>
      <c r="D15" s="10">
        <v>44.99</v>
      </c>
    </row>
    <row r="17" spans="1:4">
      <c r="A17" s="3" t="s">
        <v>62</v>
      </c>
    </row>
    <row r="18" spans="1:4">
      <c r="A18" t="s">
        <v>63</v>
      </c>
      <c r="B18" s="11">
        <v>0.2</v>
      </c>
      <c r="C18" s="11">
        <v>0.6</v>
      </c>
      <c r="D18" s="11">
        <v>0.2</v>
      </c>
    </row>
    <row r="19" spans="1:4">
      <c r="A19" t="s">
        <v>64</v>
      </c>
      <c r="B19" s="10"/>
      <c r="C19" s="14">
        <v>40.9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18.7109375" customWidth="1"/>
    <col min="2" max="7" width="14.7109375" customWidth="1"/>
  </cols>
  <sheetData>
    <row r="1" spans="1:6">
      <c r="A1" s="1" t="s">
        <v>65</v>
      </c>
    </row>
    <row r="2" spans="1:6">
      <c r="A2" t="s">
        <v>66</v>
      </c>
    </row>
    <row r="3" spans="1:6">
      <c r="A3" t="s">
        <v>67</v>
      </c>
    </row>
    <row r="5" spans="1:6">
      <c r="A5" s="7" t="s">
        <v>68</v>
      </c>
      <c r="B5" s="15">
        <v>0.025</v>
      </c>
      <c r="C5" s="15">
        <v>0.03</v>
      </c>
      <c r="D5" s="15">
        <v>0.035</v>
      </c>
      <c r="E5" s="15">
        <v>0.04</v>
      </c>
      <c r="F5" s="15">
        <v>0.045</v>
      </c>
    </row>
    <row r="6" spans="1:6">
      <c r="A6" s="16">
        <v>0.08</v>
      </c>
      <c r="B6" s="17">
        <v>47.84</v>
      </c>
      <c r="C6" s="17">
        <v>51.94</v>
      </c>
      <c r="D6" s="17">
        <v>56.96</v>
      </c>
      <c r="E6" s="17">
        <v>63.24</v>
      </c>
      <c r="F6" s="17">
        <v>71.31</v>
      </c>
    </row>
    <row r="7" spans="1:6">
      <c r="A7" s="16">
        <v>0.09</v>
      </c>
      <c r="B7" s="17">
        <v>40.1</v>
      </c>
      <c r="C7" s="17">
        <v>42.9</v>
      </c>
      <c r="D7" s="17">
        <v>46.2</v>
      </c>
      <c r="E7" s="17">
        <v>50.15</v>
      </c>
      <c r="F7" s="17">
        <v>54.99</v>
      </c>
    </row>
    <row r="8" spans="1:6">
      <c r="A8" s="16">
        <v>0.1</v>
      </c>
      <c r="B8" s="17">
        <v>34.45</v>
      </c>
      <c r="C8" s="17">
        <v>36.45</v>
      </c>
      <c r="D8" s="17">
        <v>38.76</v>
      </c>
      <c r="E8" s="17">
        <v>41.45</v>
      </c>
      <c r="F8" s="17">
        <v>44.63</v>
      </c>
    </row>
    <row r="9" spans="1:6">
      <c r="A9" s="16">
        <v>0.11</v>
      </c>
      <c r="B9" s="17">
        <v>30.14</v>
      </c>
      <c r="C9" s="17">
        <v>31.62</v>
      </c>
      <c r="D9" s="17">
        <v>33.31</v>
      </c>
      <c r="E9" s="17">
        <v>35.24</v>
      </c>
      <c r="F9" s="17">
        <v>37.46</v>
      </c>
    </row>
    <row r="10" spans="1:6">
      <c r="A10" s="16">
        <v>0.12</v>
      </c>
      <c r="B10" s="17">
        <v>26.74</v>
      </c>
      <c r="C10" s="17">
        <v>27.88</v>
      </c>
      <c r="D10" s="17">
        <v>29.16</v>
      </c>
      <c r="E10" s="17">
        <v>30.6</v>
      </c>
      <c r="F10" s="17">
        <v>32.22</v>
      </c>
    </row>
    <row r="12" spans="1:6">
      <c r="A12" s="8" t="s">
        <v>69</v>
      </c>
    </row>
    <row r="13" spans="1:6">
      <c r="A13" s="18" t="s">
        <v>70</v>
      </c>
    </row>
    <row r="14" spans="1:6">
      <c r="A14" s="19" t="s">
        <v>71</v>
      </c>
    </row>
    <row r="15" spans="1:6">
      <c r="A15" s="20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25.7109375" customWidth="1"/>
    <col min="2" max="3" width="16.7109375" customWidth="1"/>
  </cols>
  <sheetData>
    <row r="1" spans="1:3">
      <c r="A1" s="1" t="s">
        <v>73</v>
      </c>
    </row>
    <row r="2" spans="1:3">
      <c r="A2" t="s">
        <v>74</v>
      </c>
    </row>
    <row r="4" spans="1:3">
      <c r="A4" s="7" t="s">
        <v>49</v>
      </c>
      <c r="B4" s="7" t="s">
        <v>75</v>
      </c>
      <c r="C4" s="7" t="s">
        <v>76</v>
      </c>
    </row>
    <row r="6" spans="1:3">
      <c r="A6" t="s">
        <v>77</v>
      </c>
      <c r="B6" t="s">
        <v>78</v>
      </c>
      <c r="C6" s="11">
        <v>0.294</v>
      </c>
    </row>
    <row r="7" spans="1:3">
      <c r="A7" t="s">
        <v>77</v>
      </c>
      <c r="B7" t="s">
        <v>79</v>
      </c>
      <c r="C7" s="11">
        <v>0.146</v>
      </c>
    </row>
    <row r="8" spans="1:3">
      <c r="A8" t="s">
        <v>80</v>
      </c>
      <c r="B8" t="s">
        <v>81</v>
      </c>
      <c r="C8" s="11">
        <v>0.1</v>
      </c>
    </row>
    <row r="9" spans="1:3">
      <c r="A9" t="s">
        <v>80</v>
      </c>
      <c r="B9" t="s">
        <v>79</v>
      </c>
      <c r="C9" s="11">
        <v>0.158</v>
      </c>
    </row>
    <row r="10" spans="1:3">
      <c r="A10" t="s">
        <v>82</v>
      </c>
      <c r="B10" t="s">
        <v>79</v>
      </c>
      <c r="C10" s="11">
        <v>0.475</v>
      </c>
    </row>
    <row r="12" spans="1:3">
      <c r="A12" s="8" t="s">
        <v>83</v>
      </c>
      <c r="B12" s="11">
        <v>0.15</v>
      </c>
    </row>
    <row r="13" spans="1:3">
      <c r="A13" s="8" t="s">
        <v>84</v>
      </c>
      <c r="B13" t="s">
        <v>85</v>
      </c>
    </row>
    <row r="15" spans="1:3">
      <c r="A15" s="8" t="s">
        <v>86</v>
      </c>
    </row>
    <row r="16" spans="1:3">
      <c r="A16" s="13" t="s">
        <v>87</v>
      </c>
      <c r="B16" s="13"/>
      <c r="C16" s="13"/>
    </row>
    <row r="17" spans="1:3">
      <c r="A17" s="13"/>
      <c r="B17" s="13"/>
      <c r="C17" s="13"/>
    </row>
    <row r="18" spans="1:3">
      <c r="A18" s="13"/>
      <c r="B18" s="13"/>
      <c r="C18" s="13"/>
    </row>
    <row r="20" spans="1:3">
      <c r="A20" s="3" t="s">
        <v>88</v>
      </c>
    </row>
    <row r="21" spans="1:3">
      <c r="A21" t="s">
        <v>89</v>
      </c>
      <c r="B21" t="s">
        <v>90</v>
      </c>
    </row>
    <row r="22" spans="1:3">
      <c r="A22" t="s">
        <v>91</v>
      </c>
      <c r="B22" t="s">
        <v>92</v>
      </c>
    </row>
    <row r="23" spans="1:3">
      <c r="A23" t="s">
        <v>93</v>
      </c>
      <c r="B23" t="s">
        <v>94</v>
      </c>
    </row>
    <row r="24" spans="1:3">
      <c r="A24" t="s">
        <v>95</v>
      </c>
      <c r="B24" t="s">
        <v>96</v>
      </c>
    </row>
  </sheetData>
  <mergeCells count="1">
    <mergeCell ref="A16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 Model</vt:lpstr>
      <vt:lpstr>Scenario Comparison</vt:lpstr>
      <vt:lpstr>Sensitivity Analysis</vt:lpstr>
      <vt:lpstr>Historical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2026-01-22T20:17:05Z</dcterms:created>
  <dcterms:modified xsi:type="dcterms:W3CDTF">2026-01-22T20:17:05Z</dcterms:modified>
</cp:coreProperties>
</file>