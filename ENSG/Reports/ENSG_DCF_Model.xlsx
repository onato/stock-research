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 (Base)" sheetId="1" r:id="rId1"/>
    <sheet name="Scenarios" sheetId="2" r:id="rId2"/>
    <sheet name="Sensitivity" sheetId="3" r:id="rId3"/>
    <sheet name="Historical" sheetId="4" r:id="rId4"/>
    <sheet name="Risk Flags" sheetId="5" r:id="rId5"/>
  </sheets>
  <calcPr calcId="124519" fullCalcOnLoad="1"/>
</workbook>
</file>

<file path=xl/sharedStrings.xml><?xml version="1.0" encoding="utf-8"?>
<sst xmlns="http://schemas.openxmlformats.org/spreadsheetml/2006/main" count="180" uniqueCount="165">
  <si>
    <t>HIGH RISK: Active short-seller (Hunterbrook June 8 + Muddy Waters June 11, 2026) and 7+ securities fraud law firm investigations. No company rebuttal confirmed as of June 27, 2026. Muddy Waters estimates up to $7B FCA liability and 35% EBIT reduction.</t>
  </si>
  <si>
    <t>ENSG DCF Valuation Model - Base Case</t>
  </si>
  <si>
    <t>Valuation Date: 2026-06-27  |  Current Price: $163.05  |  Gray cells are INPUTS</t>
  </si>
  <si>
    <t>KEY INPUTS</t>
  </si>
  <si>
    <t>Current Stock Price</t>
  </si>
  <si>
    <t>Shares Outstanding (M)</t>
  </si>
  <si>
    <t>Cash &amp; Equivalents (M)</t>
  </si>
  <si>
    <t>Total Debt (M)</t>
  </si>
  <si>
    <t>Net Debt (M)  [Debt - Cash]</t>
  </si>
  <si>
    <t>Base Year FCF (M) [FY2025]</t>
  </si>
  <si>
    <t>DISCOUNT RATE ASSUMPTIONS</t>
  </si>
  <si>
    <t>WACC</t>
  </si>
  <si>
    <t>Terminal Growth Rate</t>
  </si>
  <si>
    <t>BASE CASE - FCF GROWTH RATES</t>
  </si>
  <si>
    <t>Year 1</t>
  </si>
  <si>
    <t>Year 2</t>
  </si>
  <si>
    <t>Year 3</t>
  </si>
  <si>
    <t>Year 4</t>
  </si>
  <si>
    <t>Year 5</t>
  </si>
  <si>
    <t>Annual FCF Growth Rate</t>
  </si>
  <si>
    <t>FCF PROJECTIONS (BASE)</t>
  </si>
  <si>
    <t>Terminal</t>
  </si>
  <si>
    <t>Free Cash Flow (M)</t>
  </si>
  <si>
    <t>Discount Factor  [1/(1+WACC)^n]</t>
  </si>
  <si>
    <t>PV of FCF (M)</t>
  </si>
  <si>
    <t>VALUATION SUMMARY</t>
  </si>
  <si>
    <t>Sum of PV of FCF (M)</t>
  </si>
  <si>
    <t>Terminal Value (M)  [FCF_T5*(1+g)/(WACC-g)]</t>
  </si>
  <si>
    <t>PV of Terminal Value (M)</t>
  </si>
  <si>
    <t>Enterprise Value (M)</t>
  </si>
  <si>
    <t>Less: Net Debt (M)  [neg = net cash added]</t>
  </si>
  <si>
    <t>Equity Value (M)</t>
  </si>
  <si>
    <t>INTRINSIC VALUE / SHARE</t>
  </si>
  <si>
    <t>Upside / (Downside) vs Current Price</t>
  </si>
  <si>
    <t>ENTRY PRICE ANALYSIS</t>
  </si>
  <si>
    <t>Terminal Value per Share</t>
  </si>
  <si>
    <t>Entry Price for 15% CAGR Target</t>
  </si>
  <si>
    <t>Entry Discount from Current Price</t>
  </si>
  <si>
    <t>SCENARIO COMPARISON</t>
  </si>
  <si>
    <t>Bear Case</t>
  </si>
  <si>
    <t>Base Case</t>
  </si>
  <si>
    <t>Bull Case</t>
  </si>
  <si>
    <t>Prob. Weighted</t>
  </si>
  <si>
    <t>Intrinsic Value / Share</t>
  </si>
  <si>
    <t>Upside / (Downside)</t>
  </si>
  <si>
    <t>Scenario Weight</t>
  </si>
  <si>
    <t>Note: Adjust gray input cells to update all calculations automatically.</t>
  </si>
  <si>
    <t>Bear weight = 30% due to active Hunterbrook/Muddy Waters FCA investigations (June 2026). FCA tail risk not fully captured in DCF cash flows.</t>
  </si>
  <si>
    <t>ENSG - Scenario Comparison</t>
  </si>
  <si>
    <t>All monetary values in USD millions except per-share figures</t>
  </si>
  <si>
    <t>PARAMETER</t>
  </si>
  <si>
    <t>BEAR CASE</t>
  </si>
  <si>
    <t>BASE CASE</t>
  </si>
  <si>
    <t>BULL CASE</t>
  </si>
  <si>
    <t>Terminal Growth</t>
  </si>
  <si>
    <t>FCF Growth Rate - Y1</t>
  </si>
  <si>
    <t>FCF Growth Rate - Y2</t>
  </si>
  <si>
    <t>FCF Growth Rate - Y3</t>
  </si>
  <si>
    <t>FCF Growth Rate - Y4</t>
  </si>
  <si>
    <t>FCF Growth Rate - Y5</t>
  </si>
  <si>
    <t>PROJECTED FCF (M)</t>
  </si>
  <si>
    <t>Y1</t>
  </si>
  <si>
    <t>Y2</t>
  </si>
  <si>
    <t>Y3</t>
  </si>
  <si>
    <t>Y4</t>
  </si>
  <si>
    <t>Y5</t>
  </si>
  <si>
    <t>BEAR</t>
  </si>
  <si>
    <t>BULL</t>
  </si>
  <si>
    <t>Bear Case FCF</t>
  </si>
  <si>
    <t>Base Case FCF</t>
  </si>
  <si>
    <t>Bull Case FCF</t>
  </si>
  <si>
    <t>PROJECTED REVENUE (M)</t>
  </si>
  <si>
    <t>Bear Case Revenue</t>
  </si>
  <si>
    <t>Base Case Revenue</t>
  </si>
  <si>
    <t>Bull Case Revenue</t>
  </si>
  <si>
    <t>VALUATION OUTPUTS</t>
  </si>
  <si>
    <t>Sum PV FCF</t>
  </si>
  <si>
    <t>Terminal Value</t>
  </si>
  <si>
    <t>PV of Terminal Value</t>
  </si>
  <si>
    <t>Enterprise Value</t>
  </si>
  <si>
    <t>Equity Value</t>
  </si>
  <si>
    <t>ENSG Sensitivity Analysis - Base Case Intrinsic Value</t>
  </si>
  <si>
    <t>Rows = WACC, Columns = Terminal Growth Rate. Base FCF growth rates: [14.0, 12.0, 10.0, 8.0, 6.0]</t>
  </si>
  <si>
    <t>Current Price: $163.05  |  Cells above current price are highlighted green</t>
  </si>
  <si>
    <t>WACC \ Term G</t>
  </si>
  <si>
    <t>2.0%</t>
  </si>
  <si>
    <t>2.5%</t>
  </si>
  <si>
    <t>3.0%</t>
  </si>
  <si>
    <t>3.5%</t>
  </si>
  <si>
    <t>4.0%</t>
  </si>
  <si>
    <t>8.0%</t>
  </si>
  <si>
    <t>9.0%</t>
  </si>
  <si>
    <t>10.0%</t>
  </si>
  <si>
    <t>11.0%</t>
  </si>
  <si>
    <t>12.0%</t>
  </si>
  <si>
    <t>Reference: Current Price = $163.05</t>
  </si>
  <si>
    <t>Base IV = $130.28  |  Bull IV = $189.80  |  Bear IV = $72.58  |  Prob. Weighted IV = $124.87</t>
  </si>
  <si>
    <t>Rows = WACC (8-12%), Cols = Terminal Growth Rate (2-4%). Uses base-case FCF growth rates. Current price $163.05 is above all base-case matrix cells, meaning even at the most optimistic base-case WACC/terminal growth (8% / 4%), fair value is $217.70 - only 33% above current price. Bull case is needed to justify current price, which requires resolution of regulatory uncertainty.</t>
  </si>
  <si>
    <t>ENSG Historical Growth Rates &amp; Validation</t>
  </si>
  <si>
    <t>METRIC</t>
  </si>
  <si>
    <t>3-Year CAGR (FY22-FY25)</t>
  </si>
  <si>
    <t>5-Year CAGR (FY20-FY25)</t>
  </si>
  <si>
    <t>Revenue</t>
  </si>
  <si>
    <t>EPS</t>
  </si>
  <si>
    <t>Book Value (Equity)</t>
  </si>
  <si>
    <t>Free Cash Flow</t>
  </si>
  <si>
    <t>Selected Base Y1 Growth Rate:</t>
  </si>
  <si>
    <t>Methodology:</t>
  </si>
  <si>
    <t>blended_anchor</t>
  </si>
  <si>
    <t>Note:</t>
  </si>
  <si>
    <t>Equity 5yr CAGR (22.2%) is inflated by acquisition-retained earnings from 71+ facilities added since 2025 and overstates sustainable organic growth. FCF 5yr CAGR (2.8%) is depressed by a COVID-distorted FY2020 base ($323M in one-time relief payments). Y1 base growth of 14% is calibrated to company FY2026 guidance ($5.81-5.86B revenue, ~15% growth; EPS midpoint ~15% growth) with slight FCF lag from integration costs. Revenue and EPS 5yr CAGRs (16.1% and 13.5%) bracket the selection.</t>
  </si>
  <si>
    <t>SANITY CHECK - IMPLIED MULTIPLES</t>
  </si>
  <si>
    <t>Bear IV ($72.58)</t>
  </si>
  <si>
    <t>Base IV ($130.28)</t>
  </si>
  <si>
    <t>Bull IV ($189.80)</t>
  </si>
  <si>
    <t>Current ($163.05)</t>
  </si>
  <si>
    <t>Hist. Range</t>
  </si>
  <si>
    <t>Forward P/E (FY2026E $7.55)</t>
  </si>
  <si>
    <t>9.6x</t>
  </si>
  <si>
    <t>17.3x</t>
  </si>
  <si>
    <t>25.1x</t>
  </si>
  <si>
    <t>21.6x</t>
  </si>
  <si>
    <t>15x-30x</t>
  </si>
  <si>
    <t>Forward EV/EBITDA (FY2026E $620M)</t>
  </si>
  <si>
    <t>6.3x</t>
  </si>
  <si>
    <t>11.9x</t>
  </si>
  <si>
    <t>17.6x</t>
  </si>
  <si>
    <t>15.2x</t>
  </si>
  <si>
    <t>10x-20x</t>
  </si>
  <si>
    <t>Forward P/FCF (FY2026E $423M)</t>
  </si>
  <si>
    <t>10.2x</t>
  </si>
  <si>
    <t>18.4x</t>
  </si>
  <si>
    <t>26.8x</t>
  </si>
  <si>
    <t>26.2x</t>
  </si>
  <si>
    <t>Sanity Check Result:</t>
  </si>
  <si>
    <t>PASSED - No auto-corrections applied. All scenario multiples defensible.</t>
  </si>
  <si>
    <t>Bear Multiples Note:</t>
  </si>
  <si>
    <t>Bear P/E 9.6x is intentionally below historical range: Muddy Waters estimated 35% EBIT reduction + up to $7B theoretical FCA sanctions implies current EPS guidance ($7.55) is the scenario starting point, not a floor. Depressed multiples are appropriate for this distress scenario.</t>
  </si>
  <si>
    <t>ENSG Risk Flags &amp; Qualitative Factors</t>
  </si>
  <si>
    <t>As of 2026-06-27</t>
  </si>
  <si>
    <t>Elevated Uncertainty - Active Short-Seller Investigations (June 2026): This DCF was prepared after Hunterbrook Capital (June 8, 2026) and Muddy Waters Research (June 11, 2026) published highly critical reports alleging quality-metric gaming, patient care failures, and administrator-license fraud at Ensign facilities. Multiple securities fraud law firm investigations are active. The company had not issued a formal public rebuttal as of June 27, 2026. The base-case intrinsic value of $130.28 and probability-weighted IV of $124.87 are both materially below the current price of $163.05, suggesting the market has not fully priced in downside scenarios. The wide IV range ($72.58 bear to $189.80 bull) reflects genuine binary uncertainty around the regulatory outcome. This model should not be read as a buy signal.</t>
  </si>
  <si>
    <t>FLAG</t>
  </si>
  <si>
    <t>DESCRIPTION + DCF IMPACT</t>
  </si>
  <si>
    <t>SHORT_SELLER_OVERHANG
Severity: HIGH</t>
  </si>
  <si>
    <t>Hunterbrook (June 8, 2026) and Muddy Waters (June 11, 2026) published detailed negative reports. 7+ law firms (Pomerantz, Kessler Topaz, Robbins Geller, Levi &amp; Korsinsky, BFA Law, Lowey Dannenberg, Hagens Berman) launched securities fraud investigations. No formal company rebuttal confirmed as of June 27, 2026. Stock has fallen ~8%+ from pre-report levels.
DCF Impact: Bear case WACC increased to 12% (from 11% in prior model), bear growth compressed to 2-5%, bear scenario weight increased to 30%.</t>
  </si>
  <si>
    <t>FCA_TAIL_RISK
Severity: HIGH</t>
  </si>
  <si>
    <t>Muddy Waters estimates up to $7B theoretical FCA sanctions and 35% EBIT reduction from alleged administrator-license fraud at approximately 20 facilities. Investigators visited 57 of 379 facilities across 8 states; found red flags at 12 (21%). DOJ/OIG investigation not yet confirmed but risk is material and non-zero.
DCF Impact: Captured structurally in bear scenario assumptions. A standalone FCA settlement of $500M-$3B would reduce equity value by approximately $8-$50 per share, depending on settlement size and operational remediation costs. This is not modeled as a single-event deduction but embedded in the bear case growth and margin compression.</t>
  </si>
  <si>
    <t>OBBB_MEDICAID_HEADWIND
Severity: MODERATE_TO_HIGH</t>
  </si>
  <si>
    <t>One Big Beautiful Bill (signed July 2025) reduces federal Medicaid contributions starting FY2030, caps state-directed payments, imposes provider tax moratorium, and tightens eligibility. Affects approximately 44.6% of revenue. Full impact is phased 2027-2030 and state-specific.
DCF Impact: Reflected in base case with 3.0% terminal growth (vs potential 3.5%+ without OBBB) and in bear case as primary driver of post-Y2 growth compression to 2%.</t>
  </si>
  <si>
    <t>SCENARIO PROBABILITIES</t>
  </si>
  <si>
    <t>Bull Scenario</t>
  </si>
  <si>
    <t>20% - Short-seller allegations proven unfounded, continued strong acquisition execution, occupancy to 86%+, margin expansion</t>
  </si>
  <si>
    <t>Base Scenario</t>
  </si>
  <si>
    <t>50% - Moderate regulatory friction but no material FCA liability, continued but moderating growth, stable margins</t>
  </si>
  <si>
    <t>Bear Scenario</t>
  </si>
  <si>
    <t>30% - FCA/OIG formal inquiry materializes, staffing remediation required, OBBB materially impairs Medicaid rates, securities litigation settlement</t>
  </si>
  <si>
    <t>CHANGES FROM PRIOR MODEL (Feb 2026)</t>
  </si>
  <si>
    <t>Current price updated to $163.05 (was $176.59 in Feb 2026 model)</t>
  </si>
  <si>
    <t>Shares updated to 59.6M from 59.5M Q1-2026 actual (was 58.1M FY2025)</t>
  </si>
  <si>
    <t>Net debt updated to -$398.7M from Q1-2026 balance sheet (cash $539.5M, debt $140.8M)</t>
  </si>
  <si>
    <t>Growth anchor changed from equity CAGR (22.2%) to guided-growth blended anchor (14% Y1) reflecting more conservative stance post-short-seller reports</t>
  </si>
  <si>
    <t>Bear case materially upgraded: WACC raised 12% (from 11%), bear growth reduced to 2-5% (from 3-10%), incorporates FCA risk as primary driver</t>
  </si>
  <si>
    <t>Bear scenario probability weight increased to 30% (from 25%) due to active investigations</t>
  </si>
  <si>
    <t>Bull scenario probability weight reduced to 20% (from 30%)</t>
  </si>
  <si>
    <t>Sanity check block and warning banner added per Step 8c requirements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</si>
</sst>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#,##0.0"/>
    <numFmt numFmtId="166" formatCode="0.0%"/>
    <numFmt numFmtId="167" formatCode="#,##0.000"/>
  </numFmts>
  <fonts count="1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2D3436"/>
      <name val="Calibri"/>
      <family val="2"/>
      <scheme val="minor"/>
    </font>
    <font>
      <sz val="11"/>
      <color rgb="FFD63031"/>
      <name val="Calibri"/>
      <family val="2"/>
      <scheme val="minor"/>
    </font>
    <font>
      <sz val="11"/>
      <color rgb="FF00B894"/>
      <name val="Calibri"/>
      <family val="2"/>
      <scheme val="minor"/>
    </font>
    <font>
      <i/>
      <sz val="9"/>
      <color rgb="FF636E72"/>
      <name val="Calibri"/>
      <family val="2"/>
      <scheme val="minor"/>
    </font>
    <font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63031"/>
        <bgColor indexed="64"/>
      </patternFill>
    </fill>
    <fill>
      <patternFill patternType="solid">
        <fgColor rgb="FFB2BEC3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74B9FF"/>
        <bgColor indexed="64"/>
      </patternFill>
    </fill>
    <fill>
      <patternFill patternType="solid">
        <fgColor rgb="FFE17055"/>
        <bgColor indexed="64"/>
      </patternFill>
    </fill>
    <fill>
      <patternFill patternType="solid">
        <fgColor rgb="FFFAB1A0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3" borderId="2" xfId="0" applyFont="1" applyFill="1" applyBorder="1"/>
    <xf numFmtId="164" fontId="0" fillId="4" borderId="3" xfId="0" applyNumberFormat="1" applyFill="1" applyBorder="1"/>
    <xf numFmtId="165" fontId="0" fillId="4" borderId="3" xfId="0" applyNumberFormat="1" applyFill="1" applyBorder="1"/>
    <xf numFmtId="165" fontId="0" fillId="0" borderId="3" xfId="0" applyNumberFormat="1" applyBorder="1"/>
    <xf numFmtId="166" fontId="0" fillId="4" borderId="3" xfId="0" applyNumberFormat="1" applyFill="1" applyBorder="1"/>
    <xf numFmtId="0" fontId="1" fillId="5" borderId="3" xfId="0" applyFont="1" applyFill="1" applyBorder="1" applyAlignment="1">
      <alignment horizontal="center"/>
    </xf>
    <xf numFmtId="167" fontId="0" fillId="0" borderId="3" xfId="0" applyNumberFormat="1" applyBorder="1"/>
    <xf numFmtId="0" fontId="5" fillId="0" borderId="0" xfId="0" applyFont="1"/>
    <xf numFmtId="164" fontId="6" fillId="6" borderId="3" xfId="0" applyNumberFormat="1" applyFont="1" applyFill="1" applyBorder="1"/>
    <xf numFmtId="166" fontId="7" fillId="7" borderId="3" xfId="0" applyNumberFormat="1" applyFont="1" applyFill="1" applyBorder="1"/>
    <xf numFmtId="164" fontId="0" fillId="0" borderId="3" xfId="0" applyNumberFormat="1" applyBorder="1"/>
    <xf numFmtId="166" fontId="8" fillId="0" borderId="3" xfId="0" applyNumberFormat="1" applyFont="1" applyBorder="1"/>
    <xf numFmtId="164" fontId="1" fillId="8" borderId="3" xfId="0" applyNumberFormat="1" applyFont="1" applyFill="1" applyBorder="1"/>
    <xf numFmtId="164" fontId="1" fillId="6" borderId="3" xfId="0" applyNumberFormat="1" applyFont="1" applyFill="1" applyBorder="1"/>
    <xf numFmtId="166" fontId="9" fillId="0" borderId="3" xfId="0" applyNumberFormat="1" applyFont="1" applyBorder="1"/>
    <xf numFmtId="166" fontId="0" fillId="0" borderId="3" xfId="0" applyNumberFormat="1" applyBorder="1"/>
    <xf numFmtId="0" fontId="10" fillId="0" borderId="0" xfId="0" applyFont="1" applyAlignment="1">
      <alignment wrapText="1"/>
    </xf>
    <xf numFmtId="0" fontId="1" fillId="8" borderId="3" xfId="0" applyFont="1" applyFill="1" applyBorder="1" applyAlignment="1">
      <alignment horizontal="center"/>
    </xf>
    <xf numFmtId="0" fontId="1" fillId="8" borderId="3" xfId="0" applyFont="1" applyFill="1" applyBorder="1"/>
    <xf numFmtId="0" fontId="1" fillId="5" borderId="3" xfId="0" applyFont="1" applyFill="1" applyBorder="1"/>
    <xf numFmtId="0" fontId="1" fillId="6" borderId="3" xfId="0" applyFont="1" applyFill="1" applyBorder="1" applyAlignment="1">
      <alignment horizontal="center"/>
    </xf>
    <xf numFmtId="0" fontId="1" fillId="6" borderId="3" xfId="0" applyFont="1" applyFill="1" applyBorder="1"/>
    <xf numFmtId="0" fontId="0" fillId="0" borderId="3" xfId="0" applyBorder="1"/>
    <xf numFmtId="164" fontId="0" fillId="9" borderId="3" xfId="0" applyNumberFormat="1" applyFill="1" applyBorder="1"/>
    <xf numFmtId="0" fontId="1" fillId="2" borderId="3" xfId="0" applyFont="1" applyFill="1" applyBorder="1" applyAlignment="1">
      <alignment vertical="top" wrapText="1"/>
    </xf>
    <xf numFmtId="0" fontId="11" fillId="0" borderId="3" xfId="0" applyFont="1" applyBorder="1" applyAlignment="1">
      <alignment vertical="top" wrapText="1"/>
    </xf>
    <xf numFmtId="0" fontId="1" fillId="8" borderId="3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7"/>
  <sheetViews>
    <sheetView tabSelected="1" zoomScale="90" zoomScaleNormal="90" workbookViewId="0"/>
  </sheetViews>
  <sheetFormatPr defaultRowHeight="15"/>
  <cols>
    <col min="1" max="1" width="28.7109375" customWidth="1"/>
    <col min="2" max="9" width="14.7109375" customWidth="1"/>
  </cols>
  <sheetData>
    <row r="1" spans="1:7" ht="20" customHeight="1">
      <c r="A1" s="1" t="s">
        <v>0</v>
      </c>
      <c r="B1" s="1"/>
      <c r="C1" s="1"/>
      <c r="D1" s="1"/>
      <c r="E1" s="1"/>
      <c r="F1" s="1"/>
      <c r="G1" s="1"/>
    </row>
    <row r="2" spans="1:7" ht="20" customHeight="1">
      <c r="A2" s="1"/>
      <c r="B2" s="1"/>
      <c r="C2" s="1"/>
      <c r="D2" s="1"/>
      <c r="E2" s="1"/>
      <c r="F2" s="1"/>
      <c r="G2" s="1"/>
    </row>
    <row r="3" spans="1:7">
      <c r="A3" s="2" t="s">
        <v>1</v>
      </c>
    </row>
    <row r="4" spans="1:7">
      <c r="A4" s="3" t="s">
        <v>2</v>
      </c>
    </row>
    <row r="6" spans="1:7">
      <c r="A6" s="4" t="s">
        <v>3</v>
      </c>
      <c r="B6" s="4"/>
      <c r="C6" s="4"/>
      <c r="D6" s="4"/>
    </row>
    <row r="7" spans="1:7">
      <c r="A7" t="s">
        <v>4</v>
      </c>
      <c r="B7" s="5">
        <v>163.05</v>
      </c>
    </row>
    <row r="8" spans="1:7">
      <c r="A8" t="s">
        <v>5</v>
      </c>
      <c r="B8" s="6">
        <v>59.6</v>
      </c>
    </row>
    <row r="9" spans="1:7">
      <c r="A9" t="s">
        <v>6</v>
      </c>
      <c r="B9" s="6">
        <v>539.5</v>
      </c>
    </row>
    <row r="10" spans="1:7">
      <c r="A10" t="s">
        <v>7</v>
      </c>
      <c r="B10" s="6">
        <v>140.8</v>
      </c>
    </row>
    <row r="11" spans="1:7">
      <c r="A11" t="s">
        <v>8</v>
      </c>
      <c r="B11" s="7">
        <f>B10-B9</f>
        <v>0</v>
      </c>
    </row>
    <row r="12" spans="1:7">
      <c r="A12" t="s">
        <v>9</v>
      </c>
      <c r="B12" s="6">
        <v>370.7</v>
      </c>
    </row>
    <row r="14" spans="1:7">
      <c r="A14" s="4" t="s">
        <v>10</v>
      </c>
      <c r="B14" s="4"/>
    </row>
    <row r="15" spans="1:7">
      <c r="A15" t="s">
        <v>11</v>
      </c>
      <c r="B15" s="8">
        <v>0.1</v>
      </c>
    </row>
    <row r="16" spans="1:7">
      <c r="A16" t="s">
        <v>12</v>
      </c>
      <c r="B16" s="8">
        <v>0.03</v>
      </c>
    </row>
    <row r="18" spans="1:7">
      <c r="A18" s="4" t="s">
        <v>13</v>
      </c>
    </row>
    <row r="19" spans="1:7">
      <c r="A19" t="s">
        <v>19</v>
      </c>
      <c r="B19" s="9" t="s">
        <v>14</v>
      </c>
      <c r="C19" s="9" t="s">
        <v>15</v>
      </c>
      <c r="D19" s="9" t="s">
        <v>16</v>
      </c>
      <c r="E19" s="9" t="s">
        <v>17</v>
      </c>
      <c r="F19" s="9" t="s">
        <v>18</v>
      </c>
    </row>
    <row r="20" spans="1:7">
      <c r="B20" s="8">
        <v>0.14</v>
      </c>
      <c r="C20" s="8">
        <v>0.12</v>
      </c>
      <c r="D20" s="8">
        <v>0.1</v>
      </c>
      <c r="E20" s="8">
        <v>0.08</v>
      </c>
      <c r="F20" s="8">
        <v>0.06</v>
      </c>
    </row>
    <row r="21" spans="1:7">
      <c r="A21" s="4" t="s">
        <v>20</v>
      </c>
    </row>
    <row r="22" spans="1:7">
      <c r="A22" t="s">
        <v>22</v>
      </c>
      <c r="B22" s="7">
        <f>B12*(1+B19)</f>
        <v>0</v>
      </c>
      <c r="C22" s="7">
        <f>B22*(1+C19)</f>
        <v>0</v>
      </c>
      <c r="D22" s="7">
        <f>C22*(1+D19)</f>
        <v>0</v>
      </c>
      <c r="E22" s="7">
        <f>D22*(1+E19)</f>
        <v>0</v>
      </c>
      <c r="F22" s="7">
        <f>E22*(1+F19)</f>
        <v>0</v>
      </c>
      <c r="G22" s="7">
        <f>F22*(1+$B$16)</f>
        <v>0</v>
      </c>
    </row>
    <row r="23" spans="1:7">
      <c r="A23" t="s">
        <v>23</v>
      </c>
      <c r="B23" s="10">
        <f>1/(1+$B$15)^1</f>
        <v>0</v>
      </c>
      <c r="C23" s="10">
        <f>1/(1+$B$15)^2</f>
        <v>0</v>
      </c>
      <c r="D23" s="10">
        <f>1/(1+$B$15)^3</f>
        <v>0</v>
      </c>
      <c r="E23" s="10">
        <f>1/(1+$B$15)^4</f>
        <v>0</v>
      </c>
      <c r="F23" s="10">
        <f>1/(1+$B$15)^5</f>
        <v>0</v>
      </c>
    </row>
    <row r="24" spans="1:7">
      <c r="A24" t="s">
        <v>24</v>
      </c>
      <c r="B24" s="7">
        <f>B22*B23</f>
        <v>0</v>
      </c>
      <c r="C24" s="7">
        <f>C22*C23</f>
        <v>0</v>
      </c>
      <c r="D24" s="7">
        <f>D22*D23</f>
        <v>0</v>
      </c>
      <c r="E24" s="7">
        <f>E22*E23</f>
        <v>0</v>
      </c>
      <c r="F24" s="7">
        <f>F22*F23</f>
        <v>0</v>
      </c>
    </row>
    <row r="26" spans="1:7">
      <c r="A26" s="4" t="s">
        <v>25</v>
      </c>
    </row>
    <row r="27" spans="1:7">
      <c r="A27" t="s">
        <v>26</v>
      </c>
      <c r="B27" s="7">
        <f>SUM(B24:F24)</f>
        <v>0</v>
      </c>
    </row>
    <row r="28" spans="1:7">
      <c r="A28" t="s">
        <v>27</v>
      </c>
      <c r="B28" s="7">
        <f>G22/($B$15-$B$16)</f>
        <v>0</v>
      </c>
    </row>
    <row r="29" spans="1:7">
      <c r="A29" t="s">
        <v>28</v>
      </c>
      <c r="B29" s="7">
        <f>B28*F23</f>
        <v>0</v>
      </c>
    </row>
    <row r="30" spans="1:7">
      <c r="A30" t="s">
        <v>29</v>
      </c>
      <c r="B30" s="7">
        <f>B27+B29</f>
        <v>0</v>
      </c>
    </row>
    <row r="31" spans="1:7">
      <c r="A31" t="s">
        <v>30</v>
      </c>
      <c r="B31" s="7">
        <f>B11</f>
        <v>0</v>
      </c>
    </row>
    <row r="32" spans="1:7">
      <c r="A32" t="s">
        <v>31</v>
      </c>
      <c r="B32" s="7">
        <f>B30-B31</f>
        <v>0</v>
      </c>
    </row>
    <row r="33" spans="1:5">
      <c r="A33" s="11" t="s">
        <v>32</v>
      </c>
      <c r="B33" s="12">
        <f>B32/B8</f>
        <v>0</v>
      </c>
    </row>
    <row r="34" spans="1:5">
      <c r="A34" t="s">
        <v>33</v>
      </c>
      <c r="B34" s="13">
        <f>(B33-B7)/B7</f>
        <v>0</v>
      </c>
    </row>
    <row r="36" spans="1:5">
      <c r="A36" s="4" t="s">
        <v>34</v>
      </c>
    </row>
    <row r="37" spans="1:5">
      <c r="A37" t="s">
        <v>35</v>
      </c>
      <c r="B37" s="14">
        <f>B28/B8</f>
        <v>0</v>
      </c>
    </row>
    <row r="38" spans="1:5">
      <c r="A38" t="s">
        <v>36</v>
      </c>
      <c r="B38" s="12">
        <f>B37/(1.15^5)</f>
        <v>0</v>
      </c>
    </row>
    <row r="39" spans="1:5">
      <c r="A39" t="s">
        <v>37</v>
      </c>
      <c r="B39" s="15">
        <f>(B38-B7)/B7</f>
        <v>0</v>
      </c>
    </row>
    <row r="41" spans="1:5">
      <c r="A41" s="4" t="s">
        <v>38</v>
      </c>
      <c r="B41" s="9" t="s">
        <v>39</v>
      </c>
      <c r="C41" s="9" t="s">
        <v>40</v>
      </c>
      <c r="D41" s="9" t="s">
        <v>41</v>
      </c>
      <c r="E41" s="9" t="s">
        <v>42</v>
      </c>
    </row>
    <row r="42" spans="1:5">
      <c r="A42" t="s">
        <v>43</v>
      </c>
      <c r="B42" s="16">
        <v>72.58</v>
      </c>
      <c r="C42" s="12">
        <v>130.28</v>
      </c>
      <c r="D42" s="17">
        <v>189.8</v>
      </c>
      <c r="E42" s="12">
        <v>124.87</v>
      </c>
    </row>
    <row r="43" spans="1:5">
      <c r="A43" t="s">
        <v>44</v>
      </c>
      <c r="B43" s="15">
        <v>-0.555</v>
      </c>
      <c r="C43" s="15">
        <v>-0.201</v>
      </c>
      <c r="D43" s="18">
        <v>0.164</v>
      </c>
      <c r="E43" s="15">
        <v>-0.234</v>
      </c>
    </row>
    <row r="44" spans="1:5">
      <c r="A44" t="s">
        <v>45</v>
      </c>
      <c r="B44" s="19">
        <v>0.3</v>
      </c>
      <c r="C44" s="19">
        <v>0.5</v>
      </c>
      <c r="D44" s="19">
        <v>0.2</v>
      </c>
      <c r="E44" s="19">
        <v>1</v>
      </c>
    </row>
    <row r="46" spans="1:5">
      <c r="A46" s="20" t="s">
        <v>46</v>
      </c>
    </row>
    <row r="47" spans="1:5">
      <c r="A47" s="20" t="s">
        <v>47</v>
      </c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2"/>
  <sheetViews>
    <sheetView zoomScale="90" zoomScaleNormal="90" workbookViewId="0"/>
  </sheetViews>
  <sheetFormatPr defaultRowHeight="15"/>
  <cols>
    <col min="1" max="1" width="28.7109375" customWidth="1"/>
    <col min="2" max="10" width="13.7109375" customWidth="1"/>
  </cols>
  <sheetData>
    <row r="1" spans="1:11">
      <c r="A1" s="2" t="s">
        <v>48</v>
      </c>
    </row>
    <row r="2" spans="1:11">
      <c r="A2" s="3" t="s">
        <v>49</v>
      </c>
    </row>
    <row r="4" spans="1:11">
      <c r="A4" s="9" t="s">
        <v>50</v>
      </c>
      <c r="B4" s="21" t="s">
        <v>51</v>
      </c>
      <c r="C4" s="22"/>
      <c r="D4" s="9" t="s">
        <v>52</v>
      </c>
      <c r="E4" s="23"/>
      <c r="F4" s="24" t="s">
        <v>53</v>
      </c>
      <c r="G4" s="25"/>
    </row>
    <row r="5" spans="1:11">
      <c r="A5" t="s">
        <v>11</v>
      </c>
      <c r="B5" s="19">
        <v>0.12</v>
      </c>
      <c r="C5" s="26"/>
      <c r="D5" s="19">
        <v>0.1</v>
      </c>
      <c r="E5" s="26"/>
      <c r="F5" s="19">
        <v>0.09</v>
      </c>
      <c r="G5" s="26"/>
    </row>
    <row r="6" spans="1:11">
      <c r="A6" t="s">
        <v>54</v>
      </c>
      <c r="B6" s="19">
        <v>0.02</v>
      </c>
      <c r="C6" s="26"/>
      <c r="D6" s="19">
        <v>0.03</v>
      </c>
      <c r="E6" s="26"/>
      <c r="F6" s="19">
        <v>0.035</v>
      </c>
      <c r="G6" s="26"/>
    </row>
    <row r="8" spans="1:11">
      <c r="A8" t="s">
        <v>55</v>
      </c>
      <c r="B8" s="19">
        <v>0.05</v>
      </c>
      <c r="C8" s="26"/>
      <c r="D8" s="19">
        <v>0.14</v>
      </c>
      <c r="E8" s="26"/>
      <c r="F8" s="19">
        <v>0.18</v>
      </c>
      <c r="G8" s="26"/>
    </row>
    <row r="9" spans="1:11">
      <c r="A9" t="s">
        <v>56</v>
      </c>
      <c r="B9" s="19">
        <v>0.03</v>
      </c>
      <c r="C9" s="26"/>
      <c r="D9" s="19">
        <v>0.12</v>
      </c>
      <c r="E9" s="26"/>
      <c r="F9" s="19">
        <v>0.16</v>
      </c>
      <c r="G9" s="26"/>
    </row>
    <row r="10" spans="1:11">
      <c r="A10" t="s">
        <v>57</v>
      </c>
      <c r="B10" s="19">
        <v>0.02</v>
      </c>
      <c r="C10" s="26"/>
      <c r="D10" s="19">
        <v>0.1</v>
      </c>
      <c r="E10" s="26"/>
      <c r="F10" s="19">
        <v>0.14</v>
      </c>
      <c r="G10" s="26"/>
    </row>
    <row r="11" spans="1:11">
      <c r="A11" t="s">
        <v>58</v>
      </c>
      <c r="B11" s="19">
        <v>0.02</v>
      </c>
      <c r="C11" s="26"/>
      <c r="D11" s="19">
        <v>0.08</v>
      </c>
      <c r="E11" s="26"/>
      <c r="F11" s="19">
        <v>0.12</v>
      </c>
      <c r="G11" s="26"/>
    </row>
    <row r="12" spans="1:11">
      <c r="A12" t="s">
        <v>59</v>
      </c>
      <c r="B12" s="19">
        <v>0.02</v>
      </c>
      <c r="C12" s="26"/>
      <c r="D12" s="19">
        <v>0.06</v>
      </c>
      <c r="E12" s="26"/>
      <c r="F12" s="19">
        <v>0.1</v>
      </c>
      <c r="G12" s="26"/>
    </row>
    <row r="14" spans="1:11">
      <c r="A14" s="11" t="s">
        <v>60</v>
      </c>
    </row>
    <row r="15" spans="1:11">
      <c r="A15" s="9"/>
      <c r="B15" s="21" t="s">
        <v>66</v>
      </c>
      <c r="C15" s="21"/>
      <c r="D15" s="21"/>
      <c r="E15" s="21"/>
      <c r="F15" s="21"/>
      <c r="G15" s="24" t="s">
        <v>67</v>
      </c>
      <c r="H15" s="24"/>
      <c r="I15" s="24"/>
      <c r="J15" s="24"/>
      <c r="K15" s="24"/>
    </row>
    <row r="16" spans="1:11">
      <c r="A16" t="s">
        <v>68</v>
      </c>
      <c r="B16" s="7">
        <v>389.2</v>
      </c>
      <c r="C16" s="7">
        <v>400.9</v>
      </c>
      <c r="D16" s="7">
        <v>408.9</v>
      </c>
      <c r="E16" s="7">
        <v>417.1</v>
      </c>
      <c r="F16" s="7">
        <v>425.4</v>
      </c>
    </row>
    <row r="17" spans="1:6">
      <c r="A17" t="s">
        <v>69</v>
      </c>
      <c r="B17" s="7">
        <v>422.6</v>
      </c>
      <c r="C17" s="7">
        <v>473.3</v>
      </c>
      <c r="D17" s="7">
        <v>520.6</v>
      </c>
      <c r="E17" s="7">
        <v>562.3</v>
      </c>
      <c r="F17" s="7">
        <v>596</v>
      </c>
    </row>
    <row r="18" spans="1:6">
      <c r="A18" t="s">
        <v>70</v>
      </c>
      <c r="B18" s="7">
        <v>437.4</v>
      </c>
      <c r="C18" s="7">
        <v>507.4</v>
      </c>
      <c r="D18" s="7">
        <v>578.5</v>
      </c>
      <c r="E18" s="7">
        <v>647.9</v>
      </c>
      <c r="F18" s="7">
        <v>712.6</v>
      </c>
    </row>
    <row r="20" spans="1:6">
      <c r="A20" s="11" t="s">
        <v>71</v>
      </c>
    </row>
    <row r="21" spans="1:6">
      <c r="A21" t="s">
        <v>72</v>
      </c>
      <c r="B21" s="7">
        <v>5310.7</v>
      </c>
      <c r="C21" s="7">
        <v>5470</v>
      </c>
      <c r="D21" s="7">
        <v>5579.4</v>
      </c>
      <c r="E21" s="7">
        <v>5691</v>
      </c>
      <c r="F21" s="7">
        <v>5804.8</v>
      </c>
    </row>
    <row r="22" spans="1:6">
      <c r="A22" t="s">
        <v>73</v>
      </c>
      <c r="B22" s="7">
        <v>5765.9</v>
      </c>
      <c r="C22" s="7">
        <v>6457.8</v>
      </c>
      <c r="D22" s="7">
        <v>7103.6</v>
      </c>
      <c r="E22" s="7">
        <v>7671.9</v>
      </c>
      <c r="F22" s="7">
        <v>8132.2</v>
      </c>
    </row>
    <row r="23" spans="1:6">
      <c r="A23" t="s">
        <v>74</v>
      </c>
      <c r="B23" s="7">
        <v>5968.2</v>
      </c>
      <c r="C23" s="7">
        <v>6923.1</v>
      </c>
      <c r="D23" s="7">
        <v>7892.4</v>
      </c>
      <c r="E23" s="7">
        <v>8839.4</v>
      </c>
      <c r="F23" s="7">
        <v>9723.4</v>
      </c>
    </row>
    <row r="25" spans="1:6">
      <c r="A25" s="11" t="s">
        <v>75</v>
      </c>
    </row>
    <row r="26" spans="1:6">
      <c r="A26" t="s">
        <v>76</v>
      </c>
      <c r="B26" s="7">
        <v>1464.7</v>
      </c>
      <c r="C26" s="7">
        <v>1920.7</v>
      </c>
      <c r="D26" s="7">
        <v>2197.2</v>
      </c>
    </row>
    <row r="27" spans="1:6">
      <c r="A27" t="s">
        <v>77</v>
      </c>
      <c r="B27" s="7">
        <v>4339.6</v>
      </c>
      <c r="C27" s="7">
        <v>8770.200000000001</v>
      </c>
      <c r="D27" s="7">
        <v>13410.8</v>
      </c>
    </row>
    <row r="28" spans="1:6">
      <c r="A28" t="s">
        <v>78</v>
      </c>
      <c r="B28" s="7">
        <v>2462.4</v>
      </c>
      <c r="C28" s="7">
        <v>5445.6</v>
      </c>
      <c r="D28" s="7">
        <v>8716.1</v>
      </c>
    </row>
    <row r="29" spans="1:6">
      <c r="A29" t="s">
        <v>79</v>
      </c>
      <c r="B29" s="7">
        <v>3927.1</v>
      </c>
      <c r="C29" s="7">
        <v>7366.2</v>
      </c>
      <c r="D29" s="7">
        <v>10913.3</v>
      </c>
    </row>
    <row r="30" spans="1:6">
      <c r="A30" t="s">
        <v>80</v>
      </c>
      <c r="B30" s="7">
        <v>4325.8</v>
      </c>
      <c r="C30" s="7">
        <v>7764.9</v>
      </c>
      <c r="D30" s="7">
        <v>11312</v>
      </c>
    </row>
    <row r="31" spans="1:6">
      <c r="A31" t="s">
        <v>43</v>
      </c>
      <c r="B31" s="16">
        <v>72.58</v>
      </c>
      <c r="C31" s="12">
        <v>130.28</v>
      </c>
      <c r="D31" s="17">
        <v>189.8</v>
      </c>
    </row>
    <row r="32" spans="1:6">
      <c r="A32" t="s">
        <v>44</v>
      </c>
      <c r="B32" s="15">
        <v>-0.555</v>
      </c>
      <c r="C32" s="15">
        <v>-0.201</v>
      </c>
      <c r="D32" s="18">
        <v>0.164</v>
      </c>
    </row>
  </sheetData>
  <mergeCells count="2">
    <mergeCell ref="B15:F15"/>
    <mergeCell ref="G15:K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4"/>
  <sheetViews>
    <sheetView zoomScale="90" zoomScaleNormal="90" workbookViewId="0"/>
  </sheetViews>
  <sheetFormatPr defaultRowHeight="15"/>
  <cols>
    <col min="1" max="1" width="16.7109375" customWidth="1"/>
    <col min="2" max="6" width="14.7109375" customWidth="1"/>
  </cols>
  <sheetData>
    <row r="1" spans="1:6">
      <c r="A1" s="2" t="s">
        <v>81</v>
      </c>
    </row>
    <row r="2" spans="1:6">
      <c r="A2" s="3" t="s">
        <v>82</v>
      </c>
    </row>
    <row r="3" spans="1:6">
      <c r="A3" s="3" t="s">
        <v>83</v>
      </c>
    </row>
    <row r="5" spans="1:6">
      <c r="A5" s="9" t="s">
        <v>84</v>
      </c>
      <c r="B5" s="9" t="s">
        <v>85</v>
      </c>
      <c r="C5" s="9" t="s">
        <v>86</v>
      </c>
      <c r="D5" s="9" t="s">
        <v>87</v>
      </c>
      <c r="E5" s="9" t="s">
        <v>88</v>
      </c>
      <c r="F5" s="9" t="s">
        <v>89</v>
      </c>
    </row>
    <row r="6" spans="1:6">
      <c r="A6" s="9" t="s">
        <v>90</v>
      </c>
      <c r="B6" s="27">
        <v>156.44</v>
      </c>
      <c r="C6" s="17">
        <v>167.58</v>
      </c>
      <c r="D6" s="17">
        <v>180.95</v>
      </c>
      <c r="E6" s="17">
        <v>197.28</v>
      </c>
      <c r="F6" s="17">
        <v>217.7</v>
      </c>
    </row>
    <row r="7" spans="1:6">
      <c r="A7" s="9" t="s">
        <v>91</v>
      </c>
      <c r="B7" s="27">
        <v>134.52</v>
      </c>
      <c r="C7" s="27">
        <v>142.3</v>
      </c>
      <c r="D7" s="27">
        <v>151.38</v>
      </c>
      <c r="E7" s="27">
        <v>162.12</v>
      </c>
      <c r="F7" s="17">
        <v>175</v>
      </c>
    </row>
    <row r="8" spans="1:6">
      <c r="A8" s="9" t="s">
        <v>92</v>
      </c>
      <c r="B8" s="27">
        <v>118.09</v>
      </c>
      <c r="C8" s="27">
        <v>123.78</v>
      </c>
      <c r="D8" s="27">
        <v>130.28</v>
      </c>
      <c r="E8" s="27">
        <v>137.79</v>
      </c>
      <c r="F8" s="27">
        <v>146.55</v>
      </c>
    </row>
    <row r="9" spans="1:6">
      <c r="A9" s="9" t="s">
        <v>93</v>
      </c>
      <c r="B9" s="27">
        <v>105.32</v>
      </c>
      <c r="C9" s="27">
        <v>109.63</v>
      </c>
      <c r="D9" s="27">
        <v>114.47</v>
      </c>
      <c r="E9" s="27">
        <v>119.96</v>
      </c>
      <c r="F9" s="27">
        <v>126.23</v>
      </c>
    </row>
    <row r="10" spans="1:6">
      <c r="A10" s="9" t="s">
        <v>94</v>
      </c>
      <c r="B10" s="27">
        <v>95.12</v>
      </c>
      <c r="C10" s="27">
        <v>98.45999999999999</v>
      </c>
      <c r="D10" s="27">
        <v>102.18</v>
      </c>
      <c r="E10" s="27">
        <v>106.34</v>
      </c>
      <c r="F10" s="27">
        <v>111.01</v>
      </c>
    </row>
    <row r="12" spans="1:6">
      <c r="A12" s="11" t="s">
        <v>95</v>
      </c>
    </row>
    <row r="13" spans="1:6">
      <c r="A13" s="3" t="s">
        <v>96</v>
      </c>
    </row>
    <row r="14" spans="1:6" ht="30" customHeight="1">
      <c r="A14" s="20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9"/>
  <sheetViews>
    <sheetView zoomScale="90" zoomScaleNormal="90" workbookViewId="0"/>
  </sheetViews>
  <sheetFormatPr defaultRowHeight="15"/>
  <cols>
    <col min="1" max="1" width="22.7109375" customWidth="1"/>
    <col min="2" max="3" width="18.7109375" customWidth="1"/>
  </cols>
  <sheetData>
    <row r="1" spans="1:6">
      <c r="A1" s="2" t="s">
        <v>98</v>
      </c>
    </row>
    <row r="3" spans="1:6">
      <c r="A3" s="9" t="s">
        <v>99</v>
      </c>
      <c r="B3" s="9" t="s">
        <v>100</v>
      </c>
      <c r="C3" s="9" t="s">
        <v>101</v>
      </c>
    </row>
    <row r="4" spans="1:6">
      <c r="A4" t="s">
        <v>102</v>
      </c>
      <c r="B4" s="19">
        <v>0.1868</v>
      </c>
      <c r="C4" s="19">
        <v>0.1605</v>
      </c>
    </row>
    <row r="5" spans="1:6">
      <c r="A5" t="s">
        <v>103</v>
      </c>
      <c r="B5" s="19">
        <v>0.1816</v>
      </c>
      <c r="C5" s="19">
        <v>0.135</v>
      </c>
    </row>
    <row r="6" spans="1:6">
      <c r="A6" t="s">
        <v>104</v>
      </c>
      <c r="B6" s="19">
        <v>0.2576</v>
      </c>
      <c r="C6" s="19">
        <v>0.2222</v>
      </c>
    </row>
    <row r="7" spans="1:6">
      <c r="A7" t="s">
        <v>105</v>
      </c>
      <c r="B7" s="19">
        <v>0.2607</v>
      </c>
      <c r="C7" s="19">
        <v>0.0279</v>
      </c>
    </row>
    <row r="8" spans="1:6">
      <c r="A8" s="11" t="s">
        <v>106</v>
      </c>
      <c r="B8" s="19">
        <v>0.14</v>
      </c>
    </row>
    <row r="9" spans="1:6">
      <c r="A9" t="s">
        <v>107</v>
      </c>
      <c r="B9" t="s">
        <v>108</v>
      </c>
    </row>
    <row r="10" spans="1:6" ht="60" customHeight="1">
      <c r="A10" s="11" t="s">
        <v>109</v>
      </c>
      <c r="B10" s="20" t="s">
        <v>110</v>
      </c>
      <c r="C10" s="20"/>
      <c r="D10" s="20"/>
    </row>
    <row r="12" spans="1:6">
      <c r="A12" s="4" t="s">
        <v>111</v>
      </c>
    </row>
    <row r="13" spans="1:6">
      <c r="A13" s="9" t="s">
        <v>99</v>
      </c>
      <c r="B13" s="22" t="s">
        <v>112</v>
      </c>
      <c r="C13" s="23" t="s">
        <v>113</v>
      </c>
      <c r="D13" s="25" t="s">
        <v>114</v>
      </c>
      <c r="E13" s="9" t="s">
        <v>115</v>
      </c>
      <c r="F13" s="9" t="s">
        <v>116</v>
      </c>
    </row>
    <row r="15" spans="1:6">
      <c r="A15" t="s">
        <v>117</v>
      </c>
      <c r="B15" s="7" t="s">
        <v>118</v>
      </c>
      <c r="C15" s="7" t="s">
        <v>119</v>
      </c>
      <c r="D15" s="7" t="s">
        <v>120</v>
      </c>
      <c r="E15" s="7" t="s">
        <v>121</v>
      </c>
      <c r="F15" s="26" t="s">
        <v>122</v>
      </c>
    </row>
    <row r="16" spans="1:6">
      <c r="A16" t="s">
        <v>123</v>
      </c>
      <c r="B16" s="7" t="s">
        <v>124</v>
      </c>
      <c r="C16" s="7" t="s">
        <v>125</v>
      </c>
      <c r="D16" s="7" t="s">
        <v>126</v>
      </c>
      <c r="E16" s="7" t="s">
        <v>127</v>
      </c>
      <c r="F16" s="26" t="s">
        <v>128</v>
      </c>
    </row>
    <row r="17" spans="1:6">
      <c r="A17" t="s">
        <v>129</v>
      </c>
      <c r="B17" s="7" t="s">
        <v>130</v>
      </c>
      <c r="C17" s="7" t="s">
        <v>131</v>
      </c>
      <c r="D17" s="7" t="s">
        <v>132</v>
      </c>
      <c r="E17" s="7" t="s">
        <v>133</v>
      </c>
      <c r="F17" s="26" t="s">
        <v>122</v>
      </c>
    </row>
    <row r="18" spans="1:6">
      <c r="A18" s="11" t="s">
        <v>134</v>
      </c>
      <c r="B18" t="s">
        <v>135</v>
      </c>
    </row>
    <row r="19" spans="1:6" ht="40" customHeight="1">
      <c r="A19" s="11" t="s">
        <v>136</v>
      </c>
      <c r="B19" s="20" t="s">
        <v>137</v>
      </c>
      <c r="C19" s="20"/>
      <c r="D19" s="20"/>
      <c r="E19" s="20"/>
      <c r="F19" s="20"/>
    </row>
  </sheetData>
  <mergeCells count="2">
    <mergeCell ref="B10:D10"/>
    <mergeCell ref="B19:F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2" t="s">
        <v>138</v>
      </c>
    </row>
    <row r="2" spans="1:2">
      <c r="A2" s="3" t="s">
        <v>139</v>
      </c>
    </row>
    <row r="4" spans="1:2" ht="25" customHeight="1">
      <c r="A4" s="1" t="s">
        <v>140</v>
      </c>
      <c r="B4" s="1"/>
    </row>
    <row r="5" spans="1:2" ht="50" customHeight="1">
      <c r="A5" s="1"/>
      <c r="B5" s="1"/>
    </row>
    <row r="8" spans="1:2">
      <c r="A8" s="9" t="s">
        <v>141</v>
      </c>
      <c r="B8" s="9" t="s">
        <v>142</v>
      </c>
    </row>
    <row r="9" spans="1:2" ht="70" customHeight="1">
      <c r="A9" s="28" t="s">
        <v>143</v>
      </c>
      <c r="B9" s="29" t="s">
        <v>144</v>
      </c>
    </row>
    <row r="10" spans="1:2" ht="70" customHeight="1">
      <c r="A10" s="28" t="s">
        <v>145</v>
      </c>
      <c r="B10" s="29" t="s">
        <v>146</v>
      </c>
    </row>
    <row r="11" spans="1:2" ht="70" customHeight="1">
      <c r="A11" s="30" t="s">
        <v>147</v>
      </c>
      <c r="B11" s="29" t="s">
        <v>148</v>
      </c>
    </row>
    <row r="13" spans="1:2">
      <c r="A13" s="11" t="s">
        <v>149</v>
      </c>
    </row>
    <row r="14" spans="1:2">
      <c r="A14" t="s">
        <v>150</v>
      </c>
      <c r="B14" t="s">
        <v>151</v>
      </c>
    </row>
    <row r="15" spans="1:2">
      <c r="A15" t="s">
        <v>152</v>
      </c>
      <c r="B15" t="s">
        <v>153</v>
      </c>
    </row>
    <row r="16" spans="1:2">
      <c r="A16" t="s">
        <v>154</v>
      </c>
      <c r="B16" t="s">
        <v>155</v>
      </c>
    </row>
    <row r="18" spans="1:1">
      <c r="A18" s="11" t="s">
        <v>156</v>
      </c>
    </row>
    <row r="19" spans="1:1">
      <c r="A19" s="20" t="s">
        <v>157</v>
      </c>
    </row>
    <row r="20" spans="1:1">
      <c r="A20" s="20" t="s">
        <v>158</v>
      </c>
    </row>
    <row r="21" spans="1:1">
      <c r="A21" s="20" t="s">
        <v>159</v>
      </c>
    </row>
    <row r="22" spans="1:1">
      <c r="A22" s="20" t="s">
        <v>160</v>
      </c>
    </row>
    <row r="23" spans="1:1">
      <c r="A23" s="20" t="s">
        <v>161</v>
      </c>
    </row>
    <row r="24" spans="1:1">
      <c r="A24" s="20" t="s">
        <v>162</v>
      </c>
    </row>
    <row r="25" spans="1:1">
      <c r="A25" s="20" t="s">
        <v>163</v>
      </c>
    </row>
    <row r="26" spans="1:1">
      <c r="A26" s="20" t="s">
        <v>164</v>
      </c>
    </row>
  </sheetData>
  <mergeCells count="1">
    <mergeCell ref="A4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 (Base)</vt:lpstr>
      <vt:lpstr>Scenarios</vt:lpstr>
      <vt:lpstr>Sensitivity</vt:lpstr>
      <vt:lpstr>Historical</vt:lpstr>
      <vt:lpstr>Risk Flags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2026-06-27T08:01:21Z</dcterms:created>
  <dcterms:modified xsi:type="dcterms:W3CDTF">2026-06-27T08:01:21Z</dcterms:modified>
</cp:coreProperties>
</file>