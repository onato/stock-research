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CF Model" sheetId="1" r:id="rId1"/>
    <sheet name="Scenario Analysis" sheetId="2" r:id="rId2"/>
    <sheet name="Sensitivity" sheetId="3" r:id="rId3"/>
    <sheet name="Historical" sheetId="4" r:id="rId4"/>
  </sheets>
  <calcPr calcId="124519" fullCalcOnLoad="1"/>
</workbook>
</file>

<file path=xl/sharedStrings.xml><?xml version="1.0" encoding="utf-8"?>
<sst xmlns="http://schemas.openxmlformats.org/spreadsheetml/2006/main" count="101" uniqueCount="86">
  <si>
    <t>ENSG DCF Valuation Model</t>
  </si>
  <si>
    <t>Gray cells are INPUTS - adjust to see valuation change</t>
  </si>
  <si>
    <t>KEY INPUTS</t>
  </si>
  <si>
    <t>Current Stock Price</t>
  </si>
  <si>
    <t>Shares Outstanding (M)</t>
  </si>
  <si>
    <t>Cash &amp; Equivalents (M)</t>
  </si>
  <si>
    <t>Total Debt (M)</t>
  </si>
  <si>
    <t>Net Debt (M)</t>
  </si>
  <si>
    <t>Base Year FCF (M)</t>
  </si>
  <si>
    <t>WACC</t>
  </si>
  <si>
    <t>Terminal Growth Rate</t>
  </si>
  <si>
    <t>GROWTH ASSUMPTIONS</t>
  </si>
  <si>
    <t>FCF Growth Rate</t>
  </si>
  <si>
    <t>Year 1</t>
  </si>
  <si>
    <t>Year 2</t>
  </si>
  <si>
    <t>Year 3</t>
  </si>
  <si>
    <t>Year 4</t>
  </si>
  <si>
    <t>Year 5</t>
  </si>
  <si>
    <t>PROJECTIONS</t>
  </si>
  <si>
    <t>Base</t>
  </si>
  <si>
    <t>Free Cash Flow</t>
  </si>
  <si>
    <t>Discount Factor</t>
  </si>
  <si>
    <t>PV of FCF</t>
  </si>
  <si>
    <t>VALUATION</t>
  </si>
  <si>
    <t>Sum of PV of FCF</t>
  </si>
  <si>
    <t>Terminal FCF (Year 5 * (1+g))</t>
  </si>
  <si>
    <t>Terminal Value</t>
  </si>
  <si>
    <t>PV of Terminal Value</t>
  </si>
  <si>
    <t>Enterprise Value</t>
  </si>
  <si>
    <t>Less: Net Debt</t>
  </si>
  <si>
    <t>Equity Value</t>
  </si>
  <si>
    <t>INTRINSIC VALUE/SHARE</t>
  </si>
  <si>
    <t>ENTRY PRICE (15% CAGR Target)</t>
  </si>
  <si>
    <t>Terminal Value per Share</t>
  </si>
  <si>
    <t>Entry Price (15% CAGR)</t>
  </si>
  <si>
    <t>Upside to IV</t>
  </si>
  <si>
    <t>Discount to Entry Price</t>
  </si>
  <si>
    <t>KEY METRICS</t>
  </si>
  <si>
    <t>Implied Forward P/E</t>
  </si>
  <si>
    <t>N/A (requires EPS input)</t>
  </si>
  <si>
    <t>FCF Yield on EV</t>
  </si>
  <si>
    <t>TV as % of Total Value</t>
  </si>
  <si>
    <t>Net Cash per Share</t>
  </si>
  <si>
    <t>Scenario Analysis</t>
  </si>
  <si>
    <t>Comparison of Bull, Base, and Bear Cases</t>
  </si>
  <si>
    <t>Assumption</t>
  </si>
  <si>
    <t>Bear</t>
  </si>
  <si>
    <t>Bull</t>
  </si>
  <si>
    <t>Year 1 Growth</t>
  </si>
  <si>
    <t>Year 2 Growth</t>
  </si>
  <si>
    <t>Year 3 Growth</t>
  </si>
  <si>
    <t>Year 4 Growth</t>
  </si>
  <si>
    <t>Year 5 Growth</t>
  </si>
  <si>
    <t>Terminal Growth</t>
  </si>
  <si>
    <t>FCF Margin</t>
  </si>
  <si>
    <t>VALUATION RESULTS</t>
  </si>
  <si>
    <t>Intrinsic Value/Share</t>
  </si>
  <si>
    <t>Upside to Current</t>
  </si>
  <si>
    <t>Entry for 15% CAGR</t>
  </si>
  <si>
    <t>SCENARIO NOTES</t>
  </si>
  <si>
    <t>Base Case:</t>
  </si>
  <si>
    <t>Base assumes continued acquisitions at historical pace, occupancy gains to 85%, skilled mix improvement. Growth decelerates from 22% equity CAGR toward terminal. FCF margin reflects FY2025 level (7.3% of revenue).</t>
  </si>
  <si>
    <t>Bull Case:</t>
  </si>
  <si>
    <t>Bull case: aggressive acquisition pace with $1B+ capital deployed, occupancy to 87%+, margin expansion from integration success, skilled mix to 33%+, REIT rental income grows 20%+. Lower WACC reflects execution de-risking.</t>
  </si>
  <si>
    <t>Bear Case:</t>
  </si>
  <si>
    <t>Bear case: OBBB Medicaid cuts hit in FY2030, labor inflation 8%+ outpaces 3% reimbursement, acquisition integration stumbles, state budget crises reduce rates, MA penetration compresses margins, occupancy stalls at 83%.</t>
  </si>
  <si>
    <t>Sensitivity Analysis</t>
  </si>
  <si>
    <t>Intrinsic Value by WACC &amp; Terminal Growth</t>
  </si>
  <si>
    <t>WACC \ Term G</t>
  </si>
  <si>
    <t>Current Stock Price:</t>
  </si>
  <si>
    <t>Notes:</t>
  </si>
  <si>
    <t>Matrix shows intrinsic value across WACC (8-12%) and terminal growth (2-4%). Current price of $176.59 implies WACC of ~9.25% and terminal growth of ~2.75%.</t>
  </si>
  <si>
    <t>Historical Growth Rates</t>
  </si>
  <si>
    <t>ENSG FY2020-FY2025</t>
  </si>
  <si>
    <t>Metric</t>
  </si>
  <si>
    <t>3-Year CAGR</t>
  </si>
  <si>
    <t>5-Year CAGR</t>
  </si>
  <si>
    <t>Revenue</t>
  </si>
  <si>
    <t>EPS</t>
  </si>
  <si>
    <t>Equity</t>
  </si>
  <si>
    <t>FCF</t>
  </si>
  <si>
    <t>Selected Growth Rate:</t>
  </si>
  <si>
    <t>Source:</t>
  </si>
  <si>
    <t>equity_5yr_cagr</t>
  </si>
  <si>
    <t>FCF is volatile due to acquisition timing and CapEx lumps; equity CAGR most reliable for acquisition-driven grower. 3-yr shows acceleration (25.9%) but using more conservative 5-yr figure.</t>
  </si>
  <si>
    <t>FY2025 BALANCE SHEET</t>
  </si>
</sst>
</file>

<file path=xl/styles.xml><?xml version="1.0" encoding="utf-8"?>
<styleSheet xmlns="http://schemas.openxmlformats.org/spreadsheetml/2006/main">
  <numFmts count="3">
    <numFmt numFmtId="164" formatCode="#,##0.0"/>
    <numFmt numFmtId="165" formatCode="0.0%"/>
    <numFmt numFmtId="166" formatCode="&quot;$&quot;#,##0.00"/>
  </numFmts>
  <fonts count="6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9"/>
      <color rgb="FF80808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FE6E9"/>
        <bgColor indexed="64"/>
      </patternFill>
    </fill>
    <fill>
      <patternFill patternType="solid">
        <fgColor rgb="FF2D3436"/>
        <bgColor indexed="64"/>
      </patternFill>
    </fill>
    <fill>
      <patternFill patternType="solid">
        <fgColor rgb="FF00B894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164" fontId="0" fillId="2" borderId="2" xfId="0" applyNumberFormat="1" applyFill="1" applyBorder="1"/>
    <xf numFmtId="164" fontId="0" fillId="0" borderId="2" xfId="0" applyNumberFormat="1" applyBorder="1"/>
    <xf numFmtId="165" fontId="0" fillId="2" borderId="2" xfId="0" applyNumberFormat="1" applyFill="1" applyBorder="1"/>
    <xf numFmtId="0" fontId="4" fillId="3" borderId="2" xfId="0" applyFont="1" applyFill="1" applyBorder="1"/>
    <xf numFmtId="0" fontId="5" fillId="0" borderId="0" xfId="0" applyFont="1"/>
    <xf numFmtId="166" fontId="4" fillId="4" borderId="2" xfId="0" applyNumberFormat="1" applyFont="1" applyFill="1" applyBorder="1"/>
    <xf numFmtId="166" fontId="0" fillId="0" borderId="2" xfId="0" applyNumberFormat="1" applyBorder="1"/>
    <xf numFmtId="165" fontId="4" fillId="4" borderId="2" xfId="0" applyNumberFormat="1" applyFont="1" applyFill="1" applyBorder="1"/>
    <xf numFmtId="165" fontId="0" fillId="0" borderId="2" xfId="0" applyNumberFormat="1" applyBorder="1"/>
    <xf numFmtId="165" fontId="4" fillId="3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5"/>
  <sheetViews>
    <sheetView tabSelected="1" workbookViewId="0"/>
  </sheetViews>
  <sheetFormatPr defaultRowHeight="15"/>
  <cols>
    <col min="1" max="1" width="30.7109375" customWidth="1"/>
    <col min="2" max="8" width="14.7109375" customWidth="1"/>
  </cols>
  <sheetData>
    <row r="1" spans="1:6">
      <c r="A1" s="1" t="s">
        <v>0</v>
      </c>
    </row>
    <row r="2" spans="1:6">
      <c r="A2" s="2" t="s">
        <v>1</v>
      </c>
    </row>
    <row r="4" spans="1:6">
      <c r="A4" s="3" t="s">
        <v>2</v>
      </c>
    </row>
    <row r="5" spans="1:6">
      <c r="A5" t="s">
        <v>3</v>
      </c>
      <c r="B5" s="4">
        <v>176.59</v>
      </c>
    </row>
    <row r="6" spans="1:6">
      <c r="A6" t="s">
        <v>4</v>
      </c>
      <c r="B6" s="4">
        <v>58.1</v>
      </c>
    </row>
    <row r="7" spans="1:6">
      <c r="A7" t="s">
        <v>5</v>
      </c>
      <c r="B7" s="4">
        <v>362.1</v>
      </c>
    </row>
    <row r="8" spans="1:6">
      <c r="A8" t="s">
        <v>6</v>
      </c>
      <c r="B8" s="4">
        <v>0</v>
      </c>
    </row>
    <row r="9" spans="1:6">
      <c r="A9" t="s">
        <v>7</v>
      </c>
      <c r="B9" s="5">
        <f>B8-B7</f>
        <v>0</v>
      </c>
    </row>
    <row r="10" spans="1:6">
      <c r="A10" t="s">
        <v>8</v>
      </c>
      <c r="B10" s="4">
        <v>370.7</v>
      </c>
    </row>
    <row r="12" spans="1:6">
      <c r="A12" t="s">
        <v>9</v>
      </c>
      <c r="B12" s="6">
        <v>0.1</v>
      </c>
    </row>
    <row r="13" spans="1:6">
      <c r="A13" t="s">
        <v>10</v>
      </c>
      <c r="B13" s="6">
        <v>0.03</v>
      </c>
    </row>
    <row r="15" spans="1:6">
      <c r="A15" s="3" t="s">
        <v>11</v>
      </c>
      <c r="B15" s="7" t="s">
        <v>13</v>
      </c>
      <c r="C15" s="7" t="s">
        <v>14</v>
      </c>
      <c r="D15" s="7" t="s">
        <v>15</v>
      </c>
      <c r="E15" s="7" t="s">
        <v>16</v>
      </c>
      <c r="F15" s="7" t="s">
        <v>17</v>
      </c>
    </row>
    <row r="16" spans="1:6">
      <c r="A16" t="s">
        <v>12</v>
      </c>
      <c r="B16" s="6">
        <v>0.18</v>
      </c>
      <c r="C16" s="6">
        <v>0.15</v>
      </c>
      <c r="D16" s="6">
        <v>0.12</v>
      </c>
      <c r="E16" s="6">
        <v>0.09</v>
      </c>
      <c r="F16" s="6">
        <v>0.06</v>
      </c>
    </row>
    <row r="18" spans="1:7">
      <c r="A18" s="3" t="s">
        <v>18</v>
      </c>
    </row>
    <row r="19" spans="1:7">
      <c r="A19" s="7"/>
      <c r="B19" s="7" t="s">
        <v>19</v>
      </c>
      <c r="C19" s="7" t="s">
        <v>13</v>
      </c>
      <c r="D19" s="7" t="s">
        <v>14</v>
      </c>
      <c r="E19" s="7" t="s">
        <v>15</v>
      </c>
      <c r="F19" s="7" t="s">
        <v>16</v>
      </c>
      <c r="G19" s="7" t="s">
        <v>17</v>
      </c>
    </row>
    <row r="20" spans="1:7">
      <c r="A20" t="s">
        <v>20</v>
      </c>
      <c r="B20" s="5">
        <f>B10</f>
        <v>0</v>
      </c>
      <c r="C20" s="5">
        <f>B20*(1+B16)</f>
        <v>0</v>
      </c>
      <c r="D20" s="5">
        <f>C20*(1+C16)</f>
        <v>0</v>
      </c>
      <c r="E20" s="5">
        <f>D20*(1+D16)</f>
        <v>0</v>
      </c>
      <c r="F20" s="5">
        <f>E20*(1+E16)</f>
        <v>0</v>
      </c>
      <c r="G20" s="5">
        <f>F20*(1+F16)</f>
        <v>0</v>
      </c>
    </row>
    <row r="21" spans="1:7">
      <c r="A21" t="s">
        <v>21</v>
      </c>
      <c r="C21" s="5">
        <f>1/(1+$B$12)^1</f>
        <v>0</v>
      </c>
      <c r="D21" s="5">
        <f>1/(1+$B$12)^2</f>
        <v>0</v>
      </c>
      <c r="E21" s="5">
        <f>1/(1+$B$12)^3</f>
        <v>0</v>
      </c>
      <c r="F21" s="5">
        <f>1/(1+$B$12)^4</f>
        <v>0</v>
      </c>
      <c r="G21" s="5">
        <f>1/(1+$B$12)^5</f>
        <v>0</v>
      </c>
    </row>
    <row r="22" spans="1:7">
      <c r="A22" t="s">
        <v>22</v>
      </c>
      <c r="C22" s="5">
        <f>C20*C21</f>
        <v>0</v>
      </c>
      <c r="D22" s="5">
        <f>D20*D21</f>
        <v>0</v>
      </c>
      <c r="E22" s="5">
        <f>E20*E21</f>
        <v>0</v>
      </c>
      <c r="F22" s="5">
        <f>F20*F21</f>
        <v>0</v>
      </c>
      <c r="G22" s="5">
        <f>G20*G21</f>
        <v>0</v>
      </c>
    </row>
    <row r="24" spans="1:7">
      <c r="A24" s="3" t="s">
        <v>23</v>
      </c>
    </row>
    <row r="25" spans="1:7">
      <c r="A25" t="s">
        <v>24</v>
      </c>
      <c r="B25" s="5">
        <f>SUM(C22:G22)</f>
        <v>0</v>
      </c>
    </row>
    <row r="26" spans="1:7">
      <c r="A26" t="s">
        <v>25</v>
      </c>
      <c r="B26" s="5">
        <f>G20*(1+$B$13)</f>
        <v>0</v>
      </c>
    </row>
    <row r="27" spans="1:7">
      <c r="A27" t="s">
        <v>26</v>
      </c>
      <c r="B27" s="5">
        <f>B26/($B$12-$B$13)</f>
        <v>0</v>
      </c>
    </row>
    <row r="28" spans="1:7">
      <c r="A28" t="s">
        <v>27</v>
      </c>
      <c r="B28" s="5">
        <f>B27*G21</f>
        <v>0</v>
      </c>
    </row>
    <row r="29" spans="1:7">
      <c r="A29" t="s">
        <v>28</v>
      </c>
      <c r="B29" s="5">
        <f>B25+B28</f>
        <v>0</v>
      </c>
    </row>
    <row r="30" spans="1:7">
      <c r="A30" t="s">
        <v>29</v>
      </c>
      <c r="B30" s="5">
        <f>B9</f>
        <v>0</v>
      </c>
    </row>
    <row r="31" spans="1:7">
      <c r="A31" t="s">
        <v>30</v>
      </c>
      <c r="B31" s="5">
        <f>B29-B30</f>
        <v>0</v>
      </c>
    </row>
    <row r="32" spans="1:7">
      <c r="A32" s="8" t="s">
        <v>31</v>
      </c>
      <c r="B32" s="9">
        <f>B31/B6</f>
        <v>0</v>
      </c>
    </row>
    <row r="34" spans="1:2">
      <c r="A34" s="3" t="s">
        <v>32</v>
      </c>
    </row>
    <row r="35" spans="1:2">
      <c r="A35" t="s">
        <v>33</v>
      </c>
      <c r="B35" s="10">
        <f>B27/B6</f>
        <v>0</v>
      </c>
    </row>
    <row r="36" spans="1:2">
      <c r="A36" t="s">
        <v>34</v>
      </c>
      <c r="B36" s="9">
        <f>B35/(1.15^5)</f>
        <v>0</v>
      </c>
    </row>
    <row r="38" spans="1:2">
      <c r="A38" t="s">
        <v>35</v>
      </c>
      <c r="B38" s="11">
        <f>(B32-B5)/B5</f>
        <v>0</v>
      </c>
    </row>
    <row r="39" spans="1:2">
      <c r="A39" t="s">
        <v>36</v>
      </c>
      <c r="B39" s="12">
        <f>(B5-B36)/B5</f>
        <v>0</v>
      </c>
    </row>
    <row r="41" spans="1:2">
      <c r="A41" s="3" t="s">
        <v>37</v>
      </c>
    </row>
    <row r="42" spans="1:2">
      <c r="A42" t="s">
        <v>38</v>
      </c>
      <c r="B42" s="2" t="s">
        <v>39</v>
      </c>
    </row>
    <row r="43" spans="1:2">
      <c r="A43" t="s">
        <v>40</v>
      </c>
      <c r="B43" s="12">
        <f>B10/B29</f>
        <v>0</v>
      </c>
    </row>
    <row r="44" spans="1:2">
      <c r="A44" t="s">
        <v>41</v>
      </c>
      <c r="B44" s="12">
        <f>B28/B29</f>
        <v>0</v>
      </c>
    </row>
    <row r="45" spans="1:2">
      <c r="A45" t="s">
        <v>42</v>
      </c>
      <c r="B45" s="10">
        <f>-B9/B6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FormatPr defaultRowHeight="15"/>
  <cols>
    <col min="1" max="1" width="25.7109375" customWidth="1"/>
    <col min="2" max="4" width="16.7109375" customWidth="1"/>
  </cols>
  <sheetData>
    <row r="1" spans="1:4">
      <c r="A1" s="1" t="s">
        <v>43</v>
      </c>
    </row>
    <row r="2" spans="1:4">
      <c r="A2" t="s">
        <v>44</v>
      </c>
    </row>
    <row r="4" spans="1:4">
      <c r="A4" s="7" t="s">
        <v>45</v>
      </c>
      <c r="B4" s="7" t="s">
        <v>46</v>
      </c>
      <c r="C4" s="7" t="s">
        <v>19</v>
      </c>
      <c r="D4" s="7" t="s">
        <v>47</v>
      </c>
    </row>
    <row r="5" spans="1:4">
      <c r="A5" t="s">
        <v>48</v>
      </c>
      <c r="B5" s="12">
        <v>0.1</v>
      </c>
      <c r="C5" s="12">
        <v>0.18</v>
      </c>
      <c r="D5" s="12">
        <v>0.25</v>
      </c>
    </row>
    <row r="6" spans="1:4">
      <c r="A6" t="s">
        <v>49</v>
      </c>
      <c r="B6" s="12">
        <v>0.08</v>
      </c>
      <c r="C6" s="12">
        <v>0.15</v>
      </c>
      <c r="D6" s="12">
        <v>0.22</v>
      </c>
    </row>
    <row r="7" spans="1:4">
      <c r="A7" t="s">
        <v>50</v>
      </c>
      <c r="B7" s="12">
        <v>0.06</v>
      </c>
      <c r="C7" s="12">
        <v>0.12</v>
      </c>
      <c r="D7" s="12">
        <v>0.18</v>
      </c>
    </row>
    <row r="8" spans="1:4">
      <c r="A8" t="s">
        <v>51</v>
      </c>
      <c r="B8" s="12">
        <v>0.04</v>
      </c>
      <c r="C8" s="12">
        <v>0.09</v>
      </c>
      <c r="D8" s="12">
        <v>0.15</v>
      </c>
    </row>
    <row r="9" spans="1:4">
      <c r="A9" t="s">
        <v>52</v>
      </c>
      <c r="B9" s="12">
        <v>0.03</v>
      </c>
      <c r="C9" s="12">
        <v>0.06</v>
      </c>
      <c r="D9" s="12">
        <v>0.12</v>
      </c>
    </row>
    <row r="11" spans="1:4">
      <c r="A11" s="8" t="s">
        <v>9</v>
      </c>
      <c r="B11" s="12">
        <v>0.11</v>
      </c>
      <c r="C11" s="12">
        <v>0.1</v>
      </c>
      <c r="D11" s="12">
        <v>0.09</v>
      </c>
    </row>
    <row r="12" spans="1:4">
      <c r="A12" s="8" t="s">
        <v>53</v>
      </c>
      <c r="B12" s="12">
        <v>0.025</v>
      </c>
      <c r="C12" s="12">
        <v>0.03</v>
      </c>
      <c r="D12" s="12">
        <v>0.035</v>
      </c>
    </row>
    <row r="13" spans="1:4">
      <c r="A13" s="8" t="s">
        <v>54</v>
      </c>
      <c r="B13" s="12">
        <v>0.06</v>
      </c>
      <c r="C13" s="12">
        <v>0.073</v>
      </c>
      <c r="D13" s="12">
        <v>0.08500000000000001</v>
      </c>
    </row>
    <row r="15" spans="1:4">
      <c r="A15" s="3" t="s">
        <v>55</v>
      </c>
    </row>
    <row r="16" spans="1:4">
      <c r="A16" s="8" t="s">
        <v>56</v>
      </c>
      <c r="B16" s="10">
        <v>108.11</v>
      </c>
      <c r="C16" s="10">
        <v>144.04</v>
      </c>
      <c r="D16" s="10">
        <v>266.17</v>
      </c>
    </row>
    <row r="17" spans="1:4">
      <c r="A17" s="8" t="s">
        <v>57</v>
      </c>
      <c r="B17" s="12">
        <v>-0.388</v>
      </c>
      <c r="C17" s="12">
        <v>-0.184</v>
      </c>
      <c r="D17" s="12">
        <v>0.507</v>
      </c>
    </row>
    <row r="18" spans="1:4">
      <c r="A18" s="8" t="s">
        <v>58</v>
      </c>
      <c r="B18" s="10">
        <v>65.55</v>
      </c>
      <c r="C18" s="10">
        <v>81.95999999999999</v>
      </c>
      <c r="D18" s="10">
        <v>160.39</v>
      </c>
    </row>
    <row r="20" spans="1:4">
      <c r="A20" s="3" t="s">
        <v>59</v>
      </c>
    </row>
    <row r="21" spans="1:4">
      <c r="A21" s="8" t="s">
        <v>60</v>
      </c>
    </row>
    <row r="22" spans="1:4">
      <c r="A22" s="2" t="s">
        <v>61</v>
      </c>
      <c r="B22" s="2"/>
      <c r="C22" s="2"/>
      <c r="D22" s="2"/>
    </row>
    <row r="24" spans="1:4">
      <c r="A24" s="8" t="s">
        <v>62</v>
      </c>
    </row>
    <row r="25" spans="1:4">
      <c r="A25" s="2" t="s">
        <v>63</v>
      </c>
      <c r="B25" s="2"/>
      <c r="C25" s="2"/>
      <c r="D25" s="2"/>
    </row>
    <row r="27" spans="1:4">
      <c r="A27" s="8" t="s">
        <v>64</v>
      </c>
    </row>
    <row r="28" spans="1:4">
      <c r="A28" s="2" t="s">
        <v>65</v>
      </c>
      <c r="B28" s="2"/>
      <c r="C28" s="2"/>
      <c r="D28" s="2"/>
    </row>
  </sheetData>
  <mergeCells count="3">
    <mergeCell ref="A22:D22"/>
    <mergeCell ref="A25:D25"/>
    <mergeCell ref="A28:D2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cols>
    <col min="1" max="1" width="18.7109375" customWidth="1"/>
    <col min="2" max="7" width="12.7109375" customWidth="1"/>
  </cols>
  <sheetData>
    <row r="1" spans="1:6">
      <c r="A1" s="1" t="s">
        <v>66</v>
      </c>
    </row>
    <row r="2" spans="1:6">
      <c r="A2" s="2" t="s">
        <v>67</v>
      </c>
    </row>
    <row r="4" spans="1:6">
      <c r="A4" s="7" t="s">
        <v>68</v>
      </c>
      <c r="B4" s="13">
        <v>0.02</v>
      </c>
      <c r="C4" s="13">
        <v>0.025</v>
      </c>
      <c r="D4" s="13">
        <v>0.03</v>
      </c>
      <c r="E4" s="13">
        <v>0.035</v>
      </c>
      <c r="F4" s="13">
        <v>0.04</v>
      </c>
    </row>
    <row r="5" spans="1:6">
      <c r="A5" s="13">
        <v>0.08</v>
      </c>
      <c r="B5" s="10">
        <v>194.22</v>
      </c>
      <c r="C5" s="10">
        <v>210.84</v>
      </c>
      <c r="D5" s="10">
        <v>231.67</v>
      </c>
      <c r="E5" s="10">
        <v>258.4</v>
      </c>
      <c r="F5" s="10">
        <v>293.79</v>
      </c>
    </row>
    <row r="6" spans="1:6">
      <c r="A6" s="13">
        <v>0.09</v>
      </c>
      <c r="B6" s="10">
        <v>165.84</v>
      </c>
      <c r="C6" s="10">
        <v>178.35</v>
      </c>
      <c r="D6" s="10">
        <v>193.41</v>
      </c>
      <c r="E6" s="10">
        <v>211.79</v>
      </c>
      <c r="F6" s="10">
        <v>234.73</v>
      </c>
    </row>
    <row r="7" spans="1:6">
      <c r="A7" s="13">
        <v>0.1</v>
      </c>
      <c r="B7" s="10">
        <v>144.82</v>
      </c>
      <c r="C7" s="10">
        <v>154.3</v>
      </c>
      <c r="D7" s="10">
        <v>165.7</v>
      </c>
      <c r="E7" s="10">
        <v>179.67</v>
      </c>
      <c r="F7" s="10">
        <v>196.97</v>
      </c>
    </row>
    <row r="8" spans="1:6">
      <c r="A8" s="13">
        <v>0.11</v>
      </c>
      <c r="B8" s="10">
        <v>128.71</v>
      </c>
      <c r="C8" s="10">
        <v>136.14</v>
      </c>
      <c r="D8" s="10">
        <v>144.97</v>
      </c>
      <c r="E8" s="10">
        <v>155.56</v>
      </c>
      <c r="F8" s="10">
        <v>168.4</v>
      </c>
    </row>
    <row r="9" spans="1:6">
      <c r="A9" s="13">
        <v>0.12</v>
      </c>
      <c r="B9" s="10">
        <v>116</v>
      </c>
      <c r="C9" s="10">
        <v>121.85</v>
      </c>
      <c r="D9" s="10">
        <v>128.61</v>
      </c>
      <c r="E9" s="10">
        <v>136.51</v>
      </c>
      <c r="F9" s="10">
        <v>145.87</v>
      </c>
    </row>
    <row r="11" spans="1:6">
      <c r="A11" s="8" t="s">
        <v>69</v>
      </c>
      <c r="B11" s="10">
        <v>176.59</v>
      </c>
    </row>
    <row r="12" spans="1:6">
      <c r="A12" s="8" t="s">
        <v>70</v>
      </c>
    </row>
    <row r="13" spans="1:6">
      <c r="A13" s="2" t="s">
        <v>71</v>
      </c>
      <c r="B13" s="2"/>
      <c r="C13" s="2"/>
      <c r="D13" s="2"/>
      <c r="E13" s="2"/>
      <c r="F13" s="2"/>
    </row>
  </sheetData>
  <mergeCells count="1">
    <mergeCell ref="A13:F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sheetFormatPr defaultRowHeight="15"/>
  <cols>
    <col min="1" max="1" width="25.7109375" customWidth="1"/>
    <col min="2" max="3" width="15.7109375" customWidth="1"/>
  </cols>
  <sheetData>
    <row r="1" spans="1:3">
      <c r="A1" s="1" t="s">
        <v>72</v>
      </c>
    </row>
    <row r="2" spans="1:3">
      <c r="A2" s="2" t="s">
        <v>73</v>
      </c>
    </row>
    <row r="4" spans="1:3">
      <c r="A4" s="7" t="s">
        <v>74</v>
      </c>
      <c r="B4" s="7" t="s">
        <v>75</v>
      </c>
      <c r="C4" s="7" t="s">
        <v>76</v>
      </c>
    </row>
    <row r="5" spans="1:3">
      <c r="A5" t="s">
        <v>77</v>
      </c>
      <c r="B5" s="12">
        <v>0.187</v>
      </c>
      <c r="C5" s="12">
        <v>0.16</v>
      </c>
    </row>
    <row r="6" spans="1:3">
      <c r="A6" t="s">
        <v>78</v>
      </c>
      <c r="B6" s="12">
        <v>0.181</v>
      </c>
      <c r="C6" s="12">
        <v>0.135</v>
      </c>
    </row>
    <row r="7" spans="1:3">
      <c r="A7" t="s">
        <v>79</v>
      </c>
      <c r="B7" s="12">
        <v>0.259</v>
      </c>
      <c r="C7" s="12">
        <v>0.222</v>
      </c>
    </row>
    <row r="8" spans="1:3">
      <c r="A8" t="s">
        <v>80</v>
      </c>
      <c r="B8" s="12">
        <v>0.26</v>
      </c>
      <c r="C8" s="12">
        <v>0.028</v>
      </c>
    </row>
    <row r="10" spans="1:3">
      <c r="A10" s="8" t="s">
        <v>81</v>
      </c>
      <c r="B10" s="12">
        <v>0.222</v>
      </c>
    </row>
    <row r="11" spans="1:3">
      <c r="A11" t="s">
        <v>82</v>
      </c>
      <c r="B11" t="s">
        <v>83</v>
      </c>
    </row>
    <row r="13" spans="1:3">
      <c r="A13" s="8" t="s">
        <v>70</v>
      </c>
    </row>
    <row r="14" spans="1:3">
      <c r="A14" s="2" t="s">
        <v>84</v>
      </c>
      <c r="B14" s="2"/>
      <c r="C14" s="2"/>
    </row>
    <row r="15" spans="1:3">
      <c r="A15" s="2"/>
      <c r="B15" s="2"/>
      <c r="C15" s="2"/>
    </row>
    <row r="16" spans="1:3">
      <c r="A16" s="2"/>
      <c r="B16" s="2"/>
      <c r="C16" s="2"/>
    </row>
    <row r="18" spans="1:2">
      <c r="A18" s="3" t="s">
        <v>85</v>
      </c>
    </row>
    <row r="19" spans="1:2">
      <c r="A19" t="s">
        <v>5</v>
      </c>
      <c r="B19" s="5">
        <v>362.1</v>
      </c>
    </row>
    <row r="20" spans="1:2">
      <c r="A20" t="s">
        <v>6</v>
      </c>
      <c r="B20" s="5">
        <v>0</v>
      </c>
    </row>
    <row r="21" spans="1:2">
      <c r="A21" t="s">
        <v>7</v>
      </c>
      <c r="B21" s="5">
        <v>-362.1</v>
      </c>
    </row>
    <row r="22" spans="1:2">
      <c r="A22" t="s">
        <v>4</v>
      </c>
      <c r="B22" s="5">
        <v>58.1</v>
      </c>
    </row>
  </sheetData>
  <mergeCells count="1">
    <mergeCell ref="A14:C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DCF Model</vt:lpstr>
      <vt:lpstr>Scenario Analysis</vt:lpstr>
      <vt:lpstr>Sensitivity</vt:lpstr>
      <vt:lpstr>Historical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2026-02-06T04:31:30Z</dcterms:created>
  <dcterms:modified xsi:type="dcterms:W3CDTF">2026-02-06T04:31:30Z</dcterms:modified>
</cp:coreProperties>
</file>