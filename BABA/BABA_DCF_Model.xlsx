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Financials" sheetId="3" state="visible" r:id="rId5"/>
    <sheet name="DCF" sheetId="4" state="visible" r:id="rId6"/>
    <sheet name="Sensitivity" sheetId="5" state="visible" r:id="rId7"/>
    <sheet name="Com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<sst xmlns="http://schemas.openxmlformats.org/spreadsheetml/2006/main" count="269" uniqueCount="212">
  <si>
    <t xml:space="preserve">ALIBABA GROUP HOLDING LIMITED (BABA)</t>
  </si>
  <si>
    <t xml:space="preserve">Discounted Cash Flow Valuation Model</t>
  </si>
  <si>
    <t xml:space="preserve">Analysis Date: December 2025</t>
  </si>
  <si>
    <t xml:space="preserve">KEY VALUATION METRICS</t>
  </si>
  <si>
    <t xml:space="preserve">Metric</t>
  </si>
  <si>
    <t xml:space="preserve">Value</t>
  </si>
  <si>
    <t xml:space="preserve">Notes</t>
  </si>
  <si>
    <t xml:space="preserve">Current Stock Price (USD)</t>
  </si>
  <si>
    <t xml:space="preserve">As of Dec 2025</t>
  </si>
  <si>
    <t xml:space="preserve">Shares Outstanding (B)</t>
  </si>
  <si>
    <t xml:space="preserve">Source: Company filings</t>
  </si>
  <si>
    <t xml:space="preserve">Market Cap (USD B)</t>
  </si>
  <si>
    <t xml:space="preserve">Total Debt (USD B)</t>
  </si>
  <si>
    <t xml:space="preserve">Book value of debt</t>
  </si>
  <si>
    <t xml:space="preserve">Cash &amp; Investments (USD B)</t>
  </si>
  <si>
    <t xml:space="preserve">Net cash position</t>
  </si>
  <si>
    <t xml:space="preserve">Enterprise Value (USD B)</t>
  </si>
  <si>
    <t xml:space="preserve">Net Debt (USD B)</t>
  </si>
  <si>
    <t xml:space="preserve">DCF VALUATION RESULTS</t>
  </si>
  <si>
    <t xml:space="preserve">Scenario</t>
  </si>
  <si>
    <t xml:space="preserve">Implied Share Price</t>
  </si>
  <si>
    <t xml:space="preserve">Upside/Downside</t>
  </si>
  <si>
    <t xml:space="preserve">Base Case</t>
  </si>
  <si>
    <t xml:space="preserve">Bull Case</t>
  </si>
  <si>
    <t xml:space="preserve">Bear Case</t>
  </si>
  <si>
    <t xml:space="preserve">COMPANY OVERVIEW</t>
  </si>
  <si>
    <t xml:space="preserve">Alibaba Group is China's largest e-commerce and cloud computing company.</t>
  </si>
  <si>
    <t xml:space="preserve">Key Business Segments:</t>
  </si>
  <si>
    <t xml:space="preserve">  • Taobao &amp; Tmall Group - Dominant China retail platforms (~53% of revenue)</t>
  </si>
  <si>
    <t xml:space="preserve">  • Cloud Intelligence Group - #1 in China, #4 globally (growing 18-34% YoY)</t>
  </si>
  <si>
    <t xml:space="preserve">  • International Digital Commerce - AliExpress, Lazada, Trendyol (~15% of revenue)</t>
  </si>
  <si>
    <t xml:space="preserve">  • Local Services - Ele.me food delivery, Amap navigation</t>
  </si>
  <si>
    <t xml:space="preserve">  • Cainiao Logistics - Smart logistics network</t>
  </si>
  <si>
    <t xml:space="preserve">Investment Thesis:</t>
  </si>
  <si>
    <t xml:space="preserve">  • AI-driven cloud growth accelerating (triple-digit AI revenue growth)</t>
  </si>
  <si>
    <t xml:space="preserve">  • E-commerce monetization improving via Quanzhantui ad platform</t>
  </si>
  <si>
    <t xml:space="preserve">  • $53B committed AI infrastructure investment over 3 years</t>
  </si>
  <si>
    <t xml:space="preserve">  • Attractive valuation vs global tech peers</t>
  </si>
  <si>
    <t xml:space="preserve">Key Risks:</t>
  </si>
  <si>
    <t xml:space="preserve">  • Regulatory uncertainty in China</t>
  </si>
  <si>
    <t xml:space="preserve">  • Intense competition (JD, PDD, Meituan, ByteDance)</t>
  </si>
  <si>
    <t xml:space="preserve">  • Macro weakness in China consumer spending</t>
  </si>
  <si>
    <t xml:space="preserve">  • Margin pressure from quick commerce investments</t>
  </si>
  <si>
    <t xml:space="preserve">KEY MODEL ASSUMPTIONS</t>
  </si>
  <si>
    <t xml:space="preserve">REVENUE GROWTH ASSUMPTIONS</t>
  </si>
  <si>
    <t xml:space="preserve">Segment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</si>
  <si>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</si>
  <si>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</si>
  <si>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</si>
  <si>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</si>
  <si>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</si>
  <si>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</si>
  <si>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Source/Notes</t>
  </si>
  <si>
    <t xml:space="preserve">Taobao &amp; Tmall (% YoY)</t>
  </si>
  <si>
    <t xml:space="preserve">Improving take rates</t>
  </si>
  <si>
    <t xml:space="preserve">Cloud Intelligence (% YoY)</t>
  </si>
  <si>
    <t xml:space="preserve">AI-driven demand</t>
  </si>
  <si>
    <t xml:space="preserve">International (% YoY)</t>
  </si>
  <si>
    <t xml:space="preserve">Lazada expansion</t>
  </si>
  <si>
    <t xml:space="preserve">Local Services (% YoY)</t>
  </si>
  <si>
    <t xml:space="preserve">Quick commerce</t>
  </si>
  <si>
    <t xml:space="preserve">Other Segments (% YoY)</t>
  </si>
  <si>
    <t xml:space="preserve">Cainiao, Health</t>
  </si>
  <si>
    <t xml:space="preserve">MARGIN ASSUMPTIONS</t>
  </si>
  <si>
    <t xml:space="preserve">Gross Margin</t>
  </si>
  <si>
    <t xml:space="preserve">Scale benefits</t>
  </si>
  <si>
    <t xml:space="preserve">EBITDA Margin</t>
  </si>
  <si>
    <t xml:space="preserve">Operating leverage</t>
  </si>
  <si>
    <t xml:space="preserve">D&amp;A as % of Revenue</t>
  </si>
  <si>
    <t xml:space="preserve">Heavy AI capex</t>
  </si>
  <si>
    <t xml:space="preserve">Tax Rate</t>
  </si>
  <si>
    <t xml:space="preserve">China effective</t>
  </si>
  <si>
    <t xml:space="preserve">CapEx as % of Revenue</t>
  </si>
  <si>
    <t xml:space="preserve">AI infrastructure</t>
  </si>
  <si>
    <t xml:space="preserve">NWC as % of Revenue Change</t>
  </si>
  <si>
    <t xml:space="preserve">WACC CALCULATION</t>
  </si>
  <si>
    <t xml:space="preserve">Component</t>
  </si>
  <si>
    <t xml:space="preserve">Source</t>
  </si>
  <si>
    <t xml:space="preserve">Risk-Free Rate</t>
  </si>
  <si>
    <t xml:space="preserve">10-Year US Treasury</t>
  </si>
  <si>
    <t xml:space="preserve">Equity Risk Premium</t>
  </si>
  <si>
    <t xml:space="preserve">Damodaran ERP</t>
  </si>
  <si>
    <t xml:space="preserve">Beta (Levered)</t>
  </si>
  <si>
    <t xml:space="preserve">5-year monthly</t>
  </si>
  <si>
    <t xml:space="preserve">Country Risk Premium</t>
  </si>
  <si>
    <t xml:space="preserve">China CDS</t>
  </si>
  <si>
    <t xml:space="preserve">Cost of Equity</t>
  </si>
  <si>
    <t xml:space="preserve">CAPM + Country Risk</t>
  </si>
  <si>
    <t xml:space="preserve">Cost of Debt (Pre-tax)</t>
  </si>
  <si>
    <t xml:space="preserve">Int Exp / Avg Debt</t>
  </si>
  <si>
    <t xml:space="preserve">Tax Rate (WACC)</t>
  </si>
  <si>
    <t xml:space="preserve">Cost of Debt (After-tax)</t>
  </si>
  <si>
    <t xml:space="preserve">Market Value Equity (B)</t>
  </si>
  <si>
    <t xml:space="preserve">Shares x Price</t>
  </si>
  <si>
    <t xml:space="preserve">Market Value Debt (B)</t>
  </si>
  <si>
    <t xml:space="preserve">Book value proxy</t>
  </si>
  <si>
    <t xml:space="preserve">Weight of Equity</t>
  </si>
  <si>
    <t xml:space="preserve">Weight of Debt</t>
  </si>
  <si>
    <t xml:space="preserve">WACC</t>
  </si>
  <si>
    <t xml:space="preserve">TERMINAL VALUE ASSUMPTIONS</t>
  </si>
  <si>
    <t xml:space="preserve">Parameter</t>
  </si>
  <si>
    <t xml:space="preserve">Terminal Growth Rate</t>
  </si>
  <si>
    <t xml:space="preserve">Long-term GDP</t>
  </si>
  <si>
    <t xml:space="preserve">Exit EV/EBITDA Multiple</t>
  </si>
  <si>
    <t xml:space="preserve">Peer median</t>
  </si>
  <si>
    <t xml:space="preserve">ALIBABA GROUP - HISTORICAL &amp; PROJECTED FINANCIALS</t>
  </si>
  <si>
    <t xml:space="preserve">All figures in USD Billions</t>
  </si>
  <si>
    <t xml:space="preserve">REVENUE BY SEGMENT</t>
  </si>
  <si>
    <t xml:space="preserve">FY2024A</t>
  </si>
  <si>
    <t xml:space="preserve">CAGR '25-'30</t>
  </si>
  <si>
    <t xml:space="preserve">Taobao &amp; Tmall</t>
  </si>
  <si>
    <t xml:space="preserve">Cloud Intelligence</t>
  </si>
  <si>
    <t xml:space="preserve">International</t>
  </si>
  <si>
    <t xml:space="preserve">Local Services</t>
  </si>
  <si>
    <t xml:space="preserve">Other Segments</t>
  </si>
  <si>
    <t xml:space="preserve">Total Revenue</t>
  </si>
  <si>
    <t xml:space="preserve">YoY Growth</t>
  </si>
  <si>
    <t xml:space="preserve">INCOME STATEMENT SUMMARY</t>
  </si>
  <si>
    <t xml:space="preserve">Line Item</t>
  </si>
  <si>
    <t xml:space="preserve">Revenue</t>
  </si>
  <si>
    <t xml:space="preserve">Gross Profit</t>
  </si>
  <si>
    <t xml:space="preserve">EBITDA</t>
  </si>
  <si>
    <t xml:space="preserve">D&amp;A</t>
  </si>
  <si>
    <t xml:space="preserve">EBIT</t>
  </si>
  <si>
    <t xml:space="preserve">EBIT Margin</t>
  </si>
  <si>
    <t xml:space="preserve">Taxes (@ 20%)</t>
  </si>
  <si>
    <t xml:space="preserve">NOPAT</t>
  </si>
  <si>
    <t xml:space="preserve">FREE CASH FLOW BUILD</t>
  </si>
  <si>
    <t xml:space="preserve">(+) D&amp;A</t>
  </si>
  <si>
    <t xml:space="preserve">(-) CapEx</t>
  </si>
  <si>
    <t xml:space="preserve">(-) Change in NWC</t>
  </si>
  <si>
    <t xml:space="preserve">Unlevered FCF</t>
  </si>
  <si>
    <t xml:space="preserve">FCF Margin</t>
  </si>
  <si>
    <t xml:space="preserve">DISCOUNTED CASH FLOW VALUATION</t>
  </si>
  <si>
    <t xml:space="preserve">DCF INPUTS</t>
  </si>
  <si>
    <t xml:space="preserve">Calculated</t>
  </si>
  <si>
    <t xml:space="preserve">Long-term</t>
  </si>
  <si>
    <t xml:space="preserve">Exit Multiple (EV/EBITDA)</t>
  </si>
  <si>
    <t xml:space="preserve">Peer comp</t>
  </si>
  <si>
    <t xml:space="preserve">DCF CALCULATION</t>
  </si>
  <si>
    <t xml:space="preserve">Terminal</t>
  </si>
  <si>
    <t xml:space="preserve">Year</t>
  </si>
  <si>
    <t xml:space="preserve">EBITDA (for TV)</t>
  </si>
  <si>
    <t xml:space="preserve">For Exit Multiple</t>
  </si>
  <si>
    <t xml:space="preserve">Terminal Value (Perpetuity)</t>
  </si>
  <si>
    <t xml:space="preserve">Gordon Growth</t>
  </si>
  <si>
    <t xml:space="preserve">Terminal Value (Exit Mult)</t>
  </si>
  <si>
    <t xml:space="preserve">EV/EBITDA</t>
  </si>
  <si>
    <t xml:space="preserve">Terminal Value (Blended)</t>
  </si>
  <si>
    <t xml:space="preserve">Average</t>
  </si>
  <si>
    <t xml:space="preserve">Discount Factor</t>
  </si>
  <si>
    <t xml:space="preserve">PV of FCF</t>
  </si>
  <si>
    <t xml:space="preserve">VALUATION SUMMARY</t>
  </si>
  <si>
    <t xml:space="preserve">Value (USD B)</t>
  </si>
  <si>
    <t xml:space="preserve">Per Share (USD)</t>
  </si>
  <si>
    <t xml:space="preserve">PV of FCF (Years 1-5)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</si>
  <si>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</si>
  <si>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</si>
  <si>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</si>
  <si>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</si>
  <si>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Current Price</t>
  </si>
  <si>
    <t xml:space="preserve">Upside/(Downside)</t>
  </si>
  <si>
    <t xml:space="preserve">SCENARIO ANALYSIS</t>
  </si>
  <si>
    <t xml:space="preserve">Term Growth</t>
  </si>
  <si>
    <t xml:space="preserve">Exit Mult</t>
  </si>
  <si>
    <t xml:space="preserve">EV (USD B)</t>
  </si>
  <si>
    <t xml:space="preserve">Equity (USD B)</t>
  </si>
  <si>
    <t xml:space="preserve">Share Price</t>
  </si>
  <si>
    <t xml:space="preserve">SENSITIVITY ANALYSIS</t>
  </si>
  <si>
    <t xml:space="preserve">Implied Share Price under different WACC and Terminal Growth assumptions</t>
  </si>
  <si>
    <t xml:space="preserve">IMPLIED SHARE PRICE: WACC vs TERMINAL GROWTH RATE</t>
  </si>
  <si>
    <t xml:space="preserve">Terminal Growth →</t>
  </si>
  <si>
    <t xml:space="preserve">IMPLIED SHARE PRICE: EXIT MULTIPLE vs WACC</t>
  </si>
  <si>
    <t xml:space="preserve">Exit Multiple →</t>
  </si>
  <si>
    <t xml:space="preserve">COMPARABLE COMPANY ANALYSIS</t>
  </si>
  <si>
    <t xml:space="preserve">Trading Multiples as of December 2025</t>
  </si>
  <si>
    <t xml:space="preserve">E-COMMERCE &amp; CLOUD PEERS</t>
  </si>
  <si>
    <t xml:space="preserve">Company</t>
  </si>
  <si>
    <t xml:space="preserve">Ticker</t>
  </si>
  <si>
    <t xml:space="preserve">Mkt Cap ($B)</t>
  </si>
  <si>
    <t xml:space="preserve">EV ($B)</t>
  </si>
  <si>
    <t xml:space="preserve">Rev ($B)</t>
  </si>
  <si>
    <t xml:space="preserve">EV/Rev</t>
  </si>
  <si>
    <t xml:space="preserve">P/E</t>
  </si>
  <si>
    <t xml:space="preserve">Rev Gr</t>
  </si>
  <si>
    <t xml:space="preserve">EBITDA %</t>
  </si>
  <si>
    <t xml:space="preserve">Alibaba</t>
  </si>
  <si>
    <t xml:space="preserve">BABA</t>
  </si>
  <si>
    <t xml:space="preserve">Amazon</t>
  </si>
  <si>
    <t xml:space="preserve">AMZN</t>
  </si>
  <si>
    <t xml:space="preserve">JD.com</t>
  </si>
  <si>
    <t xml:space="preserve">JD</t>
  </si>
  <si>
    <t xml:space="preserve">PDD Holdings</t>
  </si>
  <si>
    <t xml:space="preserve">PDD</t>
  </si>
  <si>
    <t xml:space="preserve">MercadoLibre</t>
  </si>
  <si>
    <t xml:space="preserve">MELI</t>
  </si>
  <si>
    <t xml:space="preserve">Sea Limited</t>
  </si>
  <si>
    <t xml:space="preserve">SE</t>
  </si>
  <si>
    <t xml:space="preserve">Cloud Peers</t>
  </si>
  <si>
    <t xml:space="preserve">Microsoft</t>
  </si>
  <si>
    <t xml:space="preserve">MSFT</t>
  </si>
  <si>
    <t xml:space="preserve">Google</t>
  </si>
  <si>
    <t xml:space="preserve">GOOGL</t>
  </si>
  <si>
    <t xml:space="preserve">Median (E-com)</t>
  </si>
  <si>
    <t xml:space="preserve">Mean (E-com)</t>
  </si>
  <si>
    <t xml:space="preserve">BABA vs Median</t>
  </si>
  <si>
    <t xml:space="preserve">VALUATION COMMENTARY</t>
  </si>
  <si>
    <t xml:space="preserve">• Alibaba trades at significant discount to global e-commerce peers</t>
  </si>
  <si>
    <t xml:space="preserve">• Discount reflects China risk premium and regulatory concerns</t>
  </si>
  <si>
    <t xml:space="preserve">• Cloud business undervalued vs AWS/Azure despite faster growth</t>
  </si>
  <si>
    <t xml:space="preserve">• Key catalysts: AI monetization, regulatory clarity, buybacks</t>
  </si>
  <si>
    <t xml:space="preserve">• Sum-of-parts suggests upside to current valuation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</si>
</sst>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\$#,##0.00"/>
    <numFmt numFmtId="167" formatCode="0.0%"/>
    <numFmt numFmtId="168" formatCode="0.00%"/>
    <numFmt numFmtId="169" formatCode="#,##0.0"/>
    <numFmt numFmtId="170" formatCode="0.0\x"/>
    <numFmt numFmtId="171" formatCode="0.0000"/>
    <numFmt numFmtId="172" formatCode="\$#,##0"/>
    <numFmt numFmtId="173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6"/>
      <color rgb="FF1F4E7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EAF8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25"/>
  </cols>
  <sheetData>
    <row r="1" customFormat="false" ht="22.0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0" t="s">
        <v>7</v>
      </c>
      <c r="B7" s="6" t="n">
        <v>158</v>
      </c>
      <c r="C7" s="7" t="s">
        <v>8</v>
      </c>
    </row>
    <row r="8" customFormat="false" ht="15" hidden="false" customHeight="false" outlineLevel="0" collapsed="false">
      <c r="A8" s="0" t="s">
        <v>9</v>
      </c>
      <c r="B8" s="6" t="n">
        <v>2.39</v>
      </c>
      <c r="C8" s="7" t="s">
        <v>10</v>
      </c>
    </row>
    <row r="9" customFormat="false" ht="15" hidden="false" customHeight="false" outlineLevel="0" collapsed="false">
      <c r="A9" s="0" t="s">
        <v>11</v>
      </c>
      <c r="B9" s="8" t="n">
        <f aca="false">B7*B8</f>
        <v>377.62</v>
      </c>
    </row>
    <row r="10" customFormat="false" ht="15" hidden="false" customHeight="false" outlineLevel="0" collapsed="false">
      <c r="A10" s="0" t="s">
        <v>12</v>
      </c>
      <c r="B10" s="6" t="n">
        <v>31.1</v>
      </c>
      <c r="C10" s="7" t="s">
        <v>13</v>
      </c>
    </row>
    <row r="11" customFormat="false" ht="15" hidden="false" customHeight="false" outlineLevel="0" collapsed="false">
      <c r="A11" s="0" t="s">
        <v>14</v>
      </c>
      <c r="B11" s="6" t="n">
        <v>50.2</v>
      </c>
      <c r="C11" s="7" t="s">
        <v>15</v>
      </c>
    </row>
    <row r="12" customFormat="false" ht="15" hidden="false" customHeight="false" outlineLevel="0" collapsed="false">
      <c r="A12" s="0" t="s">
        <v>16</v>
      </c>
      <c r="B12" s="8" t="n">
        <f aca="false">B9+B10-B11</f>
        <v>358.52</v>
      </c>
    </row>
    <row r="13" customFormat="false" ht="15" hidden="false" customHeight="false" outlineLevel="0" collapsed="false">
      <c r="A13" s="0" t="s">
        <v>17</v>
      </c>
      <c r="B13" s="8" t="n">
        <f aca="false">B10-B11</f>
        <v>-19.1</v>
      </c>
    </row>
    <row r="16" customFormat="false" ht="15" hidden="false" customHeight="false" outlineLevel="0" collapsed="false">
      <c r="A16" s="4" t="s">
        <v>18</v>
      </c>
      <c r="B16" s="4"/>
      <c r="C16" s="4"/>
    </row>
    <row r="17" customFormat="false" ht="15" hidden="false" customHeight="false" outlineLevel="0" collapsed="false">
      <c r="A17" s="5" t="s">
        <v>19</v>
      </c>
      <c r="B17" s="5" t="s">
        <v>20</v>
      </c>
      <c r="C17" s="5" t="s">
        <v>21</v>
      </c>
    </row>
    <row r="18" customFormat="false" ht="15" hidden="false" customHeight="false" outlineLevel="0" collapsed="false">
      <c r="A18" s="0" t="s">
        <v>22</v>
      </c>
      <c r="B18" s="9" t="n">
        <f aca="false">DCF!B33</f>
        <v>157.933141433218</v>
      </c>
      <c r="C18" s="10" t="n">
        <f aca="false">(B18-$B$7)/$B$7</f>
        <v>-0.00042315548596456</v>
      </c>
    </row>
    <row r="19" customFormat="false" ht="15" hidden="false" customHeight="false" outlineLevel="0" collapsed="false">
      <c r="A19" s="0" t="s">
        <v>23</v>
      </c>
      <c r="B19" s="9" t="n">
        <f aca="false">DCF!G41</f>
        <v>179.18640871675</v>
      </c>
      <c r="C19" s="10" t="n">
        <f aca="false">(B19-$B$7)/$B$7</f>
        <v>0.134091194409809</v>
      </c>
    </row>
    <row r="20" customFormat="false" ht="15" hidden="false" customHeight="false" outlineLevel="0" collapsed="false">
      <c r="A20" s="0" t="s">
        <v>24</v>
      </c>
      <c r="B20" s="9" t="n">
        <f aca="false">DCF!G42</f>
        <v>136.679874149685</v>
      </c>
      <c r="C20" s="10" t="n">
        <f aca="false">(B20-$B$7)/$B$7</f>
        <v>-0.134937505381738</v>
      </c>
    </row>
    <row r="23" customFormat="false" ht="15" hidden="false" customHeight="false" outlineLevel="0" collapsed="false">
      <c r="A23" s="4" t="s">
        <v>25</v>
      </c>
      <c r="B23" s="4"/>
      <c r="C23" s="4"/>
      <c r="D23" s="4"/>
      <c r="E23" s="4"/>
      <c r="F23" s="4"/>
    </row>
    <row r="24" customFormat="false" ht="15" hidden="false" customHeight="false" outlineLevel="0" collapsed="false">
      <c r="A24" s="0" t="s">
        <v>26</v>
      </c>
    </row>
    <row r="26" customFormat="false" ht="15" hidden="false" customHeight="false" outlineLevel="0" collapsed="false">
      <c r="A26" s="0" t="s">
        <v>27</v>
      </c>
    </row>
    <row r="27" customFormat="false" ht="15" hidden="false" customHeight="false" outlineLevel="0" collapsed="false">
      <c r="A27" s="0" t="s">
        <v>28</v>
      </c>
    </row>
    <row r="28" customFormat="false" ht="15" hidden="false" customHeight="false" outlineLevel="0" collapsed="false">
      <c r="A28" s="0" t="s">
        <v>29</v>
      </c>
    </row>
    <row r="29" customFormat="false" ht="15" hidden="false" customHeight="false" outlineLevel="0" collapsed="false">
      <c r="A29" s="0" t="s">
        <v>30</v>
      </c>
    </row>
    <row r="30" customFormat="false" ht="15" hidden="false" customHeight="false" outlineLevel="0" collapsed="false">
      <c r="A30" s="0" t="s">
        <v>31</v>
      </c>
    </row>
    <row r="31" customFormat="false" ht="15" hidden="false" customHeight="false" outlineLevel="0" collapsed="false">
      <c r="A31" s="0" t="s">
        <v>32</v>
      </c>
    </row>
    <row r="33" customFormat="false" ht="15" hidden="false" customHeight="false" outlineLevel="0" collapsed="false">
      <c r="A33" s="0" t="s">
        <v>33</v>
      </c>
    </row>
    <row r="34" customFormat="false" ht="15" hidden="false" customHeight="false" outlineLevel="0" collapsed="false">
      <c r="A34" s="0" t="s">
        <v>34</v>
      </c>
    </row>
    <row r="35" customFormat="false" ht="15" hidden="false" customHeight="false" outlineLevel="0" collapsed="false">
      <c r="A35" s="0" t="s">
        <v>35</v>
      </c>
    </row>
    <row r="36" customFormat="false" ht="15" hidden="false" customHeight="false" outlineLevel="0" collapsed="false">
      <c r="A36" s="0" t="s">
        <v>36</v>
      </c>
    </row>
    <row r="37" customFormat="false" ht="15" hidden="false" customHeight="false" outlineLevel="0" collapsed="false">
      <c r="A37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</sheetData>
  <mergeCells count="3">
    <mergeCell ref="A5:C5"/>
    <mergeCell ref="A16:C16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2"/>
  </cols>
  <sheetData>
    <row r="1" customFormat="false" ht="19.7" hidden="false" customHeight="false" outlineLevel="0" collapsed="false">
      <c r="A1" s="11" t="s">
        <v>43</v>
      </c>
    </row>
    <row r="3" customFormat="false" ht="15" hidden="false" customHeight="false" outlineLevel="0" collapsed="false">
      <c r="A3" s="4" t="s">
        <v>44</v>
      </c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</row>
    <row r="5" customFormat="false" ht="15" hidden="false" customHeight="false" outlineLevel="0" collapsed="false">
      <c r="A5" s="0" t="s">
        <v>53</v>
      </c>
      <c r="B5" s="12" t="n">
        <v>0.05</v>
      </c>
      <c r="C5" s="12" t="n">
        <v>0.07</v>
      </c>
      <c r="D5" s="12" t="n">
        <v>0.08</v>
      </c>
      <c r="E5" s="12" t="n">
        <v>0.08</v>
      </c>
      <c r="F5" s="12" t="n">
        <v>0.07</v>
      </c>
      <c r="G5" s="12" t="n">
        <v>0.06</v>
      </c>
      <c r="H5" s="7" t="s">
        <v>54</v>
      </c>
    </row>
    <row r="6" customFormat="false" ht="15" hidden="false" customHeight="false" outlineLevel="0" collapsed="false">
      <c r="A6" s="0" t="s">
        <v>55</v>
      </c>
      <c r="B6" s="12" t="n">
        <v>0.18</v>
      </c>
      <c r="C6" s="12" t="n">
        <v>0.27</v>
      </c>
      <c r="D6" s="12" t="n">
        <v>0.31</v>
      </c>
      <c r="E6" s="12" t="n">
        <v>0.28</v>
      </c>
      <c r="F6" s="12" t="n">
        <v>0.25</v>
      </c>
      <c r="G6" s="12" t="n">
        <v>0.22</v>
      </c>
      <c r="H6" s="7" t="s">
        <v>56</v>
      </c>
    </row>
    <row r="7" customFormat="false" ht="15" hidden="false" customHeight="false" outlineLevel="0" collapsed="false">
      <c r="A7" s="0" t="s">
        <v>57</v>
      </c>
      <c r="B7" s="12" t="n">
        <v>0.25</v>
      </c>
      <c r="C7" s="12" t="n">
        <v>0.2</v>
      </c>
      <c r="D7" s="12" t="n">
        <v>0.17</v>
      </c>
      <c r="E7" s="12" t="n">
        <v>0.15</v>
      </c>
      <c r="F7" s="12" t="n">
        <v>0.12</v>
      </c>
      <c r="G7" s="12" t="n">
        <v>0.1</v>
      </c>
      <c r="H7" s="7" t="s">
        <v>58</v>
      </c>
    </row>
    <row r="8" customFormat="false" ht="15" hidden="false" customHeight="false" outlineLevel="0" collapsed="false">
      <c r="A8" s="0" t="s">
        <v>59</v>
      </c>
      <c r="B8" s="12" t="n">
        <v>0.1</v>
      </c>
      <c r="C8" s="12" t="n">
        <v>0.12</v>
      </c>
      <c r="D8" s="12" t="n">
        <v>0.1</v>
      </c>
      <c r="E8" s="12" t="n">
        <v>0.08</v>
      </c>
      <c r="F8" s="12" t="n">
        <v>0.06</v>
      </c>
      <c r="G8" s="12" t="n">
        <v>0.05</v>
      </c>
      <c r="H8" s="7" t="s">
        <v>60</v>
      </c>
    </row>
    <row r="9" customFormat="false" ht="15" hidden="false" customHeight="false" outlineLevel="0" collapsed="false">
      <c r="A9" s="0" t="s">
        <v>61</v>
      </c>
      <c r="B9" s="12" t="n">
        <v>0.02</v>
      </c>
      <c r="C9" s="12" t="n">
        <v>0.03</v>
      </c>
      <c r="D9" s="12" t="n">
        <v>0.04</v>
      </c>
      <c r="E9" s="12" t="n">
        <v>0.04</v>
      </c>
      <c r="F9" s="12" t="n">
        <v>0.03</v>
      </c>
      <c r="G9" s="12" t="n">
        <v>0.03</v>
      </c>
      <c r="H9" s="7" t="s">
        <v>62</v>
      </c>
    </row>
    <row r="12" customFormat="false" ht="15" hidden="false" customHeight="false" outlineLevel="0" collapsed="false">
      <c r="A12" s="4" t="s">
        <v>63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5" t="s">
        <v>4</v>
      </c>
      <c r="B13" s="5" t="s">
        <v>46</v>
      </c>
      <c r="C13" s="5" t="s">
        <v>47</v>
      </c>
      <c r="D13" s="5" t="s">
        <v>48</v>
      </c>
      <c r="E13" s="5" t="s">
        <v>49</v>
      </c>
      <c r="F13" s="5" t="s">
        <v>50</v>
      </c>
      <c r="G13" s="5" t="s">
        <v>51</v>
      </c>
      <c r="H13" s="5" t="s">
        <v>6</v>
      </c>
    </row>
    <row r="14" customFormat="false" ht="15" hidden="false" customHeight="false" outlineLevel="0" collapsed="false">
      <c r="A14" s="0" t="s">
        <v>64</v>
      </c>
      <c r="B14" s="12" t="n">
        <v>0.4</v>
      </c>
      <c r="C14" s="12" t="n">
        <v>0.405</v>
      </c>
      <c r="D14" s="12" t="n">
        <v>0.41</v>
      </c>
      <c r="E14" s="12" t="n">
        <v>0.415</v>
      </c>
      <c r="F14" s="12" t="n">
        <v>0.42</v>
      </c>
      <c r="G14" s="12" t="n">
        <v>0.425</v>
      </c>
      <c r="H14" s="7" t="s">
        <v>65</v>
      </c>
    </row>
    <row r="15" customFormat="false" ht="15" hidden="false" customHeight="false" outlineLevel="0" collapsed="false">
      <c r="A15" s="0" t="s">
        <v>66</v>
      </c>
      <c r="B15" s="12" t="n">
        <v>0.17</v>
      </c>
      <c r="C15" s="12" t="n">
        <v>0.175</v>
      </c>
      <c r="D15" s="12" t="n">
        <v>0.185</v>
      </c>
      <c r="E15" s="12" t="n">
        <v>0.195</v>
      </c>
      <c r="F15" s="12" t="n">
        <v>0.2</v>
      </c>
      <c r="G15" s="12" t="n">
        <v>0.205</v>
      </c>
      <c r="H15" s="7" t="s">
        <v>67</v>
      </c>
    </row>
    <row r="16" customFormat="false" ht="15" hidden="false" customHeight="false" outlineLevel="0" collapsed="false">
      <c r="A16" s="0" t="s">
        <v>68</v>
      </c>
      <c r="B16" s="12" t="n">
        <v>0.043</v>
      </c>
      <c r="C16" s="12" t="n">
        <v>0.05</v>
      </c>
      <c r="D16" s="12" t="n">
        <v>0.055</v>
      </c>
      <c r="E16" s="12" t="n">
        <v>0.055</v>
      </c>
      <c r="F16" s="12" t="n">
        <v>0.053</v>
      </c>
      <c r="G16" s="12" t="n">
        <v>0.05</v>
      </c>
      <c r="H16" s="7" t="s">
        <v>69</v>
      </c>
    </row>
    <row r="17" customFormat="false" ht="15" hidden="false" customHeight="false" outlineLevel="0" collapsed="false">
      <c r="A17" s="0" t="s">
        <v>70</v>
      </c>
      <c r="B17" s="12" t="n">
        <v>0.2</v>
      </c>
      <c r="C17" s="12" t="n">
        <v>0.2</v>
      </c>
      <c r="D17" s="12" t="n">
        <v>0.2</v>
      </c>
      <c r="E17" s="12" t="n">
        <v>0.2</v>
      </c>
      <c r="F17" s="12" t="n">
        <v>0.2</v>
      </c>
      <c r="G17" s="12" t="n">
        <v>0.2</v>
      </c>
      <c r="H17" s="7" t="s">
        <v>71</v>
      </c>
    </row>
    <row r="18" customFormat="false" ht="15" hidden="false" customHeight="false" outlineLevel="0" collapsed="false">
      <c r="A18" s="0" t="s">
        <v>72</v>
      </c>
      <c r="B18" s="12" t="n">
        <v>0.05</v>
      </c>
      <c r="C18" s="12" t="n">
        <v>0.08</v>
      </c>
      <c r="D18" s="12" t="n">
        <v>0.1</v>
      </c>
      <c r="E18" s="12" t="n">
        <v>0.09</v>
      </c>
      <c r="F18" s="12" t="n">
        <v>0.08</v>
      </c>
      <c r="G18" s="12" t="n">
        <v>0.06</v>
      </c>
      <c r="H18" s="7" t="s">
        <v>73</v>
      </c>
    </row>
    <row r="19" customFormat="false" ht="15" hidden="false" customHeight="false" outlineLevel="0" collapsed="false">
      <c r="A19" s="0" t="s">
        <v>74</v>
      </c>
      <c r="B19" s="12" t="n">
        <v>0.02</v>
      </c>
      <c r="C19" s="12" t="n">
        <v>0.02</v>
      </c>
      <c r="D19" s="12" t="n">
        <v>0.02</v>
      </c>
      <c r="E19" s="12" t="n">
        <v>0.02</v>
      </c>
      <c r="F19" s="12" t="n">
        <v>0.02</v>
      </c>
      <c r="G19" s="12" t="n">
        <v>0.02</v>
      </c>
    </row>
    <row r="22" customFormat="false" ht="15" hidden="false" customHeight="false" outlineLevel="0" collapsed="false">
      <c r="A22" s="4" t="s">
        <v>75</v>
      </c>
      <c r="B22" s="4"/>
      <c r="C22" s="4"/>
      <c r="D22" s="4"/>
    </row>
    <row r="23" customFormat="false" ht="15" hidden="false" customHeight="false" outlineLevel="0" collapsed="false">
      <c r="A23" s="5" t="s">
        <v>76</v>
      </c>
      <c r="B23" s="5" t="s">
        <v>5</v>
      </c>
      <c r="C23" s="5" t="s">
        <v>77</v>
      </c>
      <c r="D23" s="5"/>
    </row>
    <row r="24" customFormat="false" ht="15" hidden="false" customHeight="false" outlineLevel="0" collapsed="false">
      <c r="A24" s="0" t="s">
        <v>78</v>
      </c>
      <c r="B24" s="13" t="n">
        <v>0.043</v>
      </c>
      <c r="C24" s="7" t="s">
        <v>79</v>
      </c>
    </row>
    <row r="25" customFormat="false" ht="15" hidden="false" customHeight="false" outlineLevel="0" collapsed="false">
      <c r="A25" s="0" t="s">
        <v>80</v>
      </c>
      <c r="B25" s="13" t="n">
        <v>0.055</v>
      </c>
      <c r="C25" s="7" t="s">
        <v>81</v>
      </c>
    </row>
    <row r="26" customFormat="false" ht="15" hidden="false" customHeight="false" outlineLevel="0" collapsed="false">
      <c r="A26" s="0" t="s">
        <v>82</v>
      </c>
      <c r="B26" s="13" t="n">
        <v>0.95</v>
      </c>
      <c r="C26" s="7" t="s">
        <v>83</v>
      </c>
    </row>
    <row r="27" customFormat="false" ht="15" hidden="false" customHeight="false" outlineLevel="0" collapsed="false">
      <c r="A27" s="0" t="s">
        <v>84</v>
      </c>
      <c r="B27" s="13" t="n">
        <v>0.015</v>
      </c>
      <c r="C27" s="7" t="s">
        <v>85</v>
      </c>
    </row>
    <row r="28" customFormat="false" ht="15" hidden="false" customHeight="false" outlineLevel="0" collapsed="false">
      <c r="A28" s="0" t="s">
        <v>86</v>
      </c>
      <c r="B28" s="14" t="n">
        <f aca="false">B24+B25*B26+B27</f>
        <v>0.11025</v>
      </c>
      <c r="C28" s="7" t="s">
        <v>87</v>
      </c>
    </row>
    <row r="30" customFormat="false" ht="15" hidden="false" customHeight="false" outlineLevel="0" collapsed="false">
      <c r="A30" s="0" t="s">
        <v>88</v>
      </c>
      <c r="B30" s="13" t="n">
        <v>0.0374</v>
      </c>
      <c r="C30" s="7" t="s">
        <v>89</v>
      </c>
    </row>
    <row r="31" customFormat="false" ht="15" hidden="false" customHeight="false" outlineLevel="0" collapsed="false">
      <c r="A31" s="0" t="s">
        <v>90</v>
      </c>
      <c r="B31" s="13" t="n">
        <v>0.2</v>
      </c>
    </row>
    <row r="32" customFormat="false" ht="15" hidden="false" customHeight="false" outlineLevel="0" collapsed="false">
      <c r="A32" s="0" t="s">
        <v>91</v>
      </c>
      <c r="B32" s="14" t="n">
        <f aca="false">B30*(1-B31)</f>
        <v>0.02992</v>
      </c>
    </row>
    <row r="34" customFormat="false" ht="15" hidden="false" customHeight="false" outlineLevel="0" collapsed="false">
      <c r="A34" s="0" t="s">
        <v>92</v>
      </c>
      <c r="B34" s="15" t="n">
        <v>377.8</v>
      </c>
      <c r="C34" s="7" t="s">
        <v>93</v>
      </c>
    </row>
    <row r="35" customFormat="false" ht="15" hidden="false" customHeight="false" outlineLevel="0" collapsed="false">
      <c r="A35" s="0" t="s">
        <v>94</v>
      </c>
      <c r="B35" s="15" t="n">
        <v>31.1</v>
      </c>
      <c r="C35" s="7" t="s">
        <v>95</v>
      </c>
    </row>
    <row r="36" customFormat="false" ht="15" hidden="false" customHeight="false" outlineLevel="0" collapsed="false">
      <c r="A36" s="0" t="s">
        <v>96</v>
      </c>
      <c r="B36" s="14" t="n">
        <f aca="false">B34/(B34+B35)</f>
        <v>0.92394228417706</v>
      </c>
    </row>
    <row r="37" customFormat="false" ht="15" hidden="false" customHeight="false" outlineLevel="0" collapsed="false">
      <c r="A37" s="0" t="s">
        <v>97</v>
      </c>
      <c r="B37" s="14" t="n">
        <f aca="false">B35/(B34+B35)</f>
        <v>0.0760577158229396</v>
      </c>
    </row>
    <row r="39" customFormat="false" ht="15" hidden="false" customHeight="false" outlineLevel="0" collapsed="false">
      <c r="A39" s="16" t="s">
        <v>98</v>
      </c>
      <c r="B39" s="17" t="n">
        <f aca="false">B36*B28+B37*B32</f>
        <v>0.104140283687943</v>
      </c>
      <c r="C39" s="16"/>
      <c r="D39" s="16"/>
    </row>
    <row r="42" customFormat="false" ht="15" hidden="false" customHeight="false" outlineLevel="0" collapsed="false">
      <c r="A42" s="4" t="s">
        <v>99</v>
      </c>
      <c r="B42" s="4"/>
      <c r="C42" s="4"/>
      <c r="D42" s="4"/>
    </row>
    <row r="43" customFormat="false" ht="15" hidden="false" customHeight="false" outlineLevel="0" collapsed="false">
      <c r="A43" s="5" t="s">
        <v>100</v>
      </c>
      <c r="B43" s="5" t="s">
        <v>5</v>
      </c>
      <c r="C43" s="5" t="s">
        <v>6</v>
      </c>
      <c r="D43" s="5"/>
    </row>
    <row r="44" customFormat="false" ht="15" hidden="false" customHeight="false" outlineLevel="0" collapsed="false">
      <c r="A44" s="0" t="s">
        <v>101</v>
      </c>
      <c r="B44" s="12" t="n">
        <v>0.03</v>
      </c>
      <c r="C44" s="7" t="s">
        <v>102</v>
      </c>
    </row>
    <row r="45" customFormat="false" ht="15" hidden="false" customHeight="false" outlineLevel="0" collapsed="false">
      <c r="A45" s="0" t="s">
        <v>103</v>
      </c>
      <c r="B45" s="18" t="n">
        <v>12</v>
      </c>
      <c r="C45" s="7" t="s">
        <v>104</v>
      </c>
    </row>
  </sheetData>
  <mergeCells count="4">
    <mergeCell ref="A3:H3"/>
    <mergeCell ref="A12:H12"/>
    <mergeCell ref="A22:D22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</cols>
  <sheetData>
    <row r="1" customFormat="false" ht="19.7" hidden="false" customHeight="false" outlineLevel="0" collapsed="false">
      <c r="A1" s="11" t="s">
        <v>105</v>
      </c>
    </row>
    <row r="2" customFormat="false" ht="15" hidden="false" customHeight="false" outlineLevel="0" collapsed="false">
      <c r="A2" s="3" t="s">
        <v>106</v>
      </c>
    </row>
    <row r="4" customFormat="false" ht="15" hidden="false" customHeight="false" outlineLevel="0" collapsed="false">
      <c r="A4" s="4" t="s">
        <v>107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5" t="s">
        <v>45</v>
      </c>
      <c r="B5" s="5" t="s">
        <v>108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109</v>
      </c>
    </row>
    <row r="6" customFormat="false" ht="15" hidden="false" customHeight="false" outlineLevel="0" collapsed="false">
      <c r="A6" s="0" t="s">
        <v>110</v>
      </c>
      <c r="B6" s="15" t="n">
        <v>69.2</v>
      </c>
      <c r="C6" s="15" t="n">
        <v>72.7</v>
      </c>
      <c r="D6" s="19" t="n">
        <f aca="false">C6*(1+Assumptions!C5)</f>
        <v>77.789</v>
      </c>
      <c r="E6" s="19" t="n">
        <f aca="false">D6*(1+Assumptions!D5)</f>
        <v>84.01212</v>
      </c>
      <c r="F6" s="19" t="n">
        <f aca="false">E6*(1+Assumptions!E5)</f>
        <v>90.7330896</v>
      </c>
      <c r="G6" s="19" t="n">
        <f aca="false">F6*(1+Assumptions!F5)</f>
        <v>97.084405872</v>
      </c>
      <c r="H6" s="19" t="n">
        <f aca="false">G6*(1+Assumptions!G5)</f>
        <v>102.90947022432</v>
      </c>
      <c r="I6" s="10" t="n">
        <f aca="false">(H6/C6)^(1/5)-1</f>
        <v>0.0719738379664598</v>
      </c>
    </row>
    <row r="7" customFormat="false" ht="15" hidden="false" customHeight="false" outlineLevel="0" collapsed="false">
      <c r="A7" s="0" t="s">
        <v>111</v>
      </c>
      <c r="B7" s="15" t="n">
        <v>15.8</v>
      </c>
      <c r="C7" s="15" t="n">
        <v>18.6</v>
      </c>
      <c r="D7" s="19" t="n">
        <f aca="false">C7*(1+Assumptions!C6)</f>
        <v>23.622</v>
      </c>
      <c r="E7" s="19" t="n">
        <f aca="false">D7*(1+Assumptions!D6)</f>
        <v>30.94482</v>
      </c>
      <c r="F7" s="19" t="n">
        <f aca="false">E7*(1+Assumptions!E6)</f>
        <v>39.6093696</v>
      </c>
      <c r="G7" s="19" t="n">
        <f aca="false">F7*(1+Assumptions!F6)</f>
        <v>49.511712</v>
      </c>
      <c r="H7" s="19" t="n">
        <f aca="false">G7*(1+Assumptions!G6)</f>
        <v>60.40428864</v>
      </c>
      <c r="I7" s="10" t="n">
        <f aca="false">(H7/C7)^(1/5)-1</f>
        <v>0.265642255423756</v>
      </c>
    </row>
    <row r="8" customFormat="false" ht="15" hidden="false" customHeight="false" outlineLevel="0" collapsed="false">
      <c r="A8" s="0" t="s">
        <v>112</v>
      </c>
      <c r="B8" s="15" t="n">
        <v>17.3</v>
      </c>
      <c r="C8" s="15" t="n">
        <v>21.6</v>
      </c>
      <c r="D8" s="19" t="n">
        <f aca="false">C8*(1+Assumptions!C7)</f>
        <v>25.92</v>
      </c>
      <c r="E8" s="19" t="n">
        <f aca="false">D8*(1+Assumptions!D7)</f>
        <v>30.3264</v>
      </c>
      <c r="F8" s="19" t="n">
        <f aca="false">E8*(1+Assumptions!E7)</f>
        <v>34.87536</v>
      </c>
      <c r="G8" s="19" t="n">
        <f aca="false">F8*(1+Assumptions!F7)</f>
        <v>39.0604032</v>
      </c>
      <c r="H8" s="19" t="n">
        <f aca="false">G8*(1+Assumptions!G7)</f>
        <v>42.96644352</v>
      </c>
      <c r="I8" s="10" t="n">
        <f aca="false">(H8/C8)^(1/5)-1</f>
        <v>0.147453595654423</v>
      </c>
    </row>
    <row r="9" customFormat="false" ht="15" hidden="false" customHeight="false" outlineLevel="0" collapsed="false">
      <c r="A9" s="0" t="s">
        <v>113</v>
      </c>
      <c r="B9" s="15" t="n">
        <v>10.1</v>
      </c>
      <c r="C9" s="15" t="n">
        <v>11.1</v>
      </c>
      <c r="D9" s="19" t="n">
        <f aca="false">C9*(1+Assumptions!C8)</f>
        <v>12.432</v>
      </c>
      <c r="E9" s="19" t="n">
        <f aca="false">D9*(1+Assumptions!D8)</f>
        <v>13.6752</v>
      </c>
      <c r="F9" s="19" t="n">
        <f aca="false">E9*(1+Assumptions!E8)</f>
        <v>14.769216</v>
      </c>
      <c r="G9" s="19" t="n">
        <f aca="false">F9*(1+Assumptions!F8)</f>
        <v>15.65536896</v>
      </c>
      <c r="H9" s="19" t="n">
        <f aca="false">G9*(1+Assumptions!G8)</f>
        <v>16.438137408</v>
      </c>
      <c r="I9" s="10" t="n">
        <f aca="false">(H9/C9)^(1/5)-1</f>
        <v>0.0816977479614276</v>
      </c>
    </row>
    <row r="10" customFormat="false" ht="15" hidden="false" customHeight="false" outlineLevel="0" collapsed="false">
      <c r="A10" s="0" t="s">
        <v>114</v>
      </c>
      <c r="B10" s="15" t="n">
        <v>17.9</v>
      </c>
      <c r="C10" s="15" t="n">
        <v>18.3</v>
      </c>
      <c r="D10" s="19" t="n">
        <f aca="false">C10*(1+Assumptions!C9)</f>
        <v>18.849</v>
      </c>
      <c r="E10" s="19" t="n">
        <f aca="false">D10*(1+Assumptions!D9)</f>
        <v>19.60296</v>
      </c>
      <c r="F10" s="19" t="n">
        <f aca="false">E10*(1+Assumptions!E9)</f>
        <v>20.3870784</v>
      </c>
      <c r="G10" s="19" t="n">
        <f aca="false">F10*(1+Assumptions!F9)</f>
        <v>20.998690752</v>
      </c>
      <c r="H10" s="19" t="n">
        <f aca="false">G10*(1+Assumptions!G9)</f>
        <v>21.62865147456</v>
      </c>
      <c r="I10" s="10" t="n">
        <f aca="false">(H10/C10)^(1/5)-1</f>
        <v>0.0339884094626439</v>
      </c>
    </row>
    <row r="11" customFormat="false" ht="15" hidden="false" customHeight="false" outlineLevel="0" collapsed="false">
      <c r="A11" s="20" t="s">
        <v>115</v>
      </c>
      <c r="B11" s="21" t="n">
        <f aca="false">SUM(B6:B10)</f>
        <v>130.3</v>
      </c>
      <c r="C11" s="21" t="n">
        <f aca="false">SUM(C6:C10)</f>
        <v>142.3</v>
      </c>
      <c r="D11" s="21" t="n">
        <f aca="false">SUM(D6:D10)</f>
        <v>158.612</v>
      </c>
      <c r="E11" s="21" t="n">
        <f aca="false">SUM(E6:E10)</f>
        <v>178.5615</v>
      </c>
      <c r="F11" s="21" t="n">
        <f aca="false">SUM(F6:F10)</f>
        <v>200.3741136</v>
      </c>
      <c r="G11" s="21" t="n">
        <f aca="false">SUM(G6:G10)</f>
        <v>222.310580784</v>
      </c>
      <c r="H11" s="21" t="n">
        <f aca="false">SUM(H6:H10)</f>
        <v>244.34699126688</v>
      </c>
      <c r="I11" s="22" t="n">
        <f aca="false">(H11/C11)^(1/5)-1</f>
        <v>0.11419298330539</v>
      </c>
    </row>
    <row r="12" customFormat="false" ht="15" hidden="false" customHeight="false" outlineLevel="0" collapsed="false">
      <c r="A12" s="0" t="s">
        <v>116</v>
      </c>
      <c r="C12" s="10" t="n">
        <f aca="false">(C11-B11)/B11</f>
        <v>0.0920951650038373</v>
      </c>
      <c r="D12" s="10" t="n">
        <f aca="false">(D11-C11)/C11</f>
        <v>0.11463106113844</v>
      </c>
      <c r="E12" s="10" t="n">
        <f aca="false">(E11-D11)/D11</f>
        <v>0.125775477265276</v>
      </c>
      <c r="F12" s="10" t="n">
        <f aca="false">(F11-E11)/E11</f>
        <v>0.122157428113003</v>
      </c>
      <c r="G12" s="10" t="n">
        <f aca="false">(G11-F11)/F11</f>
        <v>0.109477550716911</v>
      </c>
      <c r="H12" s="10" t="n">
        <f aca="false">(H11-G11)/G11</f>
        <v>0.0991244339570635</v>
      </c>
    </row>
    <row r="15" customFormat="false" ht="15" hidden="false" customHeight="false" outlineLevel="0" collapsed="false">
      <c r="A15" s="4" t="s">
        <v>117</v>
      </c>
      <c r="B15" s="4"/>
      <c r="C15" s="4"/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5" t="s">
        <v>118</v>
      </c>
      <c r="B16" s="5" t="s">
        <v>108</v>
      </c>
      <c r="C16" s="5" t="s">
        <v>46</v>
      </c>
      <c r="D16" s="5" t="s">
        <v>47</v>
      </c>
      <c r="E16" s="5" t="s">
        <v>48</v>
      </c>
      <c r="F16" s="5" t="s">
        <v>49</v>
      </c>
      <c r="G16" s="5" t="s">
        <v>50</v>
      </c>
      <c r="H16" s="5" t="s">
        <v>51</v>
      </c>
      <c r="I16" s="5"/>
    </row>
    <row r="17" customFormat="false" ht="15" hidden="false" customHeight="false" outlineLevel="0" collapsed="false">
      <c r="A17" s="0" t="s">
        <v>119</v>
      </c>
      <c r="B17" s="19" t="n">
        <f aca="false">B11</f>
        <v>130.3</v>
      </c>
      <c r="C17" s="19" t="n">
        <f aca="false">C11</f>
        <v>142.3</v>
      </c>
      <c r="D17" s="19" t="n">
        <f aca="false">D11</f>
        <v>158.612</v>
      </c>
      <c r="E17" s="19" t="n">
        <f aca="false">E11</f>
        <v>178.5615</v>
      </c>
      <c r="F17" s="19" t="n">
        <f aca="false">F11</f>
        <v>200.3741136</v>
      </c>
      <c r="G17" s="19" t="n">
        <f aca="false">G11</f>
        <v>222.310580784</v>
      </c>
      <c r="H17" s="19" t="n">
        <f aca="false">H11</f>
        <v>244.34699126688</v>
      </c>
    </row>
    <row r="18" customFormat="false" ht="15" hidden="false" customHeight="false" outlineLevel="0" collapsed="false">
      <c r="A18" s="0" t="s">
        <v>120</v>
      </c>
      <c r="B18" s="19" t="n">
        <f aca="false">B17*0.39</f>
        <v>50.817</v>
      </c>
      <c r="C18" s="19" t="n">
        <f aca="false">C17*Assumptions!B14</f>
        <v>56.92</v>
      </c>
      <c r="D18" s="19" t="n">
        <f aca="false">D17*Assumptions!C14</f>
        <v>64.23786</v>
      </c>
      <c r="E18" s="19" t="n">
        <f aca="false">E17*Assumptions!D14</f>
        <v>73.210215</v>
      </c>
      <c r="F18" s="19" t="n">
        <f aca="false">F17*Assumptions!E14</f>
        <v>83.155257144</v>
      </c>
      <c r="G18" s="19" t="n">
        <f aca="false">G17*Assumptions!F14</f>
        <v>93.37044392928</v>
      </c>
      <c r="H18" s="19" t="n">
        <f aca="false">H17*Assumptions!G14</f>
        <v>103.847471288424</v>
      </c>
    </row>
    <row r="19" customFormat="false" ht="15" hidden="false" customHeight="false" outlineLevel="0" collapsed="false">
      <c r="A19" s="0" t="s">
        <v>64</v>
      </c>
      <c r="B19" s="10" t="n">
        <f aca="false">B18/B17</f>
        <v>0.39</v>
      </c>
      <c r="C19" s="10" t="n">
        <f aca="false">C18/C17</f>
        <v>0.4</v>
      </c>
      <c r="D19" s="10" t="n">
        <f aca="false">D18/D17</f>
        <v>0.405</v>
      </c>
      <c r="E19" s="10" t="n">
        <f aca="false">E18/E17</f>
        <v>0.41</v>
      </c>
      <c r="F19" s="10" t="n">
        <f aca="false">F18/F17</f>
        <v>0.415</v>
      </c>
      <c r="G19" s="10" t="n">
        <f aca="false">G18/G17</f>
        <v>0.42</v>
      </c>
      <c r="H19" s="10" t="n">
        <f aca="false">H18/H17</f>
        <v>0.425</v>
      </c>
    </row>
    <row r="21" customFormat="false" ht="15" hidden="false" customHeight="false" outlineLevel="0" collapsed="false">
      <c r="A21" s="0" t="s">
        <v>121</v>
      </c>
      <c r="B21" s="19" t="n">
        <f aca="false">B17*0.165</f>
        <v>21.4995</v>
      </c>
      <c r="C21" s="19" t="n">
        <f aca="false">C17*Assumptions!B15</f>
        <v>24.191</v>
      </c>
      <c r="D21" s="19" t="n">
        <f aca="false">D17*Assumptions!C15</f>
        <v>27.7571</v>
      </c>
      <c r="E21" s="19" t="n">
        <f aca="false">E17*Assumptions!D15</f>
        <v>33.0338775</v>
      </c>
      <c r="F21" s="19" t="n">
        <f aca="false">F17*Assumptions!E15</f>
        <v>39.072952152</v>
      </c>
      <c r="G21" s="19" t="n">
        <f aca="false">G17*Assumptions!F15</f>
        <v>44.4621161568</v>
      </c>
      <c r="H21" s="19" t="n">
        <f aca="false">H17*Assumptions!G15</f>
        <v>50.0911332097104</v>
      </c>
    </row>
    <row r="22" customFormat="false" ht="15" hidden="false" customHeight="false" outlineLevel="0" collapsed="false">
      <c r="A22" s="0" t="s">
        <v>66</v>
      </c>
      <c r="B22" s="10" t="n">
        <f aca="false">B21/B17</f>
        <v>0.165</v>
      </c>
      <c r="C22" s="10" t="n">
        <f aca="false">C21/C17</f>
        <v>0.17</v>
      </c>
      <c r="D22" s="10" t="n">
        <f aca="false">D21/D17</f>
        <v>0.175</v>
      </c>
      <c r="E22" s="10" t="n">
        <f aca="false">E21/E17</f>
        <v>0.185</v>
      </c>
      <c r="F22" s="10" t="n">
        <f aca="false">F21/F17</f>
        <v>0.195</v>
      </c>
      <c r="G22" s="10" t="n">
        <f aca="false">G21/G17</f>
        <v>0.2</v>
      </c>
      <c r="H22" s="10" t="n">
        <f aca="false">H21/H17</f>
        <v>0.205</v>
      </c>
    </row>
    <row r="23" customFormat="false" ht="15" hidden="false" customHeight="false" outlineLevel="0" collapsed="false">
      <c r="A23" s="0" t="s">
        <v>122</v>
      </c>
      <c r="B23" s="19" t="n">
        <f aca="false">B17*0.043</f>
        <v>5.6029</v>
      </c>
      <c r="C23" s="19" t="n">
        <f aca="false">C17*Assumptions!B16</f>
        <v>6.1189</v>
      </c>
      <c r="D23" s="19" t="n">
        <f aca="false">D17*Assumptions!C16</f>
        <v>7.9306</v>
      </c>
      <c r="E23" s="19" t="n">
        <f aca="false">E17*Assumptions!D16</f>
        <v>9.8208825</v>
      </c>
      <c r="F23" s="19" t="n">
        <f aca="false">F17*Assumptions!E16</f>
        <v>11.020576248</v>
      </c>
      <c r="G23" s="19" t="n">
        <f aca="false">G17*Assumptions!F16</f>
        <v>11.782460781552</v>
      </c>
      <c r="H23" s="19" t="n">
        <f aca="false">H17*Assumptions!G16</f>
        <v>12.217349563344</v>
      </c>
    </row>
    <row r="24" customFormat="false" ht="15" hidden="false" customHeight="false" outlineLevel="0" collapsed="false">
      <c r="A24" s="0" t="s">
        <v>123</v>
      </c>
      <c r="B24" s="19" t="n">
        <f aca="false">B21-B23</f>
        <v>15.8966</v>
      </c>
      <c r="C24" s="19" t="n">
        <f aca="false">C21-C23</f>
        <v>18.0721</v>
      </c>
      <c r="D24" s="19" t="n">
        <f aca="false">D21-D23</f>
        <v>19.8265</v>
      </c>
      <c r="E24" s="19" t="n">
        <f aca="false">E21-E23</f>
        <v>23.212995</v>
      </c>
      <c r="F24" s="19" t="n">
        <f aca="false">F21-F23</f>
        <v>28.052375904</v>
      </c>
      <c r="G24" s="19" t="n">
        <f aca="false">G21-G23</f>
        <v>32.679655375248</v>
      </c>
      <c r="H24" s="19" t="n">
        <f aca="false">H21-H23</f>
        <v>37.8737836463664</v>
      </c>
    </row>
    <row r="25" customFormat="false" ht="15" hidden="false" customHeight="false" outlineLevel="0" collapsed="false">
      <c r="A25" s="0" t="s">
        <v>124</v>
      </c>
      <c r="B25" s="10" t="n">
        <f aca="false">B24/B17</f>
        <v>0.122</v>
      </c>
      <c r="C25" s="10" t="n">
        <f aca="false">C24/C17</f>
        <v>0.127</v>
      </c>
      <c r="D25" s="10" t="n">
        <f aca="false">D24/D17</f>
        <v>0.125</v>
      </c>
      <c r="E25" s="10" t="n">
        <f aca="false">E24/E17</f>
        <v>0.13</v>
      </c>
      <c r="F25" s="10" t="n">
        <f aca="false">F24/F17</f>
        <v>0.14</v>
      </c>
      <c r="G25" s="10" t="n">
        <f aca="false">G24/G17</f>
        <v>0.147</v>
      </c>
      <c r="H25" s="10" t="n">
        <f aca="false">H24/H17</f>
        <v>0.155</v>
      </c>
    </row>
    <row r="27" customFormat="false" ht="15" hidden="false" customHeight="false" outlineLevel="0" collapsed="false">
      <c r="A27" s="0" t="s">
        <v>125</v>
      </c>
      <c r="B27" s="19" t="n">
        <f aca="false">B24*0.2</f>
        <v>3.17932</v>
      </c>
      <c r="C27" s="19" t="n">
        <f aca="false">C24*0.2</f>
        <v>3.61442</v>
      </c>
      <c r="D27" s="19" t="n">
        <f aca="false">D24*0.2</f>
        <v>3.9653</v>
      </c>
      <c r="E27" s="19" t="n">
        <f aca="false">E24*0.2</f>
        <v>4.642599</v>
      </c>
      <c r="F27" s="19" t="n">
        <f aca="false">F24*0.2</f>
        <v>5.6104751808</v>
      </c>
      <c r="G27" s="19" t="n">
        <f aca="false">G24*0.2</f>
        <v>6.5359310750496</v>
      </c>
      <c r="H27" s="19" t="n">
        <f aca="false">H24*0.2</f>
        <v>7.57475672927328</v>
      </c>
    </row>
    <row r="28" customFormat="false" ht="15" hidden="false" customHeight="false" outlineLevel="0" collapsed="false">
      <c r="A28" s="0" t="s">
        <v>126</v>
      </c>
      <c r="B28" s="19" t="n">
        <f aca="false">B24-B27</f>
        <v>12.71728</v>
      </c>
      <c r="C28" s="19" t="n">
        <f aca="false">C24-C27</f>
        <v>14.45768</v>
      </c>
      <c r="D28" s="19" t="n">
        <f aca="false">D24-D27</f>
        <v>15.8612</v>
      </c>
      <c r="E28" s="19" t="n">
        <f aca="false">E24-E27</f>
        <v>18.570396</v>
      </c>
      <c r="F28" s="19" t="n">
        <f aca="false">F24-F27</f>
        <v>22.4419007232</v>
      </c>
      <c r="G28" s="19" t="n">
        <f aca="false">G24-G27</f>
        <v>26.1437243001984</v>
      </c>
      <c r="H28" s="19" t="n">
        <f aca="false">H24-H27</f>
        <v>30.2990269170931</v>
      </c>
    </row>
    <row r="31" customFormat="false" ht="15" hidden="false" customHeight="false" outlineLevel="0" collapsed="false">
      <c r="A31" s="4" t="s">
        <v>127</v>
      </c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5" t="s">
        <v>118</v>
      </c>
      <c r="B32" s="5" t="s">
        <v>108</v>
      </c>
      <c r="C32" s="5" t="s">
        <v>46</v>
      </c>
      <c r="D32" s="5" t="s">
        <v>47</v>
      </c>
      <c r="E32" s="5" t="s">
        <v>48</v>
      </c>
      <c r="F32" s="5" t="s">
        <v>49</v>
      </c>
      <c r="G32" s="5" t="s">
        <v>50</v>
      </c>
      <c r="H32" s="5" t="s">
        <v>51</v>
      </c>
      <c r="I32" s="5"/>
    </row>
    <row r="33" customFormat="false" ht="15" hidden="false" customHeight="false" outlineLevel="0" collapsed="false">
      <c r="A33" s="0" t="s">
        <v>126</v>
      </c>
      <c r="B33" s="19" t="n">
        <f aca="false">B28</f>
        <v>12.71728</v>
      </c>
      <c r="C33" s="19" t="n">
        <f aca="false">C28</f>
        <v>14.45768</v>
      </c>
      <c r="D33" s="19" t="n">
        <f aca="false">D28</f>
        <v>15.8612</v>
      </c>
      <c r="E33" s="19" t="n">
        <f aca="false">E28</f>
        <v>18.570396</v>
      </c>
      <c r="F33" s="19" t="n">
        <f aca="false">F28</f>
        <v>22.4419007232</v>
      </c>
      <c r="G33" s="19" t="n">
        <f aca="false">G28</f>
        <v>26.1437243001984</v>
      </c>
      <c r="H33" s="19" t="n">
        <f aca="false">H28</f>
        <v>30.2990269170931</v>
      </c>
    </row>
    <row r="34" customFormat="false" ht="15" hidden="false" customHeight="false" outlineLevel="0" collapsed="false">
      <c r="A34" s="0" t="s">
        <v>128</v>
      </c>
      <c r="B34" s="19" t="n">
        <f aca="false">B23</f>
        <v>5.6029</v>
      </c>
      <c r="C34" s="19" t="n">
        <f aca="false">C23</f>
        <v>6.1189</v>
      </c>
      <c r="D34" s="19" t="n">
        <f aca="false">D23</f>
        <v>7.9306</v>
      </c>
      <c r="E34" s="19" t="n">
        <f aca="false">E23</f>
        <v>9.8208825</v>
      </c>
      <c r="F34" s="19" t="n">
        <f aca="false">F23</f>
        <v>11.020576248</v>
      </c>
      <c r="G34" s="19" t="n">
        <f aca="false">G23</f>
        <v>11.782460781552</v>
      </c>
      <c r="H34" s="19" t="n">
        <f aca="false">H23</f>
        <v>12.217349563344</v>
      </c>
    </row>
    <row r="35" customFormat="false" ht="15" hidden="false" customHeight="false" outlineLevel="0" collapsed="false">
      <c r="A35" s="0" t="s">
        <v>129</v>
      </c>
      <c r="B35" s="19" t="n">
        <f aca="false">-B17*0.05</f>
        <v>-6.515</v>
      </c>
      <c r="C35" s="19" t="n">
        <f aca="false">-C17*Assumptions!B18</f>
        <v>-7.115</v>
      </c>
      <c r="D35" s="19" t="n">
        <f aca="false">-D17*Assumptions!C18</f>
        <v>-12.68896</v>
      </c>
      <c r="E35" s="19" t="n">
        <f aca="false">-E17*Assumptions!D18</f>
        <v>-17.85615</v>
      </c>
      <c r="F35" s="19" t="n">
        <f aca="false">-F17*Assumptions!E18</f>
        <v>-18.033670224</v>
      </c>
      <c r="G35" s="19" t="n">
        <f aca="false">-G17*Assumptions!F18</f>
        <v>-17.78484646272</v>
      </c>
      <c r="H35" s="19" t="n">
        <f aca="false">-H17*Assumptions!G18</f>
        <v>-14.6608194760128</v>
      </c>
    </row>
    <row r="36" customFormat="false" ht="15" hidden="false" customHeight="false" outlineLevel="0" collapsed="false">
      <c r="A36" s="0" t="s">
        <v>130</v>
      </c>
      <c r="B36" s="19" t="n">
        <f aca="false">-1.5</f>
        <v>-1.5</v>
      </c>
      <c r="C36" s="19" t="n">
        <f aca="false">-(C17-B17)*0.02</f>
        <v>-0.24</v>
      </c>
      <c r="D36" s="19" t="n">
        <f aca="false">-(D17-C17)*0.02</f>
        <v>-0.32624</v>
      </c>
      <c r="E36" s="19" t="n">
        <f aca="false">-(E17-D17)*0.02</f>
        <v>-0.398990000000001</v>
      </c>
      <c r="F36" s="19" t="n">
        <f aca="false">-(F17-E17)*0.02</f>
        <v>-0.436252272</v>
      </c>
      <c r="G36" s="19" t="n">
        <f aca="false">-(G17-F17)*0.02</f>
        <v>-0.43872934368</v>
      </c>
      <c r="H36" s="19" t="n">
        <f aca="false">-(H17-G17)*0.02</f>
        <v>-0.440728209657601</v>
      </c>
    </row>
    <row r="37" customFormat="false" ht="15" hidden="false" customHeight="false" outlineLevel="0" collapsed="false">
      <c r="A37" s="20" t="s">
        <v>131</v>
      </c>
      <c r="B37" s="21" t="n">
        <f aca="false">B33+B34+B35+B36</f>
        <v>10.30518</v>
      </c>
      <c r="C37" s="21" t="n">
        <f aca="false">C33+C34+C35+C36</f>
        <v>13.22158</v>
      </c>
      <c r="D37" s="21" t="n">
        <f aca="false">D33+D34+D35+D36</f>
        <v>10.7766</v>
      </c>
      <c r="E37" s="21" t="n">
        <f aca="false">E33+E34+E35+E36</f>
        <v>10.1361385</v>
      </c>
      <c r="F37" s="21" t="n">
        <f aca="false">F33+F34+F35+F36</f>
        <v>14.9925544752</v>
      </c>
      <c r="G37" s="21" t="n">
        <f aca="false">G33+G34+G35+G36</f>
        <v>19.7026092753504</v>
      </c>
      <c r="H37" s="21" t="n">
        <f aca="false">H33+H34+H35+H36</f>
        <v>27.4148287947667</v>
      </c>
      <c r="I37" s="20"/>
    </row>
    <row r="38" customFormat="false" ht="15" hidden="false" customHeight="false" outlineLevel="0" collapsed="false">
      <c r="A38" s="0" t="s">
        <v>132</v>
      </c>
      <c r="B38" s="10" t="n">
        <f aca="false">B37/B17</f>
        <v>0.0790881043745203</v>
      </c>
      <c r="C38" s="10" t="n">
        <f aca="false">C37/C17</f>
        <v>0.0929134223471539</v>
      </c>
      <c r="D38" s="10" t="n">
        <f aca="false">D37/D17</f>
        <v>0.0679431568859859</v>
      </c>
      <c r="E38" s="10" t="n">
        <f aca="false">E37/E17</f>
        <v>0.056765531763566</v>
      </c>
      <c r="F38" s="10" t="n">
        <f aca="false">F37/F17</f>
        <v>0.0748228112196625</v>
      </c>
      <c r="G38" s="10" t="n">
        <f aca="false">G37/G17</f>
        <v>0.0886265026426868</v>
      </c>
      <c r="H38" s="10" t="n">
        <f aca="false">H37/H17</f>
        <v>0.112196301876391</v>
      </c>
    </row>
  </sheetData>
  <mergeCells count="3">
    <mergeCell ref="A4:I4"/>
    <mergeCell ref="A15:I15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11" t="s">
        <v>133</v>
      </c>
    </row>
    <row r="3" customFormat="false" ht="15" hidden="false" customHeight="false" outlineLevel="0" collapsed="false">
      <c r="A3" s="4" t="s">
        <v>134</v>
      </c>
      <c r="B3" s="4"/>
      <c r="C3" s="4"/>
    </row>
    <row r="4" customFormat="false" ht="15" hidden="false" customHeight="false" outlineLevel="0" collapsed="false">
      <c r="A4" s="5" t="s">
        <v>100</v>
      </c>
      <c r="B4" s="5" t="s">
        <v>5</v>
      </c>
      <c r="C4" s="5" t="s">
        <v>77</v>
      </c>
    </row>
    <row r="5" customFormat="false" ht="15" hidden="false" customHeight="false" outlineLevel="0" collapsed="false">
      <c r="A5" s="0" t="s">
        <v>98</v>
      </c>
      <c r="B5" s="14" t="n">
        <f aca="false">Assumptions!B39</f>
        <v>0.104140283687943</v>
      </c>
      <c r="C5" s="7" t="s">
        <v>135</v>
      </c>
    </row>
    <row r="6" customFormat="false" ht="15" hidden="false" customHeight="false" outlineLevel="0" collapsed="false">
      <c r="A6" s="0" t="s">
        <v>101</v>
      </c>
      <c r="B6" s="14" t="n">
        <f aca="false">Assumptions!B44</f>
        <v>0.03</v>
      </c>
      <c r="C6" s="7" t="s">
        <v>136</v>
      </c>
    </row>
    <row r="7" customFormat="false" ht="15" hidden="false" customHeight="false" outlineLevel="0" collapsed="false">
      <c r="A7" s="0" t="s">
        <v>137</v>
      </c>
      <c r="B7" s="23" t="n">
        <f aca="false">Assumptions!B45</f>
        <v>12</v>
      </c>
      <c r="C7" s="7" t="s">
        <v>138</v>
      </c>
    </row>
    <row r="8" customFormat="false" ht="15" hidden="false" customHeight="false" outlineLevel="0" collapsed="false">
      <c r="A8" s="0" t="s">
        <v>9</v>
      </c>
      <c r="B8" s="8" t="n">
        <f aca="false">Summary!B8</f>
        <v>2.39</v>
      </c>
    </row>
    <row r="9" customFormat="false" ht="15" hidden="false" customHeight="false" outlineLevel="0" collapsed="false">
      <c r="A9" s="0" t="s">
        <v>17</v>
      </c>
      <c r="B9" s="8" t="n">
        <f aca="false">Summary!B13</f>
        <v>-19.1</v>
      </c>
    </row>
    <row r="12" customFormat="false" ht="15" hidden="false" customHeight="false" outlineLevel="0" collapsed="false">
      <c r="A12" s="4" t="s">
        <v>139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5"/>
      <c r="B13" s="5" t="s">
        <v>47</v>
      </c>
      <c r="C13" s="5" t="s">
        <v>48</v>
      </c>
      <c r="D13" s="5" t="s">
        <v>49</v>
      </c>
      <c r="E13" s="5" t="s">
        <v>50</v>
      </c>
      <c r="F13" s="5" t="s">
        <v>51</v>
      </c>
      <c r="G13" s="5" t="s">
        <v>140</v>
      </c>
      <c r="H13" s="5"/>
    </row>
    <row r="14" customFormat="false" ht="15" hidden="false" customHeight="false" outlineLevel="0" collapsed="false">
      <c r="A14" s="0" t="s">
        <v>141</v>
      </c>
      <c r="B14" s="24" t="n">
        <v>1</v>
      </c>
      <c r="C14" s="24" t="n">
        <v>2</v>
      </c>
      <c r="D14" s="24" t="n">
        <v>3</v>
      </c>
      <c r="E14" s="24" t="n">
        <v>4</v>
      </c>
      <c r="F14" s="24" t="n">
        <v>5</v>
      </c>
    </row>
    <row r="15" customFormat="false" ht="15" hidden="false" customHeight="false" outlineLevel="0" collapsed="false">
      <c r="A15" s="0" t="s">
        <v>131</v>
      </c>
      <c r="B15" s="19" t="n">
        <f aca="false">Financials!D37</f>
        <v>10.7766</v>
      </c>
      <c r="C15" s="19" t="n">
        <f aca="false">Financials!E37</f>
        <v>10.1361385</v>
      </c>
      <c r="D15" s="19" t="n">
        <f aca="false">Financials!F37</f>
        <v>14.9925544752</v>
      </c>
      <c r="E15" s="19" t="n">
        <f aca="false">Financials!G37</f>
        <v>19.7026092753504</v>
      </c>
      <c r="F15" s="19" t="n">
        <f aca="false">Financials!H37</f>
        <v>27.4148287947667</v>
      </c>
    </row>
    <row r="16" customFormat="false" ht="15" hidden="false" customHeight="false" outlineLevel="0" collapsed="false">
      <c r="A16" s="0" t="s">
        <v>142</v>
      </c>
      <c r="F16" s="19" t="n">
        <f aca="false">Financials!H21</f>
        <v>50.0911332097104</v>
      </c>
      <c r="H16" s="7" t="s">
        <v>143</v>
      </c>
    </row>
    <row r="17" customFormat="false" ht="15" hidden="false" customHeight="false" outlineLevel="0" collapsed="false">
      <c r="A17" s="0" t="s">
        <v>144</v>
      </c>
      <c r="G17" s="19" t="n">
        <f aca="false">F15*(1+$B$6)/($B$5-$B$6)</f>
        <v>380.86276790443</v>
      </c>
      <c r="H17" s="7" t="s">
        <v>145</v>
      </c>
    </row>
    <row r="18" customFormat="false" ht="15" hidden="false" customHeight="false" outlineLevel="0" collapsed="false">
      <c r="A18" s="0" t="s">
        <v>146</v>
      </c>
      <c r="G18" s="19" t="n">
        <f aca="false">F16*$B$7</f>
        <v>601.093598516525</v>
      </c>
      <c r="H18" s="7" t="s">
        <v>147</v>
      </c>
    </row>
    <row r="19" customFormat="false" ht="15" hidden="false" customHeight="false" outlineLevel="0" collapsed="false">
      <c r="A19" s="0" t="s">
        <v>148</v>
      </c>
      <c r="G19" s="19" t="n">
        <f aca="false">(G17+G18)/2</f>
        <v>490.978183210477</v>
      </c>
      <c r="H19" s="7" t="s">
        <v>149</v>
      </c>
    </row>
    <row r="21" customFormat="false" ht="15" hidden="false" customHeight="false" outlineLevel="0" collapsed="false">
      <c r="A21" s="0" t="s">
        <v>150</v>
      </c>
      <c r="B21" s="25" t="n">
        <f aca="false">1/(1+$B$5)^B14</f>
        <v>0.905682017741347</v>
      </c>
      <c r="C21" s="25" t="n">
        <f aca="false">1/(1+$B$5)^C14</f>
        <v>0.820259917260038</v>
      </c>
      <c r="D21" s="25" t="n">
        <f aca="false">1/(1+$B$5)^D14</f>
        <v>0.742894656936422</v>
      </c>
      <c r="E21" s="25" t="n">
        <f aca="false">1/(1+$B$5)^E14</f>
        <v>0.672826331863444</v>
      </c>
      <c r="F21" s="25" t="n">
        <f aca="false">1/(1+$B$5)^F14</f>
        <v>0.609366709831594</v>
      </c>
      <c r="G21" s="25" t="n">
        <f aca="false">1/(1+$B$5)^5</f>
        <v>0.609366709831594</v>
      </c>
    </row>
    <row r="22" customFormat="false" ht="15" hidden="false" customHeight="false" outlineLevel="0" collapsed="false">
      <c r="A22" s="0" t="s">
        <v>151</v>
      </c>
      <c r="B22" s="19" t="n">
        <f aca="false">B15*B21</f>
        <v>9.7601728323914</v>
      </c>
      <c r="C22" s="19" t="n">
        <f aca="false">C15*C21</f>
        <v>8.31426812734628</v>
      </c>
      <c r="D22" s="19" t="n">
        <f aca="false">D15*D21</f>
        <v>11.1378886134543</v>
      </c>
      <c r="E22" s="19" t="n">
        <f aca="false">E15*E21</f>
        <v>13.2564343268727</v>
      </c>
      <c r="F22" s="19" t="n">
        <f aca="false">F15*F21</f>
        <v>16.7056840232634</v>
      </c>
      <c r="G22" s="19" t="n">
        <f aca="false">G19*G21</f>
        <v>299.185760102062</v>
      </c>
    </row>
    <row r="25" customFormat="false" ht="15" hidden="false" customHeight="false" outlineLevel="0" collapsed="false">
      <c r="A25" s="4" t="s">
        <v>152</v>
      </c>
      <c r="B25" s="4"/>
      <c r="C25" s="4"/>
      <c r="D25" s="4"/>
    </row>
    <row r="26" customFormat="false" ht="15" hidden="false" customHeight="false" outlineLevel="0" collapsed="false">
      <c r="A26" s="5" t="s">
        <v>76</v>
      </c>
      <c r="B26" s="5" t="s">
        <v>153</v>
      </c>
      <c r="C26" s="5" t="s">
        <v>154</v>
      </c>
      <c r="D26" s="5"/>
    </row>
    <row r="27" customFormat="false" ht="15" hidden="false" customHeight="false" outlineLevel="0" collapsed="false">
      <c r="A27" s="0" t="s">
        <v>155</v>
      </c>
      <c r="B27" s="19" t="n">
        <f aca="false">SUM(B22:F22)</f>
        <v>59.1744479233281</v>
      </c>
      <c r="C27" s="9" t="n">
        <f aca="false">B27/$B$8</f>
        <v>24.759183231518</v>
      </c>
    </row>
    <row r="28" customFormat="false" ht="15" hidden="false" customHeight="false" outlineLevel="0" collapsed="false">
      <c r="A28" s="0" t="s">
        <v>156</v>
      </c>
      <c r="B28" s="19" t="n">
        <f aca="false">G22</f>
        <v>299.185760102062</v>
      </c>
      <c r="C28" s="9" t="n">
        <f aca="false">B28/$B$8</f>
        <v>125.182326402536</v>
      </c>
    </row>
    <row r="29" customFormat="false" ht="15" hidden="false" customHeight="false" outlineLevel="0" collapsed="false">
      <c r="A29" s="20" t="s">
        <v>157</v>
      </c>
      <c r="B29" s="21" t="n">
        <f aca="false">B27+B28</f>
        <v>358.36020802539</v>
      </c>
      <c r="C29" s="26" t="n">
        <f aca="false">B29/$B$8</f>
        <v>149.941509634054</v>
      </c>
      <c r="D29" s="20"/>
    </row>
    <row r="30" customFormat="false" ht="15" hidden="false" customHeight="false" outlineLevel="0" collapsed="false">
      <c r="A30" s="0" t="s">
        <v>158</v>
      </c>
      <c r="B30" s="19" t="n">
        <f aca="false">$B$9</f>
        <v>-19.1</v>
      </c>
      <c r="C30" s="9" t="n">
        <f aca="false">B30/$B$8</f>
        <v>-7.99163179916318</v>
      </c>
    </row>
    <row r="31" customFormat="false" ht="15" hidden="false" customHeight="false" outlineLevel="0" collapsed="false">
      <c r="A31" s="20" t="s">
        <v>159</v>
      </c>
      <c r="B31" s="21" t="n">
        <f aca="false">B29-B30</f>
        <v>377.46020802539</v>
      </c>
      <c r="C31" s="26" t="n">
        <f aca="false">B31/$B$8</f>
        <v>157.933141433218</v>
      </c>
      <c r="D31" s="20"/>
    </row>
    <row r="33" customFormat="false" ht="15" hidden="false" customHeight="false" outlineLevel="0" collapsed="false">
      <c r="A33" s="20" t="s">
        <v>20</v>
      </c>
      <c r="B33" s="21" t="n">
        <f aca="false">C31</f>
        <v>157.933141433218</v>
      </c>
      <c r="C33" s="20"/>
      <c r="D33" s="20"/>
    </row>
    <row r="34" customFormat="false" ht="15" hidden="false" customHeight="false" outlineLevel="0" collapsed="false">
      <c r="A34" s="0" t="s">
        <v>160</v>
      </c>
      <c r="B34" s="19" t="n">
        <f aca="false">Summary!B7</f>
        <v>158</v>
      </c>
    </row>
    <row r="35" customFormat="false" ht="15" hidden="false" customHeight="false" outlineLevel="0" collapsed="false">
      <c r="A35" s="0" t="s">
        <v>161</v>
      </c>
      <c r="B35" s="10" t="n">
        <f aca="false">(B33-B34)/B34</f>
        <v>-0.00042315548596456</v>
      </c>
    </row>
    <row r="38" customFormat="false" ht="15" hidden="false" customHeight="false" outlineLevel="0" collapsed="false">
      <c r="A38" s="4" t="s">
        <v>162</v>
      </c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5" t="s">
        <v>19</v>
      </c>
      <c r="B39" s="5" t="s">
        <v>98</v>
      </c>
      <c r="C39" s="5" t="s">
        <v>163</v>
      </c>
      <c r="D39" s="5" t="s">
        <v>164</v>
      </c>
      <c r="E39" s="5" t="s">
        <v>165</v>
      </c>
      <c r="F39" s="5" t="s">
        <v>166</v>
      </c>
      <c r="G39" s="5" t="s">
        <v>167</v>
      </c>
    </row>
    <row r="40" customFormat="false" ht="15" hidden="false" customHeight="false" outlineLevel="0" collapsed="false">
      <c r="A40" s="0" t="s">
        <v>22</v>
      </c>
      <c r="B40" s="14" t="n">
        <f aca="false">B5</f>
        <v>0.104140283687943</v>
      </c>
      <c r="C40" s="14" t="n">
        <f aca="false">B6</f>
        <v>0.03</v>
      </c>
      <c r="D40" s="23" t="n">
        <f aca="false">B7</f>
        <v>12</v>
      </c>
      <c r="E40" s="19" t="n">
        <f aca="false">B29</f>
        <v>358.36020802539</v>
      </c>
      <c r="F40" s="19" t="n">
        <f aca="false">B31</f>
        <v>377.46020802539</v>
      </c>
      <c r="G40" s="9" t="n">
        <f aca="false">B33</f>
        <v>157.933141433218</v>
      </c>
    </row>
    <row r="41" customFormat="false" ht="15" hidden="false" customHeight="false" outlineLevel="0" collapsed="false">
      <c r="A41" s="0" t="s">
        <v>23</v>
      </c>
      <c r="B41" s="13" t="n">
        <v>0.07</v>
      </c>
      <c r="C41" s="13" t="n">
        <v>0.035</v>
      </c>
      <c r="D41" s="18" t="n">
        <v>14</v>
      </c>
      <c r="E41" s="19" t="n">
        <f aca="false">SUM(B22:F22)*1.1+G22*1.15</f>
        <v>409.155516833032</v>
      </c>
      <c r="F41" s="19" t="n">
        <f aca="false">E41-$B$9</f>
        <v>428.255516833032</v>
      </c>
      <c r="G41" s="9" t="n">
        <f aca="false">F41/$B$8</f>
        <v>179.18640871675</v>
      </c>
    </row>
    <row r="42" customFormat="false" ht="15" hidden="false" customHeight="false" outlineLevel="0" collapsed="false">
      <c r="A42" s="0" t="s">
        <v>24</v>
      </c>
      <c r="B42" s="13" t="n">
        <v>0.095</v>
      </c>
      <c r="C42" s="13" t="n">
        <v>0.02</v>
      </c>
      <c r="D42" s="18" t="n">
        <v>10</v>
      </c>
      <c r="E42" s="19" t="n">
        <f aca="false">SUM(B22:F22)*0.9+G22*0.85</f>
        <v>307.564899217748</v>
      </c>
      <c r="F42" s="19" t="n">
        <f aca="false">E42-$B$9</f>
        <v>326.664899217748</v>
      </c>
      <c r="G42" s="9" t="n">
        <f aca="false">F42/$B$8</f>
        <v>136.679874149685</v>
      </c>
    </row>
  </sheetData>
  <mergeCells count="4">
    <mergeCell ref="A3:C3"/>
    <mergeCell ref="A12:H12"/>
    <mergeCell ref="A25:D25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2"/>
  </cols>
  <sheetData>
    <row r="1" customFormat="false" ht="19.7" hidden="false" customHeight="false" outlineLevel="0" collapsed="false">
      <c r="A1" s="11" t="s">
        <v>168</v>
      </c>
    </row>
    <row r="2" customFormat="false" ht="15" hidden="false" customHeight="false" outlineLevel="0" collapsed="false">
      <c r="A2" s="3" t="s">
        <v>169</v>
      </c>
    </row>
    <row r="4" customFormat="false" ht="15" hidden="false" customHeight="false" outlineLevel="0" collapsed="false">
      <c r="A4" s="4" t="s">
        <v>170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0" t="s">
        <v>171</v>
      </c>
      <c r="B5" s="12" t="n">
        <v>0.02</v>
      </c>
      <c r="C5" s="12" t="n">
        <v>0.025</v>
      </c>
      <c r="D5" s="12" t="n">
        <v>0.03</v>
      </c>
      <c r="E5" s="12" t="n">
        <v>0.035</v>
      </c>
      <c r="F5" s="12" t="n">
        <v>0.04</v>
      </c>
    </row>
    <row r="6" customFormat="false" ht="15" hidden="false" customHeight="false" outlineLevel="0" collapsed="false">
      <c r="A6" s="12" t="n">
        <v>0.065</v>
      </c>
      <c r="B6" s="27" t="n">
        <v>150.77</v>
      </c>
      <c r="C6" s="27" t="n">
        <v>166.13</v>
      </c>
      <c r="D6" s="27" t="n">
        <v>185.88</v>
      </c>
      <c r="E6" s="27" t="n">
        <v>212.21</v>
      </c>
      <c r="F6" s="27" t="n">
        <v>249.07</v>
      </c>
    </row>
    <row r="7" customFormat="false" ht="15" hidden="false" customHeight="false" outlineLevel="0" collapsed="false">
      <c r="A7" s="12" t="n">
        <v>0.07</v>
      </c>
      <c r="B7" s="27" t="n">
        <v>136.55</v>
      </c>
      <c r="C7" s="27" t="n">
        <v>148.61</v>
      </c>
      <c r="D7" s="27" t="n">
        <v>163.69</v>
      </c>
      <c r="E7" s="27" t="n">
        <v>183.07</v>
      </c>
      <c r="F7" s="27" t="n">
        <v>208.91</v>
      </c>
    </row>
    <row r="8" customFormat="false" ht="15" hidden="false" customHeight="false" outlineLevel="0" collapsed="false">
      <c r="A8" s="12" t="n">
        <v>0.075</v>
      </c>
      <c r="B8" s="27" t="n">
        <v>124.98</v>
      </c>
      <c r="C8" s="27" t="n">
        <v>134.67</v>
      </c>
      <c r="D8" s="27" t="n">
        <v>146.5</v>
      </c>
      <c r="E8" s="27" t="n">
        <v>161.3</v>
      </c>
      <c r="F8" s="27" t="n">
        <v>180.32</v>
      </c>
    </row>
    <row r="9" customFormat="false" ht="15" hidden="false" customHeight="false" outlineLevel="0" collapsed="false">
      <c r="A9" s="12" t="n">
        <v>0.08</v>
      </c>
      <c r="B9" s="27" t="n">
        <v>115.39</v>
      </c>
      <c r="C9" s="27" t="n">
        <v>123.31</v>
      </c>
      <c r="D9" s="28" t="n">
        <v>132.82</v>
      </c>
      <c r="E9" s="27" t="n">
        <v>144.44</v>
      </c>
      <c r="F9" s="27" t="n">
        <v>158.96</v>
      </c>
    </row>
    <row r="10" customFormat="false" ht="15" hidden="false" customHeight="false" outlineLevel="0" collapsed="false">
      <c r="A10" s="12" t="n">
        <v>0.085</v>
      </c>
      <c r="B10" s="27" t="n">
        <v>107.33</v>
      </c>
      <c r="C10" s="27" t="n">
        <v>113.91</v>
      </c>
      <c r="D10" s="27" t="n">
        <v>121.68</v>
      </c>
      <c r="E10" s="27" t="n">
        <v>131.02</v>
      </c>
      <c r="F10" s="27" t="n">
        <v>142.42</v>
      </c>
    </row>
    <row r="11" customFormat="false" ht="15" hidden="false" customHeight="false" outlineLevel="0" collapsed="false">
      <c r="A11" s="12" t="n">
        <v>0.09</v>
      </c>
      <c r="B11" s="27" t="n">
        <v>100.46</v>
      </c>
      <c r="C11" s="27" t="n">
        <v>106</v>
      </c>
      <c r="D11" s="27" t="n">
        <v>112.46</v>
      </c>
      <c r="E11" s="27" t="n">
        <v>120.09</v>
      </c>
      <c r="F11" s="27" t="n">
        <v>129.25</v>
      </c>
    </row>
    <row r="12" customFormat="false" ht="15" hidden="false" customHeight="false" outlineLevel="0" collapsed="false">
      <c r="A12" s="12" t="n">
        <v>0.095</v>
      </c>
      <c r="B12" s="27" t="n">
        <v>94.55</v>
      </c>
      <c r="C12" s="27" t="n">
        <v>99.26</v>
      </c>
      <c r="D12" s="27" t="n">
        <v>104.69</v>
      </c>
      <c r="E12" s="27" t="n">
        <v>111.04</v>
      </c>
      <c r="F12" s="27" t="n">
        <v>118.53</v>
      </c>
    </row>
    <row r="15" customFormat="false" ht="15" hidden="false" customHeight="false" outlineLevel="0" collapsed="false">
      <c r="A15" s="4" t="s">
        <v>172</v>
      </c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0" t="s">
        <v>173</v>
      </c>
      <c r="B16" s="18" t="n">
        <v>10</v>
      </c>
      <c r="C16" s="18" t="n">
        <v>11</v>
      </c>
      <c r="D16" s="18" t="n">
        <v>12</v>
      </c>
      <c r="E16" s="18" t="n">
        <v>13</v>
      </c>
      <c r="F16" s="18" t="n">
        <v>14</v>
      </c>
    </row>
    <row r="17" customFormat="false" ht="15" hidden="false" customHeight="false" outlineLevel="0" collapsed="false">
      <c r="A17" s="12" t="n">
        <v>0.065</v>
      </c>
      <c r="B17" s="27" t="n">
        <v>139.98</v>
      </c>
      <c r="C17" s="27" t="n">
        <v>150.67</v>
      </c>
      <c r="D17" s="27" t="n">
        <v>161.36</v>
      </c>
      <c r="E17" s="27" t="n">
        <v>172.05</v>
      </c>
      <c r="F17" s="27" t="n">
        <v>182.74</v>
      </c>
    </row>
    <row r="18" customFormat="false" ht="15" hidden="false" customHeight="false" outlineLevel="0" collapsed="false">
      <c r="A18" s="12" t="n">
        <v>0.07</v>
      </c>
      <c r="B18" s="27" t="n">
        <v>137.51</v>
      </c>
      <c r="C18" s="27" t="n">
        <v>147.95</v>
      </c>
      <c r="D18" s="27" t="n">
        <v>158.39</v>
      </c>
      <c r="E18" s="27" t="n">
        <v>168.83</v>
      </c>
      <c r="F18" s="27" t="n">
        <v>179.27</v>
      </c>
    </row>
    <row r="19" customFormat="false" ht="15" hidden="false" customHeight="false" outlineLevel="0" collapsed="false">
      <c r="A19" s="12" t="n">
        <v>0.075</v>
      </c>
      <c r="B19" s="27" t="n">
        <v>135.1</v>
      </c>
      <c r="C19" s="27" t="n">
        <v>145.3</v>
      </c>
      <c r="D19" s="27" t="n">
        <v>155.5</v>
      </c>
      <c r="E19" s="27" t="n">
        <v>165.7</v>
      </c>
      <c r="F19" s="27" t="n">
        <v>175.91</v>
      </c>
    </row>
    <row r="20" customFormat="false" ht="15" hidden="false" customHeight="false" outlineLevel="0" collapsed="false">
      <c r="A20" s="12" t="n">
        <v>0.08</v>
      </c>
      <c r="B20" s="27" t="n">
        <v>132.76</v>
      </c>
      <c r="C20" s="27" t="n">
        <v>142.73</v>
      </c>
      <c r="D20" s="28" t="n">
        <v>152.7</v>
      </c>
      <c r="E20" s="27" t="n">
        <v>162.66</v>
      </c>
      <c r="F20" s="27" t="n">
        <v>172.63</v>
      </c>
    </row>
    <row r="21" customFormat="false" ht="15" hidden="false" customHeight="false" outlineLevel="0" collapsed="false">
      <c r="A21" s="12" t="n">
        <v>0.085</v>
      </c>
      <c r="B21" s="27" t="n">
        <v>130.49</v>
      </c>
      <c r="C21" s="27" t="n">
        <v>140.23</v>
      </c>
      <c r="D21" s="27" t="n">
        <v>149.97</v>
      </c>
      <c r="E21" s="27" t="n">
        <v>159.71</v>
      </c>
      <c r="F21" s="27" t="n">
        <v>169.44</v>
      </c>
    </row>
    <row r="22" customFormat="false" ht="15" hidden="false" customHeight="false" outlineLevel="0" collapsed="false">
      <c r="A22" s="12" t="n">
        <v>0.09</v>
      </c>
      <c r="B22" s="27" t="n">
        <v>128.27</v>
      </c>
      <c r="C22" s="27" t="n">
        <v>137.79</v>
      </c>
      <c r="D22" s="27" t="n">
        <v>147.31</v>
      </c>
      <c r="E22" s="27" t="n">
        <v>156.83</v>
      </c>
      <c r="F22" s="27" t="n">
        <v>166.35</v>
      </c>
    </row>
    <row r="23" customFormat="false" ht="15" hidden="false" customHeight="false" outlineLevel="0" collapsed="false">
      <c r="A23" s="12" t="n">
        <v>0.095</v>
      </c>
      <c r="B23" s="27" t="n">
        <v>126.12</v>
      </c>
      <c r="C23" s="27" t="n">
        <v>135.42</v>
      </c>
      <c r="D23" s="27" t="n">
        <v>144.73</v>
      </c>
      <c r="E23" s="27" t="n">
        <v>154.03</v>
      </c>
      <c r="F23" s="27" t="n">
        <v>163.33</v>
      </c>
    </row>
  </sheetData>
  <mergeCells count="2">
    <mergeCell ref="A4:G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2"/>
  </cols>
  <sheetData>
    <row r="1" customFormat="false" ht="19.7" hidden="false" customHeight="false" outlineLevel="0" collapsed="false">
      <c r="A1" s="11" t="s">
        <v>174</v>
      </c>
    </row>
    <row r="2" customFormat="false" ht="15" hidden="false" customHeight="false" outlineLevel="0" collapsed="false">
      <c r="A2" s="3" t="s">
        <v>175</v>
      </c>
    </row>
    <row r="4" customFormat="false" ht="15" hidden="false" customHeight="false" outlineLevel="0" collapsed="false">
      <c r="A4" s="4" t="s">
        <v>176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5" t="s">
        <v>177</v>
      </c>
      <c r="B5" s="5" t="s">
        <v>178</v>
      </c>
      <c r="C5" s="5" t="s">
        <v>179</v>
      </c>
      <c r="D5" s="5" t="s">
        <v>180</v>
      </c>
      <c r="E5" s="5" t="s">
        <v>181</v>
      </c>
      <c r="F5" s="5" t="s">
        <v>182</v>
      </c>
      <c r="G5" s="5" t="s">
        <v>147</v>
      </c>
      <c r="H5" s="5" t="s">
        <v>183</v>
      </c>
      <c r="I5" s="5" t="s">
        <v>184</v>
      </c>
      <c r="J5" s="5" t="s">
        <v>185</v>
      </c>
    </row>
    <row r="6" customFormat="false" ht="15" hidden="false" customHeight="false" outlineLevel="0" collapsed="false">
      <c r="A6" s="0" t="s">
        <v>186</v>
      </c>
      <c r="B6" s="0" t="s">
        <v>187</v>
      </c>
      <c r="C6" s="29" t="n">
        <v>378</v>
      </c>
      <c r="D6" s="29" t="n">
        <v>359</v>
      </c>
      <c r="E6" s="29" t="n">
        <v>142</v>
      </c>
      <c r="F6" s="23" t="n">
        <f aca="false">D6/E6</f>
        <v>2.52816901408451</v>
      </c>
      <c r="G6" s="23" t="n">
        <f aca="false">D6/24</f>
        <v>14.9583333333333</v>
      </c>
      <c r="H6" s="18" t="n">
        <v>21.5</v>
      </c>
      <c r="I6" s="12" t="n">
        <v>0.06</v>
      </c>
      <c r="J6" s="12" t="n">
        <v>0.17</v>
      </c>
    </row>
    <row r="7" customFormat="false" ht="15" hidden="false" customHeight="false" outlineLevel="0" collapsed="false">
      <c r="A7" s="0" t="s">
        <v>188</v>
      </c>
      <c r="B7" s="0" t="s">
        <v>189</v>
      </c>
      <c r="C7" s="29" t="n">
        <v>2100</v>
      </c>
      <c r="D7" s="29" t="n">
        <v>2150</v>
      </c>
      <c r="E7" s="29" t="n">
        <v>620</v>
      </c>
      <c r="F7" s="23" t="n">
        <f aca="false">D7/E7</f>
        <v>3.46774193548387</v>
      </c>
      <c r="G7" s="23" t="n">
        <f aca="false">D7/95</f>
        <v>22.6315789473684</v>
      </c>
      <c r="H7" s="18" t="n">
        <v>42</v>
      </c>
      <c r="I7" s="12" t="n">
        <v>0.11</v>
      </c>
      <c r="J7" s="12" t="n">
        <v>0.15</v>
      </c>
    </row>
    <row r="8" customFormat="false" ht="15" hidden="false" customHeight="false" outlineLevel="0" collapsed="false">
      <c r="A8" s="0" t="s">
        <v>190</v>
      </c>
      <c r="B8" s="0" t="s">
        <v>191</v>
      </c>
      <c r="C8" s="29" t="n">
        <v>55</v>
      </c>
      <c r="D8" s="29" t="n">
        <v>42</v>
      </c>
      <c r="E8" s="29" t="n">
        <v>158</v>
      </c>
      <c r="F8" s="23" t="n">
        <f aca="false">D8/E8</f>
        <v>0.265822784810127</v>
      </c>
      <c r="G8" s="23" t="n">
        <f aca="false">D8/5.2</f>
        <v>8.07692307692308</v>
      </c>
      <c r="H8" s="18" t="n">
        <v>12.5</v>
      </c>
      <c r="I8" s="12" t="n">
        <v>0.05</v>
      </c>
      <c r="J8" s="12" t="n">
        <v>0.033</v>
      </c>
    </row>
    <row r="9" customFormat="false" ht="15" hidden="false" customHeight="false" outlineLevel="0" collapsed="false">
      <c r="A9" s="0" t="s">
        <v>192</v>
      </c>
      <c r="B9" s="0" t="s">
        <v>193</v>
      </c>
      <c r="C9" s="29" t="n">
        <v>145</v>
      </c>
      <c r="D9" s="29" t="n">
        <v>105</v>
      </c>
      <c r="E9" s="29" t="n">
        <v>55</v>
      </c>
      <c r="F9" s="23" t="n">
        <f aca="false">D9/E9</f>
        <v>1.90909090909091</v>
      </c>
      <c r="G9" s="23" t="n">
        <f aca="false">D9/15</f>
        <v>7</v>
      </c>
      <c r="H9" s="18" t="n">
        <v>9.5</v>
      </c>
      <c r="I9" s="12" t="n">
        <v>0.45</v>
      </c>
      <c r="J9" s="12" t="n">
        <v>0.27</v>
      </c>
    </row>
    <row r="10" customFormat="false" ht="15" hidden="false" customHeight="false" outlineLevel="0" collapsed="false">
      <c r="A10" s="0" t="s">
        <v>194</v>
      </c>
      <c r="B10" s="0" t="s">
        <v>195</v>
      </c>
      <c r="C10" s="29" t="n">
        <v>105</v>
      </c>
      <c r="D10" s="29" t="n">
        <v>100</v>
      </c>
      <c r="E10" s="29" t="n">
        <v>18</v>
      </c>
      <c r="F10" s="23" t="n">
        <f aca="false">D10/E10</f>
        <v>5.55555555555556</v>
      </c>
      <c r="G10" s="23" t="n">
        <f aca="false">D10/3.2</f>
        <v>31.25</v>
      </c>
      <c r="H10" s="18" t="n">
        <v>55</v>
      </c>
      <c r="I10" s="12" t="n">
        <v>0.35</v>
      </c>
      <c r="J10" s="12" t="n">
        <v>0.18</v>
      </c>
    </row>
    <row r="11" customFormat="false" ht="15" hidden="false" customHeight="false" outlineLevel="0" collapsed="false">
      <c r="A11" s="0" t="s">
        <v>196</v>
      </c>
      <c r="B11" s="0" t="s">
        <v>197</v>
      </c>
      <c r="C11" s="29" t="n">
        <v>60</v>
      </c>
      <c r="D11" s="29" t="n">
        <v>55</v>
      </c>
      <c r="E11" s="29" t="n">
        <v>16</v>
      </c>
      <c r="F11" s="23" t="n">
        <f aca="false">D11/E11</f>
        <v>3.4375</v>
      </c>
      <c r="G11" s="23" t="n">
        <f aca="false">D11/2.1</f>
        <v>26.1904761904762</v>
      </c>
      <c r="H11" s="18" t="n">
        <v>35</v>
      </c>
      <c r="I11" s="12" t="n">
        <v>0.22</v>
      </c>
      <c r="J11" s="12" t="n">
        <v>0.13</v>
      </c>
    </row>
    <row r="13" customFormat="false" ht="15" hidden="false" customHeight="false" outlineLevel="0" collapsed="false">
      <c r="A13" s="0" t="s">
        <v>198</v>
      </c>
    </row>
    <row r="14" customFormat="false" ht="15" hidden="false" customHeight="false" outlineLevel="0" collapsed="false">
      <c r="A14" s="0" t="s">
        <v>199</v>
      </c>
      <c r="B14" s="0" t="s">
        <v>200</v>
      </c>
      <c r="C14" s="29" t="n">
        <v>3100</v>
      </c>
      <c r="D14" s="29" t="n">
        <v>3050</v>
      </c>
      <c r="E14" s="29" t="n">
        <v>245</v>
      </c>
      <c r="F14" s="23" t="n">
        <f aca="false">D14/E14</f>
        <v>12.4489795918367</v>
      </c>
      <c r="G14" s="23" t="n">
        <f aca="false">D14/125</f>
        <v>24.4</v>
      </c>
      <c r="H14" s="18" t="n">
        <v>35</v>
      </c>
      <c r="I14" s="12" t="n">
        <v>0.15</v>
      </c>
      <c r="J14" s="12" t="n">
        <v>0.51</v>
      </c>
    </row>
    <row r="15" customFormat="false" ht="15" hidden="false" customHeight="false" outlineLevel="0" collapsed="false">
      <c r="A15" s="0" t="s">
        <v>201</v>
      </c>
      <c r="B15" s="0" t="s">
        <v>202</v>
      </c>
      <c r="C15" s="29" t="n">
        <v>2200</v>
      </c>
      <c r="D15" s="29" t="n">
        <v>2100</v>
      </c>
      <c r="E15" s="29" t="n">
        <v>350</v>
      </c>
      <c r="F15" s="23" t="n">
        <f aca="false">D15/E15</f>
        <v>6</v>
      </c>
      <c r="G15" s="23" t="n">
        <f aca="false">D15/110</f>
        <v>19.0909090909091</v>
      </c>
      <c r="H15" s="18" t="n">
        <v>24</v>
      </c>
      <c r="I15" s="12" t="n">
        <v>0.12</v>
      </c>
      <c r="J15" s="12" t="n">
        <v>0.31</v>
      </c>
    </row>
    <row r="17" customFormat="false" ht="15" hidden="false" customHeight="false" outlineLevel="0" collapsed="false">
      <c r="A17" s="0" t="s">
        <v>203</v>
      </c>
      <c r="F17" s="30" t="n">
        <f aca="false">MEDIAN(F6:F11)</f>
        <v>2.98283450704225</v>
      </c>
      <c r="G17" s="30" t="n">
        <f aca="false">MEDIAN(G6:G11)</f>
        <v>18.7949561403509</v>
      </c>
      <c r="H17" s="30" t="n">
        <f aca="false">MEDIAN(H6:H11)</f>
        <v>28.25</v>
      </c>
      <c r="I17" s="22" t="n">
        <f aca="false">MEDIAN(I6:I11)</f>
        <v>0.165</v>
      </c>
      <c r="J17" s="22" t="n">
        <f aca="false">MEDIAN(J6:J11)</f>
        <v>0.16</v>
      </c>
    </row>
    <row r="18" customFormat="false" ht="15" hidden="false" customHeight="false" outlineLevel="0" collapsed="false">
      <c r="A18" s="0" t="s">
        <v>204</v>
      </c>
      <c r="F18" s="30" t="n">
        <f aca="false">AVERAGE(F6:F11)</f>
        <v>2.8606466998375</v>
      </c>
      <c r="G18" s="30" t="n">
        <f aca="false">AVERAGE(G6:G11)</f>
        <v>18.3512185913502</v>
      </c>
      <c r="H18" s="30" t="n">
        <f aca="false">AVERAGE(H6:H11)</f>
        <v>29.25</v>
      </c>
      <c r="I18" s="22" t="n">
        <f aca="false">AVERAGE(I6:I11)</f>
        <v>0.206666666666667</v>
      </c>
      <c r="J18" s="22" t="n">
        <f aca="false">AVERAGE(J6:J11)</f>
        <v>0.1555</v>
      </c>
    </row>
    <row r="19" customFormat="false" ht="15" hidden="false" customHeight="false" outlineLevel="0" collapsed="false">
      <c r="A19" s="0" t="s">
        <v>205</v>
      </c>
      <c r="F19" s="23" t="n">
        <f aca="false">F6/F17-1</f>
        <v>-0.152427327726133</v>
      </c>
      <c r="G19" s="23" t="n">
        <f aca="false">G6/G17-1</f>
        <v>-0.204130447465142</v>
      </c>
      <c r="H19" s="23" t="n">
        <f aca="false">H6/H17-1</f>
        <v>-0.238938053097345</v>
      </c>
    </row>
    <row r="22" customFormat="false" ht="15" hidden="false" customHeight="false" outlineLevel="0" collapsed="false">
      <c r="A22" s="31" t="s">
        <v>206</v>
      </c>
    </row>
    <row r="23" customFormat="false" ht="15" hidden="false" customHeight="false" outlineLevel="0" collapsed="false">
      <c r="A23" s="0" t="s">
        <v>207</v>
      </c>
    </row>
    <row r="24" customFormat="false" ht="15" hidden="false" customHeight="false" outlineLevel="0" collapsed="false">
      <c r="A24" s="0" t="s">
        <v>208</v>
      </c>
    </row>
    <row r="25" customFormat="false" ht="15" hidden="false" customHeight="false" outlineLevel="0" collapsed="false">
      <c r="A25" s="0" t="s">
        <v>209</v>
      </c>
    </row>
    <row r="26" customFormat="false" ht="15" hidden="false" customHeight="false" outlineLevel="0" collapsed="false">
      <c r="A26" s="0" t="s">
        <v>210</v>
      </c>
    </row>
    <row r="27" customFormat="false" ht="15" hidden="false" customHeight="false" outlineLevel="0" collapsed="false">
      <c r="A27" s="0" t="s">
        <v>211</v>
      </c>
    </row>
  </sheetData>
  <mergeCells count="1"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2025-12-08T21:07:02Z</dcterms:created>
  <dc:creator>openpyxl</dc:creator>
  <dc:description/>
  <dc:language>en-US</dc:language>
  <cp:lastModifiedBy/>
  <dcterms:modified xsi:type="dcterms:W3CDTF">2025-12-08T21:07:02Z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