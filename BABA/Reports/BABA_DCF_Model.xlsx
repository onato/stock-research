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Historical" sheetId="4" r:id="rId4"/>
    <sheet name="Sanity Check" sheetId="5" r:id="rId5"/>
  </sheets>
  <calcPr calcId="124519" fullCalcOnLoad="1"/>
</workbook>
</file>

<file path=xl/sharedStrings.xml><?xml version="1.0" encoding="utf-8"?>
<sst xmlns="http://schemas.openxmlformats.org/spreadsheetml/2006/main" count="182" uniqueCount="171">
  <si>
    <t>BABA — Alibaba Group DCF Valuation Model</t>
  </si>
  <si>
    <t>Gray cells are INPUTS — adjust to see valuation update instantly. USD per ADS (1 ADS = 8 ordinary shares). RMB intermediate, USD output.</t>
  </si>
  <si>
    <t>KEY INPUTS</t>
  </si>
  <si>
    <t>Current ADS Price (USD)</t>
  </si>
  <si>
    <t>ADS Outstanding (millions)</t>
  </si>
  <si>
    <t>Total Liquid Assets (RMB Mn)</t>
  </si>
  <si>
    <t>Total Debt (RMB Mn)</t>
  </si>
  <si>
    <t>Net Cash (RMB Mn)  [=Liquid-Debt]</t>
  </si>
  <si>
    <t>Base Year Revenue FY2026 (RMB Mn)</t>
  </si>
  <si>
    <t>FY2025 FCF — Trough Floor (RMB Mn)</t>
  </si>
  <si>
    <t>RMB/USD Rate (1 RMB = x USD)</t>
  </si>
  <si>
    <t>ADS Ratio (ordinary shares per ADS)</t>
  </si>
  <si>
    <t>BASE CASE ASSUMPTIONS  (adjust these — formulas cascade below)</t>
  </si>
  <si>
    <t>Year 1</t>
  </si>
  <si>
    <t>Year 2</t>
  </si>
  <si>
    <t>Year 3</t>
  </si>
  <si>
    <t>Year 4</t>
  </si>
  <si>
    <t>Year 5</t>
  </si>
  <si>
    <t>WACC</t>
  </si>
  <si>
    <t>Terminal g</t>
  </si>
  <si>
    <t>Revenue Growth %</t>
  </si>
  <si>
    <t>FCF Margin %</t>
  </si>
  <si>
    <t>PROJECTED FREE CASH FLOWS  (BASE CASE — formulas from assumptions above)</t>
  </si>
  <si>
    <t>FY2026 Base</t>
  </si>
  <si>
    <t>Year 1 (FY27)</t>
  </si>
  <si>
    <t>Year 2 (FY28)</t>
  </si>
  <si>
    <t>Year 3 (FY29)</t>
  </si>
  <si>
    <t>Year 4 (FY30)</t>
  </si>
  <si>
    <t>Year 5 (FY31)</t>
  </si>
  <si>
    <t>Revenue (RMB Mn)</t>
  </si>
  <si>
    <t>FCF = Rev × Margin (RMB Mn)</t>
  </si>
  <si>
    <t>Discount Factor  1/(1+WACC)^n</t>
  </si>
  <si>
    <t>PV of FCF (RMB Mn)</t>
  </si>
  <si>
    <t>VALUATION BRIDGE  (BASE CASE)</t>
  </si>
  <si>
    <t>Sum of PV of FCF (RMB Mn)</t>
  </si>
  <si>
    <t>Terminal FCF = Y5 FCF × (1+g)  (RMB Mn)</t>
  </si>
  <si>
    <t>Terminal Value = TermFCF/(WACC-g)  (RMB Mn)</t>
  </si>
  <si>
    <t>PV of Terminal Value  (RMB Mn)</t>
  </si>
  <si>
    <t>Enterprise Value  (RMB Mn)</t>
  </si>
  <si>
    <t>Add: Net Cash  (RMB Mn)  [=B9]</t>
  </si>
  <si>
    <t>Equity Value  (RMB Mn)</t>
  </si>
  <si>
    <t>Equity Value  (USD Mn)  [×RMB/USD rate]</t>
  </si>
  <si>
    <t>INTRINSIC VALUE per ADS (USD)</t>
  </si>
  <si>
    <t>Upside / (Downside) vs Current</t>
  </si>
  <si>
    <t>ENTRY PRICE FOR 15% CAGR TARGET</t>
  </si>
  <si>
    <t>Terminal Value per ADS (USD)</t>
  </si>
  <si>
    <t>Entry Price = TV_per_ADS / (1.15)^5</t>
  </si>
  <si>
    <t>% Above/(Below) Entry Price</t>
  </si>
  <si>
    <t>SCENARIO SUMMARY (hardcoded from model run)</t>
  </si>
  <si>
    <t>Scenario</t>
  </si>
  <si>
    <t>IV per ADS (USD)</t>
  </si>
  <si>
    <t>Upside %</t>
  </si>
  <si>
    <t>Bull Case</t>
  </si>
  <si>
    <t>Base Case</t>
  </si>
  <si>
    <t>Bear Case</t>
  </si>
  <si>
    <t>Prob. Weighted (20/55/25)</t>
  </si>
  <si>
    <t>Live price: $94.81/ADS  |  Net cash: $15.99/ADS  |  RMB/USD: 0.1473  |  Valuation date: 2026-06-27</t>
  </si>
  <si>
    <t>BABA — Bull / Base / Bear Scenario Comparison</t>
  </si>
  <si>
    <t>All monetary values in RMB millions unless marked USD</t>
  </si>
  <si>
    <t>Metric</t>
  </si>
  <si>
    <t>Bull Y1</t>
  </si>
  <si>
    <t>Bull Y5</t>
  </si>
  <si>
    <t>Base Y1</t>
  </si>
  <si>
    <t>Base Y5</t>
  </si>
  <si>
    <t>Bear Y1</t>
  </si>
  <si>
    <t>Bear Y5</t>
  </si>
  <si>
    <t>FCF (RMB Mn)</t>
  </si>
  <si>
    <t>Discount Factor</t>
  </si>
  <si>
    <t>Valuation Summary</t>
  </si>
  <si>
    <t>Bull</t>
  </si>
  <si>
    <t>Base</t>
  </si>
  <si>
    <t>Bear</t>
  </si>
  <si>
    <t>Sum PV of FCF (RMB Mn)</t>
  </si>
  <si>
    <t>Terminal Value (RMB Mn)</t>
  </si>
  <si>
    <t>PV of Terminal (RMB Mn)</t>
  </si>
  <si>
    <t>Enterprise Value (RMB Mn)</t>
  </si>
  <si>
    <t>Equity Value (RMB Mn)</t>
  </si>
  <si>
    <t>Equity Value (USD Mn)</t>
  </si>
  <si>
    <t>Intrinsic Value per ADS (USD)</t>
  </si>
  <si>
    <t>Upside / (Downside) %</t>
  </si>
  <si>
    <t>Sensitivity Analysis — Intrinsic Value (USD per ADS)</t>
  </si>
  <si>
    <t>Base case FCF margin assumptions. Rows = WACC, Columns = Terminal Growth Rate.</t>
  </si>
  <si>
    <t>Current ADS price: $94.81  |  Base IV: $138.22  |  Base WACC: 12%  |  Base terminal g: 3.0%</t>
  </si>
  <si>
    <t>WACC \ Term g</t>
  </si>
  <si>
    <t>2.0%</t>
  </si>
  <si>
    <t>2.5%</t>
  </si>
  <si>
    <t>3.0%</t>
  </si>
  <si>
    <t>3.5%</t>
  </si>
  <si>
    <t>4.0%</t>
  </si>
  <si>
    <t>10%</t>
  </si>
  <si>
    <t>11%</t>
  </si>
  <si>
    <t>12%</t>
  </si>
  <si>
    <t>13%</t>
  </si>
  <si>
    <t>14%</t>
  </si>
  <si>
    <t>Green = &gt;15% above current price | Yellow = within 5% of current | Red = &lt;5% above current price</t>
  </si>
  <si>
    <t>BABA — Historical Financial Summary (FY2020–FY2026, RMB Millions)</t>
  </si>
  <si>
    <t>Source: SEC 6-K filings. FCF = Operating Cash Flow − Capital Expenditure.</t>
  </si>
  <si>
    <t>FY2020</t>
  </si>
  <si>
    <t>FY2021</t>
  </si>
  <si>
    <t>FY2022</t>
  </si>
  <si>
    <t>FY2023</t>
  </si>
  <si>
    <t>FY2024</t>
  </si>
  <si>
    <t>FY2025</t>
  </si>
  <si>
    <t>FY2026</t>
  </si>
  <si>
    <t>Adj EBITDA (RMB Mn)</t>
  </si>
  <si>
    <t>Adj EBITA (RMB Mn)</t>
  </si>
  <si>
    <t>Free Cash Flow (RMB Mn)</t>
  </si>
  <si>
    <t>Operating Cash Flow (RMB Mn)</t>
  </si>
  <si>
    <t>Shareholders Equity (RMB Mn)</t>
  </si>
  <si>
    <t>Net Income (RMB Mn)</t>
  </si>
  <si>
    <t>EPS ADS Diluted (USD)</t>
  </si>
  <si>
    <t>Adj EBITDA Margin %</t>
  </si>
  <si>
    <t>HISTORICAL GROWTH RATES</t>
  </si>
  <si>
    <t>3-Year CAGR (FY23-FY26)</t>
  </si>
  <si>
    <t>5-Year CAGR (FY21-FY26)</t>
  </si>
  <si>
    <t>Source / Notes</t>
  </si>
  <si>
    <t>Revenue</t>
  </si>
  <si>
    <t>Like-for-like ex-divestitures ~11% in FY2026</t>
  </si>
  <si>
    <t>EPS (GAAP ADS USD)</t>
  </si>
  <si>
    <t>Severely distorted by FY2026 investment trough — not used as anchor</t>
  </si>
  <si>
    <t>Shareholders Equity</t>
  </si>
  <si>
    <t>Understated due to buybacks; shares fell 21,408M→19,235M</t>
  </si>
  <si>
    <t>FCF</t>
  </si>
  <si>
    <t>FY2022-FY2025 for 3yr; FY2021-FY2025 for ~4yr; FY2026 outflow excluded</t>
  </si>
  <si>
    <t>Selected Growth Rate: 6.0%</t>
  </si>
  <si>
    <t>blended_conservative_revenue_and_cloud_momentum</t>
  </si>
  <si>
    <t>BABA — Valuation Sanity Check &amp; Multiples Analysis</t>
  </si>
  <si>
    <t>Value</t>
  </si>
  <si>
    <t>Assessment</t>
  </si>
  <si>
    <t>Sanity Check Status</t>
  </si>
  <si>
    <t>PASS</t>
  </si>
  <si>
    <t>No auto-fixes required</t>
  </si>
  <si>
    <t>Current Market Cap (USD Bn)</t>
  </si>
  <si>
    <t>$228.0B</t>
  </si>
  <si>
    <t>Enterprise Value — Market (USD Bn)</t>
  </si>
  <si>
    <t>$189.5B</t>
  </si>
  <si>
    <t>EV / Adj EBITDA — FY2026 (depressed)</t>
  </si>
  <si>
    <t>11.3x</t>
  </si>
  <si>
    <t>Elevated due to EBITDA trough</t>
  </si>
  <si>
    <t>EV / Adj EBITDA — FY2025 (normalized)</t>
  </si>
  <si>
    <t>6.4x</t>
  </si>
  <si>
    <t>Near multi-year lows — market pricing pessimism</t>
  </si>
  <si>
    <t>P/E — non-GAAP FY2026 (depressed)</t>
  </si>
  <si>
    <t>24.4x</t>
  </si>
  <si>
    <t>Distorted by investment trough</t>
  </si>
  <si>
    <t>P/E — non-GAAP FY2025 (normalized)</t>
  </si>
  <si>
    <t>10.0x</t>
  </si>
  <si>
    <t>Reasonable for Chinese mega-cap tech</t>
  </si>
  <si>
    <t>P/FCF — FY2025 normalized</t>
  </si>
  <si>
    <t>21.0x</t>
  </si>
  <si>
    <t>Manageable for recovery thesis</t>
  </si>
  <si>
    <t>BASE CASE IV IMPLIED METRICS</t>
  </si>
  <si>
    <t>Base IV per ADS (USD)</t>
  </si>
  <si>
    <t>$138.20</t>
  </si>
  <si>
    <t>Implied Market Cap (USD Bn)</t>
  </si>
  <si>
    <t>$332.3B</t>
  </si>
  <si>
    <t>Implied EV (USD Bn)</t>
  </si>
  <si>
    <t>$293.9B</t>
  </si>
  <si>
    <t>Implied EV / Adj EBITDA (normalized)</t>
  </si>
  <si>
    <t>9.9x</t>
  </si>
  <si>
    <t>PASS — Base case IV of $138.22/ADS implies 9.9x EV/normalize</t>
  </si>
  <si>
    <t>Implied P/FCF (Year 5)</t>
  </si>
  <si>
    <t>10.3x</t>
  </si>
  <si>
    <t>Reasonable exit multiple</t>
  </si>
  <si>
    <t>Implied EV / Revenue (Year 5)</t>
  </si>
  <si>
    <t>1.28x</t>
  </si>
  <si>
    <t>Low — reflects China discount</t>
  </si>
  <si>
    <t>TROUGH NORMALIZATION NOTE</t>
  </si>
  <si>
    <t>FY2026 FCF (-46,609 RMB Mn) and non-GAAP EPS ($3.89/ADS) are NOT extrapolated. As required by the modeling mandate, FY2026 is treated as an investment trough. Projections use FY2025 FCF (73,870 RMB Mn, 7.4% margin) as the starting floor and model recovery toward 14% margin (base) as the 3-year AI capex commitment moderates and quick commerce subsidies rationalise.</t>
  </si>
  <si>
    <t>VALUATION PHILOSOPHY</t>
  </si>
  <si>
    <t>This model applies a recovery-trough DCF framework. FY2026 was a deliberate investment trough: Alibaba deployed RMB 126B in AI infrastructure capex and heavy quick commerce subsidies, collapsing free cash flow to a RMB 46.6B outflow. We treat FY2025 FCF (RMB 73.9B, 7.4% margin) as the floor baseline for forward projections, not FY2026, because the trough was driven by discretionary investment choices, not structural demand destruction. Projections model FCF margin recovery from 7-9% toward 13-18% as capex intensity moderates after the FY2026-FY2028 AI buildout and quick commerce unit economics improve. The conservative base case uses a 12% WACC reflecting China-specific risk premiums (geopolitical, regulatory, VIE structure). Equity book value CAGR (2.3-2.5%) understates growth due to massive share buybacks and is supplemented by revenue CAGR (5.6-7.4%) and cloud segment momentum (30-40% growth). FCF-based projections anchor all three scenarios.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</si>
</sst>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#,##0.0"/>
    <numFmt numFmtId="166" formatCode="#,##0"/>
    <numFmt numFmtId="167" formatCode="0.0%"/>
  </numFmts>
  <fonts count="9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D3436"/>
      <name val="Calibri"/>
      <family val="2"/>
      <scheme val="minor"/>
    </font>
    <font>
      <i/>
      <sz val="9"/>
      <color rgb="FF636E72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2D343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D3436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636E72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D6303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2" xfId="0" applyFont="1" applyBorder="1"/>
    <xf numFmtId="164" fontId="0" fillId="3" borderId="2" xfId="0" applyNumberFormat="1" applyFill="1" applyBorder="1"/>
    <xf numFmtId="165" fontId="0" fillId="3" borderId="2" xfId="0" applyNumberFormat="1" applyFill="1" applyBorder="1"/>
    <xf numFmtId="166" fontId="0" fillId="0" borderId="2" xfId="0" applyNumberFormat="1" applyBorder="1"/>
    <xf numFmtId="0" fontId="3" fillId="4" borderId="2" xfId="0" applyFont="1" applyFill="1" applyBorder="1" applyAlignment="1">
      <alignment horizontal="center"/>
    </xf>
    <xf numFmtId="167" fontId="0" fillId="3" borderId="2" xfId="0" applyNumberFormat="1" applyFill="1" applyBorder="1"/>
    <xf numFmtId="0" fontId="0" fillId="0" borderId="2" xfId="0" applyBorder="1"/>
    <xf numFmtId="165" fontId="0" fillId="0" borderId="2" xfId="0" applyNumberFormat="1" applyBorder="1"/>
    <xf numFmtId="164" fontId="3" fillId="5" borderId="3" xfId="0" applyNumberFormat="1" applyFont="1" applyFill="1" applyBorder="1"/>
    <xf numFmtId="167" fontId="5" fillId="6" borderId="3" xfId="0" applyNumberFormat="1" applyFont="1" applyFill="1" applyBorder="1"/>
    <xf numFmtId="164" fontId="0" fillId="0" borderId="2" xfId="0" applyNumberFormat="1" applyBorder="1"/>
    <xf numFmtId="0" fontId="3" fillId="5" borderId="2" xfId="0" applyFont="1" applyFill="1" applyBorder="1" applyAlignment="1">
      <alignment horizontal="center"/>
    </xf>
    <xf numFmtId="167" fontId="0" fillId="0" borderId="2" xfId="0" applyNumberFormat="1" applyBorder="1"/>
    <xf numFmtId="0" fontId="3" fillId="7" borderId="2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6" fillId="0" borderId="0" xfId="0" applyFont="1"/>
    <xf numFmtId="164" fontId="7" fillId="5" borderId="2" xfId="0" applyNumberFormat="1" applyFont="1" applyFill="1" applyBorder="1"/>
    <xf numFmtId="164" fontId="8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1"/>
  <sheetViews>
    <sheetView tabSelected="1" zoomScale="95" zoomScaleNormal="95" workbookViewId="0"/>
  </sheetViews>
  <sheetFormatPr defaultRowHeight="15"/>
  <cols>
    <col min="1" max="1" width="30.7109375" customWidth="1"/>
    <col min="2" max="2" width="16.7109375" customWidth="1"/>
    <col min="3" max="8" width="14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3" t="s">
        <v>2</v>
      </c>
      <c r="B4" s="3"/>
      <c r="C4" s="3"/>
      <c r="D4" s="3"/>
    </row>
    <row r="5" spans="1:8">
      <c r="A5" s="4" t="s">
        <v>3</v>
      </c>
      <c r="B5" s="5">
        <v>94.81</v>
      </c>
    </row>
    <row r="6" spans="1:8">
      <c r="A6" s="4" t="s">
        <v>4</v>
      </c>
      <c r="B6" s="6">
        <v>2404.4</v>
      </c>
    </row>
    <row r="7" spans="1:8">
      <c r="A7" s="4" t="s">
        <v>5</v>
      </c>
      <c r="B7" s="6">
        <v>521000</v>
      </c>
    </row>
    <row r="8" spans="1:8">
      <c r="A8" s="4" t="s">
        <v>6</v>
      </c>
      <c r="B8" s="6">
        <v>259996</v>
      </c>
    </row>
    <row r="9" spans="1:8">
      <c r="A9" s="4" t="s">
        <v>7</v>
      </c>
      <c r="B9" s="7">
        <f>B7-B8</f>
        <v>0</v>
      </c>
    </row>
    <row r="10" spans="1:8">
      <c r="A10" s="4" t="s">
        <v>8</v>
      </c>
      <c r="B10" s="6">
        <v>1023670</v>
      </c>
    </row>
    <row r="11" spans="1:8">
      <c r="A11" s="4" t="s">
        <v>9</v>
      </c>
      <c r="B11" s="6">
        <v>73870</v>
      </c>
    </row>
    <row r="12" spans="1:8">
      <c r="A12" s="4" t="s">
        <v>10</v>
      </c>
      <c r="B12" s="6">
        <v>0.1473</v>
      </c>
    </row>
    <row r="13" spans="1:8">
      <c r="A13" s="4" t="s">
        <v>11</v>
      </c>
      <c r="B13" s="6">
        <v>8</v>
      </c>
    </row>
    <row r="15" spans="1:8">
      <c r="A15" s="3" t="s">
        <v>12</v>
      </c>
      <c r="B15" s="3"/>
      <c r="C15" s="3"/>
      <c r="D15" s="3"/>
      <c r="E15" s="3"/>
      <c r="F15" s="3"/>
      <c r="G15" s="3"/>
      <c r="H15" s="3"/>
    </row>
    <row r="16" spans="1:8">
      <c r="A16" s="8"/>
      <c r="B16" s="8" t="s">
        <v>13</v>
      </c>
      <c r="C16" s="8" t="s">
        <v>14</v>
      </c>
      <c r="D16" s="8" t="s">
        <v>15</v>
      </c>
      <c r="E16" s="8" t="s">
        <v>16</v>
      </c>
      <c r="F16" s="8" t="s">
        <v>17</v>
      </c>
      <c r="G16" s="8" t="s">
        <v>18</v>
      </c>
      <c r="H16" s="8" t="s">
        <v>19</v>
      </c>
    </row>
    <row r="17" spans="1:8">
      <c r="A17" s="4" t="s">
        <v>20</v>
      </c>
      <c r="B17" s="9">
        <v>0.1</v>
      </c>
      <c r="C17" s="9">
        <v>0.1</v>
      </c>
      <c r="D17" s="9">
        <v>0.09</v>
      </c>
      <c r="E17" s="9">
        <v>0.08</v>
      </c>
      <c r="F17" s="9">
        <v>0.07000000000000001</v>
      </c>
      <c r="G17" s="9">
        <v>0.12</v>
      </c>
      <c r="H17" s="9">
        <v>0.03</v>
      </c>
    </row>
    <row r="18" spans="1:8">
      <c r="A18" s="4" t="s">
        <v>21</v>
      </c>
      <c r="B18" s="9">
        <v>0.09</v>
      </c>
      <c r="C18" s="9">
        <v>0.11</v>
      </c>
      <c r="D18" s="9">
        <v>0.13</v>
      </c>
      <c r="E18" s="9">
        <v>0.14</v>
      </c>
      <c r="F18" s="9">
        <v>0.14</v>
      </c>
    </row>
    <row r="20" spans="1:8">
      <c r="A20" s="3" t="s">
        <v>22</v>
      </c>
      <c r="B20" s="3"/>
      <c r="C20" s="3"/>
      <c r="D20" s="3"/>
      <c r="E20" s="3"/>
      <c r="F20" s="3"/>
      <c r="G20" s="3"/>
      <c r="H20" s="3"/>
    </row>
    <row r="21" spans="1:8">
      <c r="A21" s="8"/>
      <c r="B21" s="8" t="s">
        <v>23</v>
      </c>
      <c r="C21" s="8" t="s">
        <v>24</v>
      </c>
      <c r="D21" s="8" t="s">
        <v>25</v>
      </c>
      <c r="E21" s="8" t="s">
        <v>26</v>
      </c>
      <c r="F21" s="8" t="s">
        <v>27</v>
      </c>
      <c r="G21" s="8" t="s">
        <v>28</v>
      </c>
    </row>
    <row r="22" spans="1:8">
      <c r="A22" s="4" t="s">
        <v>29</v>
      </c>
      <c r="B22" s="7">
        <v>1023670</v>
      </c>
      <c r="C22" s="7">
        <f>B22*(1+B17)</f>
        <v>0</v>
      </c>
      <c r="D22" s="7">
        <f>C22*(1+C17)</f>
        <v>0</v>
      </c>
      <c r="E22" s="7">
        <f>D22*(1+D17)</f>
        <v>0</v>
      </c>
      <c r="F22" s="7">
        <f>E22*(1+E17)</f>
        <v>0</v>
      </c>
      <c r="G22" s="7">
        <f>F22*(1+F17)</f>
        <v>0</v>
      </c>
    </row>
    <row r="23" spans="1:8">
      <c r="A23" s="4" t="s">
        <v>30</v>
      </c>
      <c r="B23" s="7">
        <v>73870</v>
      </c>
      <c r="C23" s="7">
        <f>C22*B18</f>
        <v>0</v>
      </c>
      <c r="D23" s="7">
        <f>D22*C18</f>
        <v>0</v>
      </c>
      <c r="E23" s="7">
        <f>E22*D18</f>
        <v>0</v>
      </c>
      <c r="F23" s="7">
        <f>F22*E18</f>
        <v>0</v>
      </c>
      <c r="G23" s="7">
        <f>G22*F18</f>
        <v>0</v>
      </c>
    </row>
    <row r="24" spans="1:8">
      <c r="A24" s="4" t="s">
        <v>31</v>
      </c>
      <c r="B24" s="10"/>
      <c r="C24" s="11">
        <f>1/(1+$H$17)^1</f>
        <v>0</v>
      </c>
      <c r="D24" s="11">
        <f>1/(1+$H$17)^2</f>
        <v>0</v>
      </c>
      <c r="E24" s="11">
        <f>1/(1+$H$17)^3</f>
        <v>0</v>
      </c>
      <c r="F24" s="11">
        <f>1/(1+$H$17)^4</f>
        <v>0</v>
      </c>
      <c r="G24" s="11">
        <f>1/(1+$H$17)^5</f>
        <v>0</v>
      </c>
    </row>
    <row r="25" spans="1:8">
      <c r="A25" s="4" t="s">
        <v>32</v>
      </c>
      <c r="B25" s="10"/>
      <c r="C25" s="7">
        <f>C23*C24</f>
        <v>0</v>
      </c>
      <c r="D25" s="7">
        <f>D23*D24</f>
        <v>0</v>
      </c>
      <c r="E25" s="7">
        <f>E23*E24</f>
        <v>0</v>
      </c>
      <c r="F25" s="7">
        <f>F23*F24</f>
        <v>0</v>
      </c>
      <c r="G25" s="7">
        <f>G23*G24</f>
        <v>0</v>
      </c>
    </row>
    <row r="27" spans="1:8">
      <c r="A27" s="3" t="s">
        <v>33</v>
      </c>
      <c r="B27" s="3"/>
      <c r="C27" s="3"/>
      <c r="D27" s="3"/>
      <c r="E27" s="3"/>
      <c r="F27" s="3"/>
      <c r="G27" s="3"/>
      <c r="H27" s="3"/>
    </row>
    <row r="28" spans="1:8">
      <c r="A28" s="4" t="s">
        <v>34</v>
      </c>
      <c r="B28" s="7">
        <f>SUM(C25:G25)</f>
        <v>0</v>
      </c>
    </row>
    <row r="29" spans="1:8">
      <c r="A29" s="4" t="s">
        <v>35</v>
      </c>
      <c r="B29" s="7">
        <f>G23*(1+$I$17)</f>
        <v>0</v>
      </c>
    </row>
    <row r="30" spans="1:8">
      <c r="A30" s="4" t="s">
        <v>36</v>
      </c>
      <c r="B30" s="7">
        <f>B29/($H$17-$I$17)</f>
        <v>0</v>
      </c>
    </row>
    <row r="31" spans="1:8">
      <c r="A31" s="4" t="s">
        <v>37</v>
      </c>
      <c r="B31" s="7">
        <f>B30*G24</f>
        <v>0</v>
      </c>
    </row>
    <row r="32" spans="1:8">
      <c r="A32" s="4" t="s">
        <v>38</v>
      </c>
      <c r="B32" s="7">
        <f>B28+B31</f>
        <v>0</v>
      </c>
    </row>
    <row r="33" spans="1:5">
      <c r="A33" s="4" t="s">
        <v>39</v>
      </c>
      <c r="B33" s="7">
        <f>B9</f>
        <v>0</v>
      </c>
    </row>
    <row r="34" spans="1:5">
      <c r="A34" s="4" t="s">
        <v>40</v>
      </c>
      <c r="B34" s="7">
        <f>B32+B32</f>
        <v>0</v>
      </c>
    </row>
    <row r="35" spans="1:5">
      <c r="A35" s="4" t="s">
        <v>41</v>
      </c>
      <c r="B35" s="7">
        <f>B34*B12</f>
        <v>0</v>
      </c>
    </row>
    <row r="36" spans="1:5">
      <c r="A36" s="4" t="s">
        <v>42</v>
      </c>
      <c r="B36" s="12">
        <f>B35/B6</f>
        <v>0</v>
      </c>
    </row>
    <row r="37" spans="1:5">
      <c r="A37" s="4" t="s">
        <v>43</v>
      </c>
      <c r="B37" s="13">
        <f>(B36-B5)/B5</f>
        <v>0</v>
      </c>
    </row>
    <row r="39" spans="1:5">
      <c r="A39" s="3" t="s">
        <v>44</v>
      </c>
      <c r="B39" s="3"/>
      <c r="C39" s="3"/>
      <c r="D39" s="3"/>
    </row>
    <row r="40" spans="1:5">
      <c r="A40" s="4" t="s">
        <v>45</v>
      </c>
      <c r="B40" s="14">
        <f>B30*B12/B6</f>
        <v>0</v>
      </c>
    </row>
    <row r="41" spans="1:5">
      <c r="A41" s="4" t="s">
        <v>46</v>
      </c>
      <c r="B41" s="12">
        <f>B40/(1.15^5)</f>
        <v>0</v>
      </c>
    </row>
    <row r="42" spans="1:5">
      <c r="A42" s="4" t="s">
        <v>47</v>
      </c>
      <c r="B42" s="13">
        <f>(B5-B41)/B5</f>
        <v>0</v>
      </c>
    </row>
    <row r="44" spans="1:5">
      <c r="A44" s="3" t="s">
        <v>48</v>
      </c>
      <c r="B44" s="3"/>
      <c r="C44" s="3"/>
      <c r="D44" s="3"/>
      <c r="E44" s="3"/>
    </row>
    <row r="45" spans="1:5">
      <c r="A45" s="8" t="s">
        <v>49</v>
      </c>
      <c r="B45" s="8" t="s">
        <v>50</v>
      </c>
      <c r="C45" s="8" t="s">
        <v>51</v>
      </c>
      <c r="D45" s="8" t="s">
        <v>18</v>
      </c>
      <c r="E45" s="8" t="s">
        <v>19</v>
      </c>
    </row>
    <row r="46" spans="1:5">
      <c r="A46" s="15" t="s">
        <v>52</v>
      </c>
      <c r="B46" s="14">
        <v>263.48</v>
      </c>
      <c r="C46" s="16">
        <v>1.779</v>
      </c>
      <c r="D46" s="16">
        <v>0.1</v>
      </c>
      <c r="E46" s="16">
        <v>0.035</v>
      </c>
    </row>
    <row r="47" spans="1:5">
      <c r="A47" s="17" t="s">
        <v>53</v>
      </c>
      <c r="B47" s="14">
        <v>138.22</v>
      </c>
      <c r="C47" s="16">
        <v>0.458</v>
      </c>
      <c r="D47" s="16">
        <v>0.12</v>
      </c>
      <c r="E47" s="16">
        <v>0.03</v>
      </c>
    </row>
    <row r="48" spans="1:5">
      <c r="A48" s="18" t="s">
        <v>54</v>
      </c>
      <c r="B48" s="14">
        <v>64.81999999999999</v>
      </c>
      <c r="C48" s="16">
        <v>-0.316</v>
      </c>
      <c r="D48" s="16">
        <v>0.14</v>
      </c>
      <c r="E48" s="16">
        <v>0.02</v>
      </c>
    </row>
    <row r="49" spans="1:8">
      <c r="A49" s="8" t="s">
        <v>55</v>
      </c>
      <c r="B49" s="14">
        <v>144.92</v>
      </c>
      <c r="C49" s="16">
        <v>0.52853074570193</v>
      </c>
      <c r="D49" s="10"/>
      <c r="E49" s="10"/>
    </row>
    <row r="51" spans="1:8">
      <c r="A51" s="19" t="s">
        <v>56</v>
      </c>
      <c r="B51" s="19"/>
      <c r="C51" s="19"/>
      <c r="D51" s="19"/>
      <c r="E51" s="19"/>
      <c r="F51" s="19"/>
      <c r="G51" s="19"/>
      <c r="H51" s="19"/>
    </row>
  </sheetData>
  <mergeCells count="9">
    <mergeCell ref="A1:H1"/>
    <mergeCell ref="A2:H2"/>
    <mergeCell ref="A4:D4"/>
    <mergeCell ref="A15:H15"/>
    <mergeCell ref="A20:H20"/>
    <mergeCell ref="A27:H27"/>
    <mergeCell ref="A39:D39"/>
    <mergeCell ref="A44:E44"/>
    <mergeCell ref="A51:H5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0"/>
  <sheetViews>
    <sheetView zoomScale="95" zoomScaleNormal="95" workbookViewId="0"/>
  </sheetViews>
  <sheetFormatPr defaultRowHeight="15"/>
  <cols>
    <col min="1" max="1" width="32.7109375" customWidth="1"/>
    <col min="2" max="7" width="14.7109375" customWidth="1"/>
  </cols>
  <sheetData>
    <row r="1" spans="1:7">
      <c r="A1" s="1" t="s">
        <v>57</v>
      </c>
      <c r="B1" s="1"/>
      <c r="C1" s="1"/>
      <c r="D1" s="1"/>
      <c r="E1" s="1"/>
      <c r="F1" s="1"/>
      <c r="G1" s="1"/>
    </row>
    <row r="2" spans="1:7">
      <c r="A2" s="2" t="s">
        <v>58</v>
      </c>
      <c r="B2" s="2"/>
      <c r="C2" s="2"/>
      <c r="D2" s="2"/>
      <c r="E2" s="2"/>
      <c r="F2" s="2"/>
      <c r="G2" s="2"/>
    </row>
    <row r="4" spans="1:7">
      <c r="A4" s="8" t="s">
        <v>59</v>
      </c>
      <c r="B4" s="15" t="s">
        <v>60</v>
      </c>
      <c r="C4" s="15" t="s">
        <v>61</v>
      </c>
      <c r="D4" s="17" t="s">
        <v>62</v>
      </c>
      <c r="E4" s="17" t="s">
        <v>63</v>
      </c>
      <c r="F4" s="18" t="s">
        <v>64</v>
      </c>
      <c r="G4" s="18" t="s">
        <v>65</v>
      </c>
    </row>
    <row r="5" spans="1:7">
      <c r="A5" s="4" t="s">
        <v>29</v>
      </c>
      <c r="B5" s="7">
        <v>1156747</v>
      </c>
      <c r="C5" s="7">
        <v>1802898</v>
      </c>
      <c r="D5" s="7">
        <v>1126037</v>
      </c>
      <c r="E5" s="7">
        <v>1560197</v>
      </c>
      <c r="F5" s="7">
        <v>1074854</v>
      </c>
      <c r="G5" s="7">
        <v>1209643</v>
      </c>
    </row>
    <row r="6" spans="1:7">
      <c r="A6" s="4" t="s">
        <v>66</v>
      </c>
      <c r="B6" s="7">
        <v>115675</v>
      </c>
      <c r="C6" s="7">
        <v>324522</v>
      </c>
      <c r="D6" s="7">
        <v>101343</v>
      </c>
      <c r="E6" s="7">
        <v>218428</v>
      </c>
      <c r="F6" s="7">
        <v>75240</v>
      </c>
      <c r="G6" s="7">
        <v>108868</v>
      </c>
    </row>
    <row r="7" spans="1:7">
      <c r="A7" s="4" t="s">
        <v>21</v>
      </c>
      <c r="B7" s="16">
        <v>0.1</v>
      </c>
      <c r="C7" s="16">
        <v>0.18</v>
      </c>
      <c r="D7" s="16">
        <v>0.09</v>
      </c>
      <c r="E7" s="16">
        <v>0.14</v>
      </c>
      <c r="F7" s="16">
        <v>0.07000000000000001</v>
      </c>
      <c r="G7" s="16">
        <v>0.09</v>
      </c>
    </row>
    <row r="8" spans="1:7">
      <c r="A8" s="4" t="s">
        <v>67</v>
      </c>
      <c r="B8" s="11">
        <v>0.909</v>
      </c>
      <c r="C8" s="11">
        <v>0.621</v>
      </c>
      <c r="D8" s="11">
        <v>0.893</v>
      </c>
      <c r="E8" s="11">
        <v>0.5669999999999999</v>
      </c>
      <c r="F8" s="11">
        <v>0.877</v>
      </c>
      <c r="G8" s="11">
        <v>0.519</v>
      </c>
    </row>
    <row r="9" spans="1:7">
      <c r="A9" s="4" t="s">
        <v>32</v>
      </c>
      <c r="B9" s="7">
        <v>105159</v>
      </c>
      <c r="C9" s="7">
        <v>201502</v>
      </c>
      <c r="D9" s="7">
        <v>90485</v>
      </c>
      <c r="E9" s="7">
        <v>123942</v>
      </c>
      <c r="F9" s="7">
        <v>66000</v>
      </c>
      <c r="G9" s="7">
        <v>56543</v>
      </c>
    </row>
    <row r="11" spans="1:7">
      <c r="A11" s="3" t="s">
        <v>68</v>
      </c>
    </row>
    <row r="12" spans="1:7">
      <c r="A12" s="8" t="s">
        <v>59</v>
      </c>
      <c r="B12" s="15" t="s">
        <v>69</v>
      </c>
      <c r="C12" s="15"/>
      <c r="D12" s="17" t="s">
        <v>70</v>
      </c>
      <c r="E12" s="17"/>
      <c r="F12" s="18" t="s">
        <v>71</v>
      </c>
      <c r="G12" s="18"/>
    </row>
    <row r="13" spans="1:7">
      <c r="A13" s="4" t="s">
        <v>72</v>
      </c>
      <c r="B13" s="7">
        <v>830818</v>
      </c>
      <c r="C13" s="10"/>
      <c r="D13" s="7">
        <v>577706</v>
      </c>
      <c r="E13" s="10"/>
      <c r="F13" s="7">
        <v>316722</v>
      </c>
      <c r="G13" s="10"/>
    </row>
    <row r="14" spans="1:7">
      <c r="A14" s="4" t="s">
        <v>73</v>
      </c>
      <c r="B14" s="7">
        <v>5167389</v>
      </c>
      <c r="C14" s="10"/>
      <c r="D14" s="7">
        <v>2499787</v>
      </c>
      <c r="E14" s="10"/>
      <c r="F14" s="7">
        <v>925378</v>
      </c>
      <c r="G14" s="10"/>
    </row>
    <row r="15" spans="1:7">
      <c r="A15" s="4" t="s">
        <v>74</v>
      </c>
      <c r="B15" s="7">
        <v>3208948</v>
      </c>
      <c r="C15" s="10"/>
      <c r="D15" s="7">
        <v>1417379</v>
      </c>
      <c r="E15" s="10"/>
      <c r="F15" s="7">
        <v>480271</v>
      </c>
      <c r="G15" s="10"/>
    </row>
    <row r="16" spans="1:7">
      <c r="A16" s="4" t="s">
        <v>75</v>
      </c>
      <c r="B16" s="7">
        <v>4039766</v>
      </c>
      <c r="C16" s="10"/>
      <c r="D16" s="7">
        <v>1995085</v>
      </c>
      <c r="E16" s="10"/>
      <c r="F16" s="7">
        <v>796993</v>
      </c>
      <c r="G16" s="10"/>
    </row>
    <row r="17" spans="1:7">
      <c r="A17" s="4" t="s">
        <v>76</v>
      </c>
      <c r="B17" s="7">
        <v>4300770</v>
      </c>
      <c r="C17" s="10"/>
      <c r="D17" s="7">
        <v>2256089</v>
      </c>
      <c r="E17" s="10"/>
      <c r="F17" s="7">
        <v>1057997</v>
      </c>
      <c r="G17" s="10"/>
    </row>
    <row r="18" spans="1:7">
      <c r="A18" s="4" t="s">
        <v>77</v>
      </c>
      <c r="B18" s="7">
        <v>633503</v>
      </c>
      <c r="C18" s="10"/>
      <c r="D18" s="7">
        <v>332322</v>
      </c>
      <c r="E18" s="10"/>
      <c r="F18" s="7">
        <v>155843</v>
      </c>
      <c r="G18" s="10"/>
    </row>
    <row r="19" spans="1:7">
      <c r="A19" s="4" t="s">
        <v>78</v>
      </c>
      <c r="B19" s="14">
        <v>263.48</v>
      </c>
      <c r="C19" s="10"/>
      <c r="D19" s="14">
        <v>138.22</v>
      </c>
      <c r="E19" s="10"/>
      <c r="F19" s="14">
        <v>64.81999999999999</v>
      </c>
      <c r="G19" s="10"/>
    </row>
    <row r="20" spans="1:7">
      <c r="A20" s="4" t="s">
        <v>79</v>
      </c>
      <c r="B20" s="16">
        <v>1.779</v>
      </c>
      <c r="C20" s="10"/>
      <c r="D20" s="16">
        <v>0.458</v>
      </c>
      <c r="E20" s="10"/>
      <c r="F20" s="16">
        <v>-0.316</v>
      </c>
      <c r="G20" s="10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zoomScale="95" zoomScaleNormal="95" workbookViewId="0"/>
  </sheetViews>
  <sheetFormatPr defaultRowHeight="15"/>
  <cols>
    <col min="1" max="1" width="14.7109375" customWidth="1"/>
    <col min="2" max="7" width="13.7109375" customWidth="1"/>
  </cols>
  <sheetData>
    <row r="1" spans="1:6">
      <c r="A1" s="1" t="s">
        <v>80</v>
      </c>
      <c r="B1" s="1"/>
      <c r="C1" s="1"/>
      <c r="D1" s="1"/>
      <c r="E1" s="1"/>
      <c r="F1" s="1"/>
    </row>
    <row r="2" spans="1:6">
      <c r="A2" s="2" t="s">
        <v>81</v>
      </c>
      <c r="B2" s="2"/>
      <c r="C2" s="2"/>
      <c r="D2" s="2"/>
      <c r="E2" s="2"/>
      <c r="F2" s="2"/>
    </row>
    <row r="3" spans="1:6">
      <c r="A3" s="19" t="s">
        <v>82</v>
      </c>
      <c r="B3" s="19"/>
      <c r="C3" s="19"/>
      <c r="D3" s="19"/>
      <c r="E3" s="19"/>
      <c r="F3" s="19"/>
    </row>
    <row r="5" spans="1:6">
      <c r="A5" s="8" t="s">
        <v>83</v>
      </c>
      <c r="B5" s="8" t="s">
        <v>84</v>
      </c>
      <c r="C5" s="8" t="s">
        <v>85</v>
      </c>
      <c r="D5" s="8" t="s">
        <v>86</v>
      </c>
      <c r="E5" s="8" t="s">
        <v>87</v>
      </c>
      <c r="F5" s="8" t="s">
        <v>88</v>
      </c>
    </row>
    <row r="6" spans="1:6">
      <c r="A6" s="8" t="s">
        <v>89</v>
      </c>
      <c r="B6" s="20">
        <v>159.4</v>
      </c>
      <c r="C6" s="20">
        <v>167</v>
      </c>
      <c r="D6" s="20">
        <v>175.7</v>
      </c>
      <c r="E6" s="20">
        <v>185.8</v>
      </c>
      <c r="F6" s="20">
        <v>197.5</v>
      </c>
    </row>
    <row r="7" spans="1:6">
      <c r="A7" s="8" t="s">
        <v>90</v>
      </c>
      <c r="B7" s="20">
        <v>142.4</v>
      </c>
      <c r="C7" s="20">
        <v>148.2</v>
      </c>
      <c r="D7" s="20">
        <v>154.6</v>
      </c>
      <c r="E7" s="20">
        <v>162</v>
      </c>
      <c r="F7" s="20">
        <v>170.4</v>
      </c>
    </row>
    <row r="8" spans="1:6">
      <c r="A8" s="8" t="s">
        <v>91</v>
      </c>
      <c r="B8" s="20">
        <v>128.8</v>
      </c>
      <c r="C8" s="20">
        <v>133.3</v>
      </c>
      <c r="D8" s="20">
        <v>138.3</v>
      </c>
      <c r="E8" s="20">
        <v>143.8</v>
      </c>
      <c r="F8" s="20">
        <v>150.1</v>
      </c>
    </row>
    <row r="9" spans="1:6">
      <c r="A9" s="8" t="s">
        <v>92</v>
      </c>
      <c r="B9" s="20">
        <v>117.8</v>
      </c>
      <c r="C9" s="20">
        <v>121.3</v>
      </c>
      <c r="D9" s="20">
        <v>125.2</v>
      </c>
      <c r="E9" s="20">
        <v>129.5</v>
      </c>
      <c r="F9" s="20">
        <v>134.3</v>
      </c>
    </row>
    <row r="10" spans="1:6">
      <c r="A10" s="8" t="s">
        <v>93</v>
      </c>
      <c r="B10" s="21">
        <v>108.5</v>
      </c>
      <c r="C10" s="20">
        <v>111.4</v>
      </c>
      <c r="D10" s="20">
        <v>114.5</v>
      </c>
      <c r="E10" s="20">
        <v>118</v>
      </c>
      <c r="F10" s="20">
        <v>121.8</v>
      </c>
    </row>
    <row r="12" spans="1:6">
      <c r="A12" s="19" t="s">
        <v>94</v>
      </c>
      <c r="B12" s="19"/>
      <c r="C12" s="19"/>
      <c r="D12" s="19"/>
      <c r="E12" s="19"/>
      <c r="F12" s="19"/>
    </row>
  </sheetData>
  <mergeCells count="4">
    <mergeCell ref="A1:F1"/>
    <mergeCell ref="A2:F2"/>
    <mergeCell ref="A3:F3"/>
    <mergeCell ref="A12:F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4"/>
  <sheetViews>
    <sheetView zoomScale="95" zoomScaleNormal="95" workbookViewId="0"/>
  </sheetViews>
  <sheetFormatPr defaultRowHeight="15"/>
  <cols>
    <col min="1" max="1" width="28.7109375" customWidth="1"/>
    <col min="2" max="10" width="14.7109375" customWidth="1"/>
  </cols>
  <sheetData>
    <row r="1" spans="1:9">
      <c r="A1" s="1" t="s">
        <v>95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96</v>
      </c>
      <c r="B2" s="2"/>
      <c r="C2" s="2"/>
      <c r="D2" s="2"/>
      <c r="E2" s="2"/>
      <c r="F2" s="2"/>
      <c r="G2" s="2"/>
      <c r="H2" s="2"/>
      <c r="I2" s="2"/>
    </row>
    <row r="4" spans="1:9">
      <c r="A4" s="8" t="s">
        <v>59</v>
      </c>
      <c r="B4" s="8" t="s">
        <v>97</v>
      </c>
      <c r="C4" s="8" t="s">
        <v>98</v>
      </c>
      <c r="D4" s="8" t="s">
        <v>99</v>
      </c>
      <c r="E4" s="8" t="s">
        <v>100</v>
      </c>
      <c r="F4" s="8" t="s">
        <v>101</v>
      </c>
      <c r="G4" s="8" t="s">
        <v>102</v>
      </c>
      <c r="H4" s="8" t="s">
        <v>103</v>
      </c>
    </row>
    <row r="5" spans="1:9">
      <c r="A5" s="4" t="s">
        <v>29</v>
      </c>
      <c r="B5" s="7">
        <v>509711</v>
      </c>
      <c r="C5" s="7">
        <v>717289</v>
      </c>
      <c r="D5" s="7">
        <v>853062</v>
      </c>
      <c r="E5" s="7">
        <v>868687</v>
      </c>
      <c r="F5" s="7">
        <v>941168</v>
      </c>
      <c r="G5" s="7">
        <v>996347</v>
      </c>
      <c r="H5" s="7">
        <v>1023670</v>
      </c>
    </row>
    <row r="6" spans="1:9">
      <c r="A6" s="4" t="s">
        <v>104</v>
      </c>
      <c r="B6" s="7">
        <v>178391</v>
      </c>
      <c r="C6" s="7">
        <v>196883</v>
      </c>
      <c r="D6" s="7">
        <v>157256</v>
      </c>
      <c r="E6" s="7">
        <v>175710</v>
      </c>
      <c r="F6" s="7">
        <v>191668</v>
      </c>
      <c r="G6" s="7">
        <v>202325</v>
      </c>
      <c r="H6" s="7">
        <v>113483</v>
      </c>
    </row>
    <row r="7" spans="1:9">
      <c r="A7" s="4" t="s">
        <v>105</v>
      </c>
      <c r="B7" s="7">
        <v>150310</v>
      </c>
      <c r="C7" s="7">
        <v>171947</v>
      </c>
      <c r="D7" s="7">
        <v>130397</v>
      </c>
      <c r="E7" s="7">
        <v>147911</v>
      </c>
      <c r="F7" s="7">
        <v>165028</v>
      </c>
      <c r="G7" s="7">
        <v>173065</v>
      </c>
      <c r="H7" s="7">
        <v>76416</v>
      </c>
    </row>
    <row r="8" spans="1:9">
      <c r="A8" s="4" t="s">
        <v>106</v>
      </c>
      <c r="B8" s="7">
        <v>130910</v>
      </c>
      <c r="C8" s="7">
        <v>172663</v>
      </c>
      <c r="D8" s="7">
        <v>98874</v>
      </c>
      <c r="E8" s="7">
        <v>171663</v>
      </c>
      <c r="F8" s="7">
        <v>156210</v>
      </c>
      <c r="G8" s="7">
        <v>73870</v>
      </c>
      <c r="H8" s="7">
        <v>-46609</v>
      </c>
    </row>
    <row r="9" spans="1:9">
      <c r="A9" s="4" t="s">
        <v>107</v>
      </c>
      <c r="B9" s="7">
        <v>181018</v>
      </c>
      <c r="C9" s="7">
        <v>232332</v>
      </c>
      <c r="D9" s="7">
        <v>142759</v>
      </c>
      <c r="E9" s="7">
        <v>199752</v>
      </c>
      <c r="F9" s="7">
        <v>182593</v>
      </c>
      <c r="G9" s="7">
        <v>163509</v>
      </c>
      <c r="H9" s="7">
        <v>76213</v>
      </c>
    </row>
    <row r="10" spans="1:9">
      <c r="A10" s="4" t="s">
        <v>108</v>
      </c>
      <c r="B10" s="7">
        <v>937470</v>
      </c>
      <c r="C10" s="7">
        <v>937470</v>
      </c>
      <c r="D10" s="7">
        <v>948479</v>
      </c>
      <c r="E10" s="7">
        <v>989657</v>
      </c>
      <c r="F10" s="7">
        <v>986544</v>
      </c>
      <c r="G10" s="7">
        <v>1009858</v>
      </c>
      <c r="H10" s="7">
        <v>1060886</v>
      </c>
    </row>
    <row r="11" spans="1:9">
      <c r="A11" s="4" t="s">
        <v>109</v>
      </c>
      <c r="B11" s="7">
        <v>140350</v>
      </c>
      <c r="C11" s="7">
        <v>143284</v>
      </c>
      <c r="D11" s="7">
        <v>47079</v>
      </c>
      <c r="E11" s="7">
        <v>65573</v>
      </c>
      <c r="F11" s="7">
        <v>71332</v>
      </c>
      <c r="G11" s="7">
        <v>125976</v>
      </c>
      <c r="H11" s="7">
        <v>102127</v>
      </c>
    </row>
    <row r="12" spans="1:9">
      <c r="A12" s="4" t="s">
        <v>110</v>
      </c>
      <c r="B12" s="14">
        <v>50.21</v>
      </c>
      <c r="C12" s="14">
        <v>53.55</v>
      </c>
      <c r="D12" s="14">
        <v>22.74</v>
      </c>
      <c r="E12" s="14">
        <v>27.46</v>
      </c>
      <c r="F12" s="14">
        <v>31.24</v>
      </c>
      <c r="G12" s="14">
        <v>53.59</v>
      </c>
      <c r="H12" s="14">
        <v>6.38</v>
      </c>
    </row>
    <row r="13" spans="1:9">
      <c r="A13" s="4" t="s">
        <v>21</v>
      </c>
      <c r="B13" s="16">
        <v>0.257</v>
      </c>
      <c r="C13" s="16">
        <v>0.241</v>
      </c>
      <c r="D13" s="16">
        <v>0.116</v>
      </c>
      <c r="E13" s="16">
        <v>0.198</v>
      </c>
      <c r="F13" s="16">
        <v>0.166</v>
      </c>
      <c r="G13" s="16">
        <v>0.07400000000000001</v>
      </c>
      <c r="H13" s="16">
        <v>-0.046</v>
      </c>
    </row>
    <row r="14" spans="1:9">
      <c r="A14" s="4" t="s">
        <v>111</v>
      </c>
      <c r="B14" s="16">
        <v>0.35</v>
      </c>
      <c r="C14" s="16">
        <v>0.275</v>
      </c>
      <c r="D14" s="16">
        <v>0.184</v>
      </c>
      <c r="E14" s="16">
        <v>0.202</v>
      </c>
      <c r="F14" s="16">
        <v>0.204</v>
      </c>
      <c r="G14" s="16">
        <v>0.203</v>
      </c>
      <c r="H14" s="16">
        <v>0.111</v>
      </c>
    </row>
    <row r="17" spans="1:5">
      <c r="A17" s="3" t="s">
        <v>112</v>
      </c>
      <c r="B17" s="3"/>
      <c r="C17" s="3"/>
      <c r="D17" s="3"/>
      <c r="E17" s="3"/>
    </row>
    <row r="18" spans="1:5">
      <c r="A18" s="8" t="s">
        <v>59</v>
      </c>
      <c r="B18" s="8" t="s">
        <v>113</v>
      </c>
      <c r="C18" s="8" t="s">
        <v>114</v>
      </c>
      <c r="D18" s="8" t="s">
        <v>115</v>
      </c>
    </row>
    <row r="19" spans="1:5">
      <c r="A19" s="4" t="s">
        <v>116</v>
      </c>
      <c r="B19" s="16">
        <v>0.05599999999999999</v>
      </c>
      <c r="C19" s="16">
        <v>0.07400000000000001</v>
      </c>
      <c r="D19" s="10" t="s">
        <v>117</v>
      </c>
    </row>
    <row r="20" spans="1:5">
      <c r="A20" s="4" t="s">
        <v>118</v>
      </c>
      <c r="B20" s="16">
        <v>-0.385</v>
      </c>
      <c r="C20" s="16">
        <v>-0.347</v>
      </c>
      <c r="D20" s="10" t="s">
        <v>119</v>
      </c>
    </row>
    <row r="21" spans="1:5">
      <c r="A21" s="4" t="s">
        <v>120</v>
      </c>
      <c r="B21" s="16">
        <v>0.023</v>
      </c>
      <c r="C21" s="16">
        <v>0.025</v>
      </c>
      <c r="D21" s="10" t="s">
        <v>121</v>
      </c>
    </row>
    <row r="22" spans="1:5">
      <c r="A22" s="4" t="s">
        <v>122</v>
      </c>
      <c r="B22" s="16">
        <v>-0.09300000000000001</v>
      </c>
      <c r="C22" s="16">
        <v>-0.191</v>
      </c>
      <c r="D22" s="10" t="s">
        <v>123</v>
      </c>
    </row>
    <row r="24" spans="1:5">
      <c r="A24" s="4" t="s">
        <v>124</v>
      </c>
      <c r="B24" s="13">
        <v>0.06</v>
      </c>
      <c r="C24" s="10" t="s">
        <v>125</v>
      </c>
    </row>
  </sheetData>
  <mergeCells count="3">
    <mergeCell ref="A1:I1"/>
    <mergeCell ref="A2:I2"/>
    <mergeCell ref="A17:E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1"/>
  <sheetViews>
    <sheetView zoomScale="95" zoomScaleNormal="95" workbookViewId="0"/>
  </sheetViews>
  <sheetFormatPr defaultRowHeight="15"/>
  <cols>
    <col min="1" max="1" width="36.7109375" customWidth="1"/>
    <col min="2" max="3" width="18.7109375" customWidth="1"/>
  </cols>
  <sheetData>
    <row r="1" spans="1:3">
      <c r="A1" s="1" t="s">
        <v>126</v>
      </c>
      <c r="B1" s="1"/>
      <c r="C1" s="1"/>
    </row>
    <row r="3" spans="1:3">
      <c r="A3" s="8" t="s">
        <v>59</v>
      </c>
      <c r="B3" s="8" t="s">
        <v>127</v>
      </c>
      <c r="C3" s="8" t="s">
        <v>128</v>
      </c>
    </row>
    <row r="4" spans="1:3">
      <c r="A4" s="4" t="s">
        <v>129</v>
      </c>
      <c r="B4" s="10" t="s">
        <v>130</v>
      </c>
      <c r="C4" s="19" t="s">
        <v>131</v>
      </c>
    </row>
    <row r="5" spans="1:3">
      <c r="A5" s="4" t="s">
        <v>132</v>
      </c>
      <c r="B5" s="10" t="s">
        <v>133</v>
      </c>
      <c r="C5" s="19"/>
    </row>
    <row r="6" spans="1:3">
      <c r="A6" s="4" t="s">
        <v>134</v>
      </c>
      <c r="B6" s="10" t="s">
        <v>135</v>
      </c>
      <c r="C6" s="19"/>
    </row>
    <row r="7" spans="1:3">
      <c r="A7" s="4" t="s">
        <v>136</v>
      </c>
      <c r="B7" s="10" t="s">
        <v>137</v>
      </c>
      <c r="C7" s="19" t="s">
        <v>138</v>
      </c>
    </row>
    <row r="8" spans="1:3">
      <c r="A8" s="4" t="s">
        <v>139</v>
      </c>
      <c r="B8" s="10" t="s">
        <v>140</v>
      </c>
      <c r="C8" s="19" t="s">
        <v>141</v>
      </c>
    </row>
    <row r="9" spans="1:3">
      <c r="A9" s="4" t="s">
        <v>142</v>
      </c>
      <c r="B9" s="10" t="s">
        <v>143</v>
      </c>
      <c r="C9" s="19" t="s">
        <v>144</v>
      </c>
    </row>
    <row r="10" spans="1:3">
      <c r="A10" s="4" t="s">
        <v>145</v>
      </c>
      <c r="B10" s="10" t="s">
        <v>146</v>
      </c>
      <c r="C10" s="19" t="s">
        <v>147</v>
      </c>
    </row>
    <row r="11" spans="1:3">
      <c r="A11" s="4" t="s">
        <v>148</v>
      </c>
      <c r="B11" s="10" t="s">
        <v>149</v>
      </c>
      <c r="C11" s="19" t="s">
        <v>150</v>
      </c>
    </row>
    <row r="12" spans="1:3">
      <c r="A12" s="3" t="s">
        <v>151</v>
      </c>
      <c r="B12" s="3"/>
      <c r="C12" s="3"/>
    </row>
    <row r="13" spans="1:3">
      <c r="A13" s="4" t="s">
        <v>152</v>
      </c>
      <c r="B13" s="10" t="s">
        <v>153</v>
      </c>
      <c r="C13" s="19"/>
    </row>
    <row r="14" spans="1:3">
      <c r="A14" s="4" t="s">
        <v>154</v>
      </c>
      <c r="B14" s="10" t="s">
        <v>155</v>
      </c>
      <c r="C14" s="19"/>
    </row>
    <row r="15" spans="1:3">
      <c r="A15" s="4" t="s">
        <v>156</v>
      </c>
      <c r="B15" s="10" t="s">
        <v>157</v>
      </c>
      <c r="C15" s="19"/>
    </row>
    <row r="16" spans="1:3">
      <c r="A16" s="4" t="s">
        <v>158</v>
      </c>
      <c r="B16" s="10" t="s">
        <v>159</v>
      </c>
      <c r="C16" s="19" t="s">
        <v>160</v>
      </c>
    </row>
    <row r="17" spans="1:3">
      <c r="A17" s="4" t="s">
        <v>161</v>
      </c>
      <c r="B17" s="10" t="s">
        <v>162</v>
      </c>
      <c r="C17" s="19" t="s">
        <v>163</v>
      </c>
    </row>
    <row r="18" spans="1:3">
      <c r="A18" s="4" t="s">
        <v>164</v>
      </c>
      <c r="B18" s="10" t="s">
        <v>165</v>
      </c>
      <c r="C18" s="19" t="s">
        <v>166</v>
      </c>
    </row>
    <row r="20" spans="1:3">
      <c r="A20" s="3" t="s">
        <v>167</v>
      </c>
      <c r="B20" s="3"/>
      <c r="C20" s="3"/>
    </row>
    <row r="21" spans="1:3">
      <c r="A21" s="19" t="s">
        <v>168</v>
      </c>
      <c r="B21" s="19"/>
      <c r="C21" s="19"/>
    </row>
    <row r="22" spans="1:3">
      <c r="A22" s="19"/>
      <c r="B22" s="19"/>
      <c r="C22" s="19"/>
    </row>
    <row r="23" spans="1:3">
      <c r="A23" s="19"/>
      <c r="B23" s="19"/>
      <c r="C23" s="19"/>
    </row>
    <row r="24" spans="1:3">
      <c r="A24" s="19"/>
      <c r="B24" s="19"/>
      <c r="C24" s="19"/>
    </row>
    <row r="26" spans="1:3">
      <c r="A26" s="3" t="s">
        <v>169</v>
      </c>
      <c r="B26" s="3"/>
      <c r="C26" s="3"/>
    </row>
    <row r="27" spans="1:3">
      <c r="A27" s="19" t="s">
        <v>170</v>
      </c>
      <c r="B27" s="19"/>
      <c r="C27" s="19"/>
    </row>
    <row r="28" spans="1:3">
      <c r="A28" s="19"/>
      <c r="B28" s="19"/>
      <c r="C28" s="19"/>
    </row>
    <row r="29" spans="1:3">
      <c r="A29" s="19"/>
      <c r="B29" s="19"/>
      <c r="C29" s="19"/>
    </row>
    <row r="30" spans="1:3">
      <c r="A30" s="19"/>
      <c r="B30" s="19"/>
      <c r="C30" s="19"/>
    </row>
    <row r="31" spans="1:3">
      <c r="A31" s="19"/>
      <c r="B31" s="19"/>
      <c r="C31" s="19"/>
    </row>
  </sheetData>
  <mergeCells count="6">
    <mergeCell ref="A1:C1"/>
    <mergeCell ref="A12:C12"/>
    <mergeCell ref="A20:C20"/>
    <mergeCell ref="A21:C24"/>
    <mergeCell ref="A26:C26"/>
    <mergeCell ref="A27:C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Scenarios</vt:lpstr>
      <vt:lpstr>Sensitivity</vt:lpstr>
      <vt:lpstr>Historical</vt:lpstr>
      <vt:lpstr>Sanity Check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2026-06-27T07:14:34Z</dcterms:created>
  <dcterms:modified xsi:type="dcterms:W3CDTF">2026-06-27T07:14:34Z</dcterms:modified>
</cp:coreProperties>
</file>