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ase" sheetId="1" state="visible" r:id="rId1"/>
    <sheet xmlns:r="http://schemas.openxmlformats.org/officeDocument/2006/relationships" name="Bull Case" sheetId="2" state="visible" r:id="rId2"/>
    <sheet xmlns:r="http://schemas.openxmlformats.org/officeDocument/2006/relationships" name="Bear Cas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Historical" sheetId="6" state="visible" r:id="rId6"/>
    <sheet xmlns:r="http://schemas.openxmlformats.org/officeDocument/2006/relationships" name="Sanity 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&quot;x&quot;"/>
    <numFmt numFmtId="167" formatCode="&quot;$&quot;#,##0.00"/>
  </numFmts>
  <fonts count="8">
    <font>
      <name val="Calibri"/>
      <family val="2"/>
      <color theme="1"/>
      <sz val="11"/>
      <scheme val="minor"/>
    </font>
    <font>
      <b val="1"/>
      <sz val="16"/>
    </font>
    <font>
      <color rgb="FF808080"/>
      <sz val="11"/>
    </font>
    <font>
      <b val="1"/>
      <sz val="12"/>
    </font>
    <font>
      <sz val="11"/>
    </font>
    <font>
      <color rgb="FF636E72"/>
      <sz val="11"/>
    </font>
    <font>
      <b val="1"/>
      <color rgb="FF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FFDFE6E9"/>
      </patternFill>
    </fill>
    <fill>
      <patternFill patternType="solid">
        <fgColor rgb="FF2D3436"/>
      </patternFill>
    </fill>
    <fill>
      <patternFill patternType="solid">
        <fgColor rgb="FF00B8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2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0" fillId="2" borderId="0" pivotButton="0" quotePrefix="0" xfId="0"/>
    <xf numFmtId="165" fontId="0" fillId="2" borderId="0" pivotButton="0" quotePrefix="0" xfId="0"/>
    <xf numFmtId="166" fontId="0" fillId="2" borderId="0" pivotButton="0" quotePrefix="0" xfId="0"/>
    <xf numFmtId="0" fontId="6" fillId="3" borderId="0" pivotButton="0" quotePrefix="0" xfId="0"/>
    <xf numFmtId="164" fontId="0" fillId="0" borderId="0" pivotButton="0" quotePrefix="0" xfId="0"/>
    <xf numFmtId="0" fontId="7" fillId="0" borderId="0" pivotButton="0" quotePrefix="0" xfId="0"/>
    <xf numFmtId="167" fontId="6" fillId="4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0" borderId="0" applyAlignment="1" pivotButton="0" quotePrefix="0" xfId="0">
      <alignment vertical="top" wrapText="1"/>
    </xf>
    <xf numFmtId="165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30.71" customWidth="1" min="1" max="1"/>
    <col width="14.71" customWidth="1" min="2" max="2"/>
    <col width="14.71" customWidth="1" min="3" max="3"/>
    <col width="14.71" customWidth="1" min="4" max="4"/>
    <col width="14.71" customWidth="1" min="5" max="5"/>
    <col width="14.71" customWidth="1" min="6" max="6"/>
  </cols>
  <sheetData>
    <row r="1">
      <c r="A1" s="1" t="inlineStr">
        <is>
          <t>BABA DCF Model - Base Case</t>
        </is>
      </c>
    </row>
    <row r="2">
      <c r="A2" s="2" t="inlineStr">
        <is>
          <t>Gray cells are INPUTS - adjust to see valuation change. All RMB figures in millions unless noted.</t>
        </is>
      </c>
    </row>
    <row r="4">
      <c r="A4" s="3" t="inlineStr">
        <is>
          <t>KEY INPUTS</t>
        </is>
      </c>
    </row>
    <row r="5">
      <c r="A5" s="4" t="inlineStr">
        <is>
          <t>Current Stock Price (USD/ADS)</t>
        </is>
      </c>
      <c r="B5" s="5" t="n">
        <v>112.14</v>
      </c>
    </row>
    <row r="6">
      <c r="A6" s="4" t="inlineStr">
        <is>
          <t>Ordinary Shares Outstanding (M)</t>
        </is>
      </c>
      <c r="B6" s="5" t="n">
        <v>19235</v>
      </c>
    </row>
    <row r="7">
      <c r="A7" s="4" t="inlineStr">
        <is>
          <t>ADS per Ordinary Share</t>
        </is>
      </c>
      <c r="B7" s="5" t="n">
        <v>8</v>
      </c>
    </row>
    <row r="8">
      <c r="A8" s="4" t="inlineStr">
        <is>
          <t>Cash &amp; Equivalents (RMB M)</t>
        </is>
      </c>
      <c r="B8" s="5" t="n">
        <v>131530</v>
      </c>
    </row>
    <row r="9">
      <c r="A9" s="4" t="inlineStr">
        <is>
          <t>Unrestricted Short-Term Investments (RMB M)</t>
        </is>
      </c>
      <c r="B9" s="5" t="n">
        <v>155236</v>
      </c>
    </row>
    <row r="10">
      <c r="A10" s="4" t="inlineStr">
        <is>
          <t>Unrestricted Other Treasury Investments (RMB M)</t>
        </is>
      </c>
      <c r="B10" s="5" t="n">
        <v>234058</v>
      </c>
    </row>
    <row r="11">
      <c r="A11" s="4" t="inlineStr">
        <is>
          <t>Total Debt (RMB M)</t>
        </is>
      </c>
      <c r="B11" s="5" t="n">
        <v>259996</v>
      </c>
    </row>
    <row r="12">
      <c r="A12" s="4" t="inlineStr">
        <is>
          <t>Net Debt / (Net Cash) (RMB M)</t>
        </is>
      </c>
      <c r="B12" s="6">
        <f>B11-B8-B9-B10</f>
        <v/>
      </c>
    </row>
    <row r="13">
      <c r="A13" s="7" t="inlineStr">
        <is>
          <t>Positive = net debt (subtracted from EV). Negative = net cash (added to EV).</t>
        </is>
      </c>
    </row>
    <row r="14">
      <c r="A14" s="4" t="inlineStr">
        <is>
          <t>USD/CNY FX Rate (RMB per USD)</t>
        </is>
      </c>
      <c r="B14" s="5" t="n">
        <v>6.7617</v>
      </c>
    </row>
    <row r="16">
      <c r="A16" s="4" t="inlineStr">
        <is>
          <t>Base Year Normalized FCF (RMB M)</t>
        </is>
      </c>
      <c r="B16" s="8" t="n">
        <v>120000</v>
      </c>
    </row>
    <row r="17">
      <c r="A17" s="4" t="inlineStr">
        <is>
          <t>WACC</t>
        </is>
      </c>
      <c r="B17" s="9" t="n">
        <v>0.115</v>
      </c>
    </row>
    <row r="18">
      <c r="A18" s="4" t="inlineStr">
        <is>
          <t>Terminal Growth Rate</t>
        </is>
      </c>
      <c r="B18" s="9" t="n">
        <v>0.03</v>
      </c>
    </row>
    <row r="19">
      <c r="A19" s="4" t="inlineStr">
        <is>
          <t>Exit EV/EBITDA Multiple (cap)</t>
        </is>
      </c>
      <c r="B19" s="10" t="n">
        <v>7</v>
      </c>
    </row>
    <row r="20">
      <c r="A20" s="4" t="inlineStr">
        <is>
          <t>Normalized EBITDA Basis (avg FY23-25, RMB M)</t>
        </is>
      </c>
      <c r="B20" s="8" t="n">
        <v>189901</v>
      </c>
    </row>
    <row r="21">
      <c r="A21" s="4" t="inlineStr">
        <is>
          <t>EBITDA Growth Factor (% of FCF growth rate)</t>
        </is>
      </c>
      <c r="B21" s="9" t="n">
        <v>0.6</v>
      </c>
    </row>
    <row r="23">
      <c r="A23" s="3" t="inlineStr">
        <is>
          <t>GROWTH ASSUMPTIONS</t>
        </is>
      </c>
      <c r="B23" s="11" t="inlineStr">
        <is>
          <t>Year 1</t>
        </is>
      </c>
      <c r="C23" s="11" t="inlineStr">
        <is>
          <t>Year 2</t>
        </is>
      </c>
      <c r="D23" s="11" t="inlineStr">
        <is>
          <t>Year 3</t>
        </is>
      </c>
      <c r="E23" s="11" t="inlineStr">
        <is>
          <t>Year 4</t>
        </is>
      </c>
      <c r="F23" s="11" t="inlineStr">
        <is>
          <t>Year 5</t>
        </is>
      </c>
    </row>
    <row r="24">
      <c r="A24" s="4" t="inlineStr">
        <is>
          <t>FCF Growth Rate</t>
        </is>
      </c>
      <c r="B24" s="9" t="n">
        <v>0.22</v>
      </c>
      <c r="C24" s="9" t="n">
        <v>0.18</v>
      </c>
      <c r="D24" s="9" t="n">
        <v>0.14</v>
      </c>
      <c r="E24" s="9" t="n">
        <v>0.1</v>
      </c>
      <c r="F24" s="9" t="n">
        <v>0.07000000000000001</v>
      </c>
    </row>
    <row r="26">
      <c r="A26" s="3" t="inlineStr">
        <is>
          <t>PROJECTIONS (RMB Millions)</t>
        </is>
      </c>
    </row>
    <row r="27">
      <c r="B27" s="11" t="inlineStr">
        <is>
          <t>Year 1</t>
        </is>
      </c>
      <c r="C27" s="11" t="inlineStr">
        <is>
          <t>Year 2</t>
        </is>
      </c>
      <c r="D27" s="11" t="inlineStr">
        <is>
          <t>Year 3</t>
        </is>
      </c>
      <c r="E27" s="11" t="inlineStr">
        <is>
          <t>Year 4</t>
        </is>
      </c>
      <c r="F27" s="11" t="inlineStr">
        <is>
          <t>Year 5</t>
        </is>
      </c>
    </row>
    <row r="28">
      <c r="A28" s="4" t="inlineStr">
        <is>
          <t>Free Cash Flow</t>
        </is>
      </c>
      <c r="B28" s="6">
        <f>B16*(1+B24)</f>
        <v/>
      </c>
      <c r="C28" s="6">
        <f>B28*(1+C24)</f>
        <v/>
      </c>
      <c r="D28" s="6">
        <f>C28*(1+D24)</f>
        <v/>
      </c>
      <c r="E28" s="6">
        <f>D28*(1+E24)</f>
        <v/>
      </c>
      <c r="F28" s="6">
        <f>E28*(1+F24)</f>
        <v/>
      </c>
    </row>
    <row r="29">
      <c r="A29" s="4" t="inlineStr">
        <is>
          <t>Discount Factor</t>
        </is>
      </c>
      <c r="B29" s="12">
        <f>1/(1+$B$17)^1</f>
        <v/>
      </c>
      <c r="C29" s="12">
        <f>1/(1+$B$17)^2</f>
        <v/>
      </c>
      <c r="D29" s="12">
        <f>1/(1+$B$17)^3</f>
        <v/>
      </c>
      <c r="E29" s="12">
        <f>1/(1+$B$17)^4</f>
        <v/>
      </c>
      <c r="F29" s="12">
        <f>1/(1+$B$17)^5</f>
        <v/>
      </c>
    </row>
    <row r="30">
      <c r="A30" s="4" t="inlineStr">
        <is>
          <t>PV of FCF</t>
        </is>
      </c>
      <c r="B30" s="6">
        <f>B28*B29</f>
        <v/>
      </c>
      <c r="C30" s="6">
        <f>C28*C29</f>
        <v/>
      </c>
      <c r="D30" s="6">
        <f>D28*D29</f>
        <v/>
      </c>
      <c r="E30" s="6">
        <f>E28*E29</f>
        <v/>
      </c>
      <c r="F30" s="6">
        <f>F28*F29</f>
        <v/>
      </c>
    </row>
    <row r="31">
      <c r="A31" s="4" t="inlineStr">
        <is>
          <t>Normalized EBITDA (for exit multiple)</t>
        </is>
      </c>
      <c r="B31" s="6">
        <f>B20*(1+B24*$B$21)</f>
        <v/>
      </c>
      <c r="C31" s="6">
        <f>B31*(1+C24*$B$21)</f>
        <v/>
      </c>
      <c r="D31" s="6">
        <f>C31*(1+D24*$B$21)</f>
        <v/>
      </c>
      <c r="E31" s="6">
        <f>D31*(1+E24*$B$21)</f>
        <v/>
      </c>
      <c r="F31" s="6">
        <f>E31*(1+F24*$B$21)</f>
        <v/>
      </c>
    </row>
    <row r="33">
      <c r="A33" s="3" t="inlineStr">
        <is>
          <t>VALUATION (RMB Millions)</t>
        </is>
      </c>
    </row>
    <row r="34">
      <c r="A34" s="4" t="inlineStr">
        <is>
          <t>Sum of PV of FCF</t>
        </is>
      </c>
      <c r="B34" s="6">
        <f>SUM(B30:F30)</f>
        <v/>
      </c>
    </row>
    <row r="35">
      <c r="A35" s="4" t="inlineStr">
        <is>
          <t>Terminal FCF (Year 5 x (1+g))</t>
        </is>
      </c>
      <c r="B35" s="6">
        <f>F28*(1+$B$18)</f>
        <v/>
      </c>
    </row>
    <row r="36">
      <c r="A36" s="4" t="inlineStr">
        <is>
          <t>Terminal Value - Gordon Growth</t>
        </is>
      </c>
      <c r="B36" s="6">
        <f>B35/($B$17-$B$18)</f>
        <v/>
      </c>
    </row>
    <row r="37">
      <c r="A37" s="4" t="inlineStr">
        <is>
          <t>Terminal Value - Exit Multiple (EBITDA Y5 x cap)</t>
        </is>
      </c>
      <c r="B37" s="6">
        <f>F31*$B$19</f>
        <v/>
      </c>
    </row>
    <row r="38">
      <c r="A38" s="4" t="inlineStr">
        <is>
          <t>Terminal Value Used (MIN of the two)</t>
        </is>
      </c>
      <c r="B38" s="6">
        <f>MIN(B36,B37)</f>
        <v/>
      </c>
    </row>
    <row r="39">
      <c r="A39" s="4" t="inlineStr">
        <is>
          <t>PV of Terminal Value</t>
        </is>
      </c>
      <c r="B39" s="6">
        <f>B38*F29</f>
        <v/>
      </c>
    </row>
    <row r="40">
      <c r="A40" s="4" t="inlineStr">
        <is>
          <t>Enterprise Value</t>
        </is>
      </c>
      <c r="B40" s="6">
        <f>B34+B39</f>
        <v/>
      </c>
    </row>
    <row r="41">
      <c r="A41" s="4" t="inlineStr">
        <is>
          <t>Less: Net Debt / (Net Cash)</t>
        </is>
      </c>
      <c r="B41" s="6">
        <f>B12</f>
        <v/>
      </c>
    </row>
    <row r="42">
      <c r="A42" s="4" t="inlineStr">
        <is>
          <t>Equity Value (RMB M)</t>
        </is>
      </c>
      <c r="B42" s="6">
        <f>B40-B41</f>
        <v/>
      </c>
    </row>
    <row r="43">
      <c r="A43" s="4" t="inlineStr">
        <is>
          <t>Equity Value per Ordinary Share (RMB)</t>
        </is>
      </c>
      <c r="B43" s="12">
        <f>B42/B6</f>
        <v/>
      </c>
    </row>
    <row r="44">
      <c r="A44" s="13" t="inlineStr">
        <is>
          <t>INTRINSIC VALUE / ADS (USD)</t>
        </is>
      </c>
      <c r="B44" s="14">
        <f>B43*B7/B14</f>
        <v/>
      </c>
    </row>
    <row r="46">
      <c r="A46" s="4" t="inlineStr">
        <is>
          <t>Upside / (Downside) vs Current Price</t>
        </is>
      </c>
      <c r="B46" s="15">
        <f>(B44-B5)/B5</f>
        <v/>
      </c>
    </row>
    <row r="47">
      <c r="A47" s="4" t="inlineStr">
        <is>
          <t>Terminal Value % of Enterprise Value</t>
        </is>
      </c>
      <c r="B47" s="15">
        <f>B39/B40</f>
        <v/>
      </c>
    </row>
    <row r="48">
      <c r="A48" s="4" t="inlineStr">
        <is>
          <t>Implied Exit Multiple (TV used / Year-5 FCF)</t>
        </is>
      </c>
      <c r="B48" s="16">
        <f>B38/F28</f>
        <v/>
      </c>
    </row>
    <row r="50">
      <c r="A50" s="3" t="inlineStr">
        <is>
          <t>ENTRY PRICE (15% IRR Target)</t>
        </is>
      </c>
    </row>
    <row r="51">
      <c r="A51" s="4" t="inlineStr">
        <is>
          <t>Hurdle Rate</t>
        </is>
      </c>
      <c r="B51" s="9" t="n">
        <v>0.15</v>
      </c>
    </row>
    <row r="52">
      <c r="A52" s="4" t="inlineStr">
        <is>
          <t>PV of Yrs 1-5 FCF @ Hurdle (RMB M)</t>
        </is>
      </c>
      <c r="B52" s="6">
        <f>NPV(B51,B28:F28)</f>
        <v/>
      </c>
    </row>
    <row r="53">
      <c r="A53" s="4" t="inlineStr">
        <is>
          <t>PV of Gordon Terminal Value @ Hurdle (RMB M)</t>
        </is>
      </c>
      <c r="B53" s="6">
        <f>B36/(1+B51)^5</f>
        <v/>
      </c>
    </row>
    <row r="54">
      <c r="A54" s="4" t="inlineStr">
        <is>
          <t>Less: Net Debt / (Net Cash) (RMB M)</t>
        </is>
      </c>
      <c r="B54" s="6">
        <f>B12</f>
        <v/>
      </c>
    </row>
    <row r="55">
      <c r="A55" s="4" t="inlineStr">
        <is>
          <t>Equity Value @ Hurdle (RMB M)</t>
        </is>
      </c>
      <c r="B55" s="6">
        <f>B52+B53-B54</f>
        <v/>
      </c>
    </row>
    <row r="56">
      <c r="A56" s="13" t="inlineStr">
        <is>
          <t>Entry Price per ADS (USD)</t>
        </is>
      </c>
      <c r="B56" s="14">
        <f>(B55/B6)*B7/B14</f>
        <v/>
      </c>
    </row>
    <row r="57">
      <c r="A57" s="4" t="inlineStr">
        <is>
          <t>Entry Price Discount from Current</t>
        </is>
      </c>
      <c r="B57" s="15">
        <f>(B5-B56)/B5</f>
        <v/>
      </c>
    </row>
    <row r="59">
      <c r="A59" s="7" t="inlineStr">
        <is>
          <t>Note: Terminal value for entry-price purposes uses Gordon Growth (fair</t>
        </is>
      </c>
    </row>
    <row r="60">
      <c r="A60" s="7" t="inlineStr">
        <is>
          <t>exit value a buyer sells into), not the exit-multiple cap. Only discounting</t>
        </is>
      </c>
    </row>
    <row r="61">
      <c r="A61" s="7" t="inlineStr">
        <is>
          <t>back to today uses the 15% hurdle rate. Net Debt row is negative (net cash),</t>
        </is>
      </c>
    </row>
    <row r="62">
      <c r="A62" s="7" t="inlineStr">
        <is>
          <t>so subtracting it ADDS RMB 260,828M to the equity bridge.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30.71" customWidth="1" min="1" max="1"/>
    <col width="14.71" customWidth="1" min="2" max="2"/>
    <col width="14.71" customWidth="1" min="3" max="3"/>
    <col width="14.71" customWidth="1" min="4" max="4"/>
    <col width="14.71" customWidth="1" min="5" max="5"/>
    <col width="14.71" customWidth="1" min="6" max="6"/>
  </cols>
  <sheetData>
    <row r="1">
      <c r="A1" s="1" t="inlineStr">
        <is>
          <t>BABA DCF Model - Bull Case</t>
        </is>
      </c>
    </row>
    <row r="2">
      <c r="A2" s="2" t="inlineStr">
        <is>
          <t>Gray cells are INPUTS - adjust to see valuation change. All RMB figures in millions unless noted.</t>
        </is>
      </c>
    </row>
    <row r="4">
      <c r="A4" s="3" t="inlineStr">
        <is>
          <t>KEY INPUTS</t>
        </is>
      </c>
    </row>
    <row r="5">
      <c r="A5" s="4" t="inlineStr">
        <is>
          <t>Current Stock Price (USD/ADS)</t>
        </is>
      </c>
      <c r="B5" s="5" t="n">
        <v>112.14</v>
      </c>
    </row>
    <row r="6">
      <c r="A6" s="4" t="inlineStr">
        <is>
          <t>Ordinary Shares Outstanding (M)</t>
        </is>
      </c>
      <c r="B6" s="5" t="n">
        <v>19235</v>
      </c>
    </row>
    <row r="7">
      <c r="A7" s="4" t="inlineStr">
        <is>
          <t>ADS per Ordinary Share</t>
        </is>
      </c>
      <c r="B7" s="5" t="n">
        <v>8</v>
      </c>
    </row>
    <row r="8">
      <c r="A8" s="4" t="inlineStr">
        <is>
          <t>Cash &amp; Equivalents (RMB M)</t>
        </is>
      </c>
      <c r="B8" s="5" t="n">
        <v>131530</v>
      </c>
    </row>
    <row r="9">
      <c r="A9" s="4" t="inlineStr">
        <is>
          <t>Unrestricted Short-Term Investments (RMB M)</t>
        </is>
      </c>
      <c r="B9" s="5" t="n">
        <v>155236</v>
      </c>
    </row>
    <row r="10">
      <c r="A10" s="4" t="inlineStr">
        <is>
          <t>Unrestricted Other Treasury Investments (RMB M)</t>
        </is>
      </c>
      <c r="B10" s="5" t="n">
        <v>234058</v>
      </c>
    </row>
    <row r="11">
      <c r="A11" s="4" t="inlineStr">
        <is>
          <t>Total Debt (RMB M)</t>
        </is>
      </c>
      <c r="B11" s="5" t="n">
        <v>259996</v>
      </c>
    </row>
    <row r="12">
      <c r="A12" s="4" t="inlineStr">
        <is>
          <t>Net Debt / (Net Cash) (RMB M)</t>
        </is>
      </c>
      <c r="B12" s="6">
        <f>B11-B8-B9-B10</f>
        <v/>
      </c>
    </row>
    <row r="13">
      <c r="A13" s="7" t="inlineStr">
        <is>
          <t>Positive = net debt (subtracted from EV). Negative = net cash (added to EV).</t>
        </is>
      </c>
    </row>
    <row r="14">
      <c r="A14" s="4" t="inlineStr">
        <is>
          <t>USD/CNY FX Rate (RMB per USD)</t>
        </is>
      </c>
      <c r="B14" s="5" t="n">
        <v>6.7617</v>
      </c>
    </row>
    <row r="16">
      <c r="A16" s="4" t="inlineStr">
        <is>
          <t>Base Year Normalized FCF (RMB M)</t>
        </is>
      </c>
      <c r="B16" s="8" t="n">
        <v>138000</v>
      </c>
    </row>
    <row r="17">
      <c r="A17" s="4" t="inlineStr">
        <is>
          <t>WACC</t>
        </is>
      </c>
      <c r="B17" s="9" t="n">
        <v>0.105</v>
      </c>
    </row>
    <row r="18">
      <c r="A18" s="4" t="inlineStr">
        <is>
          <t>Terminal Growth Rate</t>
        </is>
      </c>
      <c r="B18" s="9" t="n">
        <v>0.035</v>
      </c>
    </row>
    <row r="19">
      <c r="A19" s="4" t="inlineStr">
        <is>
          <t>Exit EV/EBITDA Multiple (cap)</t>
        </is>
      </c>
      <c r="B19" s="10" t="n">
        <v>9.5</v>
      </c>
    </row>
    <row r="20">
      <c r="A20" s="4" t="inlineStr">
        <is>
          <t>Normalized EBITDA Basis (avg FY23-25, RMB M)</t>
        </is>
      </c>
      <c r="B20" s="8" t="n">
        <v>189901</v>
      </c>
    </row>
    <row r="21">
      <c r="A21" s="4" t="inlineStr">
        <is>
          <t>EBITDA Growth Factor (% of FCF growth rate)</t>
        </is>
      </c>
      <c r="B21" s="9" t="n">
        <v>0.6</v>
      </c>
    </row>
    <row r="23">
      <c r="A23" s="3" t="inlineStr">
        <is>
          <t>GROWTH ASSUMPTIONS</t>
        </is>
      </c>
      <c r="B23" s="11" t="inlineStr">
        <is>
          <t>Year 1</t>
        </is>
      </c>
      <c r="C23" s="11" t="inlineStr">
        <is>
          <t>Year 2</t>
        </is>
      </c>
      <c r="D23" s="11" t="inlineStr">
        <is>
          <t>Year 3</t>
        </is>
      </c>
      <c r="E23" s="11" t="inlineStr">
        <is>
          <t>Year 4</t>
        </is>
      </c>
      <c r="F23" s="11" t="inlineStr">
        <is>
          <t>Year 5</t>
        </is>
      </c>
    </row>
    <row r="24">
      <c r="A24" s="4" t="inlineStr">
        <is>
          <t>FCF Growth Rate</t>
        </is>
      </c>
      <c r="B24" s="9" t="n">
        <v>0.28</v>
      </c>
      <c r="C24" s="9" t="n">
        <v>0.23</v>
      </c>
      <c r="D24" s="9" t="n">
        <v>0.18</v>
      </c>
      <c r="E24" s="9" t="n">
        <v>0.14</v>
      </c>
      <c r="F24" s="9" t="n">
        <v>0.1</v>
      </c>
    </row>
    <row r="26">
      <c r="A26" s="3" t="inlineStr">
        <is>
          <t>PROJECTIONS (RMB Millions)</t>
        </is>
      </c>
    </row>
    <row r="27">
      <c r="B27" s="11" t="inlineStr">
        <is>
          <t>Year 1</t>
        </is>
      </c>
      <c r="C27" s="11" t="inlineStr">
        <is>
          <t>Year 2</t>
        </is>
      </c>
      <c r="D27" s="11" t="inlineStr">
        <is>
          <t>Year 3</t>
        </is>
      </c>
      <c r="E27" s="11" t="inlineStr">
        <is>
          <t>Year 4</t>
        </is>
      </c>
      <c r="F27" s="11" t="inlineStr">
        <is>
          <t>Year 5</t>
        </is>
      </c>
    </row>
    <row r="28">
      <c r="A28" s="4" t="inlineStr">
        <is>
          <t>Free Cash Flow</t>
        </is>
      </c>
      <c r="B28" s="6">
        <f>B16*(1+B24)</f>
        <v/>
      </c>
      <c r="C28" s="6">
        <f>B28*(1+C24)</f>
        <v/>
      </c>
      <c r="D28" s="6">
        <f>C28*(1+D24)</f>
        <v/>
      </c>
      <c r="E28" s="6">
        <f>D28*(1+E24)</f>
        <v/>
      </c>
      <c r="F28" s="6">
        <f>E28*(1+F24)</f>
        <v/>
      </c>
    </row>
    <row r="29">
      <c r="A29" s="4" t="inlineStr">
        <is>
          <t>Discount Factor</t>
        </is>
      </c>
      <c r="B29" s="12">
        <f>1/(1+$B$17)^1</f>
        <v/>
      </c>
      <c r="C29" s="12">
        <f>1/(1+$B$17)^2</f>
        <v/>
      </c>
      <c r="D29" s="12">
        <f>1/(1+$B$17)^3</f>
        <v/>
      </c>
      <c r="E29" s="12">
        <f>1/(1+$B$17)^4</f>
        <v/>
      </c>
      <c r="F29" s="12">
        <f>1/(1+$B$17)^5</f>
        <v/>
      </c>
    </row>
    <row r="30">
      <c r="A30" s="4" t="inlineStr">
        <is>
          <t>PV of FCF</t>
        </is>
      </c>
      <c r="B30" s="6">
        <f>B28*B29</f>
        <v/>
      </c>
      <c r="C30" s="6">
        <f>C28*C29</f>
        <v/>
      </c>
      <c r="D30" s="6">
        <f>D28*D29</f>
        <v/>
      </c>
      <c r="E30" s="6">
        <f>E28*E29</f>
        <v/>
      </c>
      <c r="F30" s="6">
        <f>F28*F29</f>
        <v/>
      </c>
    </row>
    <row r="31">
      <c r="A31" s="4" t="inlineStr">
        <is>
          <t>Normalized EBITDA (for exit multiple)</t>
        </is>
      </c>
      <c r="B31" s="6">
        <f>B20*(1+B24*$B$21)</f>
        <v/>
      </c>
      <c r="C31" s="6">
        <f>B31*(1+C24*$B$21)</f>
        <v/>
      </c>
      <c r="D31" s="6">
        <f>C31*(1+D24*$B$21)</f>
        <v/>
      </c>
      <c r="E31" s="6">
        <f>D31*(1+E24*$B$21)</f>
        <v/>
      </c>
      <c r="F31" s="6">
        <f>E31*(1+F24*$B$21)</f>
        <v/>
      </c>
    </row>
    <row r="33">
      <c r="A33" s="3" t="inlineStr">
        <is>
          <t>VALUATION (RMB Millions)</t>
        </is>
      </c>
    </row>
    <row r="34">
      <c r="A34" s="4" t="inlineStr">
        <is>
          <t>Sum of PV of FCF</t>
        </is>
      </c>
      <c r="B34" s="6">
        <f>SUM(B30:F30)</f>
        <v/>
      </c>
    </row>
    <row r="35">
      <c r="A35" s="4" t="inlineStr">
        <is>
          <t>Terminal FCF (Year 5 x (1+g))</t>
        </is>
      </c>
      <c r="B35" s="6">
        <f>F28*(1+$B$18)</f>
        <v/>
      </c>
    </row>
    <row r="36">
      <c r="A36" s="4" t="inlineStr">
        <is>
          <t>Terminal Value - Gordon Growth</t>
        </is>
      </c>
      <c r="B36" s="6">
        <f>B35/($B$17-$B$18)</f>
        <v/>
      </c>
    </row>
    <row r="37">
      <c r="A37" s="4" t="inlineStr">
        <is>
          <t>Terminal Value - Exit Multiple (EBITDA Y5 x cap)</t>
        </is>
      </c>
      <c r="B37" s="6">
        <f>F31*$B$19</f>
        <v/>
      </c>
    </row>
    <row r="38">
      <c r="A38" s="4" t="inlineStr">
        <is>
          <t>Terminal Value Used (MIN of the two)</t>
        </is>
      </c>
      <c r="B38" s="6">
        <f>MIN(B36,B37)</f>
        <v/>
      </c>
    </row>
    <row r="39">
      <c r="A39" s="4" t="inlineStr">
        <is>
          <t>PV of Terminal Value</t>
        </is>
      </c>
      <c r="B39" s="6">
        <f>B38*F29</f>
        <v/>
      </c>
    </row>
    <row r="40">
      <c r="A40" s="4" t="inlineStr">
        <is>
          <t>Enterprise Value</t>
        </is>
      </c>
      <c r="B40" s="6">
        <f>B34+B39</f>
        <v/>
      </c>
    </row>
    <row r="41">
      <c r="A41" s="4" t="inlineStr">
        <is>
          <t>Less: Net Debt / (Net Cash)</t>
        </is>
      </c>
      <c r="B41" s="6">
        <f>B12</f>
        <v/>
      </c>
    </row>
    <row r="42">
      <c r="A42" s="4" t="inlineStr">
        <is>
          <t>Equity Value (RMB M)</t>
        </is>
      </c>
      <c r="B42" s="6">
        <f>B40-B41</f>
        <v/>
      </c>
    </row>
    <row r="43">
      <c r="A43" s="4" t="inlineStr">
        <is>
          <t>Equity Value per Ordinary Share (RMB)</t>
        </is>
      </c>
      <c r="B43" s="12">
        <f>B42/B6</f>
        <v/>
      </c>
    </row>
    <row r="44">
      <c r="A44" s="13" t="inlineStr">
        <is>
          <t>INTRINSIC VALUE / ADS (USD)</t>
        </is>
      </c>
      <c r="B44" s="14">
        <f>B43*B7/B14</f>
        <v/>
      </c>
    </row>
    <row r="46">
      <c r="A46" s="4" t="inlineStr">
        <is>
          <t>Upside / (Downside) vs Current Price</t>
        </is>
      </c>
      <c r="B46" s="15">
        <f>(B44-B5)/B5</f>
        <v/>
      </c>
    </row>
    <row r="47">
      <c r="A47" s="4" t="inlineStr">
        <is>
          <t>Terminal Value % of Enterprise Value</t>
        </is>
      </c>
      <c r="B47" s="15">
        <f>B39/B40</f>
        <v/>
      </c>
    </row>
    <row r="48">
      <c r="A48" s="4" t="inlineStr">
        <is>
          <t>Implied Exit Multiple (TV used / Year-5 FCF)</t>
        </is>
      </c>
      <c r="B48" s="16">
        <f>B38/F28</f>
        <v/>
      </c>
    </row>
    <row r="50">
      <c r="A50" s="3" t="inlineStr">
        <is>
          <t>ENTRY PRICE (15% IRR Target)</t>
        </is>
      </c>
    </row>
    <row r="51">
      <c r="A51" s="4" t="inlineStr">
        <is>
          <t>Hurdle Rate</t>
        </is>
      </c>
      <c r="B51" s="9" t="n">
        <v>0.15</v>
      </c>
    </row>
    <row r="52">
      <c r="A52" s="4" t="inlineStr">
        <is>
          <t>PV of Yrs 1-5 FCF @ Hurdle (RMB M)</t>
        </is>
      </c>
      <c r="B52" s="6">
        <f>NPV(B51,B28:F28)</f>
        <v/>
      </c>
    </row>
    <row r="53">
      <c r="A53" s="4" t="inlineStr">
        <is>
          <t>PV of Gordon Terminal Value @ Hurdle (RMB M)</t>
        </is>
      </c>
      <c r="B53" s="6">
        <f>B36/(1+B51)^5</f>
        <v/>
      </c>
    </row>
    <row r="54">
      <c r="A54" s="4" t="inlineStr">
        <is>
          <t>Less: Net Debt / (Net Cash) (RMB M)</t>
        </is>
      </c>
      <c r="B54" s="6">
        <f>B12</f>
        <v/>
      </c>
    </row>
    <row r="55">
      <c r="A55" s="4" t="inlineStr">
        <is>
          <t>Equity Value @ Hurdle (RMB M)</t>
        </is>
      </c>
      <c r="B55" s="6">
        <f>B52+B53-B54</f>
        <v/>
      </c>
    </row>
    <row r="56">
      <c r="A56" s="13" t="inlineStr">
        <is>
          <t>Entry Price per ADS (USD)</t>
        </is>
      </c>
      <c r="B56" s="14">
        <f>(B55/B6)*B7/B14</f>
        <v/>
      </c>
    </row>
    <row r="57">
      <c r="A57" s="4" t="inlineStr">
        <is>
          <t>Entry Price Discount from Current</t>
        </is>
      </c>
      <c r="B57" s="15">
        <f>(B5-B56)/B5</f>
        <v/>
      </c>
    </row>
    <row r="59">
      <c r="A59" s="7" t="inlineStr">
        <is>
          <t>Note: Terminal value for entry-price purposes uses Gordon Growth (fair</t>
        </is>
      </c>
    </row>
    <row r="60">
      <c r="A60" s="7" t="inlineStr">
        <is>
          <t>exit value a buyer sells into), not the exit-multiple cap. Only discounting</t>
        </is>
      </c>
    </row>
    <row r="61">
      <c r="A61" s="7" t="inlineStr">
        <is>
          <t>back to today uses the 15% hurdle rate. Net Debt row is negative (net cash),</t>
        </is>
      </c>
    </row>
    <row r="62">
      <c r="A62" s="7" t="inlineStr">
        <is>
          <t>so subtracting it ADDS RMB 260,828M to the equity bridge.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30.71" customWidth="1" min="1" max="1"/>
    <col width="14.71" customWidth="1" min="2" max="2"/>
    <col width="14.71" customWidth="1" min="3" max="3"/>
    <col width="14.71" customWidth="1" min="4" max="4"/>
    <col width="14.71" customWidth="1" min="5" max="5"/>
    <col width="14.71" customWidth="1" min="6" max="6"/>
  </cols>
  <sheetData>
    <row r="1">
      <c r="A1" s="1" t="inlineStr">
        <is>
          <t>BABA DCF Model - Bear Case</t>
        </is>
      </c>
    </row>
    <row r="2">
      <c r="A2" s="2" t="inlineStr">
        <is>
          <t>Gray cells are INPUTS - adjust to see valuation change. All RMB figures in millions unless noted.</t>
        </is>
      </c>
    </row>
    <row r="4">
      <c r="A4" s="3" t="inlineStr">
        <is>
          <t>KEY INPUTS</t>
        </is>
      </c>
    </row>
    <row r="5">
      <c r="A5" s="4" t="inlineStr">
        <is>
          <t>Current Stock Price (USD/ADS)</t>
        </is>
      </c>
      <c r="B5" s="5" t="n">
        <v>112.14</v>
      </c>
    </row>
    <row r="6">
      <c r="A6" s="4" t="inlineStr">
        <is>
          <t>Ordinary Shares Outstanding (M)</t>
        </is>
      </c>
      <c r="B6" s="5" t="n">
        <v>19235</v>
      </c>
    </row>
    <row r="7">
      <c r="A7" s="4" t="inlineStr">
        <is>
          <t>ADS per Ordinary Share</t>
        </is>
      </c>
      <c r="B7" s="5" t="n">
        <v>8</v>
      </c>
    </row>
    <row r="8">
      <c r="A8" s="4" t="inlineStr">
        <is>
          <t>Cash &amp; Equivalents (RMB M)</t>
        </is>
      </c>
      <c r="B8" s="5" t="n">
        <v>131530</v>
      </c>
    </row>
    <row r="9">
      <c r="A9" s="4" t="inlineStr">
        <is>
          <t>Unrestricted Short-Term Investments (RMB M)</t>
        </is>
      </c>
      <c r="B9" s="5" t="n">
        <v>155236</v>
      </c>
    </row>
    <row r="10">
      <c r="A10" s="4" t="inlineStr">
        <is>
          <t>Unrestricted Other Treasury Investments (RMB M)</t>
        </is>
      </c>
      <c r="B10" s="5" t="n">
        <v>234058</v>
      </c>
    </row>
    <row r="11">
      <c r="A11" s="4" t="inlineStr">
        <is>
          <t>Total Debt (RMB M)</t>
        </is>
      </c>
      <c r="B11" s="5" t="n">
        <v>259996</v>
      </c>
    </row>
    <row r="12">
      <c r="A12" s="4" t="inlineStr">
        <is>
          <t>Net Debt / (Net Cash) (RMB M)</t>
        </is>
      </c>
      <c r="B12" s="6">
        <f>B11-B8-B9-B10</f>
        <v/>
      </c>
    </row>
    <row r="13">
      <c r="A13" s="7" t="inlineStr">
        <is>
          <t>Positive = net debt (subtracted from EV). Negative = net cash (added to EV).</t>
        </is>
      </c>
    </row>
    <row r="14">
      <c r="A14" s="4" t="inlineStr">
        <is>
          <t>USD/CNY FX Rate (RMB per USD)</t>
        </is>
      </c>
      <c r="B14" s="5" t="n">
        <v>6.7617</v>
      </c>
    </row>
    <row r="16">
      <c r="A16" s="4" t="inlineStr">
        <is>
          <t>Base Year Normalized FCF (RMB M)</t>
        </is>
      </c>
      <c r="B16" s="8" t="n">
        <v>68000</v>
      </c>
    </row>
    <row r="17">
      <c r="A17" s="4" t="inlineStr">
        <is>
          <t>WACC</t>
        </is>
      </c>
      <c r="B17" s="9" t="n">
        <v>0.13</v>
      </c>
    </row>
    <row r="18">
      <c r="A18" s="4" t="inlineStr">
        <is>
          <t>Terminal Growth Rate</t>
        </is>
      </c>
      <c r="B18" s="9" t="n">
        <v>0.025</v>
      </c>
    </row>
    <row r="19">
      <c r="A19" s="4" t="inlineStr">
        <is>
          <t>Exit EV/EBITDA Multiple (cap)</t>
        </is>
      </c>
      <c r="B19" s="10" t="n">
        <v>4.5</v>
      </c>
    </row>
    <row r="20">
      <c r="A20" s="4" t="inlineStr">
        <is>
          <t>Normalized EBITDA Basis (avg FY23-25, RMB M)</t>
        </is>
      </c>
      <c r="B20" s="8" t="n">
        <v>189901</v>
      </c>
    </row>
    <row r="21">
      <c r="A21" s="4" t="inlineStr">
        <is>
          <t>EBITDA Growth Factor (% of FCF growth rate)</t>
        </is>
      </c>
      <c r="B21" s="9" t="n">
        <v>0.6</v>
      </c>
    </row>
    <row r="23">
      <c r="A23" s="3" t="inlineStr">
        <is>
          <t>GROWTH ASSUMPTIONS</t>
        </is>
      </c>
      <c r="B23" s="11" t="inlineStr">
        <is>
          <t>Year 1</t>
        </is>
      </c>
      <c r="C23" s="11" t="inlineStr">
        <is>
          <t>Year 2</t>
        </is>
      </c>
      <c r="D23" s="11" t="inlineStr">
        <is>
          <t>Year 3</t>
        </is>
      </c>
      <c r="E23" s="11" t="inlineStr">
        <is>
          <t>Year 4</t>
        </is>
      </c>
      <c r="F23" s="11" t="inlineStr">
        <is>
          <t>Year 5</t>
        </is>
      </c>
    </row>
    <row r="24">
      <c r="A24" s="4" t="inlineStr">
        <is>
          <t>FCF Growth Rate</t>
        </is>
      </c>
      <c r="B24" s="9" t="n">
        <v>0.06</v>
      </c>
      <c r="C24" s="9" t="n">
        <v>0.05</v>
      </c>
      <c r="D24" s="9" t="n">
        <v>0.04</v>
      </c>
      <c r="E24" s="9" t="n">
        <v>0.03</v>
      </c>
      <c r="F24" s="9" t="n">
        <v>0.02</v>
      </c>
    </row>
    <row r="26">
      <c r="A26" s="3" t="inlineStr">
        <is>
          <t>PROJECTIONS (RMB Millions)</t>
        </is>
      </c>
    </row>
    <row r="27">
      <c r="B27" s="11" t="inlineStr">
        <is>
          <t>Year 1</t>
        </is>
      </c>
      <c r="C27" s="11" t="inlineStr">
        <is>
          <t>Year 2</t>
        </is>
      </c>
      <c r="D27" s="11" t="inlineStr">
        <is>
          <t>Year 3</t>
        </is>
      </c>
      <c r="E27" s="11" t="inlineStr">
        <is>
          <t>Year 4</t>
        </is>
      </c>
      <c r="F27" s="11" t="inlineStr">
        <is>
          <t>Year 5</t>
        </is>
      </c>
    </row>
    <row r="28">
      <c r="A28" s="4" t="inlineStr">
        <is>
          <t>Free Cash Flow</t>
        </is>
      </c>
      <c r="B28" s="6">
        <f>B16*(1+B24)</f>
        <v/>
      </c>
      <c r="C28" s="6">
        <f>B28*(1+C24)</f>
        <v/>
      </c>
      <c r="D28" s="6">
        <f>C28*(1+D24)</f>
        <v/>
      </c>
      <c r="E28" s="6">
        <f>D28*(1+E24)</f>
        <v/>
      </c>
      <c r="F28" s="6">
        <f>E28*(1+F24)</f>
        <v/>
      </c>
    </row>
    <row r="29">
      <c r="A29" s="4" t="inlineStr">
        <is>
          <t>Discount Factor</t>
        </is>
      </c>
      <c r="B29" s="12">
        <f>1/(1+$B$17)^1</f>
        <v/>
      </c>
      <c r="C29" s="12">
        <f>1/(1+$B$17)^2</f>
        <v/>
      </c>
      <c r="D29" s="12">
        <f>1/(1+$B$17)^3</f>
        <v/>
      </c>
      <c r="E29" s="12">
        <f>1/(1+$B$17)^4</f>
        <v/>
      </c>
      <c r="F29" s="12">
        <f>1/(1+$B$17)^5</f>
        <v/>
      </c>
    </row>
    <row r="30">
      <c r="A30" s="4" t="inlineStr">
        <is>
          <t>PV of FCF</t>
        </is>
      </c>
      <c r="B30" s="6">
        <f>B28*B29</f>
        <v/>
      </c>
      <c r="C30" s="6">
        <f>C28*C29</f>
        <v/>
      </c>
      <c r="D30" s="6">
        <f>D28*D29</f>
        <v/>
      </c>
      <c r="E30" s="6">
        <f>E28*E29</f>
        <v/>
      </c>
      <c r="F30" s="6">
        <f>F28*F29</f>
        <v/>
      </c>
    </row>
    <row r="31">
      <c r="A31" s="4" t="inlineStr">
        <is>
          <t>Normalized EBITDA (for exit multiple)</t>
        </is>
      </c>
      <c r="B31" s="6">
        <f>B20*(1+B24*$B$21)</f>
        <v/>
      </c>
      <c r="C31" s="6">
        <f>B31*(1+C24*$B$21)</f>
        <v/>
      </c>
      <c r="D31" s="6">
        <f>C31*(1+D24*$B$21)</f>
        <v/>
      </c>
      <c r="E31" s="6">
        <f>D31*(1+E24*$B$21)</f>
        <v/>
      </c>
      <c r="F31" s="6">
        <f>E31*(1+F24*$B$21)</f>
        <v/>
      </c>
    </row>
    <row r="33">
      <c r="A33" s="3" t="inlineStr">
        <is>
          <t>VALUATION (RMB Millions)</t>
        </is>
      </c>
    </row>
    <row r="34">
      <c r="A34" s="4" t="inlineStr">
        <is>
          <t>Sum of PV of FCF</t>
        </is>
      </c>
      <c r="B34" s="6">
        <f>SUM(B30:F30)</f>
        <v/>
      </c>
    </row>
    <row r="35">
      <c r="A35" s="4" t="inlineStr">
        <is>
          <t>Terminal FCF (Year 5 x (1+g))</t>
        </is>
      </c>
      <c r="B35" s="6">
        <f>F28*(1+$B$18)</f>
        <v/>
      </c>
    </row>
    <row r="36">
      <c r="A36" s="4" t="inlineStr">
        <is>
          <t>Terminal Value - Gordon Growth</t>
        </is>
      </c>
      <c r="B36" s="6">
        <f>B35/($B$17-$B$18)</f>
        <v/>
      </c>
    </row>
    <row r="37">
      <c r="A37" s="4" t="inlineStr">
        <is>
          <t>Terminal Value - Exit Multiple (EBITDA Y5 x cap)</t>
        </is>
      </c>
      <c r="B37" s="6">
        <f>F31*$B$19</f>
        <v/>
      </c>
    </row>
    <row r="38">
      <c r="A38" s="4" t="inlineStr">
        <is>
          <t>Terminal Value Used (MIN of the two)</t>
        </is>
      </c>
      <c r="B38" s="6">
        <f>MIN(B36,B37)</f>
        <v/>
      </c>
    </row>
    <row r="39">
      <c r="A39" s="4" t="inlineStr">
        <is>
          <t>PV of Terminal Value</t>
        </is>
      </c>
      <c r="B39" s="6">
        <f>B38*F29</f>
        <v/>
      </c>
    </row>
    <row r="40">
      <c r="A40" s="4" t="inlineStr">
        <is>
          <t>Enterprise Value</t>
        </is>
      </c>
      <c r="B40" s="6">
        <f>B34+B39</f>
        <v/>
      </c>
    </row>
    <row r="41">
      <c r="A41" s="4" t="inlineStr">
        <is>
          <t>Less: Net Debt / (Net Cash)</t>
        </is>
      </c>
      <c r="B41" s="6">
        <f>B12</f>
        <v/>
      </c>
    </row>
    <row r="42">
      <c r="A42" s="4" t="inlineStr">
        <is>
          <t>Equity Value (RMB M)</t>
        </is>
      </c>
      <c r="B42" s="6">
        <f>B40-B41</f>
        <v/>
      </c>
    </row>
    <row r="43">
      <c r="A43" s="4" t="inlineStr">
        <is>
          <t>Equity Value per Ordinary Share (RMB)</t>
        </is>
      </c>
      <c r="B43" s="12">
        <f>B42/B6</f>
        <v/>
      </c>
    </row>
    <row r="44">
      <c r="A44" s="13" t="inlineStr">
        <is>
          <t>INTRINSIC VALUE / ADS (USD)</t>
        </is>
      </c>
      <c r="B44" s="14">
        <f>B43*B7/B14</f>
        <v/>
      </c>
    </row>
    <row r="46">
      <c r="A46" s="4" t="inlineStr">
        <is>
          <t>Upside / (Downside) vs Current Price</t>
        </is>
      </c>
      <c r="B46" s="15">
        <f>(B44-B5)/B5</f>
        <v/>
      </c>
    </row>
    <row r="47">
      <c r="A47" s="4" t="inlineStr">
        <is>
          <t>Terminal Value % of Enterprise Value</t>
        </is>
      </c>
      <c r="B47" s="15">
        <f>B39/B40</f>
        <v/>
      </c>
    </row>
    <row r="48">
      <c r="A48" s="4" t="inlineStr">
        <is>
          <t>Implied Exit Multiple (TV used / Year-5 FCF)</t>
        </is>
      </c>
      <c r="B48" s="16">
        <f>B38/F28</f>
        <v/>
      </c>
    </row>
    <row r="50">
      <c r="A50" s="3" t="inlineStr">
        <is>
          <t>ENTRY PRICE (15% IRR Target)</t>
        </is>
      </c>
    </row>
    <row r="51">
      <c r="A51" s="4" t="inlineStr">
        <is>
          <t>Hurdle Rate</t>
        </is>
      </c>
      <c r="B51" s="9" t="n">
        <v>0.15</v>
      </c>
    </row>
    <row r="52">
      <c r="A52" s="4" t="inlineStr">
        <is>
          <t>PV of Yrs 1-5 FCF @ Hurdle (RMB M)</t>
        </is>
      </c>
      <c r="B52" s="6">
        <f>NPV(B51,B28:F28)</f>
        <v/>
      </c>
    </row>
    <row r="53">
      <c r="A53" s="4" t="inlineStr">
        <is>
          <t>PV of Gordon Terminal Value @ Hurdle (RMB M)</t>
        </is>
      </c>
      <c r="B53" s="6">
        <f>B36/(1+B51)^5</f>
        <v/>
      </c>
    </row>
    <row r="54">
      <c r="A54" s="4" t="inlineStr">
        <is>
          <t>Less: Net Debt / (Net Cash) (RMB M)</t>
        </is>
      </c>
      <c r="B54" s="6">
        <f>B12</f>
        <v/>
      </c>
    </row>
    <row r="55">
      <c r="A55" s="4" t="inlineStr">
        <is>
          <t>Equity Value @ Hurdle (RMB M)</t>
        </is>
      </c>
      <c r="B55" s="6">
        <f>B52+B53-B54</f>
        <v/>
      </c>
    </row>
    <row r="56">
      <c r="A56" s="13" t="inlineStr">
        <is>
          <t>Entry Price per ADS (USD)</t>
        </is>
      </c>
      <c r="B56" s="14">
        <f>(B55/B6)*B7/B14</f>
        <v/>
      </c>
    </row>
    <row r="57">
      <c r="A57" s="4" t="inlineStr">
        <is>
          <t>Entry Price Discount from Current</t>
        </is>
      </c>
      <c r="B57" s="15">
        <f>(B5-B56)/B5</f>
        <v/>
      </c>
    </row>
    <row r="59">
      <c r="A59" s="7" t="inlineStr">
        <is>
          <t>Note: Terminal value for entry-price purposes uses Gordon Growth (fair</t>
        </is>
      </c>
    </row>
    <row r="60">
      <c r="A60" s="7" t="inlineStr">
        <is>
          <t>exit value a buyer sells into), not the exit-multiple cap. Only discounting</t>
        </is>
      </c>
    </row>
    <row r="61">
      <c r="A61" s="7" t="inlineStr">
        <is>
          <t>back to today uses the 15% hurdle rate. Net Debt row is negative (net cash),</t>
        </is>
      </c>
    </row>
    <row r="62">
      <c r="A62" s="7" t="inlineStr">
        <is>
          <t>so subtracting it ADDS RMB 260,828M to the equity bridge.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4.71" customWidth="1" min="2" max="2"/>
    <col width="14.71" customWidth="1" min="3" max="3"/>
    <col width="14.71" customWidth="1" min="4" max="4"/>
    <col width="14.71" customWidth="1" min="5" max="5"/>
  </cols>
  <sheetData>
    <row r="1">
      <c r="A1" s="1" t="inlineStr">
        <is>
          <t>BABA DCF Valuation Summary</t>
        </is>
      </c>
    </row>
    <row r="2">
      <c r="A2" s="2" t="inlineStr">
        <is>
          <t>Valuation date: 2026-07-26 (REVISED - net debt corrected)  |  Current price: $112.14/ADS  |  FX: 6.7617 RMB/USD</t>
        </is>
      </c>
    </row>
    <row r="4">
      <c r="B4" s="11" t="inlineStr">
        <is>
          <t>Bear</t>
        </is>
      </c>
      <c r="C4" s="11" t="inlineStr">
        <is>
          <t>Base</t>
        </is>
      </c>
      <c r="D4" s="11" t="inlineStr">
        <is>
          <t>Bull</t>
        </is>
      </c>
    </row>
    <row r="5">
      <c r="A5" s="4" t="inlineStr">
        <is>
          <t>Intrinsic Value / ADS (USD)</t>
        </is>
      </c>
      <c r="B5" s="17">
        <f>'Bear Case'!B44</f>
        <v/>
      </c>
      <c r="C5" s="17">
        <f>'Base Case'!B44</f>
        <v/>
      </c>
      <c r="D5" s="17">
        <f>'Bull Case'!B44</f>
        <v/>
      </c>
    </row>
    <row r="6">
      <c r="A6" s="4" t="inlineStr">
        <is>
          <t>Upside / (Downside) vs Current</t>
        </is>
      </c>
      <c r="B6" s="15">
        <f>'Bear Case'!B46</f>
        <v/>
      </c>
      <c r="C6" s="15">
        <f>'Base Case'!B46</f>
        <v/>
      </c>
      <c r="D6" s="15">
        <f>'Bull Case'!B46</f>
        <v/>
      </c>
    </row>
    <row r="7">
      <c r="A7" s="4" t="inlineStr">
        <is>
          <t>Entry Price (15% IRR), USD/ADS</t>
        </is>
      </c>
      <c r="B7" s="17">
        <f>'Bear Case'!B56</f>
        <v/>
      </c>
      <c r="C7" s="17">
        <f>'Base Case'!B56</f>
        <v/>
      </c>
      <c r="D7" s="17">
        <f>'Bull Case'!B56</f>
        <v/>
      </c>
    </row>
    <row r="8">
      <c r="A8" s="4" t="inlineStr">
        <is>
          <t>Entry Price Discount from Current</t>
        </is>
      </c>
      <c r="B8" s="15">
        <f>'Bear Case'!B57</f>
        <v/>
      </c>
      <c r="C8" s="15">
        <f>'Base Case'!B57</f>
        <v/>
      </c>
      <c r="D8" s="15">
        <f>'Bull Case'!B57</f>
        <v/>
      </c>
    </row>
    <row r="9">
      <c r="A9" s="4" t="inlineStr">
        <is>
          <t>Terminal Value % of EV</t>
        </is>
      </c>
      <c r="B9" s="15">
        <f>'Bear Case'!B47</f>
        <v/>
      </c>
      <c r="C9" s="15">
        <f>'Base Case'!B47</f>
        <v/>
      </c>
      <c r="D9" s="15">
        <f>'Bull Case'!B47</f>
        <v/>
      </c>
    </row>
    <row r="10">
      <c r="A10" s="4" t="inlineStr">
        <is>
          <t>Implied Exit Multiple</t>
        </is>
      </c>
      <c r="B10" s="16">
        <f>'Bear Case'!B48</f>
        <v/>
      </c>
      <c r="C10" s="16">
        <f>'Base Case'!B48</f>
        <v/>
      </c>
      <c r="D10" s="16">
        <f>'Bull Case'!B48</f>
        <v/>
      </c>
    </row>
    <row r="12">
      <c r="A12" s="3" t="inlineStr">
        <is>
          <t>PROBABILITY-WEIGHTED VALUATION</t>
        </is>
      </c>
    </row>
    <row r="13">
      <c r="A13" s="4" t="inlineStr">
        <is>
          <t>Weight - Bear</t>
        </is>
      </c>
      <c r="B13" s="9" t="n">
        <v>0.25</v>
      </c>
    </row>
    <row r="14">
      <c r="A14" s="4" t="inlineStr">
        <is>
          <t>Weight - Base</t>
        </is>
      </c>
      <c r="B14" s="9" t="n">
        <v>0.5</v>
      </c>
    </row>
    <row r="15">
      <c r="A15" s="4" t="inlineStr">
        <is>
          <t>Weight - Bull</t>
        </is>
      </c>
      <c r="B15" s="9" t="n">
        <v>0.25</v>
      </c>
    </row>
    <row r="16">
      <c r="A16" s="13" t="inlineStr">
        <is>
          <t>Weighted Intrinsic Value / ADS (USD)</t>
        </is>
      </c>
      <c r="B16" s="14">
        <f>B5*B13+C5*B14+D5*B15</f>
        <v/>
      </c>
    </row>
    <row r="17">
      <c r="A17" s="4" t="inlineStr">
        <is>
          <t>Upside vs Current (weighted)</t>
        </is>
      </c>
      <c r="B17" s="15">
        <f>(B16-'Base Case'!B5)/'Base Case'!B5</f>
        <v/>
      </c>
    </row>
    <row r="19">
      <c r="A19" s="3" t="inlineStr">
        <is>
          <t>KEY INPUTS (shared across scenarios)</t>
        </is>
      </c>
    </row>
    <row r="20">
      <c r="A20" s="4" t="inlineStr">
        <is>
          <t>Ordinary Shares Outstanding (M)</t>
        </is>
      </c>
      <c r="B20" s="12">
        <f>'Base Case'!B6</f>
        <v/>
      </c>
    </row>
    <row r="21">
      <c r="A21" s="4" t="inlineStr">
        <is>
          <t>Cash (RMB M)</t>
        </is>
      </c>
      <c r="B21" s="12">
        <f>'Base Case'!B8</f>
        <v/>
      </c>
    </row>
    <row r="22">
      <c r="A22" s="4" t="inlineStr">
        <is>
          <t>Unrestricted Short-Term Investments (RMB M)</t>
        </is>
      </c>
      <c r="B22" s="12">
        <f>'Base Case'!B9</f>
        <v/>
      </c>
    </row>
    <row r="23">
      <c r="A23" s="4" t="inlineStr">
        <is>
          <t>Unrestricted Other Treasury Investments (RMB M)</t>
        </is>
      </c>
      <c r="B23" s="12">
        <f>'Base Case'!B10</f>
        <v/>
      </c>
    </row>
    <row r="24">
      <c r="A24" s="4" t="inlineStr">
        <is>
          <t>Total Debt (RMB M)</t>
        </is>
      </c>
      <c r="B24" s="12">
        <f>'Base Case'!B11</f>
        <v/>
      </c>
    </row>
    <row r="25">
      <c r="A25" s="4" t="inlineStr">
        <is>
          <t>Net Debt / (Net Cash) (RMB M)</t>
        </is>
      </c>
      <c r="B25" s="6">
        <f>'Base Case'!B12</f>
        <v/>
      </c>
    </row>
    <row r="26">
      <c r="A26" s="4" t="inlineStr">
        <is>
          <t>FX Rate (RMB per USD)</t>
        </is>
      </c>
      <c r="B26" s="12">
        <f>'Base Case'!B14</f>
        <v/>
      </c>
    </row>
    <row r="28">
      <c r="A28" s="3" t="inlineStr">
        <is>
          <t>Data Revision Note (2026-07-26)</t>
        </is>
      </c>
    </row>
    <row r="29" ht="110" customHeight="1">
      <c r="A29" s="18" t="inlineStr">
        <is>
          <t>REVISED 2026-07-26: Corrected a material net-debt error. The prior same-day model netted only cash against total debt (net debt of RMB 128,466M), omitting Alibaba's unrestricted short-term investments (RMB 155,236M) and other treasury investments (RMB 234,058M), per the FY2026 20-F MD&amp;A. Correctly netting the full RMB 520,824M unrestricted liquid/near-liquid asset base against RMB 259,996M total debt gives a NET CASH position of RMB 260,828M, added to (not subtracted from) enterprise value in the equity bridge. The historical EV/EBITDA series and exit-multiple caps were also re-derived on the same fully-netted basis for internal consistency (caps came down from 9.0/11.5/6.0x to 7.0/9.5/4.5x), since the prior caps were calibrated on the same cash-only-overstated EV. Net result: intrinsic values rose in all three scenarios because the net-cash addition outweighs the lower exit-multiple caps.</t>
        </is>
      </c>
    </row>
    <row r="31">
      <c r="A31" s="3" t="inlineStr">
        <is>
          <t>Valuation Philosophy</t>
        </is>
      </c>
    </row>
    <row r="32" ht="140" customHeight="1">
      <c r="A32" s="18" t="inlineStr">
        <is>
          <t>Trough-FCF Mid-Cycle Normalization with Exit-Multiple Cap. FY2026 is an intentional investment trough -- not structural demand decline. Alibaba deployed RMB 126B in AI/cloud capex (part of a stated RMB 380B+ three-year programme) and poured subsidies into Taobao Instant Commerce to compete with Meituan, collapsing FCF to a RMB 46,609M outflow. July 2026 developments (quick-commerce loss-per-order roughly halved from peak, guided ~50% cut in FY2027 quick-commerce investment, SAMR's June 2026 anti-subsidy rules, AIDC EBITA loss narrowing 96% YoY, Cloud external revenue +40% turbocharged by the Apple Intelligence/Qwen partnership) support a faster-than-previously-modeled recovery path. The model retains a NORMALIZED (mid-cycle) FCF base of RMB 120,000M for the base case (~10.5% discount to the FY2020-2025 average of RMB 134,032M). Bull case RMB 138,000M; bear case RMB 68,000M. An exit-multiple cap (MIN of Gordon Growth TV vs EV/EBITDA cap on normalized EBITDA) prevents any scenario from implying multiples the market has never sustainably paid for BABA, net of its full investment portfolio.</t>
        </is>
      </c>
    </row>
  </sheetData>
  <mergeCells count="2">
    <mergeCell ref="A29:E29"/>
    <mergeCell ref="A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2.71" customWidth="1" min="2" max="2"/>
    <col width="12.71" customWidth="1" min="3" max="3"/>
    <col width="12.71" customWidth="1" min="4" max="4"/>
    <col width="12.71" customWidth="1" min="5" max="5"/>
    <col width="12.71" customWidth="1" min="6" max="6"/>
  </cols>
  <sheetData>
    <row r="1">
      <c r="A1" s="1" t="inlineStr">
        <is>
          <t>Sensitivity Analysis - Base Case</t>
        </is>
      </c>
    </row>
    <row r="2">
      <c r="A2" s="2" t="inlineStr">
        <is>
          <t>Intrinsic Value (USD/ADS) by WACC &amp; Terminal Growth (REVISED: 7.0x exit cap, net cash)</t>
        </is>
      </c>
    </row>
    <row r="4">
      <c r="A4" s="11" t="inlineStr">
        <is>
          <t>WACC \ Term Growth</t>
        </is>
      </c>
      <c r="B4" s="19" t="n">
        <v>0.02</v>
      </c>
      <c r="C4" s="19" t="n">
        <v>0.025</v>
      </c>
      <c r="D4" s="19" t="n">
        <v>0.03</v>
      </c>
      <c r="E4" s="19" t="n">
        <v>0.035</v>
      </c>
      <c r="F4" s="19" t="n">
        <v>0.04</v>
      </c>
    </row>
    <row r="5">
      <c r="A5" s="19" t="n">
        <v>0.095</v>
      </c>
      <c r="B5" s="17">
        <f>('Base Case'!$B$28/(1+0.095)^1+'Base Case'!$C$28/(1+0.095)^2+'Base Case'!$D$28/(1+0.095)^3+'Base Case'!$E$28/(1+0.095)^4+'Base Case'!$F$28/(1+0.095)^5+MIN('Base Case'!$F$28*(1+0.02)/(0.095-0.02),'Base Case'!$F$31*'Base Case'!$B$19)/(1+0.095)^5-'Base Case'!$B$12)/'Base Case'!$B$6*'Base Case'!$B$7/'Base Case'!$B$14</f>
        <v/>
      </c>
      <c r="C5" s="17">
        <f>('Base Case'!$B$28/(1+0.095)^1+'Base Case'!$C$28/(1+0.095)^2+'Base Case'!$D$28/(1+0.095)^3+'Base Case'!$E$28/(1+0.095)^4+'Base Case'!$F$28/(1+0.095)^5+MIN('Base Case'!$F$28*(1+0.025)/(0.095-0.025),'Base Case'!$F$31*'Base Case'!$B$19)/(1+0.095)^5-'Base Case'!$B$12)/'Base Case'!$B$6*'Base Case'!$B$7/'Base Case'!$B$14</f>
        <v/>
      </c>
      <c r="D5" s="17">
        <f>('Base Case'!$B$28/(1+0.095)^1+'Base Case'!$C$28/(1+0.095)^2+'Base Case'!$D$28/(1+0.095)^3+'Base Case'!$E$28/(1+0.095)^4+'Base Case'!$F$28/(1+0.095)^5+MIN('Base Case'!$F$28*(1+0.03)/(0.095-0.03),'Base Case'!$F$31*'Base Case'!$B$19)/(1+0.095)^5-'Base Case'!$B$12)/'Base Case'!$B$6*'Base Case'!$B$7/'Base Case'!$B$14</f>
        <v/>
      </c>
      <c r="E5" s="17">
        <f>('Base Case'!$B$28/(1+0.095)^1+'Base Case'!$C$28/(1+0.095)^2+'Base Case'!$D$28/(1+0.095)^3+'Base Case'!$E$28/(1+0.095)^4+'Base Case'!$F$28/(1+0.095)^5+MIN('Base Case'!$F$28*(1+0.035)/(0.095-0.035),'Base Case'!$F$31*'Base Case'!$B$19)/(1+0.095)^5-'Base Case'!$B$12)/'Base Case'!$B$6*'Base Case'!$B$7/'Base Case'!$B$14</f>
        <v/>
      </c>
      <c r="F5" s="17">
        <f>('Base Case'!$B$28/(1+0.095)^1+'Base Case'!$C$28/(1+0.095)^2+'Base Case'!$D$28/(1+0.095)^3+'Base Case'!$E$28/(1+0.095)^4+'Base Case'!$F$28/(1+0.095)^5+MIN('Base Case'!$F$28*(1+0.04)/(0.095-0.04),'Base Case'!$F$31*'Base Case'!$B$19)/(1+0.095)^5-'Base Case'!$B$12)/'Base Case'!$B$6*'Base Case'!$B$7/'Base Case'!$B$14</f>
        <v/>
      </c>
    </row>
    <row r="6">
      <c r="A6" s="19" t="n">
        <v>0.105</v>
      </c>
      <c r="B6" s="17">
        <f>('Base Case'!$B$28/(1+0.105)^1+'Base Case'!$C$28/(1+0.105)^2+'Base Case'!$D$28/(1+0.105)^3+'Base Case'!$E$28/(1+0.105)^4+'Base Case'!$F$28/(1+0.105)^5+MIN('Base Case'!$F$28*(1+0.02)/(0.105-0.02),'Base Case'!$F$31*'Base Case'!$B$19)/(1+0.105)^5-'Base Case'!$B$12)/'Base Case'!$B$6*'Base Case'!$B$7/'Base Case'!$B$14</f>
        <v/>
      </c>
      <c r="C6" s="17">
        <f>('Base Case'!$B$28/(1+0.105)^1+'Base Case'!$C$28/(1+0.105)^2+'Base Case'!$D$28/(1+0.105)^3+'Base Case'!$E$28/(1+0.105)^4+'Base Case'!$F$28/(1+0.105)^5+MIN('Base Case'!$F$28*(1+0.025)/(0.105-0.025),'Base Case'!$F$31*'Base Case'!$B$19)/(1+0.105)^5-'Base Case'!$B$12)/'Base Case'!$B$6*'Base Case'!$B$7/'Base Case'!$B$14</f>
        <v/>
      </c>
      <c r="D6" s="17">
        <f>('Base Case'!$B$28/(1+0.105)^1+'Base Case'!$C$28/(1+0.105)^2+'Base Case'!$D$28/(1+0.105)^3+'Base Case'!$E$28/(1+0.105)^4+'Base Case'!$F$28/(1+0.105)^5+MIN('Base Case'!$F$28*(1+0.03)/(0.105-0.03),'Base Case'!$F$31*'Base Case'!$B$19)/(1+0.105)^5-'Base Case'!$B$12)/'Base Case'!$B$6*'Base Case'!$B$7/'Base Case'!$B$14</f>
        <v/>
      </c>
      <c r="E6" s="17">
        <f>('Base Case'!$B$28/(1+0.105)^1+'Base Case'!$C$28/(1+0.105)^2+'Base Case'!$D$28/(1+0.105)^3+'Base Case'!$E$28/(1+0.105)^4+'Base Case'!$F$28/(1+0.105)^5+MIN('Base Case'!$F$28*(1+0.035)/(0.105-0.035),'Base Case'!$F$31*'Base Case'!$B$19)/(1+0.105)^5-'Base Case'!$B$12)/'Base Case'!$B$6*'Base Case'!$B$7/'Base Case'!$B$14</f>
        <v/>
      </c>
      <c r="F6" s="17">
        <f>('Base Case'!$B$28/(1+0.105)^1+'Base Case'!$C$28/(1+0.105)^2+'Base Case'!$D$28/(1+0.105)^3+'Base Case'!$E$28/(1+0.105)^4+'Base Case'!$F$28/(1+0.105)^5+MIN('Base Case'!$F$28*(1+0.04)/(0.105-0.04),'Base Case'!$F$31*'Base Case'!$B$19)/(1+0.105)^5-'Base Case'!$B$12)/'Base Case'!$B$6*'Base Case'!$B$7/'Base Case'!$B$14</f>
        <v/>
      </c>
    </row>
    <row r="7">
      <c r="A7" s="19" t="n">
        <v>0.115</v>
      </c>
      <c r="B7" s="17">
        <f>('Base Case'!$B$28/(1+0.115)^1+'Base Case'!$C$28/(1+0.115)^2+'Base Case'!$D$28/(1+0.115)^3+'Base Case'!$E$28/(1+0.115)^4+'Base Case'!$F$28/(1+0.115)^5+MIN('Base Case'!$F$28*(1+0.02)/(0.115-0.02),'Base Case'!$F$31*'Base Case'!$B$19)/(1+0.115)^5-'Base Case'!$B$12)/'Base Case'!$B$6*'Base Case'!$B$7/'Base Case'!$B$14</f>
        <v/>
      </c>
      <c r="C7" s="17">
        <f>('Base Case'!$B$28/(1+0.115)^1+'Base Case'!$C$28/(1+0.115)^2+'Base Case'!$D$28/(1+0.115)^3+'Base Case'!$E$28/(1+0.115)^4+'Base Case'!$F$28/(1+0.115)^5+MIN('Base Case'!$F$28*(1+0.025)/(0.115-0.025),'Base Case'!$F$31*'Base Case'!$B$19)/(1+0.115)^5-'Base Case'!$B$12)/'Base Case'!$B$6*'Base Case'!$B$7/'Base Case'!$B$14</f>
        <v/>
      </c>
      <c r="D7" s="17">
        <f>('Base Case'!$B$28/(1+0.115)^1+'Base Case'!$C$28/(1+0.115)^2+'Base Case'!$D$28/(1+0.115)^3+'Base Case'!$E$28/(1+0.115)^4+'Base Case'!$F$28/(1+0.115)^5+MIN('Base Case'!$F$28*(1+0.03)/(0.115-0.03),'Base Case'!$F$31*'Base Case'!$B$19)/(1+0.115)^5-'Base Case'!$B$12)/'Base Case'!$B$6*'Base Case'!$B$7/'Base Case'!$B$14</f>
        <v/>
      </c>
      <c r="E7" s="17">
        <f>('Base Case'!$B$28/(1+0.115)^1+'Base Case'!$C$28/(1+0.115)^2+'Base Case'!$D$28/(1+0.115)^3+'Base Case'!$E$28/(1+0.115)^4+'Base Case'!$F$28/(1+0.115)^5+MIN('Base Case'!$F$28*(1+0.035)/(0.115-0.035),'Base Case'!$F$31*'Base Case'!$B$19)/(1+0.115)^5-'Base Case'!$B$12)/'Base Case'!$B$6*'Base Case'!$B$7/'Base Case'!$B$14</f>
        <v/>
      </c>
      <c r="F7" s="17">
        <f>('Base Case'!$B$28/(1+0.115)^1+'Base Case'!$C$28/(1+0.115)^2+'Base Case'!$D$28/(1+0.115)^3+'Base Case'!$E$28/(1+0.115)^4+'Base Case'!$F$28/(1+0.115)^5+MIN('Base Case'!$F$28*(1+0.04)/(0.115-0.04),'Base Case'!$F$31*'Base Case'!$B$19)/(1+0.115)^5-'Base Case'!$B$12)/'Base Case'!$B$6*'Base Case'!$B$7/'Base Case'!$B$14</f>
        <v/>
      </c>
    </row>
    <row r="8">
      <c r="A8" s="19" t="n">
        <v>0.125</v>
      </c>
      <c r="B8" s="17">
        <f>('Base Case'!$B$28/(1+0.125)^1+'Base Case'!$C$28/(1+0.125)^2+'Base Case'!$D$28/(1+0.125)^3+'Base Case'!$E$28/(1+0.125)^4+'Base Case'!$F$28/(1+0.125)^5+MIN('Base Case'!$F$28*(1+0.02)/(0.125-0.02),'Base Case'!$F$31*'Base Case'!$B$19)/(1+0.125)^5-'Base Case'!$B$12)/'Base Case'!$B$6*'Base Case'!$B$7/'Base Case'!$B$14</f>
        <v/>
      </c>
      <c r="C8" s="17">
        <f>('Base Case'!$B$28/(1+0.125)^1+'Base Case'!$C$28/(1+0.125)^2+'Base Case'!$D$28/(1+0.125)^3+'Base Case'!$E$28/(1+0.125)^4+'Base Case'!$F$28/(1+0.125)^5+MIN('Base Case'!$F$28*(1+0.025)/(0.125-0.025),'Base Case'!$F$31*'Base Case'!$B$19)/(1+0.125)^5-'Base Case'!$B$12)/'Base Case'!$B$6*'Base Case'!$B$7/'Base Case'!$B$14</f>
        <v/>
      </c>
      <c r="D8" s="17">
        <f>('Base Case'!$B$28/(1+0.125)^1+'Base Case'!$C$28/(1+0.125)^2+'Base Case'!$D$28/(1+0.125)^3+'Base Case'!$E$28/(1+0.125)^4+'Base Case'!$F$28/(1+0.125)^5+MIN('Base Case'!$F$28*(1+0.03)/(0.125-0.03),'Base Case'!$F$31*'Base Case'!$B$19)/(1+0.125)^5-'Base Case'!$B$12)/'Base Case'!$B$6*'Base Case'!$B$7/'Base Case'!$B$14</f>
        <v/>
      </c>
      <c r="E8" s="17">
        <f>('Base Case'!$B$28/(1+0.125)^1+'Base Case'!$C$28/(1+0.125)^2+'Base Case'!$D$28/(1+0.125)^3+'Base Case'!$E$28/(1+0.125)^4+'Base Case'!$F$28/(1+0.125)^5+MIN('Base Case'!$F$28*(1+0.035)/(0.125-0.035),'Base Case'!$F$31*'Base Case'!$B$19)/(1+0.125)^5-'Base Case'!$B$12)/'Base Case'!$B$6*'Base Case'!$B$7/'Base Case'!$B$14</f>
        <v/>
      </c>
      <c r="F8" s="17">
        <f>('Base Case'!$B$28/(1+0.125)^1+'Base Case'!$C$28/(1+0.125)^2+'Base Case'!$D$28/(1+0.125)^3+'Base Case'!$E$28/(1+0.125)^4+'Base Case'!$F$28/(1+0.125)^5+MIN('Base Case'!$F$28*(1+0.04)/(0.125-0.04),'Base Case'!$F$31*'Base Case'!$B$19)/(1+0.125)^5-'Base Case'!$B$12)/'Base Case'!$B$6*'Base Case'!$B$7/'Base Case'!$B$14</f>
        <v/>
      </c>
    </row>
    <row r="9">
      <c r="A9" s="19" t="n">
        <v>0.135</v>
      </c>
      <c r="B9" s="17">
        <f>('Base Case'!$B$28/(1+0.135)^1+'Base Case'!$C$28/(1+0.135)^2+'Base Case'!$D$28/(1+0.135)^3+'Base Case'!$E$28/(1+0.135)^4+'Base Case'!$F$28/(1+0.135)^5+MIN('Base Case'!$F$28*(1+0.02)/(0.135-0.02),'Base Case'!$F$31*'Base Case'!$B$19)/(1+0.135)^5-'Base Case'!$B$12)/'Base Case'!$B$6*'Base Case'!$B$7/'Base Case'!$B$14</f>
        <v/>
      </c>
      <c r="C9" s="17">
        <f>('Base Case'!$B$28/(1+0.135)^1+'Base Case'!$C$28/(1+0.135)^2+'Base Case'!$D$28/(1+0.135)^3+'Base Case'!$E$28/(1+0.135)^4+'Base Case'!$F$28/(1+0.135)^5+MIN('Base Case'!$F$28*(1+0.025)/(0.135-0.025),'Base Case'!$F$31*'Base Case'!$B$19)/(1+0.135)^5-'Base Case'!$B$12)/'Base Case'!$B$6*'Base Case'!$B$7/'Base Case'!$B$14</f>
        <v/>
      </c>
      <c r="D9" s="17">
        <f>('Base Case'!$B$28/(1+0.135)^1+'Base Case'!$C$28/(1+0.135)^2+'Base Case'!$D$28/(1+0.135)^3+'Base Case'!$E$28/(1+0.135)^4+'Base Case'!$F$28/(1+0.135)^5+MIN('Base Case'!$F$28*(1+0.03)/(0.135-0.03),'Base Case'!$F$31*'Base Case'!$B$19)/(1+0.135)^5-'Base Case'!$B$12)/'Base Case'!$B$6*'Base Case'!$B$7/'Base Case'!$B$14</f>
        <v/>
      </c>
      <c r="E9" s="17">
        <f>('Base Case'!$B$28/(1+0.135)^1+'Base Case'!$C$28/(1+0.135)^2+'Base Case'!$D$28/(1+0.135)^3+'Base Case'!$E$28/(1+0.135)^4+'Base Case'!$F$28/(1+0.135)^5+MIN('Base Case'!$F$28*(1+0.035)/(0.135-0.035),'Base Case'!$F$31*'Base Case'!$B$19)/(1+0.135)^5-'Base Case'!$B$12)/'Base Case'!$B$6*'Base Case'!$B$7/'Base Case'!$B$14</f>
        <v/>
      </c>
      <c r="F9" s="17">
        <f>('Base Case'!$B$28/(1+0.135)^1+'Base Case'!$C$28/(1+0.135)^2+'Base Case'!$D$28/(1+0.135)^3+'Base Case'!$E$28/(1+0.135)^4+'Base Case'!$F$28/(1+0.135)^5+MIN('Base Case'!$F$28*(1+0.04)/(0.135-0.04),'Base Case'!$F$31*'Base Case'!$B$19)/(1+0.135)^5-'Base Case'!$B$12)/'Base Case'!$B$6*'Base Case'!$B$7/'Base Case'!$B$14</f>
        <v/>
      </c>
    </row>
    <row r="11">
      <c r="A11" s="7" t="inlineStr">
        <is>
          <t>Note: recalculates Base Case FCF/EBITDA paths (fixed) at each WACC/terminal-growth</t>
        </is>
      </c>
    </row>
    <row r="12">
      <c r="A12" s="7" t="inlineStr">
        <is>
          <t>combination, applying the same exit-multiple cap logic (MIN of Gordon TV vs exit TV).</t>
        </is>
      </c>
    </row>
    <row r="13">
      <c r="A13" s="7" t="inlineStr">
        <is>
          <t>Net Debt cell (Base Case!B12) is negative (net cash), so "-Net Debt" ADDS RMB 260,828M.</t>
        </is>
      </c>
    </row>
    <row r="14">
      <c r="A14" s="7" t="inlineStr">
        <is>
          <t>With the 7.0x cap, exit-multiple TV is binding across the full WACC/terminal-growth range</t>
        </is>
      </c>
    </row>
    <row r="15">
      <c r="A15" s="7" t="inlineStr">
        <is>
          <t>tested, so each row is flat across terminal growth (see BABA_DCF.json sensitivity.matrix_note).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Historical Growth Rates &amp; Multiples</t>
        </is>
      </c>
    </row>
    <row r="3">
      <c r="A3" s="11" t="inlineStr">
        <is>
          <t>Metric</t>
        </is>
      </c>
      <c r="B3" s="11" t="inlineStr">
        <is>
          <t>3-Year CAGR</t>
        </is>
      </c>
      <c r="C3" s="11" t="inlineStr">
        <is>
          <t>5-Year CAGR</t>
        </is>
      </c>
    </row>
    <row r="4">
      <c r="A4" s="4" t="inlineStr">
        <is>
          <t>Revenue</t>
        </is>
      </c>
      <c r="B4" s="15" t="n">
        <v>0.0562</v>
      </c>
      <c r="C4" s="15" t="n">
        <v>0.0737</v>
      </c>
    </row>
    <row r="5">
      <c r="A5" s="4" t="inlineStr">
        <is>
          <t>EPS (ADS, diluted)</t>
        </is>
      </c>
      <c r="B5" s="15" t="n">
        <v>0.1684</v>
      </c>
      <c r="C5" s="15" t="n">
        <v>-0.0524</v>
      </c>
    </row>
    <row r="6">
      <c r="A6" s="4" t="inlineStr">
        <is>
          <t>Equity / Book Value</t>
        </is>
      </c>
      <c r="B6" s="15" t="n">
        <v>0.0234</v>
      </c>
      <c r="C6" s="15" t="n">
        <v>0.025</v>
      </c>
    </row>
    <row r="7">
      <c r="A7" s="4" t="inlineStr">
        <is>
          <t>FCF CAGR: N/A (FY2026 negative)</t>
        </is>
      </c>
    </row>
    <row r="8">
      <c r="A8" s="4" t="inlineStr">
        <is>
          <t>Selected Growth Rate:</t>
        </is>
      </c>
      <c r="B8" s="15" t="n">
        <v>0.025</v>
      </c>
    </row>
    <row r="9">
      <c r="A9" s="4" t="inlineStr">
        <is>
          <t>Source:</t>
        </is>
      </c>
      <c r="B9" s="4" t="inlineStr">
        <is>
          <t>equity_5yr_cagr</t>
        </is>
      </c>
    </row>
    <row r="11">
      <c r="A11" s="3" t="inlineStr">
        <is>
          <t>Historical Multiples by Fiscal Year-End (REVISED: EV/EBITDA nets full investment portfolio)</t>
        </is>
      </c>
    </row>
    <row r="12">
      <c r="A12" s="11" t="inlineStr">
        <is>
          <t>Fiscal Year</t>
        </is>
      </c>
      <c r="B12" s="11" t="inlineStr">
        <is>
          <t>ADS Price (USD)</t>
        </is>
      </c>
      <c r="C12" s="11" t="inlineStr">
        <is>
          <t>P/E</t>
        </is>
      </c>
      <c r="D12" s="11" t="inlineStr">
        <is>
          <t>P/B</t>
        </is>
      </c>
      <c r="E12" s="11" t="inlineStr">
        <is>
          <t>EV/EBITDA (corrected)</t>
        </is>
      </c>
    </row>
    <row r="14">
      <c r="A14" s="4" t="inlineStr">
        <is>
          <t>FY2017</t>
        </is>
      </c>
      <c r="B14" s="12" t="n">
        <v>107.83</v>
      </c>
      <c r="C14" s="12" t="n">
        <v>43.83</v>
      </c>
      <c r="D14" s="12" t="n">
        <v>6.85</v>
      </c>
      <c r="E14" s="12" t="n">
        <v>24.96</v>
      </c>
    </row>
    <row r="15">
      <c r="A15" s="4" t="inlineStr">
        <is>
          <t>FY2018</t>
        </is>
      </c>
      <c r="B15" s="12" t="n">
        <v>183.54</v>
      </c>
      <c r="C15" s="12" t="n">
        <v>47.06</v>
      </c>
      <c r="D15" s="12" t="n">
        <v>8.210000000000001</v>
      </c>
      <c r="E15" s="12" t="n">
        <v>27.69</v>
      </c>
    </row>
    <row r="16">
      <c r="A16" s="4" t="inlineStr">
        <is>
          <t>FY2019</t>
        </is>
      </c>
      <c r="B16" s="12" t="n">
        <v>182.45</v>
      </c>
      <c r="C16" s="12" t="n">
        <v>36.71</v>
      </c>
      <c r="D16" s="12" t="n">
        <v>6.52</v>
      </c>
      <c r="E16" s="12" t="n">
        <v>25.84</v>
      </c>
    </row>
    <row r="17">
      <c r="A17" s="4" t="inlineStr">
        <is>
          <t>FY2020</t>
        </is>
      </c>
      <c r="B17" s="12" t="n">
        <v>194.48</v>
      </c>
      <c r="C17" s="12" t="n">
        <v>24.62</v>
      </c>
      <c r="D17" s="12" t="n">
        <v>4.86</v>
      </c>
      <c r="E17" s="12" t="n">
        <v>21.8</v>
      </c>
    </row>
    <row r="18">
      <c r="A18" s="4" t="inlineStr">
        <is>
          <t>FY2021</t>
        </is>
      </c>
      <c r="B18" s="12" t="n">
        <v>226.73</v>
      </c>
      <c r="C18" s="12" t="n">
        <v>27.15</v>
      </c>
      <c r="D18" s="12" t="n">
        <v>4.35</v>
      </c>
      <c r="E18" s="12" t="n">
        <v>19.07</v>
      </c>
    </row>
    <row r="19">
      <c r="A19" s="4" t="inlineStr">
        <is>
          <t>FY2022</t>
        </is>
      </c>
      <c r="B19" s="12" t="n">
        <v>108.8</v>
      </c>
      <c r="C19" s="12" t="n">
        <v>30.39</v>
      </c>
      <c r="D19" s="12" t="n">
        <v>1.98</v>
      </c>
      <c r="E19" s="12" t="n">
        <v>9.94</v>
      </c>
    </row>
    <row r="20">
      <c r="A20" s="4" t="inlineStr">
        <is>
          <t>FY2023</t>
        </is>
      </c>
      <c r="B20" s="12" t="n">
        <v>102.18</v>
      </c>
      <c r="C20" s="12" t="n">
        <v>25.55</v>
      </c>
      <c r="D20" s="12" t="n">
        <v>1.87</v>
      </c>
      <c r="E20" s="12" t="n">
        <v>8.26</v>
      </c>
    </row>
    <row r="21">
      <c r="A21" s="4" t="inlineStr">
        <is>
          <t>FY2024</t>
        </is>
      </c>
      <c r="B21" s="12" t="n">
        <v>72.36</v>
      </c>
      <c r="C21" s="12" t="n">
        <v>16.71</v>
      </c>
      <c r="D21" s="12" t="n">
        <v>1.35</v>
      </c>
      <c r="E21" s="12" t="n">
        <v>4.62</v>
      </c>
    </row>
    <row r="22">
      <c r="A22" s="4" t="inlineStr">
        <is>
          <t>FY2025</t>
        </is>
      </c>
      <c r="B22" s="12" t="n">
        <v>132.23</v>
      </c>
      <c r="C22" s="12" t="n">
        <v>17.89</v>
      </c>
      <c r="D22" s="12" t="n">
        <v>2.3</v>
      </c>
      <c r="E22" s="12" t="n">
        <v>9.640000000000001</v>
      </c>
    </row>
    <row r="23">
      <c r="A23" s="4" t="inlineStr">
        <is>
          <t>FY2026</t>
        </is>
      </c>
      <c r="B23" s="12" t="n">
        <v>125.46</v>
      </c>
      <c r="C23" s="12" t="n">
        <v>19.66</v>
      </c>
      <c r="D23" s="12" t="n">
        <v>1.96</v>
      </c>
      <c r="E23" s="12" t="n">
        <v>16.02</v>
      </c>
    </row>
    <row r="24">
      <c r="A24" s="4" t="inlineStr">
        <is>
          <t>Current</t>
        </is>
      </c>
      <c r="B24" s="12" t="n">
        <v>112.14</v>
      </c>
    </row>
    <row r="26">
      <c r="A26" s="3" t="inlineStr">
        <is>
          <t>Recent Normal Years (FY2022-FY2025) Averages -- REVISED</t>
        </is>
      </c>
    </row>
    <row r="27">
      <c r="A27" s="4" t="inlineStr">
        <is>
          <t>P/E Average</t>
        </is>
      </c>
      <c r="B27" s="12" t="n">
        <v>22.64</v>
      </c>
    </row>
    <row r="28">
      <c r="A28" s="4" t="inlineStr">
        <is>
          <t>P/B Average</t>
        </is>
      </c>
      <c r="B28" s="12" t="n">
        <v>1.88</v>
      </c>
    </row>
    <row r="29">
      <c r="A29" s="4" t="inlineStr">
        <is>
          <t>EV/EBITDA Average (corrected, was 10.09x)</t>
        </is>
      </c>
      <c r="B29" s="12" t="n">
        <v>8.119999999999999</v>
      </c>
    </row>
    <row r="30">
      <c r="A30" s="4" t="inlineStr">
        <is>
          <t>EV/EBITDA Range (corrected, was 6.53x-11.88x)</t>
        </is>
      </c>
      <c r="B30" s="4" t="inlineStr">
        <is>
          <t>4.62x - 9.94x</t>
        </is>
      </c>
    </row>
    <row r="32">
      <c r="A32" s="7" t="inlineStr">
        <is>
          <t>Note: FY2021 (bubble peak) and FY2026 (capex/subsidy trough) excluded</t>
        </is>
      </c>
    </row>
    <row r="33">
      <c r="A33" s="7" t="inlineStr">
        <is>
          <t>from "recent normal years" averages as outliers. FY2017-2018 EV/EBITDA computed</t>
        </is>
      </c>
    </row>
    <row r="34">
      <c r="A34" s="7" t="inlineStr">
        <is>
          <t>on a cash-only net-debt basis (short-term investment data unavailable in our</t>
        </is>
      </c>
    </row>
    <row r="35">
      <c r="A35" s="7" t="inlineStr">
        <is>
          <t>extracts for those years); both fall outside the FY2022-2025 calibration window.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Sanity Check - Implied Multiples at Base IV (REVISED 2026-07-26)</t>
        </is>
      </c>
    </row>
    <row r="3">
      <c r="A3" s="4" t="inlineStr">
        <is>
          <t>Passed:</t>
        </is>
      </c>
      <c r="B3" s="4" t="inlineStr">
        <is>
          <t>YES</t>
        </is>
      </c>
    </row>
    <row r="5">
      <c r="A5" s="3" t="inlineStr">
        <is>
          <t>Implied Multiples at Base Intrinsic Value ($129.55)</t>
        </is>
      </c>
    </row>
    <row r="6">
      <c r="A6" s="4" t="inlineStr">
        <is>
          <t>P/B</t>
        </is>
      </c>
      <c r="B6" s="12" t="n">
        <v>1.99</v>
      </c>
    </row>
    <row r="7">
      <c r="A7" s="4" t="inlineStr">
        <is>
          <t>EV/EBITDA (trough FY2026 EBITDA)</t>
        </is>
      </c>
      <c r="B7" s="12" t="n">
        <v>16.26</v>
      </c>
    </row>
    <row r="8">
      <c r="A8" s="4" t="inlineStr">
        <is>
          <t>EV/EBITDA (normalized avg FY23-25)</t>
        </is>
      </c>
      <c r="B8" s="12" t="n">
        <v>9.720000000000001</v>
      </c>
    </row>
    <row r="9">
      <c r="A9" s="4" t="inlineStr">
        <is>
          <t>P/S</t>
        </is>
      </c>
      <c r="B9" s="12" t="n">
        <v>2.06</v>
      </c>
    </row>
    <row r="10">
      <c r="A10" s="4" t="inlineStr">
        <is>
          <t>P/E (trough FY2026 EPS)</t>
        </is>
      </c>
      <c r="B10" s="12" t="n">
        <v>20.31</v>
      </c>
    </row>
    <row r="12">
      <c r="A12" s="3" t="inlineStr">
        <is>
          <t>Historical Range Comparison (Recent Normal Years FY22-25, REVISED)</t>
        </is>
      </c>
    </row>
    <row r="13">
      <c r="A13" s="4" t="inlineStr">
        <is>
          <t>P/E range</t>
        </is>
      </c>
      <c r="B13" s="4" t="inlineStr">
        <is>
          <t>16.71x - 30.39x</t>
        </is>
      </c>
    </row>
    <row r="14">
      <c r="A14" s="4" t="inlineStr">
        <is>
          <t>P/B range</t>
        </is>
      </c>
      <c r="B14" s="4" t="inlineStr">
        <is>
          <t>1.35x - 2.30x</t>
        </is>
      </c>
    </row>
    <row r="15">
      <c r="A15" s="4" t="inlineStr">
        <is>
          <t>EV/EBITDA range (corrected, was 6.53x-11.88x)</t>
        </is>
      </c>
      <c r="B15" s="4" t="inlineStr">
        <is>
          <t>4.62x - 9.94x</t>
        </is>
      </c>
    </row>
    <row r="17">
      <c r="A17" s="3" t="inlineStr">
        <is>
          <t>Diagnosis</t>
        </is>
      </c>
    </row>
    <row r="18" ht="150" customHeight="1">
      <c r="A18" s="18" t="inlineStr">
        <is>
          <t>No hard sanity trip on normalized multiples. P/B 1.99x at base IV is within the recent-normal-years (FY2022-FY2025) range of 1.35x-2.30x. Normalized EV/EBITDA 9.72x at base IV is now WITHIN (not near the top of) the corrected recent-normal-years range of 4.62x-9.94x, an improvement versus the pre-revision 11.46x which sat near the (higher, overstated) prior ceiling of 11.9x. P/E 20.31x (on trough FY2026 EPS, understating true earnings power) sits below the recent-years average of 22.6x. P/S 2.06x is within the recent range. Base case upside (15.5% on IV; 12.7% probability-weighted) does not trigger any 'excessive upside at elevated price' trip. Net effect of the net-debt correction: intrinsic value rose in all three scenarios (base +2.8%, bull roughly flat, bear +66.9% in dollar terms / +21.4 points of upside) because the RMB 260,828M net-cash addition to the equity bridge outweighs the reduction in exit-multiple-implied terminal value from the lower, corrected caps (7.0/9.5/4.5x vs 9.0/11.5/6.0x) in every scenario.</t>
        </is>
      </c>
    </row>
    <row r="26">
      <c r="A26" s="3" t="inlineStr">
        <is>
          <t>Fix Applied</t>
        </is>
      </c>
    </row>
    <row r="27" ht="130" customHeight="1">
      <c r="A27" s="18" t="inlineStr">
        <is>
          <t>Exit multiple cap applied as a precautionary discipline even though no hard trip was triggered. REVISED 2026-07-26: caps recalibrated to 7.0x/9.5x/4.5x (base/bull/bear) from 9.0x/11.5x/6.0x, following the corrected (lower) historical EV/EBITDA range once the investment portfolio is properly netted out of EV. Base case 7.0x exit multiple on normalized EBITDA constrains base IV to $129.55 (up from the pre-revision capped figure of $125.97, because the net-cash correction more than offsets the lower cap). Bull case 9.5x cap constrains bull IV to $186.55 (essentially unchanged from $186.60 pre-revision). The cap ensures no scenario implies EV/EBITDA meaningfully above what the market has paid in normal (non-bubble, non-trough) years, now measured on a fully-netted EV basis. Adjusted base used throughout (sensitivity, entry price, probability-weighted IV).</t>
        </is>
      </c>
    </row>
    <row r="30">
      <c r="A30" s="3" t="inlineStr">
        <is>
          <t>Data Revision Note</t>
        </is>
      </c>
    </row>
    <row r="31" ht="90" customHeight="1">
      <c r="A31" s="18" t="inlineStr">
        <is>
          <t>Prior same-day model netted only cash (net debt of RMB 128,466M). Corrected to net the full unrestricted war chest of RMB 520,824M (cash RMB 131,530M + unrestricted short-term investments RMB 155,236M + unrestricted other treasury investments RMB 234,058M) per the FY2026 20-F MD&amp;A, giving a NET CASH position of RMB 260,828M against total debt of RMB 259,996M. Historical EV/EBITDA series and exit-multiple caps re-derived on the same basis for consistency.</t>
        </is>
      </c>
    </row>
  </sheetData>
  <mergeCells count="3">
    <mergeCell ref="A18:E18"/>
    <mergeCell ref="A27:E27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2026-07-26T06:51:48Z</dcterms:created>
  <dcterms:modified xmlns:dcterms="http://purl.org/dc/terms/" xmlns:xsi="http://www.w3.org/2001/XMLSchema-instance" xsi:type="dcterms:W3CDTF">2026-07-26T06:52:30Z</dcterms:modified>
</cp:coreProperties>
</file>