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se Case DCF" sheetId="1" r:id="rId1"/>
    <sheet name="Scenarios Comparison" sheetId="2" r:id="rId2"/>
    <sheet name="Sensitivity Analysis" sheetId="3" r:id="rId3"/>
    <sheet name="Historical Context" sheetId="4" r:id="rId4"/>
  </sheets>
  <calcPr calcId="124519" fullCalcOnLoad="1"/>
</workbook>
</file>

<file path=xl/sharedStrings.xml><?xml version="1.0" encoding="utf-8"?>
<sst xmlns="http://schemas.openxmlformats.org/spreadsheetml/2006/main" count="185" uniqueCount="160">
  <si>
    <t>BABA — Alibaba Group DCF Valuation Model</t>
  </si>
  <si>
    <t>Trough-FCF Mid-Cycle Normalization | All FCF values in RMB millions | IV in USD per ADS | Gray cells = adjustable inputs</t>
  </si>
  <si>
    <t>Valuation date: 2026-06-30  |  ADS price: $95.51  |  1 ADS = 8 ordinary shares  |  FX: 7.25 RMB/USD</t>
  </si>
  <si>
    <t>KEY INPUTS</t>
  </si>
  <si>
    <t>Current ADS Price (USD)</t>
  </si>
  <si>
    <t>ADS Outstanding (millions)</t>
  </si>
  <si>
    <t>Cash &amp; Equivalents (RMB M)</t>
  </si>
  <si>
    <t>Total Debt (RMB M)</t>
  </si>
  <si>
    <t>Net Debt (RMB M)</t>
  </si>
  <si>
    <t>FX Rate (RMB per USD)</t>
  </si>
  <si>
    <t>Normalized FCF Base Year (RMB M)</t>
  </si>
  <si>
    <t>Normalized EBITDA for Exit Multiple (RMB M)</t>
  </si>
  <si>
    <t>Exit Multiple Cap (x normalized EBITDA Y5)</t>
  </si>
  <si>
    <t>WACC</t>
  </si>
  <si>
    <t>Terminal Growth Rate</t>
  </si>
  <si>
    <t>FCF GROWTH ASSUMPTIONS (Base Case)</t>
  </si>
  <si>
    <t>Year 1</t>
  </si>
  <si>
    <t>Year 2</t>
  </si>
  <si>
    <t>Year 3</t>
  </si>
  <si>
    <t>Year 4</t>
  </si>
  <si>
    <t>Year 5</t>
  </si>
  <si>
    <t>Base Year</t>
  </si>
  <si>
    <t>FCF Growth Rate (%)</t>
  </si>
  <si>
    <t>EBITDA Growth Factor (= FCF growth x 60%)</t>
  </si>
  <si>
    <t>PROJECTED FREE CASH FLOW (RMB Millions)</t>
  </si>
  <si>
    <t>Free Cash Flow (RMB M)</t>
  </si>
  <si>
    <t>EBITDA for Exit Multiple (RMB M)</t>
  </si>
  <si>
    <t>Discount Factor</t>
  </si>
  <si>
    <t>PV of FCF (RMB M)</t>
  </si>
  <si>
    <t>VALUATION BRIDGE</t>
  </si>
  <si>
    <t>Sum of PV of FCF (RMB M)</t>
  </si>
  <si>
    <t>Terminal FCF [Gordon Growth] (Y5 * (1+TGR))</t>
  </si>
  <si>
    <t>Terminal Value [Gordon Growth] (RMB M)</t>
  </si>
  <si>
    <t>Terminal EBITDA Y5 x Exit Multiple (RMB M)</t>
  </si>
  <si>
    <t>Terminal Value USED = MIN(Gordon, Exit Cap) (RMB M)</t>
  </si>
  <si>
    <t>PV of Terminal Value (RMB M)</t>
  </si>
  <si>
    <t>Enterprise Value (RMB M)</t>
  </si>
  <si>
    <t>Less: Net Debt (RMB M)</t>
  </si>
  <si>
    <t>Equity Value (RMB M)</t>
  </si>
  <si>
    <t>Equity Value (USD M)</t>
  </si>
  <si>
    <t>INTRINSIC VALUE PER ADS (USD)</t>
  </si>
  <si>
    <t>Upside / (Downside) vs Current ADS Price</t>
  </si>
  <si>
    <t>ENTRY PRICE — 15% CAGR TARGET</t>
  </si>
  <si>
    <t>TV per ADS (USD)</t>
  </si>
  <si>
    <t>Entry Price (15% CAGR to TV, 5 years)</t>
  </si>
  <si>
    <t>Entry vs Current ADS Price</t>
  </si>
  <si>
    <t>Note</t>
  </si>
  <si>
    <t>Negative = stock above entry (requires price drop for 15% CAGR). Positive = stock below entry (already at/below 15% CAGR level).</t>
  </si>
  <si>
    <t>SANITY CHECK — IMPLIED MULTIPLES ON BASE IV</t>
  </si>
  <si>
    <t>Implied Market Cap (RMB M)</t>
  </si>
  <si>
    <t>Implied EV (RMB M)</t>
  </si>
  <si>
    <t>Implied P/B  [hist range 1.3x-6.1x, recent avg ~2.1x]</t>
  </si>
  <si>
    <t>Implied EV/EBITDA (normalized)  [hist max 12x]</t>
  </si>
  <si>
    <t>Implied P/S  [hist range 1.4x-2.3x]</t>
  </si>
  <si>
    <t>EV/EBITDA vs FY2026 trough EBITDA (113,483M) would show ~20x — this is trough distortion, not a valid sanity bound.</t>
  </si>
  <si>
    <t>BABA DCF — Scenario Comparison</t>
  </si>
  <si>
    <t>All FCF in RMB millions | Intrinsic Value in USD per ADS</t>
  </si>
  <si>
    <t>Scenario</t>
  </si>
  <si>
    <t>BEAR</t>
  </si>
  <si>
    <t>BASE</t>
  </si>
  <si>
    <t>BULL</t>
  </si>
  <si>
    <t>Normalized FCF Base (RMB M)</t>
  </si>
  <si>
    <t>Y1 FCF Growth</t>
  </si>
  <si>
    <t>5%</t>
  </si>
  <si>
    <t>25%</t>
  </si>
  <si>
    <t>30%</t>
  </si>
  <si>
    <t>Y2 FCF Growth</t>
  </si>
  <si>
    <t>20%</t>
  </si>
  <si>
    <t>Y3 FCF Growth</t>
  </si>
  <si>
    <t>3%</t>
  </si>
  <si>
    <t>15%</t>
  </si>
  <si>
    <t>Y4 FCF Growth</t>
  </si>
  <si>
    <t>10%</t>
  </si>
  <si>
    <t>Y5 FCF Growth</t>
  </si>
  <si>
    <t>2%</t>
  </si>
  <si>
    <t>7%</t>
  </si>
  <si>
    <t>13.0%</t>
  </si>
  <si>
    <t>11.5%</t>
  </si>
  <si>
    <t>10.5%</t>
  </si>
  <si>
    <t>2.5%</t>
  </si>
  <si>
    <t>3.0%</t>
  </si>
  <si>
    <t>3.5%</t>
  </si>
  <si>
    <t>Exit Multiple Cap</t>
  </si>
  <si>
    <t>6.0x</t>
  </si>
  <si>
    <t>9.0x</t>
  </si>
  <si>
    <t>12.0x</t>
  </si>
  <si>
    <t>Sum PV of FCF (RMB M)</t>
  </si>
  <si>
    <t>Terminal Value Used (RMB M)</t>
  </si>
  <si>
    <t>Upside / (Downside) %</t>
  </si>
  <si>
    <t>-64.7%</t>
  </si>
  <si>
    <t>27.2%</t>
  </si>
  <si>
    <t>95.8%</t>
  </si>
  <si>
    <t>TV per ADS USD (for entry price)</t>
  </si>
  <si>
    <t>Entry Price (15% CAGR to TV)</t>
  </si>
  <si>
    <t>Entry vs Current %</t>
  </si>
  <si>
    <t>-75.8%</t>
  </si>
  <si>
    <t>-21.2%</t>
  </si>
  <si>
    <t>+19.0%</t>
  </si>
  <si>
    <t>Probability Weights</t>
  </si>
  <si>
    <t>50%</t>
  </si>
  <si>
    <t>PROBABILITY-WEIGHTED IV (USD/ADS)</t>
  </si>
  <si>
    <t>Weighted Upside from Current</t>
  </si>
  <si>
    <t>Sensitivity Analysis — Intrinsic Value per ADS (USD)</t>
  </si>
  <si>
    <t>Base FCF = RMB 120,000M | Growth [25%, 20%, 15%, 10%, 7%] | Exit cap 9x normalized EBITDA</t>
  </si>
  <si>
    <t>Gray cells = base case assumption. Exit cap dominates at low WACCs (rows are flat) — Gordon Growth dominates at high WACCs.</t>
  </si>
  <si>
    <t>WACC  \  Terminal G</t>
  </si>
  <si>
    <t>Legend:</t>
  </si>
  <si>
    <t>Green = IV &gt; $140 (strong upside)</t>
  </si>
  <si>
    <t>Yellow = IV $95-140 (near current price)</t>
  </si>
  <si>
    <t>Red = IV &lt; $95 (downside)</t>
  </si>
  <si>
    <t>Blue border = base case</t>
  </si>
  <si>
    <t>Current ADS Price: $95.51</t>
  </si>
  <si>
    <t>Base Case IV: $121.47</t>
  </si>
  <si>
    <t>Note: Sensitivity uses Gordon Growth TV OR exit-multiple TV (whichever is lower). At low WACCs, exit cap is binding.</t>
  </si>
  <si>
    <t>BABA — Historical Context &amp; Growth Rates</t>
  </si>
  <si>
    <t>Source: BABA_Metrics.csv | Annual data only | All values in RMB millions unless noted</t>
  </si>
  <si>
    <t>Metric</t>
  </si>
  <si>
    <t>3-Year CAGR</t>
  </si>
  <si>
    <t>5-Year CAGR</t>
  </si>
  <si>
    <t>Notes</t>
  </si>
  <si>
    <t>Revenue</t>
  </si>
  <si>
    <t>FY2026 reported +3%; +11% ex-divestitures</t>
  </si>
  <si>
    <t>EPS (GAAP RMB/share)</t>
  </si>
  <si>
    <t>Distorted by FY2026 investment trough</t>
  </si>
  <si>
    <t>Shareholders Equity</t>
  </si>
  <si>
    <t>Understated due to buybacks reducing share count</t>
  </si>
  <si>
    <t>Free Cash Flow</t>
  </si>
  <si>
    <t>N/A</t>
  </si>
  <si>
    <t>N/A — FY2026 FCF was -46,609 RMB M (trough year)</t>
  </si>
  <si>
    <t>FCF History (RMB Millions) — Showing Trough Context</t>
  </si>
  <si>
    <t>Period</t>
  </si>
  <si>
    <t>FCF (RMB M)</t>
  </si>
  <si>
    <t>FY2020</t>
  </si>
  <si>
    <t>FY2021</t>
  </si>
  <si>
    <t>FY2022</t>
  </si>
  <si>
    <t>FY2023</t>
  </si>
  <si>
    <t>FY2024</t>
  </si>
  <si>
    <t>FY2025</t>
  </si>
  <si>
    <t>FY2026</t>
  </si>
  <si>
    <t>TROUGH — AI capex + QC subsidies; NOT structural</t>
  </si>
  <si>
    <t>FY2020-FY2025 Average</t>
  </si>
  <si>
    <t>Normalized Base (used in model)</t>
  </si>
  <si>
    <t>10.5% discount to avg to reflect FY2027-FY2028 capex overhang</t>
  </si>
  <si>
    <t>Historical Trading Multiples (from research brief)</t>
  </si>
  <si>
    <t>Multiple</t>
  </si>
  <si>
    <t>10yr Low</t>
  </si>
  <si>
    <t>10yr High</t>
  </si>
  <si>
    <t>Recent 3yr / Notes</t>
  </si>
  <si>
    <t>P/Book Value</t>
  </si>
  <si>
    <t>1.3x</t>
  </si>
  <si>
    <t>6.1x</t>
  </si>
  <si>
    <t>2.0x-2.3x recent; base IV implies 2.00x</t>
  </si>
  <si>
    <t>EV/Adj.EBITDA</t>
  </si>
  <si>
    <t>5.4x</t>
  </si>
  <si>
    <t>11.8x</t>
  </si>
  <si>
    <t>FY2024=5.4x, FY2025=10.0x; usable max 12x; base IV implies 11.9x on normalized EBITDA</t>
  </si>
  <si>
    <t>P/Sales</t>
  </si>
  <si>
    <t>1.4x</t>
  </si>
  <si>
    <t>2.3x</t>
  </si>
  <si>
    <t>Base IV implies 2.08x — at high end of range</t>
  </si>
</sst>
</file>

<file path=xl/styles.xml><?xml version="1.0" encoding="utf-8"?>
<styleSheet xmlns="http://schemas.openxmlformats.org/spreadsheetml/2006/main">
  <numFmts count="7">
    <numFmt numFmtId="164" formatCode="#,##0.00"/>
    <numFmt numFmtId="165" formatCode="#,##0"/>
    <numFmt numFmtId="166" formatCode="0.0%"/>
    <numFmt numFmtId="167" formatCode="0.00%"/>
    <numFmt numFmtId="168" formatCode="&quot;$&quot;#,##0.00"/>
    <numFmt numFmtId="169" formatCode="&quot;$&quot;#,##0.0"/>
    <numFmt numFmtId="170" formatCode="&quot;$&quot;#,##0"/>
  </numFmts>
  <fonts count="9">
    <font>
      <sz val="11"/>
      <color theme="1"/>
      <name val="Calibri"/>
      <family val="2"/>
      <scheme val="minor"/>
    </font>
    <font>
      <b/>
      <sz val="16"/>
      <color rgb="FF2D3436"/>
      <name val="Calibri"/>
      <family val="2"/>
      <scheme val="minor"/>
    </font>
    <font>
      <i/>
      <sz val="10"/>
      <color rgb="FF636E72"/>
      <name val="Calibri"/>
      <family val="2"/>
      <scheme val="minor"/>
    </font>
    <font>
      <b/>
      <sz val="11"/>
      <color rgb="FF2D343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rgb="FF636E72"/>
      <name val="Calibri"/>
      <family val="2"/>
      <scheme val="minor"/>
    </font>
    <font>
      <sz val="11"/>
      <color rgb="FF2D3436"/>
      <name val="Calibri"/>
      <family val="2"/>
      <scheme val="minor"/>
    </font>
    <font>
      <i/>
      <sz val="9"/>
      <color rgb="FFD6303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  <fill>
      <patternFill patternType="solid">
        <fgColor rgb="FFFDCB6E"/>
        <bgColor indexed="64"/>
      </patternFill>
    </fill>
    <fill>
      <patternFill patternType="solid">
        <fgColor rgb="FFD63031"/>
        <bgColor indexed="64"/>
      </patternFill>
    </fill>
    <fill>
      <patternFill patternType="solid">
        <fgColor rgb="FF0984E3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 applyAlignment="1">
      <alignment horizontal="right"/>
    </xf>
    <xf numFmtId="165" fontId="0" fillId="2" borderId="2" xfId="0" applyNumberFormat="1" applyFill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166" fontId="0" fillId="2" borderId="2" xfId="0" applyNumberFormat="1" applyFill="1" applyBorder="1" applyAlignment="1">
      <alignment horizontal="right"/>
    </xf>
    <xf numFmtId="0" fontId="4" fillId="3" borderId="2" xfId="0" applyFont="1" applyFill="1" applyBorder="1" applyAlignment="1">
      <alignment horizontal="center" vertical="center"/>
    </xf>
    <xf numFmtId="166" fontId="0" fillId="0" borderId="2" xfId="0" applyNumberFormat="1" applyBorder="1" applyAlignment="1">
      <alignment horizontal="right"/>
    </xf>
    <xf numFmtId="167" fontId="0" fillId="0" borderId="2" xfId="0" applyNumberFormat="1" applyBorder="1" applyAlignment="1">
      <alignment horizontal="right"/>
    </xf>
    <xf numFmtId="0" fontId="5" fillId="0" borderId="0" xfId="0" applyFont="1"/>
    <xf numFmtId="168" fontId="4" fillId="4" borderId="2" xfId="0" applyNumberFormat="1" applyFont="1" applyFill="1" applyBorder="1" applyAlignment="1">
      <alignment horizontal="right"/>
    </xf>
    <xf numFmtId="166" fontId="4" fillId="4" borderId="2" xfId="0" applyNumberFormat="1" applyFont="1" applyFill="1" applyBorder="1" applyAlignment="1">
      <alignment horizontal="right"/>
    </xf>
    <xf numFmtId="168" fontId="0" fillId="0" borderId="2" xfId="0" applyNumberFormat="1" applyBorder="1" applyAlignment="1">
      <alignment horizontal="right"/>
    </xf>
    <xf numFmtId="168" fontId="3" fillId="5" borderId="2" xfId="0" applyNumberFormat="1" applyFont="1" applyFill="1" applyBorder="1" applyAlignment="1">
      <alignment horizontal="right"/>
    </xf>
    <xf numFmtId="0" fontId="6" fillId="0" borderId="0" xfId="0" applyFont="1"/>
    <xf numFmtId="169" fontId="0" fillId="0" borderId="2" xfId="0" applyNumberFormat="1" applyBorder="1" applyAlignment="1">
      <alignment horizontal="right"/>
    </xf>
    <xf numFmtId="0" fontId="4" fillId="6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170" fontId="0" fillId="0" borderId="2" xfId="0" applyNumberFormat="1" applyBorder="1" applyAlignment="1">
      <alignment horizontal="center"/>
    </xf>
    <xf numFmtId="166" fontId="4" fillId="3" borderId="2" xfId="0" applyNumberFormat="1" applyFont="1" applyFill="1" applyBorder="1" applyAlignment="1">
      <alignment horizontal="center"/>
    </xf>
    <xf numFmtId="170" fontId="7" fillId="5" borderId="2" xfId="0" applyNumberFormat="1" applyFont="1" applyFill="1" applyBorder="1" applyAlignment="1">
      <alignment horizontal="center"/>
    </xf>
    <xf numFmtId="170" fontId="4" fillId="7" borderId="3" xfId="0" applyNumberFormat="1" applyFont="1" applyFill="1" applyBorder="1" applyAlignment="1">
      <alignment horizontal="center"/>
    </xf>
    <xf numFmtId="170" fontId="4" fillId="4" borderId="2" xfId="0" applyNumberFormat="1" applyFont="1" applyFill="1" applyBorder="1" applyAlignment="1">
      <alignment horizontal="center"/>
    </xf>
    <xf numFmtId="170" fontId="4" fillId="6" borderId="2" xfId="0" applyNumberFormat="1" applyFont="1" applyFill="1" applyBorder="1" applyAlignment="1">
      <alignment horizontal="center"/>
    </xf>
    <xf numFmtId="0" fontId="8" fillId="0" borderId="0" xfId="0" applyFont="1"/>
    <xf numFmtId="165" fontId="5" fillId="2" borderId="2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55"/>
  <sheetViews>
    <sheetView tabSelected="1" zoomScale="90" zoomScaleNormal="90" workbookViewId="0"/>
  </sheetViews>
  <sheetFormatPr defaultRowHeight="15"/>
  <cols>
    <col min="1" max="1" width="32.7109375" customWidth="1"/>
    <col min="2" max="2" width="16.7109375" customWidth="1"/>
    <col min="3" max="8" width="14.7109375" customWidth="1"/>
  </cols>
  <sheetData>
    <row r="1" spans="1:2">
      <c r="A1" s="1" t="s">
        <v>0</v>
      </c>
    </row>
    <row r="2" spans="1:2">
      <c r="A2" s="2" t="s">
        <v>1</v>
      </c>
    </row>
    <row r="3" spans="1:2">
      <c r="A3" s="2" t="s">
        <v>2</v>
      </c>
    </row>
    <row r="5" spans="1:2">
      <c r="A5" s="3" t="s">
        <v>3</v>
      </c>
    </row>
    <row r="6" spans="1:2">
      <c r="A6" t="s">
        <v>4</v>
      </c>
      <c r="B6" s="4">
        <v>95.51000000000001</v>
      </c>
    </row>
    <row r="7" spans="1:2">
      <c r="A7" t="s">
        <v>5</v>
      </c>
      <c r="B7" s="5">
        <v>2414.9</v>
      </c>
    </row>
    <row r="8" spans="1:2">
      <c r="A8" t="s">
        <v>6</v>
      </c>
      <c r="B8" s="5">
        <v>131530</v>
      </c>
    </row>
    <row r="9" spans="1:2">
      <c r="A9" t="s">
        <v>7</v>
      </c>
      <c r="B9" s="5">
        <v>259996</v>
      </c>
    </row>
    <row r="10" spans="1:2">
      <c r="A10" t="s">
        <v>8</v>
      </c>
      <c r="B10" s="6">
        <f>B9-B8</f>
        <v>0</v>
      </c>
    </row>
    <row r="11" spans="1:2">
      <c r="A11" t="s">
        <v>9</v>
      </c>
      <c r="B11" s="4">
        <v>7.25</v>
      </c>
    </row>
    <row r="12" spans="1:2">
      <c r="A12" t="s">
        <v>10</v>
      </c>
      <c r="B12" s="5">
        <v>120000</v>
      </c>
    </row>
    <row r="13" spans="1:2">
      <c r="A13" t="s">
        <v>11</v>
      </c>
      <c r="B13" s="5">
        <v>189901</v>
      </c>
    </row>
    <row r="14" spans="1:2">
      <c r="A14" t="s">
        <v>12</v>
      </c>
      <c r="B14" s="4">
        <v>9</v>
      </c>
    </row>
    <row r="15" spans="1:2">
      <c r="A15" t="s">
        <v>13</v>
      </c>
      <c r="B15" s="7">
        <v>0.115</v>
      </c>
    </row>
    <row r="16" spans="1:2">
      <c r="A16" t="s">
        <v>14</v>
      </c>
      <c r="B16" s="7">
        <v>0.03</v>
      </c>
    </row>
    <row r="18" spans="1:7">
      <c r="A18" s="3" t="s">
        <v>15</v>
      </c>
    </row>
    <row r="19" spans="1:7">
      <c r="A19" s="8"/>
      <c r="B19" s="8" t="s">
        <v>16</v>
      </c>
      <c r="C19" s="8" t="s">
        <v>17</v>
      </c>
      <c r="D19" s="8" t="s">
        <v>18</v>
      </c>
      <c r="E19" s="8" t="s">
        <v>19</v>
      </c>
      <c r="F19" s="8" t="s">
        <v>20</v>
      </c>
      <c r="G19" s="8" t="s">
        <v>21</v>
      </c>
    </row>
    <row r="20" spans="1:7">
      <c r="A20" t="s">
        <v>22</v>
      </c>
      <c r="B20" s="7">
        <v>0.25</v>
      </c>
      <c r="C20" s="7">
        <v>0.2</v>
      </c>
      <c r="D20" s="7">
        <v>0.15</v>
      </c>
      <c r="E20" s="7">
        <v>0.1</v>
      </c>
      <c r="F20" s="7">
        <v>0.07000000000000001</v>
      </c>
    </row>
    <row r="21" spans="1:7">
      <c r="A21" t="s">
        <v>23</v>
      </c>
      <c r="B21" s="9">
        <f>B20*0.6</f>
        <v>0</v>
      </c>
      <c r="C21" s="9">
        <f>C20*0.6</f>
        <v>0</v>
      </c>
      <c r="D21" s="9">
        <f>D20*0.6</f>
        <v>0</v>
      </c>
      <c r="E21" s="9">
        <f>E20*0.6</f>
        <v>0</v>
      </c>
      <c r="F21" s="9">
        <f>F20*0.6</f>
        <v>0</v>
      </c>
    </row>
    <row r="22" spans="1:7">
      <c r="A22" s="3" t="s">
        <v>24</v>
      </c>
    </row>
    <row r="23" spans="1:7">
      <c r="A23" s="8"/>
      <c r="B23" s="8" t="s">
        <v>21</v>
      </c>
      <c r="C23" s="8" t="s">
        <v>16</v>
      </c>
      <c r="D23" s="8" t="s">
        <v>17</v>
      </c>
      <c r="E23" s="8" t="s">
        <v>18</v>
      </c>
      <c r="F23" s="8" t="s">
        <v>19</v>
      </c>
      <c r="G23" s="8" t="s">
        <v>20</v>
      </c>
    </row>
    <row r="24" spans="1:7">
      <c r="A24" t="s">
        <v>25</v>
      </c>
      <c r="B24" s="6">
        <f>B12</f>
        <v>0</v>
      </c>
      <c r="C24" s="6">
        <f>B24*(1+B20)</f>
        <v>0</v>
      </c>
      <c r="D24" s="6">
        <f>C24*(1+C20)</f>
        <v>0</v>
      </c>
      <c r="E24" s="6">
        <f>D24*(1+D20)</f>
        <v>0</v>
      </c>
      <c r="F24" s="6">
        <f>E24*(1+E20)</f>
        <v>0</v>
      </c>
      <c r="G24" s="6">
        <f>F24*(1+F20)</f>
        <v>0</v>
      </c>
    </row>
    <row r="25" spans="1:7">
      <c r="A25" t="s">
        <v>26</v>
      </c>
      <c r="B25" s="6">
        <f>B13</f>
        <v>0</v>
      </c>
      <c r="C25" s="6">
        <f>B25*(1+B21)</f>
        <v>0</v>
      </c>
      <c r="D25" s="6">
        <f>C25*(1+C21)</f>
        <v>0</v>
      </c>
      <c r="E25" s="6">
        <f>D25*(1+D21)</f>
        <v>0</v>
      </c>
      <c r="F25" s="6">
        <f>E25*(1+E21)</f>
        <v>0</v>
      </c>
      <c r="G25" s="6">
        <f>F25*(1+F21)</f>
        <v>0</v>
      </c>
    </row>
    <row r="26" spans="1:7">
      <c r="A26" t="s">
        <v>27</v>
      </c>
      <c r="C26" s="10">
        <f>1/(1+$B$15)^1</f>
        <v>0</v>
      </c>
      <c r="D26" s="10">
        <f>1/(1+$B$15)^2</f>
        <v>0</v>
      </c>
      <c r="E26" s="10">
        <f>1/(1+$B$15)^3</f>
        <v>0</v>
      </c>
      <c r="F26" s="10">
        <f>1/(1+$B$15)^4</f>
        <v>0</v>
      </c>
      <c r="G26" s="10">
        <f>1/(1+$B$15)^5</f>
        <v>0</v>
      </c>
    </row>
    <row r="27" spans="1:7">
      <c r="A27" t="s">
        <v>28</v>
      </c>
      <c r="C27" s="6">
        <f>C24*C26</f>
        <v>0</v>
      </c>
      <c r="D27" s="6">
        <f>D24*D26</f>
        <v>0</v>
      </c>
      <c r="E27" s="6">
        <f>E24*E26</f>
        <v>0</v>
      </c>
      <c r="F27" s="6">
        <f>F24*F26</f>
        <v>0</v>
      </c>
      <c r="G27" s="6">
        <f>G24*G26</f>
        <v>0</v>
      </c>
    </row>
    <row r="29" spans="1:7">
      <c r="A29" s="3" t="s">
        <v>29</v>
      </c>
    </row>
    <row r="30" spans="1:7">
      <c r="A30" t="s">
        <v>30</v>
      </c>
      <c r="B30" s="6">
        <f>SUM(C27:G27)</f>
        <v>0</v>
      </c>
    </row>
    <row r="31" spans="1:7">
      <c r="A31" t="s">
        <v>31</v>
      </c>
      <c r="B31" s="6">
        <f>G24*(1+$B$16)</f>
        <v>0</v>
      </c>
    </row>
    <row r="32" spans="1:7">
      <c r="A32" t="s">
        <v>32</v>
      </c>
      <c r="B32" s="6">
        <f>B31/($B$15-$B$16)</f>
        <v>0</v>
      </c>
    </row>
    <row r="33" spans="1:2">
      <c r="A33" t="s">
        <v>33</v>
      </c>
      <c r="B33" s="6">
        <f>G25*$B$14</f>
        <v>0</v>
      </c>
    </row>
    <row r="34" spans="1:2">
      <c r="A34" t="s">
        <v>34</v>
      </c>
      <c r="B34" s="6">
        <f>MIN(B32,B33)</f>
        <v>0</v>
      </c>
    </row>
    <row r="35" spans="1:2">
      <c r="A35" t="s">
        <v>35</v>
      </c>
      <c r="B35" s="6">
        <f>B34*G26</f>
        <v>0</v>
      </c>
    </row>
    <row r="36" spans="1:2">
      <c r="A36" t="s">
        <v>36</v>
      </c>
      <c r="B36" s="6">
        <f>B30+B35</f>
        <v>0</v>
      </c>
    </row>
    <row r="37" spans="1:2">
      <c r="A37" t="s">
        <v>37</v>
      </c>
      <c r="B37" s="6">
        <f>B10</f>
        <v>0</v>
      </c>
    </row>
    <row r="38" spans="1:2">
      <c r="A38" t="s">
        <v>38</v>
      </c>
      <c r="B38" s="6">
        <f>B36-B37</f>
        <v>0</v>
      </c>
    </row>
    <row r="39" spans="1:2">
      <c r="A39" t="s">
        <v>39</v>
      </c>
      <c r="B39" s="6">
        <f>B38/$B$11</f>
        <v>0</v>
      </c>
    </row>
    <row r="40" spans="1:2">
      <c r="A40" s="11" t="s">
        <v>40</v>
      </c>
      <c r="B40" s="12">
        <f>B38/($B$7*$B$11)</f>
        <v>0</v>
      </c>
    </row>
    <row r="41" spans="1:2">
      <c r="A41" t="s">
        <v>41</v>
      </c>
      <c r="B41" s="13">
        <f>(B40-$B$6)/$B$6</f>
        <v>0</v>
      </c>
    </row>
    <row r="43" spans="1:2">
      <c r="A43" s="3" t="s">
        <v>42</v>
      </c>
    </row>
    <row r="44" spans="1:2">
      <c r="A44" t="s">
        <v>43</v>
      </c>
      <c r="B44" s="14">
        <f>B34/($B$7*$B$11)</f>
        <v>0</v>
      </c>
    </row>
    <row r="45" spans="1:2">
      <c r="A45" t="s">
        <v>44</v>
      </c>
      <c r="B45" s="15">
        <f>B44/(1.15^5)</f>
        <v>0</v>
      </c>
    </row>
    <row r="46" spans="1:2">
      <c r="A46" t="s">
        <v>45</v>
      </c>
      <c r="B46" s="9">
        <f>(B45-$B$6)/$B$6</f>
        <v>0</v>
      </c>
    </row>
    <row r="47" spans="1:2">
      <c r="A47" s="16" t="s">
        <v>46</v>
      </c>
      <c r="B47" s="16" t="s">
        <v>47</v>
      </c>
    </row>
    <row r="49" spans="1:2">
      <c r="A49" s="3" t="s">
        <v>48</v>
      </c>
    </row>
    <row r="50" spans="1:2">
      <c r="A50" t="s">
        <v>49</v>
      </c>
      <c r="B50" s="6">
        <f>B40*$B$7*$B$11</f>
        <v>0</v>
      </c>
    </row>
    <row r="51" spans="1:2">
      <c r="A51" t="s">
        <v>50</v>
      </c>
      <c r="B51" s="6">
        <f>B50+B10</f>
        <v>0</v>
      </c>
    </row>
    <row r="52" spans="1:2">
      <c r="A52" t="s">
        <v>51</v>
      </c>
      <c r="B52" s="17">
        <f>B50/1060886</f>
        <v>0</v>
      </c>
    </row>
    <row r="53" spans="1:2">
      <c r="A53" t="s">
        <v>52</v>
      </c>
      <c r="B53" s="17">
        <f>B51/189901</f>
        <v>0</v>
      </c>
    </row>
    <row r="54" spans="1:2">
      <c r="A54" t="s">
        <v>53</v>
      </c>
      <c r="B54" s="17">
        <f>B50/1023670</f>
        <v>0</v>
      </c>
    </row>
    <row r="55" spans="1:2">
      <c r="A55" s="16" t="s">
        <v>46</v>
      </c>
      <c r="B55" s="16" t="s">
        <v>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2"/>
  <sheetViews>
    <sheetView zoomScale="90" zoomScaleNormal="90" workbookViewId="0"/>
  </sheetViews>
  <sheetFormatPr defaultRowHeight="15"/>
  <cols>
    <col min="1" max="1" width="35.7109375" customWidth="1"/>
    <col min="2" max="4" width="18.7109375" customWidth="1"/>
  </cols>
  <sheetData>
    <row r="1" spans="1:4">
      <c r="A1" s="1" t="s">
        <v>55</v>
      </c>
    </row>
    <row r="2" spans="1:4">
      <c r="A2" s="2" t="s">
        <v>56</v>
      </c>
    </row>
    <row r="4" spans="1:4">
      <c r="A4" s="8" t="s">
        <v>57</v>
      </c>
      <c r="B4" s="18" t="s">
        <v>58</v>
      </c>
      <c r="C4" s="19" t="s">
        <v>59</v>
      </c>
      <c r="D4" s="20" t="s">
        <v>60</v>
      </c>
    </row>
    <row r="5" spans="1:4">
      <c r="A5" t="s">
        <v>61</v>
      </c>
      <c r="B5" s="6">
        <v>70000</v>
      </c>
      <c r="C5" s="6">
        <v>120000</v>
      </c>
      <c r="D5" s="6">
        <v>140000</v>
      </c>
    </row>
    <row r="6" spans="1:4">
      <c r="A6" t="s">
        <v>62</v>
      </c>
      <c r="B6" s="21" t="s">
        <v>63</v>
      </c>
      <c r="C6" s="21" t="s">
        <v>64</v>
      </c>
      <c r="D6" s="21" t="s">
        <v>65</v>
      </c>
    </row>
    <row r="7" spans="1:4">
      <c r="A7" t="s">
        <v>66</v>
      </c>
      <c r="B7" s="21" t="s">
        <v>63</v>
      </c>
      <c r="C7" s="21" t="s">
        <v>67</v>
      </c>
      <c r="D7" s="21" t="s">
        <v>64</v>
      </c>
    </row>
    <row r="8" spans="1:4">
      <c r="A8" t="s">
        <v>68</v>
      </c>
      <c r="B8" s="21" t="s">
        <v>69</v>
      </c>
      <c r="C8" s="21" t="s">
        <v>70</v>
      </c>
      <c r="D8" s="21" t="s">
        <v>67</v>
      </c>
    </row>
    <row r="9" spans="1:4">
      <c r="A9" t="s">
        <v>71</v>
      </c>
      <c r="B9" s="21" t="s">
        <v>69</v>
      </c>
      <c r="C9" s="21" t="s">
        <v>72</v>
      </c>
      <c r="D9" s="21" t="s">
        <v>70</v>
      </c>
    </row>
    <row r="10" spans="1:4">
      <c r="A10" t="s">
        <v>73</v>
      </c>
      <c r="B10" s="21" t="s">
        <v>74</v>
      </c>
      <c r="C10" s="21" t="s">
        <v>75</v>
      </c>
      <c r="D10" s="21" t="s">
        <v>72</v>
      </c>
    </row>
    <row r="11" spans="1:4">
      <c r="A11" t="s">
        <v>13</v>
      </c>
      <c r="B11" s="21" t="s">
        <v>76</v>
      </c>
      <c r="C11" s="21" t="s">
        <v>77</v>
      </c>
      <c r="D11" s="21" t="s">
        <v>78</v>
      </c>
    </row>
    <row r="12" spans="1:4">
      <c r="A12" t="s">
        <v>14</v>
      </c>
      <c r="B12" s="21" t="s">
        <v>79</v>
      </c>
      <c r="C12" s="21" t="s">
        <v>80</v>
      </c>
      <c r="D12" s="21" t="s">
        <v>81</v>
      </c>
    </row>
    <row r="13" spans="1:4">
      <c r="A13" t="s">
        <v>82</v>
      </c>
      <c r="B13" s="21" t="s">
        <v>83</v>
      </c>
      <c r="C13" s="21" t="s">
        <v>84</v>
      </c>
      <c r="D13" s="21" t="s">
        <v>85</v>
      </c>
    </row>
    <row r="15" spans="1:4">
      <c r="A15" t="s">
        <v>86</v>
      </c>
      <c r="B15" s="6">
        <v>276117</v>
      </c>
      <c r="C15" s="6">
        <v>717339</v>
      </c>
      <c r="D15" s="6">
        <v>973564</v>
      </c>
    </row>
    <row r="16" spans="1:4">
      <c r="A16" t="s">
        <v>87</v>
      </c>
      <c r="B16" s="6">
        <v>815241</v>
      </c>
      <c r="C16" s="6">
        <v>2650243</v>
      </c>
      <c r="D16" s="6">
        <v>4001647</v>
      </c>
    </row>
    <row r="17" spans="1:4">
      <c r="A17" t="s">
        <v>35</v>
      </c>
      <c r="B17" s="6">
        <v>442480</v>
      </c>
      <c r="C17" s="6">
        <v>1537841</v>
      </c>
      <c r="D17" s="6">
        <v>2428999</v>
      </c>
    </row>
    <row r="18" spans="1:4">
      <c r="A18" t="s">
        <v>36</v>
      </c>
      <c r="B18" s="6">
        <v>718597</v>
      </c>
      <c r="C18" s="6">
        <v>2255180</v>
      </c>
      <c r="D18" s="6">
        <v>3402563</v>
      </c>
    </row>
    <row r="19" spans="1:4">
      <c r="A19" t="s">
        <v>8</v>
      </c>
      <c r="B19" s="6">
        <v>128466</v>
      </c>
      <c r="C19" s="6">
        <v>128466</v>
      </c>
      <c r="D19" s="6">
        <v>128466</v>
      </c>
    </row>
    <row r="20" spans="1:4">
      <c r="A20" t="s">
        <v>38</v>
      </c>
      <c r="B20" s="6">
        <v>590131</v>
      </c>
      <c r="C20" s="6">
        <v>2126714</v>
      </c>
      <c r="D20" s="6">
        <v>3274097</v>
      </c>
    </row>
    <row r="22" spans="1:4">
      <c r="A22" t="s">
        <v>40</v>
      </c>
      <c r="B22" s="6">
        <v>33.71</v>
      </c>
      <c r="C22" s="6">
        <v>121.47</v>
      </c>
      <c r="D22" s="6">
        <v>187.01</v>
      </c>
    </row>
    <row r="23" spans="1:4">
      <c r="A23" t="s">
        <v>4</v>
      </c>
      <c r="B23" s="14">
        <v>95.51000000000001</v>
      </c>
      <c r="C23" s="14">
        <v>95.51000000000001</v>
      </c>
      <c r="D23" s="14">
        <v>95.51000000000001</v>
      </c>
    </row>
    <row r="24" spans="1:4">
      <c r="A24" t="s">
        <v>88</v>
      </c>
      <c r="B24" s="21" t="s">
        <v>89</v>
      </c>
      <c r="C24" s="21" t="s">
        <v>90</v>
      </c>
      <c r="D24" s="21" t="s">
        <v>91</v>
      </c>
    </row>
    <row r="26" spans="1:4">
      <c r="A26" t="s">
        <v>92</v>
      </c>
      <c r="B26" s="14">
        <v>46.56</v>
      </c>
      <c r="C26" s="14">
        <v>151.37</v>
      </c>
      <c r="D26" s="14">
        <v>228.56</v>
      </c>
    </row>
    <row r="27" spans="1:4">
      <c r="A27" t="s">
        <v>93</v>
      </c>
      <c r="B27" s="14">
        <v>23.15</v>
      </c>
      <c r="C27" s="14">
        <v>75.26000000000001</v>
      </c>
      <c r="D27" s="14">
        <v>113.64</v>
      </c>
    </row>
    <row r="28" spans="1:4">
      <c r="A28" t="s">
        <v>94</v>
      </c>
      <c r="B28" s="21" t="s">
        <v>95</v>
      </c>
      <c r="C28" s="21" t="s">
        <v>96</v>
      </c>
      <c r="D28" s="21" t="s">
        <v>97</v>
      </c>
    </row>
    <row r="30" spans="1:4">
      <c r="A30" s="11" t="s">
        <v>98</v>
      </c>
      <c r="B30" s="9" t="s">
        <v>64</v>
      </c>
      <c r="C30" s="9" t="s">
        <v>99</v>
      </c>
      <c r="D30" s="9" t="s">
        <v>64</v>
      </c>
    </row>
    <row r="31" spans="1:4">
      <c r="A31" s="11" t="s">
        <v>100</v>
      </c>
      <c r="C31" s="12">
        <v>115.91</v>
      </c>
    </row>
    <row r="32" spans="1:4">
      <c r="A32" t="s">
        <v>101</v>
      </c>
      <c r="C32" s="13">
        <v>0.214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6"/>
  <sheetViews>
    <sheetView zoomScale="90" zoomScaleNormal="90" workbookViewId="0"/>
  </sheetViews>
  <sheetFormatPr defaultRowHeight="15"/>
  <cols>
    <col min="1" max="1" width="22.7109375" customWidth="1"/>
    <col min="2" max="7" width="14.7109375" customWidth="1"/>
  </cols>
  <sheetData>
    <row r="1" spans="1:6">
      <c r="A1" s="1" t="s">
        <v>102</v>
      </c>
    </row>
    <row r="2" spans="1:6">
      <c r="A2" s="2" t="s">
        <v>103</v>
      </c>
    </row>
    <row r="3" spans="1:6">
      <c r="A3" s="16" t="s">
        <v>104</v>
      </c>
    </row>
    <row r="5" spans="1:6">
      <c r="A5" s="8" t="s">
        <v>105</v>
      </c>
      <c r="B5" s="22">
        <v>0.02</v>
      </c>
      <c r="C5" s="22">
        <v>0.025</v>
      </c>
      <c r="D5" s="22">
        <v>0.03</v>
      </c>
      <c r="E5" s="22">
        <v>0.035</v>
      </c>
      <c r="F5" s="22">
        <v>0.04</v>
      </c>
    </row>
    <row r="6" spans="1:6">
      <c r="A6" s="22">
        <v>0.09</v>
      </c>
      <c r="B6" s="23">
        <v>135</v>
      </c>
      <c r="C6" s="23">
        <v>135</v>
      </c>
      <c r="D6" s="23">
        <v>135</v>
      </c>
      <c r="E6" s="23">
        <v>135</v>
      </c>
      <c r="F6" s="23">
        <v>135</v>
      </c>
    </row>
    <row r="7" spans="1:6">
      <c r="A7" s="22">
        <v>0.1</v>
      </c>
      <c r="B7" s="23">
        <v>129</v>
      </c>
      <c r="C7" s="23">
        <v>129</v>
      </c>
      <c r="D7" s="23">
        <v>129</v>
      </c>
      <c r="E7" s="23">
        <v>129</v>
      </c>
      <c r="F7" s="23">
        <v>129</v>
      </c>
    </row>
    <row r="8" spans="1:6">
      <c r="A8" s="22">
        <v>0.115</v>
      </c>
      <c r="B8" s="23">
        <v>120</v>
      </c>
      <c r="C8" s="23">
        <v>121</v>
      </c>
      <c r="D8" s="24">
        <v>121</v>
      </c>
      <c r="E8" s="23">
        <v>121</v>
      </c>
      <c r="F8" s="23">
        <v>121</v>
      </c>
    </row>
    <row r="9" spans="1:6">
      <c r="A9" s="22">
        <v>0.12</v>
      </c>
      <c r="B9" s="23">
        <v>114</v>
      </c>
      <c r="C9" s="23">
        <v>118</v>
      </c>
      <c r="D9" s="23">
        <v>119</v>
      </c>
      <c r="E9" s="23">
        <v>119</v>
      </c>
      <c r="F9" s="23">
        <v>119</v>
      </c>
    </row>
    <row r="10" spans="1:6">
      <c r="A10" s="22">
        <v>0.13</v>
      </c>
      <c r="B10" s="23">
        <v>102</v>
      </c>
      <c r="C10" s="23">
        <v>106</v>
      </c>
      <c r="D10" s="23">
        <v>110</v>
      </c>
      <c r="E10" s="23">
        <v>114</v>
      </c>
      <c r="F10" s="23">
        <v>114</v>
      </c>
    </row>
    <row r="12" spans="1:6">
      <c r="A12" s="11" t="s">
        <v>106</v>
      </c>
      <c r="B12" s="25" t="s">
        <v>107</v>
      </c>
      <c r="C12" s="23" t="s">
        <v>108</v>
      </c>
      <c r="D12" s="26" t="s">
        <v>109</v>
      </c>
      <c r="E12" s="24" t="s">
        <v>110</v>
      </c>
    </row>
    <row r="14" spans="1:6">
      <c r="A14" s="11" t="s">
        <v>111</v>
      </c>
    </row>
    <row r="15" spans="1:6">
      <c r="A15" s="11" t="s">
        <v>112</v>
      </c>
    </row>
    <row r="16" spans="1:6">
      <c r="A16" s="16" t="s">
        <v>113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6"/>
  <sheetViews>
    <sheetView zoomScale="90" zoomScaleNormal="90" workbookViewId="0"/>
  </sheetViews>
  <sheetFormatPr defaultRowHeight="15"/>
  <cols>
    <col min="1" max="1" width="32.7109375" customWidth="1"/>
    <col min="2" max="4" width="16.7109375" customWidth="1"/>
  </cols>
  <sheetData>
    <row r="1" spans="1:4">
      <c r="A1" s="1" t="s">
        <v>114</v>
      </c>
    </row>
    <row r="2" spans="1:4">
      <c r="A2" s="2" t="s">
        <v>115</v>
      </c>
    </row>
    <row r="4" spans="1:4">
      <c r="A4" s="8" t="s">
        <v>116</v>
      </c>
      <c r="B4" s="8" t="s">
        <v>117</v>
      </c>
      <c r="C4" s="8" t="s">
        <v>118</v>
      </c>
      <c r="D4" s="8" t="s">
        <v>119</v>
      </c>
    </row>
    <row r="5" spans="1:4">
      <c r="A5" t="s">
        <v>120</v>
      </c>
      <c r="B5" s="9">
        <v>0.0562</v>
      </c>
      <c r="C5" s="9">
        <v>0.0737</v>
      </c>
      <c r="D5" s="16" t="s">
        <v>121</v>
      </c>
    </row>
    <row r="6" spans="1:4">
      <c r="A6" t="s">
        <v>122</v>
      </c>
      <c r="B6" s="9">
        <v>0.1705</v>
      </c>
      <c r="C6" s="9">
        <v>-0.0384</v>
      </c>
      <c r="D6" s="16" t="s">
        <v>123</v>
      </c>
    </row>
    <row r="7" spans="1:4">
      <c r="A7" t="s">
        <v>124</v>
      </c>
      <c r="B7" s="9">
        <v>0.0234</v>
      </c>
      <c r="C7" s="9">
        <v>0.025</v>
      </c>
      <c r="D7" s="16" t="s">
        <v>125</v>
      </c>
    </row>
    <row r="8" spans="1:4">
      <c r="A8" t="s">
        <v>126</v>
      </c>
      <c r="B8" s="16" t="s">
        <v>127</v>
      </c>
      <c r="C8" s="16" t="s">
        <v>127</v>
      </c>
      <c r="D8" s="16" t="s">
        <v>128</v>
      </c>
    </row>
    <row r="10" spans="1:4">
      <c r="A10" s="3" t="s">
        <v>129</v>
      </c>
    </row>
    <row r="11" spans="1:4">
      <c r="A11" s="8" t="s">
        <v>130</v>
      </c>
      <c r="B11" s="8" t="s">
        <v>131</v>
      </c>
      <c r="C11" s="8" t="s">
        <v>46</v>
      </c>
    </row>
    <row r="12" spans="1:4">
      <c r="A12" t="s">
        <v>132</v>
      </c>
      <c r="B12" s="6">
        <v>130910</v>
      </c>
    </row>
    <row r="13" spans="1:4">
      <c r="A13" t="s">
        <v>133</v>
      </c>
      <c r="B13" s="6">
        <v>172663</v>
      </c>
    </row>
    <row r="14" spans="1:4">
      <c r="A14" t="s">
        <v>134</v>
      </c>
      <c r="B14" s="6">
        <v>98874</v>
      </c>
    </row>
    <row r="15" spans="1:4">
      <c r="A15" t="s">
        <v>135</v>
      </c>
      <c r="B15" s="6">
        <v>171663</v>
      </c>
    </row>
    <row r="16" spans="1:4">
      <c r="A16" t="s">
        <v>136</v>
      </c>
      <c r="B16" s="6">
        <v>156210</v>
      </c>
    </row>
    <row r="17" spans="1:4">
      <c r="A17" t="s">
        <v>137</v>
      </c>
      <c r="B17" s="6">
        <v>73870</v>
      </c>
    </row>
    <row r="18" spans="1:4">
      <c r="A18" t="s">
        <v>138</v>
      </c>
      <c r="B18" s="6">
        <v>-46609</v>
      </c>
      <c r="C18" s="27" t="s">
        <v>139</v>
      </c>
    </row>
    <row r="19" spans="1:4">
      <c r="A19" s="11" t="s">
        <v>140</v>
      </c>
      <c r="B19" s="6">
        <v>134032</v>
      </c>
    </row>
    <row r="20" spans="1:4">
      <c r="A20" s="11" t="s">
        <v>141</v>
      </c>
      <c r="B20" s="28">
        <v>120000</v>
      </c>
      <c r="C20" s="16" t="s">
        <v>142</v>
      </c>
    </row>
    <row r="22" spans="1:4">
      <c r="A22" s="3" t="s">
        <v>143</v>
      </c>
    </row>
    <row r="23" spans="1:4">
      <c r="A23" s="8" t="s">
        <v>144</v>
      </c>
      <c r="B23" s="8" t="s">
        <v>145</v>
      </c>
      <c r="C23" s="8" t="s">
        <v>146</v>
      </c>
      <c r="D23" s="8" t="s">
        <v>147</v>
      </c>
    </row>
    <row r="24" spans="1:4">
      <c r="A24" t="s">
        <v>148</v>
      </c>
      <c r="B24" t="s">
        <v>149</v>
      </c>
      <c r="C24" t="s">
        <v>150</v>
      </c>
      <c r="D24" s="16" t="s">
        <v>151</v>
      </c>
    </row>
    <row r="25" spans="1:4">
      <c r="A25" t="s">
        <v>152</v>
      </c>
      <c r="B25" t="s">
        <v>153</v>
      </c>
      <c r="C25" t="s">
        <v>154</v>
      </c>
      <c r="D25" s="16" t="s">
        <v>155</v>
      </c>
    </row>
    <row r="26" spans="1:4">
      <c r="A26" t="s">
        <v>156</v>
      </c>
      <c r="B26" t="s">
        <v>157</v>
      </c>
      <c r="C26" t="s">
        <v>158</v>
      </c>
      <c r="D26" s="16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Base Case DCF</vt:lpstr>
      <vt:lpstr>Scenarios Comparison</vt:lpstr>
      <vt:lpstr>Sensitivity Analysis</vt:lpstr>
      <vt:lpstr>Historical Context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2026-06-30T09:43:47Z</dcterms:created>
  <dcterms:modified xsi:type="dcterms:W3CDTF">2026-06-30T09:43:47Z</dcterms:modified>
</cp:coreProperties>
</file>