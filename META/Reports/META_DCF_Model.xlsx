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 Analysis" sheetId="2" r:id="rId2"/>
    <sheet name="Sensitivity" sheetId="3" r:id="rId3"/>
    <sheet name="Historical" sheetId="4" r:id="rId4"/>
    <sheet name="Investment Summary" sheetId="5" r:id="rId5"/>
  </sheets>
  <calcPr calcId="124519" fullCalcOnLoad="1"/>
</workbook>
</file>

<file path=xl/sharedStrings.xml><?xml version="1.0" encoding="utf-8"?>
<sst xmlns="http://schemas.openxmlformats.org/spreadsheetml/2006/main" count="133" uniqueCount="125">
  <si>
    <t>META DCF Valuation Model</t>
  </si>
  <si>
    <t>Gray cells are INPUTS - adjust to see valuation change</t>
  </si>
  <si>
    <t>KEY INPUTS</t>
  </si>
  <si>
    <t>Current Stock Price</t>
  </si>
  <si>
    <t>Shares Outstanding (M)</t>
  </si>
  <si>
    <t>Cash &amp; Equivalents (M)</t>
  </si>
  <si>
    <t>Total Debt (M)</t>
  </si>
  <si>
    <t>Net Debt (M)</t>
  </si>
  <si>
    <t>Base Year FCF (M)</t>
  </si>
  <si>
    <t>WACC</t>
  </si>
  <si>
    <t>Terminal Growth Rate</t>
  </si>
  <si>
    <t>GROWTH ASSUMPTIONS</t>
  </si>
  <si>
    <t>FCF Growth Rate</t>
  </si>
  <si>
    <t>Year 1</t>
  </si>
  <si>
    <t>Year 2</t>
  </si>
  <si>
    <t>Year 3</t>
  </si>
  <si>
    <t>Year 4</t>
  </si>
  <si>
    <t>Year 5</t>
  </si>
  <si>
    <t>PROJECTIONS</t>
  </si>
  <si>
    <t>Base</t>
  </si>
  <si>
    <t>Free Cash Flow</t>
  </si>
  <si>
    <t>Discount Factor</t>
  </si>
  <si>
    <t>PV of FCF</t>
  </si>
  <si>
    <t>VALUATION</t>
  </si>
  <si>
    <t>Sum of PV of FCF</t>
  </si>
  <si>
    <t>Terminal FCF (Year 5 * (1+g))</t>
  </si>
  <si>
    <t>Terminal Value</t>
  </si>
  <si>
    <t>PV of Terminal Value</t>
  </si>
  <si>
    <t>Enterprise Value</t>
  </si>
  <si>
    <t>Less: Net Debt</t>
  </si>
  <si>
    <t>Equity Value</t>
  </si>
  <si>
    <t>INTRINSIC VALUE/SHARE</t>
  </si>
  <si>
    <t>Upside/(Downside) to IV</t>
  </si>
  <si>
    <t>ENTRY PRICE ANALYSIS</t>
  </si>
  <si>
    <t>(15% CAGR Target)</t>
  </si>
  <si>
    <t>Terminal Value per Share</t>
  </si>
  <si>
    <t>Entry Price (15% CAGR)</t>
  </si>
  <si>
    <t>Current Price Premium</t>
  </si>
  <si>
    <t>KEY METRICS</t>
  </si>
  <si>
    <t>Market Cap (M)</t>
  </si>
  <si>
    <t>Enterprise Value (Market)</t>
  </si>
  <si>
    <t>P/E Ratio (Current)</t>
  </si>
  <si>
    <t>Price/FCF (Current)</t>
  </si>
  <si>
    <t>Implied CAGR to IV</t>
  </si>
  <si>
    <t>Years to Breakeven (at 15%)</t>
  </si>
  <si>
    <t>Scenario Analysis</t>
  </si>
  <si>
    <t>Bull, Base, and Bear Case Valuations</t>
  </si>
  <si>
    <t>Bear</t>
  </si>
  <si>
    <t>Bull</t>
  </si>
  <si>
    <t>Growth Rate Assumptions</t>
  </si>
  <si>
    <t>Year 1 Growth</t>
  </si>
  <si>
    <t>Year 2 Growth</t>
  </si>
  <si>
    <t>Year 3 Growth</t>
  </si>
  <si>
    <t>Year 4 Growth</t>
  </si>
  <si>
    <t>Year 5 Growth</t>
  </si>
  <si>
    <t>Terminal Growth</t>
  </si>
  <si>
    <t>FCF Margin %</t>
  </si>
  <si>
    <t>VALUATION RESULTS</t>
  </si>
  <si>
    <t>Intrinsic Value/Share</t>
  </si>
  <si>
    <t>Upside/(Downside)</t>
  </si>
  <si>
    <t>Enterprise Value (M)</t>
  </si>
  <si>
    <t>PROBABILITY WEIGHTED</t>
  </si>
  <si>
    <t>Probability Weight</t>
  </si>
  <si>
    <t>Weighted IV/Share</t>
  </si>
  <si>
    <t>Total Weighted IV</t>
  </si>
  <si>
    <t>Scenario Notes:</t>
  </si>
  <si>
    <t>Base case assumes revenue growth decelerating from 15% to 8% as Meta matures. FCF margin of 22% reflects normalization after massive 2026 CapEx cycle. Assumes AI investments drive sustained ad revenue growth, Threads and WhatsApp monetization progresses, and Reality Labs losses stabilize.</t>
  </si>
  <si>
    <t>Bull Case:</t>
  </si>
  <si>
    <t>Bull case assumes AI-powered advertising dominance drives market share gains, Threads reaches $11B+ revenue potential by year 3, WhatsApp scales to $10B+, and margin expansion from operating leverage. CapEx investments generate strong ROI by year 2-3.</t>
  </si>
  <si>
    <t>Bear Case:</t>
  </si>
  <si>
    <t>Bear case assumes market share erosion to TikTok and Amazon continues, regulatory fines and compliance costs escalate, massive CapEx fails to generate expected returns, and Reality Labs losses persist longer than expected. FCF margin compressed by infrastructure spending.</t>
  </si>
  <si>
    <t>Sensitivity Analysis</t>
  </si>
  <si>
    <t>Intrinsic Value by WACC &amp; Terminal Growth</t>
  </si>
  <si>
    <t>WACC \ Term G</t>
  </si>
  <si>
    <t>Sensitivity matrix shows intrinsic value highly sensitive to terminal growth rate assumptions. At current WACC of 10%, IV ranges from $433 (2.5% terminal growth) to $623 (3.5% terminal growth). Current stock price of $680 implies either lower WACC (8-9%) or higher terminal growth (3.5-4%) expectations.</t>
  </si>
  <si>
    <t>Historical Growth Rates</t>
  </si>
  <si>
    <t>FY2020 - FY2025</t>
  </si>
  <si>
    <t>Metric</t>
  </si>
  <si>
    <t>3-Year CAGR</t>
  </si>
  <si>
    <t>5-Year CAGR</t>
  </si>
  <si>
    <t>Revenue</t>
  </si>
  <si>
    <t>EPS</t>
  </si>
  <si>
    <t>Equity</t>
  </si>
  <si>
    <t>FCF</t>
  </si>
  <si>
    <t>Selected Growth Rate:</t>
  </si>
  <si>
    <t>Source:</t>
  </si>
  <si>
    <t>blended_conservative</t>
  </si>
  <si>
    <t>Growth Divergence Warning:</t>
  </si>
  <si>
    <t>EPS and Equity 3-year CAGRs elevated due to FY2022 baseline effects (Reality Labs losses, slower growth). FY2025 EPS impacted by $18.9B one-time tax charge. Normalized growth rates suggest 15-20% sustainable revenue growth with FCF temporarily depressed by massive 2026 CapEx cycle ($115-135B guidance).</t>
  </si>
  <si>
    <t>HISTORICAL FINANCIALS</t>
  </si>
  <si>
    <t>Fiscal Year</t>
  </si>
  <si>
    <t>Revenue (M)</t>
  </si>
  <si>
    <t>FCF (M)</t>
  </si>
  <si>
    <t>Equity (M)</t>
  </si>
  <si>
    <t>FY2020</t>
  </si>
  <si>
    <t>FY2021</t>
  </si>
  <si>
    <t>FY2022</t>
  </si>
  <si>
    <t>FY2023</t>
  </si>
  <si>
    <t>FY2024</t>
  </si>
  <si>
    <t>FY2025</t>
  </si>
  <si>
    <t>META Investment Summary</t>
  </si>
  <si>
    <t>Valuation Date: 2026-02-05</t>
  </si>
  <si>
    <t>VALUATION CONCLUSION</t>
  </si>
  <si>
    <t>Current Price:</t>
  </si>
  <si>
    <t>$680.00</t>
  </si>
  <si>
    <t>Probability-Weighted IV:</t>
  </si>
  <si>
    <t>$452.82</t>
  </si>
  <si>
    <t>Implied Return:</t>
  </si>
  <si>
    <t>-33.4%</t>
  </si>
  <si>
    <t>Rating:</t>
  </si>
  <si>
    <t>HOLD / SLIGHT UNDERWEIGHT</t>
  </si>
  <si>
    <t>INVESTMENT THESIS</t>
  </si>
  <si>
    <t>At $680 per share, META appears modestly overvalued versus base case IV of $375 and probability-weighted IV of $453. Stock price implies bull case assumptions (successful AI monetization, strong new product revenue, margin expansion) are largely priced in. Near-term risks include: (1) massive CapEx cycle depressing FCF through 2026-2027, (2) regulatory uncertainty particularly in EU, (3) market share erosion to TikTok and Amazon, (4) uncertain AI investment ROI timeline.</t>
  </si>
  <si>
    <t>UPSIDE SCENARIOS</t>
  </si>
  <si>
    <t>Stock could work if: (1) Threads and WhatsApp monetization exceeds expectations ($15-20B+ combined revenue by 2027-2028), (2) AI tools drive market share gains and pricing power, (3) Reality Labs losses decline faster than expected, (4) CapEx yields early wins by late 2026/early 2027 enabling management to moderate spending plans.</t>
  </si>
  <si>
    <t>DOWNSIDE RISKS</t>
  </si>
  <si>
    <t>Significant downside to $450-550 range if: (1) CapEx fails to generate expected returns and must remain elevated through 2027+, (2) EU regulatory actions escalate to material revenue/profit impact, (3) ad market softens due to recession, (4) competition from TikTok and AI-powered alternatives intensifies.</t>
  </si>
  <si>
    <t>RECOMMENDATION</t>
  </si>
  <si>
    <t>Current valuation leaves limited margin of safety. Better entry point would be $500-550 range (20-25x forward P/E) which would offer 15%+ upside to probability-weighted IV. For existing holders, maintain position given long-term optionality but trim on strength above $700. For new positions, wait for pullback or conviction that AI investments are generating tangible ROI.</t>
  </si>
  <si>
    <t>KEY RISKS TO MONITOR</t>
  </si>
  <si>
    <t>1. CapEx Cycle: $115-135B 2026 guidance creates FCF pressure; monitor for ROI signals</t>
  </si>
  <si>
    <t>2. Regulatory: EU DMA/DSA enforcement could escalate to material fines or business model changes</t>
  </si>
  <si>
    <t>3. Competition: TikTok market share gains and AI-powered ad platforms emerging</t>
  </si>
  <si>
    <t>4. AI Monetization: Massive investment requires execution; watch for tangible revenue/margin benefits</t>
  </si>
  <si>
    <t>5. Reality Labs: $19B+ annual losses with uncertain path to profitability</t>
  </si>
</sst>
</file>

<file path=xl/styles.xml><?xml version="1.0" encoding="utf-8"?>
<styleSheet xmlns="http://schemas.openxmlformats.org/spreadsheetml/2006/main">
  <numFmts count="3">
    <numFmt numFmtId="164" formatCode="#,##0.0"/>
    <numFmt numFmtId="165" formatCode="0.0%"/>
    <numFmt numFmtId="166" formatCode="&quot;$&quot;#,##0.00"/>
  </numFmts>
  <fonts count="8">
    <font>
      <sz val="11"/>
      <color theme="1"/>
      <name val="Calibri"/>
      <family val="2"/>
      <scheme val="minor"/>
    </font>
    <font>
      <b/>
      <sz val="16"/>
      <color theme="1"/>
      <name val="Calibri"/>
      <family val="2"/>
      <scheme val="minor"/>
    </font>
    <font>
      <i/>
      <sz val="11"/>
      <color rgb="FF636E72"/>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
      <b/>
      <sz val="14"/>
      <color rgb="FFD63031"/>
      <name val="Calibri"/>
      <family val="2"/>
      <scheme val="minor"/>
    </font>
    <font>
      <sz val="11"/>
      <color rgb="FFE17055"/>
      <name val="Calibri"/>
      <family val="2"/>
      <scheme val="minor"/>
    </font>
  </fonts>
  <fills count="7">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
      <patternFill patternType="solid">
        <fgColor rgb="FFD5F4E6"/>
        <bgColor indexed="64"/>
      </patternFill>
    </fill>
    <fill>
      <patternFill patternType="solid">
        <fgColor rgb="FFFAB1A0"/>
        <bgColor indexed="64"/>
      </patternFill>
    </fill>
  </fills>
  <borders count="4">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wrapText="1"/>
    </xf>
    <xf numFmtId="0" fontId="3" fillId="0" borderId="1" xfId="0" applyFont="1" applyBorder="1"/>
    <xf numFmtId="164" fontId="0" fillId="2" borderId="2" xfId="0" applyNumberFormat="1" applyFill="1" applyBorder="1"/>
    <xf numFmtId="164" fontId="0" fillId="0" borderId="2" xfId="0" applyNumberFormat="1" applyBorder="1"/>
    <xf numFmtId="165" fontId="0" fillId="2" borderId="2" xfId="0" applyNumberFormat="1" applyFill="1" applyBorder="1"/>
    <xf numFmtId="0" fontId="4" fillId="3" borderId="2" xfId="0" applyFont="1" applyFill="1" applyBorder="1"/>
    <xf numFmtId="0" fontId="5" fillId="0" borderId="0" xfId="0" applyFont="1"/>
    <xf numFmtId="166" fontId="4" fillId="4" borderId="2" xfId="0" applyNumberFormat="1" applyFont="1" applyFill="1" applyBorder="1"/>
    <xf numFmtId="165" fontId="4" fillId="4" borderId="2" xfId="0" applyNumberFormat="1" applyFont="1" applyFill="1" applyBorder="1"/>
    <xf numFmtId="166" fontId="0" fillId="0" borderId="2" xfId="0" applyNumberFormat="1" applyBorder="1"/>
    <xf numFmtId="165" fontId="0" fillId="0" borderId="2" xfId="0" applyNumberFormat="1" applyBorder="1"/>
    <xf numFmtId="165" fontId="4" fillId="3" borderId="2" xfId="0" applyNumberFormat="1" applyFont="1" applyFill="1" applyBorder="1"/>
    <xf numFmtId="0" fontId="6" fillId="0" borderId="0" xfId="0" applyFont="1"/>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5" fillId="0" borderId="0" xfId="0" applyFont="1" applyAlignment="1">
      <alignment vertical="top" wrapText="1"/>
    </xf>
    <xf numFmtId="0" fontId="7" fillId="0" borderId="3"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8"/>
  <sheetViews>
    <sheetView tabSelected="1" workbookViewId="0"/>
  </sheetViews>
  <sheetFormatPr defaultRowHeight="15"/>
  <cols>
    <col min="1" max="1" width="28.7109375" customWidth="1"/>
    <col min="2" max="8" width="14.7109375" customWidth="1"/>
  </cols>
  <sheetData>
    <row r="1" spans="1:6">
      <c r="A1" s="1" t="s">
        <v>0</v>
      </c>
    </row>
    <row r="2" spans="1:6">
      <c r="A2" s="2" t="s">
        <v>1</v>
      </c>
    </row>
    <row r="4" spans="1:6">
      <c r="A4" s="3" t="s">
        <v>2</v>
      </c>
    </row>
    <row r="5" spans="1:6">
      <c r="A5" t="s">
        <v>3</v>
      </c>
      <c r="B5" s="4">
        <v>680</v>
      </c>
    </row>
    <row r="6" spans="1:6">
      <c r="A6" t="s">
        <v>4</v>
      </c>
      <c r="B6" s="4">
        <v>2574</v>
      </c>
    </row>
    <row r="7" spans="1:6">
      <c r="A7" t="s">
        <v>5</v>
      </c>
      <c r="B7" s="4">
        <v>22848</v>
      </c>
    </row>
    <row r="8" spans="1:6">
      <c r="A8" t="s">
        <v>6</v>
      </c>
      <c r="B8" s="4">
        <v>58744</v>
      </c>
    </row>
    <row r="9" spans="1:6">
      <c r="A9" t="s">
        <v>7</v>
      </c>
      <c r="B9" s="5">
        <f>B8-B7</f>
        <v>0</v>
      </c>
    </row>
    <row r="10" spans="1:6">
      <c r="A10" t="s">
        <v>8</v>
      </c>
      <c r="B10" s="4">
        <v>43585</v>
      </c>
    </row>
    <row r="12" spans="1:6">
      <c r="A12" t="s">
        <v>9</v>
      </c>
      <c r="B12" s="6">
        <v>0.1</v>
      </c>
    </row>
    <row r="13" spans="1:6">
      <c r="A13" t="s">
        <v>10</v>
      </c>
      <c r="B13" s="6">
        <v>0.03</v>
      </c>
    </row>
    <row r="15" spans="1:6">
      <c r="A15" s="3" t="s">
        <v>11</v>
      </c>
      <c r="B15" s="7" t="s">
        <v>13</v>
      </c>
      <c r="C15" s="7" t="s">
        <v>14</v>
      </c>
      <c r="D15" s="7" t="s">
        <v>15</v>
      </c>
      <c r="E15" s="7" t="s">
        <v>16</v>
      </c>
      <c r="F15" s="7" t="s">
        <v>17</v>
      </c>
    </row>
    <row r="16" spans="1:6">
      <c r="A16" t="s">
        <v>12</v>
      </c>
      <c r="B16" s="6">
        <v>0.15</v>
      </c>
      <c r="C16" s="6">
        <v>0.14</v>
      </c>
      <c r="D16" s="6">
        <v>0.12</v>
      </c>
      <c r="E16" s="6">
        <v>0.1</v>
      </c>
      <c r="F16" s="6">
        <v>0.08</v>
      </c>
    </row>
    <row r="18" spans="1:7">
      <c r="A18" s="3" t="s">
        <v>18</v>
      </c>
    </row>
    <row r="19" spans="1:7">
      <c r="A19" s="7"/>
      <c r="B19" s="7" t="s">
        <v>19</v>
      </c>
      <c r="C19" s="7" t="s">
        <v>13</v>
      </c>
      <c r="D19" s="7" t="s">
        <v>14</v>
      </c>
      <c r="E19" s="7" t="s">
        <v>15</v>
      </c>
      <c r="F19" s="7" t="s">
        <v>16</v>
      </c>
      <c r="G19" s="7" t="s">
        <v>17</v>
      </c>
    </row>
    <row r="20" spans="1:7">
      <c r="A20" t="s">
        <v>20</v>
      </c>
      <c r="B20" s="5">
        <f>B10</f>
        <v>0</v>
      </c>
      <c r="C20" s="5">
        <f>B20*(1+B16)</f>
        <v>0</v>
      </c>
      <c r="D20" s="5">
        <f>C20*(1+C16)</f>
        <v>0</v>
      </c>
      <c r="E20" s="5">
        <f>D20*(1+D16)</f>
        <v>0</v>
      </c>
      <c r="F20" s="5">
        <f>E20*(1+E16)</f>
        <v>0</v>
      </c>
      <c r="G20" s="5">
        <f>F20*(1+F16)</f>
        <v>0</v>
      </c>
    </row>
    <row r="21" spans="1:7">
      <c r="A21" t="s">
        <v>21</v>
      </c>
      <c r="B21" s="5"/>
      <c r="C21" s="5">
        <f>1/(1+$B$12)^1</f>
        <v>0</v>
      </c>
      <c r="D21" s="5">
        <f>1/(1+$B$12)^2</f>
        <v>0</v>
      </c>
      <c r="E21" s="5">
        <f>1/(1+$B$12)^3</f>
        <v>0</v>
      </c>
      <c r="F21" s="5">
        <f>1/(1+$B$12)^4</f>
        <v>0</v>
      </c>
      <c r="G21" s="5">
        <f>1/(1+$B$12)^5</f>
        <v>0</v>
      </c>
    </row>
    <row r="22" spans="1:7">
      <c r="A22" t="s">
        <v>22</v>
      </c>
      <c r="B22" s="5"/>
      <c r="C22" s="5">
        <f>C20*C21</f>
        <v>0</v>
      </c>
      <c r="D22" s="5">
        <f>D20*D21</f>
        <v>0</v>
      </c>
      <c r="E22" s="5">
        <f>E20*E21</f>
        <v>0</v>
      </c>
      <c r="F22" s="5">
        <f>F20*F21</f>
        <v>0</v>
      </c>
      <c r="G22" s="5">
        <f>G20*G21</f>
        <v>0</v>
      </c>
    </row>
    <row r="24" spans="1:7">
      <c r="A24" s="3" t="s">
        <v>23</v>
      </c>
    </row>
    <row r="25" spans="1:7">
      <c r="A25" t="s">
        <v>24</v>
      </c>
      <c r="B25" s="5">
        <f>SUM(C22:G22)</f>
        <v>0</v>
      </c>
    </row>
    <row r="26" spans="1:7">
      <c r="A26" t="s">
        <v>25</v>
      </c>
      <c r="B26" s="5">
        <f>G20*(1+$B$13)</f>
        <v>0</v>
      </c>
    </row>
    <row r="27" spans="1:7">
      <c r="A27" t="s">
        <v>26</v>
      </c>
      <c r="B27" s="5">
        <f>B26/($B$12-$B$13)</f>
        <v>0</v>
      </c>
    </row>
    <row r="28" spans="1:7">
      <c r="A28" t="s">
        <v>27</v>
      </c>
      <c r="B28" s="5">
        <f>B27*G21</f>
        <v>0</v>
      </c>
    </row>
    <row r="29" spans="1:7">
      <c r="A29" t="s">
        <v>28</v>
      </c>
      <c r="B29" s="5">
        <f>B25+B28</f>
        <v>0</v>
      </c>
    </row>
    <row r="30" spans="1:7">
      <c r="A30" t="s">
        <v>29</v>
      </c>
      <c r="B30" s="5">
        <f>B9</f>
        <v>0</v>
      </c>
    </row>
    <row r="31" spans="1:7">
      <c r="A31" t="s">
        <v>30</v>
      </c>
      <c r="B31" s="5">
        <f>B29-B30</f>
        <v>0</v>
      </c>
    </row>
    <row r="32" spans="1:7">
      <c r="A32" s="8" t="s">
        <v>31</v>
      </c>
      <c r="B32" s="9">
        <f>B31/B6</f>
        <v>0</v>
      </c>
    </row>
    <row r="34" spans="1:2">
      <c r="A34" t="s">
        <v>32</v>
      </c>
      <c r="B34" s="10">
        <f>(B32-B5)/B5</f>
        <v>0</v>
      </c>
    </row>
    <row r="36" spans="1:2">
      <c r="A36" s="3" t="s">
        <v>33</v>
      </c>
    </row>
    <row r="37" spans="1:2">
      <c r="A37" s="2" t="s">
        <v>34</v>
      </c>
    </row>
    <row r="38" spans="1:2">
      <c r="A38" t="s">
        <v>35</v>
      </c>
      <c r="B38" s="11">
        <f>B27/B6</f>
        <v>0</v>
      </c>
    </row>
    <row r="39" spans="1:2">
      <c r="A39" t="s">
        <v>36</v>
      </c>
      <c r="B39" s="9">
        <f>B38/(1.15^5)</f>
        <v>0</v>
      </c>
    </row>
    <row r="40" spans="1:2">
      <c r="A40" t="s">
        <v>37</v>
      </c>
      <c r="B40" s="12">
        <f>(B5-B39)/B39</f>
        <v>0</v>
      </c>
    </row>
    <row r="42" spans="1:2">
      <c r="A42" s="3" t="s">
        <v>38</v>
      </c>
    </row>
    <row r="43" spans="1:2">
      <c r="A43" t="s">
        <v>39</v>
      </c>
      <c r="B43" s="5">
        <f>B5*B6</f>
        <v>0</v>
      </c>
    </row>
    <row r="44" spans="1:2">
      <c r="A44" t="s">
        <v>40</v>
      </c>
      <c r="B44" s="5">
        <f>B43+B9</f>
        <v>0</v>
      </c>
    </row>
    <row r="45" spans="1:2">
      <c r="A45" t="s">
        <v>41</v>
      </c>
      <c r="B45" s="5">
        <v>28.9</v>
      </c>
    </row>
    <row r="46" spans="1:2">
      <c r="A46" t="s">
        <v>42</v>
      </c>
      <c r="B46" s="5">
        <f>B5*B6/B10</f>
        <v>0</v>
      </c>
    </row>
    <row r="47" spans="1:2">
      <c r="A47" t="s">
        <v>43</v>
      </c>
      <c r="B47" s="12">
        <f>(B32/B5)^(1/5)-1</f>
        <v>0</v>
      </c>
    </row>
    <row r="48" spans="1:2">
      <c r="A48" t="s">
        <v>44</v>
      </c>
      <c r="B48" s="5">
        <f>LN(B5/B32)/LN(1.15)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1"/>
  <sheetViews>
    <sheetView workbookViewId="0"/>
  </sheetViews>
  <sheetFormatPr defaultRowHeight="15"/>
  <cols>
    <col min="1" max="1" width="25.7109375" customWidth="1"/>
    <col min="2" max="5" width="16.7109375" customWidth="1"/>
  </cols>
  <sheetData>
    <row r="1" spans="1:4">
      <c r="A1" s="1" t="s">
        <v>45</v>
      </c>
    </row>
    <row r="2" spans="1:4">
      <c r="A2" s="2" t="s">
        <v>46</v>
      </c>
    </row>
    <row r="4" spans="1:4">
      <c r="A4" s="7"/>
      <c r="B4" s="7" t="s">
        <v>47</v>
      </c>
      <c r="C4" s="7" t="s">
        <v>19</v>
      </c>
      <c r="D4" s="7" t="s">
        <v>48</v>
      </c>
    </row>
    <row r="5" spans="1:4">
      <c r="A5" s="8" t="s">
        <v>49</v>
      </c>
    </row>
    <row r="6" spans="1:4">
      <c r="A6" t="s">
        <v>50</v>
      </c>
      <c r="B6" s="12">
        <v>0.08</v>
      </c>
      <c r="C6" s="12">
        <v>0.15</v>
      </c>
      <c r="D6" s="12">
        <v>0.22</v>
      </c>
    </row>
    <row r="7" spans="1:4">
      <c r="A7" t="s">
        <v>51</v>
      </c>
      <c r="B7" s="12">
        <v>0.06</v>
      </c>
      <c r="C7" s="12">
        <v>0.14</v>
      </c>
      <c r="D7" s="12">
        <v>0.2</v>
      </c>
    </row>
    <row r="8" spans="1:4">
      <c r="A8" t="s">
        <v>52</v>
      </c>
      <c r="B8" s="12">
        <v>0.05</v>
      </c>
      <c r="C8" s="12">
        <v>0.12</v>
      </c>
      <c r="D8" s="12">
        <v>0.18</v>
      </c>
    </row>
    <row r="9" spans="1:4">
      <c r="A9" t="s">
        <v>53</v>
      </c>
      <c r="B9" s="12">
        <v>0.04</v>
      </c>
      <c r="C9" s="12">
        <v>0.1</v>
      </c>
      <c r="D9" s="12">
        <v>0.15</v>
      </c>
    </row>
    <row r="10" spans="1:4">
      <c r="A10" t="s">
        <v>54</v>
      </c>
      <c r="B10" s="12">
        <v>0.03</v>
      </c>
      <c r="C10" s="12">
        <v>0.08</v>
      </c>
      <c r="D10" s="12">
        <v>0.12</v>
      </c>
    </row>
    <row r="11" spans="1:4">
      <c r="A11" s="8" t="s">
        <v>9</v>
      </c>
      <c r="B11" s="12">
        <v>0.11</v>
      </c>
      <c r="C11" s="12">
        <v>0.1</v>
      </c>
      <c r="D11" s="12">
        <v>0.09</v>
      </c>
    </row>
    <row r="12" spans="1:4">
      <c r="A12" s="8" t="s">
        <v>55</v>
      </c>
      <c r="B12" s="12">
        <v>0.025</v>
      </c>
      <c r="C12" s="12">
        <v>0.03</v>
      </c>
      <c r="D12" s="12">
        <v>0.035</v>
      </c>
    </row>
    <row r="13" spans="1:4">
      <c r="A13" s="8" t="s">
        <v>56</v>
      </c>
      <c r="B13" s="12">
        <v>0.15</v>
      </c>
      <c r="C13" s="12">
        <v>0.22</v>
      </c>
      <c r="D13" s="12">
        <v>0.28</v>
      </c>
    </row>
    <row r="15" spans="1:4">
      <c r="A15" s="3" t="s">
        <v>57</v>
      </c>
    </row>
    <row r="16" spans="1:4">
      <c r="A16" t="s">
        <v>58</v>
      </c>
      <c r="B16" s="9">
        <v>210.73</v>
      </c>
      <c r="C16" s="9">
        <v>375.2</v>
      </c>
      <c r="D16" s="9">
        <v>773.36</v>
      </c>
    </row>
    <row r="17" spans="1:4">
      <c r="A17" t="s">
        <v>59</v>
      </c>
      <c r="B17" s="12">
        <v>-0.6899999999999999</v>
      </c>
      <c r="C17" s="12">
        <v>-0.448</v>
      </c>
      <c r="D17" s="12">
        <v>0.137</v>
      </c>
    </row>
    <row r="18" spans="1:4">
      <c r="A18" t="s">
        <v>60</v>
      </c>
      <c r="B18" s="5">
        <v>519623</v>
      </c>
      <c r="C18" s="5">
        <v>942911</v>
      </c>
      <c r="D18" s="5">
        <v>1967714</v>
      </c>
    </row>
    <row r="20" spans="1:4">
      <c r="A20" s="3" t="s">
        <v>61</v>
      </c>
    </row>
    <row r="21" spans="1:4">
      <c r="A21" t="s">
        <v>62</v>
      </c>
      <c r="B21" s="12">
        <v>0.25</v>
      </c>
      <c r="C21" s="12">
        <v>0.45</v>
      </c>
      <c r="D21" s="12">
        <v>0.3</v>
      </c>
    </row>
    <row r="22" spans="1:4">
      <c r="A22" t="s">
        <v>63</v>
      </c>
      <c r="B22" s="11">
        <v>52.6825</v>
      </c>
      <c r="C22" s="11">
        <v>168.84</v>
      </c>
      <c r="D22" s="11">
        <v>232.008</v>
      </c>
    </row>
    <row r="24" spans="1:4">
      <c r="A24" s="8" t="s">
        <v>64</v>
      </c>
      <c r="B24" s="9">
        <f>SUM(B22:D22)</f>
        <v>0</v>
      </c>
    </row>
    <row r="26" spans="1:4">
      <c r="A26" s="8" t="s">
        <v>65</v>
      </c>
    </row>
    <row r="27" spans="1:4">
      <c r="A27" s="2" t="s">
        <v>66</v>
      </c>
      <c r="B27" s="2"/>
      <c r="C27" s="2"/>
      <c r="D27" s="2"/>
    </row>
    <row r="28" spans="1:4">
      <c r="A28" s="8" t="s">
        <v>67</v>
      </c>
    </row>
    <row r="29" spans="1:4">
      <c r="A29" s="2" t="s">
        <v>68</v>
      </c>
      <c r="B29" s="2"/>
      <c r="C29" s="2"/>
      <c r="D29" s="2"/>
    </row>
    <row r="30" spans="1:4">
      <c r="A30" s="8" t="s">
        <v>69</v>
      </c>
    </row>
    <row r="31" spans="1:4">
      <c r="A31" s="2" t="s">
        <v>70</v>
      </c>
      <c r="B31" s="2"/>
      <c r="C31" s="2"/>
      <c r="D31" s="2"/>
    </row>
  </sheetData>
  <mergeCells count="3">
    <mergeCell ref="A27:D27"/>
    <mergeCell ref="A29:D29"/>
    <mergeCell ref="A31:D3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18.7109375" customWidth="1"/>
    <col min="2" max="7" width="12.7109375" customWidth="1"/>
  </cols>
  <sheetData>
    <row r="1" spans="1:6">
      <c r="A1" s="1" t="s">
        <v>71</v>
      </c>
    </row>
    <row r="2" spans="1:6">
      <c r="A2" s="2" t="s">
        <v>72</v>
      </c>
    </row>
    <row r="4" spans="1:6">
      <c r="A4" s="7" t="s">
        <v>73</v>
      </c>
      <c r="B4" s="13">
        <v>0.02</v>
      </c>
      <c r="C4" s="13">
        <v>0.025</v>
      </c>
      <c r="D4" s="13">
        <v>0.03</v>
      </c>
      <c r="E4" s="13">
        <v>0.035</v>
      </c>
      <c r="F4" s="13">
        <v>0.04</v>
      </c>
    </row>
    <row r="5" spans="1:6">
      <c r="A5" s="13">
        <v>0.08</v>
      </c>
      <c r="B5" s="11">
        <v>559.92</v>
      </c>
      <c r="C5" s="11">
        <v>620.45</v>
      </c>
      <c r="D5" s="11">
        <v>698.24</v>
      </c>
      <c r="E5" s="11">
        <v>801.6799999999999</v>
      </c>
      <c r="F5" s="11">
        <v>945.23</v>
      </c>
    </row>
    <row r="6" spans="1:6">
      <c r="A6" s="13">
        <v>0.09</v>
      </c>
      <c r="B6" s="11">
        <v>468.32</v>
      </c>
      <c r="C6" s="11">
        <v>509.22</v>
      </c>
      <c r="D6" s="11">
        <v>559.92</v>
      </c>
      <c r="E6" s="11">
        <v>623.79</v>
      </c>
      <c r="F6" s="11">
        <v>706.63</v>
      </c>
    </row>
    <row r="7" spans="1:6">
      <c r="A7" s="13">
        <v>0.1</v>
      </c>
      <c r="B7" s="11">
        <v>402.81</v>
      </c>
      <c r="C7" s="11">
        <v>433.14</v>
      </c>
      <c r="D7" s="11">
        <v>468.32</v>
      </c>
      <c r="E7" s="11">
        <v>510.23</v>
      </c>
      <c r="F7" s="11">
        <v>560.84</v>
      </c>
    </row>
    <row r="8" spans="1:6">
      <c r="A8" s="13">
        <v>0.11</v>
      </c>
      <c r="B8" s="11">
        <v>353.31</v>
      </c>
      <c r="C8" s="11">
        <v>376.94</v>
      </c>
      <c r="D8" s="11">
        <v>402.81</v>
      </c>
      <c r="E8" s="11">
        <v>431.93</v>
      </c>
      <c r="F8" s="11">
        <v>465.05</v>
      </c>
    </row>
    <row r="9" spans="1:6">
      <c r="A9" s="13">
        <v>0.12</v>
      </c>
      <c r="B9" s="11">
        <v>314.58</v>
      </c>
      <c r="C9" s="11">
        <v>333.25</v>
      </c>
      <c r="D9" s="11">
        <v>353.31</v>
      </c>
      <c r="E9" s="11">
        <v>375.2</v>
      </c>
      <c r="F9" s="11">
        <v>399.72</v>
      </c>
    </row>
    <row r="11" spans="1:6">
      <c r="A11" s="2" t="s">
        <v>74</v>
      </c>
      <c r="B11" s="2"/>
      <c r="C11" s="2"/>
      <c r="D11" s="2"/>
      <c r="E11" s="2"/>
      <c r="F11" s="2"/>
    </row>
  </sheetData>
  <mergeCells count="1">
    <mergeCell ref="A11: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6"/>
  <sheetViews>
    <sheetView workbookViewId="0"/>
  </sheetViews>
  <sheetFormatPr defaultRowHeight="15"/>
  <cols>
    <col min="1" max="1" width="25.7109375" customWidth="1"/>
    <col min="2" max="3" width="15.7109375" customWidth="1"/>
  </cols>
  <sheetData>
    <row r="1" spans="1:3">
      <c r="A1" s="1" t="s">
        <v>75</v>
      </c>
    </row>
    <row r="2" spans="1:3">
      <c r="A2" s="2" t="s">
        <v>76</v>
      </c>
    </row>
    <row r="4" spans="1:3">
      <c r="A4" s="7" t="s">
        <v>77</v>
      </c>
      <c r="B4" s="7" t="s">
        <v>78</v>
      </c>
      <c r="C4" s="7" t="s">
        <v>79</v>
      </c>
    </row>
    <row r="5" spans="1:3">
      <c r="A5" t="s">
        <v>80</v>
      </c>
      <c r="B5" s="12">
        <v>0.198</v>
      </c>
      <c r="C5" s="12">
        <v>0.185</v>
      </c>
    </row>
    <row r="6" spans="1:3">
      <c r="A6" t="s">
        <v>81</v>
      </c>
      <c r="B6" s="12">
        <v>0.398</v>
      </c>
      <c r="C6" s="12">
        <v>0.181</v>
      </c>
    </row>
    <row r="7" spans="1:3">
      <c r="A7" t="s">
        <v>82</v>
      </c>
      <c r="B7" s="12">
        <v>0.359</v>
      </c>
      <c r="C7" s="12">
        <v>0.111</v>
      </c>
    </row>
    <row r="8" spans="1:3">
      <c r="A8" t="s">
        <v>83</v>
      </c>
      <c r="B8" s="12">
        <v>0.255</v>
      </c>
      <c r="C8" s="12">
        <v>0.13</v>
      </c>
    </row>
    <row r="10" spans="1:3">
      <c r="A10" s="8" t="s">
        <v>84</v>
      </c>
      <c r="B10" s="12">
        <v>0.15</v>
      </c>
    </row>
    <row r="11" spans="1:3">
      <c r="A11" t="s">
        <v>85</v>
      </c>
      <c r="B11" t="s">
        <v>86</v>
      </c>
    </row>
    <row r="13" spans="1:3">
      <c r="A13" s="8" t="s">
        <v>87</v>
      </c>
    </row>
    <row r="14" spans="1:3">
      <c r="A14" s="2" t="s">
        <v>88</v>
      </c>
      <c r="B14" s="2"/>
      <c r="C14" s="2"/>
    </row>
    <row r="15" spans="1:3">
      <c r="A15" s="2"/>
      <c r="B15" s="2"/>
      <c r="C15" s="2"/>
    </row>
    <row r="16" spans="1:3">
      <c r="A16" s="2"/>
      <c r="B16" s="2"/>
      <c r="C16" s="2"/>
    </row>
    <row r="17" spans="1:5">
      <c r="A17" s="2"/>
      <c r="B17" s="2"/>
      <c r="C17" s="2"/>
    </row>
    <row r="19" spans="1:5">
      <c r="A19" s="3" t="s">
        <v>89</v>
      </c>
    </row>
    <row r="20" spans="1:5">
      <c r="A20" s="7" t="s">
        <v>90</v>
      </c>
      <c r="B20" s="7" t="s">
        <v>91</v>
      </c>
      <c r="C20" s="7" t="s">
        <v>81</v>
      </c>
      <c r="D20" s="7" t="s">
        <v>92</v>
      </c>
      <c r="E20" s="7" t="s">
        <v>93</v>
      </c>
    </row>
    <row r="21" spans="1:5">
      <c r="A21" t="s">
        <v>94</v>
      </c>
      <c r="B21" s="5">
        <v>85965</v>
      </c>
      <c r="C21" s="5">
        <v>10.22</v>
      </c>
      <c r="D21" s="5">
        <v>23632</v>
      </c>
      <c r="E21" s="5">
        <v>128292</v>
      </c>
    </row>
    <row r="22" spans="1:5">
      <c r="A22" t="s">
        <v>95</v>
      </c>
      <c r="B22" s="5">
        <v>117929</v>
      </c>
      <c r="C22" s="5">
        <v>13.77</v>
      </c>
      <c r="D22" s="5">
        <v>39116</v>
      </c>
      <c r="E22" s="5">
        <v>124879</v>
      </c>
    </row>
    <row r="23" spans="1:5">
      <c r="A23" t="s">
        <v>96</v>
      </c>
      <c r="B23" s="5">
        <v>116609</v>
      </c>
      <c r="C23" s="5">
        <v>8.630000000000001</v>
      </c>
      <c r="D23" s="5">
        <v>22096</v>
      </c>
      <c r="E23" s="5">
        <v>86569</v>
      </c>
    </row>
    <row r="24" spans="1:5">
      <c r="A24" t="s">
        <v>97</v>
      </c>
      <c r="B24" s="5">
        <v>134902</v>
      </c>
      <c r="C24" s="5">
        <v>14.87</v>
      </c>
      <c r="D24" s="5">
        <v>43020</v>
      </c>
      <c r="E24" s="5">
        <v>153168</v>
      </c>
    </row>
    <row r="25" spans="1:5">
      <c r="A25" t="s">
        <v>98</v>
      </c>
      <c r="B25" s="5">
        <v>156082</v>
      </c>
      <c r="C25" s="5">
        <v>23.81</v>
      </c>
      <c r="D25" s="5">
        <v>46871</v>
      </c>
      <c r="E25" s="5">
        <v>182637</v>
      </c>
    </row>
    <row r="26" spans="1:5">
      <c r="A26" t="s">
        <v>99</v>
      </c>
      <c r="B26" s="5">
        <v>200966</v>
      </c>
      <c r="C26" s="5">
        <v>23.49</v>
      </c>
      <c r="D26" s="5">
        <v>43585</v>
      </c>
      <c r="E26" s="5">
        <v>217243</v>
      </c>
    </row>
  </sheetData>
  <mergeCells count="1">
    <mergeCell ref="A14:C1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1"/>
  <sheetViews>
    <sheetView workbookViewId="0"/>
  </sheetViews>
  <sheetFormatPr defaultRowHeight="15"/>
  <cols>
    <col min="1" max="1" width="30.7109375" customWidth="1"/>
    <col min="2" max="2" width="70.7109375" customWidth="1"/>
  </cols>
  <sheetData>
    <row r="1" spans="1:2">
      <c r="A1" s="1" t="s">
        <v>100</v>
      </c>
    </row>
    <row r="2" spans="1:2">
      <c r="A2" s="2" t="s">
        <v>101</v>
      </c>
    </row>
    <row r="4" spans="1:2">
      <c r="A4" s="3" t="s">
        <v>102</v>
      </c>
    </row>
    <row r="5" spans="1:2">
      <c r="A5" t="s">
        <v>103</v>
      </c>
      <c r="B5" s="8" t="s">
        <v>104</v>
      </c>
    </row>
    <row r="6" spans="1:2">
      <c r="A6" t="s">
        <v>105</v>
      </c>
      <c r="B6" s="8" t="s">
        <v>106</v>
      </c>
    </row>
    <row r="7" spans="1:2">
      <c r="A7" t="s">
        <v>107</v>
      </c>
      <c r="B7" s="8" t="s">
        <v>108</v>
      </c>
    </row>
    <row r="9" spans="1:2">
      <c r="A9" t="s">
        <v>109</v>
      </c>
      <c r="B9" s="14" t="s">
        <v>110</v>
      </c>
    </row>
    <row r="11" spans="1:2">
      <c r="A11" s="3" t="s">
        <v>111</v>
      </c>
    </row>
    <row r="12" spans="1:2">
      <c r="A12" s="15" t="s">
        <v>112</v>
      </c>
      <c r="B12" s="15"/>
    </row>
    <row r="13" spans="1:2">
      <c r="A13" s="15"/>
      <c r="B13" s="15"/>
    </row>
    <row r="14" spans="1:2">
      <c r="A14" s="15"/>
      <c r="B14" s="15"/>
    </row>
    <row r="15" spans="1:2">
      <c r="A15" s="15"/>
      <c r="B15" s="15"/>
    </row>
    <row r="17" spans="1:2">
      <c r="A17" s="3" t="s">
        <v>113</v>
      </c>
    </row>
    <row r="18" spans="1:2">
      <c r="A18" s="16" t="s">
        <v>114</v>
      </c>
      <c r="B18" s="16"/>
    </row>
    <row r="19" spans="1:2">
      <c r="A19" s="16"/>
      <c r="B19" s="16"/>
    </row>
    <row r="20" spans="1:2">
      <c r="A20" s="16"/>
      <c r="B20" s="16"/>
    </row>
    <row r="21" spans="1:2">
      <c r="A21" s="16"/>
      <c r="B21" s="16"/>
    </row>
    <row r="23" spans="1:2">
      <c r="A23" s="3" t="s">
        <v>115</v>
      </c>
    </row>
    <row r="24" spans="1:2">
      <c r="A24" s="17" t="s">
        <v>116</v>
      </c>
      <c r="B24" s="17"/>
    </row>
    <row r="25" spans="1:2">
      <c r="A25" s="17"/>
      <c r="B25" s="17"/>
    </row>
    <row r="26" spans="1:2">
      <c r="A26" s="17"/>
      <c r="B26" s="17"/>
    </row>
    <row r="27" spans="1:2">
      <c r="A27" s="17"/>
      <c r="B27" s="17"/>
    </row>
    <row r="29" spans="1:2">
      <c r="A29" s="3" t="s">
        <v>117</v>
      </c>
    </row>
    <row r="30" spans="1:2">
      <c r="A30" s="18" t="s">
        <v>118</v>
      </c>
      <c r="B30" s="18"/>
    </row>
    <row r="31" spans="1:2">
      <c r="A31" s="18"/>
      <c r="B31" s="18"/>
    </row>
    <row r="32" spans="1:2">
      <c r="A32" s="18"/>
      <c r="B32" s="18"/>
    </row>
    <row r="33" spans="1:2">
      <c r="A33" s="18"/>
      <c r="B33" s="18"/>
    </row>
    <row r="34" spans="1:2">
      <c r="A34" s="18"/>
      <c r="B34" s="18"/>
    </row>
    <row r="36" spans="1:2">
      <c r="A36" s="3" t="s">
        <v>119</v>
      </c>
    </row>
    <row r="37" spans="1:2">
      <c r="A37" s="19" t="s">
        <v>120</v>
      </c>
      <c r="B37" s="19"/>
    </row>
    <row r="38" spans="1:2">
      <c r="A38" s="19" t="s">
        <v>121</v>
      </c>
      <c r="B38" s="19"/>
    </row>
    <row r="39" spans="1:2">
      <c r="A39" s="19" t="s">
        <v>122</v>
      </c>
      <c r="B39" s="19"/>
    </row>
    <row r="40" spans="1:2">
      <c r="A40" s="19" t="s">
        <v>123</v>
      </c>
      <c r="B40" s="19"/>
    </row>
    <row r="41" spans="1:2">
      <c r="A41" s="19" t="s">
        <v>124</v>
      </c>
      <c r="B41" s="19"/>
    </row>
  </sheetData>
  <mergeCells count="9">
    <mergeCell ref="A12:B15"/>
    <mergeCell ref="A18:B21"/>
    <mergeCell ref="A24:B27"/>
    <mergeCell ref="A30:B34"/>
    <mergeCell ref="A37:B37"/>
    <mergeCell ref="A38:B38"/>
    <mergeCell ref="A39:B39"/>
    <mergeCell ref="A40:B40"/>
    <mergeCell ref="A41:B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Scenario Analysis</vt:lpstr>
      <vt:lpstr>Sensitivity</vt:lpstr>
      <vt:lpstr>Historical</vt:lpstr>
      <vt:lpstr>Investment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2026-02-05T00:58:46Z</dcterms:created>
  <dcterms:modified xsi:type="dcterms:W3CDTF">2026-02-05T00:58:46Z</dcterms:modified>
</cp:coreProperties>
</file>