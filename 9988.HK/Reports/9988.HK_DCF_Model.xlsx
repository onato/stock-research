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Bull Case" sheetId="2" state="visible" r:id="rId2"/>
    <sheet xmlns:r="http://schemas.openxmlformats.org/officeDocument/2006/relationships" name="Bear Cas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Histori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0.0%"/>
    <numFmt numFmtId="167" formatCode="&quot;HK$&quot;#,##0.00"/>
    <numFmt numFmtId="168" formatCode="0.00&quot;x&quot;"/>
    <numFmt numFmtId="169" formatCode="0.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FF808080"/>
      <sz val="11"/>
    </font>
    <font>
      <name val="Calibri"/>
      <b val="1"/>
      <sz val="12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FE6E9"/>
      </patternFill>
    </fill>
    <fill>
      <patternFill patternType="solid">
        <fgColor rgb="FF2D3436"/>
      </patternFill>
    </fill>
    <fill>
      <patternFill patternType="solid">
        <fgColor rgb="FF00B8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167" fontId="5" fillId="4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6" fontId="5" fillId="3" borderId="0" pivotButton="0" quotePrefix="0" xfId="0"/>
    <xf numFmtId="0" fontId="0" fillId="0" borderId="0" applyAlignment="1" pivotButton="0" quotePrefix="0" xfId="0">
      <alignment vertical="top" wrapText="1"/>
    </xf>
    <xf numFmtId="16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.71" customWidth="1" min="1" max="1"/>
    <col width="15.7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9988.HK DCF Model - Base Case</t>
        </is>
      </c>
    </row>
    <row r="2">
      <c r="A2" s="2" t="inlineStr">
        <is>
          <t>All cash flows in RMB millions unless noted. Gray cells are INPUTS. Net cash (positive) is ADDED to enterprise value.</t>
        </is>
      </c>
    </row>
    <row r="4">
      <c r="A4" s="3" t="inlineStr">
        <is>
          <t>KEY INPUTS</t>
        </is>
      </c>
    </row>
    <row r="5">
      <c r="A5" t="inlineStr">
        <is>
          <t>Current Stock Price (HKD)</t>
        </is>
      </c>
      <c r="B5" s="4" t="n">
        <v>110</v>
      </c>
    </row>
    <row r="6">
      <c r="A6" t="inlineStr">
        <is>
          <t>Shares Outstanding (HK ordinary, M)</t>
        </is>
      </c>
      <c r="B6" s="4" t="n">
        <v>19235</v>
      </c>
    </row>
    <row r="7">
      <c r="A7" t="inlineStr">
        <is>
          <t>Cash &amp; Equivalents (RMB M)</t>
        </is>
      </c>
      <c r="B7" s="4" t="n">
        <v>131530</v>
      </c>
    </row>
    <row r="8">
      <c r="A8" t="inlineStr">
        <is>
          <t>Short-Term Investments, unrestricted (RMB M)</t>
        </is>
      </c>
      <c r="B8" s="4" t="n">
        <v>155236</v>
      </c>
    </row>
    <row r="9">
      <c r="A9" t="inlineStr">
        <is>
          <t>Other Treasury Investments, unrestricted (RMB M)</t>
        </is>
      </c>
      <c r="B9" s="4" t="n">
        <v>234058</v>
      </c>
    </row>
    <row r="10">
      <c r="A10" t="inlineStr">
        <is>
          <t>Total Debt (RMB M)</t>
        </is>
      </c>
      <c r="B10" s="4" t="n">
        <v>259996</v>
      </c>
    </row>
    <row r="11">
      <c r="A11" t="inlineStr">
        <is>
          <t>Net Debt / (Net Cash) (RMB M)</t>
        </is>
      </c>
      <c r="B11" s="5">
        <f>B10-B7-B8-B9</f>
        <v/>
      </c>
    </row>
    <row r="12">
      <c r="A12" t="inlineStr">
        <is>
          <t>Base Year Normalized FCF (RMB M)</t>
        </is>
      </c>
      <c r="B12" s="4" t="n">
        <v>120000</v>
      </c>
    </row>
    <row r="13">
      <c r="A13" t="inlineStr">
        <is>
          <t>CNY -&gt; HKD FX Rate</t>
        </is>
      </c>
      <c r="B13" s="6" t="n">
        <v>1.1597</v>
      </c>
    </row>
    <row r="15">
      <c r="A15" t="inlineStr">
        <is>
          <t>WACC</t>
        </is>
      </c>
      <c r="B15" s="7" t="n">
        <v>0.115</v>
      </c>
    </row>
    <row r="16">
      <c r="A16" t="inlineStr">
        <is>
          <t>Terminal Growth Rate</t>
        </is>
      </c>
      <c r="B16" s="7" t="n">
        <v>0.03</v>
      </c>
    </row>
    <row r="17">
      <c r="A17" t="inlineStr">
        <is>
          <t>Exit EV/EBITDA Multiple (cap)</t>
        </is>
      </c>
      <c r="B17" s="4" t="n">
        <v>7</v>
      </c>
    </row>
    <row r="18">
      <c r="A18" t="inlineStr">
        <is>
          <t>Normalized EBITDA basis (RMB M, avg FY23-25)</t>
        </is>
      </c>
      <c r="B18" s="4" t="n">
        <v>189901</v>
      </c>
    </row>
    <row r="20">
      <c r="A20" s="3" t="inlineStr">
        <is>
          <t>GROWTH ASSUMPTIONS</t>
        </is>
      </c>
      <c r="B20" s="8" t="inlineStr">
        <is>
          <t>Year 1</t>
        </is>
      </c>
      <c r="C20" s="8" t="inlineStr">
        <is>
          <t>Year 2</t>
        </is>
      </c>
      <c r="D20" s="8" t="inlineStr">
        <is>
          <t>Year 3</t>
        </is>
      </c>
      <c r="E20" s="8" t="inlineStr">
        <is>
          <t>Year 4</t>
        </is>
      </c>
      <c r="F20" s="8" t="inlineStr">
        <is>
          <t>Year 5</t>
        </is>
      </c>
    </row>
    <row r="21">
      <c r="A21" t="inlineStr">
        <is>
          <t>FCF Growth Rate</t>
        </is>
      </c>
      <c r="B21" s="7" t="n">
        <v>0.22</v>
      </c>
      <c r="C21" s="7" t="n">
        <v>0.18</v>
      </c>
      <c r="D21" s="7" t="n">
        <v>0.14</v>
      </c>
      <c r="E21" s="7" t="n">
        <v>0.1</v>
      </c>
      <c r="F21" s="7" t="n">
        <v>0.07000000000000001</v>
      </c>
    </row>
    <row r="22">
      <c r="A22" t="inlineStr">
        <is>
          <t>EBITDA Growth Rate (60% of FCF growth)</t>
        </is>
      </c>
      <c r="B22" s="9">
        <f>B21*0.6</f>
        <v/>
      </c>
      <c r="C22" s="9">
        <f>C21*0.6</f>
        <v/>
      </c>
      <c r="D22" s="9">
        <f>D21*0.6</f>
        <v/>
      </c>
      <c r="E22" s="9">
        <f>E21*0.6</f>
        <v/>
      </c>
      <c r="F22" s="9">
        <f>F21*0.6</f>
        <v/>
      </c>
    </row>
    <row r="24">
      <c r="A24" s="3" t="inlineStr">
        <is>
          <t>PROJECTIONS (RMB Millions)</t>
        </is>
      </c>
    </row>
    <row r="25">
      <c r="C25" s="10" t="inlineStr">
        <is>
          <t>Year 1</t>
        </is>
      </c>
      <c r="D25" s="10" t="inlineStr">
        <is>
          <t>Year 2</t>
        </is>
      </c>
      <c r="E25" s="10" t="inlineStr">
        <is>
          <t>Year 3</t>
        </is>
      </c>
      <c r="F25" s="10" t="inlineStr">
        <is>
          <t>Year 4</t>
        </is>
      </c>
      <c r="G25" s="10" t="inlineStr">
        <is>
          <t>Year 5</t>
        </is>
      </c>
    </row>
    <row r="26">
      <c r="A26" t="inlineStr">
        <is>
          <t>Free Cash Flow</t>
        </is>
      </c>
      <c r="B26" s="5">
        <f>B12</f>
        <v/>
      </c>
      <c r="C26" s="5">
        <f>B26*(1+B21)</f>
        <v/>
      </c>
      <c r="D26" s="5">
        <f>C26*(1+C21)</f>
        <v/>
      </c>
      <c r="E26" s="5">
        <f>D26*(1+D21)</f>
        <v/>
      </c>
      <c r="F26" s="5">
        <f>E26*(1+E21)</f>
        <v/>
      </c>
      <c r="G26" s="5">
        <f>F26*(1+F21)</f>
        <v/>
      </c>
    </row>
    <row r="27">
      <c r="A27" t="inlineStr">
        <is>
          <t>Discount Factor (WACC)</t>
        </is>
      </c>
      <c r="C27" s="11">
        <f>1/(1+$B$15)^1</f>
        <v/>
      </c>
      <c r="D27" s="11">
        <f>1/(1+$B$15)^2</f>
        <v/>
      </c>
      <c r="E27" s="11">
        <f>1/(1+$B$15)^3</f>
        <v/>
      </c>
      <c r="F27" s="11">
        <f>1/(1+$B$15)^4</f>
        <v/>
      </c>
      <c r="G27" s="11">
        <f>1/(1+$B$15)^5</f>
        <v/>
      </c>
    </row>
    <row r="28">
      <c r="A28" t="inlineStr">
        <is>
          <t>PV of FCF</t>
        </is>
      </c>
      <c r="C28" s="5">
        <f>C26*C27</f>
        <v/>
      </c>
      <c r="D28" s="5">
        <f>D26*D27</f>
        <v/>
      </c>
      <c r="E28" s="5">
        <f>E26*E27</f>
        <v/>
      </c>
      <c r="F28" s="5">
        <f>F26*F27</f>
        <v/>
      </c>
      <c r="G28" s="5">
        <f>G26*G27</f>
        <v/>
      </c>
    </row>
    <row r="29">
      <c r="A29" t="inlineStr">
        <is>
          <t>Normalized EBITDA</t>
        </is>
      </c>
      <c r="B29" s="5">
        <f>B18</f>
        <v/>
      </c>
      <c r="C29" s="5">
        <f>B29*(1+B22)</f>
        <v/>
      </c>
      <c r="D29" s="5">
        <f>C29*(1+C22)</f>
        <v/>
      </c>
      <c r="E29" s="5">
        <f>D29*(1+D22)</f>
        <v/>
      </c>
      <c r="F29" s="5">
        <f>E29*(1+E22)</f>
        <v/>
      </c>
      <c r="G29" s="5">
        <f>F29*(1+F22)</f>
        <v/>
      </c>
    </row>
    <row r="31">
      <c r="A31" s="3" t="inlineStr">
        <is>
          <t>VALUATION (RMB Millions)</t>
        </is>
      </c>
    </row>
    <row r="32">
      <c r="A32" t="inlineStr">
        <is>
          <t>Sum of PV of FCF</t>
        </is>
      </c>
      <c r="B32" s="5">
        <f>SUM(C28:G28)</f>
        <v/>
      </c>
    </row>
    <row r="33">
      <c r="A33" t="inlineStr">
        <is>
          <t>Terminal FCF (Year 5 * (1+g))</t>
        </is>
      </c>
      <c r="B33" s="5">
        <f>G26*(1+$B$16)</f>
        <v/>
      </c>
    </row>
    <row r="34">
      <c r="A34" t="inlineStr">
        <is>
          <t>Terminal Value - Gordon Growth</t>
        </is>
      </c>
      <c r="B34" s="5">
        <f>B33/($B$15-$B$16)</f>
        <v/>
      </c>
    </row>
    <row r="35">
      <c r="A35" t="inlineStr">
        <is>
          <t>Terminal Value - Exit Multiple (Y5 EBITDA x multiple)</t>
        </is>
      </c>
      <c r="B35" s="5">
        <f>G29*$B$17</f>
        <v/>
      </c>
    </row>
    <row r="36">
      <c r="A36" t="inlineStr">
        <is>
          <t>Terminal Value Used (MIN of the two)</t>
        </is>
      </c>
      <c r="B36" s="5">
        <f>MIN(B34,B35)</f>
        <v/>
      </c>
    </row>
    <row r="37">
      <c r="A37" t="inlineStr">
        <is>
          <t>PV of Terminal Value</t>
        </is>
      </c>
      <c r="B37" s="5">
        <f>B36*G27</f>
        <v/>
      </c>
    </row>
    <row r="38">
      <c r="A38" t="inlineStr">
        <is>
          <t>Enterprise Value</t>
        </is>
      </c>
      <c r="B38" s="5">
        <f>B32+B37</f>
        <v/>
      </c>
    </row>
    <row r="39">
      <c r="A39" t="inlineStr">
        <is>
          <t>Add: Net Cash (subtract if Net Debt positive)</t>
        </is>
      </c>
      <c r="B39" s="5">
        <f>-B11</f>
        <v/>
      </c>
    </row>
    <row r="40">
      <c r="A40" t="inlineStr">
        <is>
          <t>Equity Value (RMB M)</t>
        </is>
      </c>
      <c r="B40" s="5">
        <f>B38+B39</f>
        <v/>
      </c>
    </row>
    <row r="41">
      <c r="A41" t="inlineStr">
        <is>
          <t>Intrinsic Value / Share (RMB)</t>
        </is>
      </c>
      <c r="B41" s="5">
        <f>B40/B6</f>
        <v/>
      </c>
    </row>
    <row r="42">
      <c r="A42" s="8" t="inlineStr">
        <is>
          <t>INTRINSIC VALUE / SHARE (HKD)</t>
        </is>
      </c>
      <c r="B42" s="12">
        <f>B41*B13</f>
        <v/>
      </c>
    </row>
    <row r="44">
      <c r="A44" s="3" t="inlineStr">
        <is>
          <t>ENTRY PRICE (15% IRR Target)</t>
        </is>
      </c>
    </row>
    <row r="45">
      <c r="A45" t="inlineStr">
        <is>
          <t>PV of Yrs 1-5 FCF @15% (RMB M)</t>
        </is>
      </c>
      <c r="B45" s="5">
        <f>NPV(0.15,C26:G26)</f>
        <v/>
      </c>
    </row>
    <row r="46">
      <c r="A46" t="inlineStr">
        <is>
          <t>PV of Terminal Value @15% (RMB M)</t>
        </is>
      </c>
      <c r="B46" s="5">
        <f>B34/(1.15^5)</f>
        <v/>
      </c>
    </row>
    <row r="47">
      <c r="A47" t="inlineStr">
        <is>
          <t>Add: Net Cash (RMB M)</t>
        </is>
      </c>
      <c r="B47" s="5">
        <f>-B11</f>
        <v/>
      </c>
    </row>
    <row r="48">
      <c r="A48" t="inlineStr">
        <is>
          <t>Entry Price (RMB / share)</t>
        </is>
      </c>
      <c r="B48" s="5">
        <f>(B45+B46+B47)/B6</f>
        <v/>
      </c>
    </row>
    <row r="49">
      <c r="A49" s="8" t="inlineStr">
        <is>
          <t>ENTRY PRICE (HKD / share)</t>
        </is>
      </c>
      <c r="B49" s="12">
        <f>B48*B13</f>
        <v/>
      </c>
    </row>
    <row r="51">
      <c r="A51" s="3" t="inlineStr">
        <is>
          <t>UPSIDE / DOWNSIDE</t>
        </is>
      </c>
    </row>
    <row r="52">
      <c r="A52" t="inlineStr">
        <is>
          <t>Upside to Intrinsic Value</t>
        </is>
      </c>
      <c r="B52" s="9">
        <f>(B42-B5)/B5</f>
        <v/>
      </c>
    </row>
    <row r="53">
      <c r="A53" t="inlineStr">
        <is>
          <t>Discount of Current Price to Entry Price</t>
        </is>
      </c>
      <c r="B53" s="9">
        <f>(B5-B49)/B5</f>
        <v/>
      </c>
    </row>
    <row r="55">
      <c r="A55" t="inlineStr">
        <is>
          <t>Terminal Value % of Enterprise Value</t>
        </is>
      </c>
      <c r="B55" s="9">
        <f>B37/B38</f>
        <v/>
      </c>
    </row>
    <row r="56">
      <c r="A56" t="inlineStr">
        <is>
          <t>Implied Exit Multiple (TV_used / FCF_Y5)</t>
        </is>
      </c>
      <c r="B56" s="13">
        <f>B36/G26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.71" customWidth="1" min="1" max="1"/>
    <col width="15.7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9988.HK DCF Model - Bull Case</t>
        </is>
      </c>
    </row>
    <row r="2">
      <c r="A2" s="2" t="inlineStr">
        <is>
          <t>All cash flows in RMB millions unless noted. Gray cells are INPUTS. Net cash (positive) is ADDED to enterprise value.</t>
        </is>
      </c>
    </row>
    <row r="4">
      <c r="A4" s="3" t="inlineStr">
        <is>
          <t>KEY INPUTS</t>
        </is>
      </c>
    </row>
    <row r="5">
      <c r="A5" t="inlineStr">
        <is>
          <t>Current Stock Price (HKD)</t>
        </is>
      </c>
      <c r="B5" s="4" t="n">
        <v>110</v>
      </c>
    </row>
    <row r="6">
      <c r="A6" t="inlineStr">
        <is>
          <t>Shares Outstanding (HK ordinary, M)</t>
        </is>
      </c>
      <c r="B6" s="4" t="n">
        <v>19235</v>
      </c>
    </row>
    <row r="7">
      <c r="A7" t="inlineStr">
        <is>
          <t>Cash &amp; Equivalents (RMB M)</t>
        </is>
      </c>
      <c r="B7" s="4" t="n">
        <v>131530</v>
      </c>
    </row>
    <row r="8">
      <c r="A8" t="inlineStr">
        <is>
          <t>Short-Term Investments, unrestricted (RMB M)</t>
        </is>
      </c>
      <c r="B8" s="4" t="n">
        <v>155236</v>
      </c>
    </row>
    <row r="9">
      <c r="A9" t="inlineStr">
        <is>
          <t>Other Treasury Investments, unrestricted (RMB M)</t>
        </is>
      </c>
      <c r="B9" s="4" t="n">
        <v>234058</v>
      </c>
    </row>
    <row r="10">
      <c r="A10" t="inlineStr">
        <is>
          <t>Total Debt (RMB M)</t>
        </is>
      </c>
      <c r="B10" s="4" t="n">
        <v>259996</v>
      </c>
    </row>
    <row r="11">
      <c r="A11" t="inlineStr">
        <is>
          <t>Net Debt / (Net Cash) (RMB M)</t>
        </is>
      </c>
      <c r="B11" s="5">
        <f>B10-B7-B8-B9</f>
        <v/>
      </c>
    </row>
    <row r="12">
      <c r="A12" t="inlineStr">
        <is>
          <t>Base Year Normalized FCF (RMB M)</t>
        </is>
      </c>
      <c r="B12" s="4" t="n">
        <v>138000</v>
      </c>
    </row>
    <row r="13">
      <c r="A13" t="inlineStr">
        <is>
          <t>CNY -&gt; HKD FX Rate</t>
        </is>
      </c>
      <c r="B13" s="6" t="n">
        <v>1.1597</v>
      </c>
    </row>
    <row r="15">
      <c r="A15" t="inlineStr">
        <is>
          <t>WACC</t>
        </is>
      </c>
      <c r="B15" s="7" t="n">
        <v>0.105</v>
      </c>
    </row>
    <row r="16">
      <c r="A16" t="inlineStr">
        <is>
          <t>Terminal Growth Rate</t>
        </is>
      </c>
      <c r="B16" s="7" t="n">
        <v>0.035</v>
      </c>
    </row>
    <row r="17">
      <c r="A17" t="inlineStr">
        <is>
          <t>Exit EV/EBITDA Multiple (cap)</t>
        </is>
      </c>
      <c r="B17" s="4" t="n">
        <v>9.5</v>
      </c>
    </row>
    <row r="18">
      <c r="A18" t="inlineStr">
        <is>
          <t>Normalized EBITDA basis (RMB M, avg FY23-25)</t>
        </is>
      </c>
      <c r="B18" s="4" t="n">
        <v>189901</v>
      </c>
    </row>
    <row r="20">
      <c r="A20" s="3" t="inlineStr">
        <is>
          <t>GROWTH ASSUMPTIONS</t>
        </is>
      </c>
      <c r="B20" s="8" t="inlineStr">
        <is>
          <t>Year 1</t>
        </is>
      </c>
      <c r="C20" s="8" t="inlineStr">
        <is>
          <t>Year 2</t>
        </is>
      </c>
      <c r="D20" s="8" t="inlineStr">
        <is>
          <t>Year 3</t>
        </is>
      </c>
      <c r="E20" s="8" t="inlineStr">
        <is>
          <t>Year 4</t>
        </is>
      </c>
      <c r="F20" s="8" t="inlineStr">
        <is>
          <t>Year 5</t>
        </is>
      </c>
    </row>
    <row r="21">
      <c r="A21" t="inlineStr">
        <is>
          <t>FCF Growth Rate</t>
        </is>
      </c>
      <c r="B21" s="7" t="n">
        <v>0.28</v>
      </c>
      <c r="C21" s="7" t="n">
        <v>0.23</v>
      </c>
      <c r="D21" s="7" t="n">
        <v>0.18</v>
      </c>
      <c r="E21" s="7" t="n">
        <v>0.14</v>
      </c>
      <c r="F21" s="7" t="n">
        <v>0.1</v>
      </c>
    </row>
    <row r="22">
      <c r="A22" t="inlineStr">
        <is>
          <t>EBITDA Growth Rate (60% of FCF growth)</t>
        </is>
      </c>
      <c r="B22" s="9">
        <f>B21*0.6</f>
        <v/>
      </c>
      <c r="C22" s="9">
        <f>C21*0.6</f>
        <v/>
      </c>
      <c r="D22" s="9">
        <f>D21*0.6</f>
        <v/>
      </c>
      <c r="E22" s="9">
        <f>E21*0.6</f>
        <v/>
      </c>
      <c r="F22" s="9">
        <f>F21*0.6</f>
        <v/>
      </c>
    </row>
    <row r="24">
      <c r="A24" s="3" t="inlineStr">
        <is>
          <t>PROJECTIONS (RMB Millions)</t>
        </is>
      </c>
    </row>
    <row r="25">
      <c r="C25" s="10" t="inlineStr">
        <is>
          <t>Year 1</t>
        </is>
      </c>
      <c r="D25" s="10" t="inlineStr">
        <is>
          <t>Year 2</t>
        </is>
      </c>
      <c r="E25" s="10" t="inlineStr">
        <is>
          <t>Year 3</t>
        </is>
      </c>
      <c r="F25" s="10" t="inlineStr">
        <is>
          <t>Year 4</t>
        </is>
      </c>
      <c r="G25" s="10" t="inlineStr">
        <is>
          <t>Year 5</t>
        </is>
      </c>
    </row>
    <row r="26">
      <c r="A26" t="inlineStr">
        <is>
          <t>Free Cash Flow</t>
        </is>
      </c>
      <c r="B26" s="5">
        <f>B12</f>
        <v/>
      </c>
      <c r="C26" s="5">
        <f>B26*(1+B21)</f>
        <v/>
      </c>
      <c r="D26" s="5">
        <f>C26*(1+C21)</f>
        <v/>
      </c>
      <c r="E26" s="5">
        <f>D26*(1+D21)</f>
        <v/>
      </c>
      <c r="F26" s="5">
        <f>E26*(1+E21)</f>
        <v/>
      </c>
      <c r="G26" s="5">
        <f>F26*(1+F21)</f>
        <v/>
      </c>
    </row>
    <row r="27">
      <c r="A27" t="inlineStr">
        <is>
          <t>Discount Factor (WACC)</t>
        </is>
      </c>
      <c r="C27" s="11">
        <f>1/(1+$B$15)^1</f>
        <v/>
      </c>
      <c r="D27" s="11">
        <f>1/(1+$B$15)^2</f>
        <v/>
      </c>
      <c r="E27" s="11">
        <f>1/(1+$B$15)^3</f>
        <v/>
      </c>
      <c r="F27" s="11">
        <f>1/(1+$B$15)^4</f>
        <v/>
      </c>
      <c r="G27" s="11">
        <f>1/(1+$B$15)^5</f>
        <v/>
      </c>
    </row>
    <row r="28">
      <c r="A28" t="inlineStr">
        <is>
          <t>PV of FCF</t>
        </is>
      </c>
      <c r="C28" s="5">
        <f>C26*C27</f>
        <v/>
      </c>
      <c r="D28" s="5">
        <f>D26*D27</f>
        <v/>
      </c>
      <c r="E28" s="5">
        <f>E26*E27</f>
        <v/>
      </c>
      <c r="F28" s="5">
        <f>F26*F27</f>
        <v/>
      </c>
      <c r="G28" s="5">
        <f>G26*G27</f>
        <v/>
      </c>
    </row>
    <row r="29">
      <c r="A29" t="inlineStr">
        <is>
          <t>Normalized EBITDA</t>
        </is>
      </c>
      <c r="B29" s="5">
        <f>B18</f>
        <v/>
      </c>
      <c r="C29" s="5">
        <f>B29*(1+B22)</f>
        <v/>
      </c>
      <c r="D29" s="5">
        <f>C29*(1+C22)</f>
        <v/>
      </c>
      <c r="E29" s="5">
        <f>D29*(1+D22)</f>
        <v/>
      </c>
      <c r="F29" s="5">
        <f>E29*(1+E22)</f>
        <v/>
      </c>
      <c r="G29" s="5">
        <f>F29*(1+F22)</f>
        <v/>
      </c>
    </row>
    <row r="31">
      <c r="A31" s="3" t="inlineStr">
        <is>
          <t>VALUATION (RMB Millions)</t>
        </is>
      </c>
    </row>
    <row r="32">
      <c r="A32" t="inlineStr">
        <is>
          <t>Sum of PV of FCF</t>
        </is>
      </c>
      <c r="B32" s="5">
        <f>SUM(C28:G28)</f>
        <v/>
      </c>
    </row>
    <row r="33">
      <c r="A33" t="inlineStr">
        <is>
          <t>Terminal FCF (Year 5 * (1+g))</t>
        </is>
      </c>
      <c r="B33" s="5">
        <f>G26*(1+$B$16)</f>
        <v/>
      </c>
    </row>
    <row r="34">
      <c r="A34" t="inlineStr">
        <is>
          <t>Terminal Value - Gordon Growth</t>
        </is>
      </c>
      <c r="B34" s="5">
        <f>B33/($B$15-$B$16)</f>
        <v/>
      </c>
    </row>
    <row r="35">
      <c r="A35" t="inlineStr">
        <is>
          <t>Terminal Value - Exit Multiple (Y5 EBITDA x multiple)</t>
        </is>
      </c>
      <c r="B35" s="5">
        <f>G29*$B$17</f>
        <v/>
      </c>
    </row>
    <row r="36">
      <c r="A36" t="inlineStr">
        <is>
          <t>Terminal Value Used (MIN of the two)</t>
        </is>
      </c>
      <c r="B36" s="5">
        <f>MIN(B34,B35)</f>
        <v/>
      </c>
    </row>
    <row r="37">
      <c r="A37" t="inlineStr">
        <is>
          <t>PV of Terminal Value</t>
        </is>
      </c>
      <c r="B37" s="5">
        <f>B36*G27</f>
        <v/>
      </c>
    </row>
    <row r="38">
      <c r="A38" t="inlineStr">
        <is>
          <t>Enterprise Value</t>
        </is>
      </c>
      <c r="B38" s="5">
        <f>B32+B37</f>
        <v/>
      </c>
    </row>
    <row r="39">
      <c r="A39" t="inlineStr">
        <is>
          <t>Add: Net Cash (subtract if Net Debt positive)</t>
        </is>
      </c>
      <c r="B39" s="5">
        <f>-B11</f>
        <v/>
      </c>
    </row>
    <row r="40">
      <c r="A40" t="inlineStr">
        <is>
          <t>Equity Value (RMB M)</t>
        </is>
      </c>
      <c r="B40" s="5">
        <f>B38+B39</f>
        <v/>
      </c>
    </row>
    <row r="41">
      <c r="A41" t="inlineStr">
        <is>
          <t>Intrinsic Value / Share (RMB)</t>
        </is>
      </c>
      <c r="B41" s="5">
        <f>B40/B6</f>
        <v/>
      </c>
    </row>
    <row r="42">
      <c r="A42" s="8" t="inlineStr">
        <is>
          <t>INTRINSIC VALUE / SHARE (HKD)</t>
        </is>
      </c>
      <c r="B42" s="12">
        <f>B41*B13</f>
        <v/>
      </c>
    </row>
    <row r="44">
      <c r="A44" s="3" t="inlineStr">
        <is>
          <t>ENTRY PRICE (15% IRR Target)</t>
        </is>
      </c>
    </row>
    <row r="45">
      <c r="A45" t="inlineStr">
        <is>
          <t>PV of Yrs 1-5 FCF @15% (RMB M)</t>
        </is>
      </c>
      <c r="B45" s="5">
        <f>NPV(0.15,C26:G26)</f>
        <v/>
      </c>
    </row>
    <row r="46">
      <c r="A46" t="inlineStr">
        <is>
          <t>PV of Terminal Value @15% (RMB M)</t>
        </is>
      </c>
      <c r="B46" s="5">
        <f>B34/(1.15^5)</f>
        <v/>
      </c>
    </row>
    <row r="47">
      <c r="A47" t="inlineStr">
        <is>
          <t>Add: Net Cash (RMB M)</t>
        </is>
      </c>
      <c r="B47" s="5">
        <f>-B11</f>
        <v/>
      </c>
    </row>
    <row r="48">
      <c r="A48" t="inlineStr">
        <is>
          <t>Entry Price (RMB / share)</t>
        </is>
      </c>
      <c r="B48" s="5">
        <f>(B45+B46+B47)/B6</f>
        <v/>
      </c>
    </row>
    <row r="49">
      <c r="A49" s="8" t="inlineStr">
        <is>
          <t>ENTRY PRICE (HKD / share)</t>
        </is>
      </c>
      <c r="B49" s="12">
        <f>B48*B13</f>
        <v/>
      </c>
    </row>
    <row r="51">
      <c r="A51" s="3" t="inlineStr">
        <is>
          <t>UPSIDE / DOWNSIDE</t>
        </is>
      </c>
    </row>
    <row r="52">
      <c r="A52" t="inlineStr">
        <is>
          <t>Upside to Intrinsic Value</t>
        </is>
      </c>
      <c r="B52" s="9">
        <f>(B42-B5)/B5</f>
        <v/>
      </c>
    </row>
    <row r="53">
      <c r="A53" t="inlineStr">
        <is>
          <t>Discount of Current Price to Entry Price</t>
        </is>
      </c>
      <c r="B53" s="9">
        <f>(B5-B49)/B5</f>
        <v/>
      </c>
    </row>
    <row r="55">
      <c r="A55" t="inlineStr">
        <is>
          <t>Terminal Value % of Enterprise Value</t>
        </is>
      </c>
      <c r="B55" s="9">
        <f>B37/B38</f>
        <v/>
      </c>
    </row>
    <row r="56">
      <c r="A56" t="inlineStr">
        <is>
          <t>Implied Exit Multiple (TV_used / FCF_Y5)</t>
        </is>
      </c>
      <c r="B56" s="13">
        <f>B36/G26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.71" customWidth="1" min="1" max="1"/>
    <col width="15.7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9988.HK DCF Model - Bear Case</t>
        </is>
      </c>
    </row>
    <row r="2">
      <c r="A2" s="2" t="inlineStr">
        <is>
          <t>All cash flows in RMB millions unless noted. Gray cells are INPUTS. Net cash (positive) is ADDED to enterprise value.</t>
        </is>
      </c>
    </row>
    <row r="4">
      <c r="A4" s="3" t="inlineStr">
        <is>
          <t>KEY INPUTS</t>
        </is>
      </c>
    </row>
    <row r="5">
      <c r="A5" t="inlineStr">
        <is>
          <t>Current Stock Price (HKD)</t>
        </is>
      </c>
      <c r="B5" s="4" t="n">
        <v>110</v>
      </c>
    </row>
    <row r="6">
      <c r="A6" t="inlineStr">
        <is>
          <t>Shares Outstanding (HK ordinary, M)</t>
        </is>
      </c>
      <c r="B6" s="4" t="n">
        <v>19235</v>
      </c>
    </row>
    <row r="7">
      <c r="A7" t="inlineStr">
        <is>
          <t>Cash &amp; Equivalents (RMB M)</t>
        </is>
      </c>
      <c r="B7" s="4" t="n">
        <v>131530</v>
      </c>
    </row>
    <row r="8">
      <c r="A8" t="inlineStr">
        <is>
          <t>Short-Term Investments, unrestricted (RMB M)</t>
        </is>
      </c>
      <c r="B8" s="4" t="n">
        <v>155236</v>
      </c>
    </row>
    <row r="9">
      <c r="A9" t="inlineStr">
        <is>
          <t>Other Treasury Investments, unrestricted (RMB M)</t>
        </is>
      </c>
      <c r="B9" s="4" t="n">
        <v>234058</v>
      </c>
    </row>
    <row r="10">
      <c r="A10" t="inlineStr">
        <is>
          <t>Total Debt (RMB M)</t>
        </is>
      </c>
      <c r="B10" s="4" t="n">
        <v>259996</v>
      </c>
    </row>
    <row r="11">
      <c r="A11" t="inlineStr">
        <is>
          <t>Net Debt / (Net Cash) (RMB M)</t>
        </is>
      </c>
      <c r="B11" s="5">
        <f>B10-B7-B8-B9</f>
        <v/>
      </c>
    </row>
    <row r="12">
      <c r="A12" t="inlineStr">
        <is>
          <t>Base Year Normalized FCF (RMB M)</t>
        </is>
      </c>
      <c r="B12" s="4" t="n">
        <v>68000</v>
      </c>
    </row>
    <row r="13">
      <c r="A13" t="inlineStr">
        <is>
          <t>CNY -&gt; HKD FX Rate</t>
        </is>
      </c>
      <c r="B13" s="6" t="n">
        <v>1.1597</v>
      </c>
    </row>
    <row r="15">
      <c r="A15" t="inlineStr">
        <is>
          <t>WACC</t>
        </is>
      </c>
      <c r="B15" s="7" t="n">
        <v>0.13</v>
      </c>
    </row>
    <row r="16">
      <c r="A16" t="inlineStr">
        <is>
          <t>Terminal Growth Rate</t>
        </is>
      </c>
      <c r="B16" s="7" t="n">
        <v>0.025</v>
      </c>
    </row>
    <row r="17">
      <c r="A17" t="inlineStr">
        <is>
          <t>Exit EV/EBITDA Multiple (cap)</t>
        </is>
      </c>
      <c r="B17" s="4" t="n">
        <v>4.5</v>
      </c>
    </row>
    <row r="18">
      <c r="A18" t="inlineStr">
        <is>
          <t>Normalized EBITDA basis (RMB M, avg FY23-25)</t>
        </is>
      </c>
      <c r="B18" s="4" t="n">
        <v>189901</v>
      </c>
    </row>
    <row r="20">
      <c r="A20" s="3" t="inlineStr">
        <is>
          <t>GROWTH ASSUMPTIONS</t>
        </is>
      </c>
      <c r="B20" s="8" t="inlineStr">
        <is>
          <t>Year 1</t>
        </is>
      </c>
      <c r="C20" s="8" t="inlineStr">
        <is>
          <t>Year 2</t>
        </is>
      </c>
      <c r="D20" s="8" t="inlineStr">
        <is>
          <t>Year 3</t>
        </is>
      </c>
      <c r="E20" s="8" t="inlineStr">
        <is>
          <t>Year 4</t>
        </is>
      </c>
      <c r="F20" s="8" t="inlineStr">
        <is>
          <t>Year 5</t>
        </is>
      </c>
    </row>
    <row r="21">
      <c r="A21" t="inlineStr">
        <is>
          <t>FCF Growth Rate</t>
        </is>
      </c>
      <c r="B21" s="7" t="n">
        <v>0.06</v>
      </c>
      <c r="C21" s="7" t="n">
        <v>0.05</v>
      </c>
      <c r="D21" s="7" t="n">
        <v>0.04</v>
      </c>
      <c r="E21" s="7" t="n">
        <v>0.03</v>
      </c>
      <c r="F21" s="7" t="n">
        <v>0.02</v>
      </c>
    </row>
    <row r="22">
      <c r="A22" t="inlineStr">
        <is>
          <t>EBITDA Growth Rate (60% of FCF growth)</t>
        </is>
      </c>
      <c r="B22" s="9">
        <f>B21*0.6</f>
        <v/>
      </c>
      <c r="C22" s="9">
        <f>C21*0.6</f>
        <v/>
      </c>
      <c r="D22" s="9">
        <f>D21*0.6</f>
        <v/>
      </c>
      <c r="E22" s="9">
        <f>E21*0.6</f>
        <v/>
      </c>
      <c r="F22" s="9">
        <f>F21*0.6</f>
        <v/>
      </c>
    </row>
    <row r="24">
      <c r="A24" s="3" t="inlineStr">
        <is>
          <t>PROJECTIONS (RMB Millions)</t>
        </is>
      </c>
    </row>
    <row r="25">
      <c r="C25" s="10" t="inlineStr">
        <is>
          <t>Year 1</t>
        </is>
      </c>
      <c r="D25" s="10" t="inlineStr">
        <is>
          <t>Year 2</t>
        </is>
      </c>
      <c r="E25" s="10" t="inlineStr">
        <is>
          <t>Year 3</t>
        </is>
      </c>
      <c r="F25" s="10" t="inlineStr">
        <is>
          <t>Year 4</t>
        </is>
      </c>
      <c r="G25" s="10" t="inlineStr">
        <is>
          <t>Year 5</t>
        </is>
      </c>
    </row>
    <row r="26">
      <c r="A26" t="inlineStr">
        <is>
          <t>Free Cash Flow</t>
        </is>
      </c>
      <c r="B26" s="5">
        <f>B12</f>
        <v/>
      </c>
      <c r="C26" s="5">
        <f>B26*(1+B21)</f>
        <v/>
      </c>
      <c r="D26" s="5">
        <f>C26*(1+C21)</f>
        <v/>
      </c>
      <c r="E26" s="5">
        <f>D26*(1+D21)</f>
        <v/>
      </c>
      <c r="F26" s="5">
        <f>E26*(1+E21)</f>
        <v/>
      </c>
      <c r="G26" s="5">
        <f>F26*(1+F21)</f>
        <v/>
      </c>
    </row>
    <row r="27">
      <c r="A27" t="inlineStr">
        <is>
          <t>Discount Factor (WACC)</t>
        </is>
      </c>
      <c r="C27" s="11">
        <f>1/(1+$B$15)^1</f>
        <v/>
      </c>
      <c r="D27" s="11">
        <f>1/(1+$B$15)^2</f>
        <v/>
      </c>
      <c r="E27" s="11">
        <f>1/(1+$B$15)^3</f>
        <v/>
      </c>
      <c r="F27" s="11">
        <f>1/(1+$B$15)^4</f>
        <v/>
      </c>
      <c r="G27" s="11">
        <f>1/(1+$B$15)^5</f>
        <v/>
      </c>
    </row>
    <row r="28">
      <c r="A28" t="inlineStr">
        <is>
          <t>PV of FCF</t>
        </is>
      </c>
      <c r="C28" s="5">
        <f>C26*C27</f>
        <v/>
      </c>
      <c r="D28" s="5">
        <f>D26*D27</f>
        <v/>
      </c>
      <c r="E28" s="5">
        <f>E26*E27</f>
        <v/>
      </c>
      <c r="F28" s="5">
        <f>F26*F27</f>
        <v/>
      </c>
      <c r="G28" s="5">
        <f>G26*G27</f>
        <v/>
      </c>
    </row>
    <row r="29">
      <c r="A29" t="inlineStr">
        <is>
          <t>Normalized EBITDA</t>
        </is>
      </c>
      <c r="B29" s="5">
        <f>B18</f>
        <v/>
      </c>
      <c r="C29" s="5">
        <f>B29*(1+B22)</f>
        <v/>
      </c>
      <c r="D29" s="5">
        <f>C29*(1+C22)</f>
        <v/>
      </c>
      <c r="E29" s="5">
        <f>D29*(1+D22)</f>
        <v/>
      </c>
      <c r="F29" s="5">
        <f>E29*(1+E22)</f>
        <v/>
      </c>
      <c r="G29" s="5">
        <f>F29*(1+F22)</f>
        <v/>
      </c>
    </row>
    <row r="31">
      <c r="A31" s="3" t="inlineStr">
        <is>
          <t>VALUATION (RMB Millions)</t>
        </is>
      </c>
    </row>
    <row r="32">
      <c r="A32" t="inlineStr">
        <is>
          <t>Sum of PV of FCF</t>
        </is>
      </c>
      <c r="B32" s="5">
        <f>SUM(C28:G28)</f>
        <v/>
      </c>
    </row>
    <row r="33">
      <c r="A33" t="inlineStr">
        <is>
          <t>Terminal FCF (Year 5 * (1+g))</t>
        </is>
      </c>
      <c r="B33" s="5">
        <f>G26*(1+$B$16)</f>
        <v/>
      </c>
    </row>
    <row r="34">
      <c r="A34" t="inlineStr">
        <is>
          <t>Terminal Value - Gordon Growth</t>
        </is>
      </c>
      <c r="B34" s="5">
        <f>B33/($B$15-$B$16)</f>
        <v/>
      </c>
    </row>
    <row r="35">
      <c r="A35" t="inlineStr">
        <is>
          <t>Terminal Value - Exit Multiple (Y5 EBITDA x multiple)</t>
        </is>
      </c>
      <c r="B35" s="5">
        <f>G29*$B$17</f>
        <v/>
      </c>
    </row>
    <row r="36">
      <c r="A36" t="inlineStr">
        <is>
          <t>Terminal Value Used (MIN of the two)</t>
        </is>
      </c>
      <c r="B36" s="5">
        <f>MIN(B34,B35)</f>
        <v/>
      </c>
    </row>
    <row r="37">
      <c r="A37" t="inlineStr">
        <is>
          <t>PV of Terminal Value</t>
        </is>
      </c>
      <c r="B37" s="5">
        <f>B36*G27</f>
        <v/>
      </c>
    </row>
    <row r="38">
      <c r="A38" t="inlineStr">
        <is>
          <t>Enterprise Value</t>
        </is>
      </c>
      <c r="B38" s="5">
        <f>B32+B37</f>
        <v/>
      </c>
    </row>
    <row r="39">
      <c r="A39" t="inlineStr">
        <is>
          <t>Add: Net Cash (subtract if Net Debt positive)</t>
        </is>
      </c>
      <c r="B39" s="5">
        <f>-B11</f>
        <v/>
      </c>
    </row>
    <row r="40">
      <c r="A40" t="inlineStr">
        <is>
          <t>Equity Value (RMB M)</t>
        </is>
      </c>
      <c r="B40" s="5">
        <f>B38+B39</f>
        <v/>
      </c>
    </row>
    <row r="41">
      <c r="A41" t="inlineStr">
        <is>
          <t>Intrinsic Value / Share (RMB)</t>
        </is>
      </c>
      <c r="B41" s="5">
        <f>B40/B6</f>
        <v/>
      </c>
    </row>
    <row r="42">
      <c r="A42" s="8" t="inlineStr">
        <is>
          <t>INTRINSIC VALUE / SHARE (HKD)</t>
        </is>
      </c>
      <c r="B42" s="12">
        <f>B41*B13</f>
        <v/>
      </c>
    </row>
    <row r="44">
      <c r="A44" s="3" t="inlineStr">
        <is>
          <t>ENTRY PRICE (15% IRR Target)</t>
        </is>
      </c>
    </row>
    <row r="45">
      <c r="A45" t="inlineStr">
        <is>
          <t>PV of Yrs 1-5 FCF @15% (RMB M)</t>
        </is>
      </c>
      <c r="B45" s="5">
        <f>NPV(0.15,C26:G26)</f>
        <v/>
      </c>
    </row>
    <row r="46">
      <c r="A46" t="inlineStr">
        <is>
          <t>PV of Terminal Value @15% (RMB M)</t>
        </is>
      </c>
      <c r="B46" s="5">
        <f>B34/(1.15^5)</f>
        <v/>
      </c>
    </row>
    <row r="47">
      <c r="A47" t="inlineStr">
        <is>
          <t>Add: Net Cash (RMB M)</t>
        </is>
      </c>
      <c r="B47" s="5">
        <f>-B11</f>
        <v/>
      </c>
    </row>
    <row r="48">
      <c r="A48" t="inlineStr">
        <is>
          <t>Entry Price (RMB / share)</t>
        </is>
      </c>
      <c r="B48" s="5">
        <f>(B45+B46+B47)/B6</f>
        <v/>
      </c>
    </row>
    <row r="49">
      <c r="A49" s="8" t="inlineStr">
        <is>
          <t>ENTRY PRICE (HKD / share)</t>
        </is>
      </c>
      <c r="B49" s="12">
        <f>B48*B13</f>
        <v/>
      </c>
    </row>
    <row r="51">
      <c r="A51" s="3" t="inlineStr">
        <is>
          <t>UPSIDE / DOWNSIDE</t>
        </is>
      </c>
    </row>
    <row r="52">
      <c r="A52" t="inlineStr">
        <is>
          <t>Upside to Intrinsic Value</t>
        </is>
      </c>
      <c r="B52" s="9">
        <f>(B42-B5)/B5</f>
        <v/>
      </c>
    </row>
    <row r="53">
      <c r="A53" t="inlineStr">
        <is>
          <t>Discount of Current Price to Entry Price</t>
        </is>
      </c>
      <c r="B53" s="9">
        <f>(B5-B49)/B5</f>
        <v/>
      </c>
    </row>
    <row r="55">
      <c r="A55" t="inlineStr">
        <is>
          <t>Terminal Value % of Enterprise Value</t>
        </is>
      </c>
      <c r="B55" s="9">
        <f>B37/B38</f>
        <v/>
      </c>
    </row>
    <row r="56">
      <c r="A56" t="inlineStr">
        <is>
          <t>Implied Exit Multiple (TV_used / FCF_Y5)</t>
        </is>
      </c>
      <c r="B56" s="13">
        <f>B36/G26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.71" customWidth="1" min="1" max="1"/>
    <col width="16.71" customWidth="1" min="2" max="2"/>
    <col width="16.71" customWidth="1" min="3" max="3"/>
    <col width="16.71" customWidth="1" min="4" max="4"/>
  </cols>
  <sheetData>
    <row r="1">
      <c r="A1" s="1" t="inlineStr">
        <is>
          <t>9988.HK DCF Summary (HKD per HK Ordinary Share)</t>
        </is>
      </c>
    </row>
    <row r="2">
      <c r="A2" s="2" t="inlineStr">
        <is>
          <t>Alibaba Group Holding Limited - Hong Kong Primary Listing (1 ADS = 8 ordinary shares). REVISED 2026-07-26: net-cash basis, re-synced to corrected BABA scenario set.</t>
        </is>
      </c>
    </row>
    <row r="4">
      <c r="A4" t="inlineStr">
        <is>
          <t>Current Price (HKD)</t>
        </is>
      </c>
      <c r="B4" s="14">
        <f>'Base Case'!B5</f>
        <v/>
      </c>
    </row>
    <row r="6">
      <c r="B6" s="10" t="inlineStr">
        <is>
          <t>Bear</t>
        </is>
      </c>
      <c r="C6" s="10" t="inlineStr">
        <is>
          <t>Base</t>
        </is>
      </c>
      <c r="D6" s="10" t="inlineStr">
        <is>
          <t>Bull</t>
        </is>
      </c>
    </row>
    <row r="7">
      <c r="A7" t="inlineStr">
        <is>
          <t>Intrinsic Value / Share</t>
        </is>
      </c>
      <c r="B7" s="14">
        <f>'Bear Case'!B42</f>
        <v/>
      </c>
      <c r="C7" s="14">
        <f>'Base Case'!B42</f>
        <v/>
      </c>
      <c r="D7" s="14">
        <f>'Bull Case'!B42</f>
        <v/>
      </c>
    </row>
    <row r="8">
      <c r="A8" t="inlineStr">
        <is>
          <t>Upside vs Current</t>
        </is>
      </c>
      <c r="B8" s="9">
        <f>'Bear Case'!B52</f>
        <v/>
      </c>
      <c r="C8" s="9">
        <f>'Base Case'!B52</f>
        <v/>
      </c>
      <c r="D8" s="9">
        <f>'Bull Case'!B52</f>
        <v/>
      </c>
    </row>
    <row r="9">
      <c r="A9" t="inlineStr">
        <is>
          <t>Entry Price (15% IRR)</t>
        </is>
      </c>
      <c r="B9" s="14">
        <f>'Bear Case'!B49</f>
        <v/>
      </c>
      <c r="C9" s="14">
        <f>'Base Case'!B49</f>
        <v/>
      </c>
      <c r="D9" s="14">
        <f>'Bull Case'!B49</f>
        <v/>
      </c>
    </row>
    <row r="10">
      <c r="A10" t="inlineStr">
        <is>
          <t>WACC</t>
        </is>
      </c>
      <c r="B10" s="9">
        <f>'Bear Case'!B15</f>
        <v/>
      </c>
      <c r="C10" s="9">
        <f>'Base Case'!B15</f>
        <v/>
      </c>
      <c r="D10" s="9">
        <f>'Bull Case'!B15</f>
        <v/>
      </c>
    </row>
    <row r="11">
      <c r="A11" t="inlineStr">
        <is>
          <t>Terminal Value % of EV</t>
        </is>
      </c>
      <c r="B11" s="9">
        <f>'Bear Case'!B55</f>
        <v/>
      </c>
      <c r="C11" s="9">
        <f>'Base Case'!B55</f>
        <v/>
      </c>
      <c r="D11" s="9">
        <f>'Bull Case'!B55</f>
        <v/>
      </c>
    </row>
    <row r="13">
      <c r="A13" s="3" t="inlineStr">
        <is>
          <t>PROBABILITY WEIGHTED VALUE</t>
        </is>
      </c>
    </row>
    <row r="14">
      <c r="A14" t="inlineStr">
        <is>
          <t>Weight</t>
        </is>
      </c>
      <c r="B14" s="7" t="n">
        <v>0.25</v>
      </c>
      <c r="C14" s="7" t="n">
        <v>0.5</v>
      </c>
      <c r="D14" s="7" t="n">
        <v>0.25</v>
      </c>
    </row>
    <row r="15">
      <c r="A15" s="8" t="inlineStr">
        <is>
          <t>Weighted Intrinsic Value (HKD)</t>
        </is>
      </c>
      <c r="B15" s="12">
        <f>B7*B14+C7*C14+D7*D14</f>
        <v/>
      </c>
    </row>
    <row r="16">
      <c r="A16" t="inlineStr">
        <is>
          <t>Upside from Current</t>
        </is>
      </c>
      <c r="B16" s="9">
        <f>(B15-B4)/B4</f>
        <v/>
      </c>
    </row>
    <row r="18">
      <c r="A18" s="3" t="inlineStr">
        <is>
          <t>FX Rates Used</t>
        </is>
      </c>
    </row>
    <row r="19">
      <c r="A19" t="inlineStr">
        <is>
          <t>USD/CNY</t>
        </is>
      </c>
      <c r="B19" s="6" t="n">
        <v>6.7617</v>
      </c>
    </row>
    <row r="20">
      <c r="A20" t="inlineStr">
        <is>
          <t>USD/HKD</t>
        </is>
      </c>
      <c r="B20" s="6" t="n">
        <v>7.8414</v>
      </c>
    </row>
    <row r="21">
      <c r="A21" t="inlineStr">
        <is>
          <t>CNY/HKD (derived)</t>
        </is>
      </c>
      <c r="B21" s="11">
        <f>B20/B19</f>
        <v/>
      </c>
    </row>
    <row r="23">
      <c r="A23" t="inlineStr">
        <is>
          <t>Net Cash Position (RMB M)</t>
        </is>
      </c>
      <c r="B23" s="5">
        <f>-'Base Case'!B11</f>
        <v/>
      </c>
    </row>
    <row r="24">
      <c r="A24" t="inlineStr">
        <is>
          <t>Shares Outstanding (HK ordinary, M)</t>
        </is>
      </c>
      <c r="B24" s="5">
        <f>'Base Case'!B6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.71" customWidth="1" min="1" max="1"/>
    <col width="12.71" customWidth="1" min="2" max="2"/>
    <col width="12.71" customWidth="1" min="3" max="3"/>
    <col width="12.71" customWidth="1" min="4" max="4"/>
    <col width="12.71" customWidth="1" min="5" max="5"/>
    <col width="12.71" customWidth="1" min="6" max="6"/>
  </cols>
  <sheetData>
    <row r="1">
      <c r="A1" s="1" t="inlineStr">
        <is>
          <t>Sensitivity Analysis - Base Case</t>
        </is>
      </c>
    </row>
    <row r="2">
      <c r="A2" t="inlineStr">
        <is>
          <t>Intrinsic Value (HKD/share) by WACC &amp; Terminal Growth</t>
        </is>
      </c>
    </row>
    <row r="3">
      <c r="A3" s="2" t="inlineStr">
        <is>
          <t>Static values from validated model (exit-multiple cap binding across the full tested range; 7.0x cap, RMB 260,828M net cash)</t>
        </is>
      </c>
    </row>
    <row r="5">
      <c r="A5" s="10" t="inlineStr">
        <is>
          <t>WACC \ Term G</t>
        </is>
      </c>
      <c r="B5" s="15" t="n">
        <v>0.02</v>
      </c>
      <c r="C5" s="15" t="n">
        <v>0.025</v>
      </c>
      <c r="D5" s="15" t="n">
        <v>0.03</v>
      </c>
      <c r="E5" s="15" t="n">
        <v>0.035</v>
      </c>
      <c r="F5" s="15" t="n">
        <v>0.04</v>
      </c>
    </row>
    <row r="6">
      <c r="A6" s="15" t="n">
        <v>0.095</v>
      </c>
      <c r="B6" s="14" t="n">
        <v>135.93</v>
      </c>
      <c r="C6" s="14" t="n">
        <v>135.93</v>
      </c>
      <c r="D6" s="14" t="n">
        <v>135.93</v>
      </c>
      <c r="E6" s="14" t="n">
        <v>135.93</v>
      </c>
      <c r="F6" s="14" t="n">
        <v>135.93</v>
      </c>
    </row>
    <row r="7">
      <c r="A7" s="15" t="n">
        <v>0.105</v>
      </c>
      <c r="B7" s="14" t="n">
        <v>131.34</v>
      </c>
      <c r="C7" s="14" t="n">
        <v>131.34</v>
      </c>
      <c r="D7" s="14" t="n">
        <v>131.34</v>
      </c>
      <c r="E7" s="14" t="n">
        <v>131.34</v>
      </c>
      <c r="F7" s="14" t="n">
        <v>131.34</v>
      </c>
    </row>
    <row r="8">
      <c r="A8" s="15" t="n">
        <v>0.115</v>
      </c>
      <c r="B8" s="14" t="n">
        <v>126.98</v>
      </c>
      <c r="C8" s="14" t="n">
        <v>126.98</v>
      </c>
      <c r="D8" s="14" t="n">
        <v>126.98</v>
      </c>
      <c r="E8" s="14" t="n">
        <v>126.98</v>
      </c>
      <c r="F8" s="14" t="n">
        <v>126.98</v>
      </c>
    </row>
    <row r="9">
      <c r="A9" s="15" t="n">
        <v>0.125</v>
      </c>
      <c r="B9" s="14" t="n">
        <v>122.84</v>
      </c>
      <c r="C9" s="14" t="n">
        <v>122.84</v>
      </c>
      <c r="D9" s="14" t="n">
        <v>122.84</v>
      </c>
      <c r="E9" s="14" t="n">
        <v>122.84</v>
      </c>
      <c r="F9" s="14" t="n">
        <v>122.84</v>
      </c>
    </row>
    <row r="10">
      <c r="A10" s="15" t="n">
        <v>0.135</v>
      </c>
      <c r="B10" s="14" t="n">
        <v>118.9</v>
      </c>
      <c r="C10" s="14" t="n">
        <v>118.9</v>
      </c>
      <c r="D10" s="14" t="n">
        <v>118.9</v>
      </c>
      <c r="E10" s="14" t="n">
        <v>118.9</v>
      </c>
      <c r="F10" s="14" t="n">
        <v>118.9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.71" customWidth="1" min="1" max="1"/>
    <col width="15.71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Historical Growth Rates</t>
        </is>
      </c>
    </row>
    <row r="3">
      <c r="A3" s="8" t="inlineStr">
        <is>
          <t>Metric</t>
        </is>
      </c>
      <c r="B3" s="8" t="inlineStr">
        <is>
          <t>3-Year CAGR</t>
        </is>
      </c>
      <c r="C3" s="8" t="inlineStr">
        <is>
          <t>5-Year CAGR</t>
        </is>
      </c>
    </row>
    <row r="4">
      <c r="A4" t="inlineStr">
        <is>
          <t>Revenue</t>
        </is>
      </c>
      <c r="B4" s="9" t="n">
        <v>0.0562</v>
      </c>
      <c r="C4" s="9" t="n">
        <v>0.0737</v>
      </c>
    </row>
    <row r="5">
      <c r="A5" t="inlineStr">
        <is>
          <t>EPS</t>
        </is>
      </c>
      <c r="B5" s="9" t="n">
        <v>0.1684</v>
      </c>
      <c r="C5" s="9" t="n">
        <v>-0.0524</v>
      </c>
    </row>
    <row r="6">
      <c r="A6" t="inlineStr">
        <is>
          <t>Equity (Book Value)</t>
        </is>
      </c>
      <c r="B6" s="9" t="n">
        <v>0.0234</v>
      </c>
      <c r="C6" s="9" t="n">
        <v>0.025</v>
      </c>
    </row>
    <row r="7">
      <c r="A7" t="inlineStr">
        <is>
          <t>FCF</t>
        </is>
      </c>
      <c r="B7" t="inlineStr">
        <is>
          <t>N/A (neg. FY26)</t>
        </is>
      </c>
      <c r="C7" t="inlineStr">
        <is>
          <t>N/A (neg. FY26)</t>
        </is>
      </c>
    </row>
    <row r="9">
      <c r="A9" s="8" t="inlineStr">
        <is>
          <t>Selected Growth Rate:</t>
        </is>
      </c>
      <c r="B9" s="9" t="n">
        <v>0.025</v>
      </c>
    </row>
    <row r="10">
      <c r="A10" t="inlineStr">
        <is>
          <t>Source:</t>
        </is>
      </c>
      <c r="B10" t="inlineStr">
        <is>
          <t>equity_5yr_cagr</t>
        </is>
      </c>
    </row>
    <row r="11" ht="60" customHeight="1">
      <c r="A11" t="inlineStr">
        <is>
          <t>Divergence Warning:</t>
        </is>
      </c>
      <c r="B11" s="16" t="inlineStr">
        <is>
          <t>Equity 5yr CAGR (2.5%) is far below Revenue 5yr CAGR (7.4%) and EPS 3yr CAGR (16.8%). Divergence is explained by: (1) massive share buybacks reducing equity per share denominator effects and reinvestment mix, (2) FY2026 investment cycle compressing retained earnings, (3) a corrected FY2017 equity base (278,799 RMB M, down from a previously overstated 566,578) that raises the LONGER-horizon (9yr, FY2017-FY2026) equity CAGR to 16.0% -- but this window is dominated by the initial low base and is not representative of steady-state compounding. Per the trough-FCF framework, equity CAGR is not used as the primary growth anchor -- FCF recovery trajectory is modeled explicitly by scenario. FCF CAGR is flagged N/A due to negative terminal year. (Identical to BABA_DCF.json -- company-level fundamentals, listing-venue-agnostic.)</t>
        </is>
      </c>
    </row>
    <row r="13">
      <c r="A13" s="3" t="inlineStr">
        <is>
          <t>Historical FY-End Multiples (9988.HK, March close) — EV/EBITDA net-cash corrected 2026-07-26</t>
        </is>
      </c>
    </row>
    <row r="14">
      <c r="A14" s="8" t="inlineStr">
        <is>
          <t>FY</t>
        </is>
      </c>
      <c r="B14" s="8" t="inlineStr">
        <is>
          <t>P/E</t>
        </is>
      </c>
      <c r="C14" s="8" t="inlineStr">
        <is>
          <t>P/B</t>
        </is>
      </c>
      <c r="D14" s="8" t="inlineStr">
        <is>
          <t>EV/EBITDA</t>
        </is>
      </c>
      <c r="E14" s="8" t="inlineStr">
        <is>
          <t>P/S</t>
        </is>
      </c>
    </row>
    <row r="16">
      <c r="A16" t="inlineStr">
        <is>
          <t>FY2020 (excl-hypergrowth)</t>
        </is>
      </c>
      <c r="B16" s="17" t="n">
        <v>24.62</v>
      </c>
      <c r="C16" s="18" t="n">
        <v>4.86</v>
      </c>
      <c r="D16" s="17" t="n">
        <v>21.8</v>
      </c>
      <c r="E16" s="18" t="n">
        <v>8.550000000000001</v>
      </c>
    </row>
    <row r="17">
      <c r="A17" t="inlineStr">
        <is>
          <t>FY2021 (excl-hypergrowth)</t>
        </is>
      </c>
      <c r="B17" s="17" t="n">
        <v>27.15</v>
      </c>
      <c r="C17" s="18" t="n">
        <v>4.35</v>
      </c>
      <c r="D17" s="17" t="n">
        <v>19.07</v>
      </c>
      <c r="E17" s="18" t="n">
        <v>5.55</v>
      </c>
    </row>
    <row r="18">
      <c r="A18" t="inlineStr">
        <is>
          <t>FY2022</t>
        </is>
      </c>
      <c r="B18" s="17" t="n">
        <v>30.39</v>
      </c>
      <c r="C18" s="18" t="n">
        <v>1.98</v>
      </c>
      <c r="D18" s="17" t="n">
        <v>9.94</v>
      </c>
      <c r="E18" s="18" t="n">
        <v>2.33</v>
      </c>
    </row>
    <row r="19">
      <c r="A19" t="inlineStr">
        <is>
          <t>FY2023</t>
        </is>
      </c>
      <c r="B19" s="17" t="n">
        <v>25.55</v>
      </c>
      <c r="C19" s="18" t="n">
        <v>1.87</v>
      </c>
      <c r="D19" s="17" t="n">
        <v>8.26</v>
      </c>
      <c r="E19" s="18" t="n">
        <v>2.12</v>
      </c>
    </row>
    <row r="20">
      <c r="A20" t="inlineStr">
        <is>
          <t>FY2024</t>
        </is>
      </c>
      <c r="B20" s="17" t="n">
        <v>16.71</v>
      </c>
      <c r="C20" s="18" t="n">
        <v>1.35</v>
      </c>
      <c r="D20" s="17" t="n">
        <v>4.62</v>
      </c>
      <c r="E20" s="18" t="n">
        <v>1.37</v>
      </c>
    </row>
    <row r="21">
      <c r="A21" t="inlineStr">
        <is>
          <t>FY2025</t>
        </is>
      </c>
      <c r="B21" s="17" t="n">
        <v>17.89</v>
      </c>
      <c r="C21" s="18" t="n">
        <v>2.3</v>
      </c>
      <c r="D21" s="17" t="n">
        <v>9.640000000000001</v>
      </c>
      <c r="E21" s="18" t="n">
        <v>2.25</v>
      </c>
    </row>
    <row r="22">
      <c r="A22" t="inlineStr">
        <is>
          <t>FY2026 (trough-EBITDA outlier)</t>
        </is>
      </c>
      <c r="B22" s="17" t="n">
        <v>19.66</v>
      </c>
      <c r="C22" s="18" t="n">
        <v>1.96</v>
      </c>
      <c r="D22" s="17" t="n">
        <v>16.02</v>
      </c>
      <c r="E22" s="18" t="n">
        <v>1.97</v>
      </c>
    </row>
    <row r="24">
      <c r="A24" s="2" t="inlineStr">
        <is>
          <t>Note: EV/EBITDA series corrected 2026-07-26 to net full unrestricted</t>
        </is>
      </c>
    </row>
    <row r="25">
      <c r="A25" s="2" t="inlineStr">
        <is>
          <t>investment portfolio (cash + ST investments + other treasury), not cash alone.</t>
        </is>
      </c>
    </row>
    <row r="26">
      <c r="A26" s="2" t="inlineStr">
        <is>
          <t>FY2017-18 excluded above (ST-investment data unavailable, outside calibration window).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2026-07-26T07:00:17Z</dcterms:created>
  <dcterms:modified xmlns:dcterms="http://purl.org/dc/terms/" xmlns:xsi="http://www.w3.org/2001/XMLSchema-instance" xsi:type="dcterms:W3CDTF">2026-07-26T07:00:17Z</dcterms:modified>
</cp:coreProperties>
</file>