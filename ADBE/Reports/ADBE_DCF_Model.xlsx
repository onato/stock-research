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s" sheetId="3" r:id="rId3"/>
    <sheet name="Sanity Check" sheetId="4" r:id="rId4"/>
  </sheets>
  <calcPr calcId="124519" fullCalcOnLoad="1"/>
</workbook>
</file>

<file path=xl/sharedStrings.xml><?xml version="1.0" encoding="utf-8"?>
<sst xmlns="http://schemas.openxmlformats.org/spreadsheetml/2006/main" count="210" uniqueCount="167">
  <si>
    <t>Adobe Inc. (ADBE) — DCF Valuation Model</t>
  </si>
  <si>
    <t>Gray cells are INPUTS — adjust to see valuation update automatically. Valuation date: 2026-06-30.</t>
  </si>
  <si>
    <t>KEY INPUTS</t>
  </si>
  <si>
    <t>Current Stock Price</t>
  </si>
  <si>
    <t>Shares Outstanding (M)</t>
  </si>
  <si>
    <t>Cash &amp; Equivalents (M)</t>
  </si>
  <si>
    <t>Total Debt (M)</t>
  </si>
  <si>
    <t>Net Debt (M)  [= Debt − Cash]</t>
  </si>
  <si>
    <t>Base Year FCF (M) [FY2025]</t>
  </si>
  <si>
    <t>WACC</t>
  </si>
  <si>
    <t>Terminal Growth Rate</t>
  </si>
  <si>
    <t>Target CAGR for Entry Price</t>
  </si>
  <si>
    <t>Note: Net debt calculated as Total Debt minus Cash (Q2 FY2026)</t>
  </si>
  <si>
    <t>WACC: ~9-10% appropriate for large-cap profitable software. Adobe beta ~1.2, risk-free rate ~4.3%, equity risk premium ~5.5%.</t>
  </si>
  <si>
    <t>BASE CASE — GROWTH ASSUMPTIONS</t>
  </si>
  <si>
    <t>Year 1</t>
  </si>
  <si>
    <t>Year 2</t>
  </si>
  <si>
    <t>Year 3</t>
  </si>
  <si>
    <t>Year 4</t>
  </si>
  <si>
    <t>Year 5</t>
  </si>
  <si>
    <t>FCF Growth Rate</t>
  </si>
  <si>
    <t>Growth rationale: Y1 10% from FY2026 guidance; Y2 9% (Firefly + Semrush); Y3-Y4 deceleration from AI competition pressure; Y5 5% normalization; Terminal 3% = long-run nominal GDP.</t>
  </si>
  <si>
    <t>BASE CASE — PROJECTIONS  ($ millions)</t>
  </si>
  <si>
    <t>Base Year</t>
  </si>
  <si>
    <t>Free Cash Flow (M)</t>
  </si>
  <si>
    <t>Discount Factor  [1/(1+WACC)^n]</t>
  </si>
  <si>
    <t>PV of FCF (M)</t>
  </si>
  <si>
    <t>BASE CASE — VALUATION</t>
  </si>
  <si>
    <t>Sum of PV of FCFs (M)</t>
  </si>
  <si>
    <t>Terminal FCF  [Y5 FCF × (1+g)]</t>
  </si>
  <si>
    <t>Terminal Value  [Term FCF / (WACC−g)]</t>
  </si>
  <si>
    <t>PV of Terminal Value (M)</t>
  </si>
  <si>
    <t>Enterprise Value (M)</t>
  </si>
  <si>
    <t>Less: Net Debt (M)</t>
  </si>
  <si>
    <t>Equity Value (M)</t>
  </si>
  <si>
    <t>INTRINSIC VALUE / SHARE</t>
  </si>
  <si>
    <t>Upside / (Downside) to IV</t>
  </si>
  <si>
    <t>ENTRY PRICE  (to achieve target CAGR to terminal value)</t>
  </si>
  <si>
    <t>Terminal Value per Share</t>
  </si>
  <si>
    <t>Entry Price  [TV/Share ÷ (1+target)^5]</t>
  </si>
  <si>
    <t>Entry vs Current  (premium = above current)</t>
  </si>
  <si>
    <t>GROWTH DIVERGENCE WARNING: Equity CAGR is -6.1% (3yr) / -2.6% (5yr) — a buyback artifact, NOT business deterioration. Adobe repurchased shares under $25B+ authorizations, shrinking book value from $14.8B (FY2021) to $11.6B (FY2025). FCF CAGR (3yr: +10.0%, 5yr: +13.2%) is used as the primary driver, consistent with management FY2026 guidance.</t>
  </si>
  <si>
    <t>SCENARIO SUMMARY</t>
  </si>
  <si>
    <t>Scenario</t>
  </si>
  <si>
    <t>Bear</t>
  </si>
  <si>
    <t>Base</t>
  </si>
  <si>
    <t>Bull</t>
  </si>
  <si>
    <t>Probability</t>
  </si>
  <si>
    <t>Wtd IV</t>
  </si>
  <si>
    <t>Y1 FCF Growth</t>
  </si>
  <si>
    <t>6%</t>
  </si>
  <si>
    <t>10%</t>
  </si>
  <si>
    <t>15%</t>
  </si>
  <si>
    <t>Y3 FCF Growth</t>
  </si>
  <si>
    <t>4%</t>
  </si>
  <si>
    <t>8%</t>
  </si>
  <si>
    <t>11%</t>
  </si>
  <si>
    <t>Y5 FCF Growth</t>
  </si>
  <si>
    <t>2%</t>
  </si>
  <si>
    <t>5%</t>
  </si>
  <si>
    <t>7%</t>
  </si>
  <si>
    <t>12%</t>
  </si>
  <si>
    <t>9%</t>
  </si>
  <si>
    <t>Terminal Growth</t>
  </si>
  <si>
    <t>3%</t>
  </si>
  <si>
    <t>3.5%</t>
  </si>
  <si>
    <t>FCF Margin</t>
  </si>
  <si>
    <t>38%</t>
  </si>
  <si>
    <t>41.5%</t>
  </si>
  <si>
    <t>44%</t>
  </si>
  <si>
    <t>Intrinsic Value / Share</t>
  </si>
  <si>
    <t>25% / 50% / 25%</t>
  </si>
  <si>
    <t>Upside from Current ($206.43)</t>
  </si>
  <si>
    <t>Entry Price (15% CAGR target)</t>
  </si>
  <si>
    <t>Sensitivity Analysis — Intrinsic Value per Share (Base Case FCF projections)</t>
  </si>
  <si>
    <t>WACC (rows) vs Terminal Growth Rate (columns). Base WACC=10%, Terminal Growth=3%.</t>
  </si>
  <si>
    <t>WACC \ Term G</t>
  </si>
  <si>
    <t>2.0%</t>
  </si>
  <si>
    <t>2.5%</t>
  </si>
  <si>
    <t>3.0%</t>
  </si>
  <si>
    <t>4.0%</t>
  </si>
  <si>
    <t>Green = above current market price ($206.43). Red = below. Highlighted cell = base case (WACC 10%, Terminal 3%).</t>
  </si>
  <si>
    <t>Historical Growth Rates</t>
  </si>
  <si>
    <t>Metric</t>
  </si>
  <si>
    <t>3-Yr CAGR</t>
  </si>
  <si>
    <t>5-Yr CAGR</t>
  </si>
  <si>
    <t>Revenue</t>
  </si>
  <si>
    <t>EPS</t>
  </si>
  <si>
    <t>FCF</t>
  </si>
  <si>
    <t>Equity</t>
  </si>
  <si>
    <t>Selected driver:</t>
  </si>
  <si>
    <t>10.03%  (fcf_3yr_cagr)</t>
  </si>
  <si>
    <t>NOTE: Equity CAGR shown in red is a buyback artifact — Adobe repurchased shares under $25B+ programs since FY2022, shrinking book value from $14.8B (FY2021) to $11.6B (FY2025). Business fundamentals are intact. FCF CAGR is used as the driver.</t>
  </si>
  <si>
    <t>Adobe Inc. — Scenario Detail (Bear / Base / Bull)</t>
  </si>
  <si>
    <t>BASE CASE</t>
  </si>
  <si>
    <t>Description</t>
  </si>
  <si>
    <t>Adobe sustains ~10% growth consistent with management FY2026 guidance, decelerating as AI competition incrementally weighs on Creative Cloud pricing power and subscriber growth slows at the margin. FCF margin held stable at ~41.5% (in line with FY2025). WACC of 10% reflects investment-grade balance sheet, estimated beta ~1.2, risk-free rate ~4.3%, and a moderate AI disruption risk premium.</t>
  </si>
  <si>
    <t>Y1</t>
  </si>
  <si>
    <t>Y2</t>
  </si>
  <si>
    <t>Y3</t>
  </si>
  <si>
    <t>Y4</t>
  </si>
  <si>
    <t>Y5</t>
  </si>
  <si>
    <t>FCF (M)</t>
  </si>
  <si>
    <t>Discount Factor</t>
  </si>
  <si>
    <t>Sum PV FCF: $47,423M</t>
  </si>
  <si>
    <t>TV: $210,902M</t>
  </si>
  <si>
    <t>PV(TV): $130,953M</t>
  </si>
  <si>
    <t>EV: $178,376M</t>
  </si>
  <si>
    <t>EqV: $176,650M</t>
  </si>
  <si>
    <t>Upside: 115.3%</t>
  </si>
  <si>
    <t>Entry Price (15% CAGR): $263.79</t>
  </si>
  <si>
    <t>WACC: 10%  |  Terminal g: 3%</t>
  </si>
  <si>
    <t>BULL CASE</t>
  </si>
  <si>
    <t>Firefly enterprise adoption accelerates meaningfully; AI book of business reaches $2B+ annualized run rate by FY2027. Acrobat AI Assistant captures significant share of the knowledge-worker PDF productivity market. GenStudio becomes a go-to enterprise content supply chain platform. Semrush proves accretive. FCF margin expands toward 44% via operating leverage. WACC of 9% reflects reduced execution risk as AI leadership becomes entrenched and discount rates ease.</t>
  </si>
  <si>
    <t>Sum PV FCF: $53,889M</t>
  </si>
  <si>
    <t>TV: $311,897M</t>
  </si>
  <si>
    <t>PV(TV): $202,712M</t>
  </si>
  <si>
    <t>EV: $256,601M</t>
  </si>
  <si>
    <t>EqV: $254,875M</t>
  </si>
  <si>
    <t>Upside: 210.6%</t>
  </si>
  <si>
    <t>Entry Price (15% CAGR): $390.11</t>
  </si>
  <si>
    <t>WACC: 9%  |  Terminal g: 3.5%</t>
  </si>
  <si>
    <t>BEAR CASE</t>
  </si>
  <si>
    <t>Generative AI commoditizes creative tools faster than expected. Canva and Microsoft (bundled Copilot) force pricing concessions on Creative Cloud individual/SMB tiers; subscriber churn accelerates. Experience Cloud growth stalls below 5%. AI inferencing costs compress FCF margin toward 38%. WACC of 12% reflects elevated execution and structural disruption risk. Terminal growth 2%.</t>
  </si>
  <si>
    <t>Sum PV FCF: $40,446M</t>
  </si>
  <si>
    <t>TV: $122,205M</t>
  </si>
  <si>
    <t>PV(TV): $69,343M</t>
  </si>
  <si>
    <t>EV: $109,788M</t>
  </si>
  <si>
    <t>EqV: $108,062M</t>
  </si>
  <si>
    <t>Upside: 31.7%</t>
  </si>
  <si>
    <t>Entry Price (15% CAGR): $152.85</t>
  </si>
  <si>
    <t>WACC: 12%  |  Terminal g: 2%</t>
  </si>
  <si>
    <t>PROBABILITY-WEIGHTED SUMMARY</t>
  </si>
  <si>
    <t>Weights: Bull 25% / Base 50% / Bear 25%</t>
  </si>
  <si>
    <t>Upside: 118.2%</t>
  </si>
  <si>
    <t>Sanity Check — Implied Multiples at Base IV</t>
  </si>
  <si>
    <t>Status: PASS</t>
  </si>
  <si>
    <t>Value</t>
  </si>
  <si>
    <t>Context</t>
  </si>
  <si>
    <t>Base Intrinsic Value / Share</t>
  </si>
  <si>
    <t>$444.40</t>
  </si>
  <si>
    <t>Trailing EPS (FY2025)</t>
  </si>
  <si>
    <t>$17.94</t>
  </si>
  <si>
    <t>NI $7,130M / 397.5M shares</t>
  </si>
  <si>
    <t>Trailing FCF/Share (FY2025)</t>
  </si>
  <si>
    <t>$24.78</t>
  </si>
  <si>
    <t>FCF $9,852M / 397.5M shares</t>
  </si>
  <si>
    <t>Implied P/E at Base IV</t>
  </si>
  <si>
    <t>24.8x</t>
  </si>
  <si>
    <t>Historical median ~35x; range 25-60x</t>
  </si>
  <si>
    <t>Implied P/FCF at Base IV</t>
  </si>
  <si>
    <t>17.9x</t>
  </si>
  <si>
    <t>Historical range 20-45x</t>
  </si>
  <si>
    <t>Implied EV/FCF at Base IV</t>
  </si>
  <si>
    <t>18.1x</t>
  </si>
  <si>
    <t>Current Market P/E ($206.43)</t>
  </si>
  <si>
    <t>11.5x</t>
  </si>
  <si>
    <t>Multi-year low for ADBE</t>
  </si>
  <si>
    <t>Current Market P/FCF ($206.43)</t>
  </si>
  <si>
    <t>8.3x</t>
  </si>
  <si>
    <t>Implies severe disruption priced in</t>
  </si>
  <si>
    <t>10-Yr Price Range (Yahoo)</t>
  </si>
  <si>
    <t>$97.86 – $669.85</t>
  </si>
  <si>
    <t>Recent 52-Wk High Approx</t>
  </si>
  <si>
    <t>~$574 (Aug 2024)</t>
  </si>
  <si>
    <t>Stock down ~64% from peak</t>
  </si>
  <si>
    <t>PASS. Base IV of $444 implies 24.8x trailing P/E and 17.9x P/FCF — both BELOW Adobe's long-run historical median P/E of ~35x and below its typical FCF multiple range of 20-45x. The current market price ($206.43) implies only 11.5x trailing P/E and 8.3x P/FCF, which are multi-year lows for Adobe and suggest the market is pricing in significant and durable growth degradation. Even the bear case IV ($271.86) represents 31.7% upside from current price, and the bear case implies only ~14x trailing P/E at intrinsic value. The base DCF does NOT extrapolate peak earnings — it uses decelerating FCF growth (10% to 5%) and a conservative 10% WACC. The current price discount appears to reflect market fears around AI disruption and the stock's ~54% drawdown from its August 2024 peak of ~$574.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</si>
</sst>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&quot;$&quot;#,##0.00"/>
    <numFmt numFmtId="167" formatCode="0&quot;%&quot;"/>
    <numFmt numFmtId="168" formatCode="&quot;$&quot;#,##0"/>
  </numFmts>
  <fonts count="13">
    <font>
      <sz val="11"/>
      <color theme="1"/>
      <name val="Calibri"/>
      <family val="2"/>
      <scheme val="minor"/>
    </font>
    <font>
      <b/>
      <sz val="16"/>
      <color rgb="FF2D3436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1"/>
      <color rgb="FF2D3436"/>
      <name val="Calibri"/>
      <family val="2"/>
      <scheme val="minor"/>
    </font>
    <font>
      <i/>
      <sz val="9"/>
      <color rgb="FF636E7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9"/>
      <color rgb="FFE17055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E17055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4"/>
      <color rgb="FF00B894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5F6FA"/>
        <bgColor indexed="64"/>
      </patternFill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D63031"/>
        <bgColor indexed="64"/>
      </patternFill>
    </fill>
    <fill>
      <patternFill patternType="solid">
        <fgColor rgb="FF6C5CE7"/>
        <bgColor indexed="64"/>
      </patternFill>
    </fill>
    <fill>
      <patternFill patternType="solid">
        <fgColor rgb="FF55EFC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3" borderId="2" xfId="0" applyNumberFormat="1" applyFill="1" applyBorder="1" applyAlignment="1">
      <alignment horizontal="right"/>
    </xf>
    <xf numFmtId="0" fontId="4" fillId="0" borderId="0" xfId="0" applyFont="1" applyAlignment="1">
      <alignment wrapText="1"/>
    </xf>
    <xf numFmtId="164" fontId="0" fillId="0" borderId="2" xfId="0" applyNumberFormat="1" applyBorder="1" applyAlignment="1">
      <alignment horizontal="right"/>
    </xf>
    <xf numFmtId="165" fontId="0" fillId="3" borderId="2" xfId="0" applyNumberFormat="1" applyFill="1" applyBorder="1" applyAlignment="1">
      <alignment horizontal="right"/>
    </xf>
    <xf numFmtId="0" fontId="5" fillId="4" borderId="2" xfId="0" applyFont="1" applyFill="1" applyBorder="1" applyAlignment="1">
      <alignment horizontal="center"/>
    </xf>
    <xf numFmtId="0" fontId="6" fillId="0" borderId="0" xfId="0" applyFont="1"/>
    <xf numFmtId="166" fontId="7" fillId="5" borderId="3" xfId="0" applyNumberFormat="1" applyFont="1" applyFill="1" applyBorder="1" applyAlignment="1">
      <alignment horizontal="right"/>
    </xf>
    <xf numFmtId="165" fontId="5" fillId="6" borderId="3" xfId="0" applyNumberFormat="1" applyFont="1" applyFill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8" fillId="0" borderId="0" xfId="0" applyFont="1" applyAlignment="1">
      <alignment wrapText="1"/>
    </xf>
    <xf numFmtId="166" fontId="7" fillId="7" borderId="3" xfId="0" applyNumberFormat="1" applyFont="1" applyFill="1" applyBorder="1" applyAlignment="1">
      <alignment horizontal="right"/>
    </xf>
    <xf numFmtId="166" fontId="7" fillId="8" borderId="3" xfId="0" applyNumberFormat="1" applyFont="1" applyFill="1" applyBorder="1" applyAlignment="1">
      <alignment horizontal="right"/>
    </xf>
    <xf numFmtId="167" fontId="5" fillId="4" borderId="2" xfId="0" applyNumberFormat="1" applyFont="1" applyFill="1" applyBorder="1" applyAlignment="1">
      <alignment horizontal="center"/>
    </xf>
    <xf numFmtId="168" fontId="0" fillId="9" borderId="2" xfId="0" applyNumberFormat="1" applyFill="1" applyBorder="1" applyAlignment="1">
      <alignment horizontal="center"/>
    </xf>
    <xf numFmtId="168" fontId="5" fillId="5" borderId="3" xfId="0" applyNumberFormat="1" applyFont="1" applyFill="1" applyBorder="1" applyAlignment="1">
      <alignment horizontal="center"/>
    </xf>
    <xf numFmtId="0" fontId="0" fillId="0" borderId="0" xfId="0"/>
    <xf numFmtId="0" fontId="9" fillId="0" borderId="0" xfId="0" applyFont="1"/>
    <xf numFmtId="165" fontId="0" fillId="0" borderId="2" xfId="0" applyNumberFormat="1" applyBorder="1" applyAlignment="1">
      <alignment horizontal="right"/>
    </xf>
    <xf numFmtId="165" fontId="10" fillId="0" borderId="2" xfId="0" applyNumberFormat="1" applyFont="1" applyBorder="1" applyAlignment="1">
      <alignment horizontal="right"/>
    </xf>
    <xf numFmtId="0" fontId="5" fillId="5" borderId="2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166" fontId="11" fillId="4" borderId="3" xfId="0" applyNumberFormat="1" applyFont="1" applyFill="1" applyBorder="1"/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55"/>
  <sheetViews>
    <sheetView tabSelected="1" workbookViewId="0"/>
  </sheetViews>
  <sheetFormatPr defaultRowHeight="15"/>
  <cols>
    <col min="1" max="1" width="30.7109375" customWidth="1"/>
    <col min="2" max="2" width="16.7109375" customWidth="1"/>
    <col min="3" max="8" width="14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3" t="s">
        <v>2</v>
      </c>
      <c r="B4" s="3"/>
      <c r="C4" s="3"/>
      <c r="D4" s="3"/>
      <c r="E4" s="3"/>
      <c r="F4" s="3"/>
      <c r="G4" s="3"/>
      <c r="H4" s="3"/>
    </row>
    <row r="5" spans="1:8">
      <c r="A5" t="s">
        <v>3</v>
      </c>
      <c r="B5" s="4">
        <v>206.43</v>
      </c>
      <c r="C5" s="5" t="s">
        <v>12</v>
      </c>
      <c r="D5" s="5"/>
      <c r="E5" s="5"/>
      <c r="F5" s="5"/>
      <c r="G5" s="5"/>
      <c r="H5" s="5"/>
    </row>
    <row r="6" spans="1:8">
      <c r="A6" t="s">
        <v>4</v>
      </c>
      <c r="B6" s="4">
        <v>397.5</v>
      </c>
    </row>
    <row r="7" spans="1:8">
      <c r="A7" t="s">
        <v>5</v>
      </c>
      <c r="B7" s="4">
        <v>4919</v>
      </c>
    </row>
    <row r="8" spans="1:8">
      <c r="A8" t="s">
        <v>6</v>
      </c>
      <c r="B8" s="4">
        <v>6645</v>
      </c>
    </row>
    <row r="9" spans="1:8">
      <c r="A9" t="s">
        <v>7</v>
      </c>
      <c r="B9" s="6">
        <f>B8-B7</f>
        <v>0</v>
      </c>
    </row>
    <row r="10" spans="1:8">
      <c r="A10" t="s">
        <v>8</v>
      </c>
      <c r="B10" s="4">
        <v>9852</v>
      </c>
    </row>
    <row r="12" spans="1:8">
      <c r="A12" t="s">
        <v>9</v>
      </c>
      <c r="B12" s="7">
        <v>0.1</v>
      </c>
      <c r="C12" s="5" t="s">
        <v>13</v>
      </c>
      <c r="D12" s="5"/>
      <c r="E12" s="5"/>
      <c r="F12" s="5"/>
      <c r="G12" s="5"/>
      <c r="H12" s="5"/>
    </row>
    <row r="13" spans="1:8">
      <c r="A13" t="s">
        <v>10</v>
      </c>
      <c r="B13" s="7">
        <v>0.03</v>
      </c>
      <c r="C13" s="5"/>
      <c r="D13" s="5"/>
      <c r="E13" s="5"/>
      <c r="F13" s="5"/>
      <c r="G13" s="5"/>
      <c r="H13" s="5"/>
    </row>
    <row r="14" spans="1:8">
      <c r="A14" t="s">
        <v>11</v>
      </c>
      <c r="B14" s="7">
        <v>0.15</v>
      </c>
    </row>
    <row r="16" spans="1:8">
      <c r="A16" s="3" t="s">
        <v>14</v>
      </c>
      <c r="B16" s="3"/>
      <c r="C16" s="3"/>
      <c r="D16" s="3"/>
      <c r="E16" s="3"/>
      <c r="F16" s="3"/>
      <c r="G16" s="3"/>
      <c r="H16" s="3"/>
    </row>
    <row r="17" spans="1:8">
      <c r="C17" s="8" t="s">
        <v>15</v>
      </c>
      <c r="D17" s="8" t="s">
        <v>16</v>
      </c>
      <c r="E17" s="8" t="s">
        <v>17</v>
      </c>
      <c r="F17" s="8" t="s">
        <v>18</v>
      </c>
      <c r="G17" s="8" t="s">
        <v>19</v>
      </c>
    </row>
    <row r="18" spans="1:8">
      <c r="A18" s="9" t="s">
        <v>20</v>
      </c>
      <c r="C18" s="7">
        <v>0.1</v>
      </c>
      <c r="D18" s="7">
        <v>0.09</v>
      </c>
      <c r="E18" s="7">
        <v>0.08</v>
      </c>
      <c r="F18" s="7">
        <v>0.07000000000000001</v>
      </c>
      <c r="G18" s="7">
        <v>0.05</v>
      </c>
    </row>
    <row r="19" spans="1:8">
      <c r="A19" s="5" t="s">
        <v>21</v>
      </c>
      <c r="B19" s="5"/>
      <c r="C19" s="5"/>
      <c r="D19" s="5"/>
      <c r="E19" s="5"/>
      <c r="F19" s="5"/>
      <c r="G19" s="5"/>
      <c r="H19" s="5"/>
    </row>
    <row r="21" spans="1:8">
      <c r="A21" s="3" t="s">
        <v>22</v>
      </c>
      <c r="B21" s="3"/>
      <c r="C21" s="3"/>
      <c r="D21" s="3"/>
      <c r="E21" s="3"/>
      <c r="F21" s="3"/>
      <c r="G21" s="3"/>
      <c r="H21" s="3"/>
    </row>
    <row r="22" spans="1:8">
      <c r="A22" s="8"/>
      <c r="B22" s="8" t="s">
        <v>23</v>
      </c>
      <c r="C22" s="8" t="s">
        <v>15</v>
      </c>
      <c r="D22" s="8" t="s">
        <v>16</v>
      </c>
      <c r="E22" s="8" t="s">
        <v>17</v>
      </c>
      <c r="F22" s="8" t="s">
        <v>18</v>
      </c>
      <c r="G22" s="8" t="s">
        <v>19</v>
      </c>
    </row>
    <row r="23" spans="1:8">
      <c r="A23" s="9" t="s">
        <v>24</v>
      </c>
      <c r="B23" s="6">
        <f>B10</f>
        <v>0</v>
      </c>
      <c r="C23" s="6">
        <f>B23*(1+C18)</f>
        <v>0</v>
      </c>
      <c r="D23" s="6">
        <f>C23*(1+D18)</f>
        <v>0</v>
      </c>
      <c r="E23" s="6">
        <f>D23*(1+E18)</f>
        <v>0</v>
      </c>
      <c r="F23" s="6">
        <f>E23*(1+F18)</f>
        <v>0</v>
      </c>
      <c r="G23" s="6">
        <f>F23*(1+G18)</f>
        <v>0</v>
      </c>
    </row>
    <row r="24" spans="1:8">
      <c r="A24" s="9" t="s">
        <v>25</v>
      </c>
      <c r="C24" s="6">
        <f>1/(1+$B$12)^1</f>
        <v>0</v>
      </c>
      <c r="D24" s="6">
        <f>1/(1+$B$12)^2</f>
        <v>0</v>
      </c>
      <c r="E24" s="6">
        <f>1/(1+$B$12)^3</f>
        <v>0</v>
      </c>
      <c r="F24" s="6">
        <f>1/(1+$B$12)^4</f>
        <v>0</v>
      </c>
      <c r="G24" s="6">
        <f>1/(1+$B$12)^5</f>
        <v>0</v>
      </c>
    </row>
    <row r="25" spans="1:8">
      <c r="A25" s="9" t="s">
        <v>26</v>
      </c>
      <c r="C25" s="6">
        <f>C23*C24</f>
        <v>0</v>
      </c>
      <c r="D25" s="6">
        <f>D23*D24</f>
        <v>0</v>
      </c>
      <c r="E25" s="6">
        <f>E23*E24</f>
        <v>0</v>
      </c>
      <c r="F25" s="6">
        <f>F23*F24</f>
        <v>0</v>
      </c>
      <c r="G25" s="6">
        <f>G23*G24</f>
        <v>0</v>
      </c>
    </row>
    <row r="27" spans="1:8">
      <c r="A27" s="3" t="s">
        <v>27</v>
      </c>
      <c r="B27" s="3"/>
      <c r="C27" s="3"/>
      <c r="D27" s="3"/>
      <c r="E27" s="3"/>
      <c r="F27" s="3"/>
      <c r="G27" s="3"/>
      <c r="H27" s="3"/>
    </row>
    <row r="28" spans="1:8">
      <c r="A28" t="s">
        <v>28</v>
      </c>
      <c r="B28" s="6">
        <f>SUM(C25:G25)</f>
        <v>0</v>
      </c>
    </row>
    <row r="29" spans="1:8">
      <c r="A29" t="s">
        <v>29</v>
      </c>
      <c r="B29" s="6">
        <f>G23*(1+$B$13)</f>
        <v>0</v>
      </c>
    </row>
    <row r="30" spans="1:8">
      <c r="A30" t="s">
        <v>30</v>
      </c>
      <c r="B30" s="6">
        <f>B29/($B$12-$B$13)</f>
        <v>0</v>
      </c>
    </row>
    <row r="31" spans="1:8">
      <c r="A31" t="s">
        <v>31</v>
      </c>
      <c r="B31" s="6">
        <f>B30*G24</f>
        <v>0</v>
      </c>
    </row>
    <row r="32" spans="1:8">
      <c r="A32" t="s">
        <v>32</v>
      </c>
      <c r="B32" s="6">
        <f>B28+B31</f>
        <v>0</v>
      </c>
    </row>
    <row r="33" spans="1:8">
      <c r="A33" t="s">
        <v>33</v>
      </c>
      <c r="B33" s="6">
        <f>B9</f>
        <v>0</v>
      </c>
    </row>
    <row r="34" spans="1:8">
      <c r="A34" t="s">
        <v>34</v>
      </c>
      <c r="B34" s="6">
        <f>B32-B33</f>
        <v>0</v>
      </c>
    </row>
    <row r="35" spans="1:8">
      <c r="A35" s="9" t="s">
        <v>35</v>
      </c>
      <c r="B35" s="10">
        <f>B34/B6</f>
        <v>0</v>
      </c>
    </row>
    <row r="36" spans="1:8">
      <c r="A36" t="s">
        <v>36</v>
      </c>
      <c r="B36" s="11">
        <f>(B35-B5)/B5</f>
        <v>0</v>
      </c>
    </row>
    <row r="38" spans="1:8">
      <c r="A38" s="3" t="s">
        <v>37</v>
      </c>
      <c r="B38" s="3"/>
      <c r="C38" s="3"/>
      <c r="D38" s="3"/>
      <c r="E38" s="3"/>
      <c r="F38" s="3"/>
      <c r="G38" s="3"/>
      <c r="H38" s="3"/>
    </row>
    <row r="39" spans="1:8">
      <c r="A39" t="s">
        <v>38</v>
      </c>
      <c r="B39" s="12">
        <f>B30/B6</f>
        <v>0</v>
      </c>
    </row>
    <row r="40" spans="1:8">
      <c r="A40" t="s">
        <v>39</v>
      </c>
      <c r="B40" s="10">
        <f>B39/(1+$B$14)^5</f>
        <v>0</v>
      </c>
    </row>
    <row r="41" spans="1:8">
      <c r="A41" t="s">
        <v>40</v>
      </c>
      <c r="B41" s="11">
        <f>(B40-B5)/B5</f>
        <v>0</v>
      </c>
    </row>
    <row r="43" spans="1:8">
      <c r="A43" s="13" t="s">
        <v>41</v>
      </c>
      <c r="B43" s="13"/>
      <c r="C43" s="13"/>
      <c r="D43" s="13"/>
      <c r="E43" s="13"/>
      <c r="F43" s="13"/>
      <c r="G43" s="13"/>
      <c r="H43" s="13"/>
    </row>
    <row r="45" spans="1:8">
      <c r="A45" s="3" t="s">
        <v>42</v>
      </c>
      <c r="B45" s="3"/>
      <c r="C45" s="3"/>
      <c r="D45" s="3"/>
      <c r="E45" s="3"/>
      <c r="F45" s="3"/>
      <c r="G45" s="3"/>
      <c r="H45" s="3"/>
    </row>
    <row r="46" spans="1:8">
      <c r="A46" s="8" t="s">
        <v>43</v>
      </c>
      <c r="B46" s="8" t="s">
        <v>44</v>
      </c>
      <c r="C46" s="8" t="s">
        <v>45</v>
      </c>
      <c r="D46" s="8" t="s">
        <v>46</v>
      </c>
      <c r="E46" s="8" t="s">
        <v>47</v>
      </c>
      <c r="F46" s="8" t="s">
        <v>48</v>
      </c>
    </row>
    <row r="47" spans="1:8">
      <c r="A47" t="s">
        <v>49</v>
      </c>
      <c r="B47" t="s">
        <v>50</v>
      </c>
      <c r="C47" t="s">
        <v>51</v>
      </c>
      <c r="D47" t="s">
        <v>52</v>
      </c>
    </row>
    <row r="48" spans="1:8">
      <c r="A48" t="s">
        <v>53</v>
      </c>
      <c r="B48" t="s">
        <v>54</v>
      </c>
      <c r="C48" t="s">
        <v>55</v>
      </c>
      <c r="D48" t="s">
        <v>56</v>
      </c>
    </row>
    <row r="49" spans="1:6">
      <c r="A49" t="s">
        <v>57</v>
      </c>
      <c r="B49" t="s">
        <v>58</v>
      </c>
      <c r="C49" t="s">
        <v>59</v>
      </c>
      <c r="D49" t="s">
        <v>60</v>
      </c>
    </row>
    <row r="50" spans="1:6">
      <c r="A50" t="s">
        <v>9</v>
      </c>
      <c r="B50" t="s">
        <v>61</v>
      </c>
      <c r="C50" t="s">
        <v>51</v>
      </c>
      <c r="D50" t="s">
        <v>62</v>
      </c>
    </row>
    <row r="51" spans="1:6">
      <c r="A51" t="s">
        <v>63</v>
      </c>
      <c r="B51" t="s">
        <v>58</v>
      </c>
      <c r="C51" t="s">
        <v>64</v>
      </c>
      <c r="D51" t="s">
        <v>65</v>
      </c>
    </row>
    <row r="52" spans="1:6">
      <c r="A52" t="s">
        <v>66</v>
      </c>
      <c r="B52" t="s">
        <v>67</v>
      </c>
      <c r="C52" t="s">
        <v>68</v>
      </c>
      <c r="D52" t="s">
        <v>69</v>
      </c>
    </row>
    <row r="53" spans="1:6">
      <c r="A53" s="9" t="s">
        <v>70</v>
      </c>
      <c r="B53" s="14">
        <v>271.86</v>
      </c>
      <c r="C53" s="10">
        <v>444.4</v>
      </c>
      <c r="D53" s="15">
        <v>641.1900000000001</v>
      </c>
      <c r="E53" t="s">
        <v>71</v>
      </c>
      <c r="F53" s="10">
        <v>450.46</v>
      </c>
    </row>
    <row r="54" spans="1:6">
      <c r="A54" s="9" t="s">
        <v>72</v>
      </c>
      <c r="B54" s="11">
        <v>0.317</v>
      </c>
      <c r="C54" s="11">
        <v>1.153</v>
      </c>
      <c r="D54" s="11">
        <v>2.106</v>
      </c>
      <c r="F54" s="11">
        <v>1.182</v>
      </c>
    </row>
    <row r="55" spans="1:6">
      <c r="A55" s="9" t="s">
        <v>73</v>
      </c>
      <c r="B55" s="14">
        <v>152.85</v>
      </c>
      <c r="C55" s="10">
        <v>263.79</v>
      </c>
      <c r="D55" s="15">
        <v>390.11</v>
      </c>
    </row>
  </sheetData>
  <mergeCells count="12">
    <mergeCell ref="A1:H1"/>
    <mergeCell ref="A2:H2"/>
    <mergeCell ref="A4:H4"/>
    <mergeCell ref="C5:H5"/>
    <mergeCell ref="C12:H13"/>
    <mergeCell ref="A16:H16"/>
    <mergeCell ref="A19:H19"/>
    <mergeCell ref="A21:H21"/>
    <mergeCell ref="A27:H27"/>
    <mergeCell ref="A38:H38"/>
    <mergeCell ref="A43:H43"/>
    <mergeCell ref="A45:H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RowHeight="15"/>
  <cols>
    <col min="1" max="1" width="18.7109375" customWidth="1"/>
    <col min="2" max="6" width="13.7109375" customWidth="1"/>
  </cols>
  <sheetData>
    <row r="1" spans="1:6">
      <c r="A1" s="1" t="s">
        <v>74</v>
      </c>
      <c r="B1" s="1"/>
      <c r="C1" s="1"/>
      <c r="D1" s="1"/>
      <c r="E1" s="1"/>
      <c r="F1" s="1"/>
    </row>
    <row r="2" spans="1:6">
      <c r="A2" s="2" t="s">
        <v>75</v>
      </c>
      <c r="B2" s="2"/>
      <c r="C2" s="2"/>
      <c r="D2" s="2"/>
      <c r="E2" s="2"/>
      <c r="F2" s="2"/>
    </row>
    <row r="4" spans="1:6">
      <c r="A4" s="8" t="s">
        <v>76</v>
      </c>
      <c r="B4" s="8" t="s">
        <v>77</v>
      </c>
      <c r="C4" s="8" t="s">
        <v>78</v>
      </c>
      <c r="D4" s="8" t="s">
        <v>79</v>
      </c>
      <c r="E4" s="8" t="s">
        <v>65</v>
      </c>
      <c r="F4" s="8" t="s">
        <v>80</v>
      </c>
    </row>
    <row r="5" spans="1:6">
      <c r="A5" s="16" t="s">
        <v>55</v>
      </c>
      <c r="B5" s="17">
        <v>539</v>
      </c>
      <c r="C5" s="17">
        <v>579</v>
      </c>
      <c r="D5" s="17">
        <v>627</v>
      </c>
      <c r="E5" s="17">
        <v>686</v>
      </c>
      <c r="F5" s="17">
        <v>760</v>
      </c>
    </row>
    <row r="6" spans="1:6">
      <c r="A6" s="16" t="s">
        <v>62</v>
      </c>
      <c r="B6" s="17">
        <v>460</v>
      </c>
      <c r="C6" s="17">
        <v>488</v>
      </c>
      <c r="D6" s="17">
        <v>521</v>
      </c>
      <c r="E6" s="17">
        <v>559</v>
      </c>
      <c r="F6" s="17">
        <v>606</v>
      </c>
    </row>
    <row r="7" spans="1:6">
      <c r="A7" s="16" t="s">
        <v>51</v>
      </c>
      <c r="B7" s="17">
        <v>400</v>
      </c>
      <c r="C7" s="17">
        <v>421</v>
      </c>
      <c r="D7" s="18">
        <v>444</v>
      </c>
      <c r="E7" s="17">
        <v>471</v>
      </c>
      <c r="F7" s="17">
        <v>503</v>
      </c>
    </row>
    <row r="8" spans="1:6">
      <c r="A8" s="16" t="s">
        <v>56</v>
      </c>
      <c r="B8" s="17">
        <v>354</v>
      </c>
      <c r="C8" s="17">
        <v>370</v>
      </c>
      <c r="D8" s="17">
        <v>387</v>
      </c>
      <c r="E8" s="17">
        <v>407</v>
      </c>
      <c r="F8" s="17">
        <v>430</v>
      </c>
    </row>
    <row r="9" spans="1:6">
      <c r="A9" s="16" t="s">
        <v>61</v>
      </c>
      <c r="B9" s="17">
        <v>318</v>
      </c>
      <c r="C9" s="17">
        <v>330</v>
      </c>
      <c r="D9" s="17">
        <v>343</v>
      </c>
      <c r="E9" s="17">
        <v>358</v>
      </c>
      <c r="F9" s="17">
        <v>375</v>
      </c>
    </row>
    <row r="10" spans="1:6">
      <c r="A10" s="19"/>
      <c r="B10" s="19"/>
      <c r="C10" s="19"/>
      <c r="D10" s="19"/>
      <c r="E10" s="19"/>
      <c r="F10" s="19"/>
    </row>
    <row r="11" spans="1:6">
      <c r="A11" s="5" t="s">
        <v>81</v>
      </c>
      <c r="B11" s="5"/>
      <c r="C11" s="5"/>
      <c r="D11" s="5"/>
      <c r="E11" s="5"/>
      <c r="F11" s="5"/>
    </row>
    <row r="13" spans="1:6">
      <c r="A13" s="20" t="s">
        <v>82</v>
      </c>
    </row>
    <row r="14" spans="1:6">
      <c r="A14" s="8" t="s">
        <v>83</v>
      </c>
      <c r="B14" s="8" t="s">
        <v>84</v>
      </c>
      <c r="C14" s="8" t="s">
        <v>85</v>
      </c>
    </row>
    <row r="15" spans="1:6">
      <c r="A15" t="s">
        <v>86</v>
      </c>
      <c r="B15" s="21">
        <v>0.1052</v>
      </c>
      <c r="C15" s="21">
        <v>0.1306</v>
      </c>
    </row>
    <row r="16" spans="1:6">
      <c r="A16" t="s">
        <v>87</v>
      </c>
      <c r="B16" s="21">
        <v>0.1825</v>
      </c>
      <c r="C16" s="21">
        <v>0.09050000000000001</v>
      </c>
    </row>
    <row r="17" spans="1:6">
      <c r="A17" t="s">
        <v>88</v>
      </c>
      <c r="B17" s="21">
        <v>0.1003</v>
      </c>
      <c r="C17" s="21">
        <v>0.1317</v>
      </c>
    </row>
    <row r="18" spans="1:6">
      <c r="A18" t="s">
        <v>89</v>
      </c>
      <c r="B18" s="22">
        <v>-0.0613</v>
      </c>
      <c r="C18" s="22">
        <v>-0.0261</v>
      </c>
    </row>
    <row r="19" spans="1:6">
      <c r="A19" s="9" t="s">
        <v>90</v>
      </c>
      <c r="B19" t="s">
        <v>91</v>
      </c>
    </row>
    <row r="20" spans="1:6">
      <c r="A20" s="13" t="s">
        <v>92</v>
      </c>
      <c r="B20" s="13"/>
      <c r="C20" s="13"/>
      <c r="D20" s="13"/>
      <c r="E20" s="13"/>
      <c r="F20" s="13"/>
    </row>
    <row r="21" spans="1:6">
      <c r="A21" s="13"/>
      <c r="B21" s="13"/>
      <c r="C21" s="13"/>
      <c r="D21" s="13"/>
      <c r="E21" s="13"/>
      <c r="F21" s="13"/>
    </row>
  </sheetData>
  <mergeCells count="5">
    <mergeCell ref="A1:F1"/>
    <mergeCell ref="A2:F2"/>
    <mergeCell ref="A10:F10"/>
    <mergeCell ref="A11:F11"/>
    <mergeCell ref="A20:F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sheetFormatPr defaultRowHeight="15"/>
  <cols>
    <col min="1" max="1" width="28.7109375" customWidth="1"/>
    <col min="2" max="8" width="14.7109375" customWidth="1"/>
  </cols>
  <sheetData>
    <row r="1" spans="1:8">
      <c r="A1" s="1" t="s">
        <v>93</v>
      </c>
      <c r="B1" s="1"/>
      <c r="C1" s="1"/>
      <c r="D1" s="1"/>
      <c r="E1" s="1"/>
      <c r="F1" s="1"/>
      <c r="G1" s="1"/>
      <c r="H1" s="1"/>
    </row>
    <row r="3" spans="1:8">
      <c r="A3" s="23" t="s">
        <v>94</v>
      </c>
      <c r="B3" s="23"/>
      <c r="C3" s="23"/>
      <c r="D3" s="23"/>
      <c r="E3" s="23"/>
      <c r="F3" s="23"/>
      <c r="G3" s="23"/>
      <c r="H3" s="23"/>
    </row>
    <row r="4" spans="1:8">
      <c r="A4" s="9" t="s">
        <v>95</v>
      </c>
      <c r="B4" s="5" t="s">
        <v>96</v>
      </c>
      <c r="C4" s="5"/>
      <c r="D4" s="5"/>
      <c r="E4" s="5"/>
      <c r="F4" s="5"/>
      <c r="G4" s="5"/>
      <c r="H4" s="5"/>
    </row>
    <row r="5" spans="1:8">
      <c r="A5" s="8"/>
      <c r="B5" s="8" t="s">
        <v>23</v>
      </c>
      <c r="C5" s="8" t="s">
        <v>97</v>
      </c>
      <c r="D5" s="8" t="s">
        <v>98</v>
      </c>
      <c r="E5" s="8" t="s">
        <v>99</v>
      </c>
      <c r="F5" s="8" t="s">
        <v>100</v>
      </c>
      <c r="G5" s="8" t="s">
        <v>101</v>
      </c>
    </row>
    <row r="6" spans="1:8">
      <c r="A6" t="s">
        <v>20</v>
      </c>
      <c r="C6" s="21">
        <v>0.1</v>
      </c>
      <c r="D6" s="21">
        <v>0.09</v>
      </c>
      <c r="E6" s="21">
        <v>0.08</v>
      </c>
      <c r="F6" s="21">
        <v>0.07000000000000001</v>
      </c>
      <c r="G6" s="21">
        <v>0.05</v>
      </c>
    </row>
    <row r="7" spans="1:8">
      <c r="A7" t="s">
        <v>102</v>
      </c>
      <c r="B7" s="6">
        <v>9852</v>
      </c>
      <c r="C7" s="6">
        <v>10837.2</v>
      </c>
      <c r="D7" s="6">
        <v>11812.5</v>
      </c>
      <c r="E7" s="6">
        <v>12757.6</v>
      </c>
      <c r="F7" s="6">
        <v>13650.6</v>
      </c>
      <c r="G7" s="6">
        <v>14333.1</v>
      </c>
    </row>
    <row r="8" spans="1:8">
      <c r="A8" t="s">
        <v>103</v>
      </c>
      <c r="C8" s="6">
        <v>0.9091</v>
      </c>
      <c r="D8" s="6">
        <v>0.8264</v>
      </c>
      <c r="E8" s="6">
        <v>0.7513</v>
      </c>
      <c r="F8" s="6">
        <v>0.6830000000000001</v>
      </c>
      <c r="G8" s="6">
        <v>0.6209</v>
      </c>
    </row>
    <row r="9" spans="1:8">
      <c r="A9" t="s">
        <v>26</v>
      </c>
      <c r="C9" s="6">
        <v>9852</v>
      </c>
      <c r="D9" s="6">
        <v>9762.4</v>
      </c>
      <c r="E9" s="6">
        <v>9584.9</v>
      </c>
      <c r="F9" s="6">
        <v>9323.5</v>
      </c>
      <c r="G9" s="6">
        <v>8899.700000000001</v>
      </c>
    </row>
    <row r="10" spans="1:8">
      <c r="A10" t="s">
        <v>104</v>
      </c>
      <c r="B10" t="s">
        <v>105</v>
      </c>
      <c r="C10" t="s">
        <v>106</v>
      </c>
      <c r="D10" t="s">
        <v>107</v>
      </c>
      <c r="E10" t="s">
        <v>108</v>
      </c>
    </row>
    <row r="11" spans="1:8">
      <c r="A11" s="9" t="s">
        <v>70</v>
      </c>
      <c r="B11" s="10">
        <v>444.4</v>
      </c>
      <c r="C11" t="s">
        <v>109</v>
      </c>
      <c r="D11" t="s">
        <v>110</v>
      </c>
      <c r="E11" t="s">
        <v>111</v>
      </c>
    </row>
    <row r="14" spans="1:8">
      <c r="A14" s="24" t="s">
        <v>112</v>
      </c>
      <c r="B14" s="24"/>
      <c r="C14" s="24"/>
      <c r="D14" s="24"/>
      <c r="E14" s="24"/>
      <c r="F14" s="24"/>
      <c r="G14" s="24"/>
      <c r="H14" s="24"/>
    </row>
    <row r="15" spans="1:8">
      <c r="A15" s="9" t="s">
        <v>95</v>
      </c>
      <c r="B15" s="5" t="s">
        <v>113</v>
      </c>
      <c r="C15" s="5"/>
      <c r="D15" s="5"/>
      <c r="E15" s="5"/>
      <c r="F15" s="5"/>
      <c r="G15" s="5"/>
      <c r="H15" s="5"/>
    </row>
    <row r="16" spans="1:8">
      <c r="A16" s="8"/>
      <c r="B16" s="8" t="s">
        <v>23</v>
      </c>
      <c r="C16" s="8" t="s">
        <v>97</v>
      </c>
      <c r="D16" s="8" t="s">
        <v>98</v>
      </c>
      <c r="E16" s="8" t="s">
        <v>99</v>
      </c>
      <c r="F16" s="8" t="s">
        <v>100</v>
      </c>
      <c r="G16" s="8" t="s">
        <v>101</v>
      </c>
    </row>
    <row r="17" spans="1:8">
      <c r="A17" t="s">
        <v>20</v>
      </c>
      <c r="C17" s="21">
        <v>0.15</v>
      </c>
      <c r="D17" s="21">
        <v>0.13</v>
      </c>
      <c r="E17" s="21">
        <v>0.11</v>
      </c>
      <c r="F17" s="21">
        <v>0.09</v>
      </c>
      <c r="G17" s="21">
        <v>0.07000000000000001</v>
      </c>
    </row>
    <row r="18" spans="1:8">
      <c r="A18" t="s">
        <v>102</v>
      </c>
      <c r="B18" s="6">
        <v>9852</v>
      </c>
      <c r="C18" s="6">
        <v>11329.8</v>
      </c>
      <c r="D18" s="6">
        <v>12802.7</v>
      </c>
      <c r="E18" s="6">
        <v>14211</v>
      </c>
      <c r="F18" s="6">
        <v>15490</v>
      </c>
      <c r="G18" s="6">
        <v>16574.3</v>
      </c>
    </row>
    <row r="19" spans="1:8">
      <c r="A19" t="s">
        <v>103</v>
      </c>
      <c r="C19" s="6">
        <v>0.9174</v>
      </c>
      <c r="D19" s="6">
        <v>0.8417</v>
      </c>
      <c r="E19" s="6">
        <v>0.7722</v>
      </c>
      <c r="F19" s="6">
        <v>0.7084</v>
      </c>
      <c r="G19" s="6">
        <v>0.6499</v>
      </c>
    </row>
    <row r="20" spans="1:8">
      <c r="A20" t="s">
        <v>26</v>
      </c>
      <c r="C20" s="6">
        <v>10394.3</v>
      </c>
      <c r="D20" s="6">
        <v>10775.8</v>
      </c>
      <c r="E20" s="6">
        <v>10973.5</v>
      </c>
      <c r="F20" s="6">
        <v>10973.5</v>
      </c>
      <c r="G20" s="6">
        <v>10772.1</v>
      </c>
    </row>
    <row r="21" spans="1:8">
      <c r="A21" t="s">
        <v>114</v>
      </c>
      <c r="B21" t="s">
        <v>115</v>
      </c>
      <c r="C21" t="s">
        <v>116</v>
      </c>
      <c r="D21" t="s">
        <v>117</v>
      </c>
      <c r="E21" t="s">
        <v>118</v>
      </c>
    </row>
    <row r="22" spans="1:8">
      <c r="A22" s="9" t="s">
        <v>70</v>
      </c>
      <c r="B22" s="15">
        <v>641.1900000000001</v>
      </c>
      <c r="C22" t="s">
        <v>119</v>
      </c>
      <c r="D22" t="s">
        <v>120</v>
      </c>
      <c r="E22" t="s">
        <v>121</v>
      </c>
    </row>
    <row r="25" spans="1:8">
      <c r="A25" s="25" t="s">
        <v>122</v>
      </c>
      <c r="B25" s="25"/>
      <c r="C25" s="25"/>
      <c r="D25" s="25"/>
      <c r="E25" s="25"/>
      <c r="F25" s="25"/>
      <c r="G25" s="25"/>
      <c r="H25" s="25"/>
    </row>
    <row r="26" spans="1:8">
      <c r="A26" s="9" t="s">
        <v>95</v>
      </c>
      <c r="B26" s="5" t="s">
        <v>123</v>
      </c>
      <c r="C26" s="5"/>
      <c r="D26" s="5"/>
      <c r="E26" s="5"/>
      <c r="F26" s="5"/>
      <c r="G26" s="5"/>
      <c r="H26" s="5"/>
    </row>
    <row r="27" spans="1:8">
      <c r="A27" s="8"/>
      <c r="B27" s="8" t="s">
        <v>23</v>
      </c>
      <c r="C27" s="8" t="s">
        <v>97</v>
      </c>
      <c r="D27" s="8" t="s">
        <v>98</v>
      </c>
      <c r="E27" s="8" t="s">
        <v>99</v>
      </c>
      <c r="F27" s="8" t="s">
        <v>100</v>
      </c>
      <c r="G27" s="8" t="s">
        <v>101</v>
      </c>
    </row>
    <row r="28" spans="1:8">
      <c r="A28" t="s">
        <v>20</v>
      </c>
      <c r="C28" s="21">
        <v>0.06</v>
      </c>
      <c r="D28" s="21">
        <v>0.05</v>
      </c>
      <c r="E28" s="21">
        <v>0.04</v>
      </c>
      <c r="F28" s="21">
        <v>0.03</v>
      </c>
      <c r="G28" s="21">
        <v>0.02</v>
      </c>
    </row>
    <row r="29" spans="1:8">
      <c r="A29" t="s">
        <v>102</v>
      </c>
      <c r="B29" s="6">
        <v>9852</v>
      </c>
      <c r="C29" s="6">
        <v>10443.1</v>
      </c>
      <c r="D29" s="6">
        <v>10965.3</v>
      </c>
      <c r="E29" s="6">
        <v>11403.9</v>
      </c>
      <c r="F29" s="6">
        <v>11746</v>
      </c>
      <c r="G29" s="6">
        <v>11980.9</v>
      </c>
    </row>
    <row r="30" spans="1:8">
      <c r="A30" t="s">
        <v>103</v>
      </c>
      <c r="C30" s="6">
        <v>0.8929</v>
      </c>
      <c r="D30" s="6">
        <v>0.7972</v>
      </c>
      <c r="E30" s="6">
        <v>0.7118</v>
      </c>
      <c r="F30" s="6">
        <v>0.6355</v>
      </c>
      <c r="G30" s="6">
        <v>0.5674</v>
      </c>
    </row>
    <row r="31" spans="1:8">
      <c r="A31" t="s">
        <v>26</v>
      </c>
      <c r="C31" s="6">
        <v>9324.200000000001</v>
      </c>
      <c r="D31" s="6">
        <v>8741.5</v>
      </c>
      <c r="E31" s="6">
        <v>8117.1</v>
      </c>
      <c r="F31" s="6">
        <v>7464.8</v>
      </c>
      <c r="G31" s="6">
        <v>6798.3</v>
      </c>
    </row>
    <row r="32" spans="1:8">
      <c r="A32" t="s">
        <v>124</v>
      </c>
      <c r="B32" t="s">
        <v>125</v>
      </c>
      <c r="C32" t="s">
        <v>126</v>
      </c>
      <c r="D32" t="s">
        <v>127</v>
      </c>
      <c r="E32" t="s">
        <v>128</v>
      </c>
    </row>
    <row r="33" spans="1:5">
      <c r="A33" s="9" t="s">
        <v>70</v>
      </c>
      <c r="B33" s="14">
        <v>271.86</v>
      </c>
      <c r="C33" t="s">
        <v>129</v>
      </c>
      <c r="D33" t="s">
        <v>130</v>
      </c>
      <c r="E33" t="s">
        <v>131</v>
      </c>
    </row>
    <row r="36" spans="1:5">
      <c r="A36" s="3" t="s">
        <v>132</v>
      </c>
    </row>
    <row r="37" spans="1:5">
      <c r="A37" s="9" t="s">
        <v>133</v>
      </c>
      <c r="B37" s="26">
        <v>450.46</v>
      </c>
      <c r="C37" t="s">
        <v>134</v>
      </c>
    </row>
  </sheetData>
  <mergeCells count="7">
    <mergeCell ref="A1:H1"/>
    <mergeCell ref="A3:H3"/>
    <mergeCell ref="B4:H4"/>
    <mergeCell ref="A14:H14"/>
    <mergeCell ref="B15:H15"/>
    <mergeCell ref="A25:H25"/>
    <mergeCell ref="B26:H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sheetFormatPr defaultRowHeight="15"/>
  <cols>
    <col min="1" max="1" width="32.7109375" customWidth="1"/>
    <col min="2" max="3" width="20.7109375" customWidth="1"/>
  </cols>
  <sheetData>
    <row r="1" spans="1:3">
      <c r="A1" s="1" t="s">
        <v>135</v>
      </c>
      <c r="B1" s="1"/>
      <c r="C1" s="1"/>
    </row>
    <row r="2" spans="1:3">
      <c r="A2" s="27" t="s">
        <v>136</v>
      </c>
    </row>
    <row r="4" spans="1:3">
      <c r="A4" s="8" t="s">
        <v>83</v>
      </c>
      <c r="B4" s="8" t="s">
        <v>137</v>
      </c>
      <c r="C4" s="8" t="s">
        <v>138</v>
      </c>
    </row>
    <row r="5" spans="1:3">
      <c r="A5" t="s">
        <v>139</v>
      </c>
      <c r="B5" t="s">
        <v>140</v>
      </c>
      <c r="C5" s="5"/>
    </row>
    <row r="6" spans="1:3">
      <c r="A6" t="s">
        <v>141</v>
      </c>
      <c r="B6" t="s">
        <v>142</v>
      </c>
      <c r="C6" s="5" t="s">
        <v>143</v>
      </c>
    </row>
    <row r="7" spans="1:3">
      <c r="A7" t="s">
        <v>144</v>
      </c>
      <c r="B7" t="s">
        <v>145</v>
      </c>
      <c r="C7" s="5" t="s">
        <v>146</v>
      </c>
    </row>
    <row r="8" spans="1:3">
      <c r="A8" t="s">
        <v>147</v>
      </c>
      <c r="B8" t="s">
        <v>148</v>
      </c>
      <c r="C8" s="5" t="s">
        <v>149</v>
      </c>
    </row>
    <row r="9" spans="1:3">
      <c r="A9" t="s">
        <v>150</v>
      </c>
      <c r="B9" t="s">
        <v>151</v>
      </c>
      <c r="C9" s="5" t="s">
        <v>152</v>
      </c>
    </row>
    <row r="10" spans="1:3">
      <c r="A10" t="s">
        <v>153</v>
      </c>
      <c r="B10" t="s">
        <v>154</v>
      </c>
      <c r="C10" s="5"/>
    </row>
    <row r="11" spans="1:3">
      <c r="A11" t="s">
        <v>155</v>
      </c>
      <c r="B11" t="s">
        <v>156</v>
      </c>
      <c r="C11" s="5" t="s">
        <v>157</v>
      </c>
    </row>
    <row r="12" spans="1:3">
      <c r="A12" t="s">
        <v>158</v>
      </c>
      <c r="B12" t="s">
        <v>159</v>
      </c>
      <c r="C12" s="5" t="s">
        <v>160</v>
      </c>
    </row>
    <row r="13" spans="1:3">
      <c r="A13" t="s">
        <v>161</v>
      </c>
      <c r="B13" t="s">
        <v>162</v>
      </c>
      <c r="C13" s="5"/>
    </row>
    <row r="14" spans="1:3">
      <c r="A14" t="s">
        <v>163</v>
      </c>
      <c r="B14" t="s">
        <v>164</v>
      </c>
      <c r="C14" s="5" t="s">
        <v>165</v>
      </c>
    </row>
    <row r="16" spans="1:3">
      <c r="A16" s="13" t="s">
        <v>166</v>
      </c>
      <c r="B16" s="13"/>
      <c r="C16" s="13"/>
    </row>
    <row r="17" spans="1:3">
      <c r="A17" s="13"/>
      <c r="B17" s="13"/>
      <c r="C17" s="13"/>
    </row>
    <row r="18" spans="1:3">
      <c r="A18" s="13"/>
      <c r="B18" s="13"/>
      <c r="C18" s="13"/>
    </row>
    <row r="19" spans="1:3">
      <c r="A19" s="13"/>
      <c r="B19" s="13"/>
      <c r="C19" s="13"/>
    </row>
    <row r="20" spans="1:3">
      <c r="A20" s="13"/>
      <c r="B20" s="13"/>
      <c r="C20" s="13"/>
    </row>
    <row r="21" spans="1:3">
      <c r="A21" s="13"/>
      <c r="B21" s="13"/>
      <c r="C21" s="13"/>
    </row>
  </sheetData>
  <mergeCells count="2">
    <mergeCell ref="A1:C1"/>
    <mergeCell ref="A16:C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Sensitivity</vt:lpstr>
      <vt:lpstr>Scenarios</vt:lpstr>
      <vt:lpstr>Sanity Check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2026-06-30T07:50:18Z</dcterms:created>
  <dcterms:modified xsi:type="dcterms:W3CDTF">2026-06-30T07:50:18Z</dcterms:modified>
</cp:coreProperties>
</file>