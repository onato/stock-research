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<sst xmlns="http://schemas.openxmlformats.org/spreadsheetml/2006/main" count="197" uniqueCount="174">
  <si>
    <t>ADBE - Adobe Inc. DCF Valuation Model</t>
  </si>
  <si>
    <t>Gray cells are INPUTS - adjust to see valuation update automatically | All values in USD millions except per-share figures</t>
  </si>
  <si>
    <t>Valuation Date: 2026-02-17   |   Current Price: $415.00   |   Model: Base Case (interactive)</t>
  </si>
  <si>
    <t>KEY INPUTS</t>
  </si>
  <si>
    <t>Current Stock Price ($)</t>
  </si>
  <si>
    <t>Shares Outstanding (M)</t>
  </si>
  <si>
    <t>Cash &amp; Equivalents (M)</t>
  </si>
  <si>
    <t>Total Debt (M)</t>
  </si>
  <si>
    <t>Net Debt (M) [Debt - Cash]</t>
  </si>
  <si>
    <t>Base Year FCF (M) [FY2025]</t>
  </si>
  <si>
    <t>WACC (Discount Rate)</t>
  </si>
  <si>
    <t>Terminal Growth Rate</t>
  </si>
  <si>
    <t>FCF GROWTH ASSUMPTIONS (Gray = editable)</t>
  </si>
  <si>
    <t>Period</t>
  </si>
  <si>
    <t>Year 1</t>
  </si>
  <si>
    <t>Year 2</t>
  </si>
  <si>
    <t>Year 3</t>
  </si>
  <si>
    <t>Year 4</t>
  </si>
  <si>
    <t>Year 5</t>
  </si>
  <si>
    <t>FCF Growth Rate</t>
  </si>
  <si>
    <t>FCF PROJECTIONS (Formula-driven)</t>
  </si>
  <si>
    <t>Projected FCF (M)</t>
  </si>
  <si>
    <t>Discount Factor</t>
  </si>
  <si>
    <t>Present Value of FCF (M)</t>
  </si>
  <si>
    <t>DCF VALUATION SUMMARY</t>
  </si>
  <si>
    <t>Sum of PV of FCF (M)</t>
  </si>
  <si>
    <t>Terminal Year FCF (Y5 x (1+g))</t>
  </si>
  <si>
    <t>Terminal Value (M)</t>
  </si>
  <si>
    <t>PV of Terminal Value (M)</t>
  </si>
  <si>
    <t>Enterprise Value (M)</t>
  </si>
  <si>
    <t>Less: Net Debt (M)</t>
  </si>
  <si>
    <t>Equity Value (M)</t>
  </si>
  <si>
    <t>INTRINSIC VALUE / SHARE</t>
  </si>
  <si>
    <t>Current Price</t>
  </si>
  <si>
    <t>Upside / (Downside) to IV</t>
  </si>
  <si>
    <t>ENTRY PRICE ANALYSIS (15% CAGR Target)</t>
  </si>
  <si>
    <t>Terminal Value / Share</t>
  </si>
  <si>
    <t>Entry Price for 15% CAGR (5yr)</t>
  </si>
  <si>
    <t>Discount from Current Price</t>
  </si>
  <si>
    <t>Model Notes:</t>
  </si>
  <si>
    <t>FCF projected by compounding Base Year FCF (FY2025: $9,852M) at the stated annual growth rates. WACC = 10.0% (beta ~1.2, risk-free 4.3%, ERP 5.5%). Terminal growth = 3.0% (nominal GDP). Equity CAGR excluded as growth anchor due to $25B+ buyback program depressing book value; FCF 3yr CAGR used instead.</t>
  </si>
  <si>
    <t>Net Debt = Total Debt ($6,210M) - Cash ($6,595M) = -$385M (Adobe is in a net cash position). Sensitivity analysis on "Sensitivity" sheet. Bull/Bear cases on "Scenarios" sheet.</t>
  </si>
  <si>
    <t>ADBE - Scenario Comparison (Bull / Base / Bear)</t>
  </si>
  <si>
    <t>Fixed assumptions per scenario - use DCF Model sheet for interactive analysis</t>
  </si>
  <si>
    <t>Assumption / Output</t>
  </si>
  <si>
    <t>BULL CASE</t>
  </si>
  <si>
    <t>BASE CASE</t>
  </si>
  <si>
    <t>BEAR CASE</t>
  </si>
  <si>
    <t>ASSUMPTIONS</t>
  </si>
  <si>
    <t>WACC</t>
  </si>
  <si>
    <t>9.0%</t>
  </si>
  <si>
    <t>10.0%</t>
  </si>
  <si>
    <t>11.0%</t>
  </si>
  <si>
    <t>3.5%</t>
  </si>
  <si>
    <t>3.0%</t>
  </si>
  <si>
    <t>2.0%</t>
  </si>
  <si>
    <t>Y1 FCF Growth</t>
  </si>
  <si>
    <t>15.0%</t>
  </si>
  <si>
    <t>7.0%</t>
  </si>
  <si>
    <t>Y2 FCF Growth</t>
  </si>
  <si>
    <t>14.0%</t>
  </si>
  <si>
    <t>9.5%</t>
  </si>
  <si>
    <t>6.0%</t>
  </si>
  <si>
    <t>Y3 FCF Growth</t>
  </si>
  <si>
    <t>13.0%</t>
  </si>
  <si>
    <t>5.0%</t>
  </si>
  <si>
    <t>Y4 FCF Growth</t>
  </si>
  <si>
    <t>8.0%</t>
  </si>
  <si>
    <t>4.0%</t>
  </si>
  <si>
    <t>Y5 FCF Growth</t>
  </si>
  <si>
    <t>PROJECTED FCF (M)</t>
  </si>
  <si>
    <t>Year 1 FCF</t>
  </si>
  <si>
    <t>$11,329.8</t>
  </si>
  <si>
    <t>$10,837.2</t>
  </si>
  <si>
    <t>$10,541.6</t>
  </si>
  <si>
    <t>Year 2 FCF</t>
  </si>
  <si>
    <t>$12,916.0</t>
  </si>
  <si>
    <t>$11,866.7</t>
  </si>
  <si>
    <t>$11,174.1</t>
  </si>
  <si>
    <t>Year 3 FCF</t>
  </si>
  <si>
    <t>$14,595.0</t>
  </si>
  <si>
    <t>$12,934.7</t>
  </si>
  <si>
    <t>$11,732.8</t>
  </si>
  <si>
    <t>Year 4 FCF</t>
  </si>
  <si>
    <t>$16,200.5</t>
  </si>
  <si>
    <t>$13,969.5</t>
  </si>
  <si>
    <t>$12,202.2</t>
  </si>
  <si>
    <t>Year 5 FCF</t>
  </si>
  <si>
    <t>$17,658.5</t>
  </si>
  <si>
    <t>$14,947.4</t>
  </si>
  <si>
    <t>$12,629.2</t>
  </si>
  <si>
    <t>VALUATION</t>
  </si>
  <si>
    <t>Sum PV of FCF (M)</t>
  </si>
  <si>
    <t>$55,489.1</t>
  </si>
  <si>
    <t>$48,199.7</t>
  </si>
  <si>
    <t>$42,677.8</t>
  </si>
  <si>
    <t>$332,300.9</t>
  </si>
  <si>
    <t>$219,940.3</t>
  </si>
  <si>
    <t>$143,130.9</t>
  </si>
  <si>
    <t>$215,972.8</t>
  </si>
  <si>
    <t>$136,565.6</t>
  </si>
  <si>
    <t>$84,941.2</t>
  </si>
  <si>
    <t>$271,461.9</t>
  </si>
  <si>
    <t>$184,765.4</t>
  </si>
  <si>
    <t>$127,619.0</t>
  </si>
  <si>
    <t>$271,846.9</t>
  </si>
  <si>
    <t>$185,150.4</t>
  </si>
  <si>
    <t>$128,004.0</t>
  </si>
  <si>
    <t>Intrinsic Value / Share</t>
  </si>
  <si>
    <t>$636.64</t>
  </si>
  <si>
    <t>$433.61</t>
  </si>
  <si>
    <t>$299.78</t>
  </si>
  <si>
    <t>Upside / (Downside)</t>
  </si>
  <si>
    <t>53.4%</t>
  </si>
  <si>
    <t>4.5%</t>
  </si>
  <si>
    <t>-27.8%</t>
  </si>
  <si>
    <t>Entry Price (15% CAGR)</t>
  </si>
  <si>
    <t>$386.91</t>
  </si>
  <si>
    <t>$256.09</t>
  </si>
  <si>
    <t>$166.65</t>
  </si>
  <si>
    <t>Probability-Weighted Intrinsic Value (25% Bull / 50% Base / 25% Bear):</t>
  </si>
  <si>
    <t>$450.91</t>
  </si>
  <si>
    <t>Bull Case Thesis:</t>
  </si>
  <si>
    <t>Firefly AI monetization accelerates, Acrobat Studio captures business productivity market, Semrush adds incremental growth. FCF margin expands to 45%.</t>
  </si>
  <si>
    <t>Base Case Thesis:</t>
  </si>
  <si>
    <t>Anchored to FY2026 guidance (9-10% growth). Stable AI contribution, moderate expansion. FCF margin 42% consistent with FY2025 actuals.</t>
  </si>
  <si>
    <t>Bear Case Thesis:</t>
  </si>
  <si>
    <t>AI commoditizes design tools; Canva/Microsoft capture SMB share; Digital Experience stalls. Growth decelerates sharply. FCF margin compresses to 39%.</t>
  </si>
  <si>
    <t>ADBE - Sensitivity Analysis: Intrinsic Value per Share</t>
  </si>
  <si>
    <t>Base Case FCF projections. Rows = WACC. Columns = Terminal Growth Rate.</t>
  </si>
  <si>
    <t>WACC \ Term. G</t>
  </si>
  <si>
    <t>2.5%</t>
  </si>
  <si>
    <t>8%</t>
  </si>
  <si>
    <t>9%</t>
  </si>
  <si>
    <t>10%</t>
  </si>
  <si>
    <t>11%</t>
  </si>
  <si>
    <t>12%</t>
  </si>
  <si>
    <t>Color Legend:</t>
  </si>
  <si>
    <t>Dark Green: &gt;20% upside to current price</t>
  </si>
  <si>
    <t>Light Green: 0-20% upside to current price</t>
  </si>
  <si>
    <t>Yellow: 0-20% downside from current price</t>
  </si>
  <si>
    <t>Red: &gt;20% downside from current price</t>
  </si>
  <si>
    <t>Current Price: $415.00</t>
  </si>
  <si>
    <t>Base IV (10% WACC, 3.0% Terminal): $433.61</t>
  </si>
  <si>
    <t>Note: Sensitivity uses Base Case FCF projections (Y1-Y5) with varying WACC and terminal growth.</t>
  </si>
  <si>
    <t>ADBE - Historical Growth Rates</t>
  </si>
  <si>
    <t>FY2022-FY2025 (3yr CAGR) | FY2020-FY2025 (5yr CAGR)</t>
  </si>
  <si>
    <t>Metric</t>
  </si>
  <si>
    <t>3-Year CAGR</t>
  </si>
  <si>
    <t>5-Year CAGR</t>
  </si>
  <si>
    <t>Revenue</t>
  </si>
  <si>
    <t>EPS</t>
  </si>
  <si>
    <t>Shareholders Equity *</t>
  </si>
  <si>
    <t>Free Cash Flow</t>
  </si>
  <si>
    <t>* Equity CAGR is negative due to $25B+ share buyback program reducing book value; not a business deterioration signal.</t>
  </si>
  <si>
    <t>Selected Growth Rate:</t>
  </si>
  <si>
    <t>Source:</t>
  </si>
  <si>
    <t>fcf_3yr_cagr (aligns with FY2026 guidance of 9-10%)</t>
  </si>
  <si>
    <t>Divergence Warning:</t>
  </si>
  <si>
    <t>Equity CAGR is deeply negative (-2.60% over 5yr, -6.17% over 3yr) due to $25B+ in share buybacks reducing book value, not fundamental business deterioration. Equity CAGR diverges more than 30% from Revenue CAGR (13.07%) and EPS CAGR (9.05%). Using FCF 3yr CAGR (10.12%) as primary growth rate, consistent with FY2026 guidance of 9-10% revenue growth and management's ARR growth target of &gt;10%.</t>
  </si>
  <si>
    <t>KEY HISTORICAL METRICS (FY)</t>
  </si>
  <si>
    <t>Revenue (M)</t>
  </si>
  <si>
    <t>FCF (M)</t>
  </si>
  <si>
    <t>Equity (M)</t>
  </si>
  <si>
    <t>Shares (M)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</si>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</sst>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0.0%"/>
    <numFmt numFmtId="167" formatCode="0.00%"/>
    <numFmt numFmtId="168" formatCode="0.0"/>
  </numFmts>
  <fonts count="12">
    <font>
      <sz val="11"/>
      <color theme="1"/>
      <name val="Calibri"/>
      <family val="2"/>
      <scheme val="minor"/>
    </font>
    <font>
      <b/>
      <sz val="18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2"/>
      <color rgb="FF2D343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D6303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2BEC3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F2F8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F767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4" fillId="0" borderId="0" xfId="0" applyFont="1"/>
    <xf numFmtId="165" fontId="0" fillId="0" borderId="2" xfId="0" applyNumberFormat="1" applyBorder="1"/>
    <xf numFmtId="166" fontId="0" fillId="3" borderId="2" xfId="0" applyNumberFormat="1" applyFill="1" applyBorder="1"/>
    <xf numFmtId="0" fontId="5" fillId="4" borderId="2" xfId="0" applyFont="1" applyFill="1" applyBorder="1" applyAlignment="1">
      <alignment horizontal="center"/>
    </xf>
    <xf numFmtId="0" fontId="6" fillId="0" borderId="0" xfId="0" applyFont="1"/>
    <xf numFmtId="164" fontId="7" fillId="5" borderId="2" xfId="0" applyNumberFormat="1" applyFont="1" applyFill="1" applyBorder="1"/>
    <xf numFmtId="164" fontId="0" fillId="0" borderId="2" xfId="0" applyNumberFormat="1" applyBorder="1"/>
    <xf numFmtId="167" fontId="8" fillId="6" borderId="2" xfId="0" applyNumberFormat="1" applyFont="1" applyFill="1" applyBorder="1"/>
    <xf numFmtId="164" fontId="7" fillId="7" borderId="2" xfId="0" applyNumberFormat="1" applyFont="1" applyFill="1" applyBorder="1"/>
    <xf numFmtId="0" fontId="9" fillId="0" borderId="0" xfId="0" applyFont="1" applyAlignment="1">
      <alignment wrapText="1"/>
    </xf>
    <xf numFmtId="0" fontId="5" fillId="7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2" borderId="2" xfId="0" applyFill="1" applyBorder="1" applyAlignment="1">
      <alignment horizontal="right"/>
    </xf>
    <xf numFmtId="164" fontId="4" fillId="6" borderId="2" xfId="0" applyNumberFormat="1" applyFont="1" applyFill="1" applyBorder="1"/>
    <xf numFmtId="168" fontId="5" fillId="4" borderId="2" xfId="0" applyNumberFormat="1" applyFont="1" applyFill="1" applyBorder="1" applyAlignment="1">
      <alignment horizontal="center"/>
    </xf>
    <xf numFmtId="164" fontId="5" fillId="7" borderId="2" xfId="0" applyNumberFormat="1" applyFont="1" applyFill="1" applyBorder="1"/>
    <xf numFmtId="164" fontId="0" fillId="13" borderId="2" xfId="0" applyNumberFormat="1" applyFill="1" applyBorder="1"/>
    <xf numFmtId="164" fontId="0" fillId="6" borderId="2" xfId="0" applyNumberFormat="1" applyFill="1" applyBorder="1"/>
    <xf numFmtId="164" fontId="10" fillId="14" borderId="2" xfId="0" applyNumberFormat="1" applyFont="1" applyFill="1" applyBorder="1"/>
    <xf numFmtId="0" fontId="10" fillId="7" borderId="0" xfId="0" applyFont="1" applyFill="1"/>
    <xf numFmtId="0" fontId="0" fillId="13" borderId="0" xfId="0" applyFill="1"/>
    <xf numFmtId="0" fontId="0" fillId="6" borderId="0" xfId="0" applyFill="1"/>
    <xf numFmtId="0" fontId="10" fillId="14" borderId="0" xfId="0" applyFont="1" applyFill="1"/>
    <xf numFmtId="167" fontId="0" fillId="0" borderId="2" xfId="0" applyNumberForma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zoomScale="90" zoomScaleNormal="90" workbookViewId="0"/>
  </sheetViews>
  <sheetFormatPr defaultRowHeight="15"/>
  <cols>
    <col min="1" max="1" width="28.7109375" customWidth="1"/>
    <col min="2" max="2" width="16.7109375" customWidth="1"/>
    <col min="3" max="8" width="13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</row>
    <row r="5" spans="1:8">
      <c r="A5" s="3" t="s">
        <v>3</v>
      </c>
      <c r="B5" s="3"/>
      <c r="C5" s="3"/>
      <c r="D5" s="3"/>
      <c r="E5" s="3"/>
      <c r="F5" s="3"/>
      <c r="G5" s="3"/>
      <c r="H5" s="3"/>
    </row>
    <row r="6" spans="1:8">
      <c r="A6" t="s">
        <v>4</v>
      </c>
      <c r="B6" s="4">
        <v>415</v>
      </c>
    </row>
    <row r="7" spans="1:8">
      <c r="A7" t="s">
        <v>5</v>
      </c>
      <c r="B7" s="5">
        <v>427</v>
      </c>
    </row>
    <row r="8" spans="1:8">
      <c r="A8" t="s">
        <v>6</v>
      </c>
      <c r="B8" s="5">
        <v>6595</v>
      </c>
    </row>
    <row r="9" spans="1:8">
      <c r="A9" t="s">
        <v>7</v>
      </c>
      <c r="B9" s="5">
        <v>6210</v>
      </c>
    </row>
    <row r="10" spans="1:8">
      <c r="A10" s="6" t="s">
        <v>8</v>
      </c>
      <c r="B10" s="7">
        <f>B9-B8</f>
        <v>0</v>
      </c>
    </row>
    <row r="11" spans="1:8">
      <c r="A11" t="s">
        <v>9</v>
      </c>
      <c r="B11" s="5">
        <v>9852</v>
      </c>
    </row>
    <row r="13" spans="1:8">
      <c r="A13" t="s">
        <v>10</v>
      </c>
      <c r="B13" s="8">
        <v>0.1</v>
      </c>
    </row>
    <row r="14" spans="1:8">
      <c r="A14" t="s">
        <v>11</v>
      </c>
      <c r="B14" s="8">
        <v>0.03</v>
      </c>
    </row>
    <row r="16" spans="1:8">
      <c r="A16" s="3" t="s">
        <v>12</v>
      </c>
      <c r="B16" s="3"/>
      <c r="C16" s="3"/>
      <c r="D16" s="3"/>
      <c r="E16" s="3"/>
      <c r="F16" s="3"/>
      <c r="G16" s="3"/>
      <c r="H16" s="3"/>
    </row>
    <row r="17" spans="1:8">
      <c r="A17" t="s">
        <v>13</v>
      </c>
      <c r="B17" s="9" t="s">
        <v>14</v>
      </c>
      <c r="C17" s="9" t="s">
        <v>15</v>
      </c>
      <c r="D17" s="9" t="s">
        <v>16</v>
      </c>
      <c r="E17" s="9" t="s">
        <v>17</v>
      </c>
      <c r="F17" s="9" t="s">
        <v>18</v>
      </c>
    </row>
    <row r="18" spans="1:8">
      <c r="A18" t="s">
        <v>19</v>
      </c>
      <c r="B18" s="8">
        <v>0.1</v>
      </c>
      <c r="C18" s="8">
        <v>0.095</v>
      </c>
      <c r="D18" s="8">
        <v>0.09</v>
      </c>
      <c r="E18" s="8">
        <v>0.08</v>
      </c>
      <c r="F18" s="8">
        <v>0.07000000000000001</v>
      </c>
    </row>
    <row r="20" spans="1:8">
      <c r="A20" s="3" t="s">
        <v>20</v>
      </c>
      <c r="B20" s="3"/>
      <c r="C20" s="3"/>
      <c r="D20" s="3"/>
      <c r="E20" s="3"/>
      <c r="F20" s="3"/>
      <c r="G20" s="3"/>
      <c r="H20" s="3"/>
    </row>
    <row r="21" spans="1:8">
      <c r="B21" s="9" t="s">
        <v>14</v>
      </c>
      <c r="C21" s="9" t="s">
        <v>15</v>
      </c>
      <c r="D21" s="9" t="s">
        <v>16</v>
      </c>
      <c r="E21" s="9" t="s">
        <v>17</v>
      </c>
      <c r="F21" s="9" t="s">
        <v>18</v>
      </c>
    </row>
    <row r="22" spans="1:8">
      <c r="A22" s="6" t="s">
        <v>21</v>
      </c>
      <c r="B22" s="7">
        <f>$B$11*(1+B18)</f>
        <v>0</v>
      </c>
      <c r="C22" s="7">
        <f>B22*(1+C18)</f>
        <v>0</v>
      </c>
      <c r="D22" s="7">
        <f>C22*(1+D18)</f>
        <v>0</v>
      </c>
      <c r="E22" s="7">
        <f>D22*(1+E18)</f>
        <v>0</v>
      </c>
      <c r="F22" s="7">
        <f>E22*(1+F18)</f>
        <v>0</v>
      </c>
    </row>
    <row r="23" spans="1:8">
      <c r="A23" s="6" t="s">
        <v>22</v>
      </c>
      <c r="B23" s="7">
        <f>1/(1+$B$13)^1</f>
        <v>0</v>
      </c>
      <c r="C23" s="7">
        <f>1/(1+$B$13)^2</f>
        <v>0</v>
      </c>
      <c r="D23" s="7">
        <f>1/(1+$B$13)^3</f>
        <v>0</v>
      </c>
      <c r="E23" s="7">
        <f>1/(1+$B$13)^4</f>
        <v>0</v>
      </c>
      <c r="F23" s="7">
        <f>1/(1+$B$13)^5</f>
        <v>0</v>
      </c>
    </row>
    <row r="24" spans="1:8">
      <c r="A24" s="6" t="s">
        <v>23</v>
      </c>
      <c r="B24" s="7">
        <f>B22*B23</f>
        <v>0</v>
      </c>
      <c r="C24" s="7">
        <f>C22*C23</f>
        <v>0</v>
      </c>
      <c r="D24" s="7">
        <f>D22*D23</f>
        <v>0</v>
      </c>
      <c r="E24" s="7">
        <f>E22*E23</f>
        <v>0</v>
      </c>
      <c r="F24" s="7">
        <f>F22*F23</f>
        <v>0</v>
      </c>
    </row>
    <row r="26" spans="1:8">
      <c r="A26" s="3" t="s">
        <v>24</v>
      </c>
      <c r="B26" s="3"/>
      <c r="C26" s="3"/>
      <c r="D26" s="3"/>
      <c r="E26" s="3"/>
      <c r="F26" s="3"/>
      <c r="G26" s="3"/>
      <c r="H26" s="3"/>
    </row>
    <row r="27" spans="1:8">
      <c r="A27" s="6" t="s">
        <v>25</v>
      </c>
      <c r="B27" s="7">
        <f>SUM(B24:F24)</f>
        <v>0</v>
      </c>
    </row>
    <row r="28" spans="1:8">
      <c r="A28" s="6" t="s">
        <v>26</v>
      </c>
      <c r="B28" s="7">
        <f>F22*(1+$B$14)</f>
        <v>0</v>
      </c>
    </row>
    <row r="29" spans="1:8">
      <c r="A29" s="6" t="s">
        <v>27</v>
      </c>
      <c r="B29" s="7">
        <f>B28/($B$13-$B$14)</f>
        <v>0</v>
      </c>
    </row>
    <row r="30" spans="1:8">
      <c r="A30" s="6" t="s">
        <v>28</v>
      </c>
      <c r="B30" s="7">
        <f>B29*F23</f>
        <v>0</v>
      </c>
    </row>
    <row r="31" spans="1:8">
      <c r="A31" s="6" t="s">
        <v>29</v>
      </c>
      <c r="B31" s="7">
        <f>B27+B30</f>
        <v>0</v>
      </c>
    </row>
    <row r="32" spans="1:8">
      <c r="A32" s="6" t="s">
        <v>30</v>
      </c>
      <c r="B32" s="7">
        <f>B10</f>
        <v>0</v>
      </c>
    </row>
    <row r="33" spans="1:8">
      <c r="A33" s="6" t="s">
        <v>31</v>
      </c>
      <c r="B33" s="7">
        <f>B31-B32</f>
        <v>0</v>
      </c>
    </row>
    <row r="35" spans="1:8">
      <c r="A35" s="10" t="s">
        <v>32</v>
      </c>
      <c r="B35" s="11">
        <f>B33/B7</f>
        <v>0</v>
      </c>
    </row>
    <row r="36" spans="1:8">
      <c r="A36" t="s">
        <v>33</v>
      </c>
      <c r="B36" s="12">
        <f>B6</f>
        <v>0</v>
      </c>
    </row>
    <row r="37" spans="1:8">
      <c r="A37" t="s">
        <v>34</v>
      </c>
      <c r="B37" s="13">
        <f>(B35-B6)/B6</f>
        <v>0</v>
      </c>
    </row>
    <row r="39" spans="1:8">
      <c r="A39" s="3" t="s">
        <v>35</v>
      </c>
      <c r="B39" s="3"/>
      <c r="C39" s="3"/>
      <c r="D39" s="3"/>
      <c r="E39" s="3"/>
      <c r="F39" s="3"/>
      <c r="G39" s="3"/>
      <c r="H39" s="3"/>
    </row>
    <row r="40" spans="1:8">
      <c r="A40" t="s">
        <v>27</v>
      </c>
      <c r="B40" s="7">
        <f>B29</f>
        <v>0</v>
      </c>
    </row>
    <row r="41" spans="1:8">
      <c r="A41" t="s">
        <v>36</v>
      </c>
      <c r="B41" s="12">
        <f>B29/B7</f>
        <v>0</v>
      </c>
    </row>
    <row r="42" spans="1:8">
      <c r="A42" t="s">
        <v>37</v>
      </c>
      <c r="B42" s="14">
        <f>B41/(1.15^5)</f>
        <v>0</v>
      </c>
    </row>
    <row r="43" spans="1:8">
      <c r="A43" t="s">
        <v>38</v>
      </c>
      <c r="B43" s="13">
        <f>(B42-B6)/B6</f>
        <v>0</v>
      </c>
    </row>
    <row r="45" spans="1:8">
      <c r="A45" s="6" t="s">
        <v>39</v>
      </c>
    </row>
    <row r="46" spans="1:8">
      <c r="A46" s="15" t="s">
        <v>40</v>
      </c>
      <c r="B46" s="15"/>
      <c r="C46" s="15"/>
      <c r="D46" s="15"/>
      <c r="E46" s="15"/>
      <c r="F46" s="15"/>
      <c r="G46" s="15"/>
      <c r="H46" s="15"/>
    </row>
    <row r="47" spans="1:8">
      <c r="A47" s="15" t="s">
        <v>41</v>
      </c>
      <c r="B47" s="15"/>
      <c r="C47" s="15"/>
      <c r="D47" s="15"/>
      <c r="E47" s="15"/>
      <c r="F47" s="15"/>
      <c r="G47" s="15"/>
      <c r="H47" s="15"/>
    </row>
  </sheetData>
  <mergeCells count="9">
    <mergeCell ref="A1:H1"/>
    <mergeCell ref="A2:H2"/>
    <mergeCell ref="A5:H5"/>
    <mergeCell ref="A16:H16"/>
    <mergeCell ref="A20:H20"/>
    <mergeCell ref="A26:H26"/>
    <mergeCell ref="A39:H39"/>
    <mergeCell ref="A46:H46"/>
    <mergeCell ref="A47:H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zoomScale="90" zoomScaleNormal="90" workbookViewId="0"/>
  </sheetViews>
  <sheetFormatPr defaultRowHeight="15"/>
  <cols>
    <col min="1" max="1" width="28.7109375" customWidth="1"/>
    <col min="2" max="4" width="15.7109375" customWidth="1"/>
  </cols>
  <sheetData>
    <row r="1" spans="1:4">
      <c r="A1" s="1" t="s">
        <v>42</v>
      </c>
      <c r="B1" s="1"/>
      <c r="C1" s="1"/>
      <c r="D1" s="1"/>
    </row>
    <row r="2" spans="1:4">
      <c r="A2" s="2" t="s">
        <v>43</v>
      </c>
      <c r="B2" s="2"/>
      <c r="C2" s="2"/>
      <c r="D2" s="2"/>
    </row>
    <row r="4" spans="1:4">
      <c r="A4" s="9" t="s">
        <v>44</v>
      </c>
      <c r="B4" s="16" t="s">
        <v>45</v>
      </c>
      <c r="C4" s="17" t="s">
        <v>46</v>
      </c>
      <c r="D4" s="18" t="s">
        <v>47</v>
      </c>
    </row>
    <row r="6" spans="1:4">
      <c r="A6" s="19" t="s">
        <v>48</v>
      </c>
      <c r="B6" s="19"/>
      <c r="C6" s="19"/>
      <c r="D6" s="19"/>
    </row>
    <row r="7" spans="1:4">
      <c r="A7" t="s">
        <v>49</v>
      </c>
      <c r="B7" s="20" t="s">
        <v>50</v>
      </c>
      <c r="C7" s="21" t="s">
        <v>51</v>
      </c>
      <c r="D7" s="22" t="s">
        <v>52</v>
      </c>
    </row>
    <row r="8" spans="1:4">
      <c r="A8" t="s">
        <v>11</v>
      </c>
      <c r="B8" s="20" t="s">
        <v>53</v>
      </c>
      <c r="C8" s="21" t="s">
        <v>54</v>
      </c>
      <c r="D8" s="22" t="s">
        <v>55</v>
      </c>
    </row>
    <row r="9" spans="1:4">
      <c r="A9" t="s">
        <v>56</v>
      </c>
      <c r="B9" s="20" t="s">
        <v>57</v>
      </c>
      <c r="C9" s="21" t="s">
        <v>51</v>
      </c>
      <c r="D9" s="22" t="s">
        <v>58</v>
      </c>
    </row>
    <row r="10" spans="1:4">
      <c r="A10" t="s">
        <v>59</v>
      </c>
      <c r="B10" s="20" t="s">
        <v>60</v>
      </c>
      <c r="C10" s="21" t="s">
        <v>61</v>
      </c>
      <c r="D10" s="22" t="s">
        <v>62</v>
      </c>
    </row>
    <row r="11" spans="1:4">
      <c r="A11" t="s">
        <v>63</v>
      </c>
      <c r="B11" s="20" t="s">
        <v>64</v>
      </c>
      <c r="C11" s="21" t="s">
        <v>50</v>
      </c>
      <c r="D11" s="22" t="s">
        <v>65</v>
      </c>
    </row>
    <row r="12" spans="1:4">
      <c r="A12" t="s">
        <v>66</v>
      </c>
      <c r="B12" s="20" t="s">
        <v>52</v>
      </c>
      <c r="C12" s="21" t="s">
        <v>67</v>
      </c>
      <c r="D12" s="22" t="s">
        <v>68</v>
      </c>
    </row>
    <row r="13" spans="1:4">
      <c r="A13" t="s">
        <v>69</v>
      </c>
      <c r="B13" s="20" t="s">
        <v>50</v>
      </c>
      <c r="C13" s="21" t="s">
        <v>58</v>
      </c>
      <c r="D13" s="22" t="s">
        <v>53</v>
      </c>
    </row>
    <row r="14" spans="1:4">
      <c r="A14" s="19" t="s">
        <v>70</v>
      </c>
      <c r="B14" s="19"/>
      <c r="C14" s="19"/>
      <c r="D14" s="19"/>
    </row>
    <row r="15" spans="1:4">
      <c r="A15" t="s">
        <v>71</v>
      </c>
      <c r="B15" s="20" t="s">
        <v>72</v>
      </c>
      <c r="C15" s="21" t="s">
        <v>73</v>
      </c>
      <c r="D15" s="22" t="s">
        <v>74</v>
      </c>
    </row>
    <row r="16" spans="1:4">
      <c r="A16" t="s">
        <v>75</v>
      </c>
      <c r="B16" s="20" t="s">
        <v>76</v>
      </c>
      <c r="C16" s="21" t="s">
        <v>77</v>
      </c>
      <c r="D16" s="22" t="s">
        <v>78</v>
      </c>
    </row>
    <row r="17" spans="1:4">
      <c r="A17" t="s">
        <v>79</v>
      </c>
      <c r="B17" s="20" t="s">
        <v>80</v>
      </c>
      <c r="C17" s="21" t="s">
        <v>81</v>
      </c>
      <c r="D17" s="22" t="s">
        <v>82</v>
      </c>
    </row>
    <row r="18" spans="1:4">
      <c r="A18" t="s">
        <v>83</v>
      </c>
      <c r="B18" s="20" t="s">
        <v>84</v>
      </c>
      <c r="C18" s="21" t="s">
        <v>85</v>
      </c>
      <c r="D18" s="22" t="s">
        <v>86</v>
      </c>
    </row>
    <row r="19" spans="1:4">
      <c r="A19" t="s">
        <v>87</v>
      </c>
      <c r="B19" s="20" t="s">
        <v>88</v>
      </c>
      <c r="C19" s="21" t="s">
        <v>89</v>
      </c>
      <c r="D19" s="22" t="s">
        <v>90</v>
      </c>
    </row>
    <row r="20" spans="1:4">
      <c r="A20" s="19" t="s">
        <v>91</v>
      </c>
      <c r="B20" s="19"/>
      <c r="C20" s="19"/>
      <c r="D20" s="19"/>
    </row>
    <row r="21" spans="1:4">
      <c r="A21" t="s">
        <v>92</v>
      </c>
      <c r="B21" s="20" t="s">
        <v>93</v>
      </c>
      <c r="C21" s="21" t="s">
        <v>94</v>
      </c>
      <c r="D21" s="22" t="s">
        <v>95</v>
      </c>
    </row>
    <row r="22" spans="1:4">
      <c r="A22" t="s">
        <v>27</v>
      </c>
      <c r="B22" s="20" t="s">
        <v>96</v>
      </c>
      <c r="C22" s="21" t="s">
        <v>97</v>
      </c>
      <c r="D22" s="22" t="s">
        <v>98</v>
      </c>
    </row>
    <row r="23" spans="1:4">
      <c r="A23" t="s">
        <v>28</v>
      </c>
      <c r="B23" s="20" t="s">
        <v>99</v>
      </c>
      <c r="C23" s="21" t="s">
        <v>100</v>
      </c>
      <c r="D23" s="22" t="s">
        <v>101</v>
      </c>
    </row>
    <row r="24" spans="1:4">
      <c r="A24" t="s">
        <v>29</v>
      </c>
      <c r="B24" s="20" t="s">
        <v>102</v>
      </c>
      <c r="C24" s="21" t="s">
        <v>103</v>
      </c>
      <c r="D24" s="22" t="s">
        <v>104</v>
      </c>
    </row>
    <row r="25" spans="1:4">
      <c r="A25" t="s">
        <v>31</v>
      </c>
      <c r="B25" s="20" t="s">
        <v>105</v>
      </c>
      <c r="C25" s="21" t="s">
        <v>106</v>
      </c>
      <c r="D25" s="22" t="s">
        <v>107</v>
      </c>
    </row>
    <row r="26" spans="1:4">
      <c r="A26" t="s">
        <v>108</v>
      </c>
      <c r="B26" s="20" t="s">
        <v>109</v>
      </c>
      <c r="C26" s="21" t="s">
        <v>110</v>
      </c>
      <c r="D26" s="22" t="s">
        <v>111</v>
      </c>
    </row>
    <row r="27" spans="1:4">
      <c r="A27" t="s">
        <v>112</v>
      </c>
      <c r="B27" s="20" t="s">
        <v>113</v>
      </c>
      <c r="C27" s="21" t="s">
        <v>114</v>
      </c>
      <c r="D27" s="22" t="s">
        <v>115</v>
      </c>
    </row>
    <row r="28" spans="1:4">
      <c r="A28" t="s">
        <v>116</v>
      </c>
      <c r="B28" s="20" t="s">
        <v>117</v>
      </c>
      <c r="C28" s="21" t="s">
        <v>118</v>
      </c>
      <c r="D28" s="22" t="s">
        <v>119</v>
      </c>
    </row>
    <row r="30" spans="1:4">
      <c r="A30" s="6" t="s">
        <v>120</v>
      </c>
      <c r="B30" s="23" t="s">
        <v>121</v>
      </c>
    </row>
    <row r="32" spans="1:4">
      <c r="A32" s="6" t="s">
        <v>122</v>
      </c>
      <c r="B32" s="15" t="s">
        <v>123</v>
      </c>
      <c r="C32" s="15"/>
      <c r="D32" s="15"/>
    </row>
    <row r="33" spans="1:4">
      <c r="A33" s="6" t="s">
        <v>124</v>
      </c>
      <c r="B33" s="15" t="s">
        <v>125</v>
      </c>
      <c r="C33" s="15"/>
      <c r="D33" s="15"/>
    </row>
    <row r="34" spans="1:4">
      <c r="A34" s="6" t="s">
        <v>126</v>
      </c>
      <c r="B34" s="15" t="s">
        <v>127</v>
      </c>
      <c r="C34" s="15"/>
      <c r="D34" s="15"/>
    </row>
  </sheetData>
  <mergeCells count="8">
    <mergeCell ref="A1:D1"/>
    <mergeCell ref="A2:D2"/>
    <mergeCell ref="A6:D6"/>
    <mergeCell ref="A14:D14"/>
    <mergeCell ref="A20:D20"/>
    <mergeCell ref="B32:D32"/>
    <mergeCell ref="B33:D33"/>
    <mergeCell ref="B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zoomScale="90" zoomScaleNormal="90" workbookViewId="0"/>
  </sheetViews>
  <sheetFormatPr defaultRowHeight="15"/>
  <cols>
    <col min="1" max="1" width="18.7109375" customWidth="1"/>
    <col min="2" max="7" width="13.7109375" customWidth="1"/>
  </cols>
  <sheetData>
    <row r="1" spans="1:6">
      <c r="A1" s="1" t="s">
        <v>128</v>
      </c>
      <c r="B1" s="1"/>
      <c r="C1" s="1"/>
      <c r="D1" s="1"/>
      <c r="E1" s="1"/>
      <c r="F1" s="1"/>
    </row>
    <row r="2" spans="1:6">
      <c r="A2" s="2" t="s">
        <v>129</v>
      </c>
      <c r="B2" s="2"/>
      <c r="C2" s="2"/>
      <c r="D2" s="2"/>
      <c r="E2" s="2"/>
      <c r="F2" s="2"/>
    </row>
    <row r="4" spans="1:6">
      <c r="A4" s="9" t="s">
        <v>130</v>
      </c>
      <c r="B4" s="24" t="s">
        <v>55</v>
      </c>
      <c r="C4" s="24" t="s">
        <v>131</v>
      </c>
      <c r="D4" s="24" t="s">
        <v>54</v>
      </c>
      <c r="E4" s="24" t="s">
        <v>53</v>
      </c>
      <c r="F4" s="24" t="s">
        <v>68</v>
      </c>
    </row>
    <row r="5" spans="1:6">
      <c r="A5" s="9" t="s">
        <v>132</v>
      </c>
      <c r="B5" s="25">
        <v>525.16</v>
      </c>
      <c r="C5" s="25">
        <v>564.14</v>
      </c>
      <c r="D5" s="25">
        <v>610.92</v>
      </c>
      <c r="E5" s="25">
        <v>668.1</v>
      </c>
      <c r="F5" s="25">
        <v>739.58</v>
      </c>
    </row>
    <row r="6" spans="1:6">
      <c r="A6" s="9" t="s">
        <v>133</v>
      </c>
      <c r="B6" s="26">
        <v>448.41</v>
      </c>
      <c r="C6" s="26">
        <v>475.67</v>
      </c>
      <c r="D6" s="25">
        <v>507.46</v>
      </c>
      <c r="E6" s="25">
        <v>545.03</v>
      </c>
      <c r="F6" s="25">
        <v>590.12</v>
      </c>
    </row>
    <row r="7" spans="1:6">
      <c r="A7" s="9" t="s">
        <v>134</v>
      </c>
      <c r="B7" s="27">
        <v>390.91</v>
      </c>
      <c r="C7" s="27">
        <v>410.84</v>
      </c>
      <c r="D7" s="26">
        <v>433.61</v>
      </c>
      <c r="E7" s="26">
        <v>459.88</v>
      </c>
      <c r="F7" s="26">
        <v>490.53</v>
      </c>
    </row>
    <row r="8" spans="1:6">
      <c r="A8" s="9" t="s">
        <v>135</v>
      </c>
      <c r="B8" s="27">
        <v>346.24</v>
      </c>
      <c r="C8" s="27">
        <v>361.31</v>
      </c>
      <c r="D8" s="27">
        <v>378.26</v>
      </c>
      <c r="E8" s="27">
        <v>397.48</v>
      </c>
      <c r="F8" s="26">
        <v>419.44</v>
      </c>
    </row>
    <row r="9" spans="1:6">
      <c r="A9" s="9" t="s">
        <v>136</v>
      </c>
      <c r="B9" s="28">
        <v>310.54</v>
      </c>
      <c r="C9" s="28">
        <v>322.25</v>
      </c>
      <c r="D9" s="27">
        <v>335.26</v>
      </c>
      <c r="E9" s="27">
        <v>349.8</v>
      </c>
      <c r="F9" s="27">
        <v>366.15</v>
      </c>
    </row>
    <row r="11" spans="1:6">
      <c r="A11" s="6" t="s">
        <v>137</v>
      </c>
      <c r="B11" s="29" t="s">
        <v>138</v>
      </c>
    </row>
    <row r="12" spans="1:6">
      <c r="B12" s="30" t="s">
        <v>139</v>
      </c>
    </row>
    <row r="13" spans="1:6">
      <c r="B13" s="31" t="s">
        <v>140</v>
      </c>
    </row>
    <row r="14" spans="1:6">
      <c r="B14" s="32" t="s">
        <v>141</v>
      </c>
    </row>
    <row r="16" spans="1:6">
      <c r="A16" s="6" t="s">
        <v>142</v>
      </c>
    </row>
    <row r="17" spans="1:6">
      <c r="A17" s="6" t="s">
        <v>143</v>
      </c>
    </row>
    <row r="19" spans="1:6">
      <c r="A19" s="15" t="s">
        <v>144</v>
      </c>
      <c r="B19" s="15"/>
      <c r="C19" s="15"/>
      <c r="D19" s="15"/>
      <c r="E19" s="15"/>
      <c r="F19" s="15"/>
    </row>
  </sheetData>
  <mergeCells count="3">
    <mergeCell ref="A1:F1"/>
    <mergeCell ref="A2:F2"/>
    <mergeCell ref="A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zoomScale="90" zoomScaleNormal="90" workbookViewId="0"/>
  </sheetViews>
  <sheetFormatPr defaultRowHeight="15"/>
  <cols>
    <col min="1" max="1" width="22.7109375" customWidth="1"/>
    <col min="2" max="3" width="14.7109375" customWidth="1"/>
  </cols>
  <sheetData>
    <row r="1" spans="1:3">
      <c r="A1" s="1" t="s">
        <v>145</v>
      </c>
      <c r="B1" s="1"/>
      <c r="C1" s="1"/>
    </row>
    <row r="2" spans="1:3">
      <c r="A2" s="2" t="s">
        <v>146</v>
      </c>
      <c r="B2" s="2"/>
      <c r="C2" s="2"/>
    </row>
    <row r="4" spans="1:3">
      <c r="A4" s="9" t="s">
        <v>147</v>
      </c>
      <c r="B4" s="9" t="s">
        <v>148</v>
      </c>
      <c r="C4" s="9" t="s">
        <v>149</v>
      </c>
    </row>
    <row r="5" spans="1:3">
      <c r="A5" t="s">
        <v>150</v>
      </c>
      <c r="B5" s="33">
        <v>0.1054</v>
      </c>
      <c r="C5" s="33">
        <v>0.1307</v>
      </c>
    </row>
    <row r="6" spans="1:3">
      <c r="A6" t="s">
        <v>151</v>
      </c>
      <c r="B6" s="33">
        <v>0.183</v>
      </c>
      <c r="C6" s="33">
        <v>0.09050000000000001</v>
      </c>
    </row>
    <row r="7" spans="1:3">
      <c r="A7" t="s">
        <v>152</v>
      </c>
      <c r="B7" s="33">
        <v>-0.0617</v>
      </c>
      <c r="C7" s="33">
        <v>-0.026</v>
      </c>
    </row>
    <row r="8" spans="1:3">
      <c r="A8" t="s">
        <v>153</v>
      </c>
      <c r="B8" s="33">
        <v>0.1012</v>
      </c>
      <c r="C8" s="33">
        <v>0.1316</v>
      </c>
    </row>
    <row r="9" spans="1:3">
      <c r="A9" s="15" t="s">
        <v>154</v>
      </c>
    </row>
    <row r="11" spans="1:3">
      <c r="A11" s="6" t="s">
        <v>155</v>
      </c>
      <c r="B11" s="33">
        <v>0.1012</v>
      </c>
    </row>
    <row r="12" spans="1:3">
      <c r="A12" t="s">
        <v>156</v>
      </c>
      <c r="B12" t="s">
        <v>157</v>
      </c>
    </row>
    <row r="14" spans="1:3">
      <c r="A14" s="34" t="s">
        <v>158</v>
      </c>
    </row>
    <row r="15" spans="1:3">
      <c r="A15" s="15" t="s">
        <v>159</v>
      </c>
      <c r="B15" s="15"/>
      <c r="C15" s="15"/>
    </row>
    <row r="16" spans="1:3">
      <c r="A16" s="15"/>
      <c r="B16" s="15"/>
      <c r="C16" s="15"/>
    </row>
    <row r="17" spans="1:6">
      <c r="A17" s="15"/>
      <c r="B17" s="15"/>
      <c r="C17" s="15"/>
    </row>
    <row r="19" spans="1:6">
      <c r="A19" s="3" t="s">
        <v>160</v>
      </c>
    </row>
    <row r="20" spans="1:6">
      <c r="A20" s="9" t="s">
        <v>13</v>
      </c>
      <c r="B20" s="9" t="s">
        <v>161</v>
      </c>
      <c r="C20" s="9" t="s">
        <v>162</v>
      </c>
      <c r="D20" s="9" t="s">
        <v>151</v>
      </c>
      <c r="E20" s="9" t="s">
        <v>163</v>
      </c>
      <c r="F20" s="9" t="s">
        <v>164</v>
      </c>
    </row>
    <row r="21" spans="1:6">
      <c r="A21" t="s">
        <v>165</v>
      </c>
      <c r="B21" s="7">
        <v>7301.5</v>
      </c>
      <c r="C21" s="7">
        <v>2734.8</v>
      </c>
      <c r="D21" s="7">
        <v>3.38</v>
      </c>
      <c r="E21" s="7">
        <v>8459.9</v>
      </c>
      <c r="F21" s="7">
        <v>501.1</v>
      </c>
    </row>
    <row r="22" spans="1:6">
      <c r="A22" t="s">
        <v>166</v>
      </c>
      <c r="B22" s="7">
        <v>9030</v>
      </c>
      <c r="C22" s="7">
        <v>3762.7</v>
      </c>
      <c r="D22" s="7">
        <v>5.2</v>
      </c>
      <c r="E22" s="7">
        <v>9362.1</v>
      </c>
      <c r="F22" s="7">
        <v>497.8</v>
      </c>
    </row>
    <row r="23" spans="1:6">
      <c r="A23" t="s">
        <v>167</v>
      </c>
      <c r="B23" s="7">
        <v>11171.3</v>
      </c>
      <c r="C23" s="7">
        <v>4027.3</v>
      </c>
      <c r="D23" s="7">
        <v>6</v>
      </c>
      <c r="E23" s="7">
        <v>10530.2</v>
      </c>
      <c r="F23" s="7">
        <v>491.6</v>
      </c>
    </row>
    <row r="24" spans="1:6">
      <c r="A24" t="s">
        <v>168</v>
      </c>
      <c r="B24" s="7">
        <v>12868</v>
      </c>
      <c r="C24" s="7">
        <v>5308</v>
      </c>
      <c r="D24" s="7">
        <v>10.83</v>
      </c>
      <c r="E24" s="7">
        <v>13264</v>
      </c>
      <c r="F24" s="7">
        <v>485.5</v>
      </c>
    </row>
    <row r="25" spans="1:6">
      <c r="A25" t="s">
        <v>169</v>
      </c>
      <c r="B25" s="7">
        <v>15785</v>
      </c>
      <c r="C25" s="7">
        <v>6882</v>
      </c>
      <c r="D25" s="7">
        <v>10.02</v>
      </c>
      <c r="E25" s="7">
        <v>14797</v>
      </c>
      <c r="F25" s="7">
        <v>481</v>
      </c>
    </row>
    <row r="26" spans="1:6">
      <c r="A26" t="s">
        <v>170</v>
      </c>
      <c r="B26" s="7">
        <v>17606</v>
      </c>
      <c r="C26" s="7">
        <v>7396</v>
      </c>
      <c r="D26" s="7">
        <v>10.1</v>
      </c>
      <c r="E26" s="7">
        <v>14051</v>
      </c>
      <c r="F26" s="7">
        <v>471</v>
      </c>
    </row>
    <row r="27" spans="1:6">
      <c r="A27" t="s">
        <v>171</v>
      </c>
      <c r="B27" s="7">
        <v>19409</v>
      </c>
      <c r="C27" s="7">
        <v>6942</v>
      </c>
      <c r="D27" s="7">
        <v>11.82</v>
      </c>
      <c r="E27" s="7">
        <v>16518</v>
      </c>
      <c r="F27" s="7">
        <v>459</v>
      </c>
    </row>
    <row r="28" spans="1:6">
      <c r="A28" t="s">
        <v>172</v>
      </c>
      <c r="B28" s="7">
        <v>21505</v>
      </c>
      <c r="C28" s="7">
        <v>7873</v>
      </c>
      <c r="D28" s="7">
        <v>12.36</v>
      </c>
      <c r="E28" s="7">
        <v>14105</v>
      </c>
      <c r="F28" s="7">
        <v>450</v>
      </c>
    </row>
    <row r="29" spans="1:6">
      <c r="A29" t="s">
        <v>173</v>
      </c>
      <c r="B29" s="7">
        <v>23769</v>
      </c>
      <c r="C29" s="7">
        <v>9852</v>
      </c>
      <c r="D29" s="7">
        <v>16.7</v>
      </c>
      <c r="E29" s="7">
        <v>11623</v>
      </c>
      <c r="F29" s="7">
        <v>427</v>
      </c>
    </row>
  </sheetData>
  <mergeCells count="3">
    <mergeCell ref="A1:C1"/>
    <mergeCell ref="A2:C2"/>
    <mergeCell ref="A15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2026-02-17T01:14:17Z</dcterms:created>
  <dcterms:modified xsi:type="dcterms:W3CDTF">2026-02-17T01:14:17Z</dcterms:modified>
</cp:coreProperties>
</file>