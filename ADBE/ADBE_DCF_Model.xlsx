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DCF Model" sheetId="2" state="visible" r:id="rId4"/>
    <sheet name="Scenario Analysis" sheetId="3" state="visible" r:id="rId5"/>
    <sheet name="Sensitivity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<sst xmlns="http://schemas.openxmlformats.org/spreadsheetml/2006/main" count="275" uniqueCount="237">
  <si>
    <t xml:space="preserve">Adobe Inc. (NASDAQ: ADBE) — Company Overview</t>
  </si>
  <si>
    <t xml:space="preserve">As of February 17, 2026</t>
  </si>
  <si>
    <t xml:space="preserve">Key Statistics</t>
  </si>
  <si>
    <t xml:space="preserve">Stock Price</t>
  </si>
  <si>
    <t xml:space="preserve">$264</t>
  </si>
  <si>
    <t xml:space="preserve">Sector</t>
  </si>
  <si>
    <t xml:space="preserve">Technology / Software</t>
  </si>
  <si>
    <t xml:space="preserve">Market Cap</t>
  </si>
  <si>
    <t xml:space="preserve">$108.4B</t>
  </si>
  <si>
    <t xml:space="preserve">CEO</t>
  </si>
  <si>
    <t xml:space="preserve">Shantanu Narayen</t>
  </si>
  <si>
    <t xml:space="preserve">Enterprise Value</t>
  </si>
  <si>
    <t xml:space="preserve">$108.5B</t>
  </si>
  <si>
    <t xml:space="preserve">FY End</t>
  </si>
  <si>
    <t xml:space="preserve">November</t>
  </si>
  <si>
    <t xml:space="preserve">Shares Outstanding</t>
  </si>
  <si>
    <t xml:space="preserve">410.5M</t>
  </si>
  <si>
    <t xml:space="preserve">Employees</t>
  </si>
  <si>
    <t xml:space="preserve">~30,000+</t>
  </si>
  <si>
    <t xml:space="preserve">52-Week Range</t>
  </si>
  <si>
    <t xml:space="preserve">$251 — $465</t>
  </si>
  <si>
    <t xml:space="preserve">HQ</t>
  </si>
  <si>
    <t xml:space="preserve">San Jose, CA</t>
  </si>
  <si>
    <t xml:space="preserve">Beta (5yr)</t>
  </si>
  <si>
    <t xml:space="preserve">1.52</t>
  </si>
  <si>
    <t xml:space="preserve">Founded</t>
  </si>
  <si>
    <t xml:space="preserve">1982</t>
  </si>
  <si>
    <t xml:space="preserve">P/E (TTM)</t>
  </si>
  <si>
    <t xml:space="preserve">15.4x</t>
  </si>
  <si>
    <t xml:space="preserve">EV/EBITDA</t>
  </si>
  <si>
    <t xml:space="preserve">11.4x</t>
  </si>
  <si>
    <t xml:space="preserve">FCF Yield</t>
  </si>
  <si>
    <t xml:space="preserve">~9.1%</t>
  </si>
  <si>
    <t xml:space="preserve">Analyst PT</t>
  </si>
  <si>
    <t xml:space="preserve">$414 (avg of 23)</t>
  </si>
  <si>
    <t xml:space="preserve">FY2026 Management Guidance (Dec 10, 2025)</t>
  </si>
  <si>
    <t xml:space="preserve">Total Revenue</t>
  </si>
  <si>
    <t xml:space="preserve">$25.5B — $25.7B</t>
  </si>
  <si>
    <t xml:space="preserve">Q1 FY2026 Revenue</t>
  </si>
  <si>
    <t xml:space="preserve">$6.25B — $6.30B</t>
  </si>
  <si>
    <t xml:space="preserve">Non-GAAP EPS (FY2026)</t>
  </si>
  <si>
    <t xml:space="preserve">~$23.30 — $23.50</t>
  </si>
  <si>
    <t xml:space="preserve">Q1 FY2026 Non-GAAP EPS</t>
  </si>
  <si>
    <t xml:space="preserve">$5.85 — $5.90</t>
  </si>
  <si>
    <t xml:space="preserve">Non-GAAP Op Margin</t>
  </si>
  <si>
    <t xml:space="preserve">~45.0%</t>
  </si>
  <si>
    <t xml:space="preserve">Non-GAAP Tax Rate</t>
  </si>
  <si>
    <t xml:space="preserve">~18.0%</t>
  </si>
  <si>
    <t xml:space="preserve">Diluted Share Count</t>
  </si>
  <si>
    <t xml:space="preserve">~411M (Q1), decreasing</t>
  </si>
  <si>
    <t xml:space="preserve">Total Adobe ARR Growth Target</t>
  </si>
  <si>
    <t xml:space="preserve">~10.2% YoY (double-digit)</t>
  </si>
  <si>
    <t xml:space="preserve">Business Segments (FY2025)</t>
  </si>
  <si>
    <t xml:space="preserve">Segment</t>
  </si>
  <si>
    <t xml:space="preserve">Revenue</t>
  </si>
  <si>
    <t xml:space="preserve">% of Total</t>
  </si>
  <si>
    <t xml:space="preserve">YoY Growth</t>
  </si>
  <si>
    <t xml:space="preserve">Digital Media</t>
  </si>
  <si>
    <t xml:space="preserve">$17.65B</t>
  </si>
  <si>
    <t xml:space="preserve">74%</t>
  </si>
  <si>
    <t xml:space="preserve">11%</t>
  </si>
  <si>
    <t xml:space="preserve">  Creative Cloud</t>
  </si>
  <si>
    <t xml:space="preserve">~$13.5B</t>
  </si>
  <si>
    <t xml:space="preserve">57%</t>
  </si>
  <si>
    <t xml:space="preserve">~10%</t>
  </si>
  <si>
    <t xml:space="preserve">  Document Cloud</t>
  </si>
  <si>
    <t xml:space="preserve">~$4.1B</t>
  </si>
  <si>
    <t xml:space="preserve">17%</t>
  </si>
  <si>
    <t xml:space="preserve">~15%</t>
  </si>
  <si>
    <t xml:space="preserve">Digital Experience</t>
  </si>
  <si>
    <t xml:space="preserve">$5.87B</t>
  </si>
  <si>
    <t xml:space="preserve">25%</t>
  </si>
  <si>
    <t xml:space="preserve">10%</t>
  </si>
  <si>
    <t xml:space="preserve">Publishing &amp; Other</t>
  </si>
  <si>
    <t xml:space="preserve">&lt;$0.3B</t>
  </si>
  <si>
    <t xml:space="preserve">&lt;1%</t>
  </si>
  <si>
    <t xml:space="preserve">Declining</t>
  </si>
  <si>
    <t xml:space="preserve">Investment Thesis</t>
  </si>
  <si>
    <t xml:space="preserve">BULL CASE</t>
  </si>
  <si>
    <t xml:space="preserve">  • AI (Firefly, GenStudio) deepens moat, drives ARPU, expands TAM to non-designers</t>
  </si>
  <si>
    <t xml:space="preserve">  • $25.7B ARR with 90%+ gross margins = exceptional, durable cash generation</t>
  </si>
  <si>
    <t xml:space="preserve">  • Valuation at ~11x fwd P/E is historically cheap vs. 25-35x 5yr avg range</t>
  </si>
  <si>
    <t xml:space="preserve">  • Aggressive buyback ($10.9B remaining) + potential Semrush acquisition</t>
  </si>
  <si>
    <t xml:space="preserve">  • Document Cloud a sleeper growth driver at 15%+ growth, large enterprise penetration ahead</t>
  </si>
  <si>
    <t xml:space="preserve">BEAR CASE</t>
  </si>
  <si>
    <t xml:space="preserve">  • Revenue growth decelerating to single digits for first time in decades</t>
  </si>
  <si>
    <t xml:space="preserve">  • AI-native competition accelerating: Canva (180M+ users), OpenAI, Midjourney, Figma</t>
  </si>
  <si>
    <t xml:space="preserve">  • Op margin guided DOWN to 45% (from 46%) — AI investment consuming profits</t>
  </si>
  <si>
    <t xml:space="preserve">  • Wave of analyst downgrades: Goldman → Sell ($290), Piper → Neutral, Oppenheimer → Perform</t>
  </si>
  <si>
    <t xml:space="preserve">  • AI commoditization risk: if generative tools become cheap/free, Creative Cloud pricing power erodes</t>
  </si>
  <si>
    <t xml:space="preserve">Adobe Inc. (ADBE) — Discounted Cash Flow Model</t>
  </si>
  <si>
    <t xml:space="preserve">All figures in $mm unless stated. Blue = input, Black = formula, Green = cross-sheet link.</t>
  </si>
  <si>
    <t xml:space="preserve">Source: Adobe FY2025 10-K, Earnings Release (Dec 10, 2025), SEC Filings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</si>
  <si>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</si>
  <si>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</si>
  <si>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</si>
  <si>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</si>
  <si>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</si>
  <si>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</si>
  <si>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</si>
  <si>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</si>
  <si>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</si>
  <si>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Segment Revenue Build</t>
  </si>
  <si>
    <t xml:space="preserve">Digital Media Revenue</t>
  </si>
  <si>
    <t xml:space="preserve">  DM Growth (%)</t>
  </si>
  <si>
    <t xml:space="preserve">Digital Experience Revenue</t>
  </si>
  <si>
    <t xml:space="preserve">  DX Growth (%)</t>
  </si>
  <si>
    <t xml:space="preserve">← declining legacy</t>
  </si>
  <si>
    <t xml:space="preserve">Total Revenue Growth (%)</t>
  </si>
  <si>
    <t xml:space="preserve">Annual Recurring Revenue (ARR)</t>
  </si>
  <si>
    <t xml:space="preserve">Digital Media ARR</t>
  </si>
  <si>
    <t xml:space="preserve">Source: Adobe earnings releases</t>
  </si>
  <si>
    <t xml:space="preserve">Total Adobe ARR</t>
  </si>
  <si>
    <t xml:space="preserve">FY26 guided: ~10.2% ARR growth</t>
  </si>
  <si>
    <t xml:space="preserve">ARR Growth (%)</t>
  </si>
  <si>
    <t xml:space="preserve">Operating Model</t>
  </si>
  <si>
    <t xml:space="preserve">Gross Margin (%)</t>
  </si>
  <si>
    <t xml:space="preserve">Gross Profit</t>
  </si>
  <si>
    <t xml:space="preserve">SG&amp;A (% of Revenue)</t>
  </si>
  <si>
    <t xml:space="preserve">SG&amp;A</t>
  </si>
  <si>
    <t xml:space="preserve">R&amp;D (% of Revenue)</t>
  </si>
  <si>
    <t xml:space="preserve">R&amp;D</t>
  </si>
  <si>
    <t xml:space="preserve">D&amp;A</t>
  </si>
  <si>
    <t xml:space="preserve">EBIT</t>
  </si>
  <si>
    <t xml:space="preserve">EBIT Margin (%)</t>
  </si>
  <si>
    <t xml:space="preserve">EBITDA</t>
  </si>
  <si>
    <t xml:space="preserve">EBITDA Margin (%)</t>
  </si>
  <si>
    <t xml:space="preserve">Earnings Per Share</t>
  </si>
  <si>
    <t xml:space="preserve">Tax Rate (%)</t>
  </si>
  <si>
    <t xml:space="preserve">Net Income</t>
  </si>
  <si>
    <t xml:space="preserve">Diluted Shares (mm)</t>
  </si>
  <si>
    <t xml:space="preserve">← ~3% annual buyback</t>
  </si>
  <si>
    <t xml:space="preserve">EPS ($)</t>
  </si>
  <si>
    <t xml:space="preserve">Unlevered Free Cash Flow</t>
  </si>
  <si>
    <t xml:space="preserve">Less: Taxes on EBIT</t>
  </si>
  <si>
    <t xml:space="preserve">NOPAT</t>
  </si>
  <si>
    <t xml:space="preserve">Plus: D&amp;A</t>
  </si>
  <si>
    <t xml:space="preserve">CapEx (% of Rev)</t>
  </si>
  <si>
    <t xml:space="preserve">Less: CapEx</t>
  </si>
  <si>
    <t xml:space="preserve">Chg in NWC (% of ΔRev)</t>
  </si>
  <si>
    <t xml:space="preserve">Less: Chg in NWC</t>
  </si>
  <si>
    <t xml:space="preserve">UFCF Margin (%)</t>
  </si>
  <si>
    <t xml:space="preserve">UFCF Growth (%)</t>
  </si>
  <si>
    <t xml:space="preserve">WACC Calculation</t>
  </si>
  <si>
    <t xml:space="preserve">Risk-Free Rate (%)</t>
  </si>
  <si>
    <t xml:space="preserve">Source: US 10-Year Treasury, Feb 2026</t>
  </si>
  <si>
    <t xml:space="preserve">Equity Risk Premium (%)</t>
  </si>
  <si>
    <t xml:space="preserve">Source: Damodaran ERP estimate 2026</t>
  </si>
  <si>
    <t xml:space="preserve">Beta (Normalized)</t>
  </si>
  <si>
    <t xml:space="preserve">Source: Normalized from 5yr avg; current spot = 1.52</t>
  </si>
  <si>
    <t xml:space="preserve">Cost of Equity (%)</t>
  </si>
  <si>
    <t xml:space="preserve">Pre-Tax Cost of Debt (%)</t>
  </si>
  <si>
    <t xml:space="preserve">Source: Adobe 10-Q, wtd avg coupon</t>
  </si>
  <si>
    <t xml:space="preserve">Tax Rate for WACC (%)</t>
  </si>
  <si>
    <t xml:space="preserve">Source: Adobe FY26 guidance: ~18.5%</t>
  </si>
  <si>
    <t xml:space="preserve">After-Tax Cost of Debt (%)</t>
  </si>
  <si>
    <t xml:space="preserve">Market Cap ($mm)</t>
  </si>
  <si>
    <t xml:space="preserve">Source: 410.5M shares × $264</t>
  </si>
  <si>
    <t xml:space="preserve">Total Debt ($mm)</t>
  </si>
  <si>
    <t xml:space="preserve">Source: Adobe 10-Q Q3 FY2025</t>
  </si>
  <si>
    <t xml:space="preserve">Equity Weight (%)</t>
  </si>
  <si>
    <t xml:space="preserve">Debt Weight (%)</t>
  </si>
  <si>
    <t xml:space="preserve">WACC (%)</t>
  </si>
  <si>
    <t xml:space="preserve">Terminal Value &amp; Equity Bridge</t>
  </si>
  <si>
    <t xml:space="preserve">Terminal Growth Rate (%)</t>
  </si>
  <si>
    <t xml:space="preserve">← Long-term nominal GDP proxy</t>
  </si>
  <si>
    <t xml:space="preserve">Terminal Year UFCF</t>
  </si>
  <si>
    <t xml:space="preserve">Terminal Value</t>
  </si>
  <si>
    <t xml:space="preserve">Discounting</t>
  </si>
  <si>
    <t xml:space="preserve">Projection Year</t>
  </si>
  <si>
    <t xml:space="preserve">Discount Factor</t>
  </si>
  <si>
    <t xml:space="preserve">PV of UFCF</t>
  </si>
  <si>
    <t xml:space="preserve">PV of Terminal Value</t>
  </si>
  <si>
    <t xml:space="preserve">Sum of PV of UFCFs</t>
  </si>
  <si>
    <t xml:space="preserve">TV as % of EV</t>
  </si>
  <si>
    <t xml:space="preserve">Less: Total Debt</t>
  </si>
  <si>
    <t xml:space="preserve">Source: Adobe Q3 FY2025 10-Q</t>
  </si>
  <si>
    <t xml:space="preserve">Plus: Cash &amp; Equivalents</t>
  </si>
  <si>
    <t xml:space="preserve">Equity Value</t>
  </si>
  <si>
    <t xml:space="preserve">Diluted Shares Outstanding (mm)</t>
  </si>
  <si>
    <t xml:space="preserve">Source: Morningstar, Feb 2026</t>
  </si>
  <si>
    <t xml:space="preserve">Implied Share Price ($)</t>
  </si>
  <si>
    <t xml:space="preserve">Current Stock Price ($)</t>
  </si>
  <si>
    <t xml:space="preserve">Upside / (Downside) (%)</t>
  </si>
  <si>
    <t xml:space="preserve">Historical Growth Rates (CAGR)</t>
  </si>
  <si>
    <t xml:space="preserve">Revenue 3yr CAGR (FY22-FY25)</t>
  </si>
  <si>
    <t xml:space="preserve">Revenue 5yr CAGR (FY20-FY25)</t>
  </si>
  <si>
    <t xml:space="preserve">FY2020 Rev: $12,868M</t>
  </si>
  <si>
    <t xml:space="preserve">FCF 3yr CAGR (FY22-FY25)</t>
  </si>
  <si>
    <t xml:space="preserve">EBIT 3yr CAGR (FY22-FY25)</t>
  </si>
  <si>
    <t xml:space="preserve">EPS 3yr CAGR (FY22-FY25)</t>
  </si>
  <si>
    <t xml:space="preserve">Adobe (ADBE) — Bull / Base / Bear Scenario DCF</t>
  </si>
  <si>
    <t xml:space="preserve">Probability-weighted intrinsic value with entry price calculator</t>
  </si>
  <si>
    <t xml:space="preserve">Bull Case</t>
  </si>
  <si>
    <t xml:space="preserve">Base Case</t>
  </si>
  <si>
    <t xml:space="preserve">Bear Case</t>
  </si>
  <si>
    <t xml:space="preserve">Probability Weight</t>
  </si>
  <si>
    <t xml:space="preserve">Rev Growth Yr1 (%)</t>
  </si>
  <si>
    <t xml:space="preserve">Rev Growth Yr2 (%)</t>
  </si>
  <si>
    <t xml:space="preserve">Rev Growth Yr3 (%)</t>
  </si>
  <si>
    <t xml:space="preserve">Rev Growth Yr4 (%)</t>
  </si>
  <si>
    <t xml:space="preserve">Rev Growth Yr5 (%)</t>
  </si>
  <si>
    <t xml:space="preserve">Avg UFCF Margin (%)</t>
  </si>
  <si>
    <t xml:space="preserve">Terminal Growth (%)</t>
  </si>
  <si>
    <t xml:space="preserve">Base Year Revenue ($mm)</t>
  </si>
  <si>
    <t xml:space="preserve">Projected Revenue &amp; UFCF by Scenario</t>
  </si>
  <si>
    <t xml:space="preserve">  Year 1 Revenue</t>
  </si>
  <si>
    <t xml:space="preserve">  Year 2 Revenue</t>
  </si>
  <si>
    <t xml:space="preserve">  Year 3 Revenue</t>
  </si>
  <si>
    <t xml:space="preserve">  Year 4 Revenue</t>
  </si>
  <si>
    <t xml:space="preserve">  Year 5 Revenue</t>
  </si>
  <si>
    <t xml:space="preserve">  Year 5 UFCF</t>
  </si>
  <si>
    <t xml:space="preserve">  Terminal Value</t>
  </si>
  <si>
    <t xml:space="preserve">  PV of Year 1-5 UFCFs</t>
  </si>
  <si>
    <t xml:space="preserve">  PV of Terminal Value</t>
  </si>
  <si>
    <t xml:space="preserve">  Enterprise Value</t>
  </si>
  <si>
    <t xml:space="preserve">  Equity Value</t>
  </si>
  <si>
    <t xml:space="preserve">  Implied Price ($)</t>
  </si>
  <si>
    <t xml:space="preserve">Probability-Weighted Valuation</t>
  </si>
  <si>
    <t xml:space="preserve">Bull Case Price ($)</t>
  </si>
  <si>
    <t xml:space="preserve">× Weight</t>
  </si>
  <si>
    <t xml:space="preserve">Base Case Price ($)</t>
  </si>
  <si>
    <t xml:space="preserve">Bear Case Price ($)</t>
  </si>
  <si>
    <t xml:space="preserve">Probability-Weighted IV ($)</t>
  </si>
  <si>
    <t xml:space="preserve">Current Price ($)</t>
  </si>
  <si>
    <t xml:space="preserve">Entry Price Calculator</t>
  </si>
  <si>
    <t xml:space="preserve">What price to buy for target CAGR?</t>
  </si>
  <si>
    <t xml:space="preserve">Target Annual Return (CAGR)</t>
  </si>
  <si>
    <t xml:space="preserve">← Change this to your target</t>
  </si>
  <si>
    <t xml:space="preserve">Investment Horizon (years)</t>
  </si>
  <si>
    <t xml:space="preserve">Target Exit Price ($)</t>
  </si>
  <si>
    <t xml:space="preserve">← Uses prob-weighted IV as exit target</t>
  </si>
  <si>
    <t xml:space="preserve">Entry Price for Target CAGR ($)</t>
  </si>
  <si>
    <t xml:space="preserve">Current Price vs Entry</t>
  </si>
  <si>
    <t xml:space="preserve">Sensitivity Analysis: Implied Share Price ($)</t>
  </si>
  <si>
    <t xml:space="preserve">Base Case: WACC vs. Terminal Growth Rate</t>
  </si>
  <si>
    <t xml:space="preserve">WACC ↓ / TGR →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</si>
</sst>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0.00"/>
    <numFmt numFmtId="169" formatCode="0.0000"/>
    <numFmt numFmtId="170" formatCode="#,##0.0"/>
    <numFmt numFmtId="171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5" t="s">
        <v>3</v>
      </c>
      <c r="C6" s="6" t="s">
        <v>4</v>
      </c>
      <c r="D6" s="5" t="s">
        <v>5</v>
      </c>
      <c r="E6" s="6" t="s">
        <v>6</v>
      </c>
    </row>
    <row r="7" customFormat="false" ht="15" hidden="false" customHeight="false" outlineLevel="0" collapsed="false">
      <c r="B7" s="7" t="s">
        <v>7</v>
      </c>
      <c r="C7" s="8" t="s">
        <v>8</v>
      </c>
      <c r="D7" s="7" t="s">
        <v>9</v>
      </c>
      <c r="E7" s="8" t="s">
        <v>10</v>
      </c>
    </row>
    <row r="8" customFormat="false" ht="15" hidden="false" customHeight="false" outlineLevel="0" collapsed="false">
      <c r="B8" s="5" t="s">
        <v>11</v>
      </c>
      <c r="C8" s="6" t="s">
        <v>12</v>
      </c>
      <c r="D8" s="5" t="s">
        <v>13</v>
      </c>
      <c r="E8" s="6" t="s">
        <v>14</v>
      </c>
    </row>
    <row r="9" customFormat="false" ht="15" hidden="false" customHeight="false" outlineLevel="0" collapsed="false">
      <c r="B9" s="7" t="s">
        <v>15</v>
      </c>
      <c r="C9" s="8" t="s">
        <v>16</v>
      </c>
      <c r="D9" s="7" t="s">
        <v>17</v>
      </c>
      <c r="E9" s="8" t="s">
        <v>18</v>
      </c>
    </row>
    <row r="10" customFormat="false" ht="15" hidden="false" customHeight="false" outlineLevel="0" collapsed="false">
      <c r="B10" s="5" t="s">
        <v>19</v>
      </c>
      <c r="C10" s="6" t="s">
        <v>20</v>
      </c>
      <c r="D10" s="5" t="s">
        <v>21</v>
      </c>
      <c r="E10" s="6" t="s">
        <v>22</v>
      </c>
    </row>
    <row r="11" customFormat="false" ht="15" hidden="false" customHeight="false" outlineLevel="0" collapsed="false">
      <c r="B11" s="7" t="s">
        <v>23</v>
      </c>
      <c r="C11" s="8" t="s">
        <v>24</v>
      </c>
      <c r="D11" s="7" t="s">
        <v>25</v>
      </c>
      <c r="E11" s="8" t="s">
        <v>26</v>
      </c>
    </row>
    <row r="12" customFormat="false" ht="15" hidden="false" customHeight="false" outlineLevel="0" collapsed="false">
      <c r="B12" s="5" t="s">
        <v>27</v>
      </c>
      <c r="C12" s="6" t="s">
        <v>28</v>
      </c>
      <c r="D12" s="5" t="s">
        <v>29</v>
      </c>
      <c r="E12" s="6" t="s">
        <v>30</v>
      </c>
    </row>
    <row r="13" customFormat="false" ht="15" hidden="false" customHeight="false" outlineLevel="0" collapsed="false">
      <c r="B13" s="7" t="s">
        <v>31</v>
      </c>
      <c r="C13" s="8" t="s">
        <v>32</v>
      </c>
      <c r="D13" s="7" t="s">
        <v>33</v>
      </c>
      <c r="E13" s="8" t="s">
        <v>34</v>
      </c>
    </row>
    <row r="16" customFormat="false" ht="15" hidden="false" customHeight="false" outlineLevel="0" collapsed="false">
      <c r="B16" s="3" t="s">
        <v>35</v>
      </c>
      <c r="C16" s="4"/>
      <c r="D16" s="4"/>
      <c r="E16" s="4"/>
    </row>
    <row r="17" customFormat="false" ht="15" hidden="false" customHeight="false" outlineLevel="0" collapsed="false">
      <c r="B17" s="5" t="s">
        <v>36</v>
      </c>
      <c r="C17" s="6" t="s">
        <v>37</v>
      </c>
    </row>
    <row r="18" customFormat="false" ht="15" hidden="false" customHeight="false" outlineLevel="0" collapsed="false">
      <c r="B18" s="7" t="s">
        <v>38</v>
      </c>
      <c r="C18" s="8" t="s">
        <v>39</v>
      </c>
    </row>
    <row r="19" customFormat="false" ht="15" hidden="false" customHeight="false" outlineLevel="0" collapsed="false">
      <c r="B19" s="5" t="s">
        <v>40</v>
      </c>
      <c r="C19" s="6" t="s">
        <v>41</v>
      </c>
    </row>
    <row r="20" customFormat="false" ht="15" hidden="false" customHeight="false" outlineLevel="0" collapsed="false">
      <c r="B20" s="7" t="s">
        <v>42</v>
      </c>
      <c r="C20" s="8" t="s">
        <v>43</v>
      </c>
    </row>
    <row r="21" customFormat="false" ht="15" hidden="false" customHeight="false" outlineLevel="0" collapsed="false">
      <c r="B21" s="5" t="s">
        <v>44</v>
      </c>
      <c r="C21" s="6" t="s">
        <v>45</v>
      </c>
    </row>
    <row r="22" customFormat="false" ht="15" hidden="false" customHeight="false" outlineLevel="0" collapsed="false">
      <c r="B22" s="7" t="s">
        <v>46</v>
      </c>
      <c r="C22" s="8" t="s">
        <v>47</v>
      </c>
    </row>
    <row r="23" customFormat="false" ht="15" hidden="false" customHeight="false" outlineLevel="0" collapsed="false">
      <c r="B23" s="5" t="s">
        <v>48</v>
      </c>
      <c r="C23" s="6" t="s">
        <v>49</v>
      </c>
    </row>
    <row r="24" customFormat="false" ht="15" hidden="false" customHeight="false" outlineLevel="0" collapsed="false">
      <c r="B24" s="7" t="s">
        <v>50</v>
      </c>
      <c r="C24" s="8" t="s">
        <v>51</v>
      </c>
    </row>
    <row r="27" customFormat="false" ht="15" hidden="false" customHeight="false" outlineLevel="0" collapsed="false">
      <c r="B27" s="3" t="s">
        <v>52</v>
      </c>
      <c r="C27" s="4"/>
      <c r="D27" s="4"/>
      <c r="E27" s="4"/>
    </row>
    <row r="28" customFormat="false" ht="15" hidden="false" customHeight="false" outlineLevel="0" collapsed="false">
      <c r="B28" s="9"/>
      <c r="C28" s="9" t="s">
        <v>53</v>
      </c>
      <c r="D28" s="9" t="s">
        <v>54</v>
      </c>
      <c r="E28" s="9" t="s">
        <v>55</v>
      </c>
      <c r="F28" s="9" t="s">
        <v>56</v>
      </c>
    </row>
    <row r="29" customFormat="false" ht="15" hidden="false" customHeight="false" outlineLevel="0" collapsed="false">
      <c r="B29" s="7" t="s">
        <v>57</v>
      </c>
      <c r="C29" s="8" t="s">
        <v>58</v>
      </c>
      <c r="D29" s="7" t="s">
        <v>59</v>
      </c>
      <c r="E29" s="7" t="s">
        <v>60</v>
      </c>
    </row>
    <row r="30" customFormat="false" ht="15" hidden="false" customHeight="false" outlineLevel="0" collapsed="false">
      <c r="B30" s="7" t="s">
        <v>61</v>
      </c>
      <c r="C30" s="8" t="s">
        <v>62</v>
      </c>
      <c r="D30" s="7" t="s">
        <v>63</v>
      </c>
      <c r="E30" s="7" t="s">
        <v>64</v>
      </c>
    </row>
    <row r="31" customFormat="false" ht="15" hidden="false" customHeight="false" outlineLevel="0" collapsed="false">
      <c r="B31" s="7" t="s">
        <v>65</v>
      </c>
      <c r="C31" s="8" t="s">
        <v>66</v>
      </c>
      <c r="D31" s="7" t="s">
        <v>67</v>
      </c>
      <c r="E31" s="7" t="s">
        <v>68</v>
      </c>
    </row>
    <row r="32" customFormat="false" ht="15" hidden="false" customHeight="false" outlineLevel="0" collapsed="false">
      <c r="B32" s="7" t="s">
        <v>69</v>
      </c>
      <c r="C32" s="8" t="s">
        <v>70</v>
      </c>
      <c r="D32" s="7" t="s">
        <v>71</v>
      </c>
      <c r="E32" s="7" t="s">
        <v>72</v>
      </c>
    </row>
    <row r="33" customFormat="false" ht="15" hidden="false" customHeight="false" outlineLevel="0" collapsed="false">
      <c r="B33" s="7" t="s">
        <v>73</v>
      </c>
      <c r="C33" s="8" t="s">
        <v>74</v>
      </c>
      <c r="D33" s="7" t="s">
        <v>75</v>
      </c>
      <c r="E33" s="7" t="s">
        <v>76</v>
      </c>
    </row>
    <row r="36" customFormat="false" ht="15" hidden="false" customHeight="false" outlineLevel="0" collapsed="false">
      <c r="B36" s="3" t="s">
        <v>77</v>
      </c>
      <c r="C36" s="4"/>
      <c r="D36" s="4"/>
      <c r="E36" s="4"/>
    </row>
    <row r="37" customFormat="false" ht="15" hidden="false" customHeight="false" outlineLevel="0" collapsed="false">
      <c r="B37" s="10" t="s">
        <v>78</v>
      </c>
    </row>
    <row r="38" customFormat="false" ht="15" hidden="false" customHeight="true" outlineLevel="0" collapsed="false">
      <c r="B38" s="11" t="s">
        <v>79</v>
      </c>
      <c r="C38" s="11"/>
      <c r="D38" s="11"/>
      <c r="E38" s="11"/>
    </row>
    <row r="39" customFormat="false" ht="15" hidden="false" customHeight="true" outlineLevel="0" collapsed="false">
      <c r="B39" s="11" t="s">
        <v>80</v>
      </c>
      <c r="C39" s="11"/>
      <c r="D39" s="11"/>
      <c r="E39" s="11"/>
    </row>
    <row r="40" customFormat="false" ht="15" hidden="false" customHeight="true" outlineLevel="0" collapsed="false">
      <c r="B40" s="11" t="s">
        <v>81</v>
      </c>
      <c r="C40" s="11"/>
      <c r="D40" s="11"/>
      <c r="E40" s="11"/>
    </row>
    <row r="41" customFormat="false" ht="15" hidden="false" customHeight="true" outlineLevel="0" collapsed="false">
      <c r="B41" s="11" t="s">
        <v>82</v>
      </c>
      <c r="C41" s="11"/>
      <c r="D41" s="11"/>
      <c r="E41" s="11"/>
    </row>
    <row r="42" customFormat="false" ht="15" hidden="false" customHeight="true" outlineLevel="0" collapsed="false">
      <c r="B42" s="11" t="s">
        <v>83</v>
      </c>
      <c r="C42" s="11"/>
      <c r="D42" s="11"/>
      <c r="E42" s="11"/>
    </row>
    <row r="44" customFormat="false" ht="15" hidden="false" customHeight="false" outlineLevel="0" collapsed="false">
      <c r="B44" s="12" t="s">
        <v>84</v>
      </c>
    </row>
    <row r="45" customFormat="false" ht="15" hidden="false" customHeight="true" outlineLevel="0" collapsed="false">
      <c r="B45" s="11" t="s">
        <v>85</v>
      </c>
      <c r="C45" s="11"/>
      <c r="D45" s="11"/>
      <c r="E45" s="11"/>
    </row>
    <row r="46" customFormat="false" ht="15" hidden="false" customHeight="true" outlineLevel="0" collapsed="false">
      <c r="B46" s="11" t="s">
        <v>86</v>
      </c>
      <c r="C46" s="11"/>
      <c r="D46" s="11"/>
      <c r="E46" s="11"/>
    </row>
    <row r="47" customFormat="false" ht="15" hidden="false" customHeight="true" outlineLevel="0" collapsed="false">
      <c r="B47" s="11" t="s">
        <v>87</v>
      </c>
      <c r="C47" s="11"/>
      <c r="D47" s="11"/>
      <c r="E47" s="11"/>
    </row>
    <row r="48" customFormat="false" ht="15" hidden="false" customHeight="true" outlineLevel="0" collapsed="false">
      <c r="B48" s="11" t="s">
        <v>88</v>
      </c>
      <c r="C48" s="11"/>
      <c r="D48" s="11"/>
      <c r="E48" s="11"/>
    </row>
    <row r="49" customFormat="false" ht="15" hidden="false" customHeight="true" outlineLevel="0" collapsed="false">
      <c r="B49" s="11" t="s">
        <v>89</v>
      </c>
      <c r="C49" s="11"/>
      <c r="D49" s="11"/>
      <c r="E49" s="11"/>
    </row>
  </sheetData>
  <mergeCells count="10">
    <mergeCell ref="B38:E38"/>
    <mergeCell ref="B39:E39"/>
    <mergeCell ref="B40:E40"/>
    <mergeCell ref="B41:E41"/>
    <mergeCell ref="B42:E42"/>
    <mergeCell ref="B45:E45"/>
    <mergeCell ref="B46:E46"/>
    <mergeCell ref="B47:E47"/>
    <mergeCell ref="B48:E48"/>
    <mergeCell ref="B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1" min="3" style="0" width="14"/>
    <col collapsed="false" customWidth="true" hidden="false" outlineLevel="0" max="12" min="12" style="0" width="22"/>
  </cols>
  <sheetData>
    <row r="2" customFormat="false" ht="17.35" hidden="false" customHeight="false" outlineLevel="0" collapsed="false">
      <c r="B2" s="1" t="s">
        <v>90</v>
      </c>
    </row>
    <row r="3" customFormat="false" ht="15" hidden="false" customHeight="false" outlineLevel="0" collapsed="false">
      <c r="B3" s="2" t="s">
        <v>91</v>
      </c>
    </row>
    <row r="4" customFormat="false" ht="15" hidden="false" customHeight="false" outlineLevel="0" collapsed="false">
      <c r="B4" s="2" t="s">
        <v>92</v>
      </c>
    </row>
    <row r="6" customFormat="false" ht="15" hidden="false" customHeight="false" outlineLevel="0" collapsed="false">
      <c r="B6" s="9"/>
      <c r="C6" s="9"/>
      <c r="D6" s="9" t="s">
        <v>93</v>
      </c>
      <c r="E6" s="9" t="s">
        <v>94</v>
      </c>
      <c r="F6" s="9" t="s">
        <v>95</v>
      </c>
      <c r="G6" s="9" t="s">
        <v>96</v>
      </c>
      <c r="H6" s="9" t="s">
        <v>97</v>
      </c>
      <c r="I6" s="9" t="s">
        <v>98</v>
      </c>
      <c r="J6" s="9" t="s">
        <v>99</v>
      </c>
      <c r="K6" s="9" t="s">
        <v>100</v>
      </c>
      <c r="L6" s="9" t="s">
        <v>101</v>
      </c>
    </row>
    <row r="7" customFormat="false" ht="15" hidden="false" customHeight="false" outlineLevel="0" collapsed="false">
      <c r="B7" s="3" t="s">
        <v>102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B8" s="7" t="s">
        <v>103</v>
      </c>
      <c r="C8" s="13" t="n">
        <v>12842</v>
      </c>
      <c r="D8" s="13" t="n">
        <v>14182</v>
      </c>
      <c r="E8" s="13" t="n">
        <v>15860</v>
      </c>
      <c r="F8" s="13" t="n">
        <v>17651</v>
      </c>
      <c r="G8" s="14" t="n">
        <f aca="false">F8*(1+G9)</f>
        <v>19416.1</v>
      </c>
      <c r="H8" s="14" t="n">
        <f aca="false">G8*(1+H9)</f>
        <v>21260.6295</v>
      </c>
      <c r="I8" s="14" t="n">
        <f aca="false">H8*(1+I9)</f>
        <v>23174.086155</v>
      </c>
      <c r="J8" s="14" t="n">
        <f aca="false">I8*(1+J9)</f>
        <v>25143.883478175</v>
      </c>
      <c r="K8" s="14" t="n">
        <f aca="false">J8*(1+K9)</f>
        <v>27155.394156429</v>
      </c>
    </row>
    <row r="9" customFormat="false" ht="15" hidden="false" customHeight="false" outlineLevel="0" collapsed="false">
      <c r="B9" s="7" t="s">
        <v>104</v>
      </c>
      <c r="C9" s="15"/>
      <c r="D9" s="16" t="n">
        <f aca="false">(D8-C8)/C8</f>
        <v>0.104345117582931</v>
      </c>
      <c r="E9" s="16" t="n">
        <f aca="false">(E8-D8)/D8</f>
        <v>0.118318995910309</v>
      </c>
      <c r="F9" s="16" t="n">
        <f aca="false">(F8-E8)/E8</f>
        <v>0.112925598991173</v>
      </c>
      <c r="G9" s="17" t="n">
        <v>0.1</v>
      </c>
      <c r="H9" s="17" t="n">
        <v>0.095</v>
      </c>
      <c r="I9" s="17" t="n">
        <v>0.09</v>
      </c>
      <c r="J9" s="17" t="n">
        <v>0.085</v>
      </c>
      <c r="K9" s="17" t="n">
        <v>0.08</v>
      </c>
    </row>
    <row r="10" customFormat="false" ht="15" hidden="false" customHeight="false" outlineLevel="0" collapsed="false">
      <c r="B10" s="7" t="s">
        <v>105</v>
      </c>
      <c r="C10" s="13" t="n">
        <v>4422</v>
      </c>
      <c r="D10" s="13" t="n">
        <v>4893</v>
      </c>
      <c r="E10" s="13" t="n">
        <v>5374</v>
      </c>
      <c r="F10" s="13" t="n">
        <v>5870</v>
      </c>
      <c r="G10" s="14" t="n">
        <f aca="false">F10*(1+G11)</f>
        <v>6398.3</v>
      </c>
      <c r="H10" s="14" t="n">
        <f aca="false">G10*(1+H11)</f>
        <v>6942.1555</v>
      </c>
      <c r="I10" s="14" t="n">
        <f aca="false">H10*(1+I11)</f>
        <v>7497.52794</v>
      </c>
      <c r="J10" s="14" t="n">
        <f aca="false">I10*(1+J11)</f>
        <v>8059.8425355</v>
      </c>
      <c r="K10" s="14" t="n">
        <f aca="false">J10*(1+K11)</f>
        <v>8624.031512985</v>
      </c>
    </row>
    <row r="11" customFormat="false" ht="15" hidden="false" customHeight="false" outlineLevel="0" collapsed="false">
      <c r="B11" s="7" t="s">
        <v>106</v>
      </c>
      <c r="C11" s="18"/>
      <c r="D11" s="16" t="n">
        <f aca="false">(D10-C10)/C10</f>
        <v>0.10651289009498</v>
      </c>
      <c r="E11" s="16" t="n">
        <f aca="false">(E10-D10)/D10</f>
        <v>0.0983036991620683</v>
      </c>
      <c r="F11" s="16" t="n">
        <f aca="false">(F10-E10)/E10</f>
        <v>0.0922962411611463</v>
      </c>
      <c r="G11" s="17" t="n">
        <v>0.09</v>
      </c>
      <c r="H11" s="17" t="n">
        <v>0.085</v>
      </c>
      <c r="I11" s="17" t="n">
        <v>0.08</v>
      </c>
      <c r="J11" s="17" t="n">
        <v>0.075</v>
      </c>
      <c r="K11" s="17" t="n">
        <v>0.07</v>
      </c>
    </row>
    <row r="12" customFormat="false" ht="15" hidden="false" customHeight="false" outlineLevel="0" collapsed="false">
      <c r="B12" s="7" t="s">
        <v>73</v>
      </c>
      <c r="C12" s="13" t="n">
        <v>342</v>
      </c>
      <c r="D12" s="13" t="n">
        <v>334</v>
      </c>
      <c r="E12" s="13" t="n">
        <v>271</v>
      </c>
      <c r="F12" s="13" t="n">
        <v>248</v>
      </c>
      <c r="G12" s="14" t="n">
        <f aca="false">F12*0.92</f>
        <v>228.16</v>
      </c>
      <c r="H12" s="14" t="n">
        <f aca="false">G12*0.92</f>
        <v>209.9072</v>
      </c>
      <c r="I12" s="14" t="n">
        <f aca="false">H12*0.92</f>
        <v>193.114624</v>
      </c>
      <c r="J12" s="14" t="n">
        <f aca="false">I12*0.92</f>
        <v>177.66545408</v>
      </c>
      <c r="K12" s="14" t="n">
        <f aca="false">J12*0.92</f>
        <v>163.4522177536</v>
      </c>
      <c r="L12" s="2" t="s">
        <v>107</v>
      </c>
    </row>
    <row r="14" customFormat="false" ht="15" hidden="false" customHeight="false" outlineLevel="0" collapsed="false">
      <c r="B14" s="19" t="s">
        <v>36</v>
      </c>
      <c r="C14" s="20" t="n">
        <f aca="false">C8+C10+C12</f>
        <v>17606</v>
      </c>
      <c r="D14" s="20" t="n">
        <f aca="false">D8+D10+D12</f>
        <v>19409</v>
      </c>
      <c r="E14" s="20" t="n">
        <f aca="false">E8+E10+E12</f>
        <v>21505</v>
      </c>
      <c r="F14" s="20" t="n">
        <f aca="false">F8+F10+F12</f>
        <v>23769</v>
      </c>
      <c r="G14" s="20" t="n">
        <f aca="false">G8+G10+G12</f>
        <v>26042.56</v>
      </c>
      <c r="H14" s="20" t="n">
        <f aca="false">H8+H10+H12</f>
        <v>28412.6922</v>
      </c>
      <c r="I14" s="20" t="n">
        <f aca="false">I8+I10+I12</f>
        <v>30864.728719</v>
      </c>
      <c r="J14" s="20" t="n">
        <f aca="false">J8+J10+J12</f>
        <v>33381.391467755</v>
      </c>
      <c r="K14" s="20" t="n">
        <f aca="false">K8+K10+K12</f>
        <v>35942.8778871676</v>
      </c>
    </row>
    <row r="15" customFormat="false" ht="15" hidden="false" customHeight="false" outlineLevel="0" collapsed="false">
      <c r="B15" s="7" t="s">
        <v>108</v>
      </c>
      <c r="C15" s="18"/>
      <c r="D15" s="16" t="n">
        <f aca="false">(D14-C14)/C14</f>
        <v>0.102408269907986</v>
      </c>
      <c r="E15" s="16" t="n">
        <f aca="false">(E14-D14)/D14</f>
        <v>0.107991138131795</v>
      </c>
      <c r="F15" s="16" t="n">
        <f aca="false">(F14-E14)/E14</f>
        <v>0.105277842362241</v>
      </c>
      <c r="G15" s="16" t="n">
        <f aca="false">(G14-F14)/F14</f>
        <v>0.095652320249064</v>
      </c>
      <c r="H15" s="16" t="n">
        <f aca="false">(H14-G14)/G14</f>
        <v>0.0910099544745218</v>
      </c>
      <c r="I15" s="16" t="n">
        <f aca="false">(I14-H14)/H14</f>
        <v>0.0863007455168223</v>
      </c>
      <c r="J15" s="16" t="n">
        <f aca="false">(J14-I14)/I14</f>
        <v>0.0815384697421872</v>
      </c>
      <c r="K15" s="16" t="n">
        <f aca="false">(K14-J14)/J14</f>
        <v>0.076733961850778</v>
      </c>
    </row>
    <row r="17" customFormat="false" ht="15" hidden="false" customHeight="false" outlineLevel="0" collapsed="false">
      <c r="B17" s="3" t="s">
        <v>109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B18" s="7" t="s">
        <v>110</v>
      </c>
      <c r="C18" s="13" t="n">
        <v>13011</v>
      </c>
      <c r="D18" s="13" t="n">
        <v>14597</v>
      </c>
      <c r="E18" s="13" t="n">
        <v>16172</v>
      </c>
      <c r="F18" s="13" t="n">
        <v>19200</v>
      </c>
      <c r="G18" s="14" t="n">
        <f aca="false">F18*1.1</f>
        <v>21120</v>
      </c>
      <c r="H18" s="14" t="n">
        <f aca="false">G18*1.1</f>
        <v>23232</v>
      </c>
      <c r="I18" s="14" t="n">
        <f aca="false">H18*1.1</f>
        <v>25555.2</v>
      </c>
      <c r="J18" s="14" t="n">
        <f aca="false">I18*1.1</f>
        <v>28110.72</v>
      </c>
      <c r="K18" s="14" t="n">
        <f aca="false">J18*1.1</f>
        <v>30921.792</v>
      </c>
      <c r="L18" s="2" t="s">
        <v>111</v>
      </c>
    </row>
    <row r="19" customFormat="false" ht="15" hidden="false" customHeight="false" outlineLevel="0" collapsed="false">
      <c r="B19" s="8" t="s">
        <v>112</v>
      </c>
      <c r="C19" s="21"/>
      <c r="D19" s="21"/>
      <c r="E19" s="13" t="n">
        <v>22310</v>
      </c>
      <c r="F19" s="13" t="n">
        <v>25200</v>
      </c>
      <c r="G19" s="14" t="n">
        <f aca="false">F19*1.1</f>
        <v>27720</v>
      </c>
      <c r="H19" s="14" t="n">
        <f aca="false">G19*1.1</f>
        <v>30492</v>
      </c>
      <c r="I19" s="14" t="n">
        <f aca="false">H19*1.1</f>
        <v>33541.2</v>
      </c>
      <c r="J19" s="14" t="n">
        <f aca="false">I19*1.1</f>
        <v>36895.32</v>
      </c>
      <c r="K19" s="14" t="n">
        <f aca="false">J19*1.1</f>
        <v>40584.852</v>
      </c>
      <c r="L19" s="2" t="s">
        <v>113</v>
      </c>
    </row>
    <row r="20" customFormat="false" ht="15" hidden="false" customHeight="false" outlineLevel="0" collapsed="false">
      <c r="B20" s="7" t="s">
        <v>114</v>
      </c>
      <c r="C20" s="18"/>
      <c r="D20" s="18"/>
      <c r="E20" s="18"/>
      <c r="F20" s="18"/>
      <c r="G20" s="16" t="n">
        <f aca="false">(G19-F19)/F19</f>
        <v>0.1</v>
      </c>
      <c r="H20" s="16" t="n">
        <f aca="false">(H19-G19)/G19</f>
        <v>0.1</v>
      </c>
      <c r="I20" s="16" t="n">
        <f aca="false">(I19-H19)/H19</f>
        <v>0.1</v>
      </c>
      <c r="J20" s="16" t="n">
        <f aca="false">(J19-I19)/I19</f>
        <v>0.1</v>
      </c>
      <c r="K20" s="16" t="n">
        <f aca="false">(K19-J19)/J19</f>
        <v>0.1</v>
      </c>
    </row>
    <row r="22" customFormat="false" ht="15" hidden="false" customHeight="false" outlineLevel="0" collapsed="false">
      <c r="B22" s="3" t="s">
        <v>115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B23" s="7" t="s">
        <v>116</v>
      </c>
      <c r="C23" s="17" t="n">
        <v>0.877</v>
      </c>
      <c r="D23" s="17" t="n">
        <v>0.8787</v>
      </c>
      <c r="E23" s="17" t="n">
        <v>0.8903</v>
      </c>
      <c r="F23" s="17" t="n">
        <v>0.8927</v>
      </c>
      <c r="G23" s="17" t="n">
        <v>0.89</v>
      </c>
      <c r="H23" s="17" t="n">
        <v>0.89</v>
      </c>
      <c r="I23" s="17" t="n">
        <v>0.892</v>
      </c>
      <c r="J23" s="17" t="n">
        <v>0.893</v>
      </c>
      <c r="K23" s="17" t="n">
        <v>0.894</v>
      </c>
    </row>
    <row r="24" customFormat="false" ht="15" hidden="false" customHeight="false" outlineLevel="0" collapsed="false">
      <c r="B24" s="8" t="s">
        <v>117</v>
      </c>
      <c r="C24" s="14" t="n">
        <f aca="false">C14*C23</f>
        <v>15440.462</v>
      </c>
      <c r="D24" s="14" t="n">
        <f aca="false">D14*D23</f>
        <v>17054.6883</v>
      </c>
      <c r="E24" s="14" t="n">
        <f aca="false">E14*E23</f>
        <v>19145.9015</v>
      </c>
      <c r="F24" s="14" t="n">
        <f aca="false">F14*F23</f>
        <v>21218.5863</v>
      </c>
      <c r="G24" s="14" t="n">
        <f aca="false">G14*G23</f>
        <v>23177.8784</v>
      </c>
      <c r="H24" s="14" t="n">
        <f aca="false">H14*H23</f>
        <v>25287.296058</v>
      </c>
      <c r="I24" s="14" t="n">
        <f aca="false">I14*I23</f>
        <v>27531.338017348</v>
      </c>
      <c r="J24" s="14" t="n">
        <f aca="false">J14*J23</f>
        <v>29809.5825807052</v>
      </c>
      <c r="K24" s="14" t="n">
        <f aca="false">K14*K23</f>
        <v>32132.9328311278</v>
      </c>
    </row>
    <row r="25" customFormat="false" ht="15" hidden="false" customHeight="false" outlineLevel="0" collapsed="false">
      <c r="B25" s="7" t="s">
        <v>118</v>
      </c>
      <c r="C25" s="17" t="n">
        <v>0.3514</v>
      </c>
      <c r="D25" s="17" t="n">
        <v>0.3485</v>
      </c>
      <c r="E25" s="17" t="n">
        <v>0.3355</v>
      </c>
      <c r="F25" s="17" t="n">
        <v>0.327</v>
      </c>
      <c r="G25" s="17" t="n">
        <v>0.32</v>
      </c>
      <c r="H25" s="17" t="n">
        <v>0.315</v>
      </c>
      <c r="I25" s="17" t="n">
        <v>0.31</v>
      </c>
      <c r="J25" s="17" t="n">
        <v>0.305</v>
      </c>
      <c r="K25" s="17" t="n">
        <v>0.3</v>
      </c>
    </row>
    <row r="26" customFormat="false" ht="15" hidden="false" customHeight="false" outlineLevel="0" collapsed="false">
      <c r="B26" s="7" t="s">
        <v>119</v>
      </c>
      <c r="C26" s="14" t="n">
        <f aca="false">C14*C25</f>
        <v>6186.7484</v>
      </c>
      <c r="D26" s="14" t="n">
        <f aca="false">D14*D25</f>
        <v>6764.0365</v>
      </c>
      <c r="E26" s="14" t="n">
        <f aca="false">E14*E25</f>
        <v>7214.9275</v>
      </c>
      <c r="F26" s="14" t="n">
        <f aca="false">F14*F25</f>
        <v>7772.463</v>
      </c>
      <c r="G26" s="14" t="n">
        <f aca="false">G14*G25</f>
        <v>8333.6192</v>
      </c>
      <c r="H26" s="14" t="n">
        <f aca="false">H14*H25</f>
        <v>8949.998043</v>
      </c>
      <c r="I26" s="14" t="n">
        <f aca="false">I14*I25</f>
        <v>9568.06590289</v>
      </c>
      <c r="J26" s="14" t="n">
        <f aca="false">J14*J25</f>
        <v>10181.3243976653</v>
      </c>
      <c r="K26" s="14" t="n">
        <f aca="false">K14*K25</f>
        <v>10782.8633661503</v>
      </c>
    </row>
    <row r="27" customFormat="false" ht="15" hidden="false" customHeight="false" outlineLevel="0" collapsed="false">
      <c r="B27" s="7" t="s">
        <v>120</v>
      </c>
      <c r="C27" s="17" t="n">
        <v>0.1697</v>
      </c>
      <c r="D27" s="17" t="n">
        <v>0.1789</v>
      </c>
      <c r="E27" s="17" t="n">
        <v>0.1834</v>
      </c>
      <c r="F27" s="17" t="n">
        <v>0.178</v>
      </c>
      <c r="G27" s="17" t="n">
        <v>0.178</v>
      </c>
      <c r="H27" s="17" t="n">
        <v>0.176</v>
      </c>
      <c r="I27" s="17" t="n">
        <v>0.174</v>
      </c>
      <c r="J27" s="17" t="n">
        <v>0.172</v>
      </c>
      <c r="K27" s="17" t="n">
        <v>0.17</v>
      </c>
    </row>
    <row r="28" customFormat="false" ht="15" hidden="false" customHeight="false" outlineLevel="0" collapsed="false">
      <c r="B28" s="7" t="s">
        <v>121</v>
      </c>
      <c r="C28" s="14" t="n">
        <f aca="false">C14*C27</f>
        <v>2987.7382</v>
      </c>
      <c r="D28" s="14" t="n">
        <f aca="false">D14*D27</f>
        <v>3472.2701</v>
      </c>
      <c r="E28" s="14" t="n">
        <f aca="false">E14*E27</f>
        <v>3944.017</v>
      </c>
      <c r="F28" s="14" t="n">
        <f aca="false">F14*F27</f>
        <v>4230.882</v>
      </c>
      <c r="G28" s="14" t="n">
        <f aca="false">G14*G27</f>
        <v>4635.57568</v>
      </c>
      <c r="H28" s="14" t="n">
        <f aca="false">H14*H27</f>
        <v>5000.6338272</v>
      </c>
      <c r="I28" s="14" t="n">
        <f aca="false">I14*I27</f>
        <v>5370.462797106</v>
      </c>
      <c r="J28" s="14" t="n">
        <f aca="false">J14*J27</f>
        <v>5741.59933245386</v>
      </c>
      <c r="K28" s="14" t="n">
        <f aca="false">K14*K27</f>
        <v>6110.28924081849</v>
      </c>
    </row>
    <row r="29" customFormat="false" ht="15" hidden="false" customHeight="false" outlineLevel="0" collapsed="false">
      <c r="B29" s="7" t="s">
        <v>122</v>
      </c>
      <c r="C29" s="13" t="n">
        <v>618</v>
      </c>
      <c r="D29" s="13" t="n">
        <v>618</v>
      </c>
      <c r="E29" s="13" t="n">
        <v>585</v>
      </c>
      <c r="F29" s="13" t="n">
        <v>580</v>
      </c>
      <c r="G29" s="14" t="n">
        <f aca="false">F29*1.02</f>
        <v>591.6</v>
      </c>
      <c r="H29" s="14" t="n">
        <f aca="false">G29*1.02</f>
        <v>603.432</v>
      </c>
      <c r="I29" s="14" t="n">
        <f aca="false">H29*1.02</f>
        <v>615.50064</v>
      </c>
      <c r="J29" s="14" t="n">
        <f aca="false">I29*1.02</f>
        <v>627.8106528</v>
      </c>
      <c r="K29" s="14" t="n">
        <f aca="false">J29*1.02</f>
        <v>640.366865856</v>
      </c>
    </row>
    <row r="31" customFormat="false" ht="15" hidden="false" customHeight="false" outlineLevel="0" collapsed="false">
      <c r="B31" s="19" t="s">
        <v>123</v>
      </c>
      <c r="C31" s="20" t="n">
        <f aca="false">C24-C26-C28-C29</f>
        <v>5647.9754</v>
      </c>
      <c r="D31" s="20" t="n">
        <f aca="false">D24-D26-D28-D29</f>
        <v>6200.3817</v>
      </c>
      <c r="E31" s="20" t="n">
        <f aca="false">E24-E26-E28-E29</f>
        <v>7401.957</v>
      </c>
      <c r="F31" s="20" t="n">
        <f aca="false">F24-F26-F28-F29</f>
        <v>8635.2413</v>
      </c>
      <c r="G31" s="20" t="n">
        <f aca="false">G24-G26-G28-G29</f>
        <v>9617.08352</v>
      </c>
      <c r="H31" s="20" t="n">
        <f aca="false">H24-H26-H28-H29</f>
        <v>10733.2321878</v>
      </c>
      <c r="I31" s="20" t="n">
        <f aca="false">I24-I26-I28-I29</f>
        <v>11977.308677352</v>
      </c>
      <c r="J31" s="20" t="n">
        <f aca="false">J24-J26-J28-J29</f>
        <v>13258.8481977861</v>
      </c>
      <c r="K31" s="20" t="n">
        <f aca="false">K24-K26-K28-K29</f>
        <v>14599.4133583031</v>
      </c>
    </row>
    <row r="32" customFormat="false" ht="15" hidden="false" customHeight="false" outlineLevel="0" collapsed="false">
      <c r="B32" s="7" t="s">
        <v>124</v>
      </c>
      <c r="C32" s="16" t="n">
        <f aca="false">C31/C14</f>
        <v>0.320798330114734</v>
      </c>
      <c r="D32" s="16" t="n">
        <f aca="false">D31/D14</f>
        <v>0.319459101447782</v>
      </c>
      <c r="E32" s="16" t="n">
        <f aca="false">E31/E14</f>
        <v>0.344197023947919</v>
      </c>
      <c r="F32" s="16" t="n">
        <f aca="false">F31/F14</f>
        <v>0.363298468593546</v>
      </c>
      <c r="G32" s="16" t="n">
        <f aca="false">G31/G14</f>
        <v>0.36928333927233</v>
      </c>
      <c r="H32" s="16" t="n">
        <f aca="false">H31/H14</f>
        <v>0.377761885858884</v>
      </c>
      <c r="I32" s="16" t="n">
        <f aca="false">I31/I14</f>
        <v>0.388058122473596</v>
      </c>
      <c r="J32" s="16" t="n">
        <f aca="false">J31/J14</f>
        <v>0.397192795590728</v>
      </c>
      <c r="K32" s="16" t="n">
        <f aca="false">K31/K14</f>
        <v>0.406183762027452</v>
      </c>
    </row>
    <row r="33" customFormat="false" ht="15" hidden="false" customHeight="false" outlineLevel="0" collapsed="false">
      <c r="B33" s="8" t="s">
        <v>125</v>
      </c>
      <c r="C33" s="14" t="n">
        <f aca="false">C31+C29</f>
        <v>6265.9754</v>
      </c>
      <c r="D33" s="14" t="n">
        <f aca="false">D31+D29</f>
        <v>6818.3817</v>
      </c>
      <c r="E33" s="14" t="n">
        <f aca="false">E31+E29</f>
        <v>7986.957</v>
      </c>
      <c r="F33" s="14" t="n">
        <f aca="false">F31+F29</f>
        <v>9215.2413</v>
      </c>
      <c r="G33" s="14" t="n">
        <f aca="false">G31+G29</f>
        <v>10208.68352</v>
      </c>
      <c r="H33" s="14" t="n">
        <f aca="false">H31+H29</f>
        <v>11336.6641878</v>
      </c>
      <c r="I33" s="14" t="n">
        <f aca="false">I31+I29</f>
        <v>12592.809317352</v>
      </c>
      <c r="J33" s="14" t="n">
        <f aca="false">J31+J29</f>
        <v>13886.6588505861</v>
      </c>
      <c r="K33" s="14" t="n">
        <f aca="false">K31+K29</f>
        <v>15239.7802241591</v>
      </c>
    </row>
    <row r="34" customFormat="false" ht="15" hidden="false" customHeight="false" outlineLevel="0" collapsed="false">
      <c r="B34" s="7" t="s">
        <v>126</v>
      </c>
      <c r="C34" s="16" t="n">
        <f aca="false">C33/C14</f>
        <v>0.3559</v>
      </c>
      <c r="D34" s="16" t="n">
        <f aca="false">D33/D14</f>
        <v>0.3513</v>
      </c>
      <c r="E34" s="16" t="n">
        <f aca="false">E33/E14</f>
        <v>0.3714</v>
      </c>
      <c r="F34" s="16" t="n">
        <f aca="false">F33/F14</f>
        <v>0.3877</v>
      </c>
      <c r="G34" s="16" t="n">
        <f aca="false">G33/G14</f>
        <v>0.392</v>
      </c>
      <c r="H34" s="16" t="n">
        <f aca="false">H33/H14</f>
        <v>0.399</v>
      </c>
      <c r="I34" s="16" t="n">
        <f aca="false">I33/I14</f>
        <v>0.408</v>
      </c>
      <c r="J34" s="16" t="n">
        <f aca="false">J33/J14</f>
        <v>0.416</v>
      </c>
      <c r="K34" s="16" t="n">
        <f aca="false">K33/K14</f>
        <v>0.424</v>
      </c>
    </row>
    <row r="36" customFormat="false" ht="15" hidden="false" customHeight="false" outlineLevel="0" collapsed="false">
      <c r="B36" s="3" t="s">
        <v>127</v>
      </c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B37" s="7" t="s">
        <v>128</v>
      </c>
      <c r="C37" s="17" t="n">
        <v>0.2084</v>
      </c>
      <c r="D37" s="17" t="n">
        <v>0.2016</v>
      </c>
      <c r="E37" s="17" t="n">
        <v>0.1978</v>
      </c>
      <c r="F37" s="17" t="n">
        <v>0.1837</v>
      </c>
      <c r="G37" s="17" t="n">
        <v>0.185</v>
      </c>
      <c r="H37" s="17" t="n">
        <v>0.185</v>
      </c>
      <c r="I37" s="17" t="n">
        <v>0.185</v>
      </c>
      <c r="J37" s="17" t="n">
        <v>0.185</v>
      </c>
      <c r="K37" s="17" t="n">
        <v>0.185</v>
      </c>
    </row>
    <row r="38" customFormat="false" ht="15" hidden="false" customHeight="false" outlineLevel="0" collapsed="false">
      <c r="B38" s="8" t="s">
        <v>129</v>
      </c>
      <c r="C38" s="14" t="n">
        <f aca="false">C31*(1-C37)</f>
        <v>4470.93732664</v>
      </c>
      <c r="D38" s="14" t="n">
        <f aca="false">D31*(1-D37)</f>
        <v>4950.38474928</v>
      </c>
      <c r="E38" s="14" t="n">
        <f aca="false">E31*(1-E37)</f>
        <v>5937.8499054</v>
      </c>
      <c r="F38" s="14" t="n">
        <f aca="false">F31*(1-F37)</f>
        <v>7048.94747319</v>
      </c>
      <c r="G38" s="14" t="n">
        <f aca="false">G31*(1-G37)</f>
        <v>7837.9230688</v>
      </c>
      <c r="H38" s="14" t="n">
        <f aca="false">H31*(1-H37)</f>
        <v>8747.584233057</v>
      </c>
      <c r="I38" s="14" t="n">
        <f aca="false">I31*(1-I37)</f>
        <v>9761.50657204188</v>
      </c>
      <c r="J38" s="14" t="n">
        <f aca="false">J31*(1-J37)</f>
        <v>10805.9612811957</v>
      </c>
      <c r="K38" s="14" t="n">
        <f aca="false">K31*(1-K37)</f>
        <v>11898.521887017</v>
      </c>
    </row>
    <row r="39" customFormat="false" ht="15" hidden="false" customHeight="false" outlineLevel="0" collapsed="false">
      <c r="B39" s="7" t="s">
        <v>130</v>
      </c>
      <c r="C39" s="13" t="n">
        <v>471</v>
      </c>
      <c r="D39" s="22" t="n">
        <v>459</v>
      </c>
      <c r="E39" s="22" t="n">
        <v>450</v>
      </c>
      <c r="F39" s="22" t="n">
        <v>434</v>
      </c>
      <c r="G39" s="22" t="n">
        <v>411</v>
      </c>
      <c r="H39" s="22" t="n">
        <v>398</v>
      </c>
      <c r="I39" s="22" t="n">
        <v>386</v>
      </c>
      <c r="J39" s="22" t="n">
        <v>375</v>
      </c>
      <c r="K39" s="22" t="n">
        <v>365</v>
      </c>
      <c r="L39" s="2" t="s">
        <v>131</v>
      </c>
    </row>
    <row r="40" customFormat="false" ht="15" hidden="false" customHeight="false" outlineLevel="0" collapsed="false">
      <c r="B40" s="19" t="s">
        <v>132</v>
      </c>
      <c r="C40" s="23" t="n">
        <f aca="false">C38/C39</f>
        <v>9.49243593766454</v>
      </c>
      <c r="D40" s="23" t="n">
        <f aca="false">D38/D39</f>
        <v>10.7851519592157</v>
      </c>
      <c r="E40" s="23" t="n">
        <f aca="false">E38/E39</f>
        <v>13.195222012</v>
      </c>
      <c r="F40" s="23" t="n">
        <f aca="false">F38/F39</f>
        <v>16.2418144543548</v>
      </c>
      <c r="G40" s="23" t="n">
        <f aca="false">G38/G39</f>
        <v>19.0703724301703</v>
      </c>
      <c r="H40" s="23" t="n">
        <f aca="false">H38/H39</f>
        <v>21.9788548569271</v>
      </c>
      <c r="I40" s="23" t="n">
        <f aca="false">I38/I39</f>
        <v>25.2888771296422</v>
      </c>
      <c r="J40" s="23" t="n">
        <f aca="false">J38/J39</f>
        <v>28.8158967498551</v>
      </c>
      <c r="K40" s="23" t="n">
        <f aca="false">K38/K39</f>
        <v>32.5986901014164</v>
      </c>
    </row>
    <row r="42" customFormat="false" ht="15" hidden="false" customHeight="false" outlineLevel="0" collapsed="false">
      <c r="B42" s="3" t="s">
        <v>133</v>
      </c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B43" s="7" t="s">
        <v>123</v>
      </c>
      <c r="C43" s="14" t="n">
        <f aca="false">C31</f>
        <v>5647.9754</v>
      </c>
      <c r="D43" s="14" t="n">
        <f aca="false">D31</f>
        <v>6200.3817</v>
      </c>
      <c r="E43" s="14" t="n">
        <f aca="false">E31</f>
        <v>7401.957</v>
      </c>
      <c r="F43" s="14" t="n">
        <f aca="false">F31</f>
        <v>8635.2413</v>
      </c>
      <c r="G43" s="14" t="n">
        <f aca="false">G31</f>
        <v>9617.08352</v>
      </c>
      <c r="H43" s="14" t="n">
        <f aca="false">H31</f>
        <v>10733.2321878</v>
      </c>
      <c r="I43" s="14" t="n">
        <f aca="false">I31</f>
        <v>11977.308677352</v>
      </c>
      <c r="J43" s="14" t="n">
        <f aca="false">J31</f>
        <v>13258.8481977861</v>
      </c>
      <c r="K43" s="14" t="n">
        <f aca="false">K31</f>
        <v>14599.4133583031</v>
      </c>
    </row>
    <row r="44" customFormat="false" ht="15" hidden="false" customHeight="false" outlineLevel="0" collapsed="false">
      <c r="B44" s="7" t="s">
        <v>134</v>
      </c>
      <c r="C44" s="14" t="n">
        <f aca="false">C43*C37</f>
        <v>1177.03807336</v>
      </c>
      <c r="D44" s="14" t="n">
        <f aca="false">D43*D37</f>
        <v>1249.99695072</v>
      </c>
      <c r="E44" s="14" t="n">
        <f aca="false">E43*E37</f>
        <v>1464.1070946</v>
      </c>
      <c r="F44" s="14" t="n">
        <f aca="false">F43*F37</f>
        <v>1586.29382681</v>
      </c>
      <c r="G44" s="14" t="n">
        <f aca="false">G43*G37</f>
        <v>1779.1604512</v>
      </c>
      <c r="H44" s="14" t="n">
        <f aca="false">H43*H37</f>
        <v>1985.647954743</v>
      </c>
      <c r="I44" s="14" t="n">
        <f aca="false">I43*I37</f>
        <v>2215.80210531012</v>
      </c>
      <c r="J44" s="14" t="n">
        <f aca="false">J43*J37</f>
        <v>2452.88691659043</v>
      </c>
      <c r="K44" s="14" t="n">
        <f aca="false">K43*K37</f>
        <v>2700.89147128607</v>
      </c>
    </row>
    <row r="45" customFormat="false" ht="15" hidden="false" customHeight="false" outlineLevel="0" collapsed="false">
      <c r="B45" s="8" t="s">
        <v>135</v>
      </c>
      <c r="C45" s="14" t="n">
        <f aca="false">C43-C44</f>
        <v>4470.93732664</v>
      </c>
      <c r="D45" s="14" t="n">
        <f aca="false">D43-D44</f>
        <v>4950.38474928</v>
      </c>
      <c r="E45" s="14" t="n">
        <f aca="false">E43-E44</f>
        <v>5937.8499054</v>
      </c>
      <c r="F45" s="14" t="n">
        <f aca="false">F43-F44</f>
        <v>7048.94747319</v>
      </c>
      <c r="G45" s="14" t="n">
        <f aca="false">G43-G44</f>
        <v>7837.9230688</v>
      </c>
      <c r="H45" s="14" t="n">
        <f aca="false">H43-H44</f>
        <v>8747.584233057</v>
      </c>
      <c r="I45" s="14" t="n">
        <f aca="false">I43-I44</f>
        <v>9761.50657204189</v>
      </c>
      <c r="J45" s="14" t="n">
        <f aca="false">J43-J44</f>
        <v>10805.9612811957</v>
      </c>
      <c r="K45" s="14" t="n">
        <f aca="false">K43-K44</f>
        <v>11898.521887017</v>
      </c>
    </row>
    <row r="46" customFormat="false" ht="15" hidden="false" customHeight="false" outlineLevel="0" collapsed="false">
      <c r="B46" s="7" t="s">
        <v>136</v>
      </c>
      <c r="C46" s="14" t="n">
        <f aca="false">C29</f>
        <v>618</v>
      </c>
      <c r="D46" s="14" t="n">
        <f aca="false">D29</f>
        <v>618</v>
      </c>
      <c r="E46" s="14" t="n">
        <f aca="false">E29</f>
        <v>585</v>
      </c>
      <c r="F46" s="14" t="n">
        <f aca="false">F29</f>
        <v>580</v>
      </c>
      <c r="G46" s="14" t="n">
        <f aca="false">G29</f>
        <v>591.6</v>
      </c>
      <c r="H46" s="14" t="n">
        <f aca="false">H29</f>
        <v>603.432</v>
      </c>
      <c r="I46" s="14" t="n">
        <f aca="false">I29</f>
        <v>615.50064</v>
      </c>
      <c r="J46" s="14" t="n">
        <f aca="false">J29</f>
        <v>627.8106528</v>
      </c>
      <c r="K46" s="14" t="n">
        <f aca="false">K29</f>
        <v>640.366865856</v>
      </c>
    </row>
    <row r="47" customFormat="false" ht="15" hidden="false" customHeight="false" outlineLevel="0" collapsed="false">
      <c r="B47" s="7" t="s">
        <v>137</v>
      </c>
      <c r="C47" s="17" t="n">
        <v>0.008</v>
      </c>
      <c r="D47" s="17" t="n">
        <v>0.0075</v>
      </c>
      <c r="E47" s="17" t="n">
        <v>0.008</v>
      </c>
      <c r="F47" s="17" t="n">
        <v>0.0075</v>
      </c>
      <c r="G47" s="17" t="n">
        <v>0.008</v>
      </c>
      <c r="H47" s="17" t="n">
        <v>0.008</v>
      </c>
      <c r="I47" s="17" t="n">
        <v>0.008</v>
      </c>
      <c r="J47" s="17" t="n">
        <v>0.008</v>
      </c>
      <c r="K47" s="17" t="n">
        <v>0.008</v>
      </c>
    </row>
    <row r="48" customFormat="false" ht="15" hidden="false" customHeight="false" outlineLevel="0" collapsed="false">
      <c r="B48" s="7" t="s">
        <v>138</v>
      </c>
      <c r="C48" s="14" t="n">
        <f aca="false">C14*C47</f>
        <v>140.848</v>
      </c>
      <c r="D48" s="14" t="n">
        <f aca="false">D14*D47</f>
        <v>145.5675</v>
      </c>
      <c r="E48" s="14" t="n">
        <f aca="false">E14*E47</f>
        <v>172.04</v>
      </c>
      <c r="F48" s="14" t="n">
        <f aca="false">F14*F47</f>
        <v>178.2675</v>
      </c>
      <c r="G48" s="14" t="n">
        <f aca="false">G14*G47</f>
        <v>208.34048</v>
      </c>
      <c r="H48" s="14" t="n">
        <f aca="false">H14*H47</f>
        <v>227.3015376</v>
      </c>
      <c r="I48" s="14" t="n">
        <f aca="false">I14*I47</f>
        <v>246.917829752</v>
      </c>
      <c r="J48" s="14" t="n">
        <f aca="false">J14*J47</f>
        <v>267.05113174204</v>
      </c>
      <c r="K48" s="14" t="n">
        <f aca="false">K14*K47</f>
        <v>287.543023097341</v>
      </c>
    </row>
    <row r="49" customFormat="false" ht="15" hidden="false" customHeight="false" outlineLevel="0" collapsed="false">
      <c r="B49" s="7" t="s">
        <v>139</v>
      </c>
      <c r="C49" s="17" t="n">
        <v>0.02</v>
      </c>
      <c r="D49" s="17" t="n">
        <v>0.02</v>
      </c>
      <c r="E49" s="17" t="n">
        <v>0.02</v>
      </c>
      <c r="F49" s="17" t="n">
        <v>0.02</v>
      </c>
      <c r="G49" s="17" t="n">
        <v>0.02</v>
      </c>
      <c r="H49" s="17" t="n">
        <v>0.02</v>
      </c>
      <c r="I49" s="17" t="n">
        <v>0.02</v>
      </c>
      <c r="J49" s="17" t="n">
        <v>0.02</v>
      </c>
      <c r="K49" s="17" t="n">
        <v>0.02</v>
      </c>
    </row>
    <row r="50" customFormat="false" ht="15" hidden="false" customHeight="false" outlineLevel="0" collapsed="false">
      <c r="B50" s="7" t="s">
        <v>140</v>
      </c>
      <c r="C50" s="13" t="n">
        <v>0</v>
      </c>
      <c r="D50" s="14" t="n">
        <f aca="false">(D14-C14)*D49</f>
        <v>36.06</v>
      </c>
      <c r="E50" s="14" t="n">
        <f aca="false">(E14-D14)*E49</f>
        <v>41.92</v>
      </c>
      <c r="F50" s="14" t="n">
        <f aca="false">(F14-E14)*F49</f>
        <v>45.28</v>
      </c>
      <c r="G50" s="14" t="n">
        <f aca="false">(G14-F14)*G49</f>
        <v>45.4712</v>
      </c>
      <c r="H50" s="14" t="n">
        <f aca="false">(H14-G14)*H49</f>
        <v>47.4026440000001</v>
      </c>
      <c r="I50" s="14" t="n">
        <f aca="false">(I14-H14)*I49</f>
        <v>49.04073038</v>
      </c>
      <c r="J50" s="14" t="n">
        <f aca="false">(J14-I14)*J49</f>
        <v>50.3332549751</v>
      </c>
      <c r="K50" s="14" t="n">
        <f aca="false">(K14-J14)*K49</f>
        <v>51.229728388252</v>
      </c>
    </row>
    <row r="52" customFormat="false" ht="15" hidden="false" customHeight="false" outlineLevel="0" collapsed="false">
      <c r="B52" s="24" t="s">
        <v>133</v>
      </c>
      <c r="C52" s="25" t="n">
        <f aca="false">C45+C46-C48-C50</f>
        <v>4948.08932664</v>
      </c>
      <c r="D52" s="25" t="n">
        <f aca="false">D45+D46-D48-D50</f>
        <v>5386.75724928</v>
      </c>
      <c r="E52" s="25" t="n">
        <f aca="false">E45+E46-E48-E50</f>
        <v>6308.8899054</v>
      </c>
      <c r="F52" s="25" t="n">
        <f aca="false">F45+F46-F48-F50</f>
        <v>7405.39997319</v>
      </c>
      <c r="G52" s="25" t="n">
        <f aca="false">G45+G46-G48-G50</f>
        <v>8175.7113888</v>
      </c>
      <c r="H52" s="25" t="n">
        <f aca="false">H45+H46-H48-H50</f>
        <v>9076.312051457</v>
      </c>
      <c r="I52" s="25" t="n">
        <f aca="false">I45+I46-I48-I50</f>
        <v>10081.0486519099</v>
      </c>
      <c r="J52" s="25" t="n">
        <f aca="false">J45+J46-J48-J50</f>
        <v>11116.3875472785</v>
      </c>
      <c r="K52" s="25" t="n">
        <f aca="false">K45+K46-K48-K50</f>
        <v>12200.1160013874</v>
      </c>
    </row>
    <row r="53" customFormat="false" ht="15" hidden="false" customHeight="false" outlineLevel="0" collapsed="false">
      <c r="B53" s="7" t="s">
        <v>141</v>
      </c>
      <c r="C53" s="16" t="n">
        <f aca="false">C52/C14</f>
        <v>0.28104562800409</v>
      </c>
      <c r="D53" s="16" t="n">
        <f aca="false">D52/D14</f>
        <v>0.277539144174352</v>
      </c>
      <c r="E53" s="16" t="n">
        <f aca="false">E52/E14</f>
        <v>0.293368514550105</v>
      </c>
      <c r="F53" s="16" t="n">
        <f aca="false">F52/F14</f>
        <v>0.311557069005427</v>
      </c>
      <c r="G53" s="16" t="n">
        <f aca="false">G52/G14</f>
        <v>0.313936548050576</v>
      </c>
      <c r="H53" s="16" t="n">
        <f aca="false">H52/H14</f>
        <v>0.319445689537896</v>
      </c>
      <c r="I53" s="16" t="n">
        <f aca="false">I52/I14</f>
        <v>0.326620355023697</v>
      </c>
      <c r="J53" s="16" t="n">
        <f aca="false">J52/J14</f>
        <v>0.333011509062361</v>
      </c>
      <c r="K53" s="16" t="n">
        <f aca="false">K52/K14</f>
        <v>0.339430694439276</v>
      </c>
    </row>
    <row r="54" customFormat="false" ht="15" hidden="false" customHeight="false" outlineLevel="0" collapsed="false">
      <c r="B54" s="7" t="s">
        <v>142</v>
      </c>
      <c r="C54" s="18"/>
      <c r="D54" s="16" t="n">
        <f aca="false">(D52-C52)/C52</f>
        <v>0.0886540023192913</v>
      </c>
      <c r="E54" s="16" t="n">
        <f aca="false">(E52-D52)/D52</f>
        <v>0.17118511442914</v>
      </c>
      <c r="F54" s="16" t="n">
        <f aca="false">(F52-E52)/E52</f>
        <v>0.173803963015976</v>
      </c>
      <c r="G54" s="16" t="n">
        <f aca="false">(G52-F52)/F52</f>
        <v>0.104020230966427</v>
      </c>
      <c r="H54" s="16" t="n">
        <f aca="false">(H52-G52)/G52</f>
        <v>0.110155632926419</v>
      </c>
      <c r="I54" s="16" t="n">
        <f aca="false">(I52-H52)/H52</f>
        <v>0.110698772227823</v>
      </c>
      <c r="J54" s="16" t="n">
        <f aca="false">(J52-I52)/I52</f>
        <v>0.102701507662348</v>
      </c>
      <c r="K54" s="16" t="n">
        <f aca="false">(K52-J52)/J52</f>
        <v>0.0974892652401454</v>
      </c>
    </row>
    <row r="56" customFormat="false" ht="15" hidden="false" customHeight="false" outlineLevel="0" collapsed="false">
      <c r="B56" s="3" t="s">
        <v>143</v>
      </c>
      <c r="C56" s="4"/>
      <c r="D56" s="4"/>
      <c r="E56" s="4"/>
      <c r="F56" s="4"/>
    </row>
    <row r="57" customFormat="false" ht="15" hidden="false" customHeight="false" outlineLevel="0" collapsed="false">
      <c r="B57" s="7" t="s">
        <v>144</v>
      </c>
      <c r="C57" s="26" t="n">
        <v>0.043</v>
      </c>
      <c r="D57" s="2" t="s">
        <v>145</v>
      </c>
    </row>
    <row r="58" customFormat="false" ht="15" hidden="false" customHeight="false" outlineLevel="0" collapsed="false">
      <c r="B58" s="7" t="s">
        <v>146</v>
      </c>
      <c r="C58" s="26" t="n">
        <v>0.055</v>
      </c>
      <c r="D58" s="2" t="s">
        <v>147</v>
      </c>
    </row>
    <row r="59" customFormat="false" ht="15" hidden="false" customHeight="false" outlineLevel="0" collapsed="false">
      <c r="B59" s="7" t="s">
        <v>148</v>
      </c>
      <c r="C59" s="27" t="n">
        <v>1.15</v>
      </c>
      <c r="D59" s="2" t="s">
        <v>149</v>
      </c>
    </row>
    <row r="60" customFormat="false" ht="15" hidden="false" customHeight="false" outlineLevel="0" collapsed="false">
      <c r="B60" s="7" t="s">
        <v>150</v>
      </c>
      <c r="C60" s="16" t="n">
        <f aca="false">C57+C59*C58</f>
        <v>0.10625</v>
      </c>
    </row>
    <row r="61" customFormat="false" ht="15" hidden="false" customHeight="false" outlineLevel="0" collapsed="false">
      <c r="B61" s="7" t="s">
        <v>151</v>
      </c>
      <c r="C61" s="17" t="n">
        <v>0.0405</v>
      </c>
      <c r="D61" s="2" t="s">
        <v>152</v>
      </c>
    </row>
    <row r="62" customFormat="false" ht="15" hidden="false" customHeight="false" outlineLevel="0" collapsed="false">
      <c r="B62" s="7" t="s">
        <v>153</v>
      </c>
      <c r="C62" s="17" t="n">
        <v>0.185</v>
      </c>
      <c r="D62" s="2" t="s">
        <v>154</v>
      </c>
    </row>
    <row r="63" customFormat="false" ht="15" hidden="false" customHeight="false" outlineLevel="0" collapsed="false">
      <c r="B63" s="7" t="s">
        <v>155</v>
      </c>
      <c r="C63" s="16" t="n">
        <f aca="false">C61*(1-C62)</f>
        <v>0.0330075</v>
      </c>
    </row>
    <row r="64" customFormat="false" ht="15" hidden="false" customHeight="false" outlineLevel="0" collapsed="false">
      <c r="B64" s="7" t="s">
        <v>156</v>
      </c>
      <c r="C64" s="13" t="n">
        <v>108360</v>
      </c>
      <c r="D64" s="2" t="s">
        <v>157</v>
      </c>
    </row>
    <row r="65" customFormat="false" ht="15" hidden="false" customHeight="false" outlineLevel="0" collapsed="false">
      <c r="B65" s="7" t="s">
        <v>158</v>
      </c>
      <c r="C65" s="13" t="n">
        <v>6660</v>
      </c>
      <c r="D65" s="2" t="s">
        <v>159</v>
      </c>
    </row>
    <row r="66" customFormat="false" ht="15" hidden="false" customHeight="false" outlineLevel="0" collapsed="false">
      <c r="B66" s="7" t="s">
        <v>160</v>
      </c>
      <c r="C66" s="16" t="n">
        <f aca="false">C64/(C64+C65)</f>
        <v>0.942097026604069</v>
      </c>
    </row>
    <row r="67" customFormat="false" ht="15" hidden="false" customHeight="false" outlineLevel="0" collapsed="false">
      <c r="B67" s="7" t="s">
        <v>161</v>
      </c>
      <c r="C67" s="16" t="n">
        <f aca="false">C65/(C64+C65)</f>
        <v>0.0579029733959311</v>
      </c>
    </row>
    <row r="68" customFormat="false" ht="15" hidden="false" customHeight="false" outlineLevel="0" collapsed="false">
      <c r="B68" s="8" t="s">
        <v>162</v>
      </c>
      <c r="C68" s="28" t="n">
        <f aca="false">C66*C60+C67*C63</f>
        <v>0.102009041471049</v>
      </c>
    </row>
    <row r="70" customFormat="false" ht="15" hidden="false" customHeight="false" outlineLevel="0" collapsed="false">
      <c r="B70" s="3" t="s">
        <v>163</v>
      </c>
      <c r="C70" s="4"/>
      <c r="D70" s="4"/>
      <c r="E70" s="4"/>
      <c r="F70" s="4"/>
    </row>
    <row r="71" customFormat="false" ht="15" hidden="false" customHeight="false" outlineLevel="0" collapsed="false">
      <c r="B71" s="7" t="s">
        <v>164</v>
      </c>
      <c r="C71" s="26" t="n">
        <v>0.03</v>
      </c>
      <c r="D71" s="2" t="s">
        <v>165</v>
      </c>
    </row>
    <row r="72" customFormat="false" ht="15" hidden="false" customHeight="false" outlineLevel="0" collapsed="false">
      <c r="B72" s="7" t="s">
        <v>166</v>
      </c>
      <c r="C72" s="14" t="n">
        <f aca="false">K52</f>
        <v>12200.1160013874</v>
      </c>
    </row>
    <row r="73" customFormat="false" ht="15" hidden="false" customHeight="false" outlineLevel="0" collapsed="false">
      <c r="B73" s="8" t="s">
        <v>167</v>
      </c>
      <c r="C73" s="14" t="n">
        <f aca="false">C72*(1+C71)/(C68-C71)</f>
        <v>174507.523287632</v>
      </c>
    </row>
    <row r="75" customFormat="false" ht="15" hidden="false" customHeight="false" outlineLevel="0" collapsed="false">
      <c r="B75" s="3" t="s">
        <v>168</v>
      </c>
      <c r="C75" s="4"/>
      <c r="D75" s="4"/>
      <c r="E75" s="4"/>
      <c r="F75" s="4"/>
      <c r="G75" s="4"/>
      <c r="H75" s="4"/>
      <c r="I75" s="4"/>
      <c r="J75" s="4"/>
      <c r="K75" s="4"/>
    </row>
    <row r="76" customFormat="false" ht="15" hidden="false" customHeight="false" outlineLevel="0" collapsed="false">
      <c r="B76" s="7" t="s">
        <v>169</v>
      </c>
      <c r="G76" s="7" t="n">
        <v>1</v>
      </c>
      <c r="H76" s="7" t="n">
        <v>2</v>
      </c>
      <c r="I76" s="7" t="n">
        <v>3</v>
      </c>
      <c r="J76" s="7" t="n">
        <v>4</v>
      </c>
      <c r="K76" s="7" t="n">
        <v>5</v>
      </c>
    </row>
    <row r="77" customFormat="false" ht="15" hidden="false" customHeight="false" outlineLevel="0" collapsed="false">
      <c r="B77" s="7" t="s">
        <v>170</v>
      </c>
      <c r="G77" s="29" t="n">
        <f aca="false">1/(1+$C$68)^G76</f>
        <v>0.907433571202938</v>
      </c>
      <c r="H77" s="29" t="n">
        <f aca="false">1/(1+$C$68)^H76</f>
        <v>0.823435686146117</v>
      </c>
      <c r="I77" s="29" t="n">
        <f aca="false">1/(1+$C$68)^I76</f>
        <v>0.747213185335513</v>
      </c>
      <c r="J77" s="29" t="n">
        <f aca="false">1/(1+$C$68)^J76</f>
        <v>0.678046329218927</v>
      </c>
      <c r="K77" s="29" t="n">
        <f aca="false">1/(1+$C$68)^K76</f>
        <v>0.615282001964174</v>
      </c>
    </row>
    <row r="78" customFormat="false" ht="15" hidden="false" customHeight="false" outlineLevel="0" collapsed="false">
      <c r="B78" s="7" t="s">
        <v>171</v>
      </c>
      <c r="G78" s="14" t="n">
        <f aca="false">G52*G77</f>
        <v>7418.91498266332</v>
      </c>
      <c r="H78" s="14" t="n">
        <f aca="false">H52*H77</f>
        <v>7473.75924176777</v>
      </c>
      <c r="I78" s="14" t="n">
        <f aca="false">I52*I77</f>
        <v>7532.69247471586</v>
      </c>
      <c r="J78" s="14" t="n">
        <f aca="false">J52*J77</f>
        <v>7537.42577060719</v>
      </c>
      <c r="K78" s="14" t="n">
        <f aca="false">K52*K77</f>
        <v>7506.51179752879</v>
      </c>
    </row>
    <row r="79" customFormat="false" ht="15" hidden="false" customHeight="false" outlineLevel="0" collapsed="false">
      <c r="B79" s="7" t="s">
        <v>172</v>
      </c>
      <c r="G79" s="14" t="n">
        <f aca="false">C73*K77</f>
        <v>107371.338286224</v>
      </c>
    </row>
    <row r="81" customFormat="false" ht="15" hidden="false" customHeight="false" outlineLevel="0" collapsed="false">
      <c r="B81" s="8" t="s">
        <v>173</v>
      </c>
      <c r="C81" s="14" t="n">
        <f aca="false">SUM(G78:K78)</f>
        <v>37469.3042672829</v>
      </c>
    </row>
    <row r="82" customFormat="false" ht="15" hidden="false" customHeight="false" outlineLevel="0" collapsed="false">
      <c r="B82" s="8" t="s">
        <v>172</v>
      </c>
      <c r="C82" s="14" t="n">
        <f aca="false">G79</f>
        <v>107371.338286224</v>
      </c>
    </row>
    <row r="83" customFormat="false" ht="15" hidden="false" customHeight="false" outlineLevel="0" collapsed="false">
      <c r="B83" s="30" t="s">
        <v>11</v>
      </c>
      <c r="C83" s="31" t="n">
        <f aca="false">C81+C82</f>
        <v>144840.642553506</v>
      </c>
      <c r="D83" s="32"/>
    </row>
    <row r="84" customFormat="false" ht="15" hidden="false" customHeight="false" outlineLevel="0" collapsed="false">
      <c r="B84" s="7" t="s">
        <v>174</v>
      </c>
      <c r="C84" s="16" t="n">
        <f aca="false">C82/C83</f>
        <v>0.741306696748179</v>
      </c>
      <c r="D84" s="18"/>
      <c r="E84" s="18"/>
      <c r="F84" s="18"/>
      <c r="G84" s="18"/>
      <c r="H84" s="18"/>
      <c r="I84" s="18"/>
      <c r="J84" s="18"/>
      <c r="K84" s="18"/>
    </row>
    <row r="86" customFormat="false" ht="15" hidden="false" customHeight="false" outlineLevel="0" collapsed="false">
      <c r="B86" s="7" t="s">
        <v>175</v>
      </c>
      <c r="C86" s="13" t="n">
        <v>6660</v>
      </c>
      <c r="D86" s="2" t="s">
        <v>176</v>
      </c>
    </row>
    <row r="87" customFormat="false" ht="15" hidden="false" customHeight="false" outlineLevel="0" collapsed="false">
      <c r="B87" s="7" t="s">
        <v>177</v>
      </c>
      <c r="C87" s="13" t="n">
        <v>6600</v>
      </c>
      <c r="D87" s="2" t="s">
        <v>176</v>
      </c>
    </row>
    <row r="88" customFormat="false" ht="15" hidden="false" customHeight="false" outlineLevel="0" collapsed="false">
      <c r="B88" s="10" t="s">
        <v>178</v>
      </c>
      <c r="C88" s="33" t="n">
        <f aca="false">C83-C86+C87</f>
        <v>144780.642553506</v>
      </c>
    </row>
    <row r="90" customFormat="false" ht="15" hidden="false" customHeight="false" outlineLevel="0" collapsed="false">
      <c r="B90" s="7" t="s">
        <v>179</v>
      </c>
      <c r="C90" s="34" t="n">
        <v>410.5</v>
      </c>
      <c r="D90" s="2" t="s">
        <v>180</v>
      </c>
    </row>
    <row r="91" customFormat="false" ht="15" hidden="false" customHeight="false" outlineLevel="0" collapsed="false">
      <c r="B91" s="30" t="s">
        <v>181</v>
      </c>
      <c r="C91" s="35" t="n">
        <f aca="false">C88/C90</f>
        <v>352.693404515241</v>
      </c>
      <c r="D91" s="32"/>
    </row>
    <row r="93" customFormat="false" ht="15" hidden="false" customHeight="false" outlineLevel="0" collapsed="false">
      <c r="B93" s="7" t="s">
        <v>182</v>
      </c>
      <c r="C93" s="36" t="n">
        <v>264</v>
      </c>
    </row>
    <row r="94" customFormat="false" ht="15" hidden="false" customHeight="false" outlineLevel="0" collapsed="false">
      <c r="B94" s="8" t="s">
        <v>183</v>
      </c>
      <c r="C94" s="37" t="n">
        <f aca="false">(C91-C93)/C93</f>
        <v>0.335959865588035</v>
      </c>
      <c r="D94" s="18"/>
      <c r="E94" s="18"/>
      <c r="F94" s="18"/>
      <c r="G94" s="18"/>
      <c r="H94" s="18"/>
      <c r="I94" s="18"/>
      <c r="J94" s="18"/>
      <c r="K94" s="18"/>
    </row>
    <row r="96" customFormat="false" ht="15" hidden="false" customHeight="false" outlineLevel="0" collapsed="false">
      <c r="B96" s="3" t="s">
        <v>184</v>
      </c>
      <c r="C96" s="4"/>
      <c r="D96" s="4"/>
      <c r="E96" s="4"/>
      <c r="F96" s="4"/>
    </row>
    <row r="97" customFormat="false" ht="15" hidden="false" customHeight="false" outlineLevel="0" collapsed="false">
      <c r="B97" s="7" t="s">
        <v>185</v>
      </c>
      <c r="C97" s="16" t="n">
        <f aca="false">(F14/C14)^(1/3)-1</f>
        <v>0.105223399325161</v>
      </c>
    </row>
    <row r="98" customFormat="false" ht="15" hidden="false" customHeight="false" outlineLevel="0" collapsed="false">
      <c r="B98" s="7" t="s">
        <v>186</v>
      </c>
      <c r="C98" s="16" t="n">
        <f aca="false">(F14/12868)^(1/5)-1</f>
        <v>0.130576545941568</v>
      </c>
      <c r="D98" s="2" t="s">
        <v>187</v>
      </c>
    </row>
    <row r="99" customFormat="false" ht="15" hidden="false" customHeight="false" outlineLevel="0" collapsed="false">
      <c r="B99" s="7" t="s">
        <v>188</v>
      </c>
      <c r="C99" s="16" t="n">
        <f aca="false">(F52/C52)^(1/3)-1</f>
        <v>0.143853300511476</v>
      </c>
    </row>
    <row r="100" customFormat="false" ht="15" hidden="false" customHeight="false" outlineLevel="0" collapsed="false">
      <c r="B100" s="7" t="s">
        <v>189</v>
      </c>
      <c r="C100" s="16" t="n">
        <f aca="false">(F31/C31)^(1/3)-1</f>
        <v>0.152021436669977</v>
      </c>
    </row>
    <row r="101" customFormat="false" ht="15" hidden="false" customHeight="false" outlineLevel="0" collapsed="false">
      <c r="B101" s="7" t="s">
        <v>190</v>
      </c>
      <c r="C101" s="16" t="n">
        <f aca="false">(F40/C40)^(1/3)-1</f>
        <v>0.196058136988675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6"/>
    <col collapsed="false" customWidth="true" hidden="false" outlineLevel="0" max="8" min="8" style="0" width="20"/>
  </cols>
  <sheetData>
    <row r="2" customFormat="false" ht="17.35" hidden="false" customHeight="false" outlineLevel="0" collapsed="false">
      <c r="B2" s="1" t="s">
        <v>191</v>
      </c>
    </row>
    <row r="3" customFormat="false" ht="15" hidden="false" customHeight="false" outlineLevel="0" collapsed="false">
      <c r="B3" s="2" t="s">
        <v>192</v>
      </c>
    </row>
    <row r="5" customFormat="false" ht="15" hidden="false" customHeight="false" outlineLevel="0" collapsed="false">
      <c r="B5" s="9"/>
      <c r="C5" s="9"/>
      <c r="D5" s="9" t="s">
        <v>193</v>
      </c>
      <c r="E5" s="9" t="s">
        <v>194</v>
      </c>
      <c r="F5" s="9" t="s">
        <v>195</v>
      </c>
    </row>
    <row r="6" customFormat="false" ht="15" hidden="false" customHeight="false" outlineLevel="0" collapsed="false">
      <c r="B6" s="38" t="s">
        <v>196</v>
      </c>
      <c r="C6" s="26" t="n">
        <v>0.25</v>
      </c>
      <c r="D6" s="26" t="n">
        <v>0.5</v>
      </c>
      <c r="E6" s="26" t="n">
        <v>0.25</v>
      </c>
    </row>
    <row r="7" customFormat="false" ht="15" hidden="false" customHeight="false" outlineLevel="0" collapsed="false">
      <c r="B7" s="7" t="s">
        <v>197</v>
      </c>
      <c r="C7" s="17" t="n">
        <v>0.115</v>
      </c>
      <c r="D7" s="17" t="n">
        <v>0.095</v>
      </c>
      <c r="E7" s="17" t="n">
        <v>0.075</v>
      </c>
    </row>
    <row r="8" customFormat="false" ht="15" hidden="false" customHeight="false" outlineLevel="0" collapsed="false">
      <c r="B8" s="7" t="s">
        <v>198</v>
      </c>
      <c r="C8" s="17" t="n">
        <v>0.11</v>
      </c>
      <c r="D8" s="17" t="n">
        <v>0.09</v>
      </c>
      <c r="E8" s="17" t="n">
        <v>0.065</v>
      </c>
    </row>
    <row r="9" customFormat="false" ht="15" hidden="false" customHeight="false" outlineLevel="0" collapsed="false">
      <c r="B9" s="7" t="s">
        <v>199</v>
      </c>
      <c r="C9" s="17" t="n">
        <v>0.105</v>
      </c>
      <c r="D9" s="17" t="n">
        <v>0.085</v>
      </c>
      <c r="E9" s="17" t="n">
        <v>0.055</v>
      </c>
    </row>
    <row r="10" customFormat="false" ht="15" hidden="false" customHeight="false" outlineLevel="0" collapsed="false">
      <c r="B10" s="7" t="s">
        <v>200</v>
      </c>
      <c r="C10" s="17" t="n">
        <v>0.1</v>
      </c>
      <c r="D10" s="17" t="n">
        <v>0.08</v>
      </c>
      <c r="E10" s="17" t="n">
        <v>0.05</v>
      </c>
    </row>
    <row r="11" customFormat="false" ht="15" hidden="false" customHeight="false" outlineLevel="0" collapsed="false">
      <c r="B11" s="7" t="s">
        <v>201</v>
      </c>
      <c r="C11" s="17" t="n">
        <v>0.095</v>
      </c>
      <c r="D11" s="17" t="n">
        <v>0.075</v>
      </c>
      <c r="E11" s="17" t="n">
        <v>0.045</v>
      </c>
    </row>
    <row r="12" customFormat="false" ht="15" hidden="false" customHeight="false" outlineLevel="0" collapsed="false">
      <c r="B12" s="7" t="s">
        <v>202</v>
      </c>
      <c r="C12" s="17" t="n">
        <v>0.34</v>
      </c>
      <c r="D12" s="17" t="n">
        <v>0.31</v>
      </c>
      <c r="E12" s="17" t="n">
        <v>0.28</v>
      </c>
    </row>
    <row r="13" customFormat="false" ht="15" hidden="false" customHeight="false" outlineLevel="0" collapsed="false">
      <c r="B13" s="7" t="s">
        <v>203</v>
      </c>
      <c r="C13" s="17" t="n">
        <v>0.035</v>
      </c>
      <c r="D13" s="17" t="n">
        <v>0.03</v>
      </c>
      <c r="E13" s="17" t="n">
        <v>0.025</v>
      </c>
    </row>
    <row r="14" customFormat="false" ht="15" hidden="false" customHeight="false" outlineLevel="0" collapsed="false">
      <c r="B14" s="7" t="s">
        <v>162</v>
      </c>
      <c r="C14" s="39" t="n">
        <f aca="false">'DCF Model'!C68</f>
        <v>0.102009041471049</v>
      </c>
      <c r="D14" s="39" t="n">
        <f aca="false">'DCF Model'!C68</f>
        <v>0.102009041471049</v>
      </c>
      <c r="E14" s="39" t="n">
        <f aca="false">'DCF Model'!C68</f>
        <v>0.102009041471049</v>
      </c>
    </row>
    <row r="16" customFormat="false" ht="15" hidden="false" customHeight="false" outlineLevel="0" collapsed="false">
      <c r="B16" s="7" t="s">
        <v>204</v>
      </c>
      <c r="C16" s="40" t="n">
        <f aca="false">'DCF Model'!F14</f>
        <v>23769</v>
      </c>
      <c r="D16" s="40" t="n">
        <f aca="false">'DCF Model'!F14</f>
        <v>23769</v>
      </c>
      <c r="E16" s="40" t="n">
        <f aca="false">'DCF Model'!F14</f>
        <v>23769</v>
      </c>
    </row>
    <row r="18" customFormat="false" ht="15" hidden="false" customHeight="false" outlineLevel="0" collapsed="false">
      <c r="B18" s="3" t="s">
        <v>205</v>
      </c>
      <c r="C18" s="4"/>
      <c r="D18" s="4"/>
      <c r="E18" s="4"/>
    </row>
    <row r="19" customFormat="false" ht="15" hidden="false" customHeight="false" outlineLevel="0" collapsed="false">
      <c r="B19" s="10" t="s">
        <v>193</v>
      </c>
    </row>
    <row r="20" customFormat="false" ht="15" hidden="false" customHeight="false" outlineLevel="0" collapsed="false">
      <c r="B20" s="7" t="s">
        <v>206</v>
      </c>
      <c r="C20" s="14" t="n">
        <f aca="false">C16*(1+C7)</f>
        <v>26502.435</v>
      </c>
      <c r="D20" s="21"/>
      <c r="E20" s="21"/>
    </row>
    <row r="21" customFormat="false" ht="15" hidden="false" customHeight="false" outlineLevel="0" collapsed="false">
      <c r="B21" s="7" t="s">
        <v>207</v>
      </c>
      <c r="C21" s="14" t="n">
        <f aca="false">C20*(1+C8)</f>
        <v>29417.70285</v>
      </c>
      <c r="D21" s="21"/>
      <c r="E21" s="21"/>
    </row>
    <row r="22" customFormat="false" ht="15" hidden="false" customHeight="false" outlineLevel="0" collapsed="false">
      <c r="B22" s="7" t="s">
        <v>208</v>
      </c>
      <c r="C22" s="14" t="n">
        <f aca="false">C21*(1+C9)</f>
        <v>32506.56164925</v>
      </c>
      <c r="D22" s="21"/>
      <c r="E22" s="21"/>
    </row>
    <row r="23" customFormat="false" ht="15" hidden="false" customHeight="false" outlineLevel="0" collapsed="false">
      <c r="B23" s="7" t="s">
        <v>209</v>
      </c>
      <c r="C23" s="14" t="n">
        <f aca="false">C22*(1+C10)</f>
        <v>35757.217814175</v>
      </c>
      <c r="D23" s="21"/>
      <c r="E23" s="21"/>
    </row>
    <row r="24" customFormat="false" ht="15" hidden="false" customHeight="false" outlineLevel="0" collapsed="false">
      <c r="B24" s="7" t="s">
        <v>210</v>
      </c>
      <c r="C24" s="14" t="n">
        <f aca="false">C23*(1+C11)</f>
        <v>39154.1535065216</v>
      </c>
      <c r="D24" s="21"/>
      <c r="E24" s="21"/>
    </row>
    <row r="25" customFormat="false" ht="15" hidden="false" customHeight="false" outlineLevel="0" collapsed="false">
      <c r="B25" s="7" t="s">
        <v>211</v>
      </c>
      <c r="C25" s="14" t="n">
        <f aca="false">C24*C12</f>
        <v>13312.4121922174</v>
      </c>
      <c r="D25" s="21"/>
      <c r="E25" s="21"/>
    </row>
    <row r="26" customFormat="false" ht="15" hidden="false" customHeight="false" outlineLevel="0" collapsed="false">
      <c r="B26" s="7" t="s">
        <v>212</v>
      </c>
      <c r="C26" s="14" t="n">
        <f aca="false">C25*(1+C13)/(C14-C13)</f>
        <v>205619.216697764</v>
      </c>
      <c r="D26" s="21"/>
      <c r="E26" s="21"/>
    </row>
    <row r="27" customFormat="false" ht="15" hidden="false" customHeight="false" outlineLevel="0" collapsed="false">
      <c r="B27" s="7" t="s">
        <v>213</v>
      </c>
      <c r="C27" s="14" t="n">
        <f aca="false">C20*C12/(1+C14)^1+C21*C12/(1+C14)^2+C22*C12/(1+C14)^3+C23*C12/(1+C14)^4+C24*C12/(1+C14)^5</f>
        <v>41105.3245150931</v>
      </c>
      <c r="D27" s="21"/>
      <c r="E27" s="21"/>
    </row>
    <row r="28" customFormat="false" ht="15" hidden="false" customHeight="false" outlineLevel="0" collapsed="false">
      <c r="B28" s="7" t="s">
        <v>214</v>
      </c>
      <c r="C28" s="14" t="n">
        <f aca="false">C26/(1+C14)^5</f>
        <v>126513.803292105</v>
      </c>
      <c r="D28" s="21"/>
      <c r="E28" s="21"/>
    </row>
    <row r="29" customFormat="false" ht="15" hidden="false" customHeight="false" outlineLevel="0" collapsed="false">
      <c r="B29" s="8" t="s">
        <v>215</v>
      </c>
      <c r="C29" s="41" t="n">
        <f aca="false">C27+C28</f>
        <v>167619.127807198</v>
      </c>
      <c r="D29" s="21"/>
      <c r="E29" s="21"/>
    </row>
    <row r="30" customFormat="false" ht="15" hidden="false" customHeight="false" outlineLevel="0" collapsed="false">
      <c r="B30" s="8" t="s">
        <v>216</v>
      </c>
      <c r="C30" s="40" t="n">
        <f aca="false">C29-'DCF Model'!C86+'DCF Model'!C87</f>
        <v>167559.127807198</v>
      </c>
      <c r="D30" s="21"/>
      <c r="E30" s="21"/>
    </row>
    <row r="31" customFormat="false" ht="15" hidden="false" customHeight="false" outlineLevel="0" collapsed="false">
      <c r="B31" s="8" t="s">
        <v>217</v>
      </c>
      <c r="C31" s="42" t="n">
        <f aca="false">C30/'DCF Model'!C90</f>
        <v>408.183015364673</v>
      </c>
    </row>
    <row r="33" customFormat="false" ht="15" hidden="false" customHeight="false" outlineLevel="0" collapsed="false">
      <c r="B33" s="43" t="s">
        <v>194</v>
      </c>
    </row>
    <row r="34" customFormat="false" ht="15" hidden="false" customHeight="false" outlineLevel="0" collapsed="false">
      <c r="B34" s="7" t="s">
        <v>206</v>
      </c>
      <c r="C34" s="21"/>
      <c r="D34" s="14" t="n">
        <f aca="false">D16*(1+D7)</f>
        <v>26027.055</v>
      </c>
      <c r="E34" s="21"/>
    </row>
    <row r="35" customFormat="false" ht="15" hidden="false" customHeight="false" outlineLevel="0" collapsed="false">
      <c r="B35" s="7" t="s">
        <v>207</v>
      </c>
      <c r="C35" s="21"/>
      <c r="D35" s="14" t="n">
        <f aca="false">D34*(1+D8)</f>
        <v>28369.48995</v>
      </c>
      <c r="E35" s="21"/>
    </row>
    <row r="36" customFormat="false" ht="15" hidden="false" customHeight="false" outlineLevel="0" collapsed="false">
      <c r="B36" s="7" t="s">
        <v>208</v>
      </c>
      <c r="C36" s="21"/>
      <c r="D36" s="14" t="n">
        <f aca="false">D35*(1+D9)</f>
        <v>30780.89659575</v>
      </c>
      <c r="E36" s="21"/>
    </row>
    <row r="37" customFormat="false" ht="15" hidden="false" customHeight="false" outlineLevel="0" collapsed="false">
      <c r="B37" s="7" t="s">
        <v>209</v>
      </c>
      <c r="C37" s="21"/>
      <c r="D37" s="14" t="n">
        <f aca="false">D36*(1+D10)</f>
        <v>33243.36832341</v>
      </c>
      <c r="E37" s="21"/>
    </row>
    <row r="38" customFormat="false" ht="15" hidden="false" customHeight="false" outlineLevel="0" collapsed="false">
      <c r="B38" s="7" t="s">
        <v>210</v>
      </c>
      <c r="C38" s="21"/>
      <c r="D38" s="14" t="n">
        <f aca="false">D37*(1+D11)</f>
        <v>35736.6209476658</v>
      </c>
      <c r="E38" s="21"/>
    </row>
    <row r="39" customFormat="false" ht="15" hidden="false" customHeight="false" outlineLevel="0" collapsed="false">
      <c r="B39" s="7" t="s">
        <v>211</v>
      </c>
      <c r="C39" s="21"/>
      <c r="D39" s="14" t="n">
        <f aca="false">D38*D12</f>
        <v>11078.3524937764</v>
      </c>
      <c r="E39" s="21"/>
    </row>
    <row r="40" customFormat="false" ht="15" hidden="false" customHeight="false" outlineLevel="0" collapsed="false">
      <c r="B40" s="7" t="s">
        <v>212</v>
      </c>
      <c r="C40" s="21"/>
      <c r="D40" s="14" t="n">
        <f aca="false">D39*(1+D13)/(D14-D13)</f>
        <v>158462.088030673</v>
      </c>
      <c r="E40" s="21"/>
    </row>
    <row r="41" customFormat="false" ht="15" hidden="false" customHeight="false" outlineLevel="0" collapsed="false">
      <c r="B41" s="7" t="s">
        <v>213</v>
      </c>
      <c r="C41" s="21"/>
      <c r="D41" s="14" t="n">
        <f aca="false">D34*D12/(1+D14)^1+D35*D12/(1+D14)^2+D36*D12/(1+D14)^3+D37*D12/(1+D14)^4+D38*D12/(1+D14)^5</f>
        <v>35497.1108596284</v>
      </c>
      <c r="E41" s="21"/>
    </row>
    <row r="42" customFormat="false" ht="15" hidden="false" customHeight="false" outlineLevel="0" collapsed="false">
      <c r="B42" s="7" t="s">
        <v>214</v>
      </c>
      <c r="C42" s="21"/>
      <c r="D42" s="14" t="n">
        <f aca="false">D40/(1+D14)^5</f>
        <v>97498.8707589356</v>
      </c>
      <c r="E42" s="21"/>
    </row>
    <row r="43" customFormat="false" ht="15" hidden="false" customHeight="false" outlineLevel="0" collapsed="false">
      <c r="B43" s="8" t="s">
        <v>215</v>
      </c>
      <c r="C43" s="21"/>
      <c r="D43" s="41" t="n">
        <f aca="false">D41+D42</f>
        <v>132995.981618564</v>
      </c>
      <c r="E43" s="21"/>
    </row>
    <row r="44" customFormat="false" ht="15" hidden="false" customHeight="false" outlineLevel="0" collapsed="false">
      <c r="B44" s="8" t="s">
        <v>216</v>
      </c>
      <c r="C44" s="21"/>
      <c r="D44" s="40" t="n">
        <f aca="false">D43-'DCF Model'!C86+'DCF Model'!C87</f>
        <v>132935.981618564</v>
      </c>
      <c r="E44" s="21"/>
    </row>
    <row r="45" customFormat="false" ht="15" hidden="false" customHeight="false" outlineLevel="0" collapsed="false">
      <c r="B45" s="8" t="s">
        <v>217</v>
      </c>
      <c r="C45" s="44"/>
      <c r="D45" s="42" t="n">
        <f aca="false">D44/'DCF Model'!C90</f>
        <v>323.839175684687</v>
      </c>
    </row>
    <row r="47" customFormat="false" ht="15" hidden="false" customHeight="false" outlineLevel="0" collapsed="false">
      <c r="B47" s="12" t="s">
        <v>195</v>
      </c>
    </row>
    <row r="48" customFormat="false" ht="15" hidden="false" customHeight="false" outlineLevel="0" collapsed="false">
      <c r="B48" s="7" t="s">
        <v>206</v>
      </c>
      <c r="C48" s="21"/>
      <c r="D48" s="21"/>
      <c r="E48" s="14" t="n">
        <f aca="false">E16*(1+E7)</f>
        <v>25551.675</v>
      </c>
    </row>
    <row r="49" customFormat="false" ht="15" hidden="false" customHeight="false" outlineLevel="0" collapsed="false">
      <c r="B49" s="7" t="s">
        <v>207</v>
      </c>
      <c r="C49" s="21"/>
      <c r="D49" s="21"/>
      <c r="E49" s="14" t="n">
        <f aca="false">E48*(1+E8)</f>
        <v>27212.533875</v>
      </c>
    </row>
    <row r="50" customFormat="false" ht="15" hidden="false" customHeight="false" outlineLevel="0" collapsed="false">
      <c r="B50" s="7" t="s">
        <v>208</v>
      </c>
      <c r="C50" s="21"/>
      <c r="D50" s="21"/>
      <c r="E50" s="14" t="n">
        <f aca="false">E49*(1+E9)</f>
        <v>28709.223238125</v>
      </c>
    </row>
    <row r="51" customFormat="false" ht="15" hidden="false" customHeight="false" outlineLevel="0" collapsed="false">
      <c r="B51" s="7" t="s">
        <v>209</v>
      </c>
      <c r="C51" s="21"/>
      <c r="D51" s="21"/>
      <c r="E51" s="14" t="n">
        <f aca="false">E50*(1+E10)</f>
        <v>30144.6844000313</v>
      </c>
    </row>
    <row r="52" customFormat="false" ht="15" hidden="false" customHeight="false" outlineLevel="0" collapsed="false">
      <c r="B52" s="7" t="s">
        <v>210</v>
      </c>
      <c r="C52" s="21"/>
      <c r="D52" s="21"/>
      <c r="E52" s="14" t="n">
        <f aca="false">E51*(1+E11)</f>
        <v>31501.1951980327</v>
      </c>
    </row>
    <row r="53" customFormat="false" ht="15" hidden="false" customHeight="false" outlineLevel="0" collapsed="false">
      <c r="B53" s="7" t="s">
        <v>211</v>
      </c>
      <c r="C53" s="21"/>
      <c r="D53" s="21"/>
      <c r="E53" s="14" t="n">
        <f aca="false">E52*E12</f>
        <v>8820.33465544914</v>
      </c>
    </row>
    <row r="54" customFormat="false" ht="15" hidden="false" customHeight="false" outlineLevel="0" collapsed="false">
      <c r="B54" s="7" t="s">
        <v>212</v>
      </c>
      <c r="C54" s="21"/>
      <c r="D54" s="21"/>
      <c r="E54" s="14" t="n">
        <f aca="false">E53*(1+E13)/(E14-E13)</f>
        <v>117399.760458443</v>
      </c>
    </row>
    <row r="55" customFormat="false" ht="15" hidden="false" customHeight="false" outlineLevel="0" collapsed="false">
      <c r="B55" s="7" t="s">
        <v>213</v>
      </c>
      <c r="C55" s="21"/>
      <c r="D55" s="21"/>
      <c r="E55" s="14" t="n">
        <f aca="false">E48*E12/(1+E14)^1+E49*E12/(1+E14)^2+E50*E12/(1+E14)^3+E51*E12/(1+E14)^4+E52*E12/(1+E14)^5</f>
        <v>29922.9673096154</v>
      </c>
    </row>
    <row r="56" customFormat="false" ht="15" hidden="false" customHeight="false" outlineLevel="0" collapsed="false">
      <c r="B56" s="7" t="s">
        <v>214</v>
      </c>
      <c r="C56" s="21"/>
      <c r="D56" s="21"/>
      <c r="E56" s="14" t="n">
        <f aca="false">E54/(1+E14)^5</f>
        <v>72233.959644985</v>
      </c>
    </row>
    <row r="57" customFormat="false" ht="15" hidden="false" customHeight="false" outlineLevel="0" collapsed="false">
      <c r="B57" s="8" t="s">
        <v>215</v>
      </c>
      <c r="C57" s="21"/>
      <c r="D57" s="21"/>
      <c r="E57" s="41" t="n">
        <f aca="false">E55+E56</f>
        <v>102156.9269546</v>
      </c>
    </row>
    <row r="58" customFormat="false" ht="15" hidden="false" customHeight="false" outlineLevel="0" collapsed="false">
      <c r="B58" s="8" t="s">
        <v>216</v>
      </c>
      <c r="C58" s="21"/>
      <c r="D58" s="21"/>
      <c r="E58" s="40" t="n">
        <f aca="false">E57-'DCF Model'!C86+'DCF Model'!C87</f>
        <v>102096.9269546</v>
      </c>
    </row>
    <row r="59" customFormat="false" ht="15" hidden="false" customHeight="false" outlineLevel="0" collapsed="false">
      <c r="B59" s="8" t="s">
        <v>217</v>
      </c>
      <c r="C59" s="44"/>
      <c r="E59" s="42" t="n">
        <f aca="false">E58/'DCF Model'!C90</f>
        <v>248.713585760293</v>
      </c>
    </row>
    <row r="61" customFormat="false" ht="15" hidden="false" customHeight="false" outlineLevel="0" collapsed="false">
      <c r="B61" s="3" t="s">
        <v>218</v>
      </c>
      <c r="C61" s="4"/>
      <c r="D61" s="4"/>
      <c r="E61" s="4"/>
    </row>
    <row r="62" customFormat="false" ht="15" hidden="false" customHeight="false" outlineLevel="0" collapsed="false">
      <c r="B62" s="7" t="s">
        <v>219</v>
      </c>
      <c r="C62" s="45" t="n">
        <f aca="false">C31</f>
        <v>408.183015364673</v>
      </c>
      <c r="D62" s="7" t="s">
        <v>220</v>
      </c>
      <c r="E62" s="16" t="n">
        <f aca="false">C6</f>
        <v>0.25</v>
      </c>
    </row>
    <row r="63" customFormat="false" ht="15" hidden="false" customHeight="false" outlineLevel="0" collapsed="false">
      <c r="B63" s="7" t="s">
        <v>221</v>
      </c>
      <c r="C63" s="45" t="n">
        <f aca="false">D45</f>
        <v>323.839175684687</v>
      </c>
      <c r="D63" s="7" t="s">
        <v>220</v>
      </c>
      <c r="E63" s="16" t="n">
        <f aca="false">D6</f>
        <v>0.5</v>
      </c>
    </row>
    <row r="64" customFormat="false" ht="15" hidden="false" customHeight="false" outlineLevel="0" collapsed="false">
      <c r="B64" s="7" t="s">
        <v>222</v>
      </c>
      <c r="C64" s="45" t="n">
        <f aca="false">E59</f>
        <v>248.713585760293</v>
      </c>
      <c r="D64" s="7" t="s">
        <v>220</v>
      </c>
      <c r="E64" s="16" t="n">
        <f aca="false">E6</f>
        <v>0.25</v>
      </c>
    </row>
    <row r="66" customFormat="false" ht="15" hidden="false" customHeight="false" outlineLevel="0" collapsed="false">
      <c r="B66" s="30" t="s">
        <v>223</v>
      </c>
      <c r="C66" s="35" t="n">
        <f aca="false">C62*E62+C63*E63+C64*E64</f>
        <v>326.143738123585</v>
      </c>
      <c r="D66" s="32"/>
      <c r="E66" s="32"/>
    </row>
    <row r="68" customFormat="false" ht="15" hidden="false" customHeight="false" outlineLevel="0" collapsed="false">
      <c r="B68" s="7" t="s">
        <v>224</v>
      </c>
      <c r="C68" s="46" t="n">
        <f aca="false">'DCF Model'!C93</f>
        <v>264</v>
      </c>
    </row>
    <row r="69" customFormat="false" ht="15" hidden="false" customHeight="false" outlineLevel="0" collapsed="false">
      <c r="B69" s="8" t="s">
        <v>183</v>
      </c>
      <c r="C69" s="37" t="n">
        <f aca="false">(C66-C68)/C68</f>
        <v>0.235392947437823</v>
      </c>
      <c r="D69" s="18"/>
      <c r="E69" s="18"/>
    </row>
    <row r="71" customFormat="false" ht="15" hidden="false" customHeight="false" outlineLevel="0" collapsed="false">
      <c r="B71" s="3" t="s">
        <v>225</v>
      </c>
      <c r="C71" s="4"/>
      <c r="D71" s="47" t="s">
        <v>226</v>
      </c>
      <c r="E71" s="4"/>
    </row>
    <row r="72" customFormat="false" ht="15" hidden="false" customHeight="false" outlineLevel="0" collapsed="false">
      <c r="B72" s="7" t="s">
        <v>227</v>
      </c>
      <c r="C72" s="26" t="n">
        <v>0.15</v>
      </c>
      <c r="D72" s="2" t="s">
        <v>228</v>
      </c>
    </row>
    <row r="73" customFormat="false" ht="15" hidden="false" customHeight="false" outlineLevel="0" collapsed="false">
      <c r="B73" s="7" t="s">
        <v>229</v>
      </c>
      <c r="C73" s="22" t="n">
        <v>5</v>
      </c>
    </row>
    <row r="74" customFormat="false" ht="15" hidden="false" customHeight="false" outlineLevel="0" collapsed="false">
      <c r="B74" s="7" t="s">
        <v>230</v>
      </c>
      <c r="C74" s="45" t="n">
        <f aca="false">C66</f>
        <v>326.143738123585</v>
      </c>
      <c r="D74" s="2" t="s">
        <v>231</v>
      </c>
    </row>
    <row r="76" customFormat="false" ht="15" hidden="false" customHeight="false" outlineLevel="0" collapsed="false">
      <c r="B76" s="30" t="s">
        <v>232</v>
      </c>
      <c r="C76" s="35" t="n">
        <f aca="false">C74/(1+C72)^C73</f>
        <v>162.151078958265</v>
      </c>
      <c r="D76" s="32"/>
      <c r="E76" s="32"/>
    </row>
    <row r="77" customFormat="false" ht="15" hidden="false" customHeight="false" outlineLevel="0" collapsed="false">
      <c r="B77" s="7" t="s">
        <v>233</v>
      </c>
      <c r="C77" s="8" t="str">
        <f aca="false">IF(C68&lt;=C76,"BUY ZONE","Above entry price")</f>
        <v>Above entry 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14"/>
  </cols>
  <sheetData>
    <row r="2" customFormat="false" ht="17.35" hidden="false" customHeight="false" outlineLevel="0" collapsed="false">
      <c r="B2" s="1" t="s">
        <v>234</v>
      </c>
    </row>
    <row r="4" customFormat="false" ht="15" hidden="false" customHeight="false" outlineLevel="0" collapsed="false">
      <c r="B4" s="48" t="s">
        <v>235</v>
      </c>
    </row>
    <row r="5" customFormat="false" ht="15" hidden="false" customHeight="false" outlineLevel="0" collapsed="false">
      <c r="B5" s="49" t="s">
        <v>236</v>
      </c>
      <c r="C5" s="50" t="n">
        <v>0.02</v>
      </c>
      <c r="D5" s="50" t="n">
        <v>0.025</v>
      </c>
      <c r="E5" s="50" t="n">
        <v>0.03</v>
      </c>
      <c r="F5" s="50" t="n">
        <v>0.035</v>
      </c>
      <c r="G5" s="50" t="n">
        <v>0.04</v>
      </c>
    </row>
    <row r="6" customFormat="false" ht="15" hidden="false" customHeight="false" outlineLevel="0" collapsed="false">
      <c r="B6" s="51" t="n">
        <v>0.085</v>
      </c>
      <c r="C6" s="52" t="n">
        <f aca="false">('DCF Model'!G52/(1+$B$6)^1+'DCF Model'!H52/(1+$B$6)^2+'DCF Model'!I52/(1+$B$6)^3+'DCF Model'!J52/(1+$B$6)^4+'DCF Model'!K52/(1+$B$6)^5+('DCF Model'!K52*(1+C$5)/($B$6-C$5))/(1+$B$6)^5-6660+6600)/410.5</f>
        <v>405.68624477118</v>
      </c>
      <c r="D6" s="52" t="n">
        <f aca="false">('DCF Model'!G52/(1+$B$6)^1+'DCF Model'!H52/(1+$B$6)^2+'DCF Model'!I52/(1+$B$6)^3+'DCF Model'!J52/(1+$B$6)^4+'DCF Model'!K52/(1+$B$6)^5+('DCF Model'!K52*(1+D$5)/($B$6-D$5))/(1+$B$6)^5-6660+6600)/410.5</f>
        <v>433.180201395956</v>
      </c>
      <c r="E6" s="52" t="n">
        <f aca="false">('DCF Model'!G52/(1+$B$6)^1+'DCF Model'!H52/(1+$B$6)^2+'DCF Model'!I52/(1+$B$6)^3+'DCF Model'!J52/(1+$B$6)^4+'DCF Model'!K52/(1+$B$6)^5+('DCF Model'!K52*(1+E$5)/($B$6-E$5))/(1+$B$6)^5-6660+6600)/410.5</f>
        <v>465.673059225237</v>
      </c>
      <c r="F6" s="52" t="n">
        <f aca="false">('DCF Model'!G52/(1+$B$6)^1+'DCF Model'!H52/(1+$B$6)^2+'DCF Model'!I52/(1+$B$6)^3+'DCF Model'!J52/(1+$B$6)^4+'DCF Model'!K52/(1+$B$6)^5+('DCF Model'!K52*(1+F$5)/($B$6-F$5))/(1+$B$6)^5-6660+6600)/410.5</f>
        <v>504.664488620375</v>
      </c>
      <c r="G6" s="52" t="n">
        <f aca="false">('DCF Model'!G52/(1+$B$6)^1+'DCF Model'!H52/(1+$B$6)^2+'DCF Model'!I52/(1+$B$6)^3+'DCF Model'!J52/(1+$B$6)^4+'DCF Model'!K52/(1+$B$6)^5+('DCF Model'!K52*(1+G$5)/($B$6-G$5))/(1+$B$6)^5-6660+6600)/410.5</f>
        <v>552.32068010332</v>
      </c>
    </row>
    <row r="7" customFormat="false" ht="15" hidden="false" customHeight="false" outlineLevel="0" collapsed="false">
      <c r="B7" s="51" t="n">
        <v>0.095</v>
      </c>
      <c r="C7" s="52" t="n">
        <f aca="false">('DCF Model'!G52/(1+$B$7)^1+'DCF Model'!H52/(1+$B$7)^2+'DCF Model'!I52/(1+$B$7)^3+'DCF Model'!J52/(1+$B$7)^4+'DCF Model'!K52/(1+$B$7)^5+('DCF Model'!K52*(1+C$5)/($B$7-C$5))/(1+$B$7)^5-6660+6600)/410.5</f>
        <v>349.657776877214</v>
      </c>
      <c r="D7" s="52" t="n">
        <f aca="false">('DCF Model'!G52/(1+$B$7)^1+'DCF Model'!H52/(1+$B$7)^2+'DCF Model'!I52/(1+$B$7)^3+'DCF Model'!J52/(1+$B$7)^4+'DCF Model'!K52/(1+$B$7)^5+('DCF Model'!K52*(1+D$5)/($B$7-D$5))/(1+$B$7)^5-6660+6600)/410.5</f>
        <v>369.34593201458</v>
      </c>
      <c r="E7" s="52" t="n">
        <f aca="false">('DCF Model'!G52/(1+$B$7)^1+'DCF Model'!H52/(1+$B$7)^2+'DCF Model'!I52/(1+$B$7)^3+'DCF Model'!J52/(1+$B$7)^4+'DCF Model'!K52/(1+$B$7)^5+('DCF Model'!K52*(1+E$5)/($B$7-E$5))/(1+$B$7)^5-6660+6600)/410.5</f>
        <v>392.063034096158</v>
      </c>
      <c r="F7" s="52" t="n">
        <f aca="false">('DCF Model'!G52/(1+$B$7)^1+'DCF Model'!H52/(1+$B$7)^2+'DCF Model'!I52/(1+$B$7)^3+'DCF Model'!J52/(1+$B$7)^4+'DCF Model'!K52/(1+$B$7)^5+('DCF Model'!K52*(1+F$5)/($B$7-F$5))/(1+$B$7)^5-6660+6600)/410.5</f>
        <v>418.566319857997</v>
      </c>
      <c r="G7" s="52" t="n">
        <f aca="false">('DCF Model'!G52/(1+$B$7)^1+'DCF Model'!H52/(1+$B$7)^2+'DCF Model'!I52/(1+$B$7)^3+'DCF Model'!J52/(1+$B$7)^4+'DCF Model'!K52/(1+$B$7)^5+('DCF Model'!K52*(1+G$5)/($B$7-G$5))/(1+$B$7)^5-6660+6600)/410.5</f>
        <v>449.888384849262</v>
      </c>
    </row>
    <row r="8" customFormat="false" ht="15" hidden="false" customHeight="false" outlineLevel="0" collapsed="false">
      <c r="B8" s="51" t="n">
        <v>0.105</v>
      </c>
      <c r="C8" s="52" t="n">
        <f aca="false">('DCF Model'!G52/(1+$B$8)^1+'DCF Model'!H52/(1+$B$8)^2+'DCF Model'!I52/(1+$B$8)^3+'DCF Model'!J52/(1+$B$8)^4+'DCF Model'!K52/(1+$B$8)^5+('DCF Model'!K52*(1+C$5)/($B$8-C$5))/(1+$B$8)^5-6660+6600)/410.5</f>
        <v>306.872412592475</v>
      </c>
      <c r="D8" s="52" t="n">
        <f aca="false">('DCF Model'!G52/(1+$B$8)^1+'DCF Model'!H52/(1+$B$8)^2+'DCF Model'!I52/(1+$B$8)^3+'DCF Model'!J52/(1+$B$8)^4+'DCF Model'!K52/(1+$B$8)^5+('DCF Model'!K52*(1+D$5)/($B$8-D$5))/(1+$B$8)^5-6660+6600)/410.5</f>
        <v>321.530009634402</v>
      </c>
      <c r="E8" s="53" t="n">
        <f aca="false">('DCF Model'!G52/(1+$B$8)^1+'DCF Model'!H52/(1+$B$8)^2+'DCF Model'!I52/(1+$B$8)^3+'DCF Model'!J52/(1+$B$8)^4+'DCF Model'!K52/(1+$B$8)^5+('DCF Model'!K52*(1+E$5)/($B$8-E$5))/(1+$B$8)^5-6660+6600)/410.5</f>
        <v>338.141952948587</v>
      </c>
      <c r="F8" s="52" t="n">
        <f aca="false">('DCF Model'!G52/(1+$B$8)^1+'DCF Model'!H52/(1+$B$8)^2+'DCF Model'!I52/(1+$B$8)^3+'DCF Model'!J52/(1+$B$8)^4+'DCF Model'!K52/(1+$B$8)^5+('DCF Model'!K52*(1+F$5)/($B$8-F$5))/(1+$B$8)^5-6660+6600)/410.5</f>
        <v>357.127031021941</v>
      </c>
      <c r="G8" s="52" t="n">
        <f aca="false">('DCF Model'!G52/(1+$B$8)^1+'DCF Model'!H52/(1+$B$8)^2+'DCF Model'!I52/(1+$B$8)^3+'DCF Model'!J52/(1+$B$8)^4+'DCF Model'!K52/(1+$B$8)^5+('DCF Model'!K52*(1+G$5)/($B$8-G$5))/(1+$B$8)^5-6660+6600)/410.5</f>
        <v>379.032890337349</v>
      </c>
    </row>
    <row r="9" customFormat="false" ht="15" hidden="false" customHeight="false" outlineLevel="0" collapsed="false">
      <c r="B9" s="51" t="n">
        <v>0.115</v>
      </c>
      <c r="C9" s="52" t="n">
        <f aca="false">('DCF Model'!G52/(1+$B$9)^1+'DCF Model'!H52/(1+$B$9)^2+'DCF Model'!I52/(1+$B$9)^3+'DCF Model'!J52/(1+$B$9)^4+'DCF Model'!K52/(1+$B$9)^5+('DCF Model'!K52*(1+C$5)/($B$9-C$5))/(1+$B$9)^5-6660+6600)/410.5</f>
        <v>273.145641693606</v>
      </c>
      <c r="D9" s="52" t="n">
        <f aca="false">('DCF Model'!G52/(1+$B$9)^1+'DCF Model'!H52/(1+$B$9)^2+'DCF Model'!I52/(1+$B$9)^3+'DCF Model'!J52/(1+$B$9)^4+'DCF Model'!K52/(1+$B$9)^5+('DCF Model'!K52*(1+D$5)/($B$9-D$5))/(1+$B$9)^5-6660+6600)/410.5</f>
        <v>284.390531881319</v>
      </c>
      <c r="E9" s="52" t="n">
        <f aca="false">('DCF Model'!G52/(1+$B$9)^1+'DCF Model'!H52/(1+$B$9)^2+'DCF Model'!I52/(1+$B$9)^3+'DCF Model'!J52/(1+$B$9)^4+'DCF Model'!K52/(1+$B$9)^5+('DCF Model'!K52*(1+E$5)/($B$9-E$5))/(1+$B$9)^5-6660+6600)/410.5</f>
        <v>296.95835032641</v>
      </c>
      <c r="F9" s="52" t="n">
        <f aca="false">('DCF Model'!G52/(1+$B$9)^1+'DCF Model'!H52/(1+$B$9)^2+'DCF Model'!I52/(1+$B$9)^3+'DCF Model'!J52/(1+$B$9)^4+'DCF Model'!K52/(1+$B$9)^5+('DCF Model'!K52*(1+F$5)/($B$9-F$5))/(1+$B$9)^5-6660+6600)/410.5</f>
        <v>311.097146077137</v>
      </c>
      <c r="G9" s="52" t="n">
        <f aca="false">('DCF Model'!G52/(1+$B$9)^1+'DCF Model'!H52/(1+$B$9)^2+'DCF Model'!I52/(1+$B$9)^3+'DCF Model'!J52/(1+$B$9)^4+'DCF Model'!K52/(1+$B$9)^5+('DCF Model'!K52*(1+G$5)/($B$9-G$5))/(1+$B$9)^5-6660+6600)/410.5</f>
        <v>327.121114594628</v>
      </c>
    </row>
    <row r="10" customFormat="false" ht="15" hidden="false" customHeight="false" outlineLevel="0" collapsed="false">
      <c r="B10" s="51" t="n">
        <v>0.125</v>
      </c>
      <c r="C10" s="52" t="n">
        <f aca="false">('DCF Model'!G52/(1+$B$10)^1+'DCF Model'!H52/(1+$B$10)^2+'DCF Model'!I52/(1+$B$10)^3+'DCF Model'!J52/(1+$B$10)^4+'DCF Model'!K52/(1+$B$10)^5+('DCF Model'!K52*(1+C$5)/($B$10-C$5))/(1+$B$10)^5-6660+6600)/410.5</f>
        <v>245.887178420212</v>
      </c>
      <c r="D10" s="52" t="n">
        <f aca="false">('DCF Model'!G52/(1+$B$10)^1+'DCF Model'!H52/(1+$B$10)^2+'DCF Model'!I52/(1+$B$10)^3+'DCF Model'!J52/(1+$B$10)^4+'DCF Model'!K52/(1+$B$10)^5+('DCF Model'!K52*(1+D$5)/($B$10-D$5))/(1+$B$10)^5-6660+6600)/410.5</f>
        <v>254.722480732292</v>
      </c>
      <c r="E10" s="52" t="n">
        <f aca="false">('DCF Model'!G52/(1+$B$10)^1+'DCF Model'!H52/(1+$B$10)^2+'DCF Model'!I52/(1+$B$10)^3+'DCF Model'!J52/(1+$B$10)^4+'DCF Model'!K52/(1+$B$10)^5+('DCF Model'!K52*(1+E$5)/($B$10-E$5))/(1+$B$10)^5-6660+6600)/410.5</f>
        <v>264.487814866697</v>
      </c>
      <c r="F10" s="52" t="n">
        <f aca="false">('DCF Model'!G52/(1+$B$10)^1+'DCF Model'!H52/(1+$B$10)^2+'DCF Model'!I52/(1+$B$10)^3+'DCF Model'!J52/(1+$B$10)^4+'DCF Model'!K52/(1+$B$10)^5+('DCF Model'!K52*(1+F$5)/($B$10-F$5))/(1+$B$10)^5-6660+6600)/410.5</f>
        <v>275.338186127146</v>
      </c>
      <c r="G10" s="52" t="n">
        <f aca="false">('DCF Model'!G52/(1+$B$10)^1+'DCF Model'!H52/(1+$B$10)^2+'DCF Model'!I52/(1+$B$10)^3+'DCF Model'!J52/(1+$B$10)^4+'DCF Model'!K52/(1+$B$10)^5+('DCF Model'!K52*(1+G$5)/($B$10-G$5))/(1+$B$10)^5-6660+6600)/410.5</f>
        <v>287.465071653531</v>
      </c>
    </row>
    <row r="11" customFormat="false" ht="15" hidden="false" customHeight="false" outlineLevel="0" collapsed="false">
      <c r="B11" s="51" t="n">
        <v>0.135</v>
      </c>
      <c r="C11" s="52" t="n">
        <f aca="false">('DCF Model'!G52/(1+$B$11)^1+'DCF Model'!H52/(1+$B$11)^2+'DCF Model'!I52/(1+$B$11)^3+'DCF Model'!J52/(1+$B$11)^4+'DCF Model'!K52/(1+$B$11)^5+('DCF Model'!K52*(1+C$5)/($B$11-C$5))/(1+$B$11)^5-6660+6600)/410.5</f>
        <v>223.407812964053</v>
      </c>
      <c r="D11" s="52" t="n">
        <f aca="false">('DCF Model'!G52/(1+$B$11)^1+'DCF Model'!H52/(1+$B$11)^2+'DCF Model'!I52/(1+$B$11)^3+'DCF Model'!J52/(1+$B$11)^4+'DCF Model'!K52/(1+$B$11)^5+('DCF Model'!K52*(1+D$5)/($B$11-D$5))/(1+$B$11)^5-6660+6600)/410.5</f>
        <v>230.486404155319</v>
      </c>
      <c r="E11" s="52" t="n">
        <f aca="false">('DCF Model'!G52/(1+$B$11)^1+'DCF Model'!H52/(1+$B$11)^2+'DCF Model'!I52/(1+$B$11)^3+'DCF Model'!J52/(1+$B$11)^4+'DCF Model'!K52/(1+$B$11)^5+('DCF Model'!K52*(1+E$5)/($B$11-E$5))/(1+$B$11)^5-6660+6600)/410.5</f>
        <v>238.239146888611</v>
      </c>
      <c r="F11" s="52" t="n">
        <f aca="false">('DCF Model'!G52/(1+$B$11)^1+'DCF Model'!H52/(1+$B$11)^2+'DCF Model'!I52/(1+$B$11)^3+'DCF Model'!J52/(1+$B$11)^4+'DCF Model'!K52/(1+$B$11)^5+('DCF Model'!K52*(1+F$5)/($B$11-F$5))/(1+$B$11)^5-6660+6600)/410.5</f>
        <v>246.767163895232</v>
      </c>
      <c r="G11" s="52" t="n">
        <f aca="false">('DCF Model'!G52/(1+$B$11)^1+'DCF Model'!H52/(1+$B$11)^2+'DCF Model'!I52/(1+$B$11)^3+'DCF Model'!J52/(1+$B$11)^4+'DCF Model'!K52/(1+$B$11)^5+('DCF Model'!K52*(1+G$5)/($B$11-G$5))/(1+$B$11)^5-6660+6600)/410.5</f>
        <v>256.192866902549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2026-02-17T02:50:40Z</dcterms:created>
  <dc:creator>openpyxl</dc:creator>
  <dc:description/>
  <dc:language>en-US</dc:language>
  <cp:lastModifiedBy/>
  <dcterms:modified xsi:type="dcterms:W3CDTF">2026-02-17T02:50:40Z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