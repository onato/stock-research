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ny Overview" sheetId="1" state="visible" r:id="rId3"/>
    <sheet name="Historical Financials" sheetId="2" state="visible" r:id="rId4"/>
    <sheet name="DCF Assumptions" sheetId="3" state="visible" r:id="rId5"/>
    <sheet name="DCF Model" sheetId="4" state="visible" r:id="rId6"/>
    <sheet name="Sensitivity Analysis" sheetId="5" state="visible" r:id="rId7"/>
    <sheet name="Investment 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<sst xmlns="http://schemas.openxmlformats.org/spreadsheetml/2006/main" count="224" uniqueCount="183">
  <si>
    <t xml:space="preserve">ADOBE INC. (NASDAQ: ADBE) - DCF VALUATION MODEL</t>
  </si>
  <si>
    <t xml:space="preserve">Analysis Date: January 2, 2026</t>
  </si>
  <si>
    <t xml:space="preserve">COMPANY OVERVIEW</t>
  </si>
  <si>
    <t xml:space="preserve">Ticker</t>
  </si>
  <si>
    <t xml:space="preserve">ADBE</t>
  </si>
  <si>
    <t xml:space="preserve">Company Name</t>
  </si>
  <si>
    <t xml:space="preserve">Adobe Inc.</t>
  </si>
  <si>
    <t xml:space="preserve">Exchange</t>
  </si>
  <si>
    <t xml:space="preserve">NASDAQ</t>
  </si>
  <si>
    <t xml:space="preserve">Sector</t>
  </si>
  <si>
    <t xml:space="preserve">Technology</t>
  </si>
  <si>
    <t xml:space="preserve">Industry</t>
  </si>
  <si>
    <t xml:space="preserve">Software - Application</t>
  </si>
  <si>
    <t xml:space="preserve">Headquarters</t>
  </si>
  <si>
    <t xml:space="preserve">San Jose, California</t>
  </si>
  <si>
    <t xml:space="preserve">Employees</t>
  </si>
  <si>
    <t xml:space="preserve">30,000+</t>
  </si>
  <si>
    <t xml:space="preserve">Fiscal Year End</t>
  </si>
  <si>
    <t xml:space="preserve">November</t>
  </si>
  <si>
    <t xml:space="preserve">MARKET DATA</t>
  </si>
  <si>
    <t xml:space="preserve">Current Stock Price ($)</t>
  </si>
  <si>
    <t xml:space="preserve">Source: Market data, Jan 2, 2026</t>
  </si>
  <si>
    <t xml:space="preserve">Shares Outstanding (M)</t>
  </si>
  <si>
    <t xml:space="preserve">Source: Company filings</t>
  </si>
  <si>
    <t xml:space="preserve">Market Cap ($B)</t>
  </si>
  <si>
    <t xml:space="preserve">Total Debt ($B)</t>
  </si>
  <si>
    <t xml:space="preserve">Source: FY2025 10-K</t>
  </si>
  <si>
    <t xml:space="preserve">Cash &amp; Equivalents ($B)</t>
  </si>
  <si>
    <t xml:space="preserve">Enterprise Value ($B)</t>
  </si>
  <si>
    <t xml:space="preserve">KEY FINANCIAL METRICS (FY2025)</t>
  </si>
  <si>
    <t xml:space="preserve">Revenue ($B)</t>
  </si>
  <si>
    <t xml:space="preserve">Source: FY2025 Earnings, Dec 2025</t>
  </si>
  <si>
    <t xml:space="preserve">Revenue Growth YoY (%)</t>
  </si>
  <si>
    <t xml:space="preserve">11%</t>
  </si>
  <si>
    <t xml:space="preserve">Gross Margin (%)</t>
  </si>
  <si>
    <t xml:space="preserve">89%</t>
  </si>
  <si>
    <t xml:space="preserve">Non-GAAP Operating Margin (%)</t>
  </si>
  <si>
    <t xml:space="preserve">46%</t>
  </si>
  <si>
    <t xml:space="preserve">GAAP Net Income ($B)</t>
  </si>
  <si>
    <t xml:space="preserve">Non-GAAP Net Income ($B)</t>
  </si>
  <si>
    <t xml:space="preserve">Operating Cash Flow ($B)</t>
  </si>
  <si>
    <t xml:space="preserve">Free Cash Flow ($B)</t>
  </si>
  <si>
    <t xml:space="preserve">Total ARR ($B)</t>
  </si>
  <si>
    <t xml:space="preserve">GAAP EPS ($)</t>
  </si>
  <si>
    <t xml:space="preserve">Non-GAAP EPS ($)</t>
  </si>
  <si>
    <t xml:space="preserve">BUSINESS SEGMENTS (FY2025)</t>
  </si>
  <si>
    <t xml:space="preserve">Segment</t>
  </si>
  <si>
    <t xml:space="preserve">% of Total</t>
  </si>
  <si>
    <t xml:space="preserve">Digital Media</t>
  </si>
  <si>
    <t xml:space="preserve">Digital Experience</t>
  </si>
  <si>
    <t xml:space="preserve">Total Revenue</t>
  </si>
  <si>
    <t xml:space="preserve">100%</t>
  </si>
  <si>
    <t xml:space="preserve">ADOBE INC. - HISTORICAL FINANCIALS</t>
  </si>
  <si>
    <t xml:space="preserve">Metric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</si>
  <si>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</si>
  <si>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</si>
  <si>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</si>
  <si>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</si>
  <si>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</si>
  <si>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YoY Growth (%)</t>
  </si>
  <si>
    <t xml:space="preserve">Gross Profit ($B)</t>
  </si>
  <si>
    <t xml:space="preserve">Operating Income - GAAP ($B)</t>
  </si>
  <si>
    <t xml:space="preserve">Operating Margin - GAAP (%)</t>
  </si>
  <si>
    <t xml:space="preserve">Operating Income - Non-GAAP ($B)</t>
  </si>
  <si>
    <t xml:space="preserve">Operating Margin - Non-GAAP (%)</t>
  </si>
  <si>
    <t xml:space="preserve">Net Income - GAAP ($B)</t>
  </si>
  <si>
    <t xml:space="preserve">Net Margin - GAAP (%)</t>
  </si>
  <si>
    <t xml:space="preserve">Capital Expenditures ($B)</t>
  </si>
  <si>
    <t xml:space="preserve">FCF Margin (%)</t>
  </si>
  <si>
    <t xml:space="preserve">EPS - GAAP ($)</t>
  </si>
  <si>
    <t xml:space="preserve">EPS - Non-GAAP ($)</t>
  </si>
  <si>
    <t xml:space="preserve">DCF MODEL ASSUMPTIONS</t>
  </si>
  <si>
    <t xml:space="preserve">REVENUE GROWTH ASSUMPTIONS</t>
  </si>
  <si>
    <t xml:space="preserve">Period</t>
  </si>
  <si>
    <t xml:space="preserve">Growth Rate (%)</t>
  </si>
  <si>
    <t xml:space="preserve">Rationale</t>
  </si>
  <si>
    <t xml:space="preserve">FY2026E</t>
  </si>
  <si>
    <t xml:space="preserve">Analyst consensus ~10%, AI monetization</t>
  </si>
  <si>
    <t xml:space="preserve">FY2027E</t>
  </si>
  <si>
    <t xml:space="preserve">Moderating growth, competitive pressures</t>
  </si>
  <si>
    <t xml:space="preserve">FY2028E</t>
  </si>
  <si>
    <t xml:space="preserve">Continued moderation toward industry avg</t>
  </si>
  <si>
    <t xml:space="preserve">FY2029E</t>
  </si>
  <si>
    <t xml:space="preserve">Approaching steady state</t>
  </si>
  <si>
    <t xml:space="preserve">FY2030E</t>
  </si>
  <si>
    <t xml:space="preserve">Mature growth phase</t>
  </si>
  <si>
    <t xml:space="preserve">Terminal Growth Rate</t>
  </si>
  <si>
    <t xml:space="preserve">Long-term GDP growth rate</t>
  </si>
  <si>
    <t xml:space="preserve">MARGIN &amp; CONVERSION ASSUMPTIONS</t>
  </si>
  <si>
    <t xml:space="preserve">Value</t>
  </si>
  <si>
    <t xml:space="preserve">Notes</t>
  </si>
  <si>
    <t xml:space="preserve">Maintain ~89% historical level</t>
  </si>
  <si>
    <t xml:space="preserve">Operating Margin - Target (%)</t>
  </si>
  <si>
    <t xml:space="preserve">GAAP operating margin target</t>
  </si>
  <si>
    <t xml:space="preserve">D&amp;A as % of Revenue</t>
  </si>
  <si>
    <t xml:space="preserve">Based on historical trends</t>
  </si>
  <si>
    <t xml:space="preserve">CapEx as % of Revenue</t>
  </si>
  <si>
    <t xml:space="preserve">Low capital intensity, asset-light model</t>
  </si>
  <si>
    <t xml:space="preserve">NWC Change as % of Revenue Change</t>
  </si>
  <si>
    <t xml:space="preserve">Minimal working capital needs</t>
  </si>
  <si>
    <t xml:space="preserve">Tax Rate (%)</t>
  </si>
  <si>
    <t xml:space="preserve">Non-GAAP effective tax rate</t>
  </si>
  <si>
    <t xml:space="preserve">WACC CALCULATION</t>
  </si>
  <si>
    <t xml:space="preserve">Component</t>
  </si>
  <si>
    <t xml:space="preserve">Source/Notes</t>
  </si>
  <si>
    <t xml:space="preserve">Risk-Free Rate (%)</t>
  </si>
  <si>
    <t xml:space="preserve">10-Year US Treasury yield</t>
  </si>
  <si>
    <t xml:space="preserve">Equity Risk Premium (%)</t>
  </si>
  <si>
    <t xml:space="preserve">Historical market premium</t>
  </si>
  <si>
    <t xml:space="preserve">Beta (Levered)</t>
  </si>
  <si>
    <t xml:space="preserve">5-year monthly beta vs S&amp;P 500</t>
  </si>
  <si>
    <t xml:space="preserve">Cost of Equity (%)</t>
  </si>
  <si>
    <t xml:space="preserve">CAPM: Rf + Beta * ERP</t>
  </si>
  <si>
    <t xml:space="preserve">Pre-Tax Cost of Debt (%)</t>
  </si>
  <si>
    <t xml:space="preserve">Based on credit rating</t>
  </si>
  <si>
    <t xml:space="preserve">Effective tax rate</t>
  </si>
  <si>
    <t xml:space="preserve">After-Tax Cost of Debt (%)</t>
  </si>
  <si>
    <t xml:space="preserve">Weight of Equity (%)</t>
  </si>
  <si>
    <t xml:space="preserve">Market cap / Enterprise value</t>
  </si>
  <si>
    <t xml:space="preserve">Weight of Debt (%)</t>
  </si>
  <si>
    <t xml:space="preserve">WACC (%)</t>
  </si>
  <si>
    <t xml:space="preserve">Weighted average cost of capital</t>
  </si>
  <si>
    <t xml:space="preserve">DISCOUNTED CASH FLOW VALUATION</t>
  </si>
  <si>
    <t xml:space="preserve">Key Assumptions (from Assumptions sheet)</t>
  </si>
  <si>
    <t xml:space="preserve">WACC</t>
  </si>
  <si>
    <t xml:space="preserve">REVENUE PROJECTIONS ($B)</t>
  </si>
  <si>
    <t xml:space="preserve">FY2025A</t>
  </si>
  <si>
    <t xml:space="preserve">FREE CASH FLOW BUILD ($B)</t>
  </si>
  <si>
    <t xml:space="preserve">Revenue</t>
  </si>
  <si>
    <t xml:space="preserve">Operating Margin (%)</t>
  </si>
  <si>
    <t xml:space="preserve">EBIT (Operating Income)</t>
  </si>
  <si>
    <t xml:space="preserve">Less: Taxes</t>
  </si>
  <si>
    <t xml:space="preserve">NOPAT (Net Op. Profit After Tax)</t>
  </si>
  <si>
    <t xml:space="preserve">Plus: D&amp;A</t>
  </si>
  <si>
    <t xml:space="preserve">Less: CapEx</t>
  </si>
  <si>
    <t xml:space="preserve">Less: Change in NWC</t>
  </si>
  <si>
    <t xml:space="preserve">Unlevered Free Cash Flow</t>
  </si>
  <si>
    <t xml:space="preserve">DCF VALUATION ($B)</t>
  </si>
  <si>
    <t xml:space="preserve">Terminal</t>
  </si>
  <si>
    <t xml:space="preserve">Unlevered FCF</t>
  </si>
  <si>
    <t xml:space="preserve">Terminal Value</t>
  </si>
  <si>
    <t xml:space="preserve">Discount Period</t>
  </si>
  <si>
    <t xml:space="preserve">Discount Factor</t>
  </si>
  <si>
    <t xml:space="preserve">Present Value of FCF</t>
  </si>
  <si>
    <t xml:space="preserve">VALUATION SUMMARY</t>
  </si>
  <si>
    <t xml:space="preserve">Sum of PV of FCFs ($B)</t>
  </si>
  <si>
    <t xml:space="preserve">PV of Terminal Value ($B)</t>
  </si>
  <si>
    <t xml:space="preserve">Less: Total Debt ($B)</t>
  </si>
  <si>
    <t xml:space="preserve">Plus: Cash ($B)</t>
  </si>
  <si>
    <t xml:space="preserve">Equity Value ($B)</t>
  </si>
  <si>
    <t xml:space="preserve">Implied Share Price ($)</t>
  </si>
  <si>
    <t xml:space="preserve">Current Share Price ($)</t>
  </si>
  <si>
    <t xml:space="preserve">Upside / (Downside) (%)</t>
  </si>
  <si>
    <t xml:space="preserve">SENSITIVITY ANALYSIS</t>
  </si>
  <si>
    <t xml:space="preserve">IMPLIED SHARE PRICE SENSITIVITY: WACC vs TERMINAL GROWTH RATE</t>
  </si>
  <si>
    <t xml:space="preserve">Base Case Share Price ($)</t>
  </si>
  <si>
    <t xml:space="preserve">Base WACC (%)</t>
  </si>
  <si>
    <t xml:space="preserve">Base Terminal Growth (%)</t>
  </si>
  <si>
    <t xml:space="preserve">Terminal Growth Rate (%)</t>
  </si>
  <si>
    <t xml:space="preserve">ADOBE INC. - INVESTMENT SUMMARY</t>
  </si>
  <si>
    <t xml:space="preserve">As of Jan 2, 2026</t>
  </si>
  <si>
    <t xml:space="preserve">DCF Implied Value ($)</t>
  </si>
  <si>
    <t xml:space="preserve">Base case scenario</t>
  </si>
  <si>
    <t xml:space="preserve">DCF-derived</t>
  </si>
  <si>
    <t xml:space="preserve">EV / Revenue (FY25)</t>
  </si>
  <si>
    <t xml:space="preserve">EV / EBITDA (FY25)</t>
  </si>
  <si>
    <t xml:space="preserve">~10B EBITDA estimate</t>
  </si>
  <si>
    <t xml:space="preserve">P/E Ratio (GAAP)</t>
  </si>
  <si>
    <t xml:space="preserve">P/E Ratio (Non-GAAP)</t>
  </si>
  <si>
    <t xml:space="preserve">FCF Yield (%)</t>
  </si>
  <si>
    <t xml:space="preserve">KEY INVESTMENT THESIS POINTS</t>
  </si>
  <si>
    <t xml:space="preserve">1. Market Leader: Dominant position in creative software (Photoshop, Illustrator, Premiere Pro) with ~89% gross margins</t>
  </si>
  <si>
    <t xml:space="preserve">2. AI Integration: Firefly AI and generative AI features driving new revenue streams and competitive moat</t>
  </si>
  <si>
    <t xml:space="preserve">3. Subscription Model: ~97%+ recurring revenue provides visibility and stability (ARR of $25.2B)</t>
  </si>
  <si>
    <t xml:space="preserve">4. Strong FCF Generation: ~$10B annual FCF supports buybacks and strategic investments</t>
  </si>
  <si>
    <t xml:space="preserve">5. Document Cloud Growth: Acrobat and PDF services growing 15%+ with AI-powered features</t>
  </si>
  <si>
    <t xml:space="preserve">6. Enterprise Opportunity: Experience Cloud gaining traction with enterprise digital marketing</t>
  </si>
  <si>
    <t xml:space="preserve">KEY RISKS</t>
  </si>
  <si>
    <t xml:space="preserve">1. AI Competition: Emerging AI tools (Canva, Figma, open-source) challenging Creative Cloud dominance</t>
  </si>
  <si>
    <t xml:space="preserve">2. Valuation: Trading at premium multiples despite decelerating growth</t>
  </si>
  <si>
    <t xml:space="preserve">3. Failed Figma Acquisition: $20B deal termination signals regulatory challenges for M&amp;A growth</t>
  </si>
  <si>
    <t xml:space="preserve">4. Macro Sensitivity: Marketing/creative budgets susceptible to economic downturns</t>
  </si>
  <si>
    <t xml:space="preserve">5. Seat Count Pressure: AI may reduce per-user demand in some workflows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</si>
</sst>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80"/>
      <name val="Cambria"/>
      <family val="0"/>
      <charset val="1"/>
    </font>
    <font>
      <b val="true"/>
      <sz val="14"/>
      <color rgb="FF000080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8"/>
    <col collapsed="false" customWidth="true" hidden="false" outlineLevel="0" max="3" min="3" style="1" width="40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1" t="s">
        <v>1</v>
      </c>
    </row>
    <row r="4" customFormat="false" ht="17.25" hidden="false" customHeight="true" outlineLevel="0" collapsed="false">
      <c r="A4" s="3" t="s">
        <v>2</v>
      </c>
      <c r="B4" s="3"/>
      <c r="C4" s="3"/>
    </row>
    <row r="5" customFormat="false" ht="15" hidden="false" customHeight="true" outlineLevel="0" collapsed="false">
      <c r="A5" s="4" t="s">
        <v>3</v>
      </c>
      <c r="B5" s="1" t="s">
        <v>4</v>
      </c>
    </row>
    <row r="6" customFormat="false" ht="15" hidden="false" customHeight="true" outlineLevel="0" collapsed="false">
      <c r="A6" s="4" t="s">
        <v>5</v>
      </c>
      <c r="B6" s="1" t="s">
        <v>6</v>
      </c>
    </row>
    <row r="7" customFormat="false" ht="15" hidden="false" customHeight="true" outlineLevel="0" collapsed="false">
      <c r="A7" s="4" t="s">
        <v>7</v>
      </c>
      <c r="B7" s="1" t="s">
        <v>8</v>
      </c>
    </row>
    <row r="8" customFormat="false" ht="15" hidden="false" customHeight="true" outlineLevel="0" collapsed="false">
      <c r="A8" s="4" t="s">
        <v>9</v>
      </c>
      <c r="B8" s="1" t="s">
        <v>10</v>
      </c>
    </row>
    <row r="9" customFormat="false" ht="15" hidden="false" customHeight="true" outlineLevel="0" collapsed="false">
      <c r="A9" s="4" t="s">
        <v>11</v>
      </c>
      <c r="B9" s="1" t="s">
        <v>12</v>
      </c>
    </row>
    <row r="10" customFormat="false" ht="15" hidden="false" customHeight="true" outlineLevel="0" collapsed="false">
      <c r="A10" s="4" t="s">
        <v>13</v>
      </c>
      <c r="B10" s="1" t="s">
        <v>14</v>
      </c>
    </row>
    <row r="11" customFormat="false" ht="15" hidden="false" customHeight="true" outlineLevel="0" collapsed="false">
      <c r="A11" s="4" t="s">
        <v>15</v>
      </c>
      <c r="B11" s="1" t="s">
        <v>16</v>
      </c>
    </row>
    <row r="12" customFormat="false" ht="15" hidden="false" customHeight="true" outlineLevel="0" collapsed="false">
      <c r="A12" s="4" t="s">
        <v>17</v>
      </c>
      <c r="B12" s="1" t="s">
        <v>18</v>
      </c>
    </row>
    <row r="15" customFormat="false" ht="17.25" hidden="false" customHeight="true" outlineLevel="0" collapsed="false">
      <c r="A15" s="3" t="s">
        <v>19</v>
      </c>
      <c r="B15" s="3"/>
      <c r="C15" s="3"/>
    </row>
    <row r="16" customFormat="false" ht="15" hidden="false" customHeight="true" outlineLevel="0" collapsed="false">
      <c r="A16" s="4" t="s">
        <v>20</v>
      </c>
      <c r="B16" s="5" t="n">
        <v>350</v>
      </c>
      <c r="C16" s="1" t="s">
        <v>21</v>
      </c>
    </row>
    <row r="17" customFormat="false" ht="15" hidden="false" customHeight="true" outlineLevel="0" collapsed="false">
      <c r="A17" s="4" t="s">
        <v>22</v>
      </c>
      <c r="B17" s="5" t="n">
        <v>418.6</v>
      </c>
      <c r="C17" s="1" t="s">
        <v>23</v>
      </c>
    </row>
    <row r="18" customFormat="false" ht="15" hidden="false" customHeight="true" outlineLevel="0" collapsed="false">
      <c r="A18" s="4" t="s">
        <v>24</v>
      </c>
      <c r="B18" s="6" t="n">
        <f aca="false">B16*B17/1000</f>
        <v>146.51</v>
      </c>
    </row>
    <row r="19" customFormat="false" ht="15" hidden="false" customHeight="true" outlineLevel="0" collapsed="false">
      <c r="A19" s="4" t="s">
        <v>25</v>
      </c>
      <c r="B19" s="5" t="n">
        <v>6.5</v>
      </c>
      <c r="C19" s="1" t="s">
        <v>26</v>
      </c>
    </row>
    <row r="20" customFormat="false" ht="15" hidden="false" customHeight="true" outlineLevel="0" collapsed="false">
      <c r="A20" s="4" t="s">
        <v>27</v>
      </c>
      <c r="B20" s="5" t="n">
        <v>7.5</v>
      </c>
      <c r="C20" s="1" t="s">
        <v>26</v>
      </c>
    </row>
    <row r="21" customFormat="false" ht="15" hidden="false" customHeight="true" outlineLevel="0" collapsed="false">
      <c r="A21" s="4" t="s">
        <v>28</v>
      </c>
      <c r="B21" s="6" t="n">
        <f aca="false">B18+B19-B20</f>
        <v>145.51</v>
      </c>
    </row>
    <row r="24" customFormat="false" ht="17.25" hidden="false" customHeight="true" outlineLevel="0" collapsed="false">
      <c r="A24" s="3" t="s">
        <v>29</v>
      </c>
      <c r="B24" s="3"/>
      <c r="C24" s="3"/>
    </row>
    <row r="25" customFormat="false" ht="15" hidden="false" customHeight="true" outlineLevel="0" collapsed="false">
      <c r="A25" s="4" t="s">
        <v>30</v>
      </c>
      <c r="B25" s="5" t="n">
        <v>23.77</v>
      </c>
      <c r="C25" s="1" t="s">
        <v>31</v>
      </c>
    </row>
    <row r="26" customFormat="false" ht="15" hidden="false" customHeight="true" outlineLevel="0" collapsed="false">
      <c r="A26" s="4" t="s">
        <v>32</v>
      </c>
      <c r="B26" s="1" t="s">
        <v>33</v>
      </c>
    </row>
    <row r="27" customFormat="false" ht="15" hidden="false" customHeight="true" outlineLevel="0" collapsed="false">
      <c r="A27" s="4" t="s">
        <v>34</v>
      </c>
      <c r="B27" s="1" t="s">
        <v>35</v>
      </c>
    </row>
    <row r="28" customFormat="false" ht="15" hidden="false" customHeight="true" outlineLevel="0" collapsed="false">
      <c r="A28" s="4" t="s">
        <v>36</v>
      </c>
      <c r="B28" s="1" t="s">
        <v>37</v>
      </c>
    </row>
    <row r="29" customFormat="false" ht="15" hidden="false" customHeight="true" outlineLevel="0" collapsed="false">
      <c r="A29" s="4" t="s">
        <v>38</v>
      </c>
      <c r="B29" s="5" t="n">
        <v>7.13</v>
      </c>
    </row>
    <row r="30" customFormat="false" ht="15" hidden="false" customHeight="true" outlineLevel="0" collapsed="false">
      <c r="A30" s="4" t="s">
        <v>39</v>
      </c>
      <c r="B30" s="5" t="n">
        <v>8.94</v>
      </c>
    </row>
    <row r="31" customFormat="false" ht="15" hidden="false" customHeight="true" outlineLevel="0" collapsed="false">
      <c r="A31" s="4" t="s">
        <v>40</v>
      </c>
      <c r="B31" s="5" t="n">
        <v>10.03</v>
      </c>
    </row>
    <row r="32" customFormat="false" ht="15" hidden="false" customHeight="true" outlineLevel="0" collapsed="false">
      <c r="A32" s="4" t="s">
        <v>41</v>
      </c>
      <c r="B32" s="5" t="n">
        <v>9.9</v>
      </c>
    </row>
    <row r="33" customFormat="false" ht="15" hidden="false" customHeight="true" outlineLevel="0" collapsed="false">
      <c r="A33" s="4" t="s">
        <v>42</v>
      </c>
      <c r="B33" s="5" t="n">
        <v>25.2</v>
      </c>
    </row>
    <row r="34" customFormat="false" ht="15" hidden="false" customHeight="true" outlineLevel="0" collapsed="false">
      <c r="A34" s="4" t="s">
        <v>43</v>
      </c>
      <c r="B34" s="5" t="n">
        <v>16.7</v>
      </c>
    </row>
    <row r="35" customFormat="false" ht="15" hidden="false" customHeight="true" outlineLevel="0" collapsed="false">
      <c r="A35" s="4" t="s">
        <v>44</v>
      </c>
      <c r="B35" s="5" t="n">
        <v>20.94</v>
      </c>
    </row>
    <row r="38" customFormat="false" ht="17.25" hidden="false" customHeight="true" outlineLevel="0" collapsed="false">
      <c r="A38" s="7" t="s">
        <v>45</v>
      </c>
    </row>
    <row r="39" customFormat="false" ht="15" hidden="false" customHeight="true" outlineLevel="0" collapsed="false">
      <c r="A39" s="8" t="s">
        <v>46</v>
      </c>
      <c r="B39" s="8" t="s">
        <v>30</v>
      </c>
      <c r="C39" s="8" t="s">
        <v>47</v>
      </c>
    </row>
    <row r="40" customFormat="false" ht="15" hidden="false" customHeight="true" outlineLevel="0" collapsed="false">
      <c r="A40" s="1" t="s">
        <v>48</v>
      </c>
      <c r="B40" s="5" t="n">
        <v>17.65</v>
      </c>
      <c r="C40" s="1" t="n">
        <f aca="false">B40/B42</f>
        <v>0.742532604122844</v>
      </c>
    </row>
    <row r="41" customFormat="false" ht="15" hidden="false" customHeight="true" outlineLevel="0" collapsed="false">
      <c r="A41" s="1" t="s">
        <v>49</v>
      </c>
      <c r="B41" s="5" t="n">
        <v>6.12</v>
      </c>
      <c r="C41" s="1" t="n">
        <f aca="false">B41/B42</f>
        <v>0.257467395877156</v>
      </c>
    </row>
    <row r="42" customFormat="false" ht="15" hidden="false" customHeight="true" outlineLevel="0" collapsed="false">
      <c r="A42" s="1" t="s">
        <v>50</v>
      </c>
      <c r="B42" s="1" t="n">
        <f aca="false">B40+B41</f>
        <v>23.77</v>
      </c>
      <c r="C42" s="1" t="s">
        <v>51</v>
      </c>
    </row>
  </sheetData>
  <mergeCells count="4">
    <mergeCell ref="A1:F1"/>
    <mergeCell ref="A4:C4"/>
    <mergeCell ref="A15:C15"/>
    <mergeCell ref="A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18"/>
  </cols>
  <sheetData>
    <row r="1" customFormat="false" ht="17.25" hidden="false" customHeight="true" outlineLevel="0" collapsed="false">
      <c r="A1" s="3" t="s">
        <v>52</v>
      </c>
      <c r="B1" s="3"/>
      <c r="C1" s="3"/>
      <c r="D1" s="3"/>
      <c r="E1" s="3"/>
      <c r="F1" s="3"/>
      <c r="G1" s="3"/>
    </row>
    <row r="3" customFormat="false" ht="15" hidden="false" customHeight="true" outlineLevel="0" collapsed="false">
      <c r="A3" s="9" t="s">
        <v>53</v>
      </c>
      <c r="B3" s="9" t="s">
        <v>54</v>
      </c>
      <c r="C3" s="9" t="s">
        <v>55</v>
      </c>
      <c r="D3" s="9" t="s">
        <v>56</v>
      </c>
      <c r="E3" s="9" t="s">
        <v>57</v>
      </c>
      <c r="F3" s="9" t="s">
        <v>58</v>
      </c>
    </row>
    <row r="4" customFormat="false" ht="15" hidden="false" customHeight="true" outlineLevel="0" collapsed="false">
      <c r="A4" s="10" t="s">
        <v>30</v>
      </c>
      <c r="B4" s="11" t="n">
        <v>15.79</v>
      </c>
      <c r="C4" s="11" t="n">
        <v>17.61</v>
      </c>
      <c r="D4" s="11" t="n">
        <v>19.41</v>
      </c>
      <c r="E4" s="11" t="n">
        <v>21.51</v>
      </c>
      <c r="F4" s="11" t="n">
        <v>23.77</v>
      </c>
    </row>
    <row r="5" customFormat="false" ht="15" hidden="false" customHeight="true" outlineLevel="0" collapsed="false">
      <c r="A5" s="10" t="s">
        <v>59</v>
      </c>
      <c r="B5" s="12"/>
      <c r="C5" s="12" t="n">
        <f aca="false">C4/B4-1</f>
        <v>0.115262824572514</v>
      </c>
      <c r="D5" s="12" t="n">
        <f aca="false">D4/C4-1</f>
        <v>0.10221465076661</v>
      </c>
      <c r="E5" s="12" t="n">
        <f aca="false">E4/D4-1</f>
        <v>0.108191653786708</v>
      </c>
      <c r="F5" s="12" t="n">
        <f aca="false">F4/E4-1</f>
        <v>0.105067410506741</v>
      </c>
    </row>
    <row r="6" customFormat="false" ht="15" hidden="false" customHeight="true" outlineLevel="0" collapsed="false">
      <c r="A6" s="10" t="s">
        <v>60</v>
      </c>
      <c r="B6" s="11" t="n">
        <v>13.88</v>
      </c>
      <c r="C6" s="11" t="n">
        <v>15.28</v>
      </c>
      <c r="D6" s="11" t="n">
        <v>16.85</v>
      </c>
      <c r="E6" s="11" t="n">
        <v>18.76</v>
      </c>
      <c r="F6" s="11" t="n">
        <v>21.2</v>
      </c>
    </row>
    <row r="7" customFormat="false" ht="15" hidden="false" customHeight="true" outlineLevel="0" collapsed="false">
      <c r="A7" s="10" t="s">
        <v>34</v>
      </c>
      <c r="B7" s="12" t="n">
        <f aca="false">B6/B4</f>
        <v>0.879037365421153</v>
      </c>
      <c r="C7" s="12" t="n">
        <f aca="false">C6/C4</f>
        <v>0.867688813174333</v>
      </c>
      <c r="D7" s="12" t="n">
        <f aca="false">D6/D4</f>
        <v>0.86810922205049</v>
      </c>
      <c r="E7" s="12" t="n">
        <f aca="false">E6/E4</f>
        <v>0.872152487215249</v>
      </c>
      <c r="F7" s="12" t="n">
        <f aca="false">F6/F4</f>
        <v>0.891880521665966</v>
      </c>
    </row>
    <row r="8" customFormat="false" ht="15" hidden="false" customHeight="true" outlineLevel="0" collapsed="false">
      <c r="A8" s="10" t="s">
        <v>61</v>
      </c>
      <c r="B8" s="11" t="n">
        <v>4.8</v>
      </c>
      <c r="C8" s="11" t="n">
        <v>5.04</v>
      </c>
      <c r="D8" s="11" t="n">
        <v>5.44</v>
      </c>
      <c r="E8" s="11" t="n">
        <v>6.74</v>
      </c>
      <c r="F8" s="11" t="n">
        <v>8.71</v>
      </c>
    </row>
    <row r="9" customFormat="false" ht="15" hidden="false" customHeight="true" outlineLevel="0" collapsed="false">
      <c r="A9" s="10" t="s">
        <v>62</v>
      </c>
      <c r="B9" s="12" t="n">
        <f aca="false">B8/B4</f>
        <v>0.303989867004433</v>
      </c>
      <c r="C9" s="12" t="n">
        <f aca="false">C8/C4</f>
        <v>0.286201022146508</v>
      </c>
      <c r="D9" s="12" t="n">
        <f aca="false">D8/D4</f>
        <v>0.28026790314271</v>
      </c>
      <c r="E9" s="12" t="n">
        <f aca="false">E8/E4</f>
        <v>0.313342631334263</v>
      </c>
      <c r="F9" s="12" t="n">
        <f aca="false">F8/F4</f>
        <v>0.366428270929743</v>
      </c>
    </row>
    <row r="10" customFormat="false" ht="15" hidden="false" customHeight="true" outlineLevel="0" collapsed="false">
      <c r="A10" s="10" t="s">
        <v>63</v>
      </c>
      <c r="B10" s="11" t="n">
        <v>7.03</v>
      </c>
      <c r="C10" s="11" t="n">
        <v>7.74</v>
      </c>
      <c r="D10" s="11" t="n">
        <v>8.42</v>
      </c>
      <c r="E10" s="11" t="n">
        <v>10.02</v>
      </c>
      <c r="F10" s="11" t="n">
        <v>10.99</v>
      </c>
    </row>
    <row r="11" customFormat="false" ht="15" hidden="false" customHeight="true" outlineLevel="0" collapsed="false">
      <c r="A11" s="10" t="s">
        <v>64</v>
      </c>
      <c r="B11" s="12" t="n">
        <f aca="false">B10/B4</f>
        <v>0.44521849271691</v>
      </c>
      <c r="C11" s="12" t="n">
        <f aca="false">C10/C4</f>
        <v>0.439522998296423</v>
      </c>
      <c r="D11" s="12" t="n">
        <f aca="false">D10/D4</f>
        <v>0.433797011849562</v>
      </c>
      <c r="E11" s="12" t="n">
        <f aca="false">E10/E4</f>
        <v>0.465829846582985</v>
      </c>
      <c r="F11" s="12" t="n">
        <f aca="false">F10/F4</f>
        <v>0.462347496844762</v>
      </c>
    </row>
    <row r="12" customFormat="false" ht="15" hidden="false" customHeight="true" outlineLevel="0" collapsed="false">
      <c r="A12" s="10" t="s">
        <v>65</v>
      </c>
      <c r="B12" s="11" t="n">
        <v>4.82</v>
      </c>
      <c r="C12" s="11" t="n">
        <v>4.76</v>
      </c>
      <c r="D12" s="11" t="n">
        <v>5.43</v>
      </c>
      <c r="E12" s="11" t="n">
        <v>5.56</v>
      </c>
      <c r="F12" s="11" t="n">
        <v>7.13</v>
      </c>
    </row>
    <row r="13" customFormat="false" ht="15" hidden="false" customHeight="true" outlineLevel="0" collapsed="false">
      <c r="A13" s="10" t="s">
        <v>66</v>
      </c>
      <c r="B13" s="12" t="n">
        <f aca="false">B12/B4</f>
        <v>0.305256491450285</v>
      </c>
      <c r="C13" s="12" t="n">
        <f aca="false">C12/C4</f>
        <v>0.270300965360591</v>
      </c>
      <c r="D13" s="12" t="n">
        <f aca="false">D12/D4</f>
        <v>0.279752704791345</v>
      </c>
      <c r="E13" s="12" t="n">
        <f aca="false">E12/E4</f>
        <v>0.258484425848443</v>
      </c>
      <c r="F13" s="12" t="n">
        <f aca="false">F12/F4</f>
        <v>0.299957930164072</v>
      </c>
    </row>
    <row r="14" customFormat="false" ht="15" hidden="false" customHeight="true" outlineLevel="0" collapsed="false">
      <c r="A14" s="10" t="s">
        <v>40</v>
      </c>
      <c r="B14" s="11" t="n">
        <v>7.23</v>
      </c>
      <c r="C14" s="11" t="n">
        <v>7.84</v>
      </c>
      <c r="D14" s="11" t="n">
        <v>7.3</v>
      </c>
      <c r="E14" s="11" t="n">
        <v>8.06</v>
      </c>
      <c r="F14" s="11" t="n">
        <v>10.03</v>
      </c>
    </row>
    <row r="15" customFormat="false" ht="15" hidden="false" customHeight="true" outlineLevel="0" collapsed="false">
      <c r="A15" s="10" t="s">
        <v>67</v>
      </c>
      <c r="B15" s="11" t="n">
        <v>0.35</v>
      </c>
      <c r="C15" s="11" t="n">
        <v>0.44</v>
      </c>
      <c r="D15" s="11" t="n">
        <v>0.36</v>
      </c>
      <c r="E15" s="11" t="n">
        <v>0.19</v>
      </c>
      <c r="F15" s="11" t="n">
        <v>0.13</v>
      </c>
    </row>
    <row r="16" customFormat="false" ht="15" hidden="false" customHeight="true" outlineLevel="0" collapsed="false">
      <c r="A16" s="10" t="s">
        <v>41</v>
      </c>
      <c r="B16" s="12" t="n">
        <f aca="false">B14-B15</f>
        <v>6.88</v>
      </c>
      <c r="C16" s="12" t="n">
        <f aca="false">C14-C15</f>
        <v>7.4</v>
      </c>
      <c r="D16" s="12" t="n">
        <f aca="false">D14-D15</f>
        <v>6.94</v>
      </c>
      <c r="E16" s="12" t="n">
        <f aca="false">E14-E15</f>
        <v>7.87</v>
      </c>
      <c r="F16" s="12" t="n">
        <f aca="false">F14-F15</f>
        <v>9.9</v>
      </c>
    </row>
    <row r="17" customFormat="false" ht="15" hidden="false" customHeight="true" outlineLevel="0" collapsed="false">
      <c r="A17" s="10" t="s">
        <v>68</v>
      </c>
      <c r="B17" s="12" t="n">
        <f aca="false">B16/B4</f>
        <v>0.435718809373021</v>
      </c>
      <c r="C17" s="12" t="n">
        <f aca="false">C16/C4</f>
        <v>0.420215786484952</v>
      </c>
      <c r="D17" s="12" t="n">
        <f aca="false">D16/D4</f>
        <v>0.357547655847501</v>
      </c>
      <c r="E17" s="12" t="n">
        <f aca="false">E16/E4</f>
        <v>0.365876336587634</v>
      </c>
      <c r="F17" s="12" t="n">
        <f aca="false">F16/F4</f>
        <v>0.416491375683635</v>
      </c>
    </row>
    <row r="18" customFormat="false" ht="15" hidden="false" customHeight="true" outlineLevel="0" collapsed="false">
      <c r="A18" s="10"/>
      <c r="B18" s="12"/>
      <c r="C18" s="12"/>
      <c r="D18" s="12"/>
      <c r="E18" s="12"/>
      <c r="F18" s="12"/>
    </row>
    <row r="19" customFormat="false" ht="15" hidden="false" customHeight="true" outlineLevel="0" collapsed="false">
      <c r="A19" s="10" t="s">
        <v>69</v>
      </c>
      <c r="B19" s="11" t="n">
        <v>10.02</v>
      </c>
      <c r="C19" s="11" t="n">
        <v>10.1</v>
      </c>
      <c r="D19" s="11" t="n">
        <v>11.82</v>
      </c>
      <c r="E19" s="11" t="n">
        <v>12.36</v>
      </c>
      <c r="F19" s="11" t="n">
        <v>16.7</v>
      </c>
    </row>
    <row r="20" customFormat="false" ht="15" hidden="false" customHeight="true" outlineLevel="0" collapsed="false">
      <c r="A20" s="10" t="s">
        <v>70</v>
      </c>
      <c r="B20" s="11" t="n">
        <v>14.48</v>
      </c>
      <c r="C20" s="11" t="n">
        <v>16.27</v>
      </c>
      <c r="D20" s="11" t="n">
        <v>18.14</v>
      </c>
      <c r="E20" s="11" t="n">
        <v>18.42</v>
      </c>
      <c r="F20" s="11" t="n">
        <v>20.94</v>
      </c>
    </row>
    <row r="21" customFormat="false" ht="15" hidden="false" customHeight="true" outlineLevel="0" collapsed="false">
      <c r="A21" s="10" t="s">
        <v>22</v>
      </c>
      <c r="B21" s="11" t="n">
        <v>474</v>
      </c>
      <c r="C21" s="11" t="n">
        <v>462</v>
      </c>
      <c r="D21" s="11" t="n">
        <v>451</v>
      </c>
      <c r="E21" s="11" t="n">
        <v>442</v>
      </c>
      <c r="F21" s="11" t="n">
        <v>419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5"/>
    <col collapsed="false" customWidth="true" hidden="false" outlineLevel="0" max="3" min="3" style="1" width="40"/>
  </cols>
  <sheetData>
    <row r="1" customFormat="false" ht="17.25" hidden="false" customHeight="true" outlineLevel="0" collapsed="false">
      <c r="A1" s="3" t="s">
        <v>71</v>
      </c>
      <c r="B1" s="3"/>
      <c r="C1" s="3"/>
      <c r="D1" s="3"/>
    </row>
    <row r="3" customFormat="false" ht="17.25" hidden="false" customHeight="true" outlineLevel="0" collapsed="false">
      <c r="A3" s="7" t="s">
        <v>72</v>
      </c>
    </row>
    <row r="4" customFormat="false" ht="15" hidden="false" customHeight="true" outlineLevel="0" collapsed="false">
      <c r="A4" s="8" t="s">
        <v>73</v>
      </c>
      <c r="B4" s="8" t="s">
        <v>74</v>
      </c>
      <c r="C4" s="8" t="s">
        <v>75</v>
      </c>
    </row>
    <row r="5" customFormat="false" ht="15" hidden="false" customHeight="true" outlineLevel="0" collapsed="false">
      <c r="A5" s="1" t="s">
        <v>76</v>
      </c>
      <c r="B5" s="13" t="n">
        <v>0.1</v>
      </c>
      <c r="C5" s="1" t="s">
        <v>77</v>
      </c>
    </row>
    <row r="6" customFormat="false" ht="15" hidden="false" customHeight="true" outlineLevel="0" collapsed="false">
      <c r="A6" s="1" t="s">
        <v>78</v>
      </c>
      <c r="B6" s="13" t="n">
        <v>0.09</v>
      </c>
      <c r="C6" s="1" t="s">
        <v>79</v>
      </c>
    </row>
    <row r="7" customFormat="false" ht="15" hidden="false" customHeight="true" outlineLevel="0" collapsed="false">
      <c r="A7" s="1" t="s">
        <v>80</v>
      </c>
      <c r="B7" s="13" t="n">
        <v>0.08</v>
      </c>
      <c r="C7" s="1" t="s">
        <v>81</v>
      </c>
    </row>
    <row r="8" customFormat="false" ht="15" hidden="false" customHeight="true" outlineLevel="0" collapsed="false">
      <c r="A8" s="1" t="s">
        <v>82</v>
      </c>
      <c r="B8" s="13" t="n">
        <v>0.07</v>
      </c>
      <c r="C8" s="1" t="s">
        <v>83</v>
      </c>
    </row>
    <row r="9" customFormat="false" ht="15" hidden="false" customHeight="true" outlineLevel="0" collapsed="false">
      <c r="A9" s="1" t="s">
        <v>84</v>
      </c>
      <c r="B9" s="13" t="n">
        <v>0.06</v>
      </c>
      <c r="C9" s="1" t="s">
        <v>85</v>
      </c>
    </row>
    <row r="10" customFormat="false" ht="15" hidden="false" customHeight="true" outlineLevel="0" collapsed="false">
      <c r="A10" s="1" t="s">
        <v>86</v>
      </c>
      <c r="B10" s="13" t="n">
        <v>0.03</v>
      </c>
      <c r="C10" s="1" t="s">
        <v>87</v>
      </c>
    </row>
    <row r="13" customFormat="false" ht="17.25" hidden="false" customHeight="true" outlineLevel="0" collapsed="false">
      <c r="A13" s="7" t="s">
        <v>88</v>
      </c>
    </row>
    <row r="14" customFormat="false" ht="15" hidden="false" customHeight="true" outlineLevel="0" collapsed="false">
      <c r="A14" s="8" t="s">
        <v>53</v>
      </c>
      <c r="B14" s="8" t="s">
        <v>89</v>
      </c>
      <c r="C14" s="8" t="s">
        <v>90</v>
      </c>
    </row>
    <row r="15" customFormat="false" ht="15" hidden="false" customHeight="true" outlineLevel="0" collapsed="false">
      <c r="A15" s="1" t="s">
        <v>34</v>
      </c>
      <c r="B15" s="13" t="n">
        <v>0.89</v>
      </c>
      <c r="C15" s="1" t="s">
        <v>91</v>
      </c>
    </row>
    <row r="16" customFormat="false" ht="15" hidden="false" customHeight="true" outlineLevel="0" collapsed="false">
      <c r="A16" s="1" t="s">
        <v>92</v>
      </c>
      <c r="B16" s="13" t="n">
        <v>0.37</v>
      </c>
      <c r="C16" s="1" t="s">
        <v>93</v>
      </c>
    </row>
    <row r="17" customFormat="false" ht="15" hidden="false" customHeight="true" outlineLevel="0" collapsed="false">
      <c r="A17" s="1" t="s">
        <v>94</v>
      </c>
      <c r="B17" s="13" t="n">
        <v>0.036</v>
      </c>
      <c r="C17" s="1" t="s">
        <v>95</v>
      </c>
    </row>
    <row r="18" customFormat="false" ht="15" hidden="false" customHeight="true" outlineLevel="0" collapsed="false">
      <c r="A18" s="1" t="s">
        <v>96</v>
      </c>
      <c r="B18" s="13" t="n">
        <v>0.01</v>
      </c>
      <c r="C18" s="1" t="s">
        <v>97</v>
      </c>
    </row>
    <row r="19" customFormat="false" ht="15" hidden="false" customHeight="true" outlineLevel="0" collapsed="false">
      <c r="A19" s="1" t="s">
        <v>98</v>
      </c>
      <c r="B19" s="13" t="n">
        <v>0.03</v>
      </c>
      <c r="C19" s="1" t="s">
        <v>99</v>
      </c>
    </row>
    <row r="20" customFormat="false" ht="15" hidden="false" customHeight="true" outlineLevel="0" collapsed="false">
      <c r="A20" s="1" t="s">
        <v>100</v>
      </c>
      <c r="B20" s="13" t="n">
        <v>0.185</v>
      </c>
      <c r="C20" s="1" t="s">
        <v>101</v>
      </c>
    </row>
    <row r="24" customFormat="false" ht="17.25" hidden="false" customHeight="true" outlineLevel="0" collapsed="false">
      <c r="A24" s="7" t="s">
        <v>102</v>
      </c>
    </row>
    <row r="25" customFormat="false" ht="15" hidden="false" customHeight="true" outlineLevel="0" collapsed="false">
      <c r="A25" s="8" t="s">
        <v>103</v>
      </c>
      <c r="B25" s="8" t="s">
        <v>89</v>
      </c>
      <c r="C25" s="8" t="s">
        <v>104</v>
      </c>
    </row>
    <row r="26" customFormat="false" ht="15" hidden="false" customHeight="true" outlineLevel="0" collapsed="false">
      <c r="A26" s="1" t="s">
        <v>105</v>
      </c>
      <c r="B26" s="13" t="n">
        <v>0.042</v>
      </c>
      <c r="C26" s="1" t="s">
        <v>106</v>
      </c>
    </row>
    <row r="27" customFormat="false" ht="15" hidden="false" customHeight="true" outlineLevel="0" collapsed="false">
      <c r="A27" s="1" t="s">
        <v>107</v>
      </c>
      <c r="B27" s="13" t="n">
        <v>0.055</v>
      </c>
      <c r="C27" s="1" t="s">
        <v>108</v>
      </c>
    </row>
    <row r="28" customFormat="false" ht="15" hidden="false" customHeight="true" outlineLevel="0" collapsed="false">
      <c r="A28" s="1" t="s">
        <v>109</v>
      </c>
      <c r="B28" s="13" t="n">
        <v>1.1</v>
      </c>
      <c r="C28" s="1" t="s">
        <v>110</v>
      </c>
    </row>
    <row r="29" customFormat="false" ht="15" hidden="false" customHeight="true" outlineLevel="0" collapsed="false">
      <c r="A29" s="1" t="s">
        <v>111</v>
      </c>
      <c r="B29" s="6" t="n">
        <f aca="false">B26+B27*B28</f>
        <v>0.1025</v>
      </c>
      <c r="C29" s="1" t="s">
        <v>112</v>
      </c>
    </row>
    <row r="30" customFormat="false" ht="15" hidden="false" customHeight="true" outlineLevel="0" collapsed="false">
      <c r="A30" s="1" t="s">
        <v>113</v>
      </c>
      <c r="B30" s="13" t="n">
        <v>0.045</v>
      </c>
      <c r="C30" s="1" t="s">
        <v>114</v>
      </c>
    </row>
    <row r="31" customFormat="false" ht="15" hidden="false" customHeight="true" outlineLevel="0" collapsed="false">
      <c r="A31" s="1" t="s">
        <v>100</v>
      </c>
      <c r="B31" s="13" t="n">
        <v>0.185</v>
      </c>
      <c r="C31" s="1" t="s">
        <v>115</v>
      </c>
    </row>
    <row r="32" customFormat="false" ht="15" hidden="false" customHeight="true" outlineLevel="0" collapsed="false">
      <c r="A32" s="1" t="s">
        <v>116</v>
      </c>
      <c r="B32" s="6" t="n">
        <f aca="false">B30*(1-B31)</f>
        <v>0.036675</v>
      </c>
    </row>
    <row r="33" customFormat="false" ht="15" hidden="false" customHeight="true" outlineLevel="0" collapsed="false">
      <c r="A33" s="1" t="s">
        <v>117</v>
      </c>
      <c r="B33" s="13" t="n">
        <v>0.96</v>
      </c>
      <c r="C33" s="1" t="s">
        <v>118</v>
      </c>
    </row>
    <row r="34" customFormat="false" ht="15" hidden="false" customHeight="true" outlineLevel="0" collapsed="false">
      <c r="A34" s="1" t="s">
        <v>119</v>
      </c>
      <c r="B34" s="6" t="n">
        <f aca="false">1-B33</f>
        <v>0.04</v>
      </c>
    </row>
    <row r="35" customFormat="false" ht="15" hidden="false" customHeight="true" outlineLevel="0" collapsed="false">
      <c r="A35" s="1" t="s">
        <v>120</v>
      </c>
      <c r="B35" s="6" t="n">
        <f aca="false">B29*B33+B32*B34</f>
        <v>0.099867</v>
      </c>
      <c r="C35" s="1" t="s">
        <v>121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6"/>
  </cols>
  <sheetData>
    <row r="1" customFormat="false" ht="17.25" hidden="false" customHeight="true" outlineLevel="0" collapsed="false">
      <c r="A1" s="3" t="s">
        <v>122</v>
      </c>
      <c r="B1" s="3"/>
      <c r="C1" s="3"/>
      <c r="D1" s="3"/>
      <c r="E1" s="3"/>
      <c r="F1" s="3"/>
      <c r="G1" s="3"/>
      <c r="H1" s="3"/>
    </row>
    <row r="3" customFormat="false" ht="15" hidden="false" customHeight="true" outlineLevel="0" collapsed="false">
      <c r="A3" s="4" t="s">
        <v>123</v>
      </c>
    </row>
    <row r="4" customFormat="false" ht="15" hidden="false" customHeight="true" outlineLevel="0" collapsed="false">
      <c r="A4" s="1" t="s">
        <v>124</v>
      </c>
      <c r="B4" s="6" t="n">
        <f aca="false">'DCF Assumptions'!B35</f>
        <v>0.099867</v>
      </c>
    </row>
    <row r="5" customFormat="false" ht="15" hidden="false" customHeight="true" outlineLevel="0" collapsed="false">
      <c r="A5" s="1" t="s">
        <v>86</v>
      </c>
      <c r="B5" s="6" t="n">
        <f aca="false">'DCF Assumptions'!B10</f>
        <v>0.03</v>
      </c>
    </row>
    <row r="8" customFormat="false" ht="17.25" hidden="false" customHeight="true" outlineLevel="0" collapsed="false">
      <c r="A8" s="7" t="s">
        <v>125</v>
      </c>
    </row>
    <row r="9" customFormat="false" ht="15" hidden="false" customHeight="true" outlineLevel="0" collapsed="false">
      <c r="A9" s="9"/>
      <c r="B9" s="9" t="s">
        <v>126</v>
      </c>
      <c r="C9" s="9" t="s">
        <v>76</v>
      </c>
      <c r="D9" s="9" t="s">
        <v>78</v>
      </c>
      <c r="E9" s="9" t="s">
        <v>80</v>
      </c>
      <c r="F9" s="9" t="s">
        <v>82</v>
      </c>
      <c r="G9" s="9" t="s">
        <v>84</v>
      </c>
    </row>
    <row r="10" customFormat="false" ht="15" hidden="false" customHeight="true" outlineLevel="0" collapsed="false">
      <c r="A10" s="10" t="s">
        <v>30</v>
      </c>
      <c r="B10" s="11" t="n">
        <v>23.77</v>
      </c>
      <c r="C10" s="14" t="n">
        <f aca="false">B10*(1+'DCF Assumptions'!B5)</f>
        <v>26.147</v>
      </c>
      <c r="D10" s="14" t="n">
        <f aca="false">C10*(1+'DCF Assumptions'!B6)</f>
        <v>28.50023</v>
      </c>
      <c r="E10" s="14" t="n">
        <f aca="false">D10*(1+'DCF Assumptions'!B7)</f>
        <v>30.7802484</v>
      </c>
      <c r="F10" s="14" t="n">
        <f aca="false">E10*(1+'DCF Assumptions'!B8)</f>
        <v>32.934865788</v>
      </c>
      <c r="G10" s="14" t="n">
        <f aca="false">F10*(1+'DCF Assumptions'!B9)</f>
        <v>34.91095773528</v>
      </c>
    </row>
    <row r="11" customFormat="false" ht="15" hidden="false" customHeight="true" outlineLevel="0" collapsed="false">
      <c r="A11" s="10" t="s">
        <v>59</v>
      </c>
      <c r="B11" s="14"/>
      <c r="C11" s="14" t="n">
        <f aca="false">'DCF Assumptions'!B5</f>
        <v>0.1</v>
      </c>
      <c r="D11" s="14" t="n">
        <f aca="false">'DCF Assumptions'!B6</f>
        <v>0.09</v>
      </c>
      <c r="E11" s="14" t="n">
        <f aca="false">'DCF Assumptions'!B7</f>
        <v>0.08</v>
      </c>
      <c r="F11" s="14" t="n">
        <f aca="false">'DCF Assumptions'!B8</f>
        <v>0.07</v>
      </c>
      <c r="G11" s="14" t="n">
        <f aca="false">'DCF Assumptions'!B9</f>
        <v>0.06</v>
      </c>
    </row>
    <row r="14" customFormat="false" ht="17.25" hidden="false" customHeight="true" outlineLevel="0" collapsed="false">
      <c r="A14" s="7" t="s">
        <v>127</v>
      </c>
    </row>
    <row r="15" customFormat="false" ht="15" hidden="false" customHeight="true" outlineLevel="0" collapsed="false">
      <c r="A15" s="9"/>
      <c r="B15" s="9" t="s">
        <v>126</v>
      </c>
      <c r="C15" s="9" t="s">
        <v>76</v>
      </c>
      <c r="D15" s="9" t="s">
        <v>78</v>
      </c>
      <c r="E15" s="9" t="s">
        <v>80</v>
      </c>
      <c r="F15" s="9" t="s">
        <v>82</v>
      </c>
      <c r="G15" s="9" t="s">
        <v>84</v>
      </c>
    </row>
    <row r="16" customFormat="false" ht="15" hidden="false" customHeight="true" outlineLevel="0" collapsed="false">
      <c r="A16" s="10" t="s">
        <v>128</v>
      </c>
      <c r="B16" s="14" t="n">
        <f aca="false">B10</f>
        <v>23.77</v>
      </c>
      <c r="C16" s="14" t="n">
        <f aca="false">C10</f>
        <v>26.147</v>
      </c>
      <c r="D16" s="14" t="n">
        <f aca="false">D10</f>
        <v>28.50023</v>
      </c>
      <c r="E16" s="14" t="n">
        <f aca="false">E10</f>
        <v>30.7802484</v>
      </c>
      <c r="F16" s="14" t="n">
        <f aca="false">F10</f>
        <v>32.934865788</v>
      </c>
      <c r="G16" s="14" t="n">
        <f aca="false">G10</f>
        <v>34.91095773528</v>
      </c>
    </row>
    <row r="17" customFormat="false" ht="15" hidden="false" customHeight="true" outlineLevel="0" collapsed="false">
      <c r="A17" s="10" t="s">
        <v>129</v>
      </c>
      <c r="B17" s="11" t="n">
        <v>0.37</v>
      </c>
      <c r="C17" s="14" t="n">
        <f aca="false">'DCF Assumptions'!B16</f>
        <v>0.37</v>
      </c>
      <c r="D17" s="14" t="n">
        <f aca="false">'DCF Assumptions'!B16</f>
        <v>0.37</v>
      </c>
      <c r="E17" s="14" t="n">
        <f aca="false">'DCF Assumptions'!B16</f>
        <v>0.37</v>
      </c>
      <c r="F17" s="14" t="n">
        <f aca="false">'DCF Assumptions'!B16</f>
        <v>0.37</v>
      </c>
      <c r="G17" s="14" t="n">
        <f aca="false">'DCF Assumptions'!B16</f>
        <v>0.37</v>
      </c>
    </row>
    <row r="18" customFormat="false" ht="15" hidden="false" customHeight="true" outlineLevel="0" collapsed="false">
      <c r="A18" s="10" t="s">
        <v>130</v>
      </c>
      <c r="B18" s="14" t="n">
        <f aca="false">B16*B17</f>
        <v>8.7949</v>
      </c>
      <c r="C18" s="14" t="n">
        <f aca="false">C16*C17</f>
        <v>9.67439</v>
      </c>
      <c r="D18" s="14" t="n">
        <f aca="false">D16*D17</f>
        <v>10.5450851</v>
      </c>
      <c r="E18" s="14" t="n">
        <f aca="false">E16*E17</f>
        <v>11.388691908</v>
      </c>
      <c r="F18" s="14" t="n">
        <f aca="false">F16*F17</f>
        <v>12.18590034156</v>
      </c>
      <c r="G18" s="14" t="n">
        <f aca="false">G16*G17</f>
        <v>12.9170543620536</v>
      </c>
    </row>
    <row r="19" customFormat="false" ht="15" hidden="false" customHeight="true" outlineLevel="0" collapsed="false">
      <c r="A19" s="10" t="s">
        <v>131</v>
      </c>
      <c r="B19" s="14" t="n">
        <f aca="false">B18*'DCF Assumptions'!$B$20</f>
        <v>1.6270565</v>
      </c>
      <c r="C19" s="14" t="n">
        <f aca="false">C18*'DCF Assumptions'!$B$20</f>
        <v>1.78976215</v>
      </c>
      <c r="D19" s="14" t="n">
        <f aca="false">D18*'DCF Assumptions'!$B$20</f>
        <v>1.9508407435</v>
      </c>
      <c r="E19" s="14" t="n">
        <f aca="false">E18*'DCF Assumptions'!$B$20</f>
        <v>2.10690800298</v>
      </c>
      <c r="F19" s="14" t="n">
        <f aca="false">F18*'DCF Assumptions'!$B$20</f>
        <v>2.2543915631886</v>
      </c>
      <c r="G19" s="14" t="n">
        <f aca="false">G18*'DCF Assumptions'!$B$20</f>
        <v>2.38965505697992</v>
      </c>
    </row>
    <row r="20" customFormat="false" ht="15" hidden="false" customHeight="true" outlineLevel="0" collapsed="false">
      <c r="A20" s="10" t="s">
        <v>132</v>
      </c>
      <c r="B20" s="14" t="n">
        <f aca="false">B18-B19</f>
        <v>7.1678435</v>
      </c>
      <c r="C20" s="14" t="n">
        <f aca="false">C18-C19</f>
        <v>7.88462785</v>
      </c>
      <c r="D20" s="14" t="n">
        <f aca="false">D18-D19</f>
        <v>8.5942443565</v>
      </c>
      <c r="E20" s="14" t="n">
        <f aca="false">E18-E19</f>
        <v>9.28178390502</v>
      </c>
      <c r="F20" s="14" t="n">
        <f aca="false">F18-F19</f>
        <v>9.9315087783714</v>
      </c>
      <c r="G20" s="14" t="n">
        <f aca="false">G18-G19</f>
        <v>10.5273993050737</v>
      </c>
    </row>
    <row r="21" customFormat="false" ht="15" hidden="false" customHeight="true" outlineLevel="0" collapsed="false">
      <c r="A21" s="10" t="s">
        <v>133</v>
      </c>
      <c r="B21" s="14" t="n">
        <f aca="false">B16*'DCF Assumptions'!$B$17</f>
        <v>0.85572</v>
      </c>
      <c r="C21" s="14" t="n">
        <f aca="false">C16*'DCF Assumptions'!$B$17</f>
        <v>0.941292</v>
      </c>
      <c r="D21" s="14" t="n">
        <f aca="false">D16*'DCF Assumptions'!$B$17</f>
        <v>1.02600828</v>
      </c>
      <c r="E21" s="14" t="n">
        <f aca="false">E16*'DCF Assumptions'!$B$17</f>
        <v>1.1080889424</v>
      </c>
      <c r="F21" s="14" t="n">
        <f aca="false">F16*'DCF Assumptions'!$B$17</f>
        <v>1.185655168368</v>
      </c>
      <c r="G21" s="14" t="n">
        <f aca="false">G16*'DCF Assumptions'!$B$17</f>
        <v>1.25679447847008</v>
      </c>
    </row>
    <row r="22" customFormat="false" ht="15" hidden="false" customHeight="true" outlineLevel="0" collapsed="false">
      <c r="A22" s="10" t="s">
        <v>134</v>
      </c>
      <c r="B22" s="14" t="n">
        <f aca="false">B16*'DCF Assumptions'!$B$18</f>
        <v>0.2377</v>
      </c>
      <c r="C22" s="14" t="n">
        <f aca="false">C16*'DCF Assumptions'!$B$18</f>
        <v>0.26147</v>
      </c>
      <c r="D22" s="14" t="n">
        <f aca="false">D16*'DCF Assumptions'!$B$18</f>
        <v>0.2850023</v>
      </c>
      <c r="E22" s="14" t="n">
        <f aca="false">E16*'DCF Assumptions'!$B$18</f>
        <v>0.307802484</v>
      </c>
      <c r="F22" s="14" t="n">
        <f aca="false">F16*'DCF Assumptions'!$B$18</f>
        <v>0.32934865788</v>
      </c>
      <c r="G22" s="14" t="n">
        <f aca="false">G16*'DCF Assumptions'!$B$18</f>
        <v>0.3491095773528</v>
      </c>
    </row>
    <row r="23" customFormat="false" ht="15" hidden="false" customHeight="true" outlineLevel="0" collapsed="false">
      <c r="A23" s="10" t="s">
        <v>135</v>
      </c>
      <c r="B23" s="14" t="n">
        <v>0</v>
      </c>
      <c r="C23" s="14" t="n">
        <f aca="false">(C16-B16)*'DCF Assumptions'!$B$19</f>
        <v>0.0713100000000001</v>
      </c>
      <c r="D23" s="14" t="n">
        <f aca="false">(D16-C16)*'DCF Assumptions'!$B$19</f>
        <v>0.0705969000000001</v>
      </c>
      <c r="E23" s="14" t="n">
        <f aca="false">(E16-D16)*'DCF Assumptions'!$B$19</f>
        <v>0.0684005520000001</v>
      </c>
      <c r="F23" s="14" t="n">
        <f aca="false">(F16-E16)*'DCF Assumptions'!$B$19</f>
        <v>0.0646385216400001</v>
      </c>
      <c r="G23" s="14" t="n">
        <f aca="false">(G16-F16)*'DCF Assumptions'!$B$19</f>
        <v>0.0592827584184001</v>
      </c>
    </row>
    <row r="24" customFormat="false" ht="15" hidden="false" customHeight="true" outlineLevel="0" collapsed="false">
      <c r="A24" s="15" t="s">
        <v>136</v>
      </c>
      <c r="B24" s="16" t="n">
        <f aca="false">B20+B21-B22-B23</f>
        <v>7.7858635</v>
      </c>
      <c r="C24" s="16" t="n">
        <f aca="false">C20+C21-C22-C23</f>
        <v>8.49313985</v>
      </c>
      <c r="D24" s="16" t="n">
        <f aca="false">D20+D21-D22-D23</f>
        <v>9.2646534365</v>
      </c>
      <c r="E24" s="16" t="n">
        <f aca="false">E20+E21-E22-E23</f>
        <v>10.01366981142</v>
      </c>
      <c r="F24" s="16" t="n">
        <f aca="false">F20+F21-F22-F23</f>
        <v>10.7231767672194</v>
      </c>
      <c r="G24" s="16" t="n">
        <f aca="false">G20+G21-G22-G23</f>
        <v>11.3758014477726</v>
      </c>
    </row>
    <row r="27" customFormat="false" ht="17.25" hidden="false" customHeight="true" outlineLevel="0" collapsed="false">
      <c r="A27" s="7" t="s">
        <v>137</v>
      </c>
    </row>
    <row r="28" customFormat="false" ht="15" hidden="false" customHeight="true" outlineLevel="0" collapsed="false">
      <c r="A28" s="9"/>
      <c r="B28" s="9" t="s">
        <v>76</v>
      </c>
      <c r="C28" s="9" t="s">
        <v>78</v>
      </c>
      <c r="D28" s="9" t="s">
        <v>80</v>
      </c>
      <c r="E28" s="9" t="s">
        <v>82</v>
      </c>
      <c r="F28" s="9" t="s">
        <v>84</v>
      </c>
      <c r="G28" s="9" t="s">
        <v>138</v>
      </c>
    </row>
    <row r="29" customFormat="false" ht="15" hidden="false" customHeight="true" outlineLevel="0" collapsed="false">
      <c r="A29" s="10" t="s">
        <v>139</v>
      </c>
      <c r="B29" s="14" t="n">
        <f aca="false">C24</f>
        <v>8.49313985</v>
      </c>
      <c r="C29" s="14" t="n">
        <f aca="false">D24</f>
        <v>9.2646534365</v>
      </c>
      <c r="D29" s="14" t="n">
        <f aca="false">E24</f>
        <v>10.01366981142</v>
      </c>
      <c r="E29" s="14" t="n">
        <f aca="false">F24</f>
        <v>10.7231767672194</v>
      </c>
      <c r="F29" s="14" t="n">
        <f aca="false">G24</f>
        <v>11.3758014477726</v>
      </c>
      <c r="G29" s="14" t="n">
        <f aca="false">G24</f>
        <v>11.3758014477726</v>
      </c>
    </row>
    <row r="30" customFormat="false" ht="15" hidden="false" customHeight="true" outlineLevel="0" collapsed="false">
      <c r="A30" s="10" t="s">
        <v>140</v>
      </c>
      <c r="B30" s="14"/>
      <c r="C30" s="14"/>
      <c r="D30" s="14"/>
      <c r="E30" s="14"/>
      <c r="F30" s="14"/>
      <c r="G30" s="14" t="n">
        <f aca="false">G29*(1+$B$5)/($B$4-$B$5)</f>
        <v>167.705433054314</v>
      </c>
    </row>
    <row r="31" customFormat="false" ht="15" hidden="false" customHeight="true" outlineLevel="0" collapsed="false">
      <c r="A31" s="10" t="s">
        <v>141</v>
      </c>
      <c r="B31" s="11" t="n">
        <v>0.5</v>
      </c>
      <c r="C31" s="11" t="n">
        <v>1.5</v>
      </c>
      <c r="D31" s="11" t="n">
        <v>2.5</v>
      </c>
      <c r="E31" s="11" t="n">
        <v>3.5</v>
      </c>
      <c r="F31" s="11" t="n">
        <v>4.5</v>
      </c>
      <c r="G31" s="11" t="n">
        <v>4.5</v>
      </c>
    </row>
    <row r="32" customFormat="false" ht="15" hidden="false" customHeight="true" outlineLevel="0" collapsed="false">
      <c r="A32" s="10" t="s">
        <v>142</v>
      </c>
      <c r="B32" s="14" t="n">
        <f aca="false">1/(1+$B$4)^B31</f>
        <v>0.953520235620564</v>
      </c>
      <c r="C32" s="14" t="n">
        <f aca="false">1/(1+$B$4)^C31</f>
        <v>0.866941398933293</v>
      </c>
      <c r="D32" s="14" t="n">
        <f aca="false">1/(1+$B$4)^D31</f>
        <v>0.788223847913696</v>
      </c>
      <c r="E32" s="14" t="n">
        <f aca="false">1/(1+$B$4)^E31</f>
        <v>0.716653784424568</v>
      </c>
      <c r="F32" s="14" t="n">
        <f aca="false">1/(1+$B$4)^F31</f>
        <v>0.651582222600158</v>
      </c>
      <c r="G32" s="14" t="n">
        <f aca="false">1/(1+$B$4)^G31</f>
        <v>0.651582222600158</v>
      </c>
    </row>
    <row r="33" customFormat="false" ht="15" hidden="false" customHeight="true" outlineLevel="0" collapsed="false">
      <c r="A33" s="10" t="s">
        <v>143</v>
      </c>
      <c r="B33" s="14" t="n">
        <f aca="false">B29*B32</f>
        <v>8.0983807109304</v>
      </c>
      <c r="C33" s="14" t="n">
        <f aca="false">C29*C32</f>
        <v>8.03191161087145</v>
      </c>
      <c r="D33" s="14" t="n">
        <f aca="false">D29*D32</f>
        <v>7.89301335049469</v>
      </c>
      <c r="E33" s="14" t="n">
        <f aca="false">E29*E32</f>
        <v>7.68480521128139</v>
      </c>
      <c r="F33" s="14" t="n">
        <f aca="false">F29*F32</f>
        <v>7.41226999119774</v>
      </c>
      <c r="G33" s="14" t="n">
        <f aca="false">G30*G32</f>
        <v>109.273878811652</v>
      </c>
    </row>
    <row r="36" customFormat="false" ht="17.25" hidden="false" customHeight="true" outlineLevel="0" collapsed="false">
      <c r="A36" s="7" t="s">
        <v>144</v>
      </c>
    </row>
    <row r="37" customFormat="false" ht="15" hidden="false" customHeight="true" outlineLevel="0" collapsed="false">
      <c r="A37" s="10" t="s">
        <v>145</v>
      </c>
      <c r="B37" s="14" t="n">
        <f aca="false">SUM(B33:F33)</f>
        <v>39.1203808747757</v>
      </c>
    </row>
    <row r="38" customFormat="false" ht="15" hidden="false" customHeight="true" outlineLevel="0" collapsed="false">
      <c r="A38" s="10" t="s">
        <v>146</v>
      </c>
      <c r="B38" s="14" t="n">
        <f aca="false">G33</f>
        <v>109.273878811652</v>
      </c>
    </row>
    <row r="39" customFormat="false" ht="15" hidden="false" customHeight="true" outlineLevel="0" collapsed="false">
      <c r="A39" s="10" t="s">
        <v>28</v>
      </c>
      <c r="B39" s="14" t="n">
        <f aca="false">B37+B38</f>
        <v>148.394259686427</v>
      </c>
    </row>
    <row r="40" customFormat="false" ht="15" hidden="false" customHeight="true" outlineLevel="0" collapsed="false">
      <c r="A40" s="10" t="s">
        <v>147</v>
      </c>
      <c r="B40" s="11" t="n">
        <v>6.5</v>
      </c>
    </row>
    <row r="41" customFormat="false" ht="15" hidden="false" customHeight="true" outlineLevel="0" collapsed="false">
      <c r="A41" s="10" t="s">
        <v>148</v>
      </c>
      <c r="B41" s="11" t="n">
        <v>7.5</v>
      </c>
    </row>
    <row r="42" customFormat="false" ht="15" hidden="false" customHeight="true" outlineLevel="0" collapsed="false">
      <c r="A42" s="10" t="s">
        <v>149</v>
      </c>
      <c r="B42" s="14" t="n">
        <f aca="false">B39-B40+B41</f>
        <v>149.394259686427</v>
      </c>
    </row>
    <row r="43" customFormat="false" ht="15" hidden="false" customHeight="true" outlineLevel="0" collapsed="false">
      <c r="A43" s="10" t="s">
        <v>22</v>
      </c>
      <c r="B43" s="11" t="n">
        <v>418.6</v>
      </c>
    </row>
    <row r="44" customFormat="false" ht="15" hidden="false" customHeight="true" outlineLevel="0" collapsed="false">
      <c r="A44" s="10" t="s">
        <v>150</v>
      </c>
      <c r="B44" s="16" t="n">
        <f aca="false">B42*1000/B43</f>
        <v>356.890252475938</v>
      </c>
    </row>
    <row r="45" customFormat="false" ht="15" hidden="false" customHeight="true" outlineLevel="0" collapsed="false">
      <c r="A45" s="10"/>
      <c r="B45" s="14"/>
    </row>
    <row r="46" customFormat="false" ht="15" hidden="false" customHeight="true" outlineLevel="0" collapsed="false">
      <c r="A46" s="10" t="s">
        <v>151</v>
      </c>
      <c r="B46" s="11" t="n">
        <v>350</v>
      </c>
    </row>
    <row r="47" customFormat="false" ht="15" hidden="false" customHeight="true" outlineLevel="0" collapsed="false">
      <c r="A47" s="10" t="s">
        <v>152</v>
      </c>
      <c r="B47" s="16" t="n">
        <f aca="false">(B44-B46)/B46</f>
        <v>0.0196864356455356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8" min="2" style="1" width="12"/>
  </cols>
  <sheetData>
    <row r="1" customFormat="false" ht="17.25" hidden="false" customHeight="true" outlineLevel="0" collapsed="false">
      <c r="A1" s="3" t="s">
        <v>153</v>
      </c>
      <c r="B1" s="3"/>
      <c r="C1" s="3"/>
      <c r="D1" s="3"/>
      <c r="E1" s="3"/>
      <c r="F1" s="3"/>
      <c r="G1" s="3"/>
      <c r="H1" s="3"/>
    </row>
    <row r="3" customFormat="false" ht="17.25" hidden="false" customHeight="true" outlineLevel="0" collapsed="false">
      <c r="A3" s="3" t="s">
        <v>154</v>
      </c>
      <c r="B3" s="3"/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A5" s="1" t="s">
        <v>155</v>
      </c>
      <c r="B5" s="1" t="n">
        <f aca="false">'DCF Model'!B44</f>
        <v>356.890252475938</v>
      </c>
    </row>
    <row r="6" customFormat="false" ht="15" hidden="false" customHeight="true" outlineLevel="0" collapsed="false">
      <c r="A6" s="1" t="s">
        <v>156</v>
      </c>
      <c r="B6" s="1" t="n">
        <f aca="false">'DCF Model'!B4</f>
        <v>0.099867</v>
      </c>
    </row>
    <row r="7" customFormat="false" ht="15" hidden="false" customHeight="true" outlineLevel="0" collapsed="false">
      <c r="A7" s="1" t="s">
        <v>157</v>
      </c>
      <c r="B7" s="1" t="n">
        <f aca="false">'DCF Model'!B5</f>
        <v>0.03</v>
      </c>
    </row>
    <row r="10" customFormat="false" ht="15" hidden="false" customHeight="true" outlineLevel="0" collapsed="false">
      <c r="B10" s="17" t="s">
        <v>158</v>
      </c>
      <c r="C10" s="17"/>
      <c r="D10" s="17"/>
      <c r="E10" s="17"/>
      <c r="F10" s="17"/>
      <c r="G10" s="17"/>
      <c r="H10" s="17"/>
    </row>
    <row r="11" customFormat="false" ht="15" hidden="false" customHeight="true" outlineLevel="0" collapsed="false">
      <c r="A11" s="8" t="s">
        <v>120</v>
      </c>
      <c r="B11" s="9" t="n">
        <v>0.015</v>
      </c>
      <c r="C11" s="9" t="n">
        <v>0.02</v>
      </c>
      <c r="D11" s="9" t="n">
        <v>0.025</v>
      </c>
      <c r="E11" s="9" t="n">
        <v>0.03</v>
      </c>
      <c r="F11" s="9" t="n">
        <v>0.035</v>
      </c>
      <c r="G11" s="9" t="n">
        <v>0.04</v>
      </c>
      <c r="H11" s="9" t="n">
        <v>0.045</v>
      </c>
    </row>
    <row r="12" customFormat="false" ht="15" hidden="false" customHeight="true" outlineLevel="0" collapsed="false">
      <c r="A12" s="9" t="n">
        <v>0.08</v>
      </c>
      <c r="B12" s="14" t="n">
        <f aca="false">(('DCF Model'!B37)+(11.5*(1+0.015)/(0.08-0.015)*((1+0.08)^-4.5))-6.5+7.5)*1000/418.6</f>
        <v>399.264335532633</v>
      </c>
      <c r="C12" s="14" t="n">
        <f aca="false">(('DCF Model'!B37)+(11.5*(1+0.02)/(0.08-0.02)*((1+0.08)^-4.5))-6.5+7.5)*1000/418.6</f>
        <v>426.168584267276</v>
      </c>
      <c r="D12" s="14" t="n">
        <f aca="false">(('DCF Model'!B37)+(11.5*(1+0.025)/(0.08-0.025)*((1+0.08)^-4.5))-6.5+7.5)*1000/418.6</f>
        <v>457.964514590036</v>
      </c>
      <c r="E12" s="14" t="n">
        <f aca="false">(('DCF Model'!B37)+(11.5*(1+0.03)/(0.08-0.03)*((1+0.08)^-4.5))-6.5+7.5)*1000/418.6</f>
        <v>496.119630977349</v>
      </c>
      <c r="F12" s="14" t="n">
        <f aca="false">(('DCF Model'!B37)+(11.5*(1+0.035)/(0.08-0.035)*((1+0.08)^-4.5))-6.5+7.5)*1000/418.6</f>
        <v>542.753662117398</v>
      </c>
      <c r="G12" s="14" t="n">
        <f aca="false">(('DCF Model'!B37)+(11.5*(1+0.04)/(0.08-0.04)*((1+0.08)^-4.5))-6.5+7.5)*1000/418.6</f>
        <v>601.046201042459</v>
      </c>
      <c r="H12" s="14" t="n">
        <f aca="false">(('DCF Model'!B37)+(11.5*(1+0.045)/(0.08-0.045)*((1+0.08)^-4.5))-6.5+7.5)*1000/418.6</f>
        <v>675.993751088965</v>
      </c>
    </row>
    <row r="13" customFormat="false" ht="15" hidden="false" customHeight="true" outlineLevel="0" collapsed="false">
      <c r="A13" s="9" t="n">
        <v>0.09</v>
      </c>
      <c r="B13" s="14" t="n">
        <f aca="false">(('DCF Model'!B37)+(11.5*(1+0.015)/(0.09-0.015)*((1+0.09)^-4.5))-6.5+7.5)*1000/418.6</f>
        <v>348.124970869829</v>
      </c>
      <c r="C13" s="14" t="n">
        <f aca="false">(('DCF Model'!B37)+(11.5*(1+0.02)/(0.09-0.02)*((1+0.09)^-4.5))-6.5+7.5)*1000/418.6</f>
        <v>367.476557322368</v>
      </c>
      <c r="D13" s="14" t="n">
        <f aca="false">(('DCF Model'!B37)+(11.5*(1+0.025)/(0.09-0.025)*((1+0.09)^-4.5))-6.5+7.5)*1000/418.6</f>
        <v>389.805310921451</v>
      </c>
      <c r="E13" s="14" t="n">
        <f aca="false">(('DCF Model'!B37)+(11.5*(1+0.03)/(0.09-0.03)*((1+0.09)^-4.5))-6.5+7.5)*1000/418.6</f>
        <v>415.855523453714</v>
      </c>
      <c r="F13" s="14" t="n">
        <f aca="false">(('DCF Model'!B37)+(11.5*(1+0.035)/(0.09-0.035)*((1+0.09)^-4.5))-6.5+7.5)*1000/418.6</f>
        <v>446.642138264571</v>
      </c>
      <c r="G13" s="14" t="n">
        <f aca="false">(('DCF Model'!B37)+(11.5*(1+0.04)/(0.09-0.04)*((1+0.09)^-4.5))-6.5+7.5)*1000/418.6</f>
        <v>483.5860760376</v>
      </c>
      <c r="H13" s="14" t="n">
        <f aca="false">(('DCF Model'!B37)+(11.5*(1+0.045)/(0.09-0.045)*((1+0.09)^-4.5))-6.5+7.5)*1000/418.6</f>
        <v>528.73977776019</v>
      </c>
    </row>
    <row r="14" customFormat="false" ht="15" hidden="false" customHeight="true" outlineLevel="0" collapsed="false">
      <c r="A14" s="9" t="n">
        <v>0.1</v>
      </c>
      <c r="B14" s="14" t="n">
        <f aca="false">(('DCF Model'!B37)+(11.5*(1+0.015)/(0.1-0.015)*((1+0.1)^-4.5))-6.5+7.5)*1000/418.6</f>
        <v>309.482268876133</v>
      </c>
      <c r="C14" s="14" t="n">
        <f aca="false">(('DCF Model'!B37)+(11.5*(1+0.02)/(0.1-0.02)*((1+0.1)^-4.5))-6.5+7.5)*1000/418.6</f>
        <v>323.952827930071</v>
      </c>
      <c r="D14" s="14" t="n">
        <f aca="false">(('DCF Model'!B37)+(11.5*(1+0.025)/(0.1-0.025)*((1+0.1)^-4.5))-6.5+7.5)*1000/418.6</f>
        <v>340.352794857868</v>
      </c>
      <c r="E14" s="14" t="n">
        <f aca="false">(('DCF Model'!B37)+(11.5*(1+0.03)/(0.1-0.03)*((1+0.1)^-4.5))-6.5+7.5)*1000/418.6</f>
        <v>359.095614203921</v>
      </c>
      <c r="F14" s="14" t="n">
        <f aca="false">(('DCF Model'!B37)+(11.5*(1+0.035)/(0.1-0.035)*((1+0.1)^-4.5))-6.5+7.5)*1000/418.6</f>
        <v>380.721944218598</v>
      </c>
      <c r="G14" s="14" t="n">
        <f aca="false">(('DCF Model'!B37)+(11.5*(1+0.04)/(0.1-0.04)*((1+0.1)^-4.5))-6.5+7.5)*1000/418.6</f>
        <v>405.952662569054</v>
      </c>
      <c r="H14" s="14" t="n">
        <f aca="false">(('DCF Model'!B37)+(11.5*(1+0.045)/(0.1-0.045)*((1+0.1)^-4.5))-6.5+7.5)*1000/418.6</f>
        <v>435.770784255957</v>
      </c>
    </row>
    <row r="15" customFormat="false" ht="15" hidden="false" customHeight="true" outlineLevel="0" collapsed="false">
      <c r="A15" s="9" t="n">
        <v>0.105</v>
      </c>
      <c r="B15" s="14" t="n">
        <f aca="false">(('DCF Model'!B37)+(11.5*(1+0.015)/(0.105-0.015)*((1+0.105)^-4.5))-6.5+7.5)*1000/418.6</f>
        <v>293.537472956296</v>
      </c>
      <c r="C15" s="14" t="n">
        <f aca="false">(('DCF Model'!B37)+(11.5*(1+0.02)/(0.105-0.02)*((1+0.105)^-4.5))-6.5+7.5)*1000/418.6</f>
        <v>306.197633483899</v>
      </c>
      <c r="D15" s="14" t="n">
        <f aca="false">(('DCF Model'!B37)+(11.5*(1+0.025)/(0.105-0.025)*((1+0.105)^-4.5))-6.5+7.5)*1000/418.6</f>
        <v>320.440314077452</v>
      </c>
      <c r="E15" s="18" t="n">
        <f aca="false">(('DCF Model'!B37)+(11.5*(1+0.03)/(0.105-0.03)*((1+0.105)^-4.5))-6.5+7.5)*1000/418.6</f>
        <v>336.582018750146</v>
      </c>
      <c r="F15" s="14" t="n">
        <f aca="false">(('DCF Model'!B37)+(11.5*(1+0.035)/(0.105-0.035)*((1+0.105)^-4.5))-6.5+7.5)*1000/418.6</f>
        <v>355.029681233225</v>
      </c>
      <c r="G15" s="14" t="n">
        <f aca="false">(('DCF Model'!B37)+(11.5*(1+0.04)/(0.105-0.04)*((1+0.105)^-4.5))-6.5+7.5)*1000/418.6</f>
        <v>376.315445636777</v>
      </c>
      <c r="H15" s="14" t="n">
        <f aca="false">(('DCF Model'!B37)+(11.5*(1+0.045)/(0.105-0.045)*((1+0.105)^-4.5))-6.5+7.5)*1000/418.6</f>
        <v>401.148837440921</v>
      </c>
    </row>
    <row r="16" customFormat="false" ht="15" hidden="false" customHeight="true" outlineLevel="0" collapsed="false">
      <c r="A16" s="9" t="n">
        <v>0.11</v>
      </c>
      <c r="B16" s="14" t="n">
        <f aca="false">(('DCF Model'!B37)+(11.5*(1+0.015)/(0.11-0.015)*((1+0.11)^-4.5))-6.5+7.5)*1000/418.6</f>
        <v>279.365992203678</v>
      </c>
      <c r="C16" s="14" t="n">
        <f aca="false">(('DCF Model'!B37)+(11.5*(1+0.02)/(0.11-0.02)*((1+0.11)^-4.5))-6.5+7.5)*1000/418.6</f>
        <v>290.515920646373</v>
      </c>
      <c r="D16" s="14" t="n">
        <f aca="false">(('DCF Model'!B37)+(11.5*(1+0.025)/(0.11-0.025)*((1+0.11)^-4.5))-6.5+7.5)*1000/418.6</f>
        <v>302.977605376444</v>
      </c>
      <c r="E16" s="14" t="n">
        <f aca="false">(('DCF Model'!B37)+(11.5*(1+0.03)/(0.11-0.03)*((1+0.11)^-4.5))-6.5+7.5)*1000/418.6</f>
        <v>316.997000697773</v>
      </c>
      <c r="F16" s="14" t="n">
        <f aca="false">(('DCF Model'!B37)+(11.5*(1+0.035)/(0.11-0.035)*((1+0.11)^-4.5))-6.5+7.5)*1000/418.6</f>
        <v>332.885648728614</v>
      </c>
      <c r="G16" s="14" t="n">
        <f aca="false">(('DCF Model'!B37)+(11.5*(1+0.04)/(0.11-0.04)*((1+0.11)^-4.5))-6.5+7.5)*1000/418.6</f>
        <v>351.044103621003</v>
      </c>
      <c r="H16" s="14" t="n">
        <f aca="false">(('DCF Model'!B37)+(11.5*(1+0.045)/(0.11-0.045)*((1+0.11)^-4.5))-6.5+7.5)*1000/418.6</f>
        <v>371.996166958375</v>
      </c>
    </row>
    <row r="17" customFormat="false" ht="15" hidden="false" customHeight="true" outlineLevel="0" collapsed="false">
      <c r="A17" s="9" t="n">
        <v>0.115</v>
      </c>
      <c r="B17" s="14" t="n">
        <f aca="false">(('DCF Model'!B37)+(11.5*(1+0.015)/(0.115-0.015)*((1+0.115)^-4.5))-6.5+7.5)*1000/418.6</f>
        <v>266.699221654403</v>
      </c>
      <c r="C17" s="14" t="n">
        <f aca="false">(('DCF Model'!B37)+(11.5*(1+0.02)/(0.115-0.02)*((1+0.115)^-4.5))-6.5+7.5)*1000/418.6</f>
        <v>276.577539127127</v>
      </c>
      <c r="D17" s="14" t="n">
        <f aca="false">(('DCF Model'!B37)+(11.5*(1+0.025)/(0.115-0.025)*((1+0.115)^-4.5))-6.5+7.5)*1000/418.6</f>
        <v>287.553447430155</v>
      </c>
      <c r="E17" s="14" t="n">
        <f aca="false">(('DCF Model'!B37)+(11.5*(1+0.03)/(0.115-0.03)*((1+0.115)^-4.5))-6.5+7.5)*1000/418.6</f>
        <v>299.820639062949</v>
      </c>
      <c r="F17" s="14" t="n">
        <f aca="false">(('DCF Model'!B37)+(11.5*(1+0.035)/(0.115-0.035)*((1+0.115)^-4.5))-6.5+7.5)*1000/418.6</f>
        <v>313.621229649844</v>
      </c>
      <c r="G17" s="14" t="n">
        <f aca="false">(('DCF Model'!B37)+(11.5*(1+0.04)/(0.115-0.04)*((1+0.115)^-4.5))-6.5+7.5)*1000/418.6</f>
        <v>329.261898981657</v>
      </c>
      <c r="H17" s="14" t="n">
        <f aca="false">(('DCF Model'!B37)+(11.5*(1+0.045)/(0.115-0.045)*((1+0.115)^-4.5))-6.5+7.5)*1000/418.6</f>
        <v>347.136949646587</v>
      </c>
    </row>
    <row r="18" customFormat="false" ht="15" hidden="false" customHeight="true" outlineLevel="0" collapsed="false">
      <c r="A18" s="9" t="n">
        <v>0.12</v>
      </c>
      <c r="B18" s="14" t="n">
        <f aca="false">(('DCF Model'!B37)+(11.5*(1+0.015)/(0.12-0.015)*((1+0.12)^-4.5))-6.5+7.5)*1000/418.6</f>
        <v>255.319801699519</v>
      </c>
      <c r="C18" s="14" t="n">
        <f aca="false">(('DCF Model'!B37)+(11.5*(1+0.02)/(0.12-0.02)*((1+0.12)^-4.5))-6.5+7.5)*1000/418.6</f>
        <v>264.118455750512</v>
      </c>
      <c r="D18" s="14" t="n">
        <f aca="false">(('DCF Model'!B37)+(11.5*(1+0.025)/(0.12-0.025)*((1+0.12)^-4.5))-6.5+7.5)*1000/418.6</f>
        <v>273.843283912137</v>
      </c>
      <c r="E18" s="14" t="n">
        <f aca="false">(('DCF Model'!B37)+(11.5*(1+0.03)/(0.12-0.03)*((1+0.12)^-4.5))-6.5+7.5)*1000/418.6</f>
        <v>284.648648536164</v>
      </c>
      <c r="F18" s="14" t="n">
        <f aca="false">(('DCF Model'!B37)+(11.5*(1+0.035)/(0.12-0.035)*((1+0.12)^-4.5))-6.5+7.5)*1000/418.6</f>
        <v>296.725232527723</v>
      </c>
      <c r="G18" s="14" t="n">
        <f aca="false">(('DCF Model'!B37)+(11.5*(1+0.04)/(0.12-0.04)*((1+0.12)^-4.5))-6.5+7.5)*1000/418.6</f>
        <v>310.311389518228</v>
      </c>
      <c r="H18" s="14" t="n">
        <f aca="false">(('DCF Model'!B37)+(11.5*(1+0.045)/(0.12-0.045)*((1+0.12)^-4.5))-6.5+7.5)*1000/418.6</f>
        <v>325.709034107466</v>
      </c>
    </row>
  </sheetData>
  <mergeCells count="3">
    <mergeCell ref="A1:H1"/>
    <mergeCell ref="A3:H3"/>
    <mergeCell ref="B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3" min="3" style="1" width="40"/>
    <col collapsed="false" customWidth="true" hidden="false" outlineLevel="0" max="4" min="4" style="1" width="20"/>
  </cols>
  <sheetData>
    <row r="1" customFormat="false" ht="17.25" hidden="false" customHeight="true" outlineLevel="0" collapsed="false">
      <c r="A1" s="3" t="s">
        <v>159</v>
      </c>
      <c r="B1" s="3"/>
      <c r="C1" s="3"/>
      <c r="D1" s="3"/>
    </row>
    <row r="3" customFormat="false" ht="17.25" hidden="false" customHeight="true" outlineLevel="0" collapsed="false">
      <c r="A3" s="7" t="s">
        <v>144</v>
      </c>
    </row>
    <row r="4" customFormat="false" ht="15" hidden="false" customHeight="true" outlineLevel="0" collapsed="false">
      <c r="A4" s="9" t="s">
        <v>53</v>
      </c>
      <c r="B4" s="9" t="s">
        <v>89</v>
      </c>
      <c r="C4" s="9" t="s">
        <v>90</v>
      </c>
    </row>
    <row r="5" customFormat="false" ht="15" hidden="false" customHeight="true" outlineLevel="0" collapsed="false">
      <c r="A5" s="12" t="s">
        <v>20</v>
      </c>
      <c r="B5" s="12" t="n">
        <f aca="false">'Company Overview'!B16</f>
        <v>350</v>
      </c>
      <c r="C5" s="12" t="s">
        <v>160</v>
      </c>
    </row>
    <row r="6" customFormat="false" ht="15" hidden="false" customHeight="true" outlineLevel="0" collapsed="false">
      <c r="A6" s="12" t="s">
        <v>161</v>
      </c>
      <c r="B6" s="12" t="n">
        <f aca="false">'DCF Model'!B44</f>
        <v>356.890252475938</v>
      </c>
      <c r="C6" s="12" t="s">
        <v>162</v>
      </c>
    </row>
    <row r="7" customFormat="false" ht="15" hidden="false" customHeight="true" outlineLevel="0" collapsed="false">
      <c r="A7" s="12" t="s">
        <v>152</v>
      </c>
      <c r="B7" s="12" t="n">
        <f aca="false">'DCF Model'!B47</f>
        <v>0.0196864356455356</v>
      </c>
      <c r="C7" s="12"/>
    </row>
    <row r="8" customFormat="false" ht="15" hidden="false" customHeight="true" outlineLevel="0" collapsed="false">
      <c r="A8" s="12"/>
      <c r="B8" s="12"/>
      <c r="C8" s="12"/>
    </row>
    <row r="9" customFormat="false" ht="15" hidden="false" customHeight="true" outlineLevel="0" collapsed="false">
      <c r="A9" s="12" t="s">
        <v>24</v>
      </c>
      <c r="B9" s="12" t="n">
        <f aca="false">'Company Overview'!B19</f>
        <v>6.5</v>
      </c>
      <c r="C9" s="12"/>
    </row>
    <row r="10" customFormat="false" ht="15" hidden="false" customHeight="true" outlineLevel="0" collapsed="false">
      <c r="A10" s="12" t="s">
        <v>28</v>
      </c>
      <c r="B10" s="12" t="n">
        <f aca="false">'Company Overview'!B18</f>
        <v>146.51</v>
      </c>
      <c r="C10" s="12" t="s">
        <v>163</v>
      </c>
    </row>
    <row r="11" customFormat="false" ht="15" hidden="false" customHeight="true" outlineLevel="0" collapsed="false">
      <c r="A11" s="12" t="s">
        <v>164</v>
      </c>
      <c r="B11" s="12" t="n">
        <f aca="false">'DCF Model'!B39</f>
        <v>148.394259686427</v>
      </c>
      <c r="C11" s="12"/>
    </row>
    <row r="12" customFormat="false" ht="15" hidden="false" customHeight="true" outlineLevel="0" collapsed="false">
      <c r="A12" s="12" t="s">
        <v>165</v>
      </c>
      <c r="B12" s="12" t="n">
        <f aca="false">'DCF Model'!B39/'Company Overview'!B25</f>
        <v>6.24292215761159</v>
      </c>
      <c r="C12" s="12" t="s">
        <v>166</v>
      </c>
    </row>
    <row r="13" customFormat="false" ht="15" hidden="false" customHeight="true" outlineLevel="0" collapsed="false">
      <c r="A13" s="12" t="s">
        <v>167</v>
      </c>
      <c r="B13" s="12" t="n">
        <f aca="false">'DCF Model'!B39/10</f>
        <v>14.8394259686427</v>
      </c>
      <c r="C13" s="12"/>
    </row>
    <row r="14" customFormat="false" ht="15" hidden="false" customHeight="true" outlineLevel="0" collapsed="false">
      <c r="A14" s="12" t="s">
        <v>168</v>
      </c>
      <c r="B14" s="12" t="n">
        <f aca="false">'Company Overview'!B16/'Company Overview'!B34</f>
        <v>20.9580838323353</v>
      </c>
      <c r="C14" s="12"/>
    </row>
    <row r="15" customFormat="false" ht="15" hidden="false" customHeight="true" outlineLevel="0" collapsed="false">
      <c r="A15" s="12" t="s">
        <v>169</v>
      </c>
      <c r="B15" s="12" t="n">
        <f aca="false">'Company Overview'!B32*1000/('Company Overview'!B16*'Company Overview'!B17)</f>
        <v>0.0675721793734216</v>
      </c>
      <c r="C15" s="12"/>
    </row>
    <row r="18" customFormat="false" ht="17.25" hidden="false" customHeight="true" outlineLevel="0" collapsed="false">
      <c r="A18" s="7" t="s">
        <v>170</v>
      </c>
    </row>
    <row r="19" customFormat="false" ht="15" hidden="false" customHeight="true" outlineLevel="0" collapsed="false">
      <c r="A19" s="19" t="s">
        <v>171</v>
      </c>
      <c r="B19" s="19"/>
      <c r="C19" s="19"/>
      <c r="D19" s="19"/>
    </row>
    <row r="20" customFormat="false" ht="15" hidden="false" customHeight="true" outlineLevel="0" collapsed="false">
      <c r="A20" s="19" t="s">
        <v>172</v>
      </c>
      <c r="B20" s="19"/>
      <c r="C20" s="19"/>
      <c r="D20" s="19"/>
    </row>
    <row r="21" customFormat="false" ht="15" hidden="false" customHeight="true" outlineLevel="0" collapsed="false">
      <c r="A21" s="19" t="s">
        <v>173</v>
      </c>
      <c r="B21" s="19"/>
      <c r="C21" s="19"/>
      <c r="D21" s="19"/>
    </row>
    <row r="22" customFormat="false" ht="15" hidden="false" customHeight="true" outlineLevel="0" collapsed="false">
      <c r="A22" s="19" t="s">
        <v>174</v>
      </c>
      <c r="B22" s="19"/>
      <c r="C22" s="19"/>
      <c r="D22" s="19"/>
    </row>
    <row r="23" customFormat="false" ht="15" hidden="false" customHeight="true" outlineLevel="0" collapsed="false">
      <c r="A23" s="19" t="s">
        <v>175</v>
      </c>
      <c r="B23" s="19"/>
      <c r="C23" s="19"/>
      <c r="D23" s="19"/>
    </row>
    <row r="24" customFormat="false" ht="15" hidden="false" customHeight="true" outlineLevel="0" collapsed="false">
      <c r="A24" s="19" t="s">
        <v>176</v>
      </c>
      <c r="B24" s="19"/>
      <c r="C24" s="19"/>
      <c r="D24" s="19"/>
    </row>
    <row r="27" customFormat="false" ht="17.25" hidden="false" customHeight="true" outlineLevel="0" collapsed="false">
      <c r="A27" s="7" t="s">
        <v>177</v>
      </c>
    </row>
    <row r="28" customFormat="false" ht="15" hidden="false" customHeight="true" outlineLevel="0" collapsed="false">
      <c r="A28" s="19" t="s">
        <v>178</v>
      </c>
      <c r="B28" s="19"/>
      <c r="C28" s="19"/>
      <c r="D28" s="19"/>
    </row>
    <row r="29" customFormat="false" ht="15" hidden="false" customHeight="true" outlineLevel="0" collapsed="false">
      <c r="A29" s="19" t="s">
        <v>179</v>
      </c>
      <c r="B29" s="19"/>
      <c r="C29" s="19"/>
      <c r="D29" s="19"/>
    </row>
    <row r="30" customFormat="false" ht="15" hidden="false" customHeight="true" outlineLevel="0" collapsed="false">
      <c r="A30" s="19" t="s">
        <v>180</v>
      </c>
      <c r="B30" s="19"/>
      <c r="C30" s="19"/>
      <c r="D30" s="19"/>
    </row>
    <row r="31" customFormat="false" ht="15" hidden="false" customHeight="true" outlineLevel="0" collapsed="false">
      <c r="A31" s="19" t="s">
        <v>181</v>
      </c>
      <c r="B31" s="19"/>
      <c r="C31" s="19"/>
      <c r="D31" s="19"/>
    </row>
    <row r="32" customFormat="false" ht="15" hidden="false" customHeight="true" outlineLevel="0" collapsed="false">
      <c r="A32" s="19" t="s">
        <v>182</v>
      </c>
      <c r="B32" s="19"/>
      <c r="C32" s="19"/>
      <c r="D32" s="19"/>
    </row>
  </sheetData>
  <mergeCells count="12">
    <mergeCell ref="A1:D1"/>
    <mergeCell ref="A19:D19"/>
    <mergeCell ref="A20:D20"/>
    <mergeCell ref="A21:D21"/>
    <mergeCell ref="A22:D22"/>
    <mergeCell ref="A23:D23"/>
    <mergeCell ref="A24:D24"/>
    <mergeCell ref="A28:D28"/>
    <mergeCell ref="A29:D29"/>
    <mergeCell ref="A30:D30"/>
    <mergeCell ref="A31:D31"/>
    <mergeCell ref="A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2026-01-02T02:04:45Z</dcterms:created>
  <dc:creator>openpyxl</dc:creator>
  <dc:description/>
  <dc:language>en-US</dc:language>
  <cp:lastModifiedBy/>
  <dcterms:modified xsi:type="dcterms:W3CDTF">2026-01-02T02:06:04Z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