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 Analysis" sheetId="2" r:id="rId2"/>
    <sheet name="Sensitivity Analysis" sheetId="3" r:id="rId3"/>
    <sheet name="Historical Data" sheetId="4" r:id="rId4"/>
  </sheets>
  <calcPr calcId="124519" fullCalcOnLoad="1"/>
</workbook>
</file>

<file path=xl/sharedStrings.xml><?xml version="1.0" encoding="utf-8"?>
<sst xmlns="http://schemas.openxmlformats.org/spreadsheetml/2006/main" count="126" uniqueCount="106">
  <si>
    <t>TSM - Discounted Cash Flow Valuation Model</t>
  </si>
  <si>
    <t>Yellow cells are INPUTS - Adjust to see valuation update automatically</t>
  </si>
  <si>
    <t>COMPANY INFORMATION</t>
  </si>
  <si>
    <t>Ticker</t>
  </si>
  <si>
    <t>TSM</t>
  </si>
  <si>
    <t>Company</t>
  </si>
  <si>
    <t>Taiwan Semiconductor Manufacturing Company Limited</t>
  </si>
  <si>
    <t>Date</t>
  </si>
  <si>
    <t>2026-01-22</t>
  </si>
  <si>
    <t>Current Stock Price</t>
  </si>
  <si>
    <t>Currency</t>
  </si>
  <si>
    <t>USD</t>
  </si>
  <si>
    <t>ADR Ratio</t>
  </si>
  <si>
    <t>1 ADR = 5 shares</t>
  </si>
  <si>
    <t>KEY INPUTS (in millions USD)</t>
  </si>
  <si>
    <t>ADR Shares Outstanding</t>
  </si>
  <si>
    <t>Net Cash Position</t>
  </si>
  <si>
    <t>Base Year FCF (FY2024)</t>
  </si>
  <si>
    <t>WACC (Weighted Avg Cost of Capital)</t>
  </si>
  <si>
    <t>Terminal Growth Rate</t>
  </si>
  <si>
    <t>PROJECTION ASSUMPTIONS (5-Year Forecast)</t>
  </si>
  <si>
    <t>Year 1</t>
  </si>
  <si>
    <t>Year 2</t>
  </si>
  <si>
    <t>Year 3</t>
  </si>
  <si>
    <t>Year 4</t>
  </si>
  <si>
    <t>Year 5</t>
  </si>
  <si>
    <t>FCF Growth Rate</t>
  </si>
  <si>
    <t>Target FCF Margin</t>
  </si>
  <si>
    <t>CASH FLOW PROJECTIONS (in millions USD)</t>
  </si>
  <si>
    <t>Year</t>
  </si>
  <si>
    <t>2025</t>
  </si>
  <si>
    <t>2026</t>
  </si>
  <si>
    <t>2027</t>
  </si>
  <si>
    <t>2028</t>
  </si>
  <si>
    <t>2029</t>
  </si>
  <si>
    <t>Free Cash Flow (FCF)</t>
  </si>
  <si>
    <t>Discount Factor</t>
  </si>
  <si>
    <t>Present Value of FCF</t>
  </si>
  <si>
    <t>VALUATION SUMMARY</t>
  </si>
  <si>
    <t>Sum of PV of FCF (5 years)</t>
  </si>
  <si>
    <t>Terminal Year FCF (Y5 * (1+g))</t>
  </si>
  <si>
    <t>Terminal Value</t>
  </si>
  <si>
    <t>PV of Terminal Value</t>
  </si>
  <si>
    <t>Enterprise Value</t>
  </si>
  <si>
    <t>Add: Net Cash</t>
  </si>
  <si>
    <t>Equity Value</t>
  </si>
  <si>
    <t>INTRINSIC VALUE PER ADR</t>
  </si>
  <si>
    <t>Current Market Price</t>
  </si>
  <si>
    <t>Upside / (Downside)</t>
  </si>
  <si>
    <t>ENTRY PRICE ANALYSIS (15% CAGR Target)</t>
  </si>
  <si>
    <t>Terminal Value per ADR</t>
  </si>
  <si>
    <t>Entry Price (15% CAGR for 5 years)</t>
  </si>
  <si>
    <t>Discount from Current Price</t>
  </si>
  <si>
    <t>TSM DCF - Scenario Analysis</t>
  </si>
  <si>
    <t>BULL CASE - AI Super-Cycle Continues</t>
  </si>
  <si>
    <t>Description:</t>
  </si>
  <si>
    <t>AI super-cycle extends through 2030+, TSM maintains dominance</t>
  </si>
  <si>
    <t>Growth Rates (Y1-Y5)</t>
  </si>
  <si>
    <t>30%</t>
  </si>
  <si>
    <t>28%</t>
  </si>
  <si>
    <t>22%</t>
  </si>
  <si>
    <t>18%</t>
  </si>
  <si>
    <t>15%</t>
  </si>
  <si>
    <t>FCF Margin</t>
  </si>
  <si>
    <t>38.0%</t>
  </si>
  <si>
    <t>WACC</t>
  </si>
  <si>
    <t>9.5%</t>
  </si>
  <si>
    <t>Intrinsic Value</t>
  </si>
  <si>
    <t>Upside</t>
  </si>
  <si>
    <t>Entry Price (15% CAGR)</t>
  </si>
  <si>
    <t>BASE CASE - Management Guidance Met</t>
  </si>
  <si>
    <t>Management guidance achieved, strong execution continues</t>
  </si>
  <si>
    <t>12%</t>
  </si>
  <si>
    <t>35.0%</t>
  </si>
  <si>
    <t>10.5%</t>
  </si>
  <si>
    <t>BEAR CASE - AI Disappointment &amp; Geopolitical Risk</t>
  </si>
  <si>
    <t>AI demand moderates, geopolitical tensions increase</t>
  </si>
  <si>
    <t>10%</t>
  </si>
  <si>
    <t>8%</t>
  </si>
  <si>
    <t>6%</t>
  </si>
  <si>
    <t>28.0%</t>
  </si>
  <si>
    <t>12.5%</t>
  </si>
  <si>
    <t>PROBABILITY-WEIGHTED VALUATION</t>
  </si>
  <si>
    <t>Bull Case (30%)</t>
  </si>
  <si>
    <t>Base Case (50%)</t>
  </si>
  <si>
    <t>Bear Case (20%)</t>
  </si>
  <si>
    <t>WEIGHTED INTRINSIC VALUE</t>
  </si>
  <si>
    <t>Current Price</t>
  </si>
  <si>
    <t>Implied Upside/(Downside)</t>
  </si>
  <si>
    <t>TSM DCF - Sensitivity Analysis</t>
  </si>
  <si>
    <t>Intrinsic Value per ADR under different WACC and Terminal Growth assumptions (Base Case projections)</t>
  </si>
  <si>
    <t>WACC \ Term Growth</t>
  </si>
  <si>
    <t>Current Market Price:</t>
  </si>
  <si>
    <t>Base Case IV:</t>
  </si>
  <si>
    <t>TSM - Historical Growth Rates</t>
  </si>
  <si>
    <t>Metric</t>
  </si>
  <si>
    <t>3-Year CAGR</t>
  </si>
  <si>
    <t>5-Year CAGR</t>
  </si>
  <si>
    <t>Revenue</t>
  </si>
  <si>
    <t>EPS</t>
  </si>
  <si>
    <t>Free Cash Flow</t>
  </si>
  <si>
    <t>Selected Base Growth Rate:</t>
  </si>
  <si>
    <t>Source:</t>
  </si>
  <si>
    <t>revenue_5yr_cagr</t>
  </si>
  <si>
    <t>Note:</t>
  </si>
  <si>
    <t>Historical growth very strong. FCF 5yr CAGR of 41% reflects operational leverage.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</si>
</sst>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#,##0"/>
    <numFmt numFmtId="166" formatCode="0.0%"/>
    <numFmt numFmtId="167" formatCode="0.0000"/>
    <numFmt numFmtId="168" formatCode="$#,##0.00"/>
  </numFmts>
  <fonts count="7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9"/>
      <color rgb="FF6B728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DC262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60A5FA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3B82F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2" fillId="0" borderId="0" xfId="0" applyFont="1"/>
    <xf numFmtId="0" fontId="3" fillId="2" borderId="2" xfId="0" applyFont="1" applyFill="1" applyBorder="1"/>
    <xf numFmtId="0" fontId="4" fillId="0" borderId="2" xfId="0" applyFont="1" applyBorder="1"/>
    <xf numFmtId="164" fontId="0" fillId="3" borderId="2" xfId="0" applyNumberFormat="1" applyFill="1" applyBorder="1"/>
    <xf numFmtId="165" fontId="0" fillId="3" borderId="2" xfId="0" applyNumberFormat="1" applyFill="1" applyBorder="1"/>
    <xf numFmtId="166" fontId="0" fillId="3" borderId="2" xfId="0" applyNumberFormat="1" applyFill="1" applyBorder="1"/>
    <xf numFmtId="0" fontId="5" fillId="4" borderId="2" xfId="0" applyFont="1" applyFill="1" applyBorder="1" applyAlignment="1">
      <alignment horizontal="center"/>
    </xf>
    <xf numFmtId="165" fontId="0" fillId="0" borderId="2" xfId="0" applyNumberFormat="1" applyBorder="1"/>
    <xf numFmtId="167" fontId="0" fillId="0" borderId="2" xfId="0" applyNumberFormat="1" applyBorder="1"/>
    <xf numFmtId="168" fontId="3" fillId="5" borderId="3" xfId="0" applyNumberFormat="1" applyFont="1" applyFill="1" applyBorder="1"/>
    <xf numFmtId="168" fontId="0" fillId="0" borderId="2" xfId="0" applyNumberFormat="1" applyBorder="1"/>
    <xf numFmtId="166" fontId="5" fillId="5" borderId="3" xfId="0" applyNumberFormat="1" applyFont="1" applyFill="1" applyBorder="1"/>
    <xf numFmtId="0" fontId="5" fillId="6" borderId="2" xfId="0" applyFont="1" applyFill="1" applyBorder="1"/>
    <xf numFmtId="166" fontId="0" fillId="0" borderId="2" xfId="0" applyNumberFormat="1" applyBorder="1"/>
    <xf numFmtId="166" fontId="5" fillId="4" borderId="2" xfId="0" applyNumberFormat="1" applyFont="1" applyFill="1" applyBorder="1" applyAlignment="1">
      <alignment horizontal="center"/>
    </xf>
    <xf numFmtId="166" fontId="5" fillId="4" borderId="2" xfId="0" applyNumberFormat="1" applyFont="1" applyFill="1" applyBorder="1"/>
    <xf numFmtId="168" fontId="4" fillId="3" borderId="2" xfId="0" applyNumberFormat="1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42"/>
  <sheetViews>
    <sheetView tabSelected="1" workbookViewId="0"/>
  </sheetViews>
  <sheetFormatPr defaultRowHeight="15"/>
  <cols>
    <col min="1" max="1" width="28.7109375" customWidth="1"/>
    <col min="2" max="8" width="14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3" t="s">
        <v>2</v>
      </c>
      <c r="B4" s="3"/>
      <c r="C4" s="3"/>
      <c r="D4" s="3"/>
      <c r="E4" s="3"/>
      <c r="F4" s="3"/>
      <c r="G4" s="3"/>
      <c r="H4" s="3"/>
    </row>
    <row r="5" spans="1:8">
      <c r="A5" s="4" t="s">
        <v>3</v>
      </c>
      <c r="B5" t="s">
        <v>4</v>
      </c>
      <c r="C5" s="4" t="s">
        <v>5</v>
      </c>
      <c r="D5" t="s">
        <v>6</v>
      </c>
      <c r="G5" s="4" t="s">
        <v>7</v>
      </c>
      <c r="H5" t="s">
        <v>8</v>
      </c>
    </row>
    <row r="6" spans="1:8">
      <c r="A6" s="4" t="s">
        <v>9</v>
      </c>
      <c r="B6" s="5">
        <v>326.12</v>
      </c>
      <c r="C6" s="4" t="s">
        <v>10</v>
      </c>
      <c r="D6" t="s">
        <v>11</v>
      </c>
      <c r="E6" s="4" t="s">
        <v>12</v>
      </c>
      <c r="F6" t="s">
        <v>13</v>
      </c>
    </row>
    <row r="8" spans="1:8">
      <c r="A8" s="3" t="s">
        <v>14</v>
      </c>
      <c r="B8" s="3"/>
      <c r="C8" s="3"/>
      <c r="D8" s="3"/>
      <c r="E8" s="3"/>
      <c r="F8" s="3"/>
      <c r="G8" s="3"/>
      <c r="H8" s="3"/>
    </row>
    <row r="9" spans="1:8">
      <c r="A9" s="4" t="s">
        <v>15</v>
      </c>
      <c r="B9" s="6">
        <v>5186.4</v>
      </c>
    </row>
    <row r="10" spans="1:8">
      <c r="A10" s="4" t="s">
        <v>16</v>
      </c>
      <c r="B10" s="6">
        <v>36537</v>
      </c>
    </row>
    <row r="11" spans="1:8">
      <c r="A11" s="4" t="s">
        <v>17</v>
      </c>
      <c r="B11" s="6">
        <v>27194</v>
      </c>
    </row>
    <row r="12" spans="1:8">
      <c r="A12" s="4" t="s">
        <v>18</v>
      </c>
      <c r="B12" s="7">
        <v>0.105</v>
      </c>
    </row>
    <row r="13" spans="1:8">
      <c r="A13" s="4" t="s">
        <v>19</v>
      </c>
      <c r="B13" s="7">
        <v>0.04</v>
      </c>
    </row>
    <row r="15" spans="1:8">
      <c r="A15" s="3" t="s">
        <v>20</v>
      </c>
      <c r="B15" s="3"/>
      <c r="C15" s="3"/>
      <c r="D15" s="3"/>
      <c r="E15" s="3"/>
      <c r="F15" s="3"/>
      <c r="G15" s="3"/>
      <c r="H15" s="3"/>
    </row>
    <row r="16" spans="1:8">
      <c r="A16" s="8"/>
      <c r="B16" s="8" t="s">
        <v>21</v>
      </c>
      <c r="C16" s="8" t="s">
        <v>22</v>
      </c>
      <c r="D16" s="8" t="s">
        <v>23</v>
      </c>
      <c r="E16" s="8" t="s">
        <v>24</v>
      </c>
      <c r="F16" s="8" t="s">
        <v>25</v>
      </c>
    </row>
    <row r="17" spans="1:8">
      <c r="A17" s="4" t="s">
        <v>26</v>
      </c>
      <c r="B17" s="7">
        <v>0.28</v>
      </c>
      <c r="C17" s="7">
        <v>0.22</v>
      </c>
      <c r="D17" s="7">
        <v>0.18</v>
      </c>
      <c r="E17" s="7">
        <v>0.15</v>
      </c>
      <c r="F17" s="7">
        <v>0.12</v>
      </c>
    </row>
    <row r="18" spans="1:8">
      <c r="A18" s="4" t="s">
        <v>27</v>
      </c>
      <c r="B18" s="7">
        <v>0.35</v>
      </c>
    </row>
    <row r="20" spans="1:8">
      <c r="A20" s="3" t="s">
        <v>28</v>
      </c>
      <c r="B20" s="3"/>
      <c r="C20" s="3"/>
      <c r="D20" s="3"/>
      <c r="E20" s="3"/>
      <c r="F20" s="3"/>
      <c r="G20" s="3"/>
      <c r="H20" s="3"/>
    </row>
    <row r="21" spans="1:8">
      <c r="A21" s="8" t="s">
        <v>29</v>
      </c>
      <c r="B21" s="8" t="s">
        <v>30</v>
      </c>
      <c r="C21" s="8" t="s">
        <v>31</v>
      </c>
      <c r="D21" s="8" t="s">
        <v>32</v>
      </c>
      <c r="E21" s="8" t="s">
        <v>33</v>
      </c>
      <c r="F21" s="8" t="s">
        <v>34</v>
      </c>
    </row>
    <row r="22" spans="1:8">
      <c r="A22" s="4" t="s">
        <v>35</v>
      </c>
      <c r="B22" s="9">
        <f>B11*(1+B17)</f>
        <v>0</v>
      </c>
      <c r="C22" s="9">
        <f>B22*(1+C17)</f>
        <v>0</v>
      </c>
      <c r="D22" s="9">
        <f>C22*(1+D17)</f>
        <v>0</v>
      </c>
      <c r="E22" s="9">
        <f>D22*(1+E17)</f>
        <v>0</v>
      </c>
      <c r="F22" s="9">
        <f>E22*(1+F17)</f>
        <v>0</v>
      </c>
    </row>
    <row r="23" spans="1:8">
      <c r="A23" s="4" t="s">
        <v>36</v>
      </c>
      <c r="B23" s="10">
        <f>1/(1+B12)^1</f>
        <v>0</v>
      </c>
      <c r="C23" s="10">
        <f>1/(1+B12)^2</f>
        <v>0</v>
      </c>
      <c r="D23" s="10">
        <f>1/(1+B12)^3</f>
        <v>0</v>
      </c>
      <c r="E23" s="10">
        <f>1/(1+B12)^4</f>
        <v>0</v>
      </c>
      <c r="F23" s="10">
        <f>1/(1+B12)^5</f>
        <v>0</v>
      </c>
    </row>
    <row r="24" spans="1:8">
      <c r="A24" s="4" t="s">
        <v>37</v>
      </c>
      <c r="B24" s="9">
        <f>B22*B23</f>
        <v>0</v>
      </c>
      <c r="C24" s="9">
        <f>C22*C23</f>
        <v>0</v>
      </c>
      <c r="D24" s="9">
        <f>D22*D23</f>
        <v>0</v>
      </c>
      <c r="E24" s="9">
        <f>E22*E23</f>
        <v>0</v>
      </c>
      <c r="F24" s="9">
        <f>F22*F23</f>
        <v>0</v>
      </c>
    </row>
    <row r="26" spans="1:8">
      <c r="A26" s="3" t="s">
        <v>38</v>
      </c>
      <c r="B26" s="3"/>
      <c r="C26" s="3"/>
      <c r="D26" s="3"/>
      <c r="E26" s="3"/>
      <c r="F26" s="3"/>
      <c r="G26" s="3"/>
      <c r="H26" s="3"/>
    </row>
    <row r="27" spans="1:8">
      <c r="A27" s="4" t="s">
        <v>39</v>
      </c>
      <c r="B27" s="9">
        <f>SUM(B24:F24)</f>
        <v>0</v>
      </c>
    </row>
    <row r="28" spans="1:8">
      <c r="A28" s="4" t="s">
        <v>40</v>
      </c>
      <c r="B28" s="9">
        <f>F22*(1+B13)</f>
        <v>0</v>
      </c>
    </row>
    <row r="29" spans="1:8">
      <c r="A29" s="4" t="s">
        <v>41</v>
      </c>
      <c r="B29" s="9">
        <f>B28/(B12-B13)</f>
        <v>0</v>
      </c>
    </row>
    <row r="30" spans="1:8">
      <c r="A30" s="4" t="s">
        <v>42</v>
      </c>
      <c r="B30" s="9">
        <f>B29*F23</f>
        <v>0</v>
      </c>
    </row>
    <row r="31" spans="1:8">
      <c r="A31" s="4" t="s">
        <v>43</v>
      </c>
      <c r="B31" s="9">
        <f>B27+B30</f>
        <v>0</v>
      </c>
    </row>
    <row r="32" spans="1:8">
      <c r="A32" s="4" t="s">
        <v>44</v>
      </c>
      <c r="B32" s="9">
        <f>B10</f>
        <v>0</v>
      </c>
    </row>
    <row r="33" spans="1:8">
      <c r="A33" s="4" t="s">
        <v>45</v>
      </c>
      <c r="B33" s="9">
        <f>B31+B10</f>
        <v>0</v>
      </c>
    </row>
    <row r="35" spans="1:8">
      <c r="A35" s="4" t="s">
        <v>46</v>
      </c>
      <c r="B35" s="11">
        <f>B33/B9</f>
        <v>0</v>
      </c>
    </row>
    <row r="36" spans="1:8">
      <c r="A36" s="4" t="s">
        <v>47</v>
      </c>
      <c r="B36" s="12">
        <f>B6</f>
        <v>0</v>
      </c>
    </row>
    <row r="37" spans="1:8">
      <c r="A37" s="4" t="s">
        <v>48</v>
      </c>
      <c r="B37" s="13">
        <f>(B35-B6)/B6</f>
        <v>0</v>
      </c>
    </row>
    <row r="39" spans="1:8">
      <c r="A39" s="14" t="s">
        <v>49</v>
      </c>
      <c r="B39" s="14"/>
      <c r="C39" s="14"/>
      <c r="D39" s="14"/>
      <c r="E39" s="14"/>
      <c r="F39" s="14"/>
      <c r="G39" s="14"/>
      <c r="H39" s="14"/>
    </row>
    <row r="40" spans="1:8">
      <c r="A40" s="4" t="s">
        <v>50</v>
      </c>
      <c r="B40" s="12">
        <f>B29/B9</f>
        <v>0</v>
      </c>
    </row>
    <row r="41" spans="1:8">
      <c r="A41" s="4" t="s">
        <v>51</v>
      </c>
      <c r="B41" s="11">
        <f>B40/(1.15^5)</f>
        <v>0</v>
      </c>
    </row>
    <row r="42" spans="1:8">
      <c r="A42" s="4" t="s">
        <v>52</v>
      </c>
      <c r="B42" s="15">
        <f>(B41-B6)/B6</f>
        <v>0</v>
      </c>
    </row>
  </sheetData>
  <mergeCells count="9">
    <mergeCell ref="A1:H1"/>
    <mergeCell ref="A2:H2"/>
    <mergeCell ref="A4:H4"/>
    <mergeCell ref="D5:F5"/>
    <mergeCell ref="A8:H8"/>
    <mergeCell ref="A15:H15"/>
    <mergeCell ref="A20:H20"/>
    <mergeCell ref="A26:H26"/>
    <mergeCell ref="A39:H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/>
  </sheetViews>
  <sheetFormatPr defaultRowHeight="15"/>
  <cols>
    <col min="1" max="1" width="25.7109375" customWidth="1"/>
    <col min="2" max="5" width="16.7109375" customWidth="1"/>
  </cols>
  <sheetData>
    <row r="1" spans="1:6">
      <c r="A1" s="1" t="s">
        <v>53</v>
      </c>
      <c r="B1" s="1"/>
      <c r="C1" s="1"/>
      <c r="D1" s="1"/>
      <c r="E1" s="1"/>
    </row>
    <row r="3" spans="1:6">
      <c r="A3" s="14" t="s">
        <v>54</v>
      </c>
      <c r="B3" s="14"/>
      <c r="C3" s="14"/>
      <c r="D3" s="14"/>
      <c r="E3" s="14"/>
    </row>
    <row r="4" spans="1:6">
      <c r="A4" s="4" t="s">
        <v>55</v>
      </c>
      <c r="B4" t="s">
        <v>56</v>
      </c>
    </row>
    <row r="5" spans="1:6">
      <c r="A5" s="4" t="s">
        <v>57</v>
      </c>
      <c r="B5" t="s">
        <v>58</v>
      </c>
      <c r="C5" t="s">
        <v>59</v>
      </c>
      <c r="D5" t="s">
        <v>60</v>
      </c>
      <c r="E5" t="s">
        <v>61</v>
      </c>
      <c r="F5" t="s">
        <v>62</v>
      </c>
    </row>
    <row r="6" spans="1:6">
      <c r="A6" s="4" t="s">
        <v>63</v>
      </c>
      <c r="B6" t="s">
        <v>64</v>
      </c>
      <c r="C6" s="4" t="s">
        <v>65</v>
      </c>
      <c r="D6" t="s">
        <v>66</v>
      </c>
    </row>
    <row r="7" spans="1:6">
      <c r="A7" s="4" t="s">
        <v>67</v>
      </c>
      <c r="B7" s="12">
        <v>299.37</v>
      </c>
      <c r="C7" s="4" t="s">
        <v>68</v>
      </c>
      <c r="D7" s="15">
        <v>-0.08199999999999999</v>
      </c>
    </row>
    <row r="8" spans="1:6">
      <c r="A8" s="4" t="s">
        <v>69</v>
      </c>
      <c r="B8" s="12">
        <v>189.7</v>
      </c>
    </row>
    <row r="10" spans="1:6">
      <c r="A10" s="14" t="s">
        <v>70</v>
      </c>
      <c r="B10" s="14"/>
      <c r="C10" s="14"/>
      <c r="D10" s="14"/>
      <c r="E10" s="14"/>
    </row>
    <row r="11" spans="1:6">
      <c r="A11" s="4" t="s">
        <v>55</v>
      </c>
      <c r="B11" t="s">
        <v>71</v>
      </c>
    </row>
    <row r="12" spans="1:6">
      <c r="A12" s="4" t="s">
        <v>57</v>
      </c>
      <c r="B12" t="s">
        <v>59</v>
      </c>
      <c r="C12" t="s">
        <v>60</v>
      </c>
      <c r="D12" t="s">
        <v>61</v>
      </c>
      <c r="E12" t="s">
        <v>62</v>
      </c>
      <c r="F12" t="s">
        <v>72</v>
      </c>
    </row>
    <row r="13" spans="1:6">
      <c r="A13" s="4" t="s">
        <v>63</v>
      </c>
      <c r="B13" t="s">
        <v>73</v>
      </c>
      <c r="C13" s="4" t="s">
        <v>65</v>
      </c>
      <c r="D13" t="s">
        <v>74</v>
      </c>
    </row>
    <row r="14" spans="1:6">
      <c r="A14" s="4" t="s">
        <v>67</v>
      </c>
      <c r="B14" s="12">
        <v>188.42</v>
      </c>
      <c r="C14" s="4" t="s">
        <v>68</v>
      </c>
      <c r="D14" s="15">
        <v>-0.422</v>
      </c>
    </row>
    <row r="15" spans="1:6">
      <c r="A15" s="4" t="s">
        <v>69</v>
      </c>
      <c r="B15" s="12">
        <v>115.24</v>
      </c>
    </row>
    <row r="17" spans="1:6">
      <c r="A17" s="14" t="s">
        <v>75</v>
      </c>
      <c r="B17" s="14"/>
      <c r="C17" s="14"/>
      <c r="D17" s="14"/>
      <c r="E17" s="14"/>
    </row>
    <row r="18" spans="1:6">
      <c r="A18" s="4" t="s">
        <v>55</v>
      </c>
      <c r="B18" t="s">
        <v>76</v>
      </c>
    </row>
    <row r="19" spans="1:6">
      <c r="A19" s="4" t="s">
        <v>57</v>
      </c>
      <c r="B19" t="s">
        <v>61</v>
      </c>
      <c r="C19" t="s">
        <v>72</v>
      </c>
      <c r="D19" t="s">
        <v>77</v>
      </c>
      <c r="E19" t="s">
        <v>78</v>
      </c>
      <c r="F19" t="s">
        <v>79</v>
      </c>
    </row>
    <row r="20" spans="1:6">
      <c r="A20" s="4" t="s">
        <v>63</v>
      </c>
      <c r="B20" t="s">
        <v>80</v>
      </c>
      <c r="C20" s="4" t="s">
        <v>65</v>
      </c>
      <c r="D20" t="s">
        <v>81</v>
      </c>
    </row>
    <row r="21" spans="1:6">
      <c r="A21" s="4" t="s">
        <v>67</v>
      </c>
      <c r="B21" s="12">
        <v>80.44</v>
      </c>
      <c r="C21" s="4" t="s">
        <v>68</v>
      </c>
      <c r="D21" s="15">
        <v>-0.753</v>
      </c>
    </row>
    <row r="22" spans="1:6">
      <c r="A22" s="4" t="s">
        <v>69</v>
      </c>
      <c r="B22" s="12">
        <v>43.81</v>
      </c>
    </row>
    <row r="24" spans="1:6">
      <c r="A24" s="3" t="s">
        <v>82</v>
      </c>
      <c r="B24" s="3"/>
      <c r="C24" s="3"/>
      <c r="D24" s="3"/>
      <c r="E24" s="3"/>
    </row>
    <row r="25" spans="1:6">
      <c r="A25" s="4" t="s">
        <v>83</v>
      </c>
      <c r="B25" s="12">
        <v>299.37</v>
      </c>
    </row>
    <row r="26" spans="1:6">
      <c r="A26" s="4" t="s">
        <v>84</v>
      </c>
      <c r="B26" s="12">
        <v>188.42</v>
      </c>
    </row>
    <row r="27" spans="1:6">
      <c r="A27" s="4" t="s">
        <v>85</v>
      </c>
      <c r="B27" s="12">
        <v>80.44</v>
      </c>
    </row>
    <row r="28" spans="1:6">
      <c r="A28" s="4" t="s">
        <v>86</v>
      </c>
      <c r="B28" s="11">
        <v>200.11</v>
      </c>
    </row>
    <row r="29" spans="1:6">
      <c r="A29" s="4" t="s">
        <v>87</v>
      </c>
      <c r="B29" s="12">
        <v>326.12</v>
      </c>
    </row>
    <row r="30" spans="1:6">
      <c r="A30" s="4" t="s">
        <v>88</v>
      </c>
      <c r="B30" s="13">
        <v>-0.386</v>
      </c>
    </row>
  </sheetData>
  <mergeCells count="8">
    <mergeCell ref="A1:E1"/>
    <mergeCell ref="A3:E3"/>
    <mergeCell ref="B4:E4"/>
    <mergeCell ref="A10:E10"/>
    <mergeCell ref="B11:E11"/>
    <mergeCell ref="A17:E17"/>
    <mergeCell ref="B18:E18"/>
    <mergeCell ref="A24:E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3"/>
  <sheetViews>
    <sheetView workbookViewId="0"/>
  </sheetViews>
  <sheetFormatPr defaultRowHeight="15"/>
  <cols>
    <col min="1" max="1" width="18.7109375" customWidth="1"/>
    <col min="2" max="7" width="13.7109375" customWidth="1"/>
  </cols>
  <sheetData>
    <row r="1" spans="1:7">
      <c r="A1" s="1" t="s">
        <v>89</v>
      </c>
      <c r="B1" s="1"/>
      <c r="C1" s="1"/>
      <c r="D1" s="1"/>
      <c r="E1" s="1"/>
      <c r="F1" s="1"/>
      <c r="G1" s="1"/>
    </row>
    <row r="2" spans="1:7">
      <c r="A2" s="2" t="s">
        <v>90</v>
      </c>
      <c r="B2" s="2"/>
      <c r="C2" s="2"/>
      <c r="D2" s="2"/>
      <c r="E2" s="2"/>
      <c r="F2" s="2"/>
      <c r="G2" s="2"/>
    </row>
    <row r="4" spans="1:7">
      <c r="A4" s="8" t="s">
        <v>91</v>
      </c>
      <c r="B4" s="16">
        <v>0.03</v>
      </c>
      <c r="C4" s="16">
        <v>0.035</v>
      </c>
      <c r="D4" s="16">
        <v>0.04</v>
      </c>
      <c r="E4" s="16">
        <v>0.045</v>
      </c>
      <c r="F4" s="16">
        <v>0.05</v>
      </c>
    </row>
    <row r="5" spans="1:7">
      <c r="A5" s="17">
        <v>0.08500000000000001</v>
      </c>
      <c r="B5" s="12">
        <v>230.54</v>
      </c>
      <c r="C5" s="12">
        <v>249.54</v>
      </c>
      <c r="D5" s="12">
        <v>272.77</v>
      </c>
      <c r="E5" s="18">
        <v>301.81</v>
      </c>
      <c r="F5" s="18">
        <v>339.14</v>
      </c>
    </row>
    <row r="6" spans="1:7">
      <c r="A6" s="17">
        <v>0.095</v>
      </c>
      <c r="B6" s="12">
        <v>194.71</v>
      </c>
      <c r="C6" s="12">
        <v>207.63</v>
      </c>
      <c r="D6" s="12">
        <v>222.9</v>
      </c>
      <c r="E6" s="12">
        <v>241.22</v>
      </c>
      <c r="F6" s="12">
        <v>263.61</v>
      </c>
    </row>
    <row r="7" spans="1:7">
      <c r="A7" s="17">
        <v>0.105</v>
      </c>
      <c r="B7" s="12">
        <v>168.49</v>
      </c>
      <c r="C7" s="12">
        <v>177.74</v>
      </c>
      <c r="D7" s="12">
        <v>188.42</v>
      </c>
      <c r="E7" s="12">
        <v>200.88</v>
      </c>
      <c r="F7" s="12">
        <v>215.6</v>
      </c>
    </row>
    <row r="8" spans="1:7">
      <c r="A8" s="17">
        <v>0.115</v>
      </c>
      <c r="B8" s="12">
        <v>148.47</v>
      </c>
      <c r="C8" s="12">
        <v>155.36</v>
      </c>
      <c r="D8" s="12">
        <v>163.17</v>
      </c>
      <c r="E8" s="12">
        <v>172.1</v>
      </c>
      <c r="F8" s="12">
        <v>182.4</v>
      </c>
    </row>
    <row r="9" spans="1:7">
      <c r="A9" s="17">
        <v>0.125</v>
      </c>
      <c r="B9" s="12">
        <v>132.69</v>
      </c>
      <c r="C9" s="12">
        <v>137.98</v>
      </c>
      <c r="D9" s="12">
        <v>143.89</v>
      </c>
      <c r="E9" s="12">
        <v>150.54</v>
      </c>
      <c r="F9" s="12">
        <v>158.08</v>
      </c>
    </row>
    <row r="12" spans="1:7">
      <c r="A12" s="4" t="s">
        <v>92</v>
      </c>
      <c r="B12" s="11">
        <v>326.12</v>
      </c>
    </row>
    <row r="13" spans="1:7">
      <c r="A13" s="4" t="s">
        <v>93</v>
      </c>
      <c r="B13" s="12">
        <v>188.42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1"/>
  <sheetViews>
    <sheetView workbookViewId="0"/>
  </sheetViews>
  <sheetFormatPr defaultRowHeight="15"/>
  <cols>
    <col min="1" max="1" width="25.7109375" customWidth="1"/>
    <col min="2" max="3" width="15.7109375" customWidth="1"/>
  </cols>
  <sheetData>
    <row r="1" spans="1:3">
      <c r="A1" s="1" t="s">
        <v>94</v>
      </c>
      <c r="B1" s="1"/>
      <c r="C1" s="1"/>
    </row>
    <row r="3" spans="1:3">
      <c r="A3" s="8" t="s">
        <v>95</v>
      </c>
      <c r="B3" s="8" t="s">
        <v>96</v>
      </c>
      <c r="C3" s="8" t="s">
        <v>97</v>
      </c>
    </row>
    <row r="4" spans="1:3">
      <c r="A4" s="4" t="s">
        <v>98</v>
      </c>
      <c r="B4" s="15">
        <v>0.2217</v>
      </c>
      <c r="C4" s="15">
        <v>0.2202</v>
      </c>
    </row>
    <row r="5" spans="1:3">
      <c r="A5" s="4" t="s">
        <v>99</v>
      </c>
      <c r="B5" s="15">
        <v>0.2507</v>
      </c>
      <c r="C5" s="15">
        <v>0.2676</v>
      </c>
    </row>
    <row r="6" spans="1:3">
      <c r="A6" s="4" t="s">
        <v>100</v>
      </c>
      <c r="B6" s="15">
        <v>0.4717</v>
      </c>
      <c r="C6" s="15">
        <v>0.4126</v>
      </c>
    </row>
    <row r="8" spans="1:3">
      <c r="A8" s="4" t="s">
        <v>101</v>
      </c>
      <c r="B8" s="15">
        <v>0.22</v>
      </c>
    </row>
    <row r="9" spans="1:3">
      <c r="A9" s="4" t="s">
        <v>102</v>
      </c>
      <c r="B9" t="s">
        <v>103</v>
      </c>
    </row>
    <row r="11" spans="1:3">
      <c r="A11" s="19" t="s">
        <v>104</v>
      </c>
      <c r="B11" s="2" t="s">
        <v>105</v>
      </c>
      <c r="C11" s="2"/>
    </row>
  </sheetData>
  <mergeCells count="2">
    <mergeCell ref="A1:C1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Scenario Analysis</vt:lpstr>
      <vt:lpstr>Sensitivity Analysis</vt:lpstr>
      <vt:lpstr>Historical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2026-01-22T08:09:49Z</dcterms:created>
  <dcterms:modified xsi:type="dcterms:W3CDTF">2026-01-22T08:09:49Z</dcterms:modified>
</cp:coreProperties>
</file>