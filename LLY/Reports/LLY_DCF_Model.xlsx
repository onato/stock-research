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CF Model" sheetId="1" r:id="rId1"/>
    <sheet name="Scenarios" sheetId="2" r:id="rId2"/>
    <sheet name="Sensitivity" sheetId="3" r:id="rId3"/>
    <sheet name="Historical Data" sheetId="4" r:id="rId4"/>
    <sheet name="Growth Assumptions" sheetId="5" r:id="rId5"/>
  </sheets>
  <calcPr calcId="124519" fullCalcOnLoad="1"/>
</workbook>
</file>

<file path=xl/sharedStrings.xml><?xml version="1.0" encoding="utf-8"?>
<sst xmlns="http://schemas.openxmlformats.org/spreadsheetml/2006/main" count="192" uniqueCount="134">
  <si>
    <t>Eli Lilly (LLY) — DCF Valuation Model</t>
  </si>
  <si>
    <t>Teal cells are INPUTS — adjust to see all outputs update automatically</t>
  </si>
  <si>
    <t>Valuation Date: 2026-06-24  |  All figures in USD millions unless noted</t>
  </si>
  <si>
    <t>KEY INPUTS</t>
  </si>
  <si>
    <t>Current Stock Price ($)</t>
  </si>
  <si>
    <t>Shares Outstanding (M)</t>
  </si>
  <si>
    <t>Cash &amp; Equivalents (M)</t>
  </si>
  <si>
    <t>Total Debt (M)</t>
  </si>
  <si>
    <t>Net Debt (M)  [Debt - Cash]</t>
  </si>
  <si>
    <t>FY2025 Actual FCF (M)  [Reference]</t>
  </si>
  <si>
    <t>FY2026E Base Revenue (M)  [Year 0]</t>
  </si>
  <si>
    <t>FY2026E FCF (M)  [Reference]</t>
  </si>
  <si>
    <t>Est. ~14% FCF margin on $83.5B guided revenue</t>
  </si>
  <si>
    <t>BASE CASE ASSUMPTIONS  (adjust these to build your own scenario)</t>
  </si>
  <si>
    <t>Value</t>
  </si>
  <si>
    <t>Y1 (FY2027)</t>
  </si>
  <si>
    <t>Y2 (FY2028)</t>
  </si>
  <si>
    <t>Y3 (FY2029)</t>
  </si>
  <si>
    <t>Y4 (FY2030)</t>
  </si>
  <si>
    <t>Y5 (FY2031)</t>
  </si>
  <si>
    <t>Revenue Growth Rate (%)</t>
  </si>
  <si>
    <t>FCF Margin (%)</t>
  </si>
  <si>
    <t>WACC</t>
  </si>
  <si>
    <t>Terminal Growth Rate</t>
  </si>
  <si>
    <t>BASE CASE PROJECTIONS  (formula-driven — adjusting assumptions above updates these)</t>
  </si>
  <si>
    <t>Revenue (M)</t>
  </si>
  <si>
    <t>Free Cash Flow (M)</t>
  </si>
  <si>
    <t>Discount Factor  [1/(1+WACC)^t]</t>
  </si>
  <si>
    <t>PV of FCF (M)</t>
  </si>
  <si>
    <t>BASE CASE VALUATION</t>
  </si>
  <si>
    <t>Sum of PV of FCF (M)</t>
  </si>
  <si>
    <t>Terminal FCF (Year 5 FCF x (1 + g))</t>
  </si>
  <si>
    <t>Terminal Value (M)</t>
  </si>
  <si>
    <t>PV of Terminal Value (M)</t>
  </si>
  <si>
    <t>Enterprise Value (M)</t>
  </si>
  <si>
    <t>Less: Net Debt (M)</t>
  </si>
  <si>
    <t>Equity Value (M)</t>
  </si>
  <si>
    <t>BASE INTRINSIC VALUE / SHARE</t>
  </si>
  <si>
    <t>Upside / (Downside) to IV</t>
  </si>
  <si>
    <t>ENTRY PRICE (15% CAGR Target)</t>
  </si>
  <si>
    <t>Terminal Value / Share</t>
  </si>
  <si>
    <t>Entry Price @ 15%</t>
  </si>
  <si>
    <t>Discount from Current</t>
  </si>
  <si>
    <t>Base Entry Price</t>
  </si>
  <si>
    <t>Eli Lilly (LLY) — Scenario Comparison</t>
  </si>
  <si>
    <t>Bull / Base / Bear cases with independent assumptions</t>
  </si>
  <si>
    <t>ASSUMPTIONS</t>
  </si>
  <si>
    <t>BULL CASE</t>
  </si>
  <si>
    <t>BASE CASE</t>
  </si>
  <si>
    <t>BEAR CASE</t>
  </si>
  <si>
    <t>Y1 FCF Growth / Revenue Growth</t>
  </si>
  <si>
    <t>Y5 FCF Growth / Revenue Growth</t>
  </si>
  <si>
    <t>Y5 FCF Margin</t>
  </si>
  <si>
    <t>PROJECTED FREE CASH FLOWS (M)</t>
  </si>
  <si>
    <t>BULL</t>
  </si>
  <si>
    <t>BASE</t>
  </si>
  <si>
    <t>BEAR</t>
  </si>
  <si>
    <t>Y1 FCF (M)</t>
  </si>
  <si>
    <t>Y2 FCF (M)</t>
  </si>
  <si>
    <t>Y3 FCF (M)</t>
  </si>
  <si>
    <t>Y4 FCF (M)</t>
  </si>
  <si>
    <t>Y5 FCF (M)</t>
  </si>
  <si>
    <t>VALUATION OUTPUTS</t>
  </si>
  <si>
    <t>Sum PV of FCF (M)</t>
  </si>
  <si>
    <t>Less Net Debt (M)</t>
  </si>
  <si>
    <t>INTRINSIC VALUE / SHARE</t>
  </si>
  <si>
    <t>Upside / (Downside) vs Current</t>
  </si>
  <si>
    <t>Current Price</t>
  </si>
  <si>
    <t>ENTRY PRICE FOR 15% CAGR TARGET</t>
  </si>
  <si>
    <t>Entry Price (15% CAGR)</t>
  </si>
  <si>
    <t>Discount from Current Price</t>
  </si>
  <si>
    <t>PROBABILITY-WEIGHTED VALUATION</t>
  </si>
  <si>
    <t>Scenario Weights (Bull / Base / Bear)</t>
  </si>
  <si>
    <t>25%</t>
  </si>
  <si>
    <t>50%</t>
  </si>
  <si>
    <t>PROBABILITY-WEIGHTED IV / SHARE</t>
  </si>
  <si>
    <t>vs Current Price</t>
  </si>
  <si>
    <t>LLY — Sensitivity Analysis (Base Case)</t>
  </si>
  <si>
    <t>Intrinsic Value per Share at varying WACC and Terminal Growth Rate</t>
  </si>
  <si>
    <t>Base case growth rates and FCF margins held constant; only discount rate and terminal growth vary.</t>
  </si>
  <si>
    <t>Green = IV &gt; current price ($1107.08). Amber = within 25% below. Red = more than 25% below.</t>
  </si>
  <si>
    <t>WACC \ Terminal g</t>
  </si>
  <si>
    <t>Color Legend:</t>
  </si>
  <si>
    <t>Green = IV &gt; current price (overvalued stock implied)</t>
  </si>
  <si>
    <t>Amber = IV within 25% of current price ($830 - $1107)</t>
  </si>
  <si>
    <t>Red = IV more than 25% below current price (&lt; $830)</t>
  </si>
  <si>
    <t>Note on LLY sensitivity:</t>
  </si>
  <si>
    <t>The bull case (8.0% WACC, 3.5% terminal growth) is the only combination near-justifying the current price.</t>
  </si>
  <si>
    <t>The base case central estimate ($647) is ~41% below current price across the most likely WACC/terminal growth range.</t>
  </si>
  <si>
    <t>LLY — Historical Financial Data &amp; Growth Rates</t>
  </si>
  <si>
    <t>Source: LLY_Metrics.csv  |  All figures in USD millions</t>
  </si>
  <si>
    <t>ANNUAL FINANCIALS (FY2020 - FY2025)</t>
  </si>
  <si>
    <t>Period</t>
  </si>
  <si>
    <t>FY2020</t>
  </si>
  <si>
    <t>FY2021</t>
  </si>
  <si>
    <t>FY2022</t>
  </si>
  <si>
    <t>FY2023</t>
  </si>
  <si>
    <t>FY2024</t>
  </si>
  <si>
    <t>FY2025</t>
  </si>
  <si>
    <t>Gross Profit (M)</t>
  </si>
  <si>
    <t>Gross Margin (%)</t>
  </si>
  <si>
    <t>Operating Income (M)</t>
  </si>
  <si>
    <t>Net Income (M)</t>
  </si>
  <si>
    <t>EPS Diluted ($)</t>
  </si>
  <si>
    <t>FCF (M)</t>
  </si>
  <si>
    <t>R&amp;D Expense (M)</t>
  </si>
  <si>
    <t>Shareholders Equity (M)</t>
  </si>
  <si>
    <t>Cash (M)</t>
  </si>
  <si>
    <t>* ANOMALOUS</t>
  </si>
  <si>
    <t>HISTORICAL GROWTH RATES (CAGR)</t>
  </si>
  <si>
    <t>Metric</t>
  </si>
  <si>
    <t>3-Year CAGR (FY22-FY25)</t>
  </si>
  <si>
    <t>5-Year CAGR (FY20-FY25)</t>
  </si>
  <si>
    <t>Notes</t>
  </si>
  <si>
    <t>Revenue</t>
  </si>
  <si>
    <t>Primary driver selected: 5yr CAGR</t>
  </si>
  <si>
    <t>EPS (Diluted)</t>
  </si>
  <si>
    <t>Reflects operating leverage from GLP-1 scale</t>
  </si>
  <si>
    <t>Shareholders Equity</t>
  </si>
  <si>
    <t>Driven by retained earnings; shares ~flat</t>
  </si>
  <si>
    <t>Free Cash Flow</t>
  </si>
  <si>
    <t>Depressed by capex cycle &amp; anomalous FY2023</t>
  </si>
  <si>
    <t>Selected Growth Driver:</t>
  </si>
  <si>
    <t>Revenue 5yr CAGR = 21.6%</t>
  </si>
  <si>
    <t>Rationale:</t>
  </si>
  <si>
    <t>FCF CAGR distorted by capex cycle; EPS CAGR overstates from low base; revenue most transparent and defensible for a high-growth large-cap pharma at this stage.</t>
  </si>
  <si>
    <t>LLY — Growth &amp; FCF Margin Assumptions by Scenario</t>
  </si>
  <si>
    <t>Detailed rationale for each scenario year</t>
  </si>
  <si>
    <t>Revenue Growth Rate</t>
  </si>
  <si>
    <t>FCF Margin</t>
  </si>
  <si>
    <t>Narrative</t>
  </si>
  <si>
    <t>GLP-1 penetration accelerates beyond current trajectory; Foundayo (orforglipron) captures a new patient cohort, adding $8-10B by Year 3; retatrutide achieves Phase 3 success and NDA approval by 2027, layering additional blockbuster revenue. International markets (Europe, Japan, China) contribute meaningfully. M&amp;A diversification reduces tirzepatide concentration risk, sustaining premium multiple. FCF margins benefit from oral small-molecule economics (lower COGS vs. injectable) and manufacturing leverage.</t>
  </si>
  <si>
    <t>Sustained near-term hypergrowth driven by Mounjaro/Zepbound volume expansion (guided 40%+ volume in 2026), partially offset by ~low-to-mid teens price headwind. Growth decelerates meaningfully in years 3-5 as the revenue base scales, competition intensifies, and legacy product erosion (Trulicity biosimilar 2027) becomes material. FCF margins expand from ~14% (FY2026E) toward 22% in Year 5 as manufacturing capex cycle moderates and operating leverage matures.</t>
  </si>
  <si>
    <t>Realized price erosion widens beyond guided low-to-mid teens to 20%+ as MFN/TrumpRx expands, LillyDirect self-pay volumes grow at lower ASPs, and PBM rebate pressure intensifies. Novo Nordisk oral semaglutide captures outsized share of oral GLP-1 market, capping Foundayo's uptake. Retatrutide misses primary endpoint or faces label restriction. Trulicity biosimilar entry in 2027 accelerates legacy revenue decline. Higher WACC reflects increased execution risk and multiple compression from premium to sector-average.</t>
  </si>
</sst>
</file>

<file path=xl/styles.xml><?xml version="1.0" encoding="utf-8"?>
<styleSheet xmlns="http://schemas.openxmlformats.org/spreadsheetml/2006/main">
  <numFmts count="4">
    <numFmt numFmtId="164" formatCode="#,##0.0"/>
    <numFmt numFmtId="165" formatCode="0.0%"/>
    <numFmt numFmtId="166" formatCode="&quot;$&quot;#,##0.00"/>
    <numFmt numFmtId="167" formatCode="&quot;$&quot;#,##0"/>
  </numFmts>
  <fonts count="9">
    <font>
      <sz val="11"/>
      <color theme="1"/>
      <name val="Calibri"/>
      <family val="2"/>
      <scheme val="minor"/>
    </font>
    <font>
      <b/>
      <sz val="16"/>
      <color rgb="FF2D3436"/>
      <name val="Calibri"/>
      <family val="2"/>
      <scheme val="minor"/>
    </font>
    <font>
      <i/>
      <sz val="10"/>
      <color rgb="FF636E72"/>
      <name val="Calibri"/>
      <family val="2"/>
      <scheme val="minor"/>
    </font>
    <font>
      <b/>
      <sz val="11"/>
      <color rgb="FF2D3436"/>
      <name val="Calibri"/>
      <family val="2"/>
      <scheme val="minor"/>
    </font>
    <font>
      <sz val="11"/>
      <color rgb="FF2D3436"/>
      <name val="Calibri"/>
      <family val="2"/>
      <scheme val="minor"/>
    </font>
    <font>
      <b/>
      <sz val="11"/>
      <color theme="1"/>
      <name val="Calibri"/>
      <family val="2"/>
      <scheme val="minor"/>
    </font>
    <font>
      <i/>
      <sz val="9"/>
      <color rgb="FF636E72"/>
      <name val="Calibri"/>
      <family val="2"/>
      <scheme val="minor"/>
    </font>
    <font>
      <b/>
      <sz val="11"/>
      <color rgb="FFFFFFFF"/>
      <name val="Calibri"/>
      <family val="2"/>
      <scheme val="minor"/>
    </font>
    <font>
      <i/>
      <sz val="8"/>
      <color rgb="FFD63031"/>
      <name val="Calibri"/>
      <family val="2"/>
      <scheme val="minor"/>
    </font>
  </fonts>
  <fills count="13">
    <fill>
      <patternFill patternType="none"/>
    </fill>
    <fill>
      <patternFill patternType="gray125"/>
    </fill>
    <fill>
      <patternFill patternType="solid">
        <fgColor rgb="FFDFE6E9"/>
        <bgColor indexed="64"/>
      </patternFill>
    </fill>
    <fill>
      <patternFill patternType="solid">
        <fgColor rgb="FFB2D8D8"/>
        <bgColor indexed="64"/>
      </patternFill>
    </fill>
    <fill>
      <patternFill patternType="solid">
        <fgColor rgb="FFF0F0F0"/>
        <bgColor indexed="64"/>
      </patternFill>
    </fill>
    <fill>
      <patternFill patternType="solid">
        <fgColor rgb="FF2D3436"/>
        <bgColor indexed="64"/>
      </patternFill>
    </fill>
    <fill>
      <patternFill patternType="solid">
        <fgColor rgb="FFFDCB6E"/>
        <bgColor indexed="64"/>
      </patternFill>
    </fill>
    <fill>
      <patternFill patternType="solid">
        <fgColor rgb="FF00B894"/>
        <bgColor indexed="64"/>
      </patternFill>
    </fill>
    <fill>
      <patternFill patternType="solid">
        <fgColor rgb="FF0984E3"/>
        <bgColor indexed="64"/>
      </patternFill>
    </fill>
    <fill>
      <patternFill patternType="solid">
        <fgColor rgb="FFD63031"/>
        <bgColor indexed="64"/>
      </patternFill>
    </fill>
    <fill>
      <patternFill patternType="solid">
        <fgColor rgb="FFFAB1A0"/>
        <bgColor indexed="64"/>
      </patternFill>
    </fill>
    <fill>
      <patternFill patternType="solid">
        <fgColor rgb="FFFFEAA7"/>
        <bgColor indexed="64"/>
      </patternFill>
    </fill>
    <fill>
      <patternFill patternType="solid">
        <fgColor rgb="FF55EFC4"/>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2" borderId="1" xfId="0" applyFont="1" applyFill="1" applyBorder="1"/>
    <xf numFmtId="164" fontId="4" fillId="3" borderId="2" xfId="0" applyNumberFormat="1" applyFont="1" applyFill="1" applyBorder="1"/>
    <xf numFmtId="164" fontId="5" fillId="4" borderId="2" xfId="0" applyNumberFormat="1" applyFont="1" applyFill="1" applyBorder="1"/>
    <xf numFmtId="164" fontId="0" fillId="0" borderId="2" xfId="0" applyNumberFormat="1" applyBorder="1"/>
    <xf numFmtId="0" fontId="6" fillId="0" borderId="0" xfId="0" applyFont="1" applyAlignment="1">
      <alignment wrapText="1"/>
    </xf>
    <xf numFmtId="0" fontId="7" fillId="5" borderId="2" xfId="0" applyFont="1" applyFill="1" applyBorder="1" applyAlignment="1">
      <alignment horizontal="center"/>
    </xf>
    <xf numFmtId="165" fontId="4" fillId="3" borderId="2" xfId="0" applyNumberFormat="1" applyFont="1" applyFill="1" applyBorder="1"/>
    <xf numFmtId="0" fontId="5" fillId="0" borderId="0" xfId="0" applyFont="1"/>
    <xf numFmtId="166" fontId="3" fillId="6" borderId="2" xfId="0" applyNumberFormat="1" applyFont="1" applyFill="1" applyBorder="1"/>
    <xf numFmtId="165" fontId="5" fillId="0" borderId="2" xfId="0" applyNumberFormat="1" applyFont="1" applyBorder="1"/>
    <xf numFmtId="166" fontId="0" fillId="0" borderId="2" xfId="0" applyNumberFormat="1" applyBorder="1"/>
    <xf numFmtId="0" fontId="7" fillId="7" borderId="2" xfId="0" applyFont="1" applyFill="1" applyBorder="1" applyAlignment="1">
      <alignment horizontal="center"/>
    </xf>
    <xf numFmtId="0" fontId="7" fillId="8" borderId="2" xfId="0" applyFont="1" applyFill="1" applyBorder="1" applyAlignment="1">
      <alignment horizontal="center"/>
    </xf>
    <xf numFmtId="0" fontId="7" fillId="9" borderId="2" xfId="0" applyFont="1" applyFill="1" applyBorder="1" applyAlignment="1">
      <alignment horizontal="center"/>
    </xf>
    <xf numFmtId="165" fontId="0" fillId="0" borderId="2" xfId="0" applyNumberFormat="1" applyBorder="1"/>
    <xf numFmtId="166" fontId="7" fillId="7" borderId="2" xfId="0" applyNumberFormat="1" applyFont="1" applyFill="1" applyBorder="1"/>
    <xf numFmtId="166" fontId="7" fillId="9" borderId="2" xfId="0" applyNumberFormat="1" applyFont="1" applyFill="1" applyBorder="1"/>
    <xf numFmtId="166" fontId="5" fillId="0" borderId="2" xfId="0" applyNumberFormat="1" applyFont="1" applyBorder="1"/>
    <xf numFmtId="165" fontId="7" fillId="5" borderId="2" xfId="0" applyNumberFormat="1" applyFont="1" applyFill="1" applyBorder="1" applyAlignment="1">
      <alignment horizontal="center"/>
    </xf>
    <xf numFmtId="165" fontId="7" fillId="5" borderId="2" xfId="0" applyNumberFormat="1" applyFont="1" applyFill="1" applyBorder="1"/>
    <xf numFmtId="167" fontId="4" fillId="10" borderId="2" xfId="0" applyNumberFormat="1" applyFont="1" applyFill="1" applyBorder="1"/>
    <xf numFmtId="167" fontId="4" fillId="11" borderId="2" xfId="0" applyNumberFormat="1" applyFont="1" applyFill="1" applyBorder="1"/>
    <xf numFmtId="167" fontId="4" fillId="12" borderId="2" xfId="0" applyNumberFormat="1" applyFont="1" applyFill="1" applyBorder="1"/>
    <xf numFmtId="0" fontId="8"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8"/>
  <sheetViews>
    <sheetView tabSelected="1" zoomScale="90" zoomScaleNormal="90" workbookViewId="0"/>
  </sheetViews>
  <sheetFormatPr defaultRowHeight="15"/>
  <cols>
    <col min="1" max="1" width="32.7109375" customWidth="1"/>
    <col min="2" max="2" width="16.7109375" customWidth="1"/>
    <col min="3" max="8" width="14.7109375" customWidth="1"/>
  </cols>
  <sheetData>
    <row r="1" spans="1:8">
      <c r="A1" s="1" t="s">
        <v>0</v>
      </c>
    </row>
    <row r="2" spans="1:8">
      <c r="A2" s="2" t="s">
        <v>1</v>
      </c>
    </row>
    <row r="3" spans="1:8">
      <c r="A3" s="2" t="s">
        <v>2</v>
      </c>
    </row>
    <row r="5" spans="1:8">
      <c r="A5" s="3" t="s">
        <v>3</v>
      </c>
      <c r="B5" s="3"/>
      <c r="C5" s="3"/>
      <c r="D5" s="3"/>
      <c r="E5" s="3"/>
      <c r="F5" s="3"/>
      <c r="G5" s="3"/>
      <c r="H5" s="3"/>
    </row>
    <row r="6" spans="1:8">
      <c r="A6" t="s">
        <v>4</v>
      </c>
      <c r="B6" s="4">
        <v>1107.08</v>
      </c>
    </row>
    <row r="7" spans="1:8">
      <c r="A7" t="s">
        <v>5</v>
      </c>
      <c r="B7" s="4">
        <v>896</v>
      </c>
    </row>
    <row r="8" spans="1:8">
      <c r="A8" t="s">
        <v>6</v>
      </c>
      <c r="B8" s="4">
        <v>5282</v>
      </c>
    </row>
    <row r="9" spans="1:8">
      <c r="A9" t="s">
        <v>7</v>
      </c>
      <c r="B9" s="4">
        <v>43370</v>
      </c>
    </row>
    <row r="10" spans="1:8">
      <c r="A10" t="s">
        <v>8</v>
      </c>
      <c r="B10" s="5">
        <f>B9-B8</f>
        <v>0</v>
      </c>
    </row>
    <row r="11" spans="1:8">
      <c r="A11" t="s">
        <v>9</v>
      </c>
      <c r="B11" s="6">
        <v>8972</v>
      </c>
    </row>
    <row r="12" spans="1:8">
      <c r="A12" t="s">
        <v>10</v>
      </c>
      <c r="B12" s="4">
        <v>83500</v>
      </c>
    </row>
    <row r="13" spans="1:8">
      <c r="A13" t="s">
        <v>11</v>
      </c>
      <c r="B13" s="6">
        <v>11700</v>
      </c>
      <c r="C13" s="7" t="s">
        <v>12</v>
      </c>
    </row>
    <row r="18" spans="1:8">
      <c r="A18" s="3" t="s">
        <v>13</v>
      </c>
      <c r="B18" s="3"/>
      <c r="C18" s="3"/>
      <c r="D18" s="3"/>
      <c r="E18" s="3"/>
      <c r="F18" s="3"/>
      <c r="G18" s="3"/>
      <c r="H18" s="3"/>
    </row>
    <row r="19" spans="1:8">
      <c r="A19" s="8"/>
      <c r="B19" s="8" t="s">
        <v>14</v>
      </c>
      <c r="C19" s="8" t="s">
        <v>15</v>
      </c>
      <c r="D19" s="8" t="s">
        <v>16</v>
      </c>
      <c r="E19" s="8" t="s">
        <v>17</v>
      </c>
      <c r="F19" s="8" t="s">
        <v>18</v>
      </c>
      <c r="G19" s="8" t="s">
        <v>19</v>
      </c>
    </row>
    <row r="20" spans="1:8">
      <c r="A20" t="s">
        <v>20</v>
      </c>
      <c r="C20" s="9">
        <v>0.28</v>
      </c>
      <c r="D20" s="9">
        <v>0.22</v>
      </c>
      <c r="E20" s="9">
        <v>0.16</v>
      </c>
      <c r="F20" s="9">
        <v>0.12</v>
      </c>
      <c r="G20" s="9">
        <v>0.09</v>
      </c>
    </row>
    <row r="21" spans="1:8">
      <c r="A21" t="s">
        <v>21</v>
      </c>
      <c r="C21" s="9">
        <v>0.16</v>
      </c>
      <c r="D21" s="9">
        <v>0.18</v>
      </c>
      <c r="E21" s="9">
        <v>0.2</v>
      </c>
      <c r="F21" s="9">
        <v>0.21</v>
      </c>
      <c r="G21" s="9">
        <v>0.22</v>
      </c>
    </row>
    <row r="22" spans="1:8">
      <c r="A22" t="s">
        <v>22</v>
      </c>
      <c r="B22" s="9">
        <v>0.08500000000000001</v>
      </c>
    </row>
    <row r="23" spans="1:8">
      <c r="A23" t="s">
        <v>23</v>
      </c>
      <c r="B23" s="9">
        <v>0.03</v>
      </c>
    </row>
    <row r="27" spans="1:8">
      <c r="A27" s="3" t="s">
        <v>24</v>
      </c>
      <c r="B27" s="3"/>
      <c r="C27" s="3"/>
      <c r="D27" s="3"/>
      <c r="E27" s="3"/>
      <c r="F27" s="3"/>
      <c r="G27" s="3"/>
      <c r="H27" s="3"/>
    </row>
    <row r="28" spans="1:8">
      <c r="A28" s="8"/>
      <c r="C28" s="8" t="s">
        <v>15</v>
      </c>
      <c r="D28" s="8" t="s">
        <v>16</v>
      </c>
      <c r="E28" s="8" t="s">
        <v>17</v>
      </c>
      <c r="F28" s="8" t="s">
        <v>18</v>
      </c>
      <c r="G28" s="8" t="s">
        <v>19</v>
      </c>
    </row>
    <row r="29" spans="1:8">
      <c r="A29" t="s">
        <v>25</v>
      </c>
      <c r="C29" s="6">
        <f>$B$12*(1+C20)</f>
        <v>0</v>
      </c>
      <c r="D29" s="6">
        <f>C29*(1+D20)</f>
        <v>0</v>
      </c>
      <c r="E29" s="6">
        <f>D29*(1+E20)</f>
        <v>0</v>
      </c>
      <c r="F29" s="6">
        <f>E29*(1+F20)</f>
        <v>0</v>
      </c>
      <c r="G29" s="6">
        <f>F29*(1+G20)</f>
        <v>0</v>
      </c>
    </row>
    <row r="30" spans="1:8">
      <c r="A30" t="s">
        <v>26</v>
      </c>
      <c r="C30" s="6">
        <f>C29*C21</f>
        <v>0</v>
      </c>
      <c r="D30" s="6">
        <f>D29*D21</f>
        <v>0</v>
      </c>
      <c r="E30" s="6">
        <f>E29*E21</f>
        <v>0</v>
      </c>
      <c r="F30" s="6">
        <f>F29*F21</f>
        <v>0</v>
      </c>
      <c r="G30" s="6">
        <f>G29*G21</f>
        <v>0</v>
      </c>
    </row>
    <row r="31" spans="1:8">
      <c r="A31" t="s">
        <v>27</v>
      </c>
      <c r="C31" s="6">
        <f>1/(1+$B$22)^1</f>
        <v>0</v>
      </c>
      <c r="D31" s="6">
        <f>1/(1+$B$22)^2</f>
        <v>0</v>
      </c>
      <c r="E31" s="6">
        <f>1/(1+$B$22)^3</f>
        <v>0</v>
      </c>
      <c r="F31" s="6">
        <f>1/(1+$B$22)^4</f>
        <v>0</v>
      </c>
      <c r="G31" s="6">
        <f>1/(1+$B$22)^5</f>
        <v>0</v>
      </c>
    </row>
    <row r="32" spans="1:8">
      <c r="A32" t="s">
        <v>28</v>
      </c>
      <c r="C32" s="6">
        <f>C30*C31</f>
        <v>0</v>
      </c>
      <c r="D32" s="6">
        <f>D30*D31</f>
        <v>0</v>
      </c>
      <c r="E32" s="6">
        <f>E30*E31</f>
        <v>0</v>
      </c>
      <c r="F32" s="6">
        <f>F30*F31</f>
        <v>0</v>
      </c>
      <c r="G32" s="6">
        <f>G30*G31</f>
        <v>0</v>
      </c>
    </row>
    <row r="36" spans="1:8">
      <c r="A36" s="3" t="s">
        <v>29</v>
      </c>
      <c r="B36" s="3"/>
      <c r="C36" s="3"/>
      <c r="D36" s="3"/>
      <c r="E36" s="3"/>
      <c r="F36" s="3"/>
      <c r="G36" s="3"/>
      <c r="H36" s="3"/>
    </row>
    <row r="37" spans="1:8">
      <c r="A37" t="s">
        <v>30</v>
      </c>
      <c r="B37" s="5">
        <f>SUM(C32:G32)</f>
        <v>0</v>
      </c>
    </row>
    <row r="38" spans="1:8">
      <c r="A38" t="s">
        <v>31</v>
      </c>
      <c r="B38" s="6">
        <f>G30*(1+$B$23)</f>
        <v>0</v>
      </c>
    </row>
    <row r="39" spans="1:8">
      <c r="A39" t="s">
        <v>32</v>
      </c>
      <c r="B39" s="5">
        <f>B38/($B$22-$B$23)</f>
        <v>0</v>
      </c>
    </row>
    <row r="40" spans="1:8">
      <c r="A40" t="s">
        <v>33</v>
      </c>
      <c r="B40" s="5">
        <f>B39*G31</f>
        <v>0</v>
      </c>
    </row>
    <row r="41" spans="1:8">
      <c r="A41" t="s">
        <v>34</v>
      </c>
      <c r="B41" s="5">
        <f>B37+B40</f>
        <v>0</v>
      </c>
    </row>
    <row r="42" spans="1:8">
      <c r="A42" t="s">
        <v>35</v>
      </c>
      <c r="B42" s="6">
        <f>B10</f>
        <v>0</v>
      </c>
    </row>
    <row r="43" spans="1:8">
      <c r="A43" t="s">
        <v>36</v>
      </c>
      <c r="B43" s="5">
        <f>B41-B42</f>
        <v>0</v>
      </c>
    </row>
    <row r="44" spans="1:8">
      <c r="A44" s="10" t="s">
        <v>37</v>
      </c>
      <c r="B44" s="11">
        <f>B43/B7</f>
        <v>0</v>
      </c>
    </row>
    <row r="45" spans="1:8">
      <c r="A45" t="s">
        <v>38</v>
      </c>
      <c r="B45" s="12">
        <f>(B44-B6)/B6</f>
        <v>0</v>
      </c>
    </row>
    <row r="47" spans="1:8">
      <c r="A47" s="10" t="s">
        <v>39</v>
      </c>
      <c r="C47" s="8" t="s">
        <v>40</v>
      </c>
      <c r="D47" s="8" t="s">
        <v>41</v>
      </c>
      <c r="E47" s="8" t="s">
        <v>42</v>
      </c>
    </row>
    <row r="48" spans="1:8">
      <c r="A48" t="s">
        <v>43</v>
      </c>
      <c r="C48" s="13">
        <f>B39/B7</f>
        <v>0</v>
      </c>
      <c r="D48" s="11">
        <f>C48/1.15^5</f>
        <v>0</v>
      </c>
      <c r="E48" s="12">
        <f>(B6-D48)/B6</f>
        <v>0</v>
      </c>
    </row>
  </sheetData>
  <mergeCells count="4">
    <mergeCell ref="A5:H5"/>
    <mergeCell ref="A18:H18"/>
    <mergeCell ref="A27:H27"/>
    <mergeCell ref="A36:H3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8"/>
  <sheetViews>
    <sheetView zoomScale="95" zoomScaleNormal="95" workbookViewId="0"/>
  </sheetViews>
  <sheetFormatPr defaultRowHeight="15"/>
  <cols>
    <col min="1" max="1" width="32.7109375" customWidth="1"/>
    <col min="2" max="4" width="18.7109375" customWidth="1"/>
  </cols>
  <sheetData>
    <row r="1" spans="1:4">
      <c r="A1" s="1" t="s">
        <v>44</v>
      </c>
    </row>
    <row r="2" spans="1:4">
      <c r="A2" s="2" t="s">
        <v>45</v>
      </c>
    </row>
    <row r="4" spans="1:4">
      <c r="A4" s="3" t="s">
        <v>46</v>
      </c>
      <c r="B4" s="14" t="s">
        <v>47</v>
      </c>
      <c r="C4" s="15" t="s">
        <v>48</v>
      </c>
      <c r="D4" s="16" t="s">
        <v>49</v>
      </c>
    </row>
    <row r="5" spans="1:4">
      <c r="A5" t="s">
        <v>22</v>
      </c>
      <c r="B5" s="17">
        <v>0.08</v>
      </c>
      <c r="C5" s="17">
        <v>0.08500000000000001</v>
      </c>
      <c r="D5" s="17">
        <v>0.095</v>
      </c>
    </row>
    <row r="6" spans="1:4">
      <c r="A6" t="s">
        <v>23</v>
      </c>
      <c r="B6" s="17">
        <v>0.035</v>
      </c>
      <c r="C6" s="17">
        <v>0.03</v>
      </c>
      <c r="D6" s="17">
        <v>0.025</v>
      </c>
    </row>
    <row r="7" spans="1:4">
      <c r="A7" t="s">
        <v>50</v>
      </c>
      <c r="B7" s="17">
        <v>0.35</v>
      </c>
      <c r="C7" s="17">
        <v>0.28</v>
      </c>
      <c r="D7" s="17">
        <v>0.2</v>
      </c>
    </row>
    <row r="8" spans="1:4">
      <c r="A8" t="s">
        <v>51</v>
      </c>
      <c r="B8" s="17">
        <v>0.13</v>
      </c>
      <c r="C8" s="17">
        <v>0.09</v>
      </c>
      <c r="D8" s="17">
        <v>0.04</v>
      </c>
    </row>
    <row r="9" spans="1:4">
      <c r="A9" t="s">
        <v>52</v>
      </c>
      <c r="B9" s="17">
        <v>0.26</v>
      </c>
      <c r="C9" s="17">
        <v>0.22</v>
      </c>
      <c r="D9" s="17">
        <v>0.18</v>
      </c>
    </row>
    <row r="11" spans="1:4">
      <c r="A11" s="3" t="s">
        <v>53</v>
      </c>
      <c r="B11" s="3"/>
      <c r="C11" s="3"/>
      <c r="D11" s="3"/>
    </row>
    <row r="12" spans="1:4">
      <c r="A12" s="8"/>
      <c r="B12" s="14" t="s">
        <v>54</v>
      </c>
      <c r="C12" s="15" t="s">
        <v>55</v>
      </c>
      <c r="D12" s="16" t="s">
        <v>56</v>
      </c>
    </row>
    <row r="13" spans="1:4">
      <c r="A13" t="s">
        <v>57</v>
      </c>
      <c r="B13" s="6">
        <v>20290.5</v>
      </c>
      <c r="C13" s="6">
        <v>17100.8</v>
      </c>
      <c r="D13" s="6">
        <v>14028</v>
      </c>
    </row>
    <row r="14" spans="1:4">
      <c r="A14" t="s">
        <v>58</v>
      </c>
      <c r="B14" s="6">
        <v>30300.5</v>
      </c>
      <c r="C14" s="6">
        <v>23470.8</v>
      </c>
      <c r="D14" s="6">
        <v>17134.2</v>
      </c>
    </row>
    <row r="15" spans="1:4">
      <c r="A15" t="s">
        <v>59</v>
      </c>
      <c r="B15" s="6">
        <v>40487.2</v>
      </c>
      <c r="C15" s="6">
        <v>30251.3</v>
      </c>
      <c r="D15" s="6">
        <v>19921.4</v>
      </c>
    </row>
    <row r="16" spans="1:4">
      <c r="A16" t="s">
        <v>60</v>
      </c>
      <c r="B16" s="6">
        <v>51509.2</v>
      </c>
      <c r="C16" s="6">
        <v>35575.6</v>
      </c>
      <c r="D16" s="6">
        <v>22436.4</v>
      </c>
    </row>
    <row r="17" spans="1:4">
      <c r="A17" t="s">
        <v>61</v>
      </c>
      <c r="B17" s="6">
        <v>60507.6</v>
      </c>
      <c r="C17" s="6">
        <v>40623.7</v>
      </c>
      <c r="D17" s="6">
        <v>24706.5</v>
      </c>
    </row>
    <row r="18" spans="1:4">
      <c r="A18" s="3" t="s">
        <v>62</v>
      </c>
      <c r="B18" s="3"/>
      <c r="C18" s="3"/>
      <c r="D18" s="3"/>
    </row>
    <row r="19" spans="1:4">
      <c r="A19" s="8"/>
      <c r="B19" s="14" t="s">
        <v>54</v>
      </c>
      <c r="C19" s="15" t="s">
        <v>55</v>
      </c>
      <c r="D19" s="16" t="s">
        <v>56</v>
      </c>
    </row>
    <row r="20" spans="1:4">
      <c r="A20" t="s">
        <v>63</v>
      </c>
      <c r="B20" s="6">
        <v>155932.8</v>
      </c>
      <c r="C20" s="6">
        <v>112070.1</v>
      </c>
      <c r="D20" s="6">
        <v>73573.39999999999</v>
      </c>
    </row>
    <row r="21" spans="1:4">
      <c r="A21" t="s">
        <v>32</v>
      </c>
      <c r="B21" s="6">
        <v>1391664.2</v>
      </c>
      <c r="C21" s="6">
        <v>760775</v>
      </c>
      <c r="D21" s="6">
        <v>361773.1</v>
      </c>
    </row>
    <row r="22" spans="1:4">
      <c r="A22" t="s">
        <v>33</v>
      </c>
      <c r="B22" s="6">
        <v>947142.5</v>
      </c>
      <c r="C22" s="6">
        <v>505950.3</v>
      </c>
      <c r="D22" s="6">
        <v>229808</v>
      </c>
    </row>
    <row r="23" spans="1:4">
      <c r="A23" t="s">
        <v>34</v>
      </c>
      <c r="B23" s="5">
        <v>1103075.3</v>
      </c>
      <c r="C23" s="5">
        <v>618020.4</v>
      </c>
      <c r="D23" s="5">
        <v>303381.4</v>
      </c>
    </row>
    <row r="24" spans="1:4">
      <c r="A24" t="s">
        <v>64</v>
      </c>
      <c r="B24" s="6">
        <v>38088</v>
      </c>
      <c r="C24" s="6">
        <v>38088</v>
      </c>
      <c r="D24" s="6">
        <v>38088</v>
      </c>
    </row>
    <row r="25" spans="1:4">
      <c r="A25" t="s">
        <v>36</v>
      </c>
      <c r="B25" s="5">
        <v>1064987.3</v>
      </c>
      <c r="C25" s="5">
        <v>579932.4</v>
      </c>
      <c r="D25" s="5">
        <v>265293.4</v>
      </c>
    </row>
    <row r="26" spans="1:4">
      <c r="A26" s="10" t="s">
        <v>65</v>
      </c>
      <c r="B26" s="18">
        <v>1188.6</v>
      </c>
      <c r="C26" s="11">
        <v>647.24</v>
      </c>
      <c r="D26" s="19">
        <v>296.09</v>
      </c>
    </row>
    <row r="27" spans="1:4">
      <c r="A27" t="s">
        <v>66</v>
      </c>
      <c r="B27" s="12">
        <v>0.07363514831809805</v>
      </c>
      <c r="C27" s="12">
        <v>-0.4153629367344726</v>
      </c>
      <c r="D27" s="12">
        <v>-0.7325486866351122</v>
      </c>
    </row>
    <row r="28" spans="1:4">
      <c r="A28" s="10" t="s">
        <v>67</v>
      </c>
      <c r="B28" s="20">
        <v>1107.08</v>
      </c>
      <c r="C28" s="20">
        <v>1107.08</v>
      </c>
      <c r="D28" s="20">
        <v>1107.08</v>
      </c>
    </row>
    <row r="30" spans="1:4">
      <c r="A30" s="3" t="s">
        <v>68</v>
      </c>
      <c r="B30" s="3"/>
      <c r="C30" s="3"/>
      <c r="D30" s="3"/>
    </row>
    <row r="31" spans="1:4">
      <c r="A31" s="8"/>
      <c r="B31" s="14" t="s">
        <v>54</v>
      </c>
      <c r="C31" s="15" t="s">
        <v>55</v>
      </c>
      <c r="D31" s="16" t="s">
        <v>56</v>
      </c>
    </row>
    <row r="32" spans="1:4">
      <c r="A32" t="s">
        <v>40</v>
      </c>
      <c r="B32" s="13">
        <v>1553.19</v>
      </c>
      <c r="C32" s="13">
        <v>849.08</v>
      </c>
      <c r="D32" s="13">
        <v>403.77</v>
      </c>
    </row>
    <row r="33" spans="1:4">
      <c r="A33" t="s">
        <v>69</v>
      </c>
      <c r="B33" s="18">
        <v>772.23</v>
      </c>
      <c r="C33" s="11">
        <v>422.14</v>
      </c>
      <c r="D33" s="19">
        <v>200.74</v>
      </c>
    </row>
    <row r="34" spans="1:4">
      <c r="A34" t="s">
        <v>70</v>
      </c>
      <c r="B34" s="12">
        <v>-0.302</v>
      </c>
      <c r="C34" s="12">
        <v>-0.619</v>
      </c>
      <c r="D34" s="12">
        <v>-0.8190000000000001</v>
      </c>
    </row>
    <row r="36" spans="1:4">
      <c r="A36" s="3" t="s">
        <v>71</v>
      </c>
      <c r="B36" s="3"/>
      <c r="C36" s="3"/>
      <c r="D36" s="3"/>
    </row>
    <row r="37" spans="1:4">
      <c r="A37" t="s">
        <v>72</v>
      </c>
      <c r="B37" s="10" t="s">
        <v>73</v>
      </c>
      <c r="C37" s="10" t="s">
        <v>74</v>
      </c>
      <c r="D37" s="10" t="s">
        <v>73</v>
      </c>
    </row>
    <row r="38" spans="1:4">
      <c r="A38" s="10" t="s">
        <v>75</v>
      </c>
      <c r="B38" s="11">
        <v>694.79</v>
      </c>
      <c r="C38" s="10" t="s">
        <v>76</v>
      </c>
      <c r="D38" s="12">
        <v>-0.3724121111392131</v>
      </c>
    </row>
  </sheetData>
  <mergeCells count="4">
    <mergeCell ref="A11:D11"/>
    <mergeCell ref="A18:D18"/>
    <mergeCell ref="A30:D30"/>
    <mergeCell ref="A36:D36"/>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8"/>
  <sheetViews>
    <sheetView workbookViewId="0"/>
  </sheetViews>
  <sheetFormatPr defaultRowHeight="15"/>
  <cols>
    <col min="1" max="1" width="20.7109375" customWidth="1"/>
    <col min="2" max="7" width="14.7109375" customWidth="1"/>
  </cols>
  <sheetData>
    <row r="1" spans="1:6">
      <c r="A1" s="1" t="s">
        <v>77</v>
      </c>
    </row>
    <row r="2" spans="1:6">
      <c r="A2" s="2" t="s">
        <v>78</v>
      </c>
    </row>
    <row r="3" spans="1:6">
      <c r="A3" s="7" t="s">
        <v>79</v>
      </c>
    </row>
    <row r="4" spans="1:6">
      <c r="A4" s="7" t="s">
        <v>80</v>
      </c>
    </row>
    <row r="6" spans="1:6">
      <c r="A6" s="8" t="s">
        <v>81</v>
      </c>
      <c r="B6" s="21">
        <v>0.02</v>
      </c>
      <c r="C6" s="21">
        <v>0.025</v>
      </c>
      <c r="D6" s="21">
        <v>0.03</v>
      </c>
      <c r="E6" s="21">
        <v>0.035</v>
      </c>
      <c r="F6" s="21">
        <v>0.04</v>
      </c>
    </row>
    <row r="7" spans="1:6">
      <c r="A7" s="22">
        <v>0.075</v>
      </c>
      <c r="B7" s="23">
        <v>672</v>
      </c>
      <c r="C7" s="23">
        <v>734</v>
      </c>
      <c r="D7" s="23">
        <v>809</v>
      </c>
      <c r="E7" s="24">
        <v>904</v>
      </c>
      <c r="F7" s="24">
        <v>1025</v>
      </c>
    </row>
    <row r="8" spans="1:6">
      <c r="A8" s="22">
        <v>0.08</v>
      </c>
      <c r="B8" s="23">
        <v>609</v>
      </c>
      <c r="C8" s="23">
        <v>660</v>
      </c>
      <c r="D8" s="23">
        <v>720</v>
      </c>
      <c r="E8" s="23">
        <v>794</v>
      </c>
      <c r="F8" s="24">
        <v>887</v>
      </c>
    </row>
    <row r="9" spans="1:6">
      <c r="A9" s="22">
        <v>0.08500000000000001</v>
      </c>
      <c r="B9" s="23">
        <v>556</v>
      </c>
      <c r="C9" s="23">
        <v>598</v>
      </c>
      <c r="D9" s="23">
        <v>647</v>
      </c>
      <c r="E9" s="23">
        <v>707</v>
      </c>
      <c r="F9" s="23">
        <v>779</v>
      </c>
    </row>
    <row r="10" spans="1:6">
      <c r="A10" s="22">
        <v>0.09</v>
      </c>
      <c r="B10" s="23">
        <v>510</v>
      </c>
      <c r="C10" s="23">
        <v>545</v>
      </c>
      <c r="D10" s="23">
        <v>587</v>
      </c>
      <c r="E10" s="23">
        <v>635</v>
      </c>
      <c r="F10" s="23">
        <v>694</v>
      </c>
    </row>
    <row r="11" spans="1:6">
      <c r="A11" s="22">
        <v>0.095</v>
      </c>
      <c r="B11" s="23">
        <v>471</v>
      </c>
      <c r="C11" s="23">
        <v>501</v>
      </c>
      <c r="D11" s="23">
        <v>535</v>
      </c>
      <c r="E11" s="23">
        <v>576</v>
      </c>
      <c r="F11" s="23">
        <v>624</v>
      </c>
    </row>
    <row r="13" spans="1:6">
      <c r="A13" s="10" t="s">
        <v>82</v>
      </c>
      <c r="B13" s="25" t="s">
        <v>83</v>
      </c>
    </row>
    <row r="14" spans="1:6">
      <c r="B14" s="24" t="s">
        <v>84</v>
      </c>
    </row>
    <row r="15" spans="1:6">
      <c r="B15" s="23" t="s">
        <v>85</v>
      </c>
    </row>
    <row r="17" spans="1:2">
      <c r="A17" t="s">
        <v>86</v>
      </c>
      <c r="B17" s="7" t="s">
        <v>87</v>
      </c>
    </row>
    <row r="18" spans="1:2">
      <c r="B18" s="7" t="s">
        <v>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8"/>
  <sheetViews>
    <sheetView zoomScale="95" zoomScaleNormal="95" workbookViewId="0"/>
  </sheetViews>
  <sheetFormatPr defaultRowHeight="15"/>
  <cols>
    <col min="1" max="1" width="22.7109375" customWidth="1"/>
    <col min="2" max="8" width="14.7109375" customWidth="1"/>
  </cols>
  <sheetData>
    <row r="1" spans="1:8">
      <c r="A1" s="1" t="s">
        <v>89</v>
      </c>
    </row>
    <row r="2" spans="1:8">
      <c r="A2" s="2" t="s">
        <v>90</v>
      </c>
    </row>
    <row r="4" spans="1:8">
      <c r="A4" s="3" t="s">
        <v>91</v>
      </c>
      <c r="B4" s="3"/>
      <c r="C4" s="3"/>
      <c r="D4" s="3"/>
      <c r="E4" s="3"/>
      <c r="F4" s="3"/>
      <c r="G4" s="3"/>
      <c r="H4" s="3"/>
    </row>
    <row r="5" spans="1:8">
      <c r="A5" s="8" t="s">
        <v>92</v>
      </c>
      <c r="B5" s="8" t="s">
        <v>93</v>
      </c>
      <c r="C5" s="8" t="s">
        <v>94</v>
      </c>
      <c r="D5" s="8" t="s">
        <v>95</v>
      </c>
      <c r="E5" s="8" t="s">
        <v>96</v>
      </c>
      <c r="F5" s="8" t="s">
        <v>97</v>
      </c>
      <c r="G5" s="8" t="s">
        <v>98</v>
      </c>
    </row>
    <row r="6" spans="1:8">
      <c r="A6" t="s">
        <v>25</v>
      </c>
      <c r="B6" s="6">
        <v>24539.8</v>
      </c>
      <c r="C6" s="6">
        <v>28318.4</v>
      </c>
      <c r="D6" s="6">
        <v>28541.4</v>
      </c>
      <c r="E6" s="6">
        <v>34124.1</v>
      </c>
      <c r="F6" s="6">
        <v>45042.7</v>
      </c>
      <c r="G6" s="6">
        <v>65179</v>
      </c>
    </row>
    <row r="7" spans="1:8">
      <c r="A7" t="s">
        <v>99</v>
      </c>
      <c r="B7" s="6">
        <v>19056.5</v>
      </c>
      <c r="C7" s="6">
        <v>21005.6</v>
      </c>
      <c r="D7" s="6">
        <v>21911.6</v>
      </c>
      <c r="E7" s="6">
        <v>27041.9</v>
      </c>
      <c r="F7" s="6">
        <v>36624.4</v>
      </c>
      <c r="G7" s="6">
        <v>54127</v>
      </c>
    </row>
    <row r="8" spans="1:8">
      <c r="A8" t="s">
        <v>100</v>
      </c>
      <c r="B8" s="17">
        <v>0.777</v>
      </c>
      <c r="C8" s="17">
        <v>0.742</v>
      </c>
      <c r="D8" s="17">
        <v>0.768</v>
      </c>
      <c r="E8" s="17">
        <v>0.792</v>
      </c>
      <c r="F8" s="17">
        <v>0.8129999999999999</v>
      </c>
      <c r="G8" s="17">
        <v>0.83</v>
      </c>
    </row>
    <row r="9" spans="1:8">
      <c r="A9" t="s">
        <v>101</v>
      </c>
      <c r="B9" s="6">
        <v>6058</v>
      </c>
      <c r="C9" s="6">
        <v>6357.1</v>
      </c>
      <c r="D9" s="6">
        <v>7127.3</v>
      </c>
      <c r="E9" s="6">
        <v>6457.9</v>
      </c>
      <c r="F9" s="6">
        <v>12899</v>
      </c>
      <c r="G9" s="6">
        <v>26302</v>
      </c>
    </row>
    <row r="10" spans="1:8">
      <c r="A10" t="s">
        <v>102</v>
      </c>
      <c r="B10" s="6">
        <v>6193.7</v>
      </c>
      <c r="C10" s="6">
        <v>5581.7</v>
      </c>
      <c r="D10" s="6">
        <v>6244.8</v>
      </c>
      <c r="E10" s="6">
        <v>5240.4</v>
      </c>
      <c r="F10" s="6">
        <v>10590</v>
      </c>
      <c r="G10" s="6">
        <v>20640</v>
      </c>
    </row>
    <row r="11" spans="1:8">
      <c r="A11" t="s">
        <v>103</v>
      </c>
      <c r="B11" s="26" t="s">
        <v>108</v>
      </c>
      <c r="C11" s="13">
        <v>6.12</v>
      </c>
      <c r="D11" s="13">
        <v>6.9</v>
      </c>
      <c r="E11" s="13">
        <v>5.8</v>
      </c>
      <c r="F11" s="13">
        <v>11.71</v>
      </c>
      <c r="G11" s="13">
        <v>22.95</v>
      </c>
    </row>
    <row r="12" spans="1:8">
      <c r="A12" t="s">
        <v>104</v>
      </c>
      <c r="B12" s="6">
        <v>5111.7</v>
      </c>
      <c r="C12" s="6">
        <v>6056.1</v>
      </c>
      <c r="D12" s="6">
        <v>5731.4</v>
      </c>
      <c r="E12" s="6">
        <v>792.5</v>
      </c>
      <c r="F12" s="6">
        <v>3760.1</v>
      </c>
      <c r="G12" s="6">
        <v>8972</v>
      </c>
    </row>
    <row r="13" spans="1:8">
      <c r="A13" t="s">
        <v>105</v>
      </c>
      <c r="B13" s="6">
        <v>5976.3</v>
      </c>
      <c r="C13" s="6">
        <v>6930.7</v>
      </c>
      <c r="D13" s="6">
        <v>7190.8</v>
      </c>
      <c r="E13" s="6">
        <v>9313.4</v>
      </c>
      <c r="F13" s="6">
        <v>10990.6</v>
      </c>
      <c r="G13" s="6">
        <v>13337</v>
      </c>
    </row>
    <row r="14" spans="1:8">
      <c r="A14" t="s">
        <v>106</v>
      </c>
      <c r="B14" s="6">
        <v>5825.2</v>
      </c>
      <c r="C14" s="6">
        <v>9154.799999999999</v>
      </c>
      <c r="D14" s="6">
        <v>10775.4</v>
      </c>
      <c r="E14" s="6">
        <v>10863.7</v>
      </c>
      <c r="F14" s="6">
        <v>14271.6</v>
      </c>
      <c r="G14" s="6">
        <v>26535</v>
      </c>
    </row>
    <row r="15" spans="1:8">
      <c r="A15" t="s">
        <v>7</v>
      </c>
      <c r="B15" s="6">
        <v>16595.3</v>
      </c>
      <c r="C15" s="6">
        <v>16884.7</v>
      </c>
      <c r="D15" s="6">
        <v>16238.6</v>
      </c>
      <c r="E15" s="6">
        <v>25225.3</v>
      </c>
      <c r="F15" s="6">
        <v>33644.2</v>
      </c>
      <c r="G15" s="6">
        <v>42503</v>
      </c>
    </row>
    <row r="16" spans="1:8">
      <c r="A16" t="s">
        <v>107</v>
      </c>
      <c r="B16" s="6">
        <v>3657.1</v>
      </c>
      <c r="C16" s="6">
        <v>3818.5</v>
      </c>
      <c r="D16" s="6">
        <v>2067</v>
      </c>
      <c r="E16" s="6">
        <v>2818.6</v>
      </c>
      <c r="F16" s="6">
        <v>3268.4</v>
      </c>
      <c r="G16" s="6">
        <v>7268</v>
      </c>
    </row>
    <row r="17" spans="1:7">
      <c r="A17" t="s">
        <v>5</v>
      </c>
      <c r="B17" s="6">
        <v>912.5</v>
      </c>
      <c r="C17" s="6">
        <v>911.7</v>
      </c>
      <c r="D17" s="6">
        <v>904.6</v>
      </c>
      <c r="E17" s="6">
        <v>903.3</v>
      </c>
      <c r="F17" s="6">
        <v>904.1</v>
      </c>
      <c r="G17" s="6">
        <v>899.3</v>
      </c>
    </row>
    <row r="20" spans="1:7">
      <c r="A20" s="3" t="s">
        <v>109</v>
      </c>
      <c r="B20" s="3"/>
      <c r="C20" s="3"/>
      <c r="D20" s="3"/>
    </row>
    <row r="21" spans="1:7">
      <c r="A21" s="8" t="s">
        <v>110</v>
      </c>
      <c r="B21" s="8" t="s">
        <v>111</v>
      </c>
      <c r="C21" s="8" t="s">
        <v>112</v>
      </c>
      <c r="D21" s="8" t="s">
        <v>113</v>
      </c>
    </row>
    <row r="22" spans="1:7">
      <c r="A22" t="s">
        <v>114</v>
      </c>
      <c r="B22" s="17">
        <v>0.3169</v>
      </c>
      <c r="C22" s="17">
        <v>0.2158</v>
      </c>
      <c r="D22" s="7" t="s">
        <v>115</v>
      </c>
    </row>
    <row r="23" spans="1:7">
      <c r="A23" t="s">
        <v>116</v>
      </c>
      <c r="B23" s="17">
        <v>0.4927</v>
      </c>
      <c r="C23" s="17">
        <v>0.2758</v>
      </c>
      <c r="D23" s="7" t="s">
        <v>117</v>
      </c>
    </row>
    <row r="24" spans="1:7">
      <c r="A24" t="s">
        <v>118</v>
      </c>
      <c r="B24" s="17">
        <v>0.3504</v>
      </c>
      <c r="C24" s="17">
        <v>0.3543</v>
      </c>
      <c r="D24" s="7" t="s">
        <v>119</v>
      </c>
    </row>
    <row r="25" spans="1:7">
      <c r="A25" t="s">
        <v>120</v>
      </c>
      <c r="B25" s="17">
        <v>0.1611</v>
      </c>
      <c r="C25" s="17">
        <v>0.1191</v>
      </c>
      <c r="D25" s="7" t="s">
        <v>121</v>
      </c>
    </row>
    <row r="27" spans="1:7">
      <c r="A27" s="10" t="s">
        <v>122</v>
      </c>
      <c r="B27" s="10" t="s">
        <v>123</v>
      </c>
    </row>
    <row r="28" spans="1:7" ht="30" customHeight="1">
      <c r="A28" t="s">
        <v>124</v>
      </c>
      <c r="B28" s="7" t="s">
        <v>125</v>
      </c>
    </row>
  </sheetData>
  <mergeCells count="2">
    <mergeCell ref="A4:H4"/>
    <mergeCell ref="A20:D20"/>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37"/>
  <sheetViews>
    <sheetView zoomScale="95" zoomScaleNormal="95" workbookViewId="0"/>
  </sheetViews>
  <sheetFormatPr defaultRowHeight="15"/>
  <cols>
    <col min="1" max="1" width="28.7109375" customWidth="1"/>
    <col min="2" max="6" width="16.7109375" customWidth="1"/>
  </cols>
  <sheetData>
    <row r="1" spans="1:6">
      <c r="A1" s="1" t="s">
        <v>126</v>
      </c>
    </row>
    <row r="2" spans="1:6">
      <c r="A2" s="2" t="s">
        <v>127</v>
      </c>
    </row>
    <row r="5" spans="1:6">
      <c r="A5" s="14" t="s">
        <v>47</v>
      </c>
      <c r="B5" s="14"/>
      <c r="C5" s="14"/>
      <c r="D5" s="14"/>
      <c r="E5" s="14"/>
      <c r="F5" s="14"/>
    </row>
    <row r="6" spans="1:6">
      <c r="A6" s="8" t="s">
        <v>110</v>
      </c>
      <c r="B6" s="8" t="s">
        <v>15</v>
      </c>
      <c r="C6" s="8" t="s">
        <v>16</v>
      </c>
      <c r="D6" s="8" t="s">
        <v>17</v>
      </c>
      <c r="E6" s="8" t="s">
        <v>18</v>
      </c>
      <c r="F6" s="8" t="s">
        <v>19</v>
      </c>
    </row>
    <row r="7" spans="1:6">
      <c r="A7" t="s">
        <v>128</v>
      </c>
      <c r="B7" s="17">
        <v>0.35</v>
      </c>
      <c r="C7" s="17">
        <v>0.28</v>
      </c>
      <c r="D7" s="17">
        <v>0.22</v>
      </c>
      <c r="E7" s="17">
        <v>0.17</v>
      </c>
      <c r="F7" s="17">
        <v>0.13</v>
      </c>
    </row>
    <row r="8" spans="1:6">
      <c r="A8" t="s">
        <v>129</v>
      </c>
      <c r="B8" s="17">
        <v>0.18</v>
      </c>
      <c r="C8" s="17">
        <v>0.21</v>
      </c>
      <c r="D8" s="17">
        <v>0.23</v>
      </c>
      <c r="E8" s="17">
        <v>0.25</v>
      </c>
      <c r="F8" s="17">
        <v>0.26</v>
      </c>
    </row>
    <row r="9" spans="1:6">
      <c r="A9" t="s">
        <v>22</v>
      </c>
      <c r="B9" s="17">
        <v>0.08</v>
      </c>
    </row>
    <row r="10" spans="1:6">
      <c r="A10" t="s">
        <v>23</v>
      </c>
      <c r="B10" s="17">
        <v>0.035</v>
      </c>
    </row>
    <row r="11" spans="1:6" ht="60" customHeight="1">
      <c r="A11" t="s">
        <v>130</v>
      </c>
      <c r="B11" s="7" t="s">
        <v>131</v>
      </c>
      <c r="C11" s="7"/>
      <c r="D11" s="7"/>
      <c r="E11" s="7"/>
      <c r="F11" s="7"/>
    </row>
    <row r="18" spans="1:6">
      <c r="A18" s="15" t="s">
        <v>48</v>
      </c>
      <c r="B18" s="15"/>
      <c r="C18" s="15"/>
      <c r="D18" s="15"/>
      <c r="E18" s="15"/>
      <c r="F18" s="15"/>
    </row>
    <row r="19" spans="1:6">
      <c r="A19" s="8" t="s">
        <v>110</v>
      </c>
      <c r="B19" s="8" t="s">
        <v>15</v>
      </c>
      <c r="C19" s="8" t="s">
        <v>16</v>
      </c>
      <c r="D19" s="8" t="s">
        <v>17</v>
      </c>
      <c r="E19" s="8" t="s">
        <v>18</v>
      </c>
      <c r="F19" s="8" t="s">
        <v>19</v>
      </c>
    </row>
    <row r="20" spans="1:6">
      <c r="A20" t="s">
        <v>128</v>
      </c>
      <c r="B20" s="17">
        <v>0.28</v>
      </c>
      <c r="C20" s="17">
        <v>0.22</v>
      </c>
      <c r="D20" s="17">
        <v>0.16</v>
      </c>
      <c r="E20" s="17">
        <v>0.12</v>
      </c>
      <c r="F20" s="17">
        <v>0.09</v>
      </c>
    </row>
    <row r="21" spans="1:6">
      <c r="A21" t="s">
        <v>129</v>
      </c>
      <c r="B21" s="17">
        <v>0.16</v>
      </c>
      <c r="C21" s="17">
        <v>0.18</v>
      </c>
      <c r="D21" s="17">
        <v>0.2</v>
      </c>
      <c r="E21" s="17">
        <v>0.21</v>
      </c>
      <c r="F21" s="17">
        <v>0.22</v>
      </c>
    </row>
    <row r="22" spans="1:6">
      <c r="A22" t="s">
        <v>22</v>
      </c>
      <c r="B22" s="17">
        <v>0.08500000000000001</v>
      </c>
    </row>
    <row r="23" spans="1:6">
      <c r="A23" t="s">
        <v>23</v>
      </c>
      <c r="B23" s="17">
        <v>0.03</v>
      </c>
    </row>
    <row r="24" spans="1:6" ht="60" customHeight="1">
      <c r="A24" t="s">
        <v>130</v>
      </c>
      <c r="B24" s="7" t="s">
        <v>132</v>
      </c>
      <c r="C24" s="7"/>
      <c r="D24" s="7"/>
      <c r="E24" s="7"/>
      <c r="F24" s="7"/>
    </row>
    <row r="31" spans="1:6">
      <c r="A31" s="16" t="s">
        <v>49</v>
      </c>
      <c r="B31" s="16"/>
      <c r="C31" s="16"/>
      <c r="D31" s="16"/>
      <c r="E31" s="16"/>
      <c r="F31" s="16"/>
    </row>
    <row r="32" spans="1:6">
      <c r="A32" s="8" t="s">
        <v>110</v>
      </c>
      <c r="B32" s="8" t="s">
        <v>15</v>
      </c>
      <c r="C32" s="8" t="s">
        <v>16</v>
      </c>
      <c r="D32" s="8" t="s">
        <v>17</v>
      </c>
      <c r="E32" s="8" t="s">
        <v>18</v>
      </c>
      <c r="F32" s="8" t="s">
        <v>19</v>
      </c>
    </row>
    <row r="33" spans="1:6">
      <c r="A33" t="s">
        <v>128</v>
      </c>
      <c r="B33" s="17">
        <v>0.2</v>
      </c>
      <c r="C33" s="17">
        <v>0.14</v>
      </c>
      <c r="D33" s="17">
        <v>0.09</v>
      </c>
      <c r="E33" s="17">
        <v>0.06</v>
      </c>
      <c r="F33" s="17">
        <v>0.04</v>
      </c>
    </row>
    <row r="34" spans="1:6">
      <c r="A34" t="s">
        <v>129</v>
      </c>
      <c r="B34" s="17">
        <v>0.14</v>
      </c>
      <c r="C34" s="17">
        <v>0.15</v>
      </c>
      <c r="D34" s="17">
        <v>0.16</v>
      </c>
      <c r="E34" s="17">
        <v>0.17</v>
      </c>
      <c r="F34" s="17">
        <v>0.18</v>
      </c>
    </row>
    <row r="35" spans="1:6">
      <c r="A35" t="s">
        <v>22</v>
      </c>
      <c r="B35" s="17">
        <v>0.095</v>
      </c>
    </row>
    <row r="36" spans="1:6">
      <c r="A36" t="s">
        <v>23</v>
      </c>
      <c r="B36" s="17">
        <v>0.025</v>
      </c>
    </row>
    <row r="37" spans="1:6" ht="60" customHeight="1">
      <c r="A37" t="s">
        <v>130</v>
      </c>
      <c r="B37" s="7" t="s">
        <v>133</v>
      </c>
      <c r="C37" s="7"/>
      <c r="D37" s="7"/>
      <c r="E37" s="7"/>
      <c r="F37" s="7"/>
    </row>
  </sheetData>
  <mergeCells count="6">
    <mergeCell ref="A5:F5"/>
    <mergeCell ref="B11:F11"/>
    <mergeCell ref="A18:F18"/>
    <mergeCell ref="B24:F24"/>
    <mergeCell ref="A31:F31"/>
    <mergeCell ref="B37:F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DCF Model</vt:lpstr>
      <vt:lpstr>Scenarios</vt:lpstr>
      <vt:lpstr>Sensitivity</vt:lpstr>
      <vt:lpstr>Historical Data</vt:lpstr>
      <vt:lpstr>Growth Assumptions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2026-06-24T02:51:01Z</dcterms:created>
  <dcterms:modified xsi:type="dcterms:W3CDTF">2026-06-24T02:51:01Z</dcterms:modified>
</cp:coreProperties>
</file>