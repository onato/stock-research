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" sheetId="1" r:id="rId1"/>
    <sheet name="Sensitivity" sheetId="2" r:id="rId2"/>
    <sheet name="Historical" sheetId="3" r:id="rId3"/>
    <sheet name="Business Context" sheetId="4" r:id="rId4"/>
  </sheets>
  <calcPr calcId="124519" fullCalcOnLoad="1"/>
</workbook>
</file>

<file path=xl/sharedStrings.xml><?xml version="1.0" encoding="utf-8"?>
<sst xmlns="http://schemas.openxmlformats.org/spreadsheetml/2006/main" count="118" uniqueCount="108">
  <si>
    <t>NVDA DCF Valuation Model</t>
  </si>
  <si>
    <t>Gray cells are INPUTS - adjust to see valuation change</t>
  </si>
  <si>
    <t>KEY INPUTS</t>
  </si>
  <si>
    <t>Current Stock Price</t>
  </si>
  <si>
    <t>Shares Outstanding (M)</t>
  </si>
  <si>
    <t>Cash &amp; Equivalents (M)</t>
  </si>
  <si>
    <t>Total Debt (M)</t>
  </si>
  <si>
    <t>Net Debt (M)</t>
  </si>
  <si>
    <t>Base Year FCF (M)</t>
  </si>
  <si>
    <t>WACC</t>
  </si>
  <si>
    <t>Terminal Growth Rate</t>
  </si>
  <si>
    <t>GROWTH ASSUMPTIONS</t>
  </si>
  <si>
    <t>FCF Growth Rate</t>
  </si>
  <si>
    <t>Year 1</t>
  </si>
  <si>
    <t>Year 2</t>
  </si>
  <si>
    <t>Year 3</t>
  </si>
  <si>
    <t>Year 4</t>
  </si>
  <si>
    <t>Year 5</t>
  </si>
  <si>
    <t>PROJECTIONS</t>
  </si>
  <si>
    <t>Base</t>
  </si>
  <si>
    <t>Free Cash Flow</t>
  </si>
  <si>
    <t>Discount Factor</t>
  </si>
  <si>
    <t>PV of FCF</t>
  </si>
  <si>
    <t>VALUATION</t>
  </si>
  <si>
    <t>Sum of PV of FCF</t>
  </si>
  <si>
    <t>Terminal FCF (Year 5 * (1+g))</t>
  </si>
  <si>
    <t>Terminal Value</t>
  </si>
  <si>
    <t>PV of Terminal Value</t>
  </si>
  <si>
    <t>Enterprise Value</t>
  </si>
  <si>
    <t>Less: Net Debt</t>
  </si>
  <si>
    <t>Equity Value</t>
  </si>
  <si>
    <t>INTRINSIC VALUE/SHARE</t>
  </si>
  <si>
    <t>ENTRY PRICE (15% CAGR Target)</t>
  </si>
  <si>
    <t>Terminal Value per Share</t>
  </si>
  <si>
    <t>Entry Price (15% CAGR)</t>
  </si>
  <si>
    <t>Upside to IV</t>
  </si>
  <si>
    <t>Discount to Entry Price</t>
  </si>
  <si>
    <t>SCENARIO COMPARISON</t>
  </si>
  <si>
    <t>Scenario</t>
  </si>
  <si>
    <t>Bear</t>
  </si>
  <si>
    <t>Bull</t>
  </si>
  <si>
    <t>Year 1 Growth</t>
  </si>
  <si>
    <t>Intrinsic Value</t>
  </si>
  <si>
    <t>Upside</t>
  </si>
  <si>
    <t>Probability Weighted IV</t>
  </si>
  <si>
    <t>Sensitivity Analysis</t>
  </si>
  <si>
    <t>Intrinsic Value by WACC &amp; Terminal Growth</t>
  </si>
  <si>
    <t>WACC \ Term G</t>
  </si>
  <si>
    <t>How to use:</t>
  </si>
  <si>
    <t>Find the intersection of your assumed WACC (rows) and Terminal Growth (columns) to see the implied intrinsic value.</t>
  </si>
  <si>
    <t>Current assumptions:</t>
  </si>
  <si>
    <t>WACC: 10.5%</t>
  </si>
  <si>
    <t>Terminal Growth: 3.5%</t>
  </si>
  <si>
    <t>Historical Growth Rates</t>
  </si>
  <si>
    <t>Metric</t>
  </si>
  <si>
    <t>3-Year CAGR</t>
  </si>
  <si>
    <t>5-Year CAGR</t>
  </si>
  <si>
    <t>Revenue</t>
  </si>
  <si>
    <t>EPS</t>
  </si>
  <si>
    <t>Equity</t>
  </si>
  <si>
    <t>FCF</t>
  </si>
  <si>
    <t>Selected Growth Rate:</t>
  </si>
  <si>
    <t>Source:</t>
  </si>
  <si>
    <t>equity_5yr_cagr</t>
  </si>
  <si>
    <t>CAUTION: Equity CAGR (47.6%) is 16.6pp below Revenue CAGR (64.2%). This reflects rapid margin expansion and AI boom. Consider revenue/FCF growth for forward projections.</t>
  </si>
  <si>
    <t>Historical Financials (millions)</t>
  </si>
  <si>
    <t>Year</t>
  </si>
  <si>
    <t>FY2020</t>
  </si>
  <si>
    <t>FY2021</t>
  </si>
  <si>
    <t>FY2022</t>
  </si>
  <si>
    <t>FY2023</t>
  </si>
  <si>
    <t>FY2024</t>
  </si>
  <si>
    <t>FY2025</t>
  </si>
  <si>
    <t>NVIDIA Business Analysis Summary</t>
  </si>
  <si>
    <t>Company Overview:</t>
  </si>
  <si>
    <t>NVIDIA is the dominant provider of GPUs and accelerated computing platforms for AI, data centers, gaming, and automotive applications. The company has evolved from a gaming GPU specialist to a full-stack computing infrastructure provider.</t>
  </si>
  <si>
    <t>Key Growth Drivers:</t>
  </si>
  <si>
    <t xml:space="preserve">  1. Explosive AI model training and inference demand - global AI market growing 25x to $4.8T by 2033</t>
  </si>
  <si>
    <t xml:space="preserve">  2. Blackwell GPU platform ramp with $500B+ booking pipeline through 2026</t>
  </si>
  <si>
    <t xml:space="preserve">  3. Enterprise AI adoption and sovereign AI deployments</t>
  </si>
  <si>
    <t xml:space="preserve">  4. Data center modernization replacing CPU-only architectures</t>
  </si>
  <si>
    <t xml:space="preserve">  5. Gaming GPU refresh cycle with RTX 50 Series (Blackwell)</t>
  </si>
  <si>
    <t xml:space="preserve">  6. Automotive autonomous vehicle platforms with multi-billion dollar design wins</t>
  </si>
  <si>
    <t>Key Risks:</t>
  </si>
  <si>
    <t xml:space="preserve">  1. EXTREME customer concentration: 4 customers = 61% of Q3 FY2026 revenue</t>
  </si>
  <si>
    <t xml:space="preserve">  2. Custom silicon competition: Google TPU, Amazon Trainium, Microsoft Maia projected to reach 45% of AI chip market by 2028</t>
  </si>
  <si>
    <t xml:space="preserve">  3. AI spending bubble risk: Demand assumes perpetual hyperscaler infrastructure spending</t>
  </si>
  <si>
    <t xml:space="preserve">  4. Supply chain brittleness: Complete TSMC dependence for advanced nodes and CoWoS packaging</t>
  </si>
  <si>
    <t xml:space="preserve">  5. China export controls threaten 13% of revenue</t>
  </si>
  <si>
    <t xml:space="preserve">  6. Gross margin pressure from Blackwell manufacturing costs and competition</t>
  </si>
  <si>
    <t xml:space="preserve">  7. Regulatory scrutiny: 80-90% market share attracting antitrust attention</t>
  </si>
  <si>
    <t>DCF Model Notes:</t>
  </si>
  <si>
    <t xml:space="preserve">  - Base case uses 40% Y1 growth decelerating to 18% by Y5 - reflects AI boom moderation but sustained strength</t>
  </si>
  <si>
    <t xml:space="preserve">  - Historical equity CAGR (47.6%) significantly below revenue CAGR (64.2%) due to rapid margin expansion</t>
  </si>
  <si>
    <t xml:space="preserve">  - Forward projections should consider revenue/FCF growth given extraordinary AI cycle</t>
  </si>
  <si>
    <t xml:space="preserve">  - Net cash position of $34.7B provides financial flexibility</t>
  </si>
  <si>
    <t xml:space="preserve">  - FCF margin at 46.6% in FY2025 - among highest in semiconductor industry</t>
  </si>
  <si>
    <t xml:space="preserve">  - WACC of 10.5% reflects business risk despite strong balance sheet</t>
  </si>
  <si>
    <t xml:space="preserve">  - Terminal growth of 3.5% assumes NVIDIA maintains above-GDP growth long-term</t>
  </si>
  <si>
    <t>Valuation Context:</t>
  </si>
  <si>
    <t>Current Price: $138.00</t>
  </si>
  <si>
    <t>Base Case IV: $100.76 (-27.0% upside)</t>
  </si>
  <si>
    <t>Bull Case IV: $177.58 (28.7% upside)</t>
  </si>
  <si>
    <t>Bear Case IV: $44.02 (-68.1% upside)</t>
  </si>
  <si>
    <t>Weighted IV: $105.78</t>
  </si>
  <si>
    <t>Entry Price (15% CAGR): $63.65</t>
  </si>
  <si>
    <t>Interpretation:</t>
  </si>
  <si>
    <t>The base case suggests NVDA is currently OVERVALUED at $138. However, this DCF uses conservative equity CAGR growth rates. If NVIDIA sustains AI dominance with Blackwell success, the bull case ($177.58) could be appropriate. The extraordinary concentration risk and custom silicon competition justify significant discount. Consider accumulating below $100 for margin of safety.</t>
  </si>
</sst>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&quot;$&quot;#,##0.00"/>
  </numFmts>
  <fonts count="7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D6303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0B89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164" fontId="0" fillId="2" borderId="2" xfId="0" applyNumberFormat="1" applyFill="1" applyBorder="1"/>
    <xf numFmtId="164" fontId="0" fillId="0" borderId="2" xfId="0" applyNumberFormat="1" applyBorder="1"/>
    <xf numFmtId="165" fontId="0" fillId="2" borderId="2" xfId="0" applyNumberFormat="1" applyFill="1" applyBorder="1"/>
    <xf numFmtId="0" fontId="4" fillId="3" borderId="2" xfId="0" applyFont="1" applyFill="1" applyBorder="1"/>
    <xf numFmtId="0" fontId="5" fillId="0" borderId="0" xfId="0" applyFont="1"/>
    <xf numFmtId="166" fontId="4" fillId="4" borderId="2" xfId="0" applyNumberFormat="1" applyFont="1" applyFill="1" applyBorder="1"/>
    <xf numFmtId="166" fontId="0" fillId="0" borderId="2" xfId="0" applyNumberFormat="1" applyBorder="1"/>
    <xf numFmtId="165" fontId="0" fillId="0" borderId="2" xfId="0" applyNumberFormat="1" applyBorder="1"/>
    <xf numFmtId="165" fontId="4" fillId="3" borderId="0" xfId="0" applyNumberFormat="1" applyFont="1" applyFill="1"/>
    <xf numFmtId="0" fontId="6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48"/>
  <sheetViews>
    <sheetView tabSelected="1" workbookViewId="0"/>
  </sheetViews>
  <sheetFormatPr defaultRowHeight="15"/>
  <cols>
    <col min="1" max="1" width="28.7109375" customWidth="1"/>
    <col min="2" max="8" width="14.7109375" customWidth="1"/>
  </cols>
  <sheetData>
    <row r="1" spans="1:6">
      <c r="A1" s="1" t="s">
        <v>0</v>
      </c>
    </row>
    <row r="2" spans="1:6">
      <c r="A2" s="2" t="s">
        <v>1</v>
      </c>
    </row>
    <row r="4" spans="1:6">
      <c r="A4" s="3" t="s">
        <v>2</v>
      </c>
    </row>
    <row r="5" spans="1:6">
      <c r="A5" t="s">
        <v>3</v>
      </c>
      <c r="B5" s="4">
        <v>138</v>
      </c>
    </row>
    <row r="6" spans="1:6">
      <c r="A6" t="s">
        <v>4</v>
      </c>
      <c r="B6" s="4">
        <v>24477</v>
      </c>
    </row>
    <row r="7" spans="1:6">
      <c r="A7" t="s">
        <v>5</v>
      </c>
      <c r="B7" s="4">
        <v>43210</v>
      </c>
    </row>
    <row r="8" spans="1:6">
      <c r="A8" t="s">
        <v>6</v>
      </c>
      <c r="B8" s="4">
        <v>8463</v>
      </c>
    </row>
    <row r="9" spans="1:6">
      <c r="A9" t="s">
        <v>7</v>
      </c>
      <c r="B9" s="5">
        <f>B8-B7</f>
        <v>0</v>
      </c>
    </row>
    <row r="10" spans="1:6">
      <c r="A10" t="s">
        <v>8</v>
      </c>
      <c r="B10" s="4">
        <v>60853</v>
      </c>
    </row>
    <row r="12" spans="1:6">
      <c r="A12" t="s">
        <v>9</v>
      </c>
      <c r="B12" s="6">
        <v>0.105</v>
      </c>
    </row>
    <row r="13" spans="1:6">
      <c r="A13" t="s">
        <v>10</v>
      </c>
      <c r="B13" s="6">
        <v>0.035</v>
      </c>
    </row>
    <row r="15" spans="1:6">
      <c r="A15" s="3" t="s">
        <v>11</v>
      </c>
      <c r="B15" s="7" t="s">
        <v>13</v>
      </c>
      <c r="C15" s="7" t="s">
        <v>14</v>
      </c>
      <c r="D15" s="7" t="s">
        <v>15</v>
      </c>
      <c r="E15" s="7" t="s">
        <v>16</v>
      </c>
      <c r="F15" s="7" t="s">
        <v>17</v>
      </c>
    </row>
    <row r="16" spans="1:6">
      <c r="A16" t="s">
        <v>12</v>
      </c>
      <c r="B16" s="6">
        <v>0.4</v>
      </c>
      <c r="C16" s="6">
        <v>0.35</v>
      </c>
      <c r="D16" s="6">
        <v>0.28</v>
      </c>
      <c r="E16" s="6">
        <v>0.22</v>
      </c>
      <c r="F16" s="6">
        <v>0.18</v>
      </c>
    </row>
    <row r="18" spans="1:7">
      <c r="A18" s="3" t="s">
        <v>18</v>
      </c>
    </row>
    <row r="19" spans="1:7">
      <c r="A19" s="7"/>
      <c r="B19" s="7" t="s">
        <v>19</v>
      </c>
      <c r="C19" s="7" t="s">
        <v>13</v>
      </c>
      <c r="D19" s="7" t="s">
        <v>14</v>
      </c>
      <c r="E19" s="7" t="s">
        <v>15</v>
      </c>
      <c r="F19" s="7" t="s">
        <v>16</v>
      </c>
      <c r="G19" s="7" t="s">
        <v>17</v>
      </c>
    </row>
    <row r="20" spans="1:7">
      <c r="A20" t="s">
        <v>20</v>
      </c>
      <c r="B20" s="5">
        <f>B10</f>
        <v>0</v>
      </c>
      <c r="C20" s="5">
        <f>B20*(1+B16)</f>
        <v>0</v>
      </c>
      <c r="D20" s="5">
        <f>C20*(1+C16)</f>
        <v>0</v>
      </c>
      <c r="E20" s="5">
        <f>D20*(1+D16)</f>
        <v>0</v>
      </c>
      <c r="F20" s="5">
        <f>E20*(1+E16)</f>
        <v>0</v>
      </c>
      <c r="G20" s="5">
        <f>F20*(1+F16)</f>
        <v>0</v>
      </c>
    </row>
    <row r="21" spans="1:7">
      <c r="A21" t="s">
        <v>21</v>
      </c>
      <c r="C21" s="5">
        <f>1/(1+$B$12)^1</f>
        <v>0</v>
      </c>
      <c r="D21" s="5">
        <f>1/(1+$B$12)^2</f>
        <v>0</v>
      </c>
      <c r="E21" s="5">
        <f>1/(1+$B$12)^3</f>
        <v>0</v>
      </c>
      <c r="F21" s="5">
        <f>1/(1+$B$12)^4</f>
        <v>0</v>
      </c>
      <c r="G21" s="5">
        <f>1/(1+$B$12)^5</f>
        <v>0</v>
      </c>
    </row>
    <row r="22" spans="1:7">
      <c r="A22" t="s">
        <v>22</v>
      </c>
      <c r="C22" s="5">
        <f>C20*C21</f>
        <v>0</v>
      </c>
      <c r="D22" s="5">
        <f>D20*D21</f>
        <v>0</v>
      </c>
      <c r="E22" s="5">
        <f>E20*E21</f>
        <v>0</v>
      </c>
      <c r="F22" s="5">
        <f>F20*F21</f>
        <v>0</v>
      </c>
      <c r="G22" s="5">
        <f>G20*G21</f>
        <v>0</v>
      </c>
    </row>
    <row r="24" spans="1:7">
      <c r="A24" s="3" t="s">
        <v>23</v>
      </c>
    </row>
    <row r="25" spans="1:7">
      <c r="A25" t="s">
        <v>24</v>
      </c>
      <c r="B25" s="5">
        <f>SUM(C22:G22)</f>
        <v>0</v>
      </c>
    </row>
    <row r="26" spans="1:7">
      <c r="A26" t="s">
        <v>25</v>
      </c>
      <c r="B26" s="5">
        <f>G20*(1+$B$13)</f>
        <v>0</v>
      </c>
    </row>
    <row r="27" spans="1:7">
      <c r="A27" t="s">
        <v>26</v>
      </c>
      <c r="B27" s="5">
        <f>B26/($B$12-$B$13)</f>
        <v>0</v>
      </c>
    </row>
    <row r="28" spans="1:7">
      <c r="A28" t="s">
        <v>27</v>
      </c>
      <c r="B28" s="5">
        <f>B27*G21</f>
        <v>0</v>
      </c>
    </row>
    <row r="29" spans="1:7">
      <c r="A29" t="s">
        <v>28</v>
      </c>
      <c r="B29" s="5">
        <f>B25+B28</f>
        <v>0</v>
      </c>
    </row>
    <row r="30" spans="1:7">
      <c r="A30" t="s">
        <v>29</v>
      </c>
      <c r="B30" s="5">
        <f>B9</f>
        <v>0</v>
      </c>
    </row>
    <row r="31" spans="1:7">
      <c r="A31" t="s">
        <v>30</v>
      </c>
      <c r="B31" s="5">
        <f>B29-B30</f>
        <v>0</v>
      </c>
    </row>
    <row r="33" spans="1:4">
      <c r="A33" s="8" t="s">
        <v>31</v>
      </c>
      <c r="B33" s="9">
        <f>B31/B6</f>
        <v>0</v>
      </c>
    </row>
    <row r="35" spans="1:4">
      <c r="A35" s="3" t="s">
        <v>32</v>
      </c>
    </row>
    <row r="36" spans="1:4">
      <c r="A36" t="s">
        <v>33</v>
      </c>
      <c r="B36" s="10">
        <f>B27/B6</f>
        <v>0</v>
      </c>
    </row>
    <row r="37" spans="1:4">
      <c r="A37" t="s">
        <v>34</v>
      </c>
      <c r="B37" s="9">
        <f>B36/(1.15^5)</f>
        <v>0</v>
      </c>
    </row>
    <row r="39" spans="1:4">
      <c r="A39" t="s">
        <v>35</v>
      </c>
      <c r="B39" s="11">
        <f>(B33-B5)/B5</f>
        <v>0</v>
      </c>
    </row>
    <row r="40" spans="1:4">
      <c r="A40" t="s">
        <v>36</v>
      </c>
      <c r="B40" s="11">
        <f>(B5-B37)/B37</f>
        <v>0</v>
      </c>
    </row>
    <row r="42" spans="1:4">
      <c r="A42" s="3" t="s">
        <v>37</v>
      </c>
    </row>
    <row r="43" spans="1:4">
      <c r="A43" s="7" t="s">
        <v>38</v>
      </c>
      <c r="B43" s="7" t="s">
        <v>39</v>
      </c>
      <c r="C43" s="7" t="s">
        <v>19</v>
      </c>
      <c r="D43" s="7" t="s">
        <v>40</v>
      </c>
    </row>
    <row r="44" spans="1:4">
      <c r="A44" t="s">
        <v>41</v>
      </c>
      <c r="B44" s="11">
        <v>0.25</v>
      </c>
      <c r="C44" s="11">
        <v>0.4</v>
      </c>
      <c r="D44" s="11">
        <v>0.5</v>
      </c>
    </row>
    <row r="45" spans="1:4">
      <c r="A45" t="s">
        <v>9</v>
      </c>
      <c r="B45" s="11">
        <v>0.12</v>
      </c>
      <c r="C45" s="11">
        <v>0.105</v>
      </c>
      <c r="D45" s="11">
        <v>0.095</v>
      </c>
    </row>
    <row r="46" spans="1:4">
      <c r="A46" t="s">
        <v>42</v>
      </c>
      <c r="B46" s="10">
        <v>44.02</v>
      </c>
      <c r="C46" s="10">
        <v>100.76</v>
      </c>
      <c r="D46" s="10">
        <v>177.58</v>
      </c>
    </row>
    <row r="47" spans="1:4">
      <c r="A47" t="s">
        <v>43</v>
      </c>
      <c r="B47" s="11">
        <v>-0.6809999999999999</v>
      </c>
      <c r="C47" s="11">
        <v>-0.27</v>
      </c>
      <c r="D47" s="11">
        <v>0.287</v>
      </c>
    </row>
    <row r="48" spans="1:4">
      <c r="A48" t="s">
        <v>44</v>
      </c>
      <c r="B48" s="10">
        <v>105.78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"/>
  <sheetViews>
    <sheetView workbookViewId="0"/>
  </sheetViews>
  <sheetFormatPr defaultRowHeight="15"/>
  <cols>
    <col min="1" max="1" width="18.7109375" customWidth="1"/>
    <col min="2" max="7" width="12.7109375" customWidth="1"/>
  </cols>
  <sheetData>
    <row r="1" spans="1:6">
      <c r="A1" s="1" t="s">
        <v>45</v>
      </c>
    </row>
    <row r="2" spans="1:6">
      <c r="A2" t="s">
        <v>46</v>
      </c>
    </row>
    <row r="4" spans="1:6">
      <c r="A4" s="7" t="s">
        <v>47</v>
      </c>
      <c r="B4" s="12">
        <v>0.025</v>
      </c>
      <c r="C4" s="12">
        <v>0.03</v>
      </c>
      <c r="D4" s="12">
        <v>0.035</v>
      </c>
      <c r="E4" s="12">
        <v>0.04</v>
      </c>
      <c r="F4" s="12">
        <v>0.045</v>
      </c>
    </row>
    <row r="5" spans="1:6">
      <c r="A5" s="12">
        <v>0.08500000000000001</v>
      </c>
      <c r="B5" s="10">
        <v>122.75</v>
      </c>
      <c r="C5" s="10">
        <v>132.22</v>
      </c>
      <c r="D5" s="10">
        <v>143.58</v>
      </c>
      <c r="E5" s="10">
        <v>157.46</v>
      </c>
      <c r="F5" s="10">
        <v>174.81</v>
      </c>
    </row>
    <row r="6" spans="1:6">
      <c r="A6" s="12">
        <v>0.095</v>
      </c>
      <c r="B6" s="10">
        <v>104.24</v>
      </c>
      <c r="C6" s="10">
        <v>110.86</v>
      </c>
      <c r="D6" s="10">
        <v>118.58</v>
      </c>
      <c r="E6" s="10">
        <v>127.7</v>
      </c>
      <c r="F6" s="10">
        <v>138.65</v>
      </c>
    </row>
    <row r="7" spans="1:6">
      <c r="A7" s="12">
        <v>0.105</v>
      </c>
      <c r="B7" s="10">
        <v>90.39</v>
      </c>
      <c r="C7" s="10">
        <v>95.23</v>
      </c>
      <c r="D7" s="10">
        <v>100.76</v>
      </c>
      <c r="E7" s="10">
        <v>107.14</v>
      </c>
      <c r="F7" s="10">
        <v>114.59</v>
      </c>
    </row>
    <row r="8" spans="1:6">
      <c r="A8" s="12">
        <v>0.115</v>
      </c>
      <c r="B8" s="10">
        <v>79.65000000000001</v>
      </c>
      <c r="C8" s="10">
        <v>83.31</v>
      </c>
      <c r="D8" s="10">
        <v>87.43000000000001</v>
      </c>
      <c r="E8" s="10">
        <v>92.09999999999999</v>
      </c>
      <c r="F8" s="10">
        <v>97.43000000000001</v>
      </c>
    </row>
    <row r="9" spans="1:6">
      <c r="A9" s="12">
        <v>0.125</v>
      </c>
      <c r="B9" s="10">
        <v>71.08</v>
      </c>
      <c r="C9" s="10">
        <v>73.93000000000001</v>
      </c>
      <c r="D9" s="10">
        <v>77.09</v>
      </c>
      <c r="E9" s="10">
        <v>80.62</v>
      </c>
      <c r="F9" s="10">
        <v>84.59999999999999</v>
      </c>
    </row>
    <row r="12" spans="1:6">
      <c r="A12" s="8" t="s">
        <v>48</v>
      </c>
    </row>
    <row r="13" spans="1:6">
      <c r="A13" t="s">
        <v>49</v>
      </c>
    </row>
    <row r="15" spans="1:6">
      <c r="A15" s="8" t="s">
        <v>50</v>
      </c>
    </row>
    <row r="16" spans="1:6">
      <c r="A16" t="s">
        <v>51</v>
      </c>
    </row>
    <row r="17" spans="1:1">
      <c r="A17" t="s">
        <v>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23"/>
  <sheetViews>
    <sheetView workbookViewId="0"/>
  </sheetViews>
  <sheetFormatPr defaultRowHeight="15"/>
  <cols>
    <col min="1" max="1" width="25.7109375" customWidth="1"/>
    <col min="2" max="3" width="15.7109375" customWidth="1"/>
  </cols>
  <sheetData>
    <row r="1" spans="1:3">
      <c r="A1" s="1" t="s">
        <v>53</v>
      </c>
    </row>
    <row r="3" spans="1:3">
      <c r="A3" s="7" t="s">
        <v>54</v>
      </c>
      <c r="B3" s="7" t="s">
        <v>55</v>
      </c>
      <c r="C3" s="7" t="s">
        <v>56</v>
      </c>
    </row>
    <row r="4" spans="1:3">
      <c r="A4" t="s">
        <v>57</v>
      </c>
      <c r="B4" s="11">
        <v>0.6929999999999999</v>
      </c>
      <c r="C4" s="11">
        <v>0.642</v>
      </c>
    </row>
    <row r="5" spans="1:3">
      <c r="A5" t="s">
        <v>58</v>
      </c>
      <c r="B5" s="11">
        <v>0.9690000000000001</v>
      </c>
      <c r="C5" s="11">
        <v>0.929</v>
      </c>
    </row>
    <row r="6" spans="1:3">
      <c r="A6" t="s">
        <v>59</v>
      </c>
      <c r="B6" s="11">
        <v>0.43</v>
      </c>
      <c r="C6" s="11">
        <v>0.476</v>
      </c>
    </row>
    <row r="7" spans="1:3">
      <c r="A7" t="s">
        <v>60</v>
      </c>
      <c r="B7" s="11">
        <v>0.956</v>
      </c>
      <c r="C7" s="11">
        <v>0.8220000000000001</v>
      </c>
    </row>
    <row r="9" spans="1:3">
      <c r="A9" s="8" t="s">
        <v>61</v>
      </c>
      <c r="B9" s="11">
        <v>0.476</v>
      </c>
    </row>
    <row r="10" spans="1:3">
      <c r="A10" t="s">
        <v>62</v>
      </c>
      <c r="B10" t="s">
        <v>63</v>
      </c>
    </row>
    <row r="12" spans="1:3">
      <c r="A12" s="13" t="s">
        <v>64</v>
      </c>
      <c r="B12" s="13"/>
      <c r="C12" s="13"/>
    </row>
    <row r="13" spans="1:3">
      <c r="A13" s="13"/>
      <c r="B13" s="13"/>
      <c r="C13" s="13"/>
    </row>
    <row r="14" spans="1:3">
      <c r="A14" s="13"/>
      <c r="B14" s="13"/>
      <c r="C14" s="13"/>
    </row>
    <row r="16" spans="1:3">
      <c r="A16" s="3" t="s">
        <v>65</v>
      </c>
    </row>
    <row r="17" spans="1:4">
      <c r="A17" s="7" t="s">
        <v>66</v>
      </c>
      <c r="B17" s="7" t="s">
        <v>57</v>
      </c>
      <c r="C17" s="7" t="s">
        <v>60</v>
      </c>
      <c r="D17" s="7" t="s">
        <v>59</v>
      </c>
    </row>
    <row r="18" spans="1:4">
      <c r="A18" t="s">
        <v>67</v>
      </c>
      <c r="B18" s="5">
        <v>10918</v>
      </c>
      <c r="C18" s="5">
        <v>3030</v>
      </c>
      <c r="D18" s="5">
        <v>11313</v>
      </c>
    </row>
    <row r="19" spans="1:4">
      <c r="A19" t="s">
        <v>68</v>
      </c>
      <c r="B19" s="5">
        <v>16675</v>
      </c>
      <c r="C19" s="5">
        <v>4696</v>
      </c>
      <c r="D19" s="5">
        <v>17091</v>
      </c>
    </row>
    <row r="20" spans="1:4">
      <c r="A20" t="s">
        <v>69</v>
      </c>
      <c r="B20" s="5">
        <v>26914</v>
      </c>
      <c r="C20" s="5">
        <v>8132</v>
      </c>
      <c r="D20" s="5">
        <v>27105</v>
      </c>
    </row>
    <row r="21" spans="1:4">
      <c r="A21" t="s">
        <v>70</v>
      </c>
      <c r="B21" s="5">
        <v>26974</v>
      </c>
      <c r="C21" s="5">
        <v>5641</v>
      </c>
      <c r="D21" s="5">
        <v>22101</v>
      </c>
    </row>
    <row r="22" spans="1:4">
      <c r="A22" t="s">
        <v>71</v>
      </c>
      <c r="B22" s="5">
        <v>60922</v>
      </c>
      <c r="C22" s="5">
        <v>27021</v>
      </c>
      <c r="D22" s="5">
        <v>42978</v>
      </c>
    </row>
    <row r="23" spans="1:4">
      <c r="A23" t="s">
        <v>72</v>
      </c>
      <c r="B23" s="5">
        <v>130497</v>
      </c>
      <c r="C23" s="5">
        <v>60853</v>
      </c>
      <c r="D23" s="5">
        <v>79327</v>
      </c>
    </row>
  </sheetData>
  <mergeCells count="1">
    <mergeCell ref="A12:C1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43"/>
  <sheetViews>
    <sheetView workbookViewId="0"/>
  </sheetViews>
  <sheetFormatPr defaultRowHeight="15"/>
  <cols>
    <col min="1" max="1" width="80.7109375" customWidth="1"/>
  </cols>
  <sheetData>
    <row r="1" spans="1:1">
      <c r="A1" s="1" t="s">
        <v>73</v>
      </c>
    </row>
    <row r="3" spans="1:1">
      <c r="A3" s="8" t="s">
        <v>74</v>
      </c>
    </row>
    <row r="4" spans="1:1">
      <c r="A4" t="s">
        <v>75</v>
      </c>
    </row>
    <row r="6" spans="1:1">
      <c r="A6" s="3" t="s">
        <v>76</v>
      </c>
    </row>
    <row r="7" spans="1:1">
      <c r="A7" t="s">
        <v>77</v>
      </c>
    </row>
    <row r="8" spans="1:1">
      <c r="A8" t="s">
        <v>78</v>
      </c>
    </row>
    <row r="9" spans="1:1">
      <c r="A9" t="s">
        <v>79</v>
      </c>
    </row>
    <row r="10" spans="1:1">
      <c r="A10" t="s">
        <v>80</v>
      </c>
    </row>
    <row r="11" spans="1:1">
      <c r="A11" t="s">
        <v>81</v>
      </c>
    </row>
    <row r="12" spans="1:1">
      <c r="A12" t="s">
        <v>82</v>
      </c>
    </row>
    <row r="14" spans="1:1">
      <c r="A14" s="3" t="s">
        <v>83</v>
      </c>
    </row>
    <row r="15" spans="1:1">
      <c r="A15" t="s">
        <v>84</v>
      </c>
    </row>
    <row r="16" spans="1:1">
      <c r="A16" t="s">
        <v>85</v>
      </c>
    </row>
    <row r="17" spans="1:1">
      <c r="A17" t="s">
        <v>86</v>
      </c>
    </row>
    <row r="18" spans="1:1">
      <c r="A18" t="s">
        <v>87</v>
      </c>
    </row>
    <row r="19" spans="1:1">
      <c r="A19" t="s">
        <v>88</v>
      </c>
    </row>
    <row r="20" spans="1:1">
      <c r="A20" t="s">
        <v>89</v>
      </c>
    </row>
    <row r="21" spans="1:1">
      <c r="A21" t="s">
        <v>90</v>
      </c>
    </row>
    <row r="24" spans="1:1">
      <c r="A24" s="3" t="s">
        <v>91</v>
      </c>
    </row>
    <row r="25" spans="1:1">
      <c r="A25" t="s">
        <v>92</v>
      </c>
    </row>
    <row r="26" spans="1:1">
      <c r="A26" t="s">
        <v>93</v>
      </c>
    </row>
    <row r="27" spans="1:1">
      <c r="A27" t="s">
        <v>94</v>
      </c>
    </row>
    <row r="28" spans="1:1">
      <c r="A28" t="s">
        <v>95</v>
      </c>
    </row>
    <row r="29" spans="1:1">
      <c r="A29" t="s">
        <v>96</v>
      </c>
    </row>
    <row r="30" spans="1:1">
      <c r="A30" t="s">
        <v>97</v>
      </c>
    </row>
    <row r="31" spans="1:1">
      <c r="A31" t="s">
        <v>98</v>
      </c>
    </row>
    <row r="34" spans="1:1">
      <c r="A34" s="3" t="s">
        <v>99</v>
      </c>
    </row>
    <row r="35" spans="1:1">
      <c r="A35" t="s">
        <v>100</v>
      </c>
    </row>
    <row r="36" spans="1:1">
      <c r="A36" t="s">
        <v>101</v>
      </c>
    </row>
    <row r="37" spans="1:1">
      <c r="A37" t="s">
        <v>102</v>
      </c>
    </row>
    <row r="38" spans="1:1">
      <c r="A38" t="s">
        <v>103</v>
      </c>
    </row>
    <row r="39" spans="1:1">
      <c r="A39" t="s">
        <v>104</v>
      </c>
    </row>
    <row r="40" spans="1:1">
      <c r="A40" t="s">
        <v>105</v>
      </c>
    </row>
    <row r="42" spans="1:1">
      <c r="A42" s="8" t="s">
        <v>106</v>
      </c>
    </row>
    <row r="43" spans="1:1">
      <c r="A43" t="s">
        <v>107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DCF Model</vt:lpstr>
      <vt:lpstr>Sensitivity</vt:lpstr>
      <vt:lpstr>Historical</vt:lpstr>
      <vt:lpstr>Business Context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2026-02-02T03:05:04Z</dcterms:created>
  <dcterms:modified xsi:type="dcterms:W3CDTF">2026-02-02T03:05:04Z</dcterms:modified>
</cp:coreProperties>
</file>