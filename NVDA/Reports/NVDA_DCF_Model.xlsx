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 &amp; Sanity" sheetId="4" r:id="rId4"/>
  </sheets>
  <calcPr calcId="124519" fullCalcOnLoad="1"/>
</workbook>
</file>

<file path=xl/sharedStrings.xml><?xml version="1.0" encoding="utf-8"?>
<sst xmlns="http://schemas.openxmlformats.org/spreadsheetml/2006/main" count="183" uniqueCount="160">
  <si>
    <t>NVIDIA Corporation (NVDA) — DCF Valuation Model</t>
  </si>
  <si>
    <t>Gray cells = adjustable INPUTS. All other cells are formulas that update automatically.</t>
  </si>
  <si>
    <t>Valuation Date: 2026-06-24  |  Model: Base Case  |  Units: USD Millions</t>
  </si>
  <si>
    <t>KEY INPUTS</t>
  </si>
  <si>
    <t>Current Stock Price ($)</t>
  </si>
  <si>
    <t>← Live price (adjust if needed)</t>
  </si>
  <si>
    <t>Shares Outstanding (M)</t>
  </si>
  <si>
    <t>Cash &amp; Investments (M)</t>
  </si>
  <si>
    <t>← Q3 FY2026: incl. short-term investments</t>
  </si>
  <si>
    <t>Total Debt (M)</t>
  </si>
  <si>
    <t>Net Debt (M)  [negative = net cash]</t>
  </si>
  <si>
    <t>← Formula: Debt minus Cash+Investments</t>
  </si>
  <si>
    <t>Base Year FCF (M)  [FY2025 actual]</t>
  </si>
  <si>
    <t>← FY2025 actual FCF; FY2026E ~$95-105B</t>
  </si>
  <si>
    <t>WACC</t>
  </si>
  <si>
    <t>← 11% base: beta ~1.6, RFR 4.3%, ERP 5.5%</t>
  </si>
  <si>
    <t>Terminal Growth Rate</t>
  </si>
  <si>
    <t>GROWTH ASSUMPTIONS (FCF YoY)</t>
  </si>
  <si>
    <t>FCF Growth Rate</t>
  </si>
  <si>
    <t>Year 1</t>
  </si>
  <si>
    <t>Year 2</t>
  </si>
  <si>
    <t>Year 3</t>
  </si>
  <si>
    <t>Year 4</t>
  </si>
  <si>
    <t>Year 5</t>
  </si>
  <si>
    <t>↑ Adjust per-year growth rates above</t>
  </si>
  <si>
    <t>PROJECTED FREE CASH FLOWS</t>
  </si>
  <si>
    <t>Base FCF</t>
  </si>
  <si>
    <t>Free Cash Flow (M)</t>
  </si>
  <si>
    <t>Discount Factor</t>
  </si>
  <si>
    <t>PV of FCF (M)</t>
  </si>
  <si>
    <t>VALUATION</t>
  </si>
  <si>
    <t>Sum of PV of FCF (M)</t>
  </si>
  <si>
    <t>Terminal FCF (Y5 FCF × (1+g))</t>
  </si>
  <si>
    <t>Terminal Value (Gordon Growth)</t>
  </si>
  <si>
    <t>PV of Terminal Value (M)</t>
  </si>
  <si>
    <t>Enterprise Value (M)</t>
  </si>
  <si>
    <t>Less: Net Debt (M) [neg = net cash]</t>
  </si>
  <si>
    <t>Equity Value (M)</t>
  </si>
  <si>
    <t>INTRINSIC VALUE / SHARE</t>
  </si>
  <si>
    <t>Upside / (Downside) to Current Price</t>
  </si>
  <si>
    <t>ENTRY PRICE FOR 15% CAGR TARGET</t>
  </si>
  <si>
    <t>Terminal Value per Share</t>
  </si>
  <si>
    <t>Entry Price (15% CAGR over 5 yrs)</t>
  </si>
  <si>
    <t>Premium/(Discount) from Entry Price</t>
  </si>
  <si>
    <t>← Positive = stock above entry price (need discount)</t>
  </si>
  <si>
    <t>SCENARIO COMPARISON SUMMARY</t>
  </si>
  <si>
    <t>Scenario</t>
  </si>
  <si>
    <t>Intrinsic Value</t>
  </si>
  <si>
    <t>Upside / (Down)</t>
  </si>
  <si>
    <t>Entry (15% CAGR)</t>
  </si>
  <si>
    <t>Bear Case</t>
  </si>
  <si>
    <t>Base Case</t>
  </si>
  <si>
    <t>Bull Case</t>
  </si>
  <si>
    <t>Prob. Weighted</t>
  </si>
  <si>
    <t>N/A</t>
  </si>
  <si>
    <t>Current Price: $200.04  |  52-Week Range: $149.26 - $236.54  |  Shares: 24,305M</t>
  </si>
  <si>
    <t>Weights: Bull 25% / Base 50% / Bear 25%  |  Bear WACC 12%, Base WACC 11%, Bull WACC 10%</t>
  </si>
  <si>
    <t>Note: High-growth AI names often trade at premium to 5-yr DCF value; model captures fundamental floor, not platform/scarcity premium.</t>
  </si>
  <si>
    <t>NVDA — Bull / Bear Scenario Detail</t>
  </si>
  <si>
    <t>Metric</t>
  </si>
  <si>
    <t>12%</t>
  </si>
  <si>
    <t>11%</t>
  </si>
  <si>
    <t>10%</t>
  </si>
  <si>
    <t>Terminal Growth</t>
  </si>
  <si>
    <t>2.0%</t>
  </si>
  <si>
    <t>3.0%</t>
  </si>
  <si>
    <t>3.5%</t>
  </si>
  <si>
    <t>FCF Margin</t>
  </si>
  <si>
    <t>44%</t>
  </si>
  <si>
    <t>47%</t>
  </si>
  <si>
    <t>49%</t>
  </si>
  <si>
    <t>Y1 Growth</t>
  </si>
  <si>
    <t>40%</t>
  </si>
  <si>
    <t>65%</t>
  </si>
  <si>
    <t>75%</t>
  </si>
  <si>
    <t>Y2 Growth</t>
  </si>
  <si>
    <t>15%</t>
  </si>
  <si>
    <t>35%</t>
  </si>
  <si>
    <t>50%</t>
  </si>
  <si>
    <t>Y3 Growth</t>
  </si>
  <si>
    <t>5%</t>
  </si>
  <si>
    <t>25%</t>
  </si>
  <si>
    <t>Y4 Growth</t>
  </si>
  <si>
    <t>0%</t>
  </si>
  <si>
    <t>18%</t>
  </si>
  <si>
    <t>Y5 Growth</t>
  </si>
  <si>
    <t>-5%</t>
  </si>
  <si>
    <t>PROJECTED FCFs (M)</t>
  </si>
  <si>
    <t>Year</t>
  </si>
  <si>
    <t>Bear FCF</t>
  </si>
  <si>
    <t>Bull FCF</t>
  </si>
  <si>
    <t>VALUATION SUMMARY (M)</t>
  </si>
  <si>
    <t>Sum PV of FCF</t>
  </si>
  <si>
    <t>Terminal Value</t>
  </si>
  <si>
    <t>PV Terminal Value</t>
  </si>
  <si>
    <t>Enterprise Value</t>
  </si>
  <si>
    <t>Net Debt (neg = cash)</t>
  </si>
  <si>
    <t>Equity Value</t>
  </si>
  <si>
    <t>Upside / (Downside)</t>
  </si>
  <si>
    <t>Bull thesis: Blackwell+Rubin dominance, $4T AI TAM by 2030, CUDA moat, hyperscaler CapEx $200B+/yr</t>
  </si>
  <si>
    <t>Bear thesis: AI capex digestion, custom silicon (TPU/Trainium/Maia) takes 30-40% share, China export ban, pricing erosion</t>
  </si>
  <si>
    <t>NVDA Sensitivity — Intrinsic Value by WACC &amp; Terminal Growth</t>
  </si>
  <si>
    <t>Base growth path: [65%, 35%, 25%, 18%, 12%] applied in all cells. Net debt = -$52,141M.</t>
  </si>
  <si>
    <t>Green = above current price ($200.04) | Red = below current price</t>
  </si>
  <si>
    <t>WACC \ Term G</t>
  </si>
  <si>
    <t>Current Price: $200.04</t>
  </si>
  <si>
    <t>Base case (11% WACC / 3.0% g) = $96.77</t>
  </si>
  <si>
    <t>All cells in red = below current price (stock appears overvalued on 5yr DCF)</t>
  </si>
  <si>
    <t>NVDA historical P/E range: 22x-115x; avg ~55-65x in growth years</t>
  </si>
  <si>
    <t>Implied P/E at base IV ($96.77) on FY26E EPS $4.42 = 21.9x — near 10yr low</t>
  </si>
  <si>
    <t>Market at $200 embeds platform scarcity premium + TAM beyond 5yr model window</t>
  </si>
  <si>
    <t>NVDA — Historical Growth Rates &amp; Sanity Check</t>
  </si>
  <si>
    <t>HISTORICAL CAGR TABLE</t>
  </si>
  <si>
    <t>3-Year CAGR (FY22→FY25)</t>
  </si>
  <si>
    <t>5-Year CAGR (FY20→FY25)</t>
  </si>
  <si>
    <t>Revenue</t>
  </si>
  <si>
    <t>EPS (Diluted)</t>
  </si>
  <si>
    <t>Shareholders Equity</t>
  </si>
  <si>
    <t>Free Cash Flow</t>
  </si>
  <si>
    <t>Selected Growth Rate (Equity 5yr CAGR):</t>
  </si>
  <si>
    <t>Note: Actual projections use manually-set decelerating growth (not raw CAGR)</t>
  </si>
  <si>
    <t>NVDA HISTORICAL P/E AT FISCAL YEAR-END (Split-Adjusted)</t>
  </si>
  <si>
    <t>Period</t>
  </si>
  <si>
    <t>Stock Price</t>
  </si>
  <si>
    <t>EPS</t>
  </si>
  <si>
    <t>P/E</t>
  </si>
  <si>
    <t>FY2017 Jan-2017</t>
  </si>
  <si>
    <t>FY2018 Jan-2018</t>
  </si>
  <si>
    <t>FY2019 Jan-2019</t>
  </si>
  <si>
    <t>FY2020 Jan-2020</t>
  </si>
  <si>
    <t>FY2021 Jan-2021</t>
  </si>
  <si>
    <t>FY2022 Jan-2022</t>
  </si>
  <si>
    <t>FY2023 Jan-2023</t>
  </si>
  <si>
    <t>FY2024 Jan-2024</t>
  </si>
  <si>
    <t>FY2025 Jan-2025</t>
  </si>
  <si>
    <t>P/E Range:</t>
  </si>
  <si>
    <t>22x — 115x</t>
  </si>
  <si>
    <t>Avg in high-growth years:</t>
  </si>
  <si>
    <t>55x — 65x</t>
  </si>
  <si>
    <t>SANITY CHECK — Implied Multiples at Base IV</t>
  </si>
  <si>
    <t>At Base IV ($96.77)</t>
  </si>
  <si>
    <t>At Current ($200.04)</t>
  </si>
  <si>
    <t>Base Intrinsic Value</t>
  </si>
  <si>
    <t>$96.77</t>
  </si>
  <si>
    <t>$200.04</t>
  </si>
  <si>
    <t>P/E on FY25 EPS ($2.94)</t>
  </si>
  <si>
    <t>32.9x</t>
  </si>
  <si>
    <t>68.0x</t>
  </si>
  <si>
    <t>P/E on FY26E EPS ($4.42)</t>
  </si>
  <si>
    <t>21.9x</t>
  </si>
  <si>
    <t>45.3x</t>
  </si>
  <si>
    <t>P/Sales on FY25 revenue</t>
  </si>
  <si>
    <t>18.0x</t>
  </si>
  <si>
    <t>37.3x</t>
  </si>
  <si>
    <t>P/Book on FY25 equity</t>
  </si>
  <si>
    <t>29.7x</t>
  </si>
  <si>
    <t>61.3x</t>
  </si>
  <si>
    <t>EV/EBITDA (approx)</t>
  </si>
  <si>
    <t>27.4x</t>
  </si>
  <si>
    <t>VERDICT: PASS — No correction applied. Base IV ($96.77) implies P/E of 21.9x on FY26E consensus EPS — well below NVDA's historical average and approaching its historical minimum. The model does not trip any high-upside warning (base case shows -51.6% downside from current price). The material gap between DCF IV ($97) and current market price ($200) is explained by: (1) Market embedding a platform-monopoly scarcity premium on CUDA ecosystem value not captured in 5-year cash flows; (2) TAM expansion to $4T+ AI infrastructure spend by 2030 lies significantly beyond the explicit 5-year window; (3) NVDA structurally commands a premium multiple reflecting 80-90% market share in mission-critical AI compute. At $200, investors are paying primarily for terminal platform value, which carries material execution and multiple-compression risk.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</si>
</sst>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"/>
    <numFmt numFmtId="166" formatCode="#,##0"/>
    <numFmt numFmtId="167" formatCode="0.0%"/>
    <numFmt numFmtId="168" formatCode="+0.0%;-0.0%;0.0%"/>
  </numFmts>
  <fonts count="11">
    <font>
      <sz val="11"/>
      <color theme="1"/>
      <name val="Calibri"/>
      <family val="2"/>
      <scheme val="minor"/>
    </font>
    <font>
      <b/>
      <sz val="18"/>
      <color rgb="FF1A1A2E"/>
      <name val="Calibri"/>
      <family val="2"/>
      <scheme val="minor"/>
    </font>
    <font>
      <i/>
      <sz val="11"/>
      <color rgb="FF636E72"/>
      <name val="Calibri"/>
      <family val="2"/>
      <scheme val="minor"/>
    </font>
    <font>
      <b/>
      <sz val="11"/>
      <color rgb="FF76B9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2D3436"/>
      <name val="Calibri"/>
      <family val="2"/>
      <scheme val="minor"/>
    </font>
    <font>
      <i/>
      <sz val="9"/>
      <color rgb="FF636E72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6B900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F767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/>
    <xf numFmtId="164" fontId="0" fillId="4" borderId="1" xfId="0" applyNumberFormat="1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4" borderId="1" xfId="0" applyNumberFormat="1" applyFill="1" applyBorder="1" applyAlignment="1">
      <alignment horizontal="right"/>
    </xf>
    <xf numFmtId="0" fontId="4" fillId="5" borderId="1" xfId="0" applyFont="1" applyFill="1" applyBorder="1"/>
    <xf numFmtId="0" fontId="5" fillId="3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4" fillId="0" borderId="0" xfId="0" applyFont="1"/>
    <xf numFmtId="164" fontId="6" fillId="6" borderId="3" xfId="0" applyNumberFormat="1" applyFont="1" applyFill="1" applyBorder="1" applyAlignment="1">
      <alignment horizontal="right"/>
    </xf>
    <xf numFmtId="168" fontId="7" fillId="7" borderId="3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5" fillId="8" borderId="1" xfId="0" applyNumberFormat="1" applyFont="1" applyFill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164" fontId="5" fillId="9" borderId="1" xfId="0" applyNumberFormat="1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164" fontId="6" fillId="10" borderId="3" xfId="0" applyNumberFormat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167" fontId="3" fillId="11" borderId="1" xfId="0" applyNumberFormat="1" applyFont="1" applyFill="1" applyBorder="1" applyAlignment="1">
      <alignment horizontal="center"/>
    </xf>
    <xf numFmtId="164" fontId="9" fillId="12" borderId="1" xfId="0" applyNumberFormat="1" applyFont="1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10" fillId="6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cols>
    <col min="1" max="1" width="30.7109375" customWidth="1"/>
    <col min="2" max="2" width="16.7109375" customWidth="1"/>
    <col min="3" max="7" width="14.7109375" customWidth="1"/>
  </cols>
  <sheetData>
    <row r="1" spans="1:7" ht="28" customHeight="1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</row>
    <row r="3" spans="1:7">
      <c r="A3" s="2" t="s">
        <v>2</v>
      </c>
    </row>
    <row r="5" spans="1:7">
      <c r="A5" s="3" t="s">
        <v>3</v>
      </c>
      <c r="B5" s="3"/>
      <c r="C5" s="3"/>
    </row>
    <row r="7" spans="1:7">
      <c r="A7" t="s">
        <v>4</v>
      </c>
      <c r="B7" s="4">
        <v>200.04</v>
      </c>
      <c r="C7" s="2" t="s">
        <v>5</v>
      </c>
    </row>
    <row r="8" spans="1:7">
      <c r="A8" t="s">
        <v>6</v>
      </c>
      <c r="B8" s="5">
        <v>24305</v>
      </c>
    </row>
    <row r="9" spans="1:7">
      <c r="A9" t="s">
        <v>7</v>
      </c>
      <c r="B9" s="5">
        <v>60608</v>
      </c>
      <c r="C9" s="2" t="s">
        <v>8</v>
      </c>
    </row>
    <row r="10" spans="1:7">
      <c r="A10" t="s">
        <v>9</v>
      </c>
      <c r="B10" s="5">
        <v>8467</v>
      </c>
    </row>
    <row r="11" spans="1:7">
      <c r="A11" t="s">
        <v>10</v>
      </c>
      <c r="B11" s="6">
        <f>B10-B9</f>
        <v>0</v>
      </c>
      <c r="C11" s="2" t="s">
        <v>11</v>
      </c>
    </row>
    <row r="12" spans="1:7">
      <c r="A12" t="s">
        <v>12</v>
      </c>
      <c r="B12" s="5">
        <v>60853</v>
      </c>
      <c r="C12" s="2" t="s">
        <v>13</v>
      </c>
    </row>
    <row r="14" spans="1:7">
      <c r="A14" t="s">
        <v>14</v>
      </c>
      <c r="B14" s="7">
        <v>0.11</v>
      </c>
      <c r="C14" s="2" t="s">
        <v>15</v>
      </c>
    </row>
    <row r="15" spans="1:7">
      <c r="A15" t="s">
        <v>16</v>
      </c>
      <c r="B15" s="7">
        <v>0.03</v>
      </c>
    </row>
    <row r="16" spans="1:7">
      <c r="A16" s="3" t="s">
        <v>17</v>
      </c>
      <c r="B16" s="3"/>
      <c r="C16" s="3"/>
      <c r="D16" s="3"/>
      <c r="E16" s="3"/>
      <c r="F16" s="3"/>
      <c r="G16" s="3"/>
    </row>
    <row r="17" spans="1:7">
      <c r="A17" s="8" t="s">
        <v>18</v>
      </c>
      <c r="B17" s="9" t="s">
        <v>19</v>
      </c>
      <c r="C17" s="9" t="s">
        <v>20</v>
      </c>
      <c r="D17" s="9" t="s">
        <v>21</v>
      </c>
      <c r="E17" s="9" t="s">
        <v>22</v>
      </c>
      <c r="F17" s="9" t="s">
        <v>23</v>
      </c>
    </row>
    <row r="18" spans="1:7">
      <c r="A18" s="2" t="s">
        <v>24</v>
      </c>
      <c r="B18" s="7">
        <v>0.65</v>
      </c>
      <c r="C18" s="7">
        <v>0.35</v>
      </c>
      <c r="D18" s="7">
        <v>0.25</v>
      </c>
      <c r="E18" s="7">
        <v>0.18</v>
      </c>
      <c r="F18" s="7">
        <v>0.12</v>
      </c>
    </row>
    <row r="20" spans="1:7">
      <c r="A20" s="3" t="s">
        <v>25</v>
      </c>
      <c r="B20" s="3"/>
      <c r="C20" s="3"/>
      <c r="D20" s="3"/>
      <c r="E20" s="3"/>
      <c r="F20" s="3"/>
      <c r="G20" s="3"/>
    </row>
    <row r="21" spans="1:7">
      <c r="A21" s="9"/>
      <c r="B21" s="9" t="s">
        <v>26</v>
      </c>
      <c r="C21" s="9" t="s">
        <v>19</v>
      </c>
      <c r="D21" s="9" t="s">
        <v>20</v>
      </c>
      <c r="E21" s="9" t="s">
        <v>21</v>
      </c>
      <c r="F21" s="9" t="s">
        <v>22</v>
      </c>
      <c r="G21" s="9" t="s">
        <v>23</v>
      </c>
    </row>
    <row r="22" spans="1:7">
      <c r="A22" s="8" t="s">
        <v>27</v>
      </c>
      <c r="B22" s="6">
        <f>B12</f>
        <v>0</v>
      </c>
      <c r="C22" s="6">
        <f>C21*(1+B18)</f>
        <v>0</v>
      </c>
      <c r="D22" s="6">
        <f>D21*(1+C18)</f>
        <v>0</v>
      </c>
      <c r="E22" s="6">
        <f>E21*(1+D18)</f>
        <v>0</v>
      </c>
      <c r="F22" s="6">
        <f>F21*(1+E18)</f>
        <v>0</v>
      </c>
      <c r="G22" s="6">
        <f>G21*(1+F18)</f>
        <v>0</v>
      </c>
    </row>
    <row r="23" spans="1:7">
      <c r="A23" s="8" t="s">
        <v>28</v>
      </c>
      <c r="B23" s="10"/>
      <c r="C23" s="10">
        <f>1/(1+$B$14)^1</f>
        <v>0</v>
      </c>
      <c r="D23" s="10">
        <f>1/(1+$B$14)^2</f>
        <v>0</v>
      </c>
      <c r="E23" s="10">
        <f>1/(1+$B$14)^3</f>
        <v>0</v>
      </c>
      <c r="F23" s="10">
        <f>1/(1+$B$14)^4</f>
        <v>0</v>
      </c>
      <c r="G23" s="10">
        <f>1/(1+$B$14)^5</f>
        <v>0</v>
      </c>
    </row>
    <row r="24" spans="1:7">
      <c r="A24" s="8" t="s">
        <v>29</v>
      </c>
      <c r="B24" s="6"/>
      <c r="C24" s="6">
        <f>C22*C23</f>
        <v>0</v>
      </c>
      <c r="D24" s="6">
        <f>D22*D23</f>
        <v>0</v>
      </c>
      <c r="E24" s="6">
        <f>E22*E23</f>
        <v>0</v>
      </c>
      <c r="F24" s="6">
        <f>F22*F23</f>
        <v>0</v>
      </c>
      <c r="G24" s="6">
        <f>G22*G23</f>
        <v>0</v>
      </c>
    </row>
    <row r="26" spans="1:7">
      <c r="A26" s="3" t="s">
        <v>30</v>
      </c>
      <c r="B26" s="3"/>
      <c r="C26" s="3"/>
    </row>
    <row r="27" spans="1:7">
      <c r="A27" s="8" t="s">
        <v>31</v>
      </c>
      <c r="B27" s="6">
        <f>SUM(C24:G24)</f>
        <v>0</v>
      </c>
    </row>
    <row r="28" spans="1:7">
      <c r="A28" s="8" t="s">
        <v>32</v>
      </c>
      <c r="B28" s="6">
        <f>G22*(1+$B$15)</f>
        <v>0</v>
      </c>
    </row>
    <row r="29" spans="1:7">
      <c r="A29" s="8" t="s">
        <v>33</v>
      </c>
      <c r="B29" s="6">
        <f>B28/($B$14-$B$15)</f>
        <v>0</v>
      </c>
      <c r="C29" s="2">
        <f> Terminal FCF / (WACC - g)</f>
        <v>0</v>
      </c>
    </row>
    <row r="30" spans="1:7">
      <c r="A30" s="8" t="s">
        <v>34</v>
      </c>
      <c r="B30" s="6">
        <f>B29*G23</f>
        <v>0</v>
      </c>
    </row>
    <row r="31" spans="1:7">
      <c r="A31" s="8" t="s">
        <v>35</v>
      </c>
      <c r="B31" s="6">
        <f>B27+B30</f>
        <v>0</v>
      </c>
    </row>
    <row r="32" spans="1:7">
      <c r="A32" s="8" t="s">
        <v>36</v>
      </c>
      <c r="B32" s="6">
        <f>B11</f>
        <v>0</v>
      </c>
    </row>
    <row r="33" spans="1:5">
      <c r="A33" s="8" t="s">
        <v>37</v>
      </c>
      <c r="B33" s="6">
        <f>B31-B32</f>
        <v>0</v>
      </c>
    </row>
    <row r="34" spans="1:5">
      <c r="A34" s="11" t="s">
        <v>38</v>
      </c>
      <c r="B34" s="12">
        <f>B33/B8</f>
        <v>0</v>
      </c>
    </row>
    <row r="35" spans="1:5">
      <c r="A35" s="8" t="s">
        <v>39</v>
      </c>
      <c r="B35" s="13">
        <f>(B34-B7)/B7</f>
        <v>0</v>
      </c>
    </row>
    <row r="37" spans="1:5">
      <c r="A37" s="3" t="s">
        <v>40</v>
      </c>
      <c r="B37" s="3"/>
      <c r="C37" s="3"/>
    </row>
    <row r="38" spans="1:5">
      <c r="A38" s="8" t="s">
        <v>41</v>
      </c>
      <c r="B38" s="14">
        <f>B29/B8</f>
        <v>0</v>
      </c>
    </row>
    <row r="39" spans="1:5">
      <c r="A39" s="11" t="s">
        <v>42</v>
      </c>
      <c r="B39" s="12">
        <f>B38/(1.15^5)</f>
        <v>0</v>
      </c>
    </row>
    <row r="40" spans="1:5">
      <c r="A40" s="8" t="s">
        <v>43</v>
      </c>
      <c r="B40" s="13">
        <f>(B7-B39)/B39</f>
        <v>0</v>
      </c>
      <c r="C40" s="2" t="s">
        <v>44</v>
      </c>
    </row>
    <row r="42" spans="1:5">
      <c r="A42" s="3" t="s">
        <v>45</v>
      </c>
      <c r="B42" s="3"/>
      <c r="C42" s="3"/>
      <c r="D42" s="3"/>
      <c r="E42" s="3"/>
    </row>
    <row r="43" spans="1:5">
      <c r="A43" s="9" t="s">
        <v>46</v>
      </c>
      <c r="B43" s="9" t="s">
        <v>47</v>
      </c>
      <c r="C43" s="9" t="s">
        <v>48</v>
      </c>
      <c r="D43" s="9" t="s">
        <v>49</v>
      </c>
    </row>
    <row r="44" spans="1:5">
      <c r="A44" s="8" t="s">
        <v>50</v>
      </c>
      <c r="B44" s="15">
        <v>39.74</v>
      </c>
      <c r="C44" s="16">
        <v>-0.8009999999999999</v>
      </c>
      <c r="D44" s="14">
        <v>20.39</v>
      </c>
    </row>
    <row r="45" spans="1:5">
      <c r="A45" s="8" t="s">
        <v>51</v>
      </c>
      <c r="B45" s="17">
        <v>96.77</v>
      </c>
      <c r="C45" s="16">
        <v>-0.516</v>
      </c>
      <c r="D45" s="14">
        <v>58.98</v>
      </c>
    </row>
    <row r="46" spans="1:5">
      <c r="A46" s="8" t="s">
        <v>52</v>
      </c>
      <c r="B46" s="18">
        <v>163.32</v>
      </c>
      <c r="C46" s="16">
        <v>-0.184</v>
      </c>
      <c r="D46" s="14">
        <v>103.6</v>
      </c>
    </row>
    <row r="47" spans="1:5">
      <c r="A47" s="8" t="s">
        <v>53</v>
      </c>
      <c r="B47" s="19">
        <v>99.15000000000001</v>
      </c>
      <c r="C47" s="16">
        <v>-0.504</v>
      </c>
      <c r="D47" s="8" t="s">
        <v>54</v>
      </c>
    </row>
    <row r="49" spans="1:1">
      <c r="A49" s="2" t="s">
        <v>55</v>
      </c>
    </row>
    <row r="50" spans="1:1">
      <c r="A50" s="2" t="s">
        <v>56</v>
      </c>
    </row>
    <row r="51" spans="1:1">
      <c r="A51" s="20" t="s">
        <v>57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32.7109375" customWidth="1"/>
    <col min="2" max="4" width="16.7109375" customWidth="1"/>
  </cols>
  <sheetData>
    <row r="1" spans="1:4" ht="28" customHeight="1">
      <c r="A1" s="1" t="s">
        <v>58</v>
      </c>
      <c r="B1" s="1"/>
      <c r="C1" s="1"/>
      <c r="D1" s="1"/>
    </row>
    <row r="2" spans="1:4">
      <c r="A2" s="9" t="s">
        <v>59</v>
      </c>
      <c r="B2" s="9" t="s">
        <v>50</v>
      </c>
      <c r="C2" s="9" t="s">
        <v>51</v>
      </c>
      <c r="D2" s="9" t="s">
        <v>52</v>
      </c>
    </row>
    <row r="3" spans="1:4">
      <c r="A3" s="8" t="s">
        <v>14</v>
      </c>
      <c r="B3" s="21" t="s">
        <v>60</v>
      </c>
      <c r="C3" s="21" t="s">
        <v>61</v>
      </c>
      <c r="D3" s="21" t="s">
        <v>62</v>
      </c>
    </row>
    <row r="4" spans="1:4">
      <c r="A4" s="8" t="s">
        <v>63</v>
      </c>
      <c r="B4" s="21" t="s">
        <v>64</v>
      </c>
      <c r="C4" s="21" t="s">
        <v>65</v>
      </c>
      <c r="D4" s="21" t="s">
        <v>66</v>
      </c>
    </row>
    <row r="5" spans="1:4">
      <c r="A5" s="8" t="s">
        <v>67</v>
      </c>
      <c r="B5" s="21" t="s">
        <v>68</v>
      </c>
      <c r="C5" s="21" t="s">
        <v>69</v>
      </c>
      <c r="D5" s="21" t="s">
        <v>70</v>
      </c>
    </row>
    <row r="6" spans="1:4">
      <c r="A6" s="8" t="s">
        <v>71</v>
      </c>
      <c r="B6" s="21" t="s">
        <v>72</v>
      </c>
      <c r="C6" s="21" t="s">
        <v>73</v>
      </c>
      <c r="D6" s="21" t="s">
        <v>74</v>
      </c>
    </row>
    <row r="7" spans="1:4">
      <c r="A7" s="8" t="s">
        <v>75</v>
      </c>
      <c r="B7" s="21" t="s">
        <v>76</v>
      </c>
      <c r="C7" s="21" t="s">
        <v>77</v>
      </c>
      <c r="D7" s="21" t="s">
        <v>78</v>
      </c>
    </row>
    <row r="8" spans="1:4">
      <c r="A8" s="8" t="s">
        <v>79</v>
      </c>
      <c r="B8" s="21" t="s">
        <v>80</v>
      </c>
      <c r="C8" s="21" t="s">
        <v>81</v>
      </c>
      <c r="D8" s="21" t="s">
        <v>77</v>
      </c>
    </row>
    <row r="9" spans="1:4">
      <c r="A9" s="8" t="s">
        <v>82</v>
      </c>
      <c r="B9" s="21" t="s">
        <v>83</v>
      </c>
      <c r="C9" s="21" t="s">
        <v>84</v>
      </c>
      <c r="D9" s="21" t="s">
        <v>81</v>
      </c>
    </row>
    <row r="10" spans="1:4">
      <c r="A10" s="8" t="s">
        <v>85</v>
      </c>
      <c r="B10" s="21" t="s">
        <v>86</v>
      </c>
      <c r="C10" s="21" t="s">
        <v>60</v>
      </c>
      <c r="D10" s="21" t="s">
        <v>84</v>
      </c>
    </row>
    <row r="12" spans="1:4">
      <c r="A12" s="3" t="s">
        <v>87</v>
      </c>
      <c r="B12" s="3"/>
      <c r="C12" s="3"/>
      <c r="D12" s="3"/>
    </row>
    <row r="13" spans="1:4">
      <c r="A13" s="9" t="s">
        <v>88</v>
      </c>
      <c r="B13" s="9" t="s">
        <v>89</v>
      </c>
      <c r="C13" s="9" t="s">
        <v>26</v>
      </c>
      <c r="D13" s="9" t="s">
        <v>90</v>
      </c>
    </row>
    <row r="14" spans="1:4">
      <c r="A14" s="8" t="s">
        <v>19</v>
      </c>
      <c r="B14" s="6">
        <v>85194</v>
      </c>
      <c r="C14" s="6">
        <v>100407</v>
      </c>
      <c r="D14" s="6">
        <v>106493</v>
      </c>
    </row>
    <row r="15" spans="1:4">
      <c r="A15" s="8" t="s">
        <v>20</v>
      </c>
      <c r="B15" s="6">
        <v>97973</v>
      </c>
      <c r="C15" s="6">
        <v>135550</v>
      </c>
      <c r="D15" s="6">
        <v>159739</v>
      </c>
    </row>
    <row r="16" spans="1:4">
      <c r="A16" s="8" t="s">
        <v>21</v>
      </c>
      <c r="B16" s="6">
        <v>102872</v>
      </c>
      <c r="C16" s="6">
        <v>169438</v>
      </c>
      <c r="D16" s="6">
        <v>215648</v>
      </c>
    </row>
    <row r="17" spans="1:4">
      <c r="A17" s="8" t="s">
        <v>22</v>
      </c>
      <c r="B17" s="6">
        <v>102872</v>
      </c>
      <c r="C17" s="6">
        <v>199936</v>
      </c>
      <c r="D17" s="6">
        <v>269560</v>
      </c>
    </row>
    <row r="18" spans="1:4">
      <c r="A18" s="8" t="s">
        <v>23</v>
      </c>
      <c r="B18" s="6">
        <v>97728</v>
      </c>
      <c r="C18" s="6">
        <v>223929</v>
      </c>
      <c r="D18" s="6">
        <v>318081</v>
      </c>
    </row>
    <row r="20" spans="1:4">
      <c r="A20" s="3" t="s">
        <v>91</v>
      </c>
      <c r="B20" s="3"/>
      <c r="C20" s="3"/>
      <c r="D20" s="3"/>
    </row>
    <row r="21" spans="1:4">
      <c r="A21" s="8" t="s">
        <v>92</v>
      </c>
      <c r="B21" s="6">
        <v>348223</v>
      </c>
      <c r="C21" s="6">
        <v>588959</v>
      </c>
      <c r="D21" s="6">
        <v>772463</v>
      </c>
    </row>
    <row r="22" spans="1:4">
      <c r="A22" s="8" t="s">
        <v>93</v>
      </c>
      <c r="B22" s="6">
        <v>996830</v>
      </c>
      <c r="C22" s="6">
        <v>2883082</v>
      </c>
      <c r="D22" s="6">
        <v>5064821</v>
      </c>
    </row>
    <row r="23" spans="1:4">
      <c r="A23" s="8" t="s">
        <v>94</v>
      </c>
      <c r="B23" s="6">
        <v>565628</v>
      </c>
      <c r="C23" s="6">
        <v>1710969</v>
      </c>
      <c r="D23" s="6">
        <v>3144855</v>
      </c>
    </row>
    <row r="24" spans="1:4">
      <c r="A24" s="8" t="s">
        <v>95</v>
      </c>
      <c r="B24" s="6">
        <v>913851</v>
      </c>
      <c r="C24" s="6">
        <v>2299928</v>
      </c>
      <c r="D24" s="6">
        <v>3917318</v>
      </c>
    </row>
    <row r="25" spans="1:4">
      <c r="A25" s="8" t="s">
        <v>96</v>
      </c>
      <c r="B25" s="6">
        <v>-52141</v>
      </c>
      <c r="C25" s="6">
        <v>-52141</v>
      </c>
      <c r="D25" s="6">
        <v>-52141</v>
      </c>
    </row>
    <row r="26" spans="1:4">
      <c r="A26" s="8" t="s">
        <v>97</v>
      </c>
      <c r="B26" s="6">
        <v>965992</v>
      </c>
      <c r="C26" s="6">
        <v>2352069</v>
      </c>
      <c r="D26" s="6">
        <v>3969459</v>
      </c>
    </row>
    <row r="28" spans="1:4">
      <c r="A28" s="11" t="s">
        <v>38</v>
      </c>
      <c r="B28" s="15">
        <v>39.74</v>
      </c>
      <c r="C28" s="17">
        <v>96.77</v>
      </c>
      <c r="D28" s="18">
        <v>163.32</v>
      </c>
    </row>
    <row r="29" spans="1:4">
      <c r="A29" s="8" t="s">
        <v>98</v>
      </c>
      <c r="B29" s="16">
        <v>-0.8009999999999999</v>
      </c>
      <c r="C29" s="16">
        <v>-0.516</v>
      </c>
      <c r="D29" s="16">
        <v>-0.184</v>
      </c>
    </row>
    <row r="31" spans="1:4">
      <c r="A31" s="20" t="s">
        <v>99</v>
      </c>
    </row>
    <row r="32" spans="1:4">
      <c r="A32" s="20" t="s">
        <v>100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 ht="28" customHeight="1">
      <c r="A1" s="1" t="s">
        <v>101</v>
      </c>
      <c r="B1" s="1"/>
      <c r="C1" s="1"/>
      <c r="D1" s="1"/>
      <c r="E1" s="1"/>
      <c r="F1" s="1"/>
    </row>
    <row r="2" spans="1:6">
      <c r="A2" s="2" t="s">
        <v>102</v>
      </c>
    </row>
    <row r="3" spans="1:6">
      <c r="A3" s="2" t="s">
        <v>103</v>
      </c>
    </row>
    <row r="5" spans="1:6">
      <c r="A5" s="22" t="s">
        <v>104</v>
      </c>
      <c r="B5" s="23">
        <v>0.02</v>
      </c>
      <c r="C5" s="23">
        <v>0.025</v>
      </c>
      <c r="D5" s="23">
        <v>0.03</v>
      </c>
      <c r="E5" s="23">
        <v>0.035</v>
      </c>
      <c r="F5" s="23">
        <v>0.04</v>
      </c>
    </row>
    <row r="6" spans="1:6">
      <c r="A6" s="23">
        <v>0.09</v>
      </c>
      <c r="B6" s="24">
        <v>115.08</v>
      </c>
      <c r="C6" s="24">
        <v>122.25</v>
      </c>
      <c r="D6" s="24">
        <v>130.62</v>
      </c>
      <c r="E6" s="24">
        <v>140.51</v>
      </c>
      <c r="F6" s="24">
        <v>152.38</v>
      </c>
    </row>
    <row r="7" spans="1:6">
      <c r="A7" s="23">
        <v>0.1</v>
      </c>
      <c r="B7" s="24">
        <v>100.03</v>
      </c>
      <c r="C7" s="24">
        <v>105.27</v>
      </c>
      <c r="D7" s="24">
        <v>111.26</v>
      </c>
      <c r="E7" s="24">
        <v>118.18</v>
      </c>
      <c r="F7" s="24">
        <v>126.25</v>
      </c>
    </row>
    <row r="8" spans="1:6">
      <c r="A8" s="23">
        <v>0.11</v>
      </c>
      <c r="B8" s="24">
        <v>88.34</v>
      </c>
      <c r="C8" s="24">
        <v>92.31</v>
      </c>
      <c r="D8" s="24">
        <v>96.77</v>
      </c>
      <c r="E8" s="24">
        <v>101.83</v>
      </c>
      <c r="F8" s="24">
        <v>107.61</v>
      </c>
    </row>
    <row r="9" spans="1:6">
      <c r="A9" s="23">
        <v>0.12</v>
      </c>
      <c r="B9" s="24">
        <v>79.02</v>
      </c>
      <c r="C9" s="24">
        <v>82.09999999999999</v>
      </c>
      <c r="D9" s="24">
        <v>85.53</v>
      </c>
      <c r="E9" s="24">
        <v>89.34999999999999</v>
      </c>
      <c r="F9" s="24">
        <v>93.66</v>
      </c>
    </row>
    <row r="10" spans="1:6">
      <c r="A10" s="23">
        <v>0.13</v>
      </c>
      <c r="B10" s="24">
        <v>71.42</v>
      </c>
      <c r="C10" s="24">
        <v>73.86</v>
      </c>
      <c r="D10" s="24">
        <v>76.55</v>
      </c>
      <c r="E10" s="24">
        <v>79.53</v>
      </c>
      <c r="F10" s="24">
        <v>82.83</v>
      </c>
    </row>
    <row r="12" spans="1:6">
      <c r="A12" s="11" t="s">
        <v>105</v>
      </c>
    </row>
    <row r="13" spans="1:6">
      <c r="A13" s="11" t="s">
        <v>106</v>
      </c>
    </row>
    <row r="14" spans="1:6">
      <c r="A14" s="20" t="s">
        <v>107</v>
      </c>
    </row>
    <row r="15" spans="1:6">
      <c r="A15" s="20" t="s">
        <v>108</v>
      </c>
    </row>
    <row r="16" spans="1:6">
      <c r="A16" s="20" t="s">
        <v>109</v>
      </c>
    </row>
    <row r="17" spans="1:1">
      <c r="A17" s="20" t="s">
        <v>110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cols>
    <col min="1" max="1" width="32.7109375" customWidth="1"/>
    <col min="2" max="4" width="18.7109375" customWidth="1"/>
  </cols>
  <sheetData>
    <row r="1" spans="1:4" ht="28" customHeight="1">
      <c r="A1" s="1" t="s">
        <v>111</v>
      </c>
      <c r="B1" s="1"/>
      <c r="C1" s="1"/>
      <c r="D1" s="1"/>
    </row>
    <row r="3" spans="1:4">
      <c r="A3" s="3" t="s">
        <v>112</v>
      </c>
      <c r="B3" s="3"/>
      <c r="C3" s="3"/>
    </row>
    <row r="4" spans="1:4">
      <c r="A4" s="9" t="s">
        <v>59</v>
      </c>
      <c r="B4" s="9" t="s">
        <v>113</v>
      </c>
      <c r="C4" s="9" t="s">
        <v>114</v>
      </c>
    </row>
    <row r="5" spans="1:4">
      <c r="A5" s="8" t="s">
        <v>115</v>
      </c>
      <c r="B5" s="25">
        <v>0.6929999999999999</v>
      </c>
      <c r="C5" s="25">
        <v>0.642</v>
      </c>
    </row>
    <row r="6" spans="1:4">
      <c r="A6" s="8" t="s">
        <v>116</v>
      </c>
      <c r="B6" s="25">
        <v>0.978</v>
      </c>
      <c r="C6" s="25">
        <v>0.929</v>
      </c>
    </row>
    <row r="7" spans="1:4">
      <c r="A7" s="8" t="s">
        <v>117</v>
      </c>
      <c r="B7" s="25">
        <v>0.43</v>
      </c>
      <c r="C7" s="25">
        <v>0.476</v>
      </c>
    </row>
    <row r="8" spans="1:4">
      <c r="A8" s="8" t="s">
        <v>118</v>
      </c>
      <c r="B8" s="25">
        <v>0.956</v>
      </c>
      <c r="C8" s="25">
        <v>0.8220000000000001</v>
      </c>
    </row>
    <row r="10" spans="1:4">
      <c r="A10" s="8" t="s">
        <v>119</v>
      </c>
      <c r="B10" s="25">
        <v>0.476</v>
      </c>
    </row>
    <row r="11" spans="1:4">
      <c r="A11" s="20" t="s">
        <v>120</v>
      </c>
    </row>
    <row r="13" spans="1:4">
      <c r="A13" s="3" t="s">
        <v>121</v>
      </c>
      <c r="B13" s="3"/>
      <c r="C13" s="3"/>
    </row>
    <row r="14" spans="1:4">
      <c r="A14" s="9" t="s">
        <v>122</v>
      </c>
      <c r="B14" s="9" t="s">
        <v>123</v>
      </c>
      <c r="C14" s="9" t="s">
        <v>124</v>
      </c>
      <c r="D14" s="9" t="s">
        <v>125</v>
      </c>
    </row>
    <row r="15" spans="1:4">
      <c r="A15" s="8" t="s">
        <v>126</v>
      </c>
      <c r="B15" s="14">
        <v>2.73</v>
      </c>
      <c r="C15" s="14">
        <v>0.07000000000000001</v>
      </c>
      <c r="D15" s="10">
        <v>39</v>
      </c>
    </row>
    <row r="16" spans="1:4">
      <c r="A16" s="8" t="s">
        <v>127</v>
      </c>
      <c r="B16" s="14">
        <v>6.14</v>
      </c>
      <c r="C16" s="14">
        <v>0.12</v>
      </c>
      <c r="D16" s="10">
        <v>51.2</v>
      </c>
    </row>
    <row r="17" spans="1:4">
      <c r="A17" s="8" t="s">
        <v>128</v>
      </c>
      <c r="B17" s="14">
        <v>3.59</v>
      </c>
      <c r="C17" s="14">
        <v>0.16</v>
      </c>
      <c r="D17" s="10">
        <v>22.5</v>
      </c>
    </row>
    <row r="18" spans="1:4">
      <c r="A18" s="8" t="s">
        <v>129</v>
      </c>
      <c r="B18" s="14">
        <v>5.91</v>
      </c>
      <c r="C18" s="14">
        <v>0.11</v>
      </c>
      <c r="D18" s="10">
        <v>53.7</v>
      </c>
    </row>
    <row r="19" spans="1:4">
      <c r="A19" s="8" t="s">
        <v>130</v>
      </c>
      <c r="B19" s="14">
        <v>12.99</v>
      </c>
      <c r="C19" s="14">
        <v>0.16</v>
      </c>
      <c r="D19" s="10">
        <v>81.2</v>
      </c>
    </row>
    <row r="20" spans="1:4">
      <c r="A20" s="8" t="s">
        <v>131</v>
      </c>
      <c r="B20" s="14">
        <v>24.49</v>
      </c>
      <c r="C20" s="14">
        <v>0.38</v>
      </c>
      <c r="D20" s="10">
        <v>64.40000000000001</v>
      </c>
    </row>
    <row r="21" spans="1:4">
      <c r="A21" s="8" t="s">
        <v>132</v>
      </c>
      <c r="B21" s="14">
        <v>19.54</v>
      </c>
      <c r="C21" s="14">
        <v>0.17</v>
      </c>
      <c r="D21" s="10">
        <v>114.9</v>
      </c>
    </row>
    <row r="22" spans="1:4">
      <c r="A22" s="8" t="s">
        <v>133</v>
      </c>
      <c r="B22" s="14">
        <v>61.53</v>
      </c>
      <c r="C22" s="14">
        <v>1.19</v>
      </c>
      <c r="D22" s="10">
        <v>51.7</v>
      </c>
    </row>
    <row r="23" spans="1:4">
      <c r="A23" s="8" t="s">
        <v>134</v>
      </c>
      <c r="B23" s="14">
        <v>120.07</v>
      </c>
      <c r="C23" s="14">
        <v>2.94</v>
      </c>
      <c r="D23" s="10">
        <v>40.8</v>
      </c>
    </row>
    <row r="24" spans="1:4">
      <c r="A24" s="8" t="s">
        <v>135</v>
      </c>
      <c r="B24" s="21" t="s">
        <v>136</v>
      </c>
    </row>
    <row r="25" spans="1:4">
      <c r="A25" s="8" t="s">
        <v>137</v>
      </c>
      <c r="B25" s="21" t="s">
        <v>138</v>
      </c>
    </row>
    <row r="27" spans="1:4">
      <c r="A27" s="3" t="s">
        <v>139</v>
      </c>
      <c r="B27" s="3"/>
      <c r="C27" s="3"/>
    </row>
    <row r="28" spans="1:4">
      <c r="A28" s="9" t="s">
        <v>59</v>
      </c>
      <c r="B28" s="9" t="s">
        <v>140</v>
      </c>
      <c r="C28" s="9" t="s">
        <v>141</v>
      </c>
    </row>
    <row r="29" spans="1:4">
      <c r="A29" s="8" t="s">
        <v>142</v>
      </c>
      <c r="B29" s="21" t="s">
        <v>143</v>
      </c>
      <c r="C29" s="21" t="s">
        <v>144</v>
      </c>
    </row>
    <row r="30" spans="1:4">
      <c r="A30" s="8" t="s">
        <v>145</v>
      </c>
      <c r="B30" s="21" t="s">
        <v>146</v>
      </c>
      <c r="C30" s="21" t="s">
        <v>147</v>
      </c>
    </row>
    <row r="31" spans="1:4">
      <c r="A31" s="8" t="s">
        <v>148</v>
      </c>
      <c r="B31" s="21" t="s">
        <v>149</v>
      </c>
      <c r="C31" s="21" t="s">
        <v>150</v>
      </c>
    </row>
    <row r="32" spans="1:4">
      <c r="A32" s="8" t="s">
        <v>151</v>
      </c>
      <c r="B32" s="21" t="s">
        <v>152</v>
      </c>
      <c r="C32" s="21" t="s">
        <v>153</v>
      </c>
    </row>
    <row r="33" spans="1:4">
      <c r="A33" s="8" t="s">
        <v>154</v>
      </c>
      <c r="B33" s="21" t="s">
        <v>155</v>
      </c>
      <c r="C33" s="21" t="s">
        <v>156</v>
      </c>
    </row>
    <row r="34" spans="1:4">
      <c r="A34" s="8" t="s">
        <v>157</v>
      </c>
      <c r="B34" s="21" t="s">
        <v>158</v>
      </c>
      <c r="C34" s="21" t="s">
        <v>54</v>
      </c>
    </row>
    <row r="36" spans="1:4" ht="72" customHeight="1">
      <c r="A36" s="26" t="s">
        <v>159</v>
      </c>
      <c r="B36" s="26"/>
      <c r="C36" s="26"/>
      <c r="D36" s="26"/>
    </row>
  </sheetData>
  <mergeCells count="2">
    <mergeCell ref="A1:D1"/>
    <mergeCell ref="A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 &amp; Sanity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2026-06-24T03:18:42Z</dcterms:created>
  <dcterms:modified xsi:type="dcterms:W3CDTF">2026-06-24T03:18:42Z</dcterms:modified>
</cp:coreProperties>
</file>