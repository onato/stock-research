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DCF_Base" sheetId="2" r:id="rId2"/>
    <sheet name="DCF_Bull" sheetId="3" r:id="rId3"/>
    <sheet name="DCF_Bear" sheetId="4" r:id="rId4"/>
    <sheet name="Sensitivity" sheetId="5" r:id="rId5"/>
    <sheet name="Historical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<sst xmlns="http://schemas.openxmlformats.org/spreadsheetml/2006/main" count="377" uniqueCount="204">
  <si>
    <t>AAPL — DCF Model Assumptions (Master Control)</t>
  </si>
  <si>
    <t>Edit gray/blue input cells. All three scenario sheets update automatically.</t>
  </si>
  <si>
    <t>Valuation Date: 2026-06-12    |    Current Price: $295.63    |    Fiscal Year End: September</t>
  </si>
  <si>
    <t>SHARED INPUTS</t>
  </si>
  <si>
    <t>Value</t>
  </si>
  <si>
    <t>Notes</t>
  </si>
  <si>
    <t>Current Stock Price ($)</t>
  </si>
  <si>
    <t>Live market price</t>
  </si>
  <si>
    <t>Shares Outstanding (M)</t>
  </si>
  <si>
    <t>Q2 FY2026 diluted shares</t>
  </si>
  <si>
    <t>Cash &amp; Securities (M)</t>
  </si>
  <si>
    <t>FY2025 10-K: all liquidity</t>
  </si>
  <si>
    <t>Total Debt (M)</t>
  </si>
  <si>
    <t>FY2025 term debt outstanding</t>
  </si>
  <si>
    <t>Net Debt (M)</t>
  </si>
  <si>
    <t>Formula: Debt minus Cash</t>
  </si>
  <si>
    <t>Base Year FCF (M)</t>
  </si>
  <si>
    <t>FY2025 FCF = CFO $111.5B - CapEx $12.7B</t>
  </si>
  <si>
    <t>Cash &amp; Marketable Securities (M)</t>
  </si>
  <si>
    <t>FY2025 10-K: all liquidity ($132B)</t>
  </si>
  <si>
    <t>Negative = Net Cash (Apple has ~$41B net cash)</t>
  </si>
  <si>
    <t>FY2025: CFO $111.5B - CapEx $12.7B</t>
  </si>
  <si>
    <t>SCENARIO ASSUMPTIONS</t>
  </si>
  <si>
    <t>BASE</t>
  </si>
  <si>
    <t>BULL</t>
  </si>
  <si>
    <t>BEAR</t>
  </si>
  <si>
    <t>WACC</t>
  </si>
  <si>
    <t>Terminal Growth Rate</t>
  </si>
  <si>
    <t>Y1 FCF Growth Rate</t>
  </si>
  <si>
    <t>Y2 FCF Growth Rate</t>
  </si>
  <si>
    <t>Y3 FCF Growth Rate</t>
  </si>
  <si>
    <t>Y4 FCF Growth Rate</t>
  </si>
  <si>
    <t>Y5 FCF Growth Rate</t>
  </si>
  <si>
    <t>WACC Rationale:</t>
  </si>
  <si>
    <t>Apple's WACC of 8.5% (base) / 8.0% (bull) / 9.0% (bear) is derived as follows: Risk-free rate = 4.3% (10yr US Treasury as of mid-2026). Equity risk premium = 5.0% (Damodaran US ERP). Beta = 0.85 (Apple's realized 3yr beta on monthly returns; Services revenue growing as a stabilizing force; Apple has historically been less volatile than the broader market on a trailing basis despite tech classification). CAPM: 4.3% + 0.85 * 5.0% = 8.55%. Apple's capital structure is essentially all-equity on a net basis (net cash positive), so WACC approximately equals cost of equity. The 8.5% base rate slightly rounds down CAPM to reflect the exceptional credit quality, $41B net cash buffer, and highly recurring Services revenue (now 26% of revenue at 75%+ margins). The bear case adds 50bps to reflect regulatory event risk and potential earnings uncertainty from Google TAC decision.</t>
  </si>
  <si>
    <t>AAPL DCF Model — BASE CASE</t>
  </si>
  <si>
    <t>WACC: 8.5%  |  Terminal Growth: 2.5%  |  All inputs flow from Assumptions sheet</t>
  </si>
  <si>
    <t>KEY INPUTS</t>
  </si>
  <si>
    <t>Current Stock Price</t>
  </si>
  <si>
    <t>FCF PROJECTIONS (in $M)</t>
  </si>
  <si>
    <t>BASE YEAR</t>
  </si>
  <si>
    <t>YEAR 1</t>
  </si>
  <si>
    <t>YEAR 2</t>
  </si>
  <si>
    <t>YEAR 3</t>
  </si>
  <si>
    <t>YEAR 4</t>
  </si>
  <si>
    <t>YEAR 5</t>
  </si>
  <si>
    <t>Free Cash Flow ($M)</t>
  </si>
  <si>
    <t>YoY Growth Applied</t>
  </si>
  <si>
    <t>Discount Factor (1/(1+WACC)^n)</t>
  </si>
  <si>
    <t>PV of FCF ($M)</t>
  </si>
  <si>
    <t>VALUATION SUMMARY</t>
  </si>
  <si>
    <t>Amount ($M)</t>
  </si>
  <si>
    <t>Per Share</t>
  </si>
  <si>
    <t>Sum of PV of FCF (Years 1-5)</t>
  </si>
  <si>
    <t>Terminal FCF (Year 5 FCF x (1+TG))</t>
  </si>
  <si>
    <t>Terminal Value (TV / (WACC - TG))</t>
  </si>
  <si>
    <t>PV of Terminal Value (TV x Y5 disc factor)</t>
  </si>
  <si>
    <t>Enterprise Value</t>
  </si>
  <si>
    <t>Less: Net Debt (negative = net cash added)</t>
  </si>
  <si>
    <t>Equity Value</t>
  </si>
  <si>
    <t>INTRINSIC VALUE PER SHARE</t>
  </si>
  <si>
    <t>(Upside shown in column C)</t>
  </si>
  <si>
    <t>ENTRY PRICE (15% CAGR Target)</t>
  </si>
  <si>
    <t>Amount</t>
  </si>
  <si>
    <t>Terminal Value ($M)</t>
  </si>
  <si>
    <t>Terminal Value per Share</t>
  </si>
  <si>
    <t>Entry Price for 15% CAGR (TV/share / 1.15^5)</t>
  </si>
  <si>
    <t>Entry Discount from Current Price</t>
  </si>
  <si>
    <t>VALUE COMPOSITION NOTE</t>
  </si>
  <si>
    <t>PV of FCF (Y1-Y5) as % of Total IV</t>
  </si>
  <si>
    <t>PV of Terminal Value as % of Total IV</t>
  </si>
  <si>
    <t>AAPL DCF Model — BULL CASE</t>
  </si>
  <si>
    <t>WACC: 8.0%  |  Terminal Growth: 3.0%  |  All inputs flow from Assumptions sheet</t>
  </si>
  <si>
    <t>AAPL DCF Model — BEAR CASE</t>
  </si>
  <si>
    <t>WACC: 9.0%  |  Terminal Growth: 2.0%  |  All inputs flow from Assumptions sheet</t>
  </si>
  <si>
    <t>AAPL DCF — Sensitivity Analysis (Base Case Assumptions)</t>
  </si>
  <si>
    <t>Intrinsic Value per Share across WACC and Terminal Growth Rate combinations</t>
  </si>
  <si>
    <t>Color: Green = above current price | Yellow = within 20% below | Red = more than 20% below current price</t>
  </si>
  <si>
    <t>Note: All values use Base Case Year 1-5 FCF growth rates. Only WACC and TG vary.</t>
  </si>
  <si>
    <t>WACC \ Term Growth</t>
  </si>
  <si>
    <t>1.5%</t>
  </si>
  <si>
    <t>2.0%</t>
  </si>
  <si>
    <t>2.5%</t>
  </si>
  <si>
    <t>3.0%</t>
  </si>
  <si>
    <t>3.5%</t>
  </si>
  <si>
    <t>7.5%</t>
  </si>
  <si>
    <t>8.0%</t>
  </si>
  <si>
    <t>8.5%</t>
  </si>
  <si>
    <t>9.0%</t>
  </si>
  <si>
    <t>9.5%</t>
  </si>
  <si>
    <t>Current Market Price: $295.63</t>
  </si>
  <si>
    <t>Base Case IV (WACC 8.5%, TG 2.5%): $136.61</t>
  </si>
  <si>
    <t>Market Premium to Base IV: 116.4%</t>
  </si>
  <si>
    <t>Green = IV &gt; current price (undervalued)</t>
  </si>
  <si>
    <t>Yellow = IV within 20% below current price</t>
  </si>
  <si>
    <t>Red = IV more than 20% below current price</t>
  </si>
  <si>
    <t>BULL CASE SENSITIVITY (WACC and TG vary, Bull FCF growth rates)</t>
  </si>
  <si>
    <t>BEAR CASE SENSITIVITY</t>
  </si>
  <si>
    <t>AAPL Historical Financial Data &amp; Growth Rates</t>
  </si>
  <si>
    <t>Source: Apple Inc. SEC filings (FY2020-FY2025)</t>
  </si>
  <si>
    <t>HISTORICAL GROWTH RATES (CAGR)</t>
  </si>
  <si>
    <t>Metric</t>
  </si>
  <si>
    <t>3-Year CAGR
(FY22-FY25)</t>
  </si>
  <si>
    <t>5-Year CAGR
(FY20-FY25)</t>
  </si>
  <si>
    <t>Revenue</t>
  </si>
  <si>
    <t>3yr low due to FY22-24 flatness; 5yr reflects COVID recovery</t>
  </si>
  <si>
    <t>EPS (Diluted)</t>
  </si>
  <si>
    <t>5yr elevated by buyback EPS amplification (~40% share count reduction over decade)</t>
  </si>
  <si>
    <t>Free Cash Flow</t>
  </si>
  <si>
    <t>FCF 5yr CAGR used as primary DCF anchor; most reliable metric</t>
  </si>
  <si>
    <t>Shareholders Equity</t>
  </si>
  <si>
    <t>Unreliable — distorted by buybacks; equity swings from $50B to $74B</t>
  </si>
  <si>
    <t>Selected Growth Rate for DCF:</t>
  </si>
  <si>
    <t>fcf_5yr_cagr</t>
  </si>
  <si>
    <t>ANNUAL FINANCIALS (FY2020-FY2025, $M)</t>
  </si>
  <si>
    <t>Year</t>
  </si>
  <si>
    <t>Net Income</t>
  </si>
  <si>
    <t>FCF</t>
  </si>
  <si>
    <t>Operating CF</t>
  </si>
  <si>
    <t>CapEx</t>
  </si>
  <si>
    <t>Diluted Shares (M)</t>
  </si>
  <si>
    <t>FY2020</t>
  </si>
  <si>
    <t>FY2021</t>
  </si>
  <si>
    <t>FY2022</t>
  </si>
  <si>
    <t>FY2023</t>
  </si>
  <si>
    <t>FY2024</t>
  </si>
  <si>
    <t>FY2025</t>
  </si>
  <si>
    <t>HISTORICAL VALUATION MULTIPLES (FY2016-FY2025)</t>
  </si>
  <si>
    <t>Fiscal Year</t>
  </si>
  <si>
    <t>Price (Sept)</t>
  </si>
  <si>
    <t>Mkt Cap ($B)</t>
  </si>
  <si>
    <t>P/E</t>
  </si>
  <si>
    <t>EV/EBITDA</t>
  </si>
  <si>
    <t>P/S</t>
  </si>
  <si>
    <t>FY2016</t>
  </si>
  <si>
    <t>FY2017</t>
  </si>
  <si>
    <t>FY2018</t>
  </si>
  <si>
    <t>FY2019</t>
  </si>
  <si>
    <t>10yr Average P/E:</t>
  </si>
  <si>
    <t>10yr Average EV/EBITDA:</t>
  </si>
  <si>
    <t>Base IV Implied P/E:</t>
  </si>
  <si>
    <t>Below 10yr avg — no sanity trip</t>
  </si>
  <si>
    <t>Base IV Implied EV/EBITDA:</t>
  </si>
  <si>
    <t>Market Price Implied P/E ($295.63):</t>
  </si>
  <si>
    <t>Above 10yr avg — market pricing in premium growth</t>
  </si>
  <si>
    <t>Market Price Implied EV/EBITDA:</t>
  </si>
  <si>
    <t>Above 10yr avg — at high end of recent range</t>
  </si>
  <si>
    <t>AAPL DCF — Scenario Summary &amp; Probability-Weighted Valuation</t>
  </si>
  <si>
    <t>Valuation Date: 2026-06-12  |  Current Price: $295.63  |  FY2025 FCF Base: $98,767M</t>
  </si>
  <si>
    <t>SCENARIO COMPARISON</t>
  </si>
  <si>
    <t>BASE CASE</t>
  </si>
  <si>
    <t>BULL CASE</t>
  </si>
  <si>
    <t>BEAR CASE</t>
  </si>
  <si>
    <t>PROBABILITY-WEIGHTED</t>
  </si>
  <si>
    <t>N/A</t>
  </si>
  <si>
    <t>Y1 FCF Growth</t>
  </si>
  <si>
    <t>12.0%</t>
  </si>
  <si>
    <t>Y5 FCF Growth</t>
  </si>
  <si>
    <t>4.0%</t>
  </si>
  <si>
    <t>6.0%</t>
  </si>
  <si>
    <t>1.0%</t>
  </si>
  <si>
    <t>Probability Weight</t>
  </si>
  <si>
    <t>40%</t>
  </si>
  <si>
    <t>30%</t>
  </si>
  <si>
    <t>100%</t>
  </si>
  <si>
    <t>Intrinsic Value / Share</t>
  </si>
  <si>
    <t>$136.61</t>
  </si>
  <si>
    <t>$185.47</t>
  </si>
  <si>
    <t>$99.97</t>
  </si>
  <si>
    <t>$139.01</t>
  </si>
  <si>
    <t>Upside / Downside</t>
  </si>
  <si>
    <t>-53.8%</t>
  </si>
  <si>
    <t>-37.3%</t>
  </si>
  <si>
    <t>-66.2%</t>
  </si>
  <si>
    <t>-53.0%</t>
  </si>
  <si>
    <t>Entry Price (15% CAGR)</t>
  </si>
  <si>
    <t>$76.21</t>
  </si>
  <si>
    <t>$107.70</t>
  </si>
  <si>
    <t>$53.12</t>
  </si>
  <si>
    <t>Enterprise Value ($M)</t>
  </si>
  <si>
    <t>$1,970,397</t>
  </si>
  <si>
    <t>$2,690,025</t>
  </si>
  <si>
    <t>$1,430,765</t>
  </si>
  <si>
    <t>Sum PV of FCF ($M)</t>
  </si>
  <si>
    <t>$469,524</t>
  </si>
  <si>
    <t>$518,714</t>
  </si>
  <si>
    <t>$408,293</t>
  </si>
  <si>
    <t>PV of Terminal Value ($M)</t>
  </si>
  <si>
    <t>$1,500,873</t>
  </si>
  <si>
    <t>$2,171,311</t>
  </si>
  <si>
    <t>$1,022,472</t>
  </si>
  <si>
    <t>SANITY CHECK SUMMARY</t>
  </si>
  <si>
    <t>Sanity Check Performed:</t>
  </si>
  <si>
    <t>YES</t>
  </si>
  <si>
    <t>P/E Trip (&gt;2x 10yr avg of 24.4x)?</t>
  </si>
  <si>
    <t>NO — Implied P/E 18.0x is BELOW avg</t>
  </si>
  <si>
    <t>EV/EBITDA Trip (&gt;1.5x 10yr avg of 17.9x)?</t>
  </si>
  <si>
    <t>NO — Implied EV/EBITDA 13.5x is BELOW avg</t>
  </si>
  <si>
    <t>P/B Trip?</t>
  </si>
  <si>
    <t>SKIPPED — Apple P/B analytically useless (buyback-distorted equity)</t>
  </si>
  <si>
    <t>Auto-Fix Applied?</t>
  </si>
  <si>
    <t>NO — DCF is internally consistent</t>
  </si>
  <si>
    <t>Interpretation:</t>
  </si>
  <si>
    <t>Base IV $136.61 is 54% BELOW current market price $295.63. This is not a modeling error — the DCF conservatively anchors to 5yr FCF growth of 4-8%. The market is pricing Apple at 38.9x P/E vs 10yr avg 24.4x, reflecting AI supercycle optimism, Services quality premium, and buyback EPS optionality beyond the DCF horizon.</t>
  </si>
</sst>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"/>
    <numFmt numFmtId="166" formatCode="#,##0"/>
    <numFmt numFmtId="167" formatCode="0.0%"/>
  </numFmts>
  <fonts count="14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2D3436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B894"/>
      <name val="Calibri"/>
      <family val="2"/>
      <scheme val="minor"/>
    </font>
    <font>
      <sz val="11"/>
      <color rgb="FFE17055"/>
      <name val="Calibri"/>
      <family val="2"/>
      <scheme val="minor"/>
    </font>
    <font>
      <sz val="11"/>
      <color rgb="FFD63031"/>
      <name val="Calibri"/>
      <family val="2"/>
      <scheme val="minor"/>
    </font>
    <font>
      <b/>
      <sz val="11"/>
      <color rgb="FF00B89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FF767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D343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164" fontId="0" fillId="2" borderId="1" xfId="0" applyNumberFormat="1" applyFill="1" applyBorder="1" applyAlignment="1">
      <alignment horizontal="right"/>
    </xf>
    <xf numFmtId="165" fontId="0" fillId="2" borderId="1" xfId="0" applyNumberFormat="1" applyFill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4" fillId="3" borderId="2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right"/>
    </xf>
    <xf numFmtId="0" fontId="6" fillId="0" borderId="0" xfId="0" applyFont="1" applyAlignment="1">
      <alignment vertical="top" wrapText="1"/>
    </xf>
    <xf numFmtId="0" fontId="5" fillId="7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4" fontId="3" fillId="8" borderId="1" xfId="0" applyNumberFormat="1" applyFont="1" applyFill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167" fontId="8" fillId="9" borderId="1" xfId="0" applyNumberFormat="1" applyFont="1" applyFill="1" applyBorder="1" applyAlignment="1">
      <alignment horizontal="right"/>
    </xf>
    <xf numFmtId="0" fontId="5" fillId="10" borderId="1" xfId="0" applyFont="1" applyFill="1" applyBorder="1" applyAlignment="1">
      <alignment horizontal="center"/>
    </xf>
    <xf numFmtId="164" fontId="9" fillId="11" borderId="1" xfId="0" applyNumberFormat="1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167" fontId="0" fillId="0" borderId="1" xfId="0" applyNumberFormat="1" applyBorder="1"/>
    <xf numFmtId="166" fontId="0" fillId="0" borderId="1" xfId="0" applyNumberFormat="1" applyBorder="1"/>
    <xf numFmtId="164" fontId="0" fillId="0" borderId="1" xfId="0" applyNumberForma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D3436"/>
  </sheetPr>
  <dimension ref="A1:D28"/>
  <sheetViews>
    <sheetView tabSelected="1" workbookViewId="0"/>
  </sheetViews>
  <sheetFormatPr defaultRowHeight="15"/>
  <cols>
    <col min="1" max="1" width="30.7109375" customWidth="1"/>
    <col min="2" max="4" width="14.7109375" customWidth="1"/>
    <col min="5" max="5" width="2.7109375" customWidth="1"/>
    <col min="6" max="8" width="14.7109375" customWidth="1"/>
  </cols>
  <sheetData>
    <row r="1" spans="1:4">
      <c r="A1" s="1" t="s">
        <v>0</v>
      </c>
    </row>
    <row r="2" spans="1:4">
      <c r="A2" s="2" t="s">
        <v>1</v>
      </c>
    </row>
    <row r="3" spans="1:4">
      <c r="A3" s="2" t="s">
        <v>2</v>
      </c>
    </row>
    <row r="5" spans="1:4">
      <c r="A5" s="3" t="s">
        <v>6</v>
      </c>
      <c r="B5" s="4">
        <v>295.63</v>
      </c>
      <c r="C5" s="2" t="s">
        <v>7</v>
      </c>
    </row>
    <row r="6" spans="1:4">
      <c r="A6" s="3" t="s">
        <v>8</v>
      </c>
      <c r="B6" s="5">
        <v>14726</v>
      </c>
      <c r="C6" s="2" t="s">
        <v>9</v>
      </c>
    </row>
    <row r="7" spans="1:4">
      <c r="A7" s="3" t="s">
        <v>18</v>
      </c>
      <c r="B7" s="5">
        <v>132000</v>
      </c>
      <c r="C7" s="2" t="s">
        <v>19</v>
      </c>
    </row>
    <row r="8" spans="1:4">
      <c r="A8" s="3" t="s">
        <v>12</v>
      </c>
      <c r="B8" s="5">
        <v>90700</v>
      </c>
      <c r="C8" s="2" t="s">
        <v>13</v>
      </c>
    </row>
    <row r="9" spans="1:4">
      <c r="A9" s="3" t="s">
        <v>14</v>
      </c>
      <c r="B9" s="6">
        <f>B8-B7</f>
        <v>0</v>
      </c>
      <c r="C9" s="2" t="s">
        <v>20</v>
      </c>
    </row>
    <row r="10" spans="1:4">
      <c r="A10" s="3" t="s">
        <v>16</v>
      </c>
      <c r="B10" s="5">
        <v>98767</v>
      </c>
      <c r="C10" s="2" t="s">
        <v>21</v>
      </c>
    </row>
    <row r="11" spans="1:4">
      <c r="A11" s="3" t="s">
        <v>16</v>
      </c>
      <c r="B11" s="5">
        <v>98767</v>
      </c>
      <c r="C11" s="2" t="s">
        <v>17</v>
      </c>
    </row>
    <row r="13" spans="1:4">
      <c r="A13" s="7" t="s">
        <v>22</v>
      </c>
      <c r="B13" s="8" t="s">
        <v>23</v>
      </c>
      <c r="C13" s="9" t="s">
        <v>24</v>
      </c>
      <c r="D13" s="10" t="s">
        <v>25</v>
      </c>
    </row>
    <row r="14" spans="1:4">
      <c r="A14" s="3" t="s">
        <v>26</v>
      </c>
      <c r="B14" s="11">
        <v>0.08500000000000001</v>
      </c>
      <c r="C14" s="11">
        <v>0.08</v>
      </c>
      <c r="D14" s="11">
        <v>0.09</v>
      </c>
    </row>
    <row r="15" spans="1:4">
      <c r="A15" s="3" t="s">
        <v>27</v>
      </c>
      <c r="B15" s="11">
        <v>0.025</v>
      </c>
      <c r="C15" s="11">
        <v>0.03</v>
      </c>
      <c r="D15" s="11">
        <v>0.02</v>
      </c>
    </row>
    <row r="16" spans="1:4">
      <c r="A16" s="3" t="s">
        <v>28</v>
      </c>
      <c r="B16" s="11">
        <v>0.08</v>
      </c>
      <c r="C16" s="11">
        <v>0.12</v>
      </c>
      <c r="D16" s="11">
        <v>0.03</v>
      </c>
    </row>
    <row r="17" spans="1:4">
      <c r="A17" s="3" t="s">
        <v>29</v>
      </c>
      <c r="B17" s="11">
        <v>0.07000000000000001</v>
      </c>
      <c r="C17" s="11">
        <v>0.1</v>
      </c>
      <c r="D17" s="11">
        <v>0.02</v>
      </c>
    </row>
    <row r="18" spans="1:4">
      <c r="A18" s="3" t="s">
        <v>30</v>
      </c>
      <c r="B18" s="11">
        <v>0.06</v>
      </c>
      <c r="C18" s="11">
        <v>0.09</v>
      </c>
      <c r="D18" s="11">
        <v>0.02</v>
      </c>
    </row>
    <row r="19" spans="1:4">
      <c r="A19" s="3" t="s">
        <v>31</v>
      </c>
      <c r="B19" s="11">
        <v>0.05</v>
      </c>
      <c r="C19" s="11">
        <v>0.07000000000000001</v>
      </c>
      <c r="D19" s="11">
        <v>0.01</v>
      </c>
    </row>
    <row r="20" spans="1:4">
      <c r="A20" s="3" t="s">
        <v>32</v>
      </c>
      <c r="B20" s="11">
        <v>0.04</v>
      </c>
      <c r="C20" s="11">
        <v>0.06</v>
      </c>
      <c r="D20" s="11">
        <v>0.01</v>
      </c>
    </row>
    <row r="22" spans="1:4">
      <c r="A22" s="3" t="s">
        <v>33</v>
      </c>
    </row>
    <row r="23" spans="1:4" ht="80" customHeight="1">
      <c r="A23" s="12" t="s">
        <v>34</v>
      </c>
      <c r="B23" s="12" t="s">
        <v>34</v>
      </c>
      <c r="C23" s="12"/>
      <c r="D23" s="12"/>
    </row>
    <row r="24" spans="1:4">
      <c r="B24" s="12"/>
      <c r="C24" s="12"/>
      <c r="D24" s="12"/>
    </row>
    <row r="25" spans="1:4">
      <c r="B25" s="12"/>
      <c r="C25" s="12"/>
      <c r="D25" s="12"/>
    </row>
    <row r="26" spans="1:4">
      <c r="B26" s="12"/>
      <c r="C26" s="12"/>
      <c r="D26" s="12"/>
    </row>
    <row r="27" spans="1:4">
      <c r="B27" s="12"/>
      <c r="C27" s="12"/>
      <c r="D27" s="12"/>
    </row>
    <row r="28" spans="1:4">
      <c r="B28" s="12"/>
      <c r="C28" s="12"/>
      <c r="D28" s="12"/>
    </row>
  </sheetData>
  <mergeCells count="1">
    <mergeCell ref="B23:D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984E3"/>
  </sheetPr>
  <dimension ref="A1:G47"/>
  <sheetViews>
    <sheetView workbookViewId="0"/>
  </sheetViews>
  <sheetFormatPr defaultRowHeight="15"/>
  <cols>
    <col min="1" max="1" width="32.7109375" customWidth="1"/>
    <col min="2" max="7" width="14.7109375" customWidth="1"/>
  </cols>
  <sheetData>
    <row r="1" spans="1:2">
      <c r="A1" s="1" t="s">
        <v>35</v>
      </c>
    </row>
    <row r="2" spans="1:2">
      <c r="A2" s="2" t="s">
        <v>36</v>
      </c>
    </row>
    <row r="4" spans="1:2">
      <c r="A4" s="7" t="s">
        <v>37</v>
      </c>
      <c r="B4" s="13" t="s">
        <v>4</v>
      </c>
    </row>
    <row r="5" spans="1:2">
      <c r="A5" s="3" t="s">
        <v>38</v>
      </c>
      <c r="B5" s="14">
        <f>Assumptions!B5</f>
        <v>0</v>
      </c>
    </row>
    <row r="6" spans="1:2">
      <c r="A6" s="3" t="s">
        <v>8</v>
      </c>
      <c r="B6" s="6">
        <f>Assumptions!B6</f>
        <v>0</v>
      </c>
    </row>
    <row r="7" spans="1:2">
      <c r="A7" s="3" t="s">
        <v>10</v>
      </c>
      <c r="B7" s="6">
        <f>Assumptions!B7</f>
        <v>0</v>
      </c>
    </row>
    <row r="8" spans="1:2">
      <c r="A8" s="3" t="s">
        <v>12</v>
      </c>
      <c r="B8" s="6">
        <f>Assumptions!B8</f>
        <v>0</v>
      </c>
    </row>
    <row r="9" spans="1:2">
      <c r="A9" s="3" t="s">
        <v>14</v>
      </c>
      <c r="B9" s="6">
        <f>Assumptions!B9</f>
        <v>0</v>
      </c>
    </row>
    <row r="10" spans="1:2">
      <c r="A10" s="3" t="s">
        <v>16</v>
      </c>
      <c r="B10" s="6">
        <f>Assumptions!B10</f>
        <v>0</v>
      </c>
    </row>
    <row r="12" spans="1:2">
      <c r="A12" s="7" t="s">
        <v>22</v>
      </c>
      <c r="B12" s="13" t="s">
        <v>4</v>
      </c>
    </row>
    <row r="13" spans="1:2">
      <c r="A13" s="3" t="s">
        <v>26</v>
      </c>
      <c r="B13" s="11">
        <f>Assumptions!B14</f>
        <v>0</v>
      </c>
    </row>
    <row r="14" spans="1:2">
      <c r="A14" s="3" t="s">
        <v>27</v>
      </c>
      <c r="B14" s="11">
        <f>Assumptions!B15</f>
        <v>0</v>
      </c>
    </row>
    <row r="15" spans="1:2">
      <c r="A15" s="3" t="s">
        <v>28</v>
      </c>
      <c r="B15" s="11">
        <f>Assumptions!B16</f>
        <v>0</v>
      </c>
    </row>
    <row r="16" spans="1:2">
      <c r="A16" s="3" t="s">
        <v>29</v>
      </c>
      <c r="B16" s="11">
        <f>Assumptions!B17</f>
        <v>0</v>
      </c>
    </row>
    <row r="17" spans="1:7">
      <c r="A17" s="3" t="s">
        <v>30</v>
      </c>
      <c r="B17" s="11">
        <f>Assumptions!B18</f>
        <v>0</v>
      </c>
    </row>
    <row r="18" spans="1:7">
      <c r="A18" s="3" t="s">
        <v>31</v>
      </c>
      <c r="B18" s="11">
        <f>Assumptions!B19</f>
        <v>0</v>
      </c>
    </row>
    <row r="19" spans="1:7">
      <c r="A19" s="3" t="s">
        <v>32</v>
      </c>
      <c r="B19" s="11">
        <f>Assumptions!B20</f>
        <v>0</v>
      </c>
    </row>
    <row r="21" spans="1:7">
      <c r="A21" s="7" t="s">
        <v>39</v>
      </c>
    </row>
    <row r="22" spans="1:7">
      <c r="B22" s="8" t="s">
        <v>40</v>
      </c>
      <c r="C22" s="8" t="s">
        <v>41</v>
      </c>
      <c r="D22" s="8" t="s">
        <v>42</v>
      </c>
      <c r="E22" s="8" t="s">
        <v>43</v>
      </c>
      <c r="F22" s="8" t="s">
        <v>44</v>
      </c>
      <c r="G22" s="8" t="s">
        <v>45</v>
      </c>
    </row>
    <row r="23" spans="1:7">
      <c r="A23" s="3" t="s">
        <v>46</v>
      </c>
      <c r="B23" s="6">
        <f>Assumptions!B10</f>
        <v>0</v>
      </c>
      <c r="C23" s="6">
        <f>B23*(1+B13)</f>
        <v>0</v>
      </c>
      <c r="D23" s="6">
        <f>C23*(1+B14)</f>
        <v>0</v>
      </c>
      <c r="E23" s="6">
        <f>D23*(1+B15)</f>
        <v>0</v>
      </c>
      <c r="F23" s="6">
        <f>E23*(1+B16)</f>
        <v>0</v>
      </c>
      <c r="G23" s="6">
        <f>F23*(1+B17)</f>
        <v>0</v>
      </c>
    </row>
    <row r="24" spans="1:7">
      <c r="A24" s="3" t="s">
        <v>47</v>
      </c>
      <c r="B24" s="6"/>
      <c r="C24" s="15">
        <f>B13</f>
        <v>0</v>
      </c>
      <c r="D24" s="15">
        <f>B14</f>
        <v>0</v>
      </c>
      <c r="E24" s="15">
        <f>B15</f>
        <v>0</v>
      </c>
      <c r="F24" s="15">
        <f>B16</f>
        <v>0</v>
      </c>
      <c r="G24" s="15">
        <f>B17</f>
        <v>0</v>
      </c>
    </row>
    <row r="25" spans="1:7">
      <c r="A25" s="3" t="s">
        <v>48</v>
      </c>
      <c r="B25" s="6"/>
      <c r="C25" s="16">
        <f>1/(1+$B$13)^1</f>
        <v>0</v>
      </c>
      <c r="D25" s="16">
        <f>1/(1+$B$13)^2</f>
        <v>0</v>
      </c>
      <c r="E25" s="16">
        <f>1/(1+$B$13)^3</f>
        <v>0</v>
      </c>
      <c r="F25" s="16">
        <f>1/(1+$B$13)^4</f>
        <v>0</v>
      </c>
      <c r="G25" s="16">
        <f>1/(1+$B$13)^5</f>
        <v>0</v>
      </c>
    </row>
    <row r="26" spans="1:7">
      <c r="A26" s="3" t="s">
        <v>49</v>
      </c>
      <c r="B26" s="6"/>
      <c r="C26" s="6">
        <f>C23*C25</f>
        <v>0</v>
      </c>
      <c r="D26" s="6">
        <f>D23*D25</f>
        <v>0</v>
      </c>
      <c r="E26" s="6">
        <f>E23*E25</f>
        <v>0</v>
      </c>
      <c r="F26" s="6">
        <f>F23*F25</f>
        <v>0</v>
      </c>
      <c r="G26" s="6">
        <f>G23*G25</f>
        <v>0</v>
      </c>
    </row>
    <row r="28" spans="1:7">
      <c r="A28" s="7" t="s">
        <v>50</v>
      </c>
      <c r="B28" s="13" t="s">
        <v>51</v>
      </c>
      <c r="C28" s="13" t="s">
        <v>52</v>
      </c>
    </row>
    <row r="29" spans="1:7">
      <c r="A29" s="3" t="s">
        <v>53</v>
      </c>
      <c r="B29" s="6">
        <f>SUM(C26:G26)</f>
        <v>0</v>
      </c>
      <c r="C29" s="14">
        <f>B29/Assumptions!B6</f>
        <v>0</v>
      </c>
    </row>
    <row r="30" spans="1:7">
      <c r="A30" s="3" t="s">
        <v>54</v>
      </c>
      <c r="B30" s="6">
        <f>G23*(1+$B$14)</f>
        <v>0</v>
      </c>
      <c r="C30" s="6"/>
    </row>
    <row r="31" spans="1:7">
      <c r="A31" s="3" t="s">
        <v>55</v>
      </c>
      <c r="B31" s="6">
        <f>B30/($B$13-$B$14)</f>
        <v>0</v>
      </c>
      <c r="C31" s="14">
        <f>B31/Assumptions!B6</f>
        <v>0</v>
      </c>
    </row>
    <row r="32" spans="1:7">
      <c r="A32" s="3" t="s">
        <v>56</v>
      </c>
      <c r="B32" s="6">
        <f>B31*G25</f>
        <v>0</v>
      </c>
      <c r="C32" s="14">
        <f>B32/Assumptions!B6</f>
        <v>0</v>
      </c>
    </row>
    <row r="33" spans="1:3">
      <c r="A33" s="3" t="s">
        <v>57</v>
      </c>
      <c r="B33" s="17">
        <f>B29+B32</f>
        <v>0</v>
      </c>
      <c r="C33" s="17">
        <f>B33/Assumptions!B6</f>
        <v>0</v>
      </c>
    </row>
    <row r="34" spans="1:3">
      <c r="A34" s="3" t="s">
        <v>58</v>
      </c>
      <c r="B34" s="6">
        <f>Assumptions!B9</f>
        <v>0</v>
      </c>
      <c r="C34" s="6"/>
    </row>
    <row r="35" spans="1:3">
      <c r="A35" s="3" t="s">
        <v>59</v>
      </c>
      <c r="B35" s="6">
        <f>B33-B34</f>
        <v>0</v>
      </c>
      <c r="C35" s="14">
        <f>B35/Assumptions!B6</f>
        <v>0</v>
      </c>
    </row>
    <row r="36" spans="1:3">
      <c r="A36" s="3" t="s">
        <v>60</v>
      </c>
      <c r="B36" s="18">
        <f>B35/Assumptions!B6</f>
        <v>0</v>
      </c>
      <c r="C36" s="19">
        <f>(B36-Assumptions!B5)/Assumptions!B5</f>
        <v>0</v>
      </c>
    </row>
    <row r="37" spans="1:3">
      <c r="A37" s="2" t="s">
        <v>61</v>
      </c>
    </row>
    <row r="39" spans="1:3">
      <c r="A39" s="7" t="s">
        <v>62</v>
      </c>
      <c r="B39" s="13" t="s">
        <v>63</v>
      </c>
    </row>
    <row r="40" spans="1:3">
      <c r="A40" s="3" t="s">
        <v>64</v>
      </c>
      <c r="B40" s="6">
        <f>B31</f>
        <v>0</v>
      </c>
    </row>
    <row r="41" spans="1:3">
      <c r="A41" s="3" t="s">
        <v>65</v>
      </c>
      <c r="B41" s="14">
        <f>B31/Assumptions!B6</f>
        <v>0</v>
      </c>
    </row>
    <row r="42" spans="1:3">
      <c r="A42" s="3" t="s">
        <v>66</v>
      </c>
      <c r="B42" s="18">
        <f>B41/(1.15^5)</f>
        <v>0</v>
      </c>
    </row>
    <row r="43" spans="1:3">
      <c r="A43" s="3" t="s">
        <v>67</v>
      </c>
      <c r="B43" s="19">
        <f>(B42-Assumptions!B5)/Assumptions!B5</f>
        <v>0</v>
      </c>
    </row>
    <row r="45" spans="1:3">
      <c r="A45" s="7" t="s">
        <v>68</v>
      </c>
    </row>
    <row r="46" spans="1:3">
      <c r="A46" s="3" t="s">
        <v>69</v>
      </c>
      <c r="B46" s="15">
        <f>B29/B35</f>
        <v>0</v>
      </c>
    </row>
    <row r="47" spans="1:3">
      <c r="A47" s="3" t="s">
        <v>70</v>
      </c>
      <c r="B47" s="15">
        <f>B32/B35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894"/>
  </sheetPr>
  <dimension ref="A1:G47"/>
  <sheetViews>
    <sheetView workbookViewId="0"/>
  </sheetViews>
  <sheetFormatPr defaultRowHeight="15"/>
  <cols>
    <col min="1" max="1" width="32.7109375" customWidth="1"/>
    <col min="2" max="7" width="14.7109375" customWidth="1"/>
  </cols>
  <sheetData>
    <row r="1" spans="1:2">
      <c r="A1" s="1" t="s">
        <v>71</v>
      </c>
    </row>
    <row r="2" spans="1:2">
      <c r="A2" s="2" t="s">
        <v>72</v>
      </c>
    </row>
    <row r="4" spans="1:2">
      <c r="A4" s="7" t="s">
        <v>37</v>
      </c>
      <c r="B4" s="13" t="s">
        <v>4</v>
      </c>
    </row>
    <row r="5" spans="1:2">
      <c r="A5" s="3" t="s">
        <v>38</v>
      </c>
      <c r="B5" s="14">
        <f>Assumptions!B5</f>
        <v>0</v>
      </c>
    </row>
    <row r="6" spans="1:2">
      <c r="A6" s="3" t="s">
        <v>8</v>
      </c>
      <c r="B6" s="6">
        <f>Assumptions!B6</f>
        <v>0</v>
      </c>
    </row>
    <row r="7" spans="1:2">
      <c r="A7" s="3" t="s">
        <v>10</v>
      </c>
      <c r="B7" s="6">
        <f>Assumptions!B7</f>
        <v>0</v>
      </c>
    </row>
    <row r="8" spans="1:2">
      <c r="A8" s="3" t="s">
        <v>12</v>
      </c>
      <c r="B8" s="6">
        <f>Assumptions!B8</f>
        <v>0</v>
      </c>
    </row>
    <row r="9" spans="1:2">
      <c r="A9" s="3" t="s">
        <v>14</v>
      </c>
      <c r="B9" s="6">
        <f>Assumptions!B9</f>
        <v>0</v>
      </c>
    </row>
    <row r="10" spans="1:2">
      <c r="A10" s="3" t="s">
        <v>16</v>
      </c>
      <c r="B10" s="6">
        <f>Assumptions!B10</f>
        <v>0</v>
      </c>
    </row>
    <row r="12" spans="1:2">
      <c r="A12" s="7" t="s">
        <v>22</v>
      </c>
      <c r="B12" s="13" t="s">
        <v>4</v>
      </c>
    </row>
    <row r="13" spans="1:2">
      <c r="A13" s="3" t="s">
        <v>26</v>
      </c>
      <c r="B13" s="11">
        <f>Assumptions!C14</f>
        <v>0</v>
      </c>
    </row>
    <row r="14" spans="1:2">
      <c r="A14" s="3" t="s">
        <v>27</v>
      </c>
      <c r="B14" s="11">
        <f>Assumptions!C15</f>
        <v>0</v>
      </c>
    </row>
    <row r="15" spans="1:2">
      <c r="A15" s="3" t="s">
        <v>28</v>
      </c>
      <c r="B15" s="11">
        <f>Assumptions!C16</f>
        <v>0</v>
      </c>
    </row>
    <row r="16" spans="1:2">
      <c r="A16" s="3" t="s">
        <v>29</v>
      </c>
      <c r="B16" s="11">
        <f>Assumptions!C17</f>
        <v>0</v>
      </c>
    </row>
    <row r="17" spans="1:7">
      <c r="A17" s="3" t="s">
        <v>30</v>
      </c>
      <c r="B17" s="11">
        <f>Assumptions!C18</f>
        <v>0</v>
      </c>
    </row>
    <row r="18" spans="1:7">
      <c r="A18" s="3" t="s">
        <v>31</v>
      </c>
      <c r="B18" s="11">
        <f>Assumptions!C19</f>
        <v>0</v>
      </c>
    </row>
    <row r="19" spans="1:7">
      <c r="A19" s="3" t="s">
        <v>32</v>
      </c>
      <c r="B19" s="11">
        <f>Assumptions!C20</f>
        <v>0</v>
      </c>
    </row>
    <row r="21" spans="1:7">
      <c r="A21" s="7" t="s">
        <v>39</v>
      </c>
    </row>
    <row r="22" spans="1:7">
      <c r="B22" s="9" t="s">
        <v>40</v>
      </c>
      <c r="C22" s="9" t="s">
        <v>41</v>
      </c>
      <c r="D22" s="9" t="s">
        <v>42</v>
      </c>
      <c r="E22" s="9" t="s">
        <v>43</v>
      </c>
      <c r="F22" s="9" t="s">
        <v>44</v>
      </c>
      <c r="G22" s="9" t="s">
        <v>45</v>
      </c>
    </row>
    <row r="23" spans="1:7">
      <c r="A23" s="3" t="s">
        <v>46</v>
      </c>
      <c r="B23" s="6">
        <f>Assumptions!B10</f>
        <v>0</v>
      </c>
      <c r="C23" s="6">
        <f>B23*(1+B13)</f>
        <v>0</v>
      </c>
      <c r="D23" s="6">
        <f>C23*(1+B14)</f>
        <v>0</v>
      </c>
      <c r="E23" s="6">
        <f>D23*(1+B15)</f>
        <v>0</v>
      </c>
      <c r="F23" s="6">
        <f>E23*(1+B16)</f>
        <v>0</v>
      </c>
      <c r="G23" s="6">
        <f>F23*(1+B17)</f>
        <v>0</v>
      </c>
    </row>
    <row r="24" spans="1:7">
      <c r="A24" s="3" t="s">
        <v>47</v>
      </c>
      <c r="B24" s="6"/>
      <c r="C24" s="15">
        <f>B13</f>
        <v>0</v>
      </c>
      <c r="D24" s="15">
        <f>B14</f>
        <v>0</v>
      </c>
      <c r="E24" s="15">
        <f>B15</f>
        <v>0</v>
      </c>
      <c r="F24" s="15">
        <f>B16</f>
        <v>0</v>
      </c>
      <c r="G24" s="15">
        <f>B17</f>
        <v>0</v>
      </c>
    </row>
    <row r="25" spans="1:7">
      <c r="A25" s="3" t="s">
        <v>48</v>
      </c>
      <c r="B25" s="6"/>
      <c r="C25" s="16">
        <f>1/(1+$B$13)^1</f>
        <v>0</v>
      </c>
      <c r="D25" s="16">
        <f>1/(1+$B$13)^2</f>
        <v>0</v>
      </c>
      <c r="E25" s="16">
        <f>1/(1+$B$13)^3</f>
        <v>0</v>
      </c>
      <c r="F25" s="16">
        <f>1/(1+$B$13)^4</f>
        <v>0</v>
      </c>
      <c r="G25" s="16">
        <f>1/(1+$B$13)^5</f>
        <v>0</v>
      </c>
    </row>
    <row r="26" spans="1:7">
      <c r="A26" s="3" t="s">
        <v>49</v>
      </c>
      <c r="B26" s="6"/>
      <c r="C26" s="6">
        <f>C23*C25</f>
        <v>0</v>
      </c>
      <c r="D26" s="6">
        <f>D23*D25</f>
        <v>0</v>
      </c>
      <c r="E26" s="6">
        <f>E23*E25</f>
        <v>0</v>
      </c>
      <c r="F26" s="6">
        <f>F23*F25</f>
        <v>0</v>
      </c>
      <c r="G26" s="6">
        <f>G23*G25</f>
        <v>0</v>
      </c>
    </row>
    <row r="28" spans="1:7">
      <c r="A28" s="7" t="s">
        <v>50</v>
      </c>
      <c r="B28" s="13" t="s">
        <v>51</v>
      </c>
      <c r="C28" s="13" t="s">
        <v>52</v>
      </c>
    </row>
    <row r="29" spans="1:7">
      <c r="A29" s="3" t="s">
        <v>53</v>
      </c>
      <c r="B29" s="6">
        <f>SUM(C26:G26)</f>
        <v>0</v>
      </c>
      <c r="C29" s="14">
        <f>B29/Assumptions!B6</f>
        <v>0</v>
      </c>
    </row>
    <row r="30" spans="1:7">
      <c r="A30" s="3" t="s">
        <v>54</v>
      </c>
      <c r="B30" s="6">
        <f>G23*(1+$B$14)</f>
        <v>0</v>
      </c>
      <c r="C30" s="6"/>
    </row>
    <row r="31" spans="1:7">
      <c r="A31" s="3" t="s">
        <v>55</v>
      </c>
      <c r="B31" s="6">
        <f>B30/($B$13-$B$14)</f>
        <v>0</v>
      </c>
      <c r="C31" s="14">
        <f>B31/Assumptions!B6</f>
        <v>0</v>
      </c>
    </row>
    <row r="32" spans="1:7">
      <c r="A32" s="3" t="s">
        <v>56</v>
      </c>
      <c r="B32" s="6">
        <f>B31*G25</f>
        <v>0</v>
      </c>
      <c r="C32" s="14">
        <f>B32/Assumptions!B6</f>
        <v>0</v>
      </c>
    </row>
    <row r="33" spans="1:3">
      <c r="A33" s="3" t="s">
        <v>57</v>
      </c>
      <c r="B33" s="17">
        <f>B29+B32</f>
        <v>0</v>
      </c>
      <c r="C33" s="17">
        <f>B33/Assumptions!B6</f>
        <v>0</v>
      </c>
    </row>
    <row r="34" spans="1:3">
      <c r="A34" s="3" t="s">
        <v>58</v>
      </c>
      <c r="B34" s="6">
        <f>Assumptions!B9</f>
        <v>0</v>
      </c>
      <c r="C34" s="6"/>
    </row>
    <row r="35" spans="1:3">
      <c r="A35" s="3" t="s">
        <v>59</v>
      </c>
      <c r="B35" s="6">
        <f>B33-B34</f>
        <v>0</v>
      </c>
      <c r="C35" s="14">
        <f>B35/Assumptions!B6</f>
        <v>0</v>
      </c>
    </row>
    <row r="36" spans="1:3">
      <c r="A36" s="3" t="s">
        <v>60</v>
      </c>
      <c r="B36" s="18">
        <f>B35/Assumptions!B6</f>
        <v>0</v>
      </c>
      <c r="C36" s="19">
        <f>(B36-Assumptions!B5)/Assumptions!B5</f>
        <v>0</v>
      </c>
    </row>
    <row r="37" spans="1:3">
      <c r="A37" s="2" t="s">
        <v>61</v>
      </c>
    </row>
    <row r="39" spans="1:3">
      <c r="A39" s="7" t="s">
        <v>62</v>
      </c>
      <c r="B39" s="13" t="s">
        <v>63</v>
      </c>
    </row>
    <row r="40" spans="1:3">
      <c r="A40" s="3" t="s">
        <v>64</v>
      </c>
      <c r="B40" s="6">
        <f>B31</f>
        <v>0</v>
      </c>
    </row>
    <row r="41" spans="1:3">
      <c r="A41" s="3" t="s">
        <v>65</v>
      </c>
      <c r="B41" s="14">
        <f>B31/Assumptions!B6</f>
        <v>0</v>
      </c>
    </row>
    <row r="42" spans="1:3">
      <c r="A42" s="3" t="s">
        <v>66</v>
      </c>
      <c r="B42" s="18">
        <f>B41/(1.15^5)</f>
        <v>0</v>
      </c>
    </row>
    <row r="43" spans="1:3">
      <c r="A43" s="3" t="s">
        <v>67</v>
      </c>
      <c r="B43" s="19">
        <f>(B42-Assumptions!B5)/Assumptions!B5</f>
        <v>0</v>
      </c>
    </row>
    <row r="45" spans="1:3">
      <c r="A45" s="7" t="s">
        <v>68</v>
      </c>
    </row>
    <row r="46" spans="1:3">
      <c r="A46" s="3" t="s">
        <v>69</v>
      </c>
      <c r="B46" s="15">
        <f>B29/B35</f>
        <v>0</v>
      </c>
    </row>
    <row r="47" spans="1:3">
      <c r="A47" s="3" t="s">
        <v>70</v>
      </c>
      <c r="B47" s="15">
        <f>B32/B35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3031"/>
  </sheetPr>
  <dimension ref="A1:G47"/>
  <sheetViews>
    <sheetView workbookViewId="0"/>
  </sheetViews>
  <sheetFormatPr defaultRowHeight="15"/>
  <cols>
    <col min="1" max="1" width="32.7109375" customWidth="1"/>
    <col min="2" max="7" width="14.7109375" customWidth="1"/>
  </cols>
  <sheetData>
    <row r="1" spans="1:2">
      <c r="A1" s="1" t="s">
        <v>73</v>
      </c>
    </row>
    <row r="2" spans="1:2">
      <c r="A2" s="2" t="s">
        <v>74</v>
      </c>
    </row>
    <row r="4" spans="1:2">
      <c r="A4" s="7" t="s">
        <v>37</v>
      </c>
      <c r="B4" s="13" t="s">
        <v>4</v>
      </c>
    </row>
    <row r="5" spans="1:2">
      <c r="A5" s="3" t="s">
        <v>38</v>
      </c>
      <c r="B5" s="14">
        <f>Assumptions!B5</f>
        <v>0</v>
      </c>
    </row>
    <row r="6" spans="1:2">
      <c r="A6" s="3" t="s">
        <v>8</v>
      </c>
      <c r="B6" s="6">
        <f>Assumptions!B6</f>
        <v>0</v>
      </c>
    </row>
    <row r="7" spans="1:2">
      <c r="A7" s="3" t="s">
        <v>10</v>
      </c>
      <c r="B7" s="6">
        <f>Assumptions!B7</f>
        <v>0</v>
      </c>
    </row>
    <row r="8" spans="1:2">
      <c r="A8" s="3" t="s">
        <v>12</v>
      </c>
      <c r="B8" s="6">
        <f>Assumptions!B8</f>
        <v>0</v>
      </c>
    </row>
    <row r="9" spans="1:2">
      <c r="A9" s="3" t="s">
        <v>14</v>
      </c>
      <c r="B9" s="6">
        <f>Assumptions!B9</f>
        <v>0</v>
      </c>
    </row>
    <row r="10" spans="1:2">
      <c r="A10" s="3" t="s">
        <v>16</v>
      </c>
      <c r="B10" s="6">
        <f>Assumptions!B10</f>
        <v>0</v>
      </c>
    </row>
    <row r="12" spans="1:2">
      <c r="A12" s="7" t="s">
        <v>22</v>
      </c>
      <c r="B12" s="13" t="s">
        <v>4</v>
      </c>
    </row>
    <row r="13" spans="1:2">
      <c r="A13" s="3" t="s">
        <v>26</v>
      </c>
      <c r="B13" s="11">
        <f>Assumptions!D14</f>
        <v>0</v>
      </c>
    </row>
    <row r="14" spans="1:2">
      <c r="A14" s="3" t="s">
        <v>27</v>
      </c>
      <c r="B14" s="11">
        <f>Assumptions!D15</f>
        <v>0</v>
      </c>
    </row>
    <row r="15" spans="1:2">
      <c r="A15" s="3" t="s">
        <v>28</v>
      </c>
      <c r="B15" s="11">
        <f>Assumptions!D16</f>
        <v>0</v>
      </c>
    </row>
    <row r="16" spans="1:2">
      <c r="A16" s="3" t="s">
        <v>29</v>
      </c>
      <c r="B16" s="11">
        <f>Assumptions!D17</f>
        <v>0</v>
      </c>
    </row>
    <row r="17" spans="1:7">
      <c r="A17" s="3" t="s">
        <v>30</v>
      </c>
      <c r="B17" s="11">
        <f>Assumptions!D18</f>
        <v>0</v>
      </c>
    </row>
    <row r="18" spans="1:7">
      <c r="A18" s="3" t="s">
        <v>31</v>
      </c>
      <c r="B18" s="11">
        <f>Assumptions!D19</f>
        <v>0</v>
      </c>
    </row>
    <row r="19" spans="1:7">
      <c r="A19" s="3" t="s">
        <v>32</v>
      </c>
      <c r="B19" s="11">
        <f>Assumptions!D20</f>
        <v>0</v>
      </c>
    </row>
    <row r="21" spans="1:7">
      <c r="A21" s="7" t="s">
        <v>39</v>
      </c>
    </row>
    <row r="22" spans="1:7">
      <c r="B22" s="10" t="s">
        <v>40</v>
      </c>
      <c r="C22" s="10" t="s">
        <v>41</v>
      </c>
      <c r="D22" s="10" t="s">
        <v>42</v>
      </c>
      <c r="E22" s="10" t="s">
        <v>43</v>
      </c>
      <c r="F22" s="10" t="s">
        <v>44</v>
      </c>
      <c r="G22" s="10" t="s">
        <v>45</v>
      </c>
    </row>
    <row r="23" spans="1:7">
      <c r="A23" s="3" t="s">
        <v>46</v>
      </c>
      <c r="B23" s="6">
        <f>Assumptions!B10</f>
        <v>0</v>
      </c>
      <c r="C23" s="6">
        <f>B23*(1+B13)</f>
        <v>0</v>
      </c>
      <c r="D23" s="6">
        <f>C23*(1+B14)</f>
        <v>0</v>
      </c>
      <c r="E23" s="6">
        <f>D23*(1+B15)</f>
        <v>0</v>
      </c>
      <c r="F23" s="6">
        <f>E23*(1+B16)</f>
        <v>0</v>
      </c>
      <c r="G23" s="6">
        <f>F23*(1+B17)</f>
        <v>0</v>
      </c>
    </row>
    <row r="24" spans="1:7">
      <c r="A24" s="3" t="s">
        <v>47</v>
      </c>
      <c r="B24" s="6"/>
      <c r="C24" s="15">
        <f>B13</f>
        <v>0</v>
      </c>
      <c r="D24" s="15">
        <f>B14</f>
        <v>0</v>
      </c>
      <c r="E24" s="15">
        <f>B15</f>
        <v>0</v>
      </c>
      <c r="F24" s="15">
        <f>B16</f>
        <v>0</v>
      </c>
      <c r="G24" s="15">
        <f>B17</f>
        <v>0</v>
      </c>
    </row>
    <row r="25" spans="1:7">
      <c r="A25" s="3" t="s">
        <v>48</v>
      </c>
      <c r="B25" s="6"/>
      <c r="C25" s="16">
        <f>1/(1+$B$13)^1</f>
        <v>0</v>
      </c>
      <c r="D25" s="16">
        <f>1/(1+$B$13)^2</f>
        <v>0</v>
      </c>
      <c r="E25" s="16">
        <f>1/(1+$B$13)^3</f>
        <v>0</v>
      </c>
      <c r="F25" s="16">
        <f>1/(1+$B$13)^4</f>
        <v>0</v>
      </c>
      <c r="G25" s="16">
        <f>1/(1+$B$13)^5</f>
        <v>0</v>
      </c>
    </row>
    <row r="26" spans="1:7">
      <c r="A26" s="3" t="s">
        <v>49</v>
      </c>
      <c r="B26" s="6"/>
      <c r="C26" s="6">
        <f>C23*C25</f>
        <v>0</v>
      </c>
      <c r="D26" s="6">
        <f>D23*D25</f>
        <v>0</v>
      </c>
      <c r="E26" s="6">
        <f>E23*E25</f>
        <v>0</v>
      </c>
      <c r="F26" s="6">
        <f>F23*F25</f>
        <v>0</v>
      </c>
      <c r="G26" s="6">
        <f>G23*G25</f>
        <v>0</v>
      </c>
    </row>
    <row r="28" spans="1:7">
      <c r="A28" s="7" t="s">
        <v>50</v>
      </c>
      <c r="B28" s="13" t="s">
        <v>51</v>
      </c>
      <c r="C28" s="13" t="s">
        <v>52</v>
      </c>
    </row>
    <row r="29" spans="1:7">
      <c r="A29" s="3" t="s">
        <v>53</v>
      </c>
      <c r="B29" s="6">
        <f>SUM(C26:G26)</f>
        <v>0</v>
      </c>
      <c r="C29" s="14">
        <f>B29/Assumptions!B6</f>
        <v>0</v>
      </c>
    </row>
    <row r="30" spans="1:7">
      <c r="A30" s="3" t="s">
        <v>54</v>
      </c>
      <c r="B30" s="6">
        <f>G23*(1+$B$14)</f>
        <v>0</v>
      </c>
      <c r="C30" s="6"/>
    </row>
    <row r="31" spans="1:7">
      <c r="A31" s="3" t="s">
        <v>55</v>
      </c>
      <c r="B31" s="6">
        <f>B30/($B$13-$B$14)</f>
        <v>0</v>
      </c>
      <c r="C31" s="14">
        <f>B31/Assumptions!B6</f>
        <v>0</v>
      </c>
    </row>
    <row r="32" spans="1:7">
      <c r="A32" s="3" t="s">
        <v>56</v>
      </c>
      <c r="B32" s="6">
        <f>B31*G25</f>
        <v>0</v>
      </c>
      <c r="C32" s="14">
        <f>B32/Assumptions!B6</f>
        <v>0</v>
      </c>
    </row>
    <row r="33" spans="1:3">
      <c r="A33" s="3" t="s">
        <v>57</v>
      </c>
      <c r="B33" s="17">
        <f>B29+B32</f>
        <v>0</v>
      </c>
      <c r="C33" s="17">
        <f>B33/Assumptions!B6</f>
        <v>0</v>
      </c>
    </row>
    <row r="34" spans="1:3">
      <c r="A34" s="3" t="s">
        <v>58</v>
      </c>
      <c r="B34" s="6">
        <f>Assumptions!B9</f>
        <v>0</v>
      </c>
      <c r="C34" s="6"/>
    </row>
    <row r="35" spans="1:3">
      <c r="A35" s="3" t="s">
        <v>59</v>
      </c>
      <c r="B35" s="6">
        <f>B33-B34</f>
        <v>0</v>
      </c>
      <c r="C35" s="14">
        <f>B35/Assumptions!B6</f>
        <v>0</v>
      </c>
    </row>
    <row r="36" spans="1:3">
      <c r="A36" s="3" t="s">
        <v>60</v>
      </c>
      <c r="B36" s="18">
        <f>B35/Assumptions!B6</f>
        <v>0</v>
      </c>
      <c r="C36" s="19">
        <f>(B36-Assumptions!B5)/Assumptions!B5</f>
        <v>0</v>
      </c>
    </row>
    <row r="37" spans="1:3">
      <c r="A37" s="2" t="s">
        <v>61</v>
      </c>
    </row>
    <row r="39" spans="1:3">
      <c r="A39" s="7" t="s">
        <v>62</v>
      </c>
      <c r="B39" s="13" t="s">
        <v>63</v>
      </c>
    </row>
    <row r="40" spans="1:3">
      <c r="A40" s="3" t="s">
        <v>64</v>
      </c>
      <c r="B40" s="6">
        <f>B31</f>
        <v>0</v>
      </c>
    </row>
    <row r="41" spans="1:3">
      <c r="A41" s="3" t="s">
        <v>65</v>
      </c>
      <c r="B41" s="14">
        <f>B31/Assumptions!B6</f>
        <v>0</v>
      </c>
    </row>
    <row r="42" spans="1:3">
      <c r="A42" s="3" t="s">
        <v>66</v>
      </c>
      <c r="B42" s="18">
        <f>B41/(1.15^5)</f>
        <v>0</v>
      </c>
    </row>
    <row r="43" spans="1:3">
      <c r="A43" s="3" t="s">
        <v>67</v>
      </c>
      <c r="B43" s="19">
        <f>(B42-Assumptions!B5)/Assumptions!B5</f>
        <v>0</v>
      </c>
    </row>
    <row r="45" spans="1:3">
      <c r="A45" s="7" t="s">
        <v>68</v>
      </c>
    </row>
    <row r="46" spans="1:3">
      <c r="A46" s="3" t="s">
        <v>69</v>
      </c>
      <c r="B46" s="15">
        <f>B29/B35</f>
        <v>0</v>
      </c>
    </row>
    <row r="47" spans="1:3">
      <c r="A47" s="3" t="s">
        <v>70</v>
      </c>
      <c r="B47" s="15">
        <f>B32/B35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DCB6E"/>
  </sheetPr>
  <dimension ref="A1:F36"/>
  <sheetViews>
    <sheetView workbookViewId="0"/>
  </sheetViews>
  <sheetFormatPr defaultRowHeight="15"/>
  <cols>
    <col min="1" max="1" width="20.7109375" customWidth="1"/>
    <col min="2" max="7" width="13.7109375" customWidth="1"/>
  </cols>
  <sheetData>
    <row r="1" spans="1:6">
      <c r="A1" s="1" t="s">
        <v>75</v>
      </c>
    </row>
    <row r="2" spans="1:6">
      <c r="A2" s="2" t="s">
        <v>76</v>
      </c>
    </row>
    <row r="3" spans="1:6">
      <c r="A3" s="2" t="s">
        <v>77</v>
      </c>
    </row>
    <row r="5" spans="1:6">
      <c r="A5" s="2" t="s">
        <v>78</v>
      </c>
    </row>
    <row r="7" spans="1:6">
      <c r="A7" s="13" t="s">
        <v>79</v>
      </c>
      <c r="B7" s="20" t="s">
        <v>80</v>
      </c>
      <c r="C7" s="20" t="s">
        <v>81</v>
      </c>
      <c r="D7" s="20" t="s">
        <v>82</v>
      </c>
      <c r="E7" s="20" t="s">
        <v>83</v>
      </c>
      <c r="F7" s="20" t="s">
        <v>84</v>
      </c>
    </row>
    <row r="8" spans="1:6">
      <c r="A8" s="20" t="s">
        <v>85</v>
      </c>
      <c r="B8" s="21">
        <v>141.29</v>
      </c>
      <c r="C8" s="21">
        <v>151.46</v>
      </c>
      <c r="D8" s="21">
        <v>163.68</v>
      </c>
      <c r="E8" s="21">
        <v>178.61</v>
      </c>
      <c r="F8" s="21">
        <v>197.27</v>
      </c>
    </row>
    <row r="9" spans="1:6">
      <c r="A9" s="20" t="s">
        <v>86</v>
      </c>
      <c r="B9" s="21">
        <v>130.47</v>
      </c>
      <c r="C9" s="21">
        <v>138.92</v>
      </c>
      <c r="D9" s="21">
        <v>148.92</v>
      </c>
      <c r="E9" s="21">
        <v>160.9</v>
      </c>
      <c r="F9" s="21">
        <v>175.56</v>
      </c>
    </row>
    <row r="10" spans="1:6">
      <c r="A10" s="20" t="s">
        <v>87</v>
      </c>
      <c r="B10" s="21">
        <v>121.2</v>
      </c>
      <c r="C10" s="21">
        <v>128.31</v>
      </c>
      <c r="D10" s="22">
        <v>136.61</v>
      </c>
      <c r="E10" s="21">
        <v>146.42</v>
      </c>
      <c r="F10" s="21">
        <v>158.19</v>
      </c>
    </row>
    <row r="11" spans="1:6">
      <c r="A11" s="20" t="s">
        <v>88</v>
      </c>
      <c r="B11" s="21">
        <v>113.17</v>
      </c>
      <c r="C11" s="21">
        <v>119.22</v>
      </c>
      <c r="D11" s="21">
        <v>126.21</v>
      </c>
      <c r="E11" s="21">
        <v>134.36</v>
      </c>
      <c r="F11" s="21">
        <v>143.99</v>
      </c>
    </row>
    <row r="12" spans="1:6">
      <c r="A12" s="20" t="s">
        <v>89</v>
      </c>
      <c r="B12" s="21">
        <v>106.15</v>
      </c>
      <c r="C12" s="21">
        <v>111.35</v>
      </c>
      <c r="D12" s="21">
        <v>117.29</v>
      </c>
      <c r="E12" s="21">
        <v>124.15</v>
      </c>
      <c r="F12" s="21">
        <v>132.15</v>
      </c>
    </row>
    <row r="14" spans="1:6">
      <c r="A14" s="3" t="s">
        <v>90</v>
      </c>
    </row>
    <row r="15" spans="1:6">
      <c r="A15" s="3" t="s">
        <v>91</v>
      </c>
    </row>
    <row r="16" spans="1:6">
      <c r="A16" s="3" t="s">
        <v>92</v>
      </c>
    </row>
    <row r="18" spans="1:6">
      <c r="A18" s="23" t="s">
        <v>93</v>
      </c>
    </row>
    <row r="19" spans="1:6">
      <c r="A19" s="24" t="s">
        <v>94</v>
      </c>
    </row>
    <row r="20" spans="1:6">
      <c r="A20" s="25" t="s">
        <v>95</v>
      </c>
    </row>
    <row r="22" spans="1:6">
      <c r="A22" s="7" t="s">
        <v>96</v>
      </c>
    </row>
    <row r="23" spans="1:6">
      <c r="A23" s="13" t="s">
        <v>79</v>
      </c>
      <c r="B23" s="20" t="s">
        <v>80</v>
      </c>
      <c r="C23" s="20" t="s">
        <v>81</v>
      </c>
      <c r="D23" s="20" t="s">
        <v>82</v>
      </c>
      <c r="E23" s="20" t="s">
        <v>83</v>
      </c>
      <c r="F23" s="20" t="s">
        <v>84</v>
      </c>
    </row>
    <row r="24" spans="1:6">
      <c r="A24" s="20" t="s">
        <v>85</v>
      </c>
      <c r="B24" s="21">
        <v>158.9</v>
      </c>
      <c r="C24" s="21">
        <v>170.49</v>
      </c>
      <c r="D24" s="21">
        <v>184.39</v>
      </c>
      <c r="E24" s="21">
        <v>201.39</v>
      </c>
      <c r="F24" s="21">
        <v>222.64</v>
      </c>
    </row>
    <row r="25" spans="1:6">
      <c r="A25" s="20" t="s">
        <v>86</v>
      </c>
      <c r="B25" s="21">
        <v>146.59</v>
      </c>
      <c r="C25" s="21">
        <v>156.22</v>
      </c>
      <c r="D25" s="21">
        <v>167.6</v>
      </c>
      <c r="E25" s="21">
        <v>181.25</v>
      </c>
      <c r="F25" s="21">
        <v>197.93</v>
      </c>
    </row>
    <row r="26" spans="1:6">
      <c r="A26" s="20" t="s">
        <v>87</v>
      </c>
      <c r="B26" s="21">
        <v>136.05</v>
      </c>
      <c r="C26" s="21">
        <v>144.15</v>
      </c>
      <c r="D26" s="21">
        <v>153.6</v>
      </c>
      <c r="E26" s="21">
        <v>164.77</v>
      </c>
      <c r="F26" s="21">
        <v>178.17</v>
      </c>
    </row>
    <row r="27" spans="1:6">
      <c r="A27" s="20" t="s">
        <v>88</v>
      </c>
      <c r="B27" s="21">
        <v>126.92</v>
      </c>
      <c r="C27" s="21">
        <v>133.82</v>
      </c>
      <c r="D27" s="21">
        <v>141.77</v>
      </c>
      <c r="E27" s="21">
        <v>151.05</v>
      </c>
      <c r="F27" s="21">
        <v>162.01</v>
      </c>
    </row>
    <row r="28" spans="1:6">
      <c r="A28" s="20" t="s">
        <v>89</v>
      </c>
      <c r="B28" s="21">
        <v>118.94</v>
      </c>
      <c r="C28" s="21">
        <v>124.86</v>
      </c>
      <c r="D28" s="21">
        <v>131.63</v>
      </c>
      <c r="E28" s="21">
        <v>139.44</v>
      </c>
      <c r="F28" s="21">
        <v>148.54</v>
      </c>
    </row>
    <row r="30" spans="1:6">
      <c r="A30" s="7" t="s">
        <v>97</v>
      </c>
    </row>
    <row r="31" spans="1:6">
      <c r="A31" s="13" t="s">
        <v>79</v>
      </c>
      <c r="B31" s="20" t="s">
        <v>80</v>
      </c>
      <c r="C31" s="20" t="s">
        <v>81</v>
      </c>
      <c r="D31" s="20" t="s">
        <v>82</v>
      </c>
      <c r="E31" s="20" t="s">
        <v>83</v>
      </c>
      <c r="F31" s="20" t="s">
        <v>84</v>
      </c>
    </row>
    <row r="32" spans="1:6">
      <c r="A32" s="20" t="s">
        <v>85</v>
      </c>
      <c r="B32" s="21">
        <v>118.05</v>
      </c>
      <c r="C32" s="21">
        <v>126.37</v>
      </c>
      <c r="D32" s="21">
        <v>136.35</v>
      </c>
      <c r="E32" s="21">
        <v>148.55</v>
      </c>
      <c r="F32" s="21">
        <v>163.8</v>
      </c>
    </row>
    <row r="33" spans="1:6">
      <c r="A33" s="20" t="s">
        <v>86</v>
      </c>
      <c r="B33" s="21">
        <v>109.19</v>
      </c>
      <c r="C33" s="21">
        <v>116.1</v>
      </c>
      <c r="D33" s="21">
        <v>124.27</v>
      </c>
      <c r="E33" s="21">
        <v>134.06</v>
      </c>
      <c r="F33" s="21">
        <v>146.04</v>
      </c>
    </row>
    <row r="34" spans="1:6">
      <c r="A34" s="20" t="s">
        <v>87</v>
      </c>
      <c r="B34" s="21">
        <v>101.6</v>
      </c>
      <c r="C34" s="21">
        <v>107.41</v>
      </c>
      <c r="D34" s="21">
        <v>114.2</v>
      </c>
      <c r="E34" s="21">
        <v>122.21</v>
      </c>
      <c r="F34" s="21">
        <v>131.83</v>
      </c>
    </row>
    <row r="35" spans="1:6">
      <c r="A35" s="20" t="s">
        <v>88</v>
      </c>
      <c r="B35" s="21">
        <v>95.02</v>
      </c>
      <c r="C35" s="21">
        <v>99.97</v>
      </c>
      <c r="D35" s="21">
        <v>105.67</v>
      </c>
      <c r="E35" s="21">
        <v>112.33</v>
      </c>
      <c r="F35" s="21">
        <v>120.2</v>
      </c>
    </row>
    <row r="36" spans="1:6">
      <c r="A36" s="20" t="s">
        <v>89</v>
      </c>
      <c r="B36" s="21">
        <v>89.26000000000001</v>
      </c>
      <c r="C36" s="21">
        <v>93.51000000000001</v>
      </c>
      <c r="D36" s="21">
        <v>98.37</v>
      </c>
      <c r="E36" s="21">
        <v>103.97</v>
      </c>
      <c r="F36" s="21">
        <v>110.51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36E72"/>
  </sheetPr>
  <dimension ref="A1:H41"/>
  <sheetViews>
    <sheetView workbookViewId="0"/>
  </sheetViews>
  <sheetFormatPr defaultRowHeight="15"/>
  <cols>
    <col min="1" max="1" width="28.7109375" customWidth="1"/>
    <col min="2" max="8" width="13.7109375" customWidth="1"/>
  </cols>
  <sheetData>
    <row r="1" spans="1:8">
      <c r="A1" s="1" t="s">
        <v>98</v>
      </c>
    </row>
    <row r="2" spans="1:8">
      <c r="A2" s="2" t="s">
        <v>99</v>
      </c>
    </row>
    <row r="4" spans="1:8">
      <c r="A4" s="7" t="s">
        <v>100</v>
      </c>
    </row>
    <row r="5" spans="1:8">
      <c r="A5" s="13" t="s">
        <v>101</v>
      </c>
      <c r="B5" s="13" t="s">
        <v>102</v>
      </c>
      <c r="C5" s="13" t="s">
        <v>103</v>
      </c>
      <c r="D5" s="13" t="s">
        <v>5</v>
      </c>
    </row>
    <row r="6" spans="1:8">
      <c r="A6" t="s">
        <v>104</v>
      </c>
      <c r="B6" s="26">
        <v>0.0181</v>
      </c>
      <c r="C6" s="26">
        <v>0.0868</v>
      </c>
      <c r="D6" s="2" t="s">
        <v>105</v>
      </c>
    </row>
    <row r="7" spans="1:8">
      <c r="A7" t="s">
        <v>106</v>
      </c>
      <c r="B7" s="26">
        <v>0.0688</v>
      </c>
      <c r="C7" s="26">
        <v>0.1786</v>
      </c>
      <c r="D7" s="2" t="s">
        <v>107</v>
      </c>
    </row>
    <row r="8" spans="1:8">
      <c r="A8" t="s">
        <v>108</v>
      </c>
      <c r="B8" s="26">
        <v>-0.0395</v>
      </c>
      <c r="C8" s="26">
        <v>0.0613</v>
      </c>
      <c r="D8" s="2" t="s">
        <v>109</v>
      </c>
    </row>
    <row r="9" spans="1:8">
      <c r="A9" t="s">
        <v>110</v>
      </c>
      <c r="B9" s="26">
        <v>0.1332</v>
      </c>
      <c r="C9" s="26">
        <v>0.0245</v>
      </c>
      <c r="D9" s="2" t="s">
        <v>111</v>
      </c>
    </row>
    <row r="11" spans="1:8">
      <c r="A11" s="3" t="s">
        <v>112</v>
      </c>
      <c r="B11" s="26">
        <v>0.0613</v>
      </c>
      <c r="C11" s="3" t="s">
        <v>113</v>
      </c>
    </row>
    <row r="13" spans="1:8">
      <c r="A13" s="7" t="s">
        <v>114</v>
      </c>
    </row>
    <row r="14" spans="1:8">
      <c r="A14" s="13" t="s">
        <v>115</v>
      </c>
      <c r="B14" s="13" t="s">
        <v>104</v>
      </c>
      <c r="C14" s="13" t="s">
        <v>116</v>
      </c>
      <c r="D14" s="13" t="s">
        <v>117</v>
      </c>
      <c r="E14" s="13" t="s">
        <v>118</v>
      </c>
      <c r="F14" s="13" t="s">
        <v>119</v>
      </c>
      <c r="G14" s="13" t="s">
        <v>110</v>
      </c>
      <c r="H14" s="13" t="s">
        <v>120</v>
      </c>
    </row>
    <row r="15" spans="1:8">
      <c r="A15" s="3" t="s">
        <v>121</v>
      </c>
      <c r="B15" s="27">
        <v>274515</v>
      </c>
      <c r="C15" s="27">
        <v>57411</v>
      </c>
      <c r="D15" s="27">
        <v>73365</v>
      </c>
      <c r="E15" s="27">
        <v>80674</v>
      </c>
      <c r="F15" s="27">
        <v>7309</v>
      </c>
      <c r="G15" s="27">
        <v>65339</v>
      </c>
      <c r="H15" s="27">
        <v>17528</v>
      </c>
    </row>
    <row r="16" spans="1:8">
      <c r="A16" s="3" t="s">
        <v>122</v>
      </c>
      <c r="B16" s="27">
        <v>365817</v>
      </c>
      <c r="C16" s="27">
        <v>94680</v>
      </c>
      <c r="D16" s="27">
        <v>92953</v>
      </c>
      <c r="E16" s="27">
        <v>104038</v>
      </c>
      <c r="F16" s="27">
        <v>11085</v>
      </c>
      <c r="G16" s="27">
        <v>63090</v>
      </c>
      <c r="H16" s="27">
        <v>16864</v>
      </c>
    </row>
    <row r="17" spans="1:8">
      <c r="A17" s="3" t="s">
        <v>123</v>
      </c>
      <c r="B17" s="27">
        <v>394328</v>
      </c>
      <c r="C17" s="27">
        <v>99803</v>
      </c>
      <c r="D17" s="27">
        <v>111443</v>
      </c>
      <c r="E17" s="27">
        <v>122151</v>
      </c>
      <c r="F17" s="27">
        <v>10708</v>
      </c>
      <c r="G17" s="27">
        <v>50672</v>
      </c>
      <c r="H17" s="27">
        <v>16326</v>
      </c>
    </row>
    <row r="18" spans="1:8">
      <c r="A18" s="3" t="s">
        <v>124</v>
      </c>
      <c r="B18" s="27">
        <v>383285</v>
      </c>
      <c r="C18" s="27">
        <v>96995</v>
      </c>
      <c r="D18" s="27">
        <v>99584</v>
      </c>
      <c r="E18" s="27">
        <v>110543</v>
      </c>
      <c r="F18" s="27">
        <v>10959</v>
      </c>
      <c r="G18" s="27">
        <v>62146</v>
      </c>
      <c r="H18" s="27">
        <v>15812</v>
      </c>
    </row>
    <row r="19" spans="1:8">
      <c r="A19" s="3" t="s">
        <v>125</v>
      </c>
      <c r="B19" s="27">
        <v>391035</v>
      </c>
      <c r="C19" s="27">
        <v>93736</v>
      </c>
      <c r="D19" s="27">
        <v>108807</v>
      </c>
      <c r="E19" s="27">
        <v>118254</v>
      </c>
      <c r="F19" s="27">
        <v>9447</v>
      </c>
      <c r="G19" s="27">
        <v>56950</v>
      </c>
      <c r="H19" s="27">
        <v>15408</v>
      </c>
    </row>
    <row r="20" spans="1:8">
      <c r="A20" s="3" t="s">
        <v>126</v>
      </c>
      <c r="B20" s="27">
        <v>416161</v>
      </c>
      <c r="C20" s="27">
        <v>112010</v>
      </c>
      <c r="D20" s="27">
        <v>98767</v>
      </c>
      <c r="E20" s="27">
        <v>111482</v>
      </c>
      <c r="F20" s="27">
        <v>12715</v>
      </c>
      <c r="G20" s="27">
        <v>73733</v>
      </c>
      <c r="H20" s="27">
        <v>15004</v>
      </c>
    </row>
    <row r="22" spans="1:8">
      <c r="A22" s="7" t="s">
        <v>127</v>
      </c>
    </row>
    <row r="23" spans="1:8">
      <c r="A23" s="13" t="s">
        <v>128</v>
      </c>
      <c r="B23" s="13" t="s">
        <v>129</v>
      </c>
      <c r="C23" s="13" t="s">
        <v>130</v>
      </c>
      <c r="D23" s="13" t="s">
        <v>131</v>
      </c>
      <c r="E23" s="13" t="s">
        <v>132</v>
      </c>
      <c r="F23" s="13" t="s">
        <v>133</v>
      </c>
    </row>
    <row r="24" spans="1:8">
      <c r="A24" s="3" t="s">
        <v>134</v>
      </c>
      <c r="B24" s="28">
        <v>25.88</v>
      </c>
      <c r="C24" s="27">
        <v>542</v>
      </c>
      <c r="D24" s="16">
        <v>11.9</v>
      </c>
      <c r="E24" s="16">
        <v>7.8</v>
      </c>
      <c r="F24" s="16">
        <v>2.51</v>
      </c>
    </row>
    <row r="25" spans="1:8">
      <c r="A25" s="3" t="s">
        <v>135</v>
      </c>
      <c r="B25" s="28">
        <v>35.9</v>
      </c>
      <c r="C25" s="27">
        <v>749.2</v>
      </c>
      <c r="D25" s="16">
        <v>15.5</v>
      </c>
      <c r="E25" s="16">
        <v>10.1</v>
      </c>
      <c r="F25" s="16">
        <v>3.27</v>
      </c>
    </row>
    <row r="26" spans="1:8">
      <c r="A26" s="3" t="s">
        <v>136</v>
      </c>
      <c r="B26" s="28">
        <v>53.37</v>
      </c>
      <c r="C26" s="27">
        <v>1057.9</v>
      </c>
      <c r="D26" s="16">
        <v>17.8</v>
      </c>
      <c r="E26" s="16">
        <v>12.6</v>
      </c>
      <c r="F26" s="16">
        <v>3.98</v>
      </c>
    </row>
    <row r="27" spans="1:8">
      <c r="A27" s="3" t="s">
        <v>137</v>
      </c>
      <c r="B27" s="28">
        <v>53.78</v>
      </c>
      <c r="C27" s="27">
        <v>993.4</v>
      </c>
      <c r="D27" s="16">
        <v>18</v>
      </c>
      <c r="E27" s="16">
        <v>12.4</v>
      </c>
      <c r="F27" s="16">
        <v>3.82</v>
      </c>
    </row>
    <row r="28" spans="1:8">
      <c r="A28" s="3" t="s">
        <v>121</v>
      </c>
      <c r="B28" s="28">
        <v>112.33</v>
      </c>
      <c r="C28" s="27">
        <v>1968.9</v>
      </c>
      <c r="D28" s="16">
        <v>34.3</v>
      </c>
      <c r="E28" s="16">
        <v>25.7</v>
      </c>
      <c r="F28" s="16">
        <v>7.17</v>
      </c>
    </row>
    <row r="29" spans="1:8">
      <c r="A29" s="3" t="s">
        <v>122</v>
      </c>
      <c r="B29" s="28">
        <v>138.13</v>
      </c>
      <c r="C29" s="27">
        <v>2329.4</v>
      </c>
      <c r="D29" s="16">
        <v>24.6</v>
      </c>
      <c r="E29" s="16">
        <v>19.3</v>
      </c>
      <c r="F29" s="16">
        <v>6.37</v>
      </c>
    </row>
    <row r="30" spans="1:8">
      <c r="A30" s="3" t="s">
        <v>123</v>
      </c>
      <c r="B30" s="28">
        <v>135.67</v>
      </c>
      <c r="C30" s="27">
        <v>2214.9</v>
      </c>
      <c r="D30" s="16">
        <v>22.2</v>
      </c>
      <c r="E30" s="16">
        <v>17.4</v>
      </c>
      <c r="F30" s="16">
        <v>5.62</v>
      </c>
    </row>
    <row r="31" spans="1:8">
      <c r="A31" s="3" t="s">
        <v>124</v>
      </c>
      <c r="B31" s="28">
        <v>169.07</v>
      </c>
      <c r="C31" s="27">
        <v>2673.3</v>
      </c>
      <c r="D31" s="16">
        <v>27.6</v>
      </c>
      <c r="E31" s="16">
        <v>21.2</v>
      </c>
      <c r="F31" s="16">
        <v>6.97</v>
      </c>
    </row>
    <row r="32" spans="1:8">
      <c r="A32" s="3" t="s">
        <v>125</v>
      </c>
      <c r="B32" s="28">
        <v>231.27</v>
      </c>
      <c r="C32" s="27">
        <v>3563.4</v>
      </c>
      <c r="D32" s="16">
        <v>38</v>
      </c>
      <c r="E32" s="16">
        <v>26.8</v>
      </c>
      <c r="F32" s="16">
        <v>9.109999999999999</v>
      </c>
    </row>
    <row r="33" spans="1:6">
      <c r="A33" s="3" t="s">
        <v>126</v>
      </c>
      <c r="B33" s="28">
        <v>253.91</v>
      </c>
      <c r="C33" s="27">
        <v>3809.7</v>
      </c>
      <c r="D33" s="16">
        <v>34</v>
      </c>
      <c r="E33" s="16">
        <v>25.9</v>
      </c>
      <c r="F33" s="16">
        <v>9.15</v>
      </c>
    </row>
    <row r="35" spans="1:6">
      <c r="A35" s="3" t="s">
        <v>138</v>
      </c>
      <c r="B35" s="16">
        <v>24.4</v>
      </c>
    </row>
    <row r="36" spans="1:6">
      <c r="A36" s="3" t="s">
        <v>139</v>
      </c>
      <c r="B36" s="16">
        <v>17.9</v>
      </c>
    </row>
    <row r="37" spans="1:6">
      <c r="A37" s="3" t="s">
        <v>140</v>
      </c>
      <c r="B37" s="16">
        <v>18</v>
      </c>
      <c r="C37" s="2" t="s">
        <v>141</v>
      </c>
    </row>
    <row r="38" spans="1:6">
      <c r="A38" s="3" t="s">
        <v>142</v>
      </c>
      <c r="B38" s="16">
        <v>13.5</v>
      </c>
      <c r="C38" s="2" t="s">
        <v>141</v>
      </c>
    </row>
    <row r="40" spans="1:6">
      <c r="A40" s="3" t="s">
        <v>143</v>
      </c>
      <c r="B40" s="16">
        <v>38.9</v>
      </c>
      <c r="C40" s="2" t="s">
        <v>144</v>
      </c>
    </row>
    <row r="41" spans="1:6">
      <c r="A41" s="3" t="s">
        <v>145</v>
      </c>
      <c r="B41" s="16">
        <v>29.6</v>
      </c>
      <c r="C41" s="2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29BFE"/>
  </sheetPr>
  <dimension ref="A1:E28"/>
  <sheetViews>
    <sheetView workbookViewId="0"/>
  </sheetViews>
  <sheetFormatPr defaultRowHeight="15"/>
  <cols>
    <col min="1" max="1" width="30.7109375" customWidth="1"/>
    <col min="2" max="5" width="16.7109375" customWidth="1"/>
  </cols>
  <sheetData>
    <row r="1" spans="1:5">
      <c r="A1" s="1" t="s">
        <v>147</v>
      </c>
    </row>
    <row r="2" spans="1:5">
      <c r="A2" s="2" t="s">
        <v>148</v>
      </c>
    </row>
    <row r="4" spans="1:5">
      <c r="A4" s="7" t="s">
        <v>149</v>
      </c>
    </row>
    <row r="5" spans="1:5">
      <c r="A5" s="13" t="s">
        <v>101</v>
      </c>
      <c r="B5" s="8" t="s">
        <v>150</v>
      </c>
      <c r="C5" s="9" t="s">
        <v>151</v>
      </c>
      <c r="D5" s="10" t="s">
        <v>152</v>
      </c>
      <c r="E5" s="20" t="s">
        <v>153</v>
      </c>
    </row>
    <row r="6" spans="1:5">
      <c r="A6" s="3" t="s">
        <v>26</v>
      </c>
      <c r="B6" t="s">
        <v>87</v>
      </c>
      <c r="C6" t="s">
        <v>86</v>
      </c>
      <c r="D6" t="s">
        <v>88</v>
      </c>
      <c r="E6" t="s">
        <v>154</v>
      </c>
    </row>
    <row r="7" spans="1:5">
      <c r="A7" s="3" t="s">
        <v>27</v>
      </c>
      <c r="B7" t="s">
        <v>82</v>
      </c>
      <c r="C7" t="s">
        <v>83</v>
      </c>
      <c r="D7" t="s">
        <v>81</v>
      </c>
      <c r="E7" t="s">
        <v>154</v>
      </c>
    </row>
    <row r="8" spans="1:5">
      <c r="A8" s="3" t="s">
        <v>155</v>
      </c>
      <c r="B8" t="s">
        <v>86</v>
      </c>
      <c r="C8" t="s">
        <v>156</v>
      </c>
      <c r="D8" t="s">
        <v>83</v>
      </c>
      <c r="E8" t="s">
        <v>154</v>
      </c>
    </row>
    <row r="9" spans="1:5">
      <c r="A9" s="3" t="s">
        <v>157</v>
      </c>
      <c r="B9" t="s">
        <v>158</v>
      </c>
      <c r="C9" t="s">
        <v>159</v>
      </c>
      <c r="D9" t="s">
        <v>160</v>
      </c>
      <c r="E9" t="s">
        <v>154</v>
      </c>
    </row>
    <row r="10" spans="1:5">
      <c r="A10" s="3" t="s">
        <v>161</v>
      </c>
      <c r="B10" t="s">
        <v>162</v>
      </c>
      <c r="C10" t="s">
        <v>163</v>
      </c>
      <c r="D10" t="s">
        <v>163</v>
      </c>
      <c r="E10" t="s">
        <v>164</v>
      </c>
    </row>
    <row r="11" spans="1:5">
      <c r="A11" s="3" t="s">
        <v>165</v>
      </c>
      <c r="B11" t="s">
        <v>166</v>
      </c>
      <c r="C11" t="s">
        <v>167</v>
      </c>
      <c r="D11" t="s">
        <v>168</v>
      </c>
      <c r="E11" t="s">
        <v>169</v>
      </c>
    </row>
    <row r="12" spans="1:5">
      <c r="A12" s="3" t="s">
        <v>170</v>
      </c>
      <c r="B12" t="s">
        <v>171</v>
      </c>
      <c r="C12" t="s">
        <v>172</v>
      </c>
      <c r="D12" t="s">
        <v>173</v>
      </c>
      <c r="E12" t="s">
        <v>174</v>
      </c>
    </row>
    <row r="13" spans="1:5">
      <c r="A13" s="3" t="s">
        <v>175</v>
      </c>
      <c r="B13" t="s">
        <v>176</v>
      </c>
      <c r="C13" t="s">
        <v>177</v>
      </c>
      <c r="D13" t="s">
        <v>178</v>
      </c>
      <c r="E13" t="s">
        <v>154</v>
      </c>
    </row>
    <row r="14" spans="1:5">
      <c r="A14" s="3" t="s">
        <v>179</v>
      </c>
      <c r="B14" t="s">
        <v>180</v>
      </c>
      <c r="C14" t="s">
        <v>181</v>
      </c>
      <c r="D14" t="s">
        <v>182</v>
      </c>
      <c r="E14" t="s">
        <v>154</v>
      </c>
    </row>
    <row r="15" spans="1:5">
      <c r="A15" s="3" t="s">
        <v>183</v>
      </c>
      <c r="B15" t="s">
        <v>184</v>
      </c>
      <c r="C15" t="s">
        <v>185</v>
      </c>
      <c r="D15" t="s">
        <v>186</v>
      </c>
      <c r="E15" t="s">
        <v>154</v>
      </c>
    </row>
    <row r="16" spans="1:5">
      <c r="A16" s="3" t="s">
        <v>187</v>
      </c>
      <c r="B16" t="s">
        <v>188</v>
      </c>
      <c r="C16" t="s">
        <v>189</v>
      </c>
      <c r="D16" t="s">
        <v>190</v>
      </c>
      <c r="E16" t="s">
        <v>154</v>
      </c>
    </row>
    <row r="18" spans="1:5">
      <c r="A18" s="7" t="s">
        <v>191</v>
      </c>
    </row>
    <row r="19" spans="1:5">
      <c r="A19" s="3" t="s">
        <v>192</v>
      </c>
      <c r="B19" t="s">
        <v>193</v>
      </c>
    </row>
    <row r="20" spans="1:5">
      <c r="A20" s="3" t="s">
        <v>194</v>
      </c>
      <c r="B20" s="29" t="s">
        <v>195</v>
      </c>
    </row>
    <row r="21" spans="1:5">
      <c r="A21" s="3" t="s">
        <v>196</v>
      </c>
      <c r="B21" s="29" t="s">
        <v>197</v>
      </c>
    </row>
    <row r="22" spans="1:5">
      <c r="A22" s="3" t="s">
        <v>198</v>
      </c>
      <c r="B22" t="s">
        <v>199</v>
      </c>
    </row>
    <row r="23" spans="1:5">
      <c r="A23" s="3" t="s">
        <v>200</v>
      </c>
      <c r="B23" t="s">
        <v>201</v>
      </c>
    </row>
    <row r="25" spans="1:5" ht="70" customHeight="1">
      <c r="A25" s="12" t="s">
        <v>203</v>
      </c>
      <c r="B25" s="12"/>
      <c r="C25" s="12"/>
      <c r="D25" s="12"/>
      <c r="E25" s="12"/>
    </row>
    <row r="26" spans="1:5">
      <c r="A26" s="12"/>
      <c r="B26" s="12"/>
      <c r="C26" s="12"/>
      <c r="D26" s="12"/>
      <c r="E26" s="12"/>
    </row>
    <row r="27" spans="1:5">
      <c r="A27" s="12"/>
      <c r="B27" s="12"/>
      <c r="C27" s="12"/>
      <c r="D27" s="12"/>
      <c r="E27" s="12"/>
    </row>
    <row r="28" spans="1:5">
      <c r="A28" s="12"/>
      <c r="B28" s="12"/>
      <c r="C28" s="12"/>
      <c r="D28" s="12"/>
      <c r="E28" s="12"/>
    </row>
  </sheetData>
  <mergeCells count="1">
    <mergeCell ref="A25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DCF_Base</vt:lpstr>
      <vt:lpstr>DCF_Bull</vt:lpstr>
      <vt:lpstr>DCF_Bear</vt:lpstr>
      <vt:lpstr>Sensitivity</vt:lpstr>
      <vt:lpstr>Historical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2026-06-12T08:32:39Z</dcterms:created>
  <dcterms:modified xsi:type="dcterms:W3CDTF">2026-06-12T08:32:39Z</dcterms:modified>
</cp:coreProperties>
</file>