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CF Model" sheetId="1" r:id="rId1"/>
    <sheet name="Scenarios" sheetId="2" r:id="rId2"/>
    <sheet name="Sensitivity" sheetId="3" r:id="rId3"/>
    <sheet name="Historical Data" sheetId="4" r:id="rId4"/>
  </sheets>
  <calcPr calcId="124519" fullCalcOnLoad="1"/>
</workbook>
</file>

<file path=xl/sharedStrings.xml><?xml version="1.0" encoding="utf-8"?>
<sst xmlns="http://schemas.openxmlformats.org/spreadsheetml/2006/main" count="180" uniqueCount="163">
  <si>
    <t>MSFT DCF Valuation Model</t>
  </si>
  <si>
    <t>Valuation Date: 2026-06-30  |  Gray cells are INPUTS — adjust to see valuation update automatically</t>
  </si>
  <si>
    <t>KEY INPUTS</t>
  </si>
  <si>
    <t>Current Stock Price ($)</t>
  </si>
  <si>
    <t>Shares Outstanding (M)</t>
  </si>
  <si>
    <t>Cash &amp; Equivalents (M)</t>
  </si>
  <si>
    <t>Total Debt (M)</t>
  </si>
  <si>
    <t>Net Debt (M)  [Debt - Cash; negative = net cash]</t>
  </si>
  <si>
    <t>Base Year FCF (M)</t>
  </si>
  <si>
    <t>Base Year Revenue (M)</t>
  </si>
  <si>
    <t>WACC</t>
  </si>
  <si>
    <t>Terminal Growth Rate</t>
  </si>
  <si>
    <t>FCF Margin</t>
  </si>
  <si>
    <t>ANNUAL FCF GROWTH RATES</t>
  </si>
  <si>
    <t>Year 1</t>
  </si>
  <si>
    <t>Year 2</t>
  </si>
  <si>
    <t>Year 3</t>
  </si>
  <si>
    <t>Year 4</t>
  </si>
  <si>
    <t>Year 5</t>
  </si>
  <si>
    <t>REVENUE &amp; FCF PROJECTIONS</t>
  </si>
  <si>
    <t>Revenue (M)</t>
  </si>
  <si>
    <t>Free Cash Flow (M)</t>
  </si>
  <si>
    <t>Discount Factor</t>
  </si>
  <si>
    <t>PV of FCF (M)</t>
  </si>
  <si>
    <t>VALUATION SUMMARY</t>
  </si>
  <si>
    <t>Sum of PV of FCF (M)</t>
  </si>
  <si>
    <t>Terminal FCF (Year 5 FCF * (1+g))</t>
  </si>
  <si>
    <t>Terminal Value (M)</t>
  </si>
  <si>
    <t>PV of Terminal Value (M)</t>
  </si>
  <si>
    <t>Enterprise Value (M)</t>
  </si>
  <si>
    <t>Less: Net Debt (M)  [negative = add back net cash]</t>
  </si>
  <si>
    <t>Equity Value (M)</t>
  </si>
  <si>
    <t>INTRINSIC VALUE PER SHARE</t>
  </si>
  <si>
    <t>Current Price</t>
  </si>
  <si>
    <t>Upside / (Downside) to IV</t>
  </si>
  <si>
    <t>ENTRY PRICE ANALYSIS (15% CAGR Target)</t>
  </si>
  <si>
    <t>Terminal Value per Share</t>
  </si>
  <si>
    <t>Entry Price for 15% CAGR</t>
  </si>
  <si>
    <t>Entry Discount from Current Price</t>
  </si>
  <si>
    <t>Note: All figures in USD millions unless stated. Net Debt = Total Debt - Cash (negative = net cash position, which ADDS to equity value).</t>
  </si>
  <si>
    <t>Source: MSFT FY2025 annual data. FCF base = $71,611M. Revenue base = $281,724M. Live price fetched 2026-06-30.</t>
  </si>
  <si>
    <t>Scenario Comparison — Base / Bull / Bear</t>
  </si>
  <si>
    <t>Bull and Bear scenario values are hardcoded from model; adjust on DCF Model sheet for Base sensitivity</t>
  </si>
  <si>
    <t>Metric</t>
  </si>
  <si>
    <t>Base Case</t>
  </si>
  <si>
    <t>Bull Case</t>
  </si>
  <si>
    <t>Bear Case</t>
  </si>
  <si>
    <t>10.0%</t>
  </si>
  <si>
    <t>9.0%</t>
  </si>
  <si>
    <t>12.0%</t>
  </si>
  <si>
    <t>Terminal Growth</t>
  </si>
  <si>
    <t>3.0%</t>
  </si>
  <si>
    <t>3.5%</t>
  </si>
  <si>
    <t>2.0%</t>
  </si>
  <si>
    <t>25.4%</t>
  </si>
  <si>
    <t>28.0%</t>
  </si>
  <si>
    <t>22.0%</t>
  </si>
  <si>
    <t>Y1 Growth</t>
  </si>
  <si>
    <t>16.0%</t>
  </si>
  <si>
    <t>20.0%</t>
  </si>
  <si>
    <t>Y5 Growth</t>
  </si>
  <si>
    <t>8.0%</t>
  </si>
  <si>
    <t>4.0%</t>
  </si>
  <si>
    <t>Y1 Revenue (M)</t>
  </si>
  <si>
    <t>$326,800</t>
  </si>
  <si>
    <t>$338,069</t>
  </si>
  <si>
    <t>$309,896</t>
  </si>
  <si>
    <t>Y5 Revenue (M)</t>
  </si>
  <si>
    <t>$495,703</t>
  </si>
  <si>
    <t>$590,837</t>
  </si>
  <si>
    <t>$387,408</t>
  </si>
  <si>
    <t>Y1 FCF (M)</t>
  </si>
  <si>
    <t>$83,007</t>
  </si>
  <si>
    <t>$94,659</t>
  </si>
  <si>
    <t>$68,177</t>
  </si>
  <si>
    <t>Y5 FCF (M)</t>
  </si>
  <si>
    <t>$125,908</t>
  </si>
  <si>
    <t>$165,434</t>
  </si>
  <si>
    <t>$85,230</t>
  </si>
  <si>
    <t>Sum PV FCF (M)</t>
  </si>
  <si>
    <t>$391,099</t>
  </si>
  <si>
    <t>$493,071</t>
  </si>
  <si>
    <t>$275,569</t>
  </si>
  <si>
    <t>$1,852,646</t>
  </si>
  <si>
    <t>$3,113,167</t>
  </si>
  <si>
    <t>$869,346</t>
  </si>
  <si>
    <t>PV Terminal Value (M)</t>
  </si>
  <si>
    <t>$1,150,308</t>
  </si>
  <si>
    <t>$2,023,247</t>
  </si>
  <si>
    <t>$493,267</t>
  </si>
  <si>
    <t>$1,541,407</t>
  </si>
  <si>
    <t>$2,516,318</t>
  </si>
  <si>
    <t>$768,836</t>
  </si>
  <si>
    <t>Net Debt (M)</t>
  </si>
  <si>
    <t>-$51,414</t>
  </si>
  <si>
    <t>$1,592,821</t>
  </si>
  <si>
    <t>$2,567,732</t>
  </si>
  <si>
    <t>$820,250</t>
  </si>
  <si>
    <t>Intrinsic Value/Share</t>
  </si>
  <si>
    <t>$213.37</t>
  </si>
  <si>
    <t>$343.97</t>
  </si>
  <si>
    <t>$109.88</t>
  </si>
  <si>
    <t>$368.57</t>
  </si>
  <si>
    <t>Upside / (Downside)</t>
  </si>
  <si>
    <t>-42.1%</t>
  </si>
  <si>
    <t>-6.7%</t>
  </si>
  <si>
    <t>-70.2%</t>
  </si>
  <si>
    <t>Terminal Value/Share</t>
  </si>
  <si>
    <t>$248.18</t>
  </si>
  <si>
    <t>$417.04</t>
  </si>
  <si>
    <t>$116.46</t>
  </si>
  <si>
    <t>Entry Price (15% CAGR)</t>
  </si>
  <si>
    <t>$123.39</t>
  </si>
  <si>
    <t>$207.34</t>
  </si>
  <si>
    <t>$57.90</t>
  </si>
  <si>
    <t>Entry Discount</t>
  </si>
  <si>
    <t>-66.5%</t>
  </si>
  <si>
    <t>-43.7%</t>
  </si>
  <si>
    <t>-84.3%</t>
  </si>
  <si>
    <t>PROBABILITY-WEIGHTED IV</t>
  </si>
  <si>
    <t>Bull Weight</t>
  </si>
  <si>
    <t>25%</t>
  </si>
  <si>
    <t>Base Weight</t>
  </si>
  <si>
    <t>50%</t>
  </si>
  <si>
    <t>Bear Weight</t>
  </si>
  <si>
    <t>Weighted Intrinsic Value</t>
  </si>
  <si>
    <t>$220.15</t>
  </si>
  <si>
    <t>Upside to Weighted IV</t>
  </si>
  <si>
    <t>-40.3%</t>
  </si>
  <si>
    <t>Sensitivity Analysis — Intrinsic Value per Share (Base Case Growth Rates)</t>
  </si>
  <si>
    <t>Rows = WACC  |  Columns = Terminal Growth Rate  |  Base case: WACC 10%, Terminal Growth 3%</t>
  </si>
  <si>
    <t>WACC \ Term G</t>
  </si>
  <si>
    <t>Current Price: $368.57  |  Blue = Base Case  |  Green = Above Current Price  |  Red = Below $150</t>
  </si>
  <si>
    <t>No cell in the matrix equals or exceeds the current price at the given base growth assumptions, reflecting the valuation premium baked in by the market.</t>
  </si>
  <si>
    <t>Historical Growth Rates — Reference</t>
  </si>
  <si>
    <t>CAGRs calculated from annual data: 3-year (FY2022-FY2025), 5-year (FY2020-FY2025)</t>
  </si>
  <si>
    <t>3-Year CAGR</t>
  </si>
  <si>
    <t>5-Year CAGR</t>
  </si>
  <si>
    <t>Revenue</t>
  </si>
  <si>
    <t>EPS</t>
  </si>
  <si>
    <t>Shareholders Equity</t>
  </si>
  <si>
    <t>Free Cash Flow</t>
  </si>
  <si>
    <t>Selected Growth Rate:</t>
  </si>
  <si>
    <t>Source:</t>
  </si>
  <si>
    <t>revenue_5yr_cagr</t>
  </si>
  <si>
    <t>Divergence Warning:</t>
  </si>
  <si>
    <t>Equity CAGR (23.76%) diverges from Revenue CAGR (14.52%) by 63.6% — exceeds 30% threshold. Divergence driven by two factors: (1) strong earnings growth (18.82% EPS CAGR) building retained earnings faster than revenue growth, and (2) massive AI capex cycle compressing FCF (3.20% 3yr CAGR) well below revenue growth. Using Revenue CAGR as the primary selected rate as it best represents sustainable business growth trajectory. Equity CAGR is inflated by the earnings quality of the subscription model; FCF CAGR is temporarily depressed by $64.5B FY2025 capex. Base case growth rates set above selected rate to reflect Q3 FY2026 Azure +40% YoY momentum.</t>
  </si>
  <si>
    <t>Annual Data Table (USD Millions)</t>
  </si>
  <si>
    <t>Period</t>
  </si>
  <si>
    <t>FCF</t>
  </si>
  <si>
    <t>Shareholders' Equity</t>
  </si>
  <si>
    <t>FCF Margin %</t>
  </si>
  <si>
    <t>FY2020</t>
  </si>
  <si>
    <t>31.6%</t>
  </si>
  <si>
    <t>FY2021</t>
  </si>
  <si>
    <t>33.4%</t>
  </si>
  <si>
    <t>FY2022</t>
  </si>
  <si>
    <t>32.9%</t>
  </si>
  <si>
    <t>FY2023</t>
  </si>
  <si>
    <t>28.1%</t>
  </si>
  <si>
    <t>FY2024</t>
  </si>
  <si>
    <t>30.2%</t>
  </si>
  <si>
    <t>FY2025</t>
  </si>
</sst>
</file>

<file path=xl/styles.xml><?xml version="1.0" encoding="utf-8"?>
<styleSheet xmlns="http://schemas.openxmlformats.org/spreadsheetml/2006/main">
  <numFmts count="6">
    <numFmt numFmtId="164" formatCode="&quot;$&quot;#,##0.00"/>
    <numFmt numFmtId="165" formatCode="#,##0.0"/>
    <numFmt numFmtId="166" formatCode="#,##0"/>
    <numFmt numFmtId="167" formatCode="0.0%"/>
    <numFmt numFmtId="168" formatCode="#,##0.00"/>
    <numFmt numFmtId="169" formatCode="0.00%"/>
  </numFmts>
  <fonts count="9">
    <font>
      <sz val="11"/>
      <color theme="1"/>
      <name val="Calibri"/>
      <family val="2"/>
      <scheme val="minor"/>
    </font>
    <font>
      <b/>
      <sz val="16"/>
      <color rgb="FF2D3436"/>
      <name val="Calibri"/>
      <family val="2"/>
      <scheme val="minor"/>
    </font>
    <font>
      <i/>
      <sz val="10"/>
      <color rgb="FF636E72"/>
      <name val="Calibri"/>
      <family val="2"/>
      <scheme val="minor"/>
    </font>
    <font>
      <b/>
      <sz val="11"/>
      <color rgb="FF2D3436"/>
      <name val="Calibri"/>
      <family val="2"/>
      <scheme val="minor"/>
    </font>
    <font>
      <b/>
      <sz val="11"/>
      <color rgb="FFFFFFFF"/>
      <name val="Calibri"/>
      <family val="2"/>
      <scheme val="minor"/>
    </font>
    <font>
      <b/>
      <sz val="11"/>
      <color theme="1"/>
      <name val="Calibri"/>
      <family val="2"/>
      <scheme val="minor"/>
    </font>
    <font>
      <b/>
      <sz val="12"/>
      <color rgb="FFFFFFFF"/>
      <name val="Calibri"/>
      <family val="2"/>
      <scheme val="minor"/>
    </font>
    <font>
      <i/>
      <sz val="9"/>
      <color rgb="FF636E72"/>
      <name val="Calibri"/>
      <family val="2"/>
      <scheme val="minor"/>
    </font>
    <font>
      <b/>
      <sz val="12"/>
      <color theme="1"/>
      <name val="Calibri"/>
      <family val="2"/>
      <scheme val="minor"/>
    </font>
  </fonts>
  <fills count="8">
    <fill>
      <patternFill patternType="none"/>
    </fill>
    <fill>
      <patternFill patternType="gray125"/>
    </fill>
    <fill>
      <patternFill patternType="solid">
        <fgColor rgb="FFDFE6E9"/>
        <bgColor indexed="64"/>
      </patternFill>
    </fill>
    <fill>
      <patternFill patternType="solid">
        <fgColor rgb="FF2D3436"/>
        <bgColor indexed="64"/>
      </patternFill>
    </fill>
    <fill>
      <patternFill patternType="solid">
        <fgColor rgb="FF00B894"/>
        <bgColor indexed="64"/>
      </patternFill>
    </fill>
    <fill>
      <patternFill patternType="solid">
        <fgColor rgb="FFFDCB6E"/>
        <bgColor indexed="64"/>
      </patternFill>
    </fill>
    <fill>
      <patternFill patternType="solid">
        <fgColor rgb="FF0984E3"/>
        <bgColor indexed="64"/>
      </patternFill>
    </fill>
    <fill>
      <patternFill patternType="solid">
        <fgColor rgb="FFD63031"/>
        <bgColor indexed="64"/>
      </patternFill>
    </fill>
  </fills>
  <borders count="4">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1" xfId="0" applyFont="1" applyBorder="1"/>
    <xf numFmtId="164" fontId="0" fillId="2" borderId="2" xfId="0" applyNumberFormat="1" applyFill="1" applyBorder="1"/>
    <xf numFmtId="165" fontId="0" fillId="2" borderId="2" xfId="0" applyNumberFormat="1" applyFill="1" applyBorder="1"/>
    <xf numFmtId="166" fontId="0" fillId="0" borderId="2" xfId="0" applyNumberFormat="1" applyBorder="1"/>
    <xf numFmtId="167" fontId="0" fillId="2" borderId="2" xfId="0" applyNumberFormat="1" applyFill="1" applyBorder="1"/>
    <xf numFmtId="0" fontId="4" fillId="3" borderId="2" xfId="0" applyFont="1" applyFill="1" applyBorder="1" applyAlignment="1">
      <alignment horizontal="center"/>
    </xf>
    <xf numFmtId="168" fontId="0" fillId="0" borderId="2" xfId="0" applyNumberFormat="1" applyBorder="1"/>
    <xf numFmtId="0" fontId="5" fillId="0" borderId="0" xfId="0" applyFont="1"/>
    <xf numFmtId="164" fontId="6" fillId="4" borderId="2" xfId="0" applyNumberFormat="1" applyFont="1" applyFill="1" applyBorder="1"/>
    <xf numFmtId="164" fontId="0" fillId="0" borderId="2" xfId="0" applyNumberFormat="1" applyBorder="1"/>
    <xf numFmtId="169" fontId="3" fillId="5" borderId="2" xfId="0" applyNumberFormat="1" applyFont="1" applyFill="1" applyBorder="1"/>
    <xf numFmtId="0" fontId="7" fillId="0" borderId="0" xfId="0" applyFont="1" applyAlignment="1">
      <alignment wrapText="1"/>
    </xf>
    <xf numFmtId="0" fontId="4" fillId="6" borderId="2" xfId="0" applyFont="1" applyFill="1" applyBorder="1" applyAlignment="1">
      <alignment horizontal="center"/>
    </xf>
    <xf numFmtId="0" fontId="4" fillId="4" borderId="2" xfId="0" applyFont="1" applyFill="1" applyBorder="1" applyAlignment="1">
      <alignment horizontal="center"/>
    </xf>
    <xf numFmtId="0" fontId="4" fillId="7" borderId="2" xfId="0" applyFont="1" applyFill="1" applyBorder="1" applyAlignment="1">
      <alignment horizontal="center"/>
    </xf>
    <xf numFmtId="0" fontId="8" fillId="0" borderId="0" xfId="0" applyFont="1"/>
    <xf numFmtId="0" fontId="4" fillId="3" borderId="2" xfId="0" applyFont="1" applyFill="1" applyBorder="1"/>
    <xf numFmtId="167" fontId="4" fillId="3" borderId="2" xfId="0" applyNumberFormat="1" applyFont="1" applyFill="1" applyBorder="1" applyAlignment="1">
      <alignment horizontal="center"/>
    </xf>
    <xf numFmtId="164" fontId="0" fillId="0" borderId="2" xfId="0" applyNumberFormat="1" applyBorder="1" applyAlignment="1">
      <alignment horizontal="center"/>
    </xf>
    <xf numFmtId="164" fontId="4" fillId="6" borderId="3" xfId="0" applyNumberFormat="1" applyFont="1" applyFill="1" applyBorder="1"/>
    <xf numFmtId="169" fontId="0" fillId="0" borderId="2" xfId="0" applyNumberForma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44"/>
  <sheetViews>
    <sheetView tabSelected="1" workbookViewId="0"/>
  </sheetViews>
  <sheetFormatPr defaultRowHeight="15"/>
  <cols>
    <col min="1" max="1" width="30.7109375" customWidth="1"/>
    <col min="2" max="8" width="15.7109375" customWidth="1"/>
  </cols>
  <sheetData>
    <row r="1" spans="1:2">
      <c r="A1" s="1" t="s">
        <v>0</v>
      </c>
    </row>
    <row r="2" spans="1:2">
      <c r="A2" s="2" t="s">
        <v>1</v>
      </c>
    </row>
    <row r="4" spans="1:2">
      <c r="A4" s="3" t="s">
        <v>2</v>
      </c>
    </row>
    <row r="5" spans="1:2">
      <c r="A5" t="s">
        <v>3</v>
      </c>
      <c r="B5" s="4">
        <v>368.57</v>
      </c>
    </row>
    <row r="6" spans="1:2">
      <c r="A6" t="s">
        <v>4</v>
      </c>
      <c r="B6" s="5">
        <v>7465</v>
      </c>
    </row>
    <row r="7" spans="1:2">
      <c r="A7" t="s">
        <v>5</v>
      </c>
      <c r="B7" s="5">
        <v>94565</v>
      </c>
    </row>
    <row r="8" spans="1:2">
      <c r="A8" t="s">
        <v>6</v>
      </c>
      <c r="B8" s="5">
        <v>43151</v>
      </c>
    </row>
    <row r="9" spans="1:2">
      <c r="A9" t="s">
        <v>7</v>
      </c>
      <c r="B9" s="6">
        <f>B8-B7</f>
        <v>0</v>
      </c>
    </row>
    <row r="10" spans="1:2">
      <c r="A10" t="s">
        <v>8</v>
      </c>
      <c r="B10" s="5">
        <v>71611</v>
      </c>
    </row>
    <row r="11" spans="1:2">
      <c r="A11" t="s">
        <v>9</v>
      </c>
      <c r="B11" s="5">
        <v>281724</v>
      </c>
    </row>
    <row r="13" spans="1:2">
      <c r="A13" t="s">
        <v>10</v>
      </c>
      <c r="B13" s="7">
        <v>0.1</v>
      </c>
    </row>
    <row r="14" spans="1:2">
      <c r="A14" t="s">
        <v>11</v>
      </c>
      <c r="B14" s="7">
        <v>0.03</v>
      </c>
    </row>
    <row r="15" spans="1:2">
      <c r="A15" t="s">
        <v>12</v>
      </c>
      <c r="B15" s="7">
        <v>0.254</v>
      </c>
    </row>
    <row r="17" spans="1:7">
      <c r="A17" s="3" t="s">
        <v>13</v>
      </c>
      <c r="B17" s="8" t="s">
        <v>14</v>
      </c>
      <c r="C17" s="8" t="s">
        <v>15</v>
      </c>
      <c r="D17" s="8" t="s">
        <v>16</v>
      </c>
      <c r="E17" s="8" t="s">
        <v>17</v>
      </c>
      <c r="F17" s="8" t="s">
        <v>18</v>
      </c>
    </row>
    <row r="18" spans="1:7">
      <c r="B18" s="7">
        <v>0.16</v>
      </c>
      <c r="C18" s="7">
        <v>0.14</v>
      </c>
      <c r="D18" s="7">
        <v>0.12</v>
      </c>
      <c r="E18" s="7">
        <v>0.1</v>
      </c>
      <c r="F18" s="7">
        <v>0.08</v>
      </c>
    </row>
    <row r="19" spans="1:7">
      <c r="A19" s="3" t="s">
        <v>19</v>
      </c>
    </row>
    <row r="20" spans="1:7">
      <c r="A20" t="s">
        <v>20</v>
      </c>
      <c r="B20" s="6">
        <f>B11</f>
        <v>0</v>
      </c>
      <c r="C20" s="6">
        <f>B20*(1+B18)</f>
        <v>0</v>
      </c>
      <c r="D20" s="6">
        <f>C20*(1+C18)</f>
        <v>0</v>
      </c>
      <c r="E20" s="6">
        <f>D20*(1+D18)</f>
        <v>0</v>
      </c>
      <c r="F20" s="6">
        <f>E20*(1+E18)</f>
        <v>0</v>
      </c>
      <c r="G20" s="6">
        <f>F20*(1+F18)</f>
        <v>0</v>
      </c>
    </row>
    <row r="21" spans="1:7">
      <c r="A21" t="s">
        <v>21</v>
      </c>
      <c r="C21" s="6">
        <f>C20*$B$15</f>
        <v>0</v>
      </c>
      <c r="D21" s="6">
        <f>D20*$B$15</f>
        <v>0</v>
      </c>
      <c r="E21" s="6">
        <f>E20*$B$15</f>
        <v>0</v>
      </c>
      <c r="F21" s="6">
        <f>F20*$B$15</f>
        <v>0</v>
      </c>
      <c r="G21" s="6">
        <f>G20*$B$15</f>
        <v>0</v>
      </c>
    </row>
    <row r="22" spans="1:7">
      <c r="A22" t="s">
        <v>22</v>
      </c>
      <c r="C22" s="9">
        <f>1/(1+$B$13)^1</f>
        <v>0</v>
      </c>
      <c r="D22" s="9">
        <f>1/(1+$B$13)^2</f>
        <v>0</v>
      </c>
      <c r="E22" s="9">
        <f>1/(1+$B$13)^3</f>
        <v>0</v>
      </c>
      <c r="F22" s="9">
        <f>1/(1+$B$13)^4</f>
        <v>0</v>
      </c>
      <c r="G22" s="9">
        <f>1/(1+$B$13)^5</f>
        <v>0</v>
      </c>
    </row>
    <row r="23" spans="1:7">
      <c r="A23" t="s">
        <v>23</v>
      </c>
      <c r="C23" s="6">
        <f>C21*C22</f>
        <v>0</v>
      </c>
      <c r="D23" s="6">
        <f>D21*D22</f>
        <v>0</v>
      </c>
      <c r="E23" s="6">
        <f>E21*E22</f>
        <v>0</v>
      </c>
      <c r="F23" s="6">
        <f>F21*F22</f>
        <v>0</v>
      </c>
      <c r="G23" s="6">
        <f>G21*G22</f>
        <v>0</v>
      </c>
    </row>
    <row r="25" spans="1:7">
      <c r="A25" s="3" t="s">
        <v>24</v>
      </c>
    </row>
    <row r="26" spans="1:7">
      <c r="A26" t="s">
        <v>25</v>
      </c>
      <c r="B26" s="6">
        <f>SUM(C23:G23)</f>
        <v>0</v>
      </c>
    </row>
    <row r="27" spans="1:7">
      <c r="A27" t="s">
        <v>26</v>
      </c>
      <c r="B27" s="6">
        <f>G21*(1+$B$14)</f>
        <v>0</v>
      </c>
    </row>
    <row r="28" spans="1:7">
      <c r="A28" t="s">
        <v>27</v>
      </c>
      <c r="B28" s="6">
        <f>B27/($B$13-$B$14)</f>
        <v>0</v>
      </c>
    </row>
    <row r="29" spans="1:7">
      <c r="A29" t="s">
        <v>28</v>
      </c>
      <c r="B29" s="6">
        <f>B28*G22</f>
        <v>0</v>
      </c>
    </row>
    <row r="30" spans="1:7">
      <c r="A30" t="s">
        <v>29</v>
      </c>
      <c r="B30" s="6">
        <f>B26+B29</f>
        <v>0</v>
      </c>
    </row>
    <row r="31" spans="1:7">
      <c r="A31" t="s">
        <v>30</v>
      </c>
      <c r="B31" s="6">
        <f>B9</f>
        <v>0</v>
      </c>
    </row>
    <row r="32" spans="1:7">
      <c r="A32" t="s">
        <v>31</v>
      </c>
      <c r="B32" s="6">
        <f>B30-B31</f>
        <v>0</v>
      </c>
    </row>
    <row r="33" spans="1:2">
      <c r="A33" s="10" t="s">
        <v>32</v>
      </c>
      <c r="B33" s="11">
        <f>B32/B6</f>
        <v>0</v>
      </c>
    </row>
    <row r="35" spans="1:2">
      <c r="A35" t="s">
        <v>33</v>
      </c>
      <c r="B35" s="12">
        <f>B5</f>
        <v>0</v>
      </c>
    </row>
    <row r="36" spans="1:2">
      <c r="A36" t="s">
        <v>34</v>
      </c>
      <c r="B36" s="13">
        <f>(B33-B5)/B5</f>
        <v>0</v>
      </c>
    </row>
    <row r="38" spans="1:2">
      <c r="A38" s="3" t="s">
        <v>35</v>
      </c>
    </row>
    <row r="39" spans="1:2">
      <c r="A39" t="s">
        <v>36</v>
      </c>
      <c r="B39" s="12">
        <f>B28/B6</f>
        <v>0</v>
      </c>
    </row>
    <row r="40" spans="1:2">
      <c r="A40" t="s">
        <v>37</v>
      </c>
      <c r="B40" s="11">
        <f>B39/(1.15^5)</f>
        <v>0</v>
      </c>
    </row>
    <row r="41" spans="1:2">
      <c r="A41" t="s">
        <v>38</v>
      </c>
      <c r="B41" s="13">
        <f>(B40-B5)/B5</f>
        <v>0</v>
      </c>
    </row>
    <row r="43" spans="1:2">
      <c r="A43" s="14" t="s">
        <v>39</v>
      </c>
    </row>
    <row r="44" spans="1:2">
      <c r="A44" s="14" t="s">
        <v>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36"/>
  <sheetViews>
    <sheetView workbookViewId="0"/>
  </sheetViews>
  <sheetFormatPr defaultRowHeight="15"/>
  <cols>
    <col min="1" max="1" width="32.7109375" customWidth="1"/>
    <col min="2" max="4" width="18.7109375" customWidth="1"/>
  </cols>
  <sheetData>
    <row r="1" spans="1:4">
      <c r="A1" s="1" t="s">
        <v>41</v>
      </c>
    </row>
    <row r="2" spans="1:4">
      <c r="A2" s="2" t="s">
        <v>42</v>
      </c>
    </row>
    <row r="4" spans="1:4">
      <c r="A4" s="8" t="s">
        <v>43</v>
      </c>
      <c r="B4" s="15" t="s">
        <v>44</v>
      </c>
      <c r="C4" s="16" t="s">
        <v>45</v>
      </c>
      <c r="D4" s="17" t="s">
        <v>46</v>
      </c>
    </row>
    <row r="5" spans="1:4">
      <c r="A5" s="10" t="s">
        <v>10</v>
      </c>
      <c r="B5" t="s">
        <v>47</v>
      </c>
      <c r="C5" t="s">
        <v>48</v>
      </c>
      <c r="D5" t="s">
        <v>49</v>
      </c>
    </row>
    <row r="6" spans="1:4">
      <c r="A6" s="10" t="s">
        <v>50</v>
      </c>
      <c r="B6" t="s">
        <v>51</v>
      </c>
      <c r="C6" t="s">
        <v>52</v>
      </c>
      <c r="D6" t="s">
        <v>53</v>
      </c>
    </row>
    <row r="7" spans="1:4">
      <c r="A7" s="10" t="s">
        <v>12</v>
      </c>
      <c r="B7" t="s">
        <v>54</v>
      </c>
      <c r="C7" t="s">
        <v>55</v>
      </c>
      <c r="D7" t="s">
        <v>56</v>
      </c>
    </row>
    <row r="8" spans="1:4">
      <c r="A8" s="10" t="s">
        <v>57</v>
      </c>
      <c r="B8" t="s">
        <v>58</v>
      </c>
      <c r="C8" t="s">
        <v>59</v>
      </c>
      <c r="D8" t="s">
        <v>47</v>
      </c>
    </row>
    <row r="9" spans="1:4">
      <c r="A9" s="10" t="s">
        <v>60</v>
      </c>
      <c r="B9" t="s">
        <v>61</v>
      </c>
      <c r="C9" t="s">
        <v>49</v>
      </c>
      <c r="D9" t="s">
        <v>62</v>
      </c>
    </row>
    <row r="11" spans="1:4">
      <c r="A11" s="10" t="s">
        <v>63</v>
      </c>
      <c r="B11" t="s">
        <v>64</v>
      </c>
      <c r="C11" t="s">
        <v>65</v>
      </c>
      <c r="D11" t="s">
        <v>66</v>
      </c>
    </row>
    <row r="12" spans="1:4">
      <c r="A12" s="10" t="s">
        <v>67</v>
      </c>
      <c r="B12" t="s">
        <v>68</v>
      </c>
      <c r="C12" t="s">
        <v>69</v>
      </c>
      <c r="D12" t="s">
        <v>70</v>
      </c>
    </row>
    <row r="13" spans="1:4">
      <c r="A13" s="10" t="s">
        <v>71</v>
      </c>
      <c r="B13" t="s">
        <v>72</v>
      </c>
      <c r="C13" t="s">
        <v>73</v>
      </c>
      <c r="D13" t="s">
        <v>74</v>
      </c>
    </row>
    <row r="14" spans="1:4">
      <c r="A14" s="10" t="s">
        <v>75</v>
      </c>
      <c r="B14" t="s">
        <v>76</v>
      </c>
      <c r="C14" t="s">
        <v>77</v>
      </c>
      <c r="D14" t="s">
        <v>78</v>
      </c>
    </row>
    <row r="16" spans="1:4">
      <c r="A16" s="10" t="s">
        <v>79</v>
      </c>
      <c r="B16" t="s">
        <v>80</v>
      </c>
      <c r="C16" t="s">
        <v>81</v>
      </c>
      <c r="D16" t="s">
        <v>82</v>
      </c>
    </row>
    <row r="17" spans="1:4">
      <c r="A17" s="10" t="s">
        <v>27</v>
      </c>
      <c r="B17" t="s">
        <v>83</v>
      </c>
      <c r="C17" t="s">
        <v>84</v>
      </c>
      <c r="D17" t="s">
        <v>85</v>
      </c>
    </row>
    <row r="18" spans="1:4">
      <c r="A18" s="10" t="s">
        <v>86</v>
      </c>
      <c r="B18" t="s">
        <v>87</v>
      </c>
      <c r="C18" t="s">
        <v>88</v>
      </c>
      <c r="D18" t="s">
        <v>89</v>
      </c>
    </row>
    <row r="19" spans="1:4">
      <c r="A19" s="10" t="s">
        <v>29</v>
      </c>
      <c r="B19" t="s">
        <v>90</v>
      </c>
      <c r="C19" t="s">
        <v>91</v>
      </c>
      <c r="D19" t="s">
        <v>92</v>
      </c>
    </row>
    <row r="20" spans="1:4">
      <c r="A20" s="10" t="s">
        <v>93</v>
      </c>
      <c r="B20" t="s">
        <v>94</v>
      </c>
      <c r="C20" t="s">
        <v>94</v>
      </c>
      <c r="D20" t="s">
        <v>94</v>
      </c>
    </row>
    <row r="21" spans="1:4">
      <c r="A21" s="10" t="s">
        <v>31</v>
      </c>
      <c r="B21" t="s">
        <v>95</v>
      </c>
      <c r="C21" t="s">
        <v>96</v>
      </c>
      <c r="D21" t="s">
        <v>97</v>
      </c>
    </row>
    <row r="23" spans="1:4">
      <c r="A23" s="10" t="s">
        <v>98</v>
      </c>
      <c r="B23" t="s">
        <v>99</v>
      </c>
      <c r="C23" t="s">
        <v>100</v>
      </c>
      <c r="D23" t="s">
        <v>101</v>
      </c>
    </row>
    <row r="24" spans="1:4">
      <c r="A24" s="10" t="s">
        <v>33</v>
      </c>
      <c r="B24" t="s">
        <v>102</v>
      </c>
      <c r="C24" t="s">
        <v>102</v>
      </c>
      <c r="D24" t="s">
        <v>102</v>
      </c>
    </row>
    <row r="25" spans="1:4">
      <c r="A25" s="10" t="s">
        <v>103</v>
      </c>
      <c r="B25" t="s">
        <v>104</v>
      </c>
      <c r="C25" t="s">
        <v>105</v>
      </c>
      <c r="D25" t="s">
        <v>106</v>
      </c>
    </row>
    <row r="27" spans="1:4">
      <c r="A27" s="10" t="s">
        <v>107</v>
      </c>
      <c r="B27" t="s">
        <v>108</v>
      </c>
      <c r="C27" t="s">
        <v>109</v>
      </c>
      <c r="D27" t="s">
        <v>110</v>
      </c>
    </row>
    <row r="28" spans="1:4">
      <c r="A28" s="10" t="s">
        <v>111</v>
      </c>
      <c r="B28" t="s">
        <v>112</v>
      </c>
      <c r="C28" t="s">
        <v>113</v>
      </c>
      <c r="D28" t="s">
        <v>114</v>
      </c>
    </row>
    <row r="29" spans="1:4">
      <c r="A29" s="10" t="s">
        <v>115</v>
      </c>
      <c r="B29" t="s">
        <v>116</v>
      </c>
      <c r="C29" t="s">
        <v>117</v>
      </c>
      <c r="D29" t="s">
        <v>118</v>
      </c>
    </row>
    <row r="31" spans="1:4">
      <c r="A31" s="18" t="s">
        <v>119</v>
      </c>
    </row>
    <row r="32" spans="1:4">
      <c r="A32" t="s">
        <v>120</v>
      </c>
      <c r="B32" t="s">
        <v>121</v>
      </c>
    </row>
    <row r="33" spans="1:2">
      <c r="A33" t="s">
        <v>122</v>
      </c>
      <c r="B33" t="s">
        <v>123</v>
      </c>
    </row>
    <row r="34" spans="1:2">
      <c r="A34" t="s">
        <v>124</v>
      </c>
      <c r="B34" t="s">
        <v>121</v>
      </c>
    </row>
    <row r="35" spans="1:2">
      <c r="A35" s="10" t="s">
        <v>125</v>
      </c>
      <c r="B35" s="11" t="s">
        <v>126</v>
      </c>
    </row>
    <row r="36" spans="1:2">
      <c r="A36" t="s">
        <v>127</v>
      </c>
      <c r="B36" s="13"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12"/>
  <sheetViews>
    <sheetView workbookViewId="0"/>
  </sheetViews>
  <sheetFormatPr defaultRowHeight="15"/>
  <cols>
    <col min="1" max="6" width="14.7109375" customWidth="1"/>
  </cols>
  <sheetData>
    <row r="1" spans="1:6">
      <c r="A1" s="1" t="s">
        <v>129</v>
      </c>
    </row>
    <row r="2" spans="1:6">
      <c r="A2" s="2" t="s">
        <v>130</v>
      </c>
    </row>
    <row r="4" spans="1:6">
      <c r="A4" s="19" t="s">
        <v>131</v>
      </c>
      <c r="B4" s="20">
        <v>0.02</v>
      </c>
      <c r="C4" s="20">
        <v>0.025</v>
      </c>
      <c r="D4" s="20">
        <v>0.03</v>
      </c>
      <c r="E4" s="20">
        <v>0.035</v>
      </c>
      <c r="F4" s="20">
        <v>0.04</v>
      </c>
    </row>
    <row r="5" spans="1:6">
      <c r="A5" s="20">
        <v>0.08</v>
      </c>
      <c r="B5" s="21">
        <v>257.42</v>
      </c>
      <c r="C5" s="21">
        <v>276.21</v>
      </c>
      <c r="D5" s="21">
        <v>298.75</v>
      </c>
      <c r="E5" s="21">
        <v>326.3</v>
      </c>
      <c r="F5" s="21">
        <v>360.74</v>
      </c>
    </row>
    <row r="6" spans="1:6">
      <c r="A6" s="20">
        <v>0.09</v>
      </c>
      <c r="B6" s="21">
        <v>220.48</v>
      </c>
      <c r="C6" s="21">
        <v>233.61</v>
      </c>
      <c r="D6" s="21">
        <v>248.93</v>
      </c>
      <c r="E6" s="21">
        <v>267.03</v>
      </c>
      <c r="F6" s="21">
        <v>288.76</v>
      </c>
    </row>
    <row r="7" spans="1:6">
      <c r="A7" s="20">
        <v>0.1</v>
      </c>
      <c r="B7" s="21">
        <v>192.81</v>
      </c>
      <c r="C7" s="21">
        <v>202.41</v>
      </c>
      <c r="D7" s="22">
        <v>213.38</v>
      </c>
      <c r="E7" s="21">
        <v>226.04</v>
      </c>
      <c r="F7" s="21">
        <v>240.81</v>
      </c>
    </row>
    <row r="8" spans="1:6">
      <c r="A8" s="20">
        <v>0.11</v>
      </c>
      <c r="B8" s="21">
        <v>171.31</v>
      </c>
      <c r="C8" s="21">
        <v>178.57</v>
      </c>
      <c r="D8" s="21">
        <v>186.74</v>
      </c>
      <c r="E8" s="21">
        <v>196</v>
      </c>
      <c r="F8" s="21">
        <v>206.58</v>
      </c>
    </row>
    <row r="9" spans="1:6">
      <c r="A9" s="20">
        <v>0.12</v>
      </c>
      <c r="B9" s="21">
        <v>154.14</v>
      </c>
      <c r="C9" s="21">
        <v>159.78</v>
      </c>
      <c r="D9" s="21">
        <v>166.05</v>
      </c>
      <c r="E9" s="21">
        <v>173.06</v>
      </c>
      <c r="F9" s="21">
        <v>180.94</v>
      </c>
    </row>
    <row r="11" spans="1:6">
      <c r="A11" s="14" t="s">
        <v>132</v>
      </c>
    </row>
    <row r="12" spans="1:6">
      <c r="A12" s="14" t="s">
        <v>133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F23"/>
  <sheetViews>
    <sheetView workbookViewId="0"/>
  </sheetViews>
  <sheetFormatPr defaultRowHeight="15"/>
  <cols>
    <col min="1" max="1" width="12.7109375" customWidth="1"/>
    <col min="2" max="6" width="18.7109375" customWidth="1"/>
  </cols>
  <sheetData>
    <row r="1" spans="1:3">
      <c r="A1" s="1" t="s">
        <v>134</v>
      </c>
    </row>
    <row r="2" spans="1:3">
      <c r="A2" s="2" t="s">
        <v>135</v>
      </c>
    </row>
    <row r="4" spans="1:3">
      <c r="A4" s="8" t="s">
        <v>43</v>
      </c>
      <c r="B4" s="8" t="s">
        <v>136</v>
      </c>
      <c r="C4" s="8" t="s">
        <v>137</v>
      </c>
    </row>
    <row r="5" spans="1:3">
      <c r="A5" t="s">
        <v>138</v>
      </c>
      <c r="B5" s="23">
        <v>0.1242</v>
      </c>
      <c r="C5" s="23">
        <v>0.1452</v>
      </c>
    </row>
    <row r="6" spans="1:3">
      <c r="A6" t="s">
        <v>139</v>
      </c>
      <c r="B6" s="23">
        <v>0.1223</v>
      </c>
      <c r="C6" s="23">
        <v>0.1882</v>
      </c>
    </row>
    <row r="7" spans="1:3">
      <c r="A7" t="s">
        <v>140</v>
      </c>
      <c r="B7" s="23">
        <v>0.2729</v>
      </c>
      <c r="C7" s="23">
        <v>0.2376</v>
      </c>
    </row>
    <row r="8" spans="1:3">
      <c r="A8" t="s">
        <v>141</v>
      </c>
      <c r="B8" s="23">
        <v>0.032</v>
      </c>
      <c r="C8" s="23">
        <v>0.09619999999999999</v>
      </c>
    </row>
    <row r="10" spans="1:3">
      <c r="A10" s="10" t="s">
        <v>142</v>
      </c>
      <c r="B10" s="23">
        <v>0.1452</v>
      </c>
    </row>
    <row r="11" spans="1:3">
      <c r="A11" t="s">
        <v>143</v>
      </c>
      <c r="B11" t="s">
        <v>144</v>
      </c>
    </row>
    <row r="13" spans="1:3" ht="60" customHeight="1">
      <c r="A13" s="10" t="s">
        <v>145</v>
      </c>
      <c r="B13" s="14" t="s">
        <v>146</v>
      </c>
    </row>
    <row r="16" spans="1:3">
      <c r="A16" s="3" t="s">
        <v>147</v>
      </c>
    </row>
    <row r="17" spans="1:6">
      <c r="A17" s="8" t="s">
        <v>148</v>
      </c>
      <c r="B17" s="8" t="s">
        <v>138</v>
      </c>
      <c r="C17" s="8" t="s">
        <v>149</v>
      </c>
      <c r="D17" s="8" t="s">
        <v>139</v>
      </c>
      <c r="E17" s="8" t="s">
        <v>150</v>
      </c>
      <c r="F17" s="8" t="s">
        <v>151</v>
      </c>
    </row>
    <row r="18" spans="1:6">
      <c r="A18" t="s">
        <v>152</v>
      </c>
      <c r="B18" s="6">
        <v>143015</v>
      </c>
      <c r="C18" s="6">
        <v>45234</v>
      </c>
      <c r="D18" s="9">
        <v>5.76</v>
      </c>
      <c r="E18" s="6">
        <v>118304</v>
      </c>
      <c r="F18" t="s">
        <v>153</v>
      </c>
    </row>
    <row r="19" spans="1:6">
      <c r="A19" t="s">
        <v>154</v>
      </c>
      <c r="B19" s="6">
        <v>168088</v>
      </c>
      <c r="C19" s="6">
        <v>56118</v>
      </c>
      <c r="D19" s="9">
        <v>8.050000000000001</v>
      </c>
      <c r="E19" s="6">
        <v>141988</v>
      </c>
      <c r="F19" t="s">
        <v>155</v>
      </c>
    </row>
    <row r="20" spans="1:6">
      <c r="A20" t="s">
        <v>156</v>
      </c>
      <c r="B20" s="6">
        <v>198270</v>
      </c>
      <c r="C20" s="6">
        <v>65149</v>
      </c>
      <c r="D20" s="9">
        <v>9.65</v>
      </c>
      <c r="E20" s="6">
        <v>166542</v>
      </c>
      <c r="F20" t="s">
        <v>157</v>
      </c>
    </row>
    <row r="21" spans="1:6">
      <c r="A21" t="s">
        <v>158</v>
      </c>
      <c r="B21" s="6">
        <v>211915</v>
      </c>
      <c r="C21" s="6">
        <v>59475</v>
      </c>
      <c r="D21" s="9">
        <v>9.68</v>
      </c>
      <c r="E21" s="6">
        <v>206223</v>
      </c>
      <c r="F21" t="s">
        <v>159</v>
      </c>
    </row>
    <row r="22" spans="1:6">
      <c r="A22" t="s">
        <v>160</v>
      </c>
      <c r="B22" s="6">
        <v>245122</v>
      </c>
      <c r="C22" s="6">
        <v>74071</v>
      </c>
      <c r="D22" s="9">
        <v>11.8</v>
      </c>
      <c r="E22" s="6">
        <v>268477</v>
      </c>
      <c r="F22" t="s">
        <v>161</v>
      </c>
    </row>
    <row r="23" spans="1:6">
      <c r="A23" t="s">
        <v>162</v>
      </c>
      <c r="B23" s="6">
        <v>281724</v>
      </c>
      <c r="C23" s="6">
        <v>71611</v>
      </c>
      <c r="D23" s="9">
        <v>13.64</v>
      </c>
      <c r="E23" s="6">
        <v>343479</v>
      </c>
      <c r="F23"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DCF Model</vt:lpstr>
      <vt:lpstr>Scenarios</vt:lpstr>
      <vt:lpstr>Sensitivity</vt:lpstr>
      <vt:lpstr>Historical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2026-06-30T02:28:30Z</dcterms:created>
  <dcterms:modified xsi:type="dcterms:W3CDTF">2026-06-30T02:28:30Z</dcterms:modified>
</cp:coreProperties>
</file>