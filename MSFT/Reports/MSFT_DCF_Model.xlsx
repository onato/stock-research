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CF Model" sheetId="1" r:id="rId1"/>
    <sheet name="Scenario Analysis" sheetId="2" r:id="rId2"/>
    <sheet name="Sensitivity" sheetId="3" r:id="rId3"/>
    <sheet name="Investment Notes" sheetId="4" r:id="rId4"/>
  </sheets>
  <calcPr calcId="124519" fullCalcOnLoad="1"/>
</workbook>
</file>

<file path=xl/sharedStrings.xml><?xml version="1.0" encoding="utf-8"?>
<sst xmlns="http://schemas.openxmlformats.org/spreadsheetml/2006/main" count="118" uniqueCount="110">
  <si>
    <t>MSFT DCF Valuation Model</t>
  </si>
  <si>
    <t>Gray cells are INPUTS - adjust to see valuation change</t>
  </si>
  <si>
    <t>Valuation Date: 2026-02-05 | All values in millions USD except per-share amounts</t>
  </si>
  <si>
    <t>KEY INPUTS</t>
  </si>
  <si>
    <t>Current Stock Price</t>
  </si>
  <si>
    <t>Shares Outstanding (M)</t>
  </si>
  <si>
    <t>Cash &amp; Equivalents (M)</t>
  </si>
  <si>
    <t>Total Debt (M)</t>
  </si>
  <si>
    <t>Net Debt (M)</t>
  </si>
  <si>
    <t>Base Year FCF (M)</t>
  </si>
  <si>
    <t>WACC</t>
  </si>
  <si>
    <t>Terminal Growth Rate</t>
  </si>
  <si>
    <t>GROWTH ASSUMPTIONS</t>
  </si>
  <si>
    <t>FCF Growth Rate</t>
  </si>
  <si>
    <t>Year 1</t>
  </si>
  <si>
    <t>Year 2</t>
  </si>
  <si>
    <t>Year 3</t>
  </si>
  <si>
    <t>Year 4</t>
  </si>
  <si>
    <t>Year 5</t>
  </si>
  <si>
    <t>PROJECTIONS</t>
  </si>
  <si>
    <t>Base</t>
  </si>
  <si>
    <t>Free Cash Flow</t>
  </si>
  <si>
    <t>Discount Factor</t>
  </si>
  <si>
    <t>PV of FCF</t>
  </si>
  <si>
    <t>VALUATION</t>
  </si>
  <si>
    <t>Sum of PV of FCF</t>
  </si>
  <si>
    <t>Terminal FCF (Year 5 * (1+g))</t>
  </si>
  <si>
    <t>Terminal Value</t>
  </si>
  <si>
    <t>PV of Terminal Value</t>
  </si>
  <si>
    <t>Enterprise Value</t>
  </si>
  <si>
    <t>Less: Net Debt</t>
  </si>
  <si>
    <t>Equity Value</t>
  </si>
  <si>
    <t>INTRINSIC VALUE/SHARE</t>
  </si>
  <si>
    <t>Upside to Intrinsic Value</t>
  </si>
  <si>
    <t>ENTRY PRICE ANALYSIS</t>
  </si>
  <si>
    <t>(15% CAGR Target)</t>
  </si>
  <si>
    <t>Terminal Value per Share</t>
  </si>
  <si>
    <t>Entry Price (15% CAGR)</t>
  </si>
  <si>
    <t>Discount from Current Price</t>
  </si>
  <si>
    <t>HISTORICAL GROWTH RATES</t>
  </si>
  <si>
    <t>Metric</t>
  </si>
  <si>
    <t>3-Year CAGR</t>
  </si>
  <si>
    <t>5-Year CAGR</t>
  </si>
  <si>
    <t>Revenue</t>
  </si>
  <si>
    <t>EPS</t>
  </si>
  <si>
    <t>Equity</t>
  </si>
  <si>
    <t>FCF</t>
  </si>
  <si>
    <t>Selected Growth Rate:</t>
  </si>
  <si>
    <t>Source:</t>
  </si>
  <si>
    <t>revenue_5yr_cagr</t>
  </si>
  <si>
    <t>Note:</t>
  </si>
  <si>
    <t>Equity CAGR (23.73%) diverges from Revenue CAGR (14.52%) by 63.4%. This divergence driven by massive AI capex depressing FCF temporarily. Using Revenue CAGR as primary rate given it's more representative of sustainable business growth. Equity growth accelerated due to strong earnings growth (18.82% EPS CAGR) while FCF suppressed by $64.5B capex in FY2025.</t>
  </si>
  <si>
    <t>Scenario Analysis</t>
  </si>
  <si>
    <t>Compare Base, Bull, and Bear case assumptions and valuations</t>
  </si>
  <si>
    <t>ASSUMPTIONS</t>
  </si>
  <si>
    <t>Base Case</t>
  </si>
  <si>
    <t>Bull Case</t>
  </si>
  <si>
    <t>Bear Case</t>
  </si>
  <si>
    <t>Year 1 Growth</t>
  </si>
  <si>
    <t>Year 2 Growth</t>
  </si>
  <si>
    <t>Year 3 Growth</t>
  </si>
  <si>
    <t>Year 4 Growth</t>
  </si>
  <si>
    <t>Year 5 Growth</t>
  </si>
  <si>
    <t>Terminal Growth</t>
  </si>
  <si>
    <t>VALUATION RESULTS</t>
  </si>
  <si>
    <t>Intrinsic Value/Share</t>
  </si>
  <si>
    <t>Upside to IV</t>
  </si>
  <si>
    <t>PROBABILITY WEIGHTED</t>
  </si>
  <si>
    <t>Probability Weights</t>
  </si>
  <si>
    <t>Weighted Intrinsic Value</t>
  </si>
  <si>
    <t>SCENARIO DESCRIPTIONS</t>
  </si>
  <si>
    <t>Base Case:</t>
  </si>
  <si>
    <t>Revenue CAGR starting at 15%, decelerating as AI growth normalizes. FCF margin based on FY2025 actual (25.4%). Assumes capex moderates from $64.5B toward sustainable levels by Year 5.</t>
  </si>
  <si>
    <t>Bull Case:</t>
  </si>
  <si>
    <t>AI monetization accelerates with Copilot adoption expanding from 3.3% to 30%+ of M365 users. Azure capacity constraints resolved sooner, capturing pent-up demand. $625B backlog converts strongly. FCF margin expands as capex growth slows while revenue accelerates.</t>
  </si>
  <si>
    <t>Bear Case:</t>
  </si>
  <si>
    <t>Copilot adoption stalls, AI ROI questioned. Capacity constraints cause share loss to AWS/Google. Massive capex ($71B+) continues without commensurate revenue growth. Regulatory pressures force pricing changes. FCF margin compressed by sustained high capex and margin pressure from AI costs.</t>
  </si>
  <si>
    <t>Sensitivity Analysis</t>
  </si>
  <si>
    <t>Intrinsic Value by WACC &amp; Terminal Growth Rate</t>
  </si>
  <si>
    <t>Values in USD per share</t>
  </si>
  <si>
    <t>WACC / Term G</t>
  </si>
  <si>
    <t>Current Price:</t>
  </si>
  <si>
    <t>Green cell = Base case assumptions (WACC 10%, Terminal Growth 3%)</t>
  </si>
  <si>
    <t>MSFT Investment Analysis Notes</t>
  </si>
  <si>
    <t>Analysis Date: 2026-02-05</t>
  </si>
  <si>
    <t>KEY VALUATION INSIGHTS</t>
  </si>
  <si>
    <t>1. Microsoft trading at $415 (Feb 2026) implies market expects sustained 18-20%+ growth with margin expansion beyond our bull case assumptions.</t>
  </si>
  <si>
    <t>2. Key value driver: AI monetization success. Copilot expansion from 3.3% to 20%+ penetration would justify higher valuation.</t>
  </si>
  <si>
    <t>3. Capacity constraints through June 2026 create near-term growth ceiling but strong $625B backlog provides medium-term visibility.</t>
  </si>
  <si>
    <t>4. Capex-to-revenue ratio at 22.9% in FY2025, expected to stay elevated. FCF growth will lag revenue growth until capex moderates.</t>
  </si>
  <si>
    <t>5. At current price, requires 15%+ CAGR to terminal value, achievable only in optimistic scenarios. Premium valuation assumes flawless AI execution.</t>
  </si>
  <si>
    <t>6. Entry price analysis: To achieve 15% CAGR, would need to enter at $118-208 range depending on scenario. Current $415 offers minimal margin of safety.</t>
  </si>
  <si>
    <t>7. Regulatory risks not fully priced in - FTC/EU investigations could force structural changes to high-margin cloud business.</t>
  </si>
  <si>
    <t>8. Strong competitive position and execution track record support premium, but valuation leaves little room for disappointment.</t>
  </si>
  <si>
    <t>BULL CASE THESIS</t>
  </si>
  <si>
    <t>+ AI leadership position through OpenAI partnership (27% ownership) and Azure AI platform gives multi-year advantage as enterprises adopt generative AI. $625B commercial backlog provides unprecedented revenue visibility.</t>
  </si>
  <si>
    <t>+ Azure infrastructure scale advantage - nearly doubling datacenter footprint over 2 years creates widening moat vs competitors. Hyperscale economics and three-layer economies of scale difficult to replicate.</t>
  </si>
  <si>
    <t>+ Microsoft 365 ecosystem lock-in with 70% of Fortune 500 using Copilot creates expansion opportunity. Even at low initial penetration, TAM of moving from 3.3% to 30%+ paid Copilot usage is massive.</t>
  </si>
  <si>
    <t>+ Margin expansion potential from AI - once capacity constraints ease, high-margin AI services and Copilot seats ($30/user/month) could drive operating leverage. Services mix shift supports long-term margin growth.</t>
  </si>
  <si>
    <t>+ Strong capital return program - $60B buyback authorization, 9.6% dividend increase, and free cash flow generation enables sustained shareholder returns even with massive capex.</t>
  </si>
  <si>
    <t>+ Gaming transformation post-Activision provides content library moat for Game Pass subscriptions. Shift from hardware to software/services aligns with higher-margin business model.</t>
  </si>
  <si>
    <t>+ Undervalued relative to AI opportunity - if AI infrastructure spending translates to sustained revenue acceleration, current multiple could expand toward $5T market cap that analysts project.</t>
  </si>
  <si>
    <t>BEAR CASE THESIS</t>
  </si>
  <si>
    <t>- Capex explosion ($71B+ FY2026) with uncertain AI ROI creates risk of asset impairments if monetization disappoints. GPU depreciation accelerating (~50% of capex short-lived), requiring continued heavy investment.</t>
  </si>
  <si>
    <t>- Copilot adoption far below expectations - only 3.3% conversion of free users to paid despite Fortune 500 pilots suggests enterprise value proposition unclear. Seat expansion could stall if ROI not proven.</t>
  </si>
  <si>
    <t>- Capacity constraints through June 2026 mean losing AI deals to competitors today. By time constraints ease, Google, Amazon, or new entrants could have closed gap or taken share.</t>
  </si>
  <si>
    <t>- OpenAI partnership weakening - October 2025 restructuring reduced exclusivity, allowing OpenAI to work with third parties and use other clouds. Microsoft's differentiation from OpenAI IP declining.</t>
  </si>
  <si>
    <t>- Multiple regulatory threats - FTC, EU, UK investigations into cloud licensing, bundling, and AI partnerships could force business model changes, reduce pricing power, or result in fines. Teams unbundling precedent concerning.</t>
  </si>
  <si>
    <t>- Valuation stretched at 32x P/E (as of Feb 2026) requires perfect execution. Azure growth deceleration or margin compression from AI costs could trigger multiple contraction. Analysts cutting price targets post-Q2 earnings.</t>
  </si>
  <si>
    <t>- IRS transfer pricing dispute ($28.9B at stake) creates tax uncertainty and potential cash drain if Microsoft loses on appeal or in court.</t>
  </si>
</sst>
</file>

<file path=xl/styles.xml><?xml version="1.0" encoding="utf-8"?>
<styleSheet xmlns="http://schemas.openxmlformats.org/spreadsheetml/2006/main">
  <numFmts count="3">
    <numFmt numFmtId="164" formatCode="#,##0.0"/>
    <numFmt numFmtId="165" formatCode="0.0%"/>
    <numFmt numFmtId="166" formatCode="&quot;$&quot;#,##0.00"/>
  </numFmts>
  <fonts count="6">
    <font>
      <sz val="11"/>
      <color theme="1"/>
      <name val="Calibri"/>
      <family val="2"/>
      <scheme val="minor"/>
    </font>
    <font>
      <b/>
      <sz val="16"/>
      <color theme="1"/>
      <name val="Calibri"/>
      <family val="2"/>
      <scheme val="minor"/>
    </font>
    <font>
      <i/>
      <sz val="11"/>
      <color rgb="FF808080"/>
      <name val="Calibri"/>
      <family val="2"/>
      <scheme val="minor"/>
    </font>
    <font>
      <b/>
      <sz val="12"/>
      <color theme="1"/>
      <name val="Calibri"/>
      <family val="2"/>
      <scheme val="minor"/>
    </font>
    <font>
      <b/>
      <sz val="11"/>
      <color rgb="FFFFFFFF"/>
      <name val="Calibri"/>
      <family val="2"/>
      <scheme val="minor"/>
    </font>
    <font>
      <b/>
      <sz val="11"/>
      <color theme="1"/>
      <name val="Calibri"/>
      <family val="2"/>
      <scheme val="minor"/>
    </font>
  </fonts>
  <fills count="5">
    <fill>
      <patternFill patternType="none"/>
    </fill>
    <fill>
      <patternFill patternType="gray125"/>
    </fill>
    <fill>
      <patternFill patternType="solid">
        <fgColor rgb="FFDFE6E9"/>
        <bgColor indexed="64"/>
      </patternFill>
    </fill>
    <fill>
      <patternFill patternType="solid">
        <fgColor rgb="FF2D3436"/>
        <bgColor indexed="64"/>
      </patternFill>
    </fill>
    <fill>
      <patternFill patternType="solid">
        <fgColor rgb="FF00B894"/>
        <bgColor indexed="64"/>
      </patternFill>
    </fill>
  </fills>
  <borders count="3">
    <border>
      <left/>
      <right/>
      <top/>
      <bottom/>
      <diagonal/>
    </border>
    <border>
      <left/>
      <right/>
      <top/>
      <bottom style="medium">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1" fillId="0" borderId="0" xfId="0" applyFont="1"/>
    <xf numFmtId="0" fontId="2" fillId="0" borderId="0" xfId="0" applyFont="1" applyAlignment="1">
      <alignment wrapText="1"/>
    </xf>
    <xf numFmtId="0" fontId="3" fillId="0" borderId="1" xfId="0" applyFont="1" applyBorder="1"/>
    <xf numFmtId="164" fontId="0" fillId="2" borderId="2" xfId="0" applyNumberFormat="1" applyFill="1" applyBorder="1"/>
    <xf numFmtId="164" fontId="0" fillId="0" borderId="2" xfId="0" applyNumberFormat="1" applyBorder="1"/>
    <xf numFmtId="165" fontId="0" fillId="2" borderId="2" xfId="0" applyNumberFormat="1" applyFill="1" applyBorder="1"/>
    <xf numFmtId="0" fontId="4" fillId="3" borderId="2" xfId="0" applyFont="1" applyFill="1" applyBorder="1"/>
    <xf numFmtId="0" fontId="5" fillId="0" borderId="0" xfId="0" applyFont="1"/>
    <xf numFmtId="166" fontId="4" fillId="4" borderId="2" xfId="0" applyNumberFormat="1" applyFont="1" applyFill="1" applyBorder="1"/>
    <xf numFmtId="165" fontId="0" fillId="0" borderId="2" xfId="0" applyNumberFormat="1" applyBorder="1"/>
    <xf numFmtId="166" fontId="0" fillId="0" borderId="2" xfId="0" applyNumberFormat="1" applyBorder="1"/>
    <xf numFmtId="165" fontId="4" fillId="3" borderId="0" xfId="0" applyNumberFormat="1" applyFont="1" applyFill="1" applyAlignment="1">
      <alignment horizontal="center"/>
    </xf>
    <xf numFmtId="165" fontId="4" fillId="3" borderId="0" xfId="0" applyNumberFormat="1"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50"/>
  <sheetViews>
    <sheetView tabSelected="1" workbookViewId="0"/>
  </sheetViews>
  <sheetFormatPr defaultRowHeight="15"/>
  <cols>
    <col min="1" max="1" width="28.7109375" customWidth="1"/>
    <col min="2" max="8" width="14.7109375" customWidth="1"/>
  </cols>
  <sheetData>
    <row r="1" spans="1:6">
      <c r="A1" s="1" t="s">
        <v>0</v>
      </c>
    </row>
    <row r="2" spans="1:6">
      <c r="A2" s="2" t="s">
        <v>1</v>
      </c>
    </row>
    <row r="3" spans="1:6">
      <c r="A3" s="2" t="s">
        <v>2</v>
      </c>
    </row>
    <row r="5" spans="1:6">
      <c r="A5" s="3" t="s">
        <v>3</v>
      </c>
    </row>
    <row r="6" spans="1:6">
      <c r="A6" t="s">
        <v>4</v>
      </c>
      <c r="B6" s="4">
        <v>415</v>
      </c>
    </row>
    <row r="7" spans="1:6">
      <c r="A7" t="s">
        <v>5</v>
      </c>
      <c r="B7" s="4">
        <v>7465</v>
      </c>
    </row>
    <row r="8" spans="1:6">
      <c r="A8" t="s">
        <v>6</v>
      </c>
      <c r="B8" s="4">
        <v>94565</v>
      </c>
    </row>
    <row r="9" spans="1:6">
      <c r="A9" t="s">
        <v>7</v>
      </c>
      <c r="B9" s="4">
        <v>43151</v>
      </c>
    </row>
    <row r="10" spans="1:6">
      <c r="A10" t="s">
        <v>8</v>
      </c>
      <c r="B10" s="5">
        <f>B9-B8</f>
        <v>0</v>
      </c>
    </row>
    <row r="11" spans="1:6">
      <c r="A11" t="s">
        <v>9</v>
      </c>
      <c r="B11" s="4">
        <v>71611</v>
      </c>
    </row>
    <row r="13" spans="1:6">
      <c r="A13" t="s">
        <v>10</v>
      </c>
      <c r="B13" s="6">
        <v>0.1</v>
      </c>
    </row>
    <row r="14" spans="1:6">
      <c r="A14" t="s">
        <v>11</v>
      </c>
      <c r="B14" s="6">
        <v>0.03</v>
      </c>
    </row>
    <row r="16" spans="1:6">
      <c r="A16" s="3" t="s">
        <v>12</v>
      </c>
      <c r="B16" s="7" t="s">
        <v>14</v>
      </c>
      <c r="C16" s="7" t="s">
        <v>15</v>
      </c>
      <c r="D16" s="7" t="s">
        <v>16</v>
      </c>
      <c r="E16" s="7" t="s">
        <v>17</v>
      </c>
      <c r="F16" s="7" t="s">
        <v>18</v>
      </c>
    </row>
    <row r="17" spans="1:7">
      <c r="A17" t="s">
        <v>13</v>
      </c>
      <c r="B17" s="6">
        <v>0.15</v>
      </c>
      <c r="C17" s="6">
        <v>0.13</v>
      </c>
      <c r="D17" s="6">
        <v>0.11</v>
      </c>
      <c r="E17" s="6">
        <v>0.09</v>
      </c>
      <c r="F17" s="6">
        <v>0.07000000000000001</v>
      </c>
    </row>
    <row r="19" spans="1:7">
      <c r="A19" s="3" t="s">
        <v>19</v>
      </c>
    </row>
    <row r="20" spans="1:7">
      <c r="A20" s="7"/>
      <c r="B20" s="7" t="s">
        <v>20</v>
      </c>
      <c r="C20" s="7" t="s">
        <v>14</v>
      </c>
      <c r="D20" s="7" t="s">
        <v>15</v>
      </c>
      <c r="E20" s="7" t="s">
        <v>16</v>
      </c>
      <c r="F20" s="7" t="s">
        <v>17</v>
      </c>
      <c r="G20" s="7" t="s">
        <v>18</v>
      </c>
    </row>
    <row r="21" spans="1:7">
      <c r="A21" t="s">
        <v>21</v>
      </c>
      <c r="B21" s="5">
        <f>B11</f>
        <v>0</v>
      </c>
      <c r="C21" s="5">
        <f>B21*(1+B17)</f>
        <v>0</v>
      </c>
      <c r="D21" s="5">
        <f>C21*(1+C17)</f>
        <v>0</v>
      </c>
      <c r="E21" s="5">
        <f>D21*(1+D17)</f>
        <v>0</v>
      </c>
      <c r="F21" s="5">
        <f>E21*(1+E17)</f>
        <v>0</v>
      </c>
      <c r="G21" s="5">
        <f>F21*(1+F17)</f>
        <v>0</v>
      </c>
    </row>
    <row r="22" spans="1:7">
      <c r="A22" t="s">
        <v>22</v>
      </c>
      <c r="C22" s="5">
        <f>1/(1+$B$13)^1</f>
        <v>0</v>
      </c>
      <c r="D22" s="5">
        <f>1/(1+$B$13)^2</f>
        <v>0</v>
      </c>
      <c r="E22" s="5">
        <f>1/(1+$B$13)^3</f>
        <v>0</v>
      </c>
      <c r="F22" s="5">
        <f>1/(1+$B$13)^4</f>
        <v>0</v>
      </c>
      <c r="G22" s="5">
        <f>1/(1+$B$13)^5</f>
        <v>0</v>
      </c>
    </row>
    <row r="23" spans="1:7">
      <c r="A23" t="s">
        <v>23</v>
      </c>
      <c r="C23" s="5">
        <f>C21*C22</f>
        <v>0</v>
      </c>
      <c r="D23" s="5">
        <f>D21*D22</f>
        <v>0</v>
      </c>
      <c r="E23" s="5">
        <f>E21*E22</f>
        <v>0</v>
      </c>
      <c r="F23" s="5">
        <f>F21*F22</f>
        <v>0</v>
      </c>
      <c r="G23" s="5">
        <f>G21*G22</f>
        <v>0</v>
      </c>
    </row>
    <row r="25" spans="1:7">
      <c r="A25" s="3" t="s">
        <v>24</v>
      </c>
    </row>
    <row r="26" spans="1:7">
      <c r="A26" t="s">
        <v>25</v>
      </c>
      <c r="B26" s="5">
        <f>SUM(C23:G23)</f>
        <v>0</v>
      </c>
    </row>
    <row r="27" spans="1:7">
      <c r="A27" t="s">
        <v>26</v>
      </c>
      <c r="B27" s="5">
        <f>G21*(1+$B$14)</f>
        <v>0</v>
      </c>
    </row>
    <row r="28" spans="1:7">
      <c r="A28" t="s">
        <v>27</v>
      </c>
      <c r="B28" s="5">
        <f>B27/($B$13-$B$14)</f>
        <v>0</v>
      </c>
    </row>
    <row r="29" spans="1:7">
      <c r="A29" t="s">
        <v>28</v>
      </c>
      <c r="B29" s="5">
        <f>B28*G22</f>
        <v>0</v>
      </c>
    </row>
    <row r="30" spans="1:7">
      <c r="A30" t="s">
        <v>29</v>
      </c>
      <c r="B30" s="5">
        <f>B26+B29</f>
        <v>0</v>
      </c>
    </row>
    <row r="31" spans="1:7">
      <c r="A31" t="s">
        <v>30</v>
      </c>
      <c r="B31" s="5">
        <f>B10</f>
        <v>0</v>
      </c>
    </row>
    <row r="32" spans="1:7">
      <c r="A32" t="s">
        <v>31</v>
      </c>
      <c r="B32" s="5">
        <f>B30-B31</f>
        <v>0</v>
      </c>
    </row>
    <row r="33" spans="1:4">
      <c r="A33" s="8" t="s">
        <v>32</v>
      </c>
      <c r="B33" s="9">
        <f>B32/B7</f>
        <v>0</v>
      </c>
    </row>
    <row r="34" spans="1:4">
      <c r="A34" t="s">
        <v>33</v>
      </c>
      <c r="B34" s="10">
        <f>(B33-B6)/B6</f>
        <v>0</v>
      </c>
    </row>
    <row r="36" spans="1:4">
      <c r="A36" s="3" t="s">
        <v>34</v>
      </c>
      <c r="D36" s="2" t="s">
        <v>35</v>
      </c>
    </row>
    <row r="37" spans="1:4">
      <c r="A37" t="s">
        <v>36</v>
      </c>
      <c r="B37" s="11">
        <f>B28/B7</f>
        <v>0</v>
      </c>
    </row>
    <row r="38" spans="1:4">
      <c r="A38" t="s">
        <v>37</v>
      </c>
      <c r="B38" s="9">
        <f>B37/(1.15^5)</f>
        <v>0</v>
      </c>
    </row>
    <row r="39" spans="1:4">
      <c r="A39" t="s">
        <v>38</v>
      </c>
      <c r="B39" s="10">
        <f>(B38-B6)/B6</f>
        <v>0</v>
      </c>
    </row>
    <row r="41" spans="1:4">
      <c r="A41" s="3" t="s">
        <v>39</v>
      </c>
    </row>
    <row r="42" spans="1:4">
      <c r="A42" s="7" t="s">
        <v>40</v>
      </c>
      <c r="B42" s="7" t="s">
        <v>41</v>
      </c>
      <c r="C42" s="7" t="s">
        <v>42</v>
      </c>
    </row>
    <row r="43" spans="1:4">
      <c r="A43" t="s">
        <v>43</v>
      </c>
      <c r="B43" s="10">
        <v>0.1246</v>
      </c>
      <c r="C43" s="10">
        <v>0.1452</v>
      </c>
    </row>
    <row r="44" spans="1:4">
      <c r="A44" t="s">
        <v>44</v>
      </c>
      <c r="B44" s="10">
        <v>0.1222</v>
      </c>
      <c r="C44" s="10">
        <v>0.1882</v>
      </c>
    </row>
    <row r="45" spans="1:4">
      <c r="A45" t="s">
        <v>45</v>
      </c>
      <c r="B45" s="10">
        <v>0.2704</v>
      </c>
      <c r="C45" s="10">
        <v>0.2373</v>
      </c>
    </row>
    <row r="46" spans="1:4">
      <c r="A46" t="s">
        <v>46</v>
      </c>
      <c r="B46" s="10">
        <v>0.0321</v>
      </c>
      <c r="C46" s="10">
        <v>0.09630000000000001</v>
      </c>
    </row>
    <row r="47" spans="1:4">
      <c r="A47" s="8" t="s">
        <v>47</v>
      </c>
      <c r="B47" s="10">
        <v>0.1452</v>
      </c>
    </row>
    <row r="48" spans="1:4">
      <c r="A48" t="s">
        <v>48</v>
      </c>
      <c r="B48" t="s">
        <v>49</v>
      </c>
    </row>
    <row r="49" spans="1:7">
      <c r="A49" s="8" t="s">
        <v>50</v>
      </c>
      <c r="B49" s="2" t="s">
        <v>51</v>
      </c>
      <c r="C49" s="2"/>
      <c r="D49" s="2"/>
      <c r="E49" s="2"/>
      <c r="F49" s="2"/>
      <c r="G49" s="2"/>
    </row>
    <row r="50" spans="1:7">
      <c r="B50" s="2"/>
      <c r="C50" s="2"/>
      <c r="D50" s="2"/>
      <c r="E50" s="2"/>
      <c r="F50" s="2"/>
      <c r="G50" s="2"/>
    </row>
  </sheetData>
  <mergeCells count="1">
    <mergeCell ref="B49:G50"/>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32"/>
  <sheetViews>
    <sheetView workbookViewId="0"/>
  </sheetViews>
  <sheetFormatPr defaultRowHeight="15"/>
  <cols>
    <col min="1" max="1" width="25.7109375" customWidth="1"/>
    <col min="2" max="4" width="16.7109375" customWidth="1"/>
  </cols>
  <sheetData>
    <row r="1" spans="1:4">
      <c r="A1" s="1" t="s">
        <v>52</v>
      </c>
    </row>
    <row r="2" spans="1:4">
      <c r="A2" t="s">
        <v>53</v>
      </c>
    </row>
    <row r="4" spans="1:4">
      <c r="A4" s="3" t="s">
        <v>54</v>
      </c>
    </row>
    <row r="5" spans="1:4">
      <c r="A5" s="7"/>
      <c r="B5" s="7" t="s">
        <v>55</v>
      </c>
      <c r="C5" s="7" t="s">
        <v>56</v>
      </c>
      <c r="D5" s="7" t="s">
        <v>57</v>
      </c>
    </row>
    <row r="6" spans="1:4">
      <c r="A6" t="s">
        <v>58</v>
      </c>
      <c r="B6" s="10">
        <v>0.15</v>
      </c>
      <c r="C6" s="10">
        <v>0.2</v>
      </c>
      <c r="D6" s="10">
        <v>0.1</v>
      </c>
    </row>
    <row r="7" spans="1:4">
      <c r="A7" t="s">
        <v>59</v>
      </c>
      <c r="B7" s="10">
        <v>0.13</v>
      </c>
      <c r="C7" s="10">
        <v>0.18</v>
      </c>
      <c r="D7" s="10">
        <v>0.08</v>
      </c>
    </row>
    <row r="8" spans="1:4">
      <c r="A8" t="s">
        <v>60</v>
      </c>
      <c r="B8" s="10">
        <v>0.11</v>
      </c>
      <c r="C8" s="10">
        <v>0.16</v>
      </c>
      <c r="D8" s="10">
        <v>0.06</v>
      </c>
    </row>
    <row r="9" spans="1:4">
      <c r="A9" t="s">
        <v>61</v>
      </c>
      <c r="B9" s="10">
        <v>0.09</v>
      </c>
      <c r="C9" s="10">
        <v>0.14</v>
      </c>
      <c r="D9" s="10">
        <v>0.05</v>
      </c>
    </row>
    <row r="10" spans="1:4">
      <c r="A10" t="s">
        <v>62</v>
      </c>
      <c r="B10" s="10">
        <v>0.07000000000000001</v>
      </c>
      <c r="C10" s="10">
        <v>0.12</v>
      </c>
      <c r="D10" s="10">
        <v>0.04</v>
      </c>
    </row>
    <row r="11" spans="1:4">
      <c r="A11" t="s">
        <v>10</v>
      </c>
      <c r="B11" s="10">
        <v>0.1</v>
      </c>
      <c r="C11" s="10">
        <v>0.09</v>
      </c>
      <c r="D11" s="10">
        <v>0.12</v>
      </c>
    </row>
    <row r="12" spans="1:4">
      <c r="A12" t="s">
        <v>63</v>
      </c>
      <c r="B12" s="10">
        <v>0.03</v>
      </c>
      <c r="C12" s="10">
        <v>0.035</v>
      </c>
      <c r="D12" s="10">
        <v>0.02</v>
      </c>
    </row>
    <row r="14" spans="1:4">
      <c r="A14" s="3" t="s">
        <v>64</v>
      </c>
    </row>
    <row r="15" spans="1:4">
      <c r="A15" s="8" t="s">
        <v>65</v>
      </c>
      <c r="B15" s="11">
        <v>205.26</v>
      </c>
      <c r="C15" s="11">
        <v>345.09</v>
      </c>
      <c r="D15" s="11">
        <v>115.07</v>
      </c>
    </row>
    <row r="16" spans="1:4">
      <c r="A16" t="s">
        <v>66</v>
      </c>
      <c r="B16" s="10">
        <v>-0.5054</v>
      </c>
      <c r="C16" s="10">
        <v>-0.1686</v>
      </c>
      <c r="D16" s="10">
        <v>-0.7227</v>
      </c>
    </row>
    <row r="17" spans="1:4">
      <c r="A17" t="s">
        <v>37</v>
      </c>
      <c r="B17" s="11">
        <v>117.99</v>
      </c>
      <c r="C17" s="11">
        <v>208.3</v>
      </c>
      <c r="D17" s="11">
        <v>62.46</v>
      </c>
    </row>
    <row r="19" spans="1:4">
      <c r="A19" s="3" t="s">
        <v>67</v>
      </c>
    </row>
    <row r="20" spans="1:4">
      <c r="A20" t="s">
        <v>68</v>
      </c>
      <c r="B20" s="10">
        <v>0.5</v>
      </c>
      <c r="C20" s="10">
        <v>0.25</v>
      </c>
      <c r="D20" s="10">
        <v>0.25</v>
      </c>
    </row>
    <row r="21" spans="1:4">
      <c r="A21" s="8" t="s">
        <v>69</v>
      </c>
      <c r="B21" s="9">
        <v>217.06</v>
      </c>
    </row>
    <row r="23" spans="1:4">
      <c r="A23" s="3" t="s">
        <v>70</v>
      </c>
    </row>
    <row r="24" spans="1:4">
      <c r="A24" s="8" t="s">
        <v>71</v>
      </c>
    </row>
    <row r="25" spans="1:4">
      <c r="A25" s="2" t="s">
        <v>72</v>
      </c>
      <c r="B25" s="2"/>
      <c r="C25" s="2"/>
      <c r="D25" s="2"/>
    </row>
    <row r="26" spans="1:4">
      <c r="A26" s="2"/>
      <c r="B26" s="2"/>
      <c r="C26" s="2"/>
      <c r="D26" s="2"/>
    </row>
    <row r="27" spans="1:4">
      <c r="A27" s="8" t="s">
        <v>73</v>
      </c>
    </row>
    <row r="28" spans="1:4">
      <c r="A28" s="2" t="s">
        <v>74</v>
      </c>
      <c r="B28" s="2"/>
      <c r="C28" s="2"/>
      <c r="D28" s="2"/>
    </row>
    <row r="29" spans="1:4">
      <c r="A29" s="2"/>
      <c r="B29" s="2"/>
      <c r="C29" s="2"/>
      <c r="D29" s="2"/>
    </row>
    <row r="30" spans="1:4">
      <c r="A30" s="8" t="s">
        <v>75</v>
      </c>
    </row>
    <row r="31" spans="1:4">
      <c r="A31" s="2" t="s">
        <v>76</v>
      </c>
      <c r="B31" s="2"/>
      <c r="C31" s="2"/>
      <c r="D31" s="2"/>
    </row>
    <row r="32" spans="1:4">
      <c r="A32" s="2"/>
      <c r="B32" s="2"/>
      <c r="C32" s="2"/>
      <c r="D32" s="2"/>
    </row>
  </sheetData>
  <mergeCells count="3">
    <mergeCell ref="A25:D26"/>
    <mergeCell ref="A28:D29"/>
    <mergeCell ref="A31:D3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14"/>
  <sheetViews>
    <sheetView workbookViewId="0"/>
  </sheetViews>
  <sheetFormatPr defaultRowHeight="15"/>
  <cols>
    <col min="1" max="1" width="18.7109375" customWidth="1"/>
    <col min="2" max="7" width="13.7109375" customWidth="1"/>
  </cols>
  <sheetData>
    <row r="1" spans="1:6">
      <c r="A1" s="1" t="s">
        <v>77</v>
      </c>
    </row>
    <row r="2" spans="1:6">
      <c r="A2" s="2" t="s">
        <v>78</v>
      </c>
    </row>
    <row r="3" spans="1:6">
      <c r="A3" s="2" t="s">
        <v>79</v>
      </c>
    </row>
    <row r="5" spans="1:6">
      <c r="A5" s="7" t="s">
        <v>80</v>
      </c>
      <c r="B5" s="12">
        <v>0.02</v>
      </c>
      <c r="C5" s="12">
        <v>0.025</v>
      </c>
      <c r="D5" s="12">
        <v>0.03</v>
      </c>
      <c r="E5" s="12">
        <v>0.035</v>
      </c>
      <c r="F5" s="12">
        <v>0.04</v>
      </c>
    </row>
    <row r="6" spans="1:6">
      <c r="A6" s="13">
        <v>0.08</v>
      </c>
      <c r="B6" s="11">
        <v>288.45</v>
      </c>
      <c r="C6" s="11">
        <v>313.82</v>
      </c>
      <c r="D6" s="11">
        <v>345.09</v>
      </c>
      <c r="E6" s="11">
        <v>384.1</v>
      </c>
      <c r="F6" s="11">
        <v>433.65</v>
      </c>
    </row>
    <row r="7" spans="1:6">
      <c r="A7" s="13">
        <v>0.09</v>
      </c>
      <c r="B7" s="11">
        <v>250.26</v>
      </c>
      <c r="C7" s="11">
        <v>269.38</v>
      </c>
      <c r="D7" s="11">
        <v>292.64</v>
      </c>
      <c r="E7" s="11">
        <v>320.61</v>
      </c>
      <c r="F7" s="11">
        <v>354.43</v>
      </c>
    </row>
    <row r="8" spans="1:6">
      <c r="A8" s="13">
        <v>0.1</v>
      </c>
      <c r="B8" s="11">
        <v>221.58</v>
      </c>
      <c r="C8" s="11">
        <v>236.58</v>
      </c>
      <c r="D8" s="9">
        <v>254.42</v>
      </c>
      <c r="E8" s="11">
        <v>275.82</v>
      </c>
      <c r="F8" s="11">
        <v>301.85</v>
      </c>
    </row>
    <row r="9" spans="1:6">
      <c r="A9" s="13">
        <v>0.11</v>
      </c>
      <c r="B9" s="11">
        <v>199.45</v>
      </c>
      <c r="C9" s="11">
        <v>211.48</v>
      </c>
      <c r="D9" s="11">
        <v>225.68</v>
      </c>
      <c r="E9" s="11">
        <v>242.61</v>
      </c>
      <c r="F9" s="11">
        <v>262.98</v>
      </c>
    </row>
    <row r="10" spans="1:6">
      <c r="A10" s="13">
        <v>0.12</v>
      </c>
      <c r="B10" s="11">
        <v>181.72</v>
      </c>
      <c r="C10" s="11">
        <v>191.41</v>
      </c>
      <c r="D10" s="11">
        <v>202.68</v>
      </c>
      <c r="E10" s="11">
        <v>215.98</v>
      </c>
      <c r="F10" s="11">
        <v>231.82</v>
      </c>
    </row>
    <row r="12" spans="1:6">
      <c r="A12" s="8" t="s">
        <v>81</v>
      </c>
      <c r="B12" s="11">
        <v>415</v>
      </c>
    </row>
    <row r="14" spans="1:6">
      <c r="A14" s="8" t="s">
        <v>50</v>
      </c>
      <c r="B14" t="s">
        <v>82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32"/>
  <sheetViews>
    <sheetView workbookViewId="0"/>
  </sheetViews>
  <sheetFormatPr defaultRowHeight="15"/>
  <cols>
    <col min="1" max="1" width="100.7109375" customWidth="1"/>
  </cols>
  <sheetData>
    <row r="1" spans="1:1">
      <c r="A1" s="1" t="s">
        <v>83</v>
      </c>
    </row>
    <row r="2" spans="1:1">
      <c r="A2" t="s">
        <v>84</v>
      </c>
    </row>
    <row r="4" spans="1:1">
      <c r="A4" s="3" t="s">
        <v>85</v>
      </c>
    </row>
    <row r="5" spans="1:1">
      <c r="A5" s="2" t="s">
        <v>86</v>
      </c>
    </row>
    <row r="6" spans="1:1">
      <c r="A6" s="2" t="s">
        <v>87</v>
      </c>
    </row>
    <row r="7" spans="1:1">
      <c r="A7" s="2" t="s">
        <v>88</v>
      </c>
    </row>
    <row r="8" spans="1:1">
      <c r="A8" s="2" t="s">
        <v>89</v>
      </c>
    </row>
    <row r="9" spans="1:1">
      <c r="A9" s="2" t="s">
        <v>90</v>
      </c>
    </row>
    <row r="10" spans="1:1">
      <c r="A10" s="2" t="s">
        <v>91</v>
      </c>
    </row>
    <row r="11" spans="1:1">
      <c r="A11" s="2" t="s">
        <v>92</v>
      </c>
    </row>
    <row r="12" spans="1:1">
      <c r="A12" s="2" t="s">
        <v>93</v>
      </c>
    </row>
    <row r="15" spans="1:1">
      <c r="A15" s="3" t="s">
        <v>94</v>
      </c>
    </row>
    <row r="16" spans="1:1">
      <c r="A16" s="2" t="s">
        <v>95</v>
      </c>
    </row>
    <row r="17" spans="1:1">
      <c r="A17" s="2" t="s">
        <v>96</v>
      </c>
    </row>
    <row r="18" spans="1:1">
      <c r="A18" s="2" t="s">
        <v>97</v>
      </c>
    </row>
    <row r="19" spans="1:1">
      <c r="A19" s="2" t="s">
        <v>98</v>
      </c>
    </row>
    <row r="20" spans="1:1">
      <c r="A20" s="2" t="s">
        <v>99</v>
      </c>
    </row>
    <row r="21" spans="1:1">
      <c r="A21" s="2" t="s">
        <v>100</v>
      </c>
    </row>
    <row r="22" spans="1:1">
      <c r="A22" s="2" t="s">
        <v>101</v>
      </c>
    </row>
    <row r="25" spans="1:1">
      <c r="A25" s="3" t="s">
        <v>102</v>
      </c>
    </row>
    <row r="26" spans="1:1">
      <c r="A26" s="2" t="s">
        <v>103</v>
      </c>
    </row>
    <row r="27" spans="1:1">
      <c r="A27" s="2" t="s">
        <v>104</v>
      </c>
    </row>
    <row r="28" spans="1:1">
      <c r="A28" s="2" t="s">
        <v>105</v>
      </c>
    </row>
    <row r="29" spans="1:1">
      <c r="A29" s="2" t="s">
        <v>106</v>
      </c>
    </row>
    <row r="30" spans="1:1">
      <c r="A30" s="2" t="s">
        <v>107</v>
      </c>
    </row>
    <row r="31" spans="1:1">
      <c r="A31" s="2" t="s">
        <v>108</v>
      </c>
    </row>
    <row r="32" spans="1:1">
      <c r="A32" s="2" t="s">
        <v>109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DCF Model</vt:lpstr>
      <vt:lpstr>Scenario Analysis</vt:lpstr>
      <vt:lpstr>Sensitivity</vt:lpstr>
      <vt:lpstr>Investment Notes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2026-02-05T00:41:44Z</dcterms:created>
  <dcterms:modified xsi:type="dcterms:W3CDTF">2026-02-05T00:41:44Z</dcterms:modified>
</cp:coreProperties>
</file>