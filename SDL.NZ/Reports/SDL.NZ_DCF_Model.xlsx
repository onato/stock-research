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00"/>
    <numFmt numFmtId="166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7F8C8D"/>
      <sz val="9"/>
    </font>
    <font>
      <b val="1"/>
    </font>
    <font>
      <b val="1"/>
      <color rgb="00FFFFFF"/>
      <sz val="12"/>
    </font>
    <font>
      <b val="1"/>
      <sz val="13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CF3CF"/>
      </patternFill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166" fontId="0" fillId="0" borderId="0" pivotButton="0" quotePrefix="0" xfId="0"/>
    <xf numFmtId="166" fontId="3" fillId="0" borderId="0" pivotButton="0" quotePrefix="0" xfId="0"/>
    <xf numFmtId="0" fontId="4" fillId="0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166" fontId="4" fillId="3" borderId="0" pivotButton="0" quotePrefix="0" xfId="0"/>
    <xf numFmtId="164" fontId="0" fillId="4" borderId="0" pivotButton="0" quotePrefix="0" xfId="0"/>
    <xf numFmtId="164" fontId="0" fillId="2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Solution Dynamics Limited (SDL.NZ) — DCF Valuation</t>
        </is>
      </c>
    </row>
    <row r="2">
      <c r="A2" s="2" t="inlineStr">
        <is>
          <t>All figures NZD millions unless noted. FY ends June 30. Valuation date 2026-06-25.</t>
        </is>
      </c>
    </row>
    <row r="4">
      <c r="A4" s="3" t="inlineStr">
        <is>
          <t>KEY INPUTS (yellow = adjustable)</t>
        </is>
      </c>
    </row>
    <row r="5">
      <c r="A5" t="inlineStr">
        <is>
          <t>Current share price (NZD)</t>
        </is>
      </c>
      <c r="B5" s="4" t="n">
        <v>0.58</v>
      </c>
    </row>
    <row r="6">
      <c r="A6" t="inlineStr">
        <is>
          <t>Shares outstanding (m)</t>
        </is>
      </c>
      <c r="B6" s="5" t="n">
        <v>14.682</v>
      </c>
    </row>
    <row r="7">
      <c r="A7" t="inlineStr">
        <is>
          <t>Net cash (NZD m, no debt)</t>
        </is>
      </c>
      <c r="B7" s="5" t="n">
        <v>8.355</v>
      </c>
    </row>
    <row r="8">
      <c r="A8" t="inlineStr">
        <is>
          <t>WACC</t>
        </is>
      </c>
      <c r="B8" s="6" t="n">
        <v>0.17</v>
      </c>
    </row>
    <row r="9">
      <c r="A9" t="inlineStr">
        <is>
          <t>Terminal growth</t>
        </is>
      </c>
      <c r="B9" s="6" t="n">
        <v>0.02</v>
      </c>
    </row>
    <row r="10">
      <c r="A10" t="inlineStr">
        <is>
          <t>Base normalized FCF (NZD m)</t>
        </is>
      </c>
      <c r="B10" s="5" t="n">
        <v>2</v>
      </c>
    </row>
    <row r="12">
      <c r="A12" s="3" t="inlineStr">
        <is>
          <t>WACC BUILD-UP</t>
        </is>
      </c>
    </row>
    <row r="13">
      <c r="A13" t="inlineStr">
        <is>
          <t>Base NZ small-cap WACC</t>
        </is>
      </c>
      <c r="B13" s="7" t="n">
        <v>0.115</v>
      </c>
    </row>
    <row r="14">
      <c r="A14" t="inlineStr">
        <is>
          <t>+ Customer concentration premium</t>
        </is>
      </c>
      <c r="B14" s="7" t="n">
        <v>0.02</v>
      </c>
    </row>
    <row r="15">
      <c r="A15" t="inlineStr">
        <is>
          <t>+ Micro-cap illiquidity premium</t>
        </is>
      </c>
      <c r="B15" s="7" t="n">
        <v>0.02</v>
      </c>
    </row>
    <row r="16">
      <c r="A16" t="inlineStr">
        <is>
          <t>+ Structural mail-decline premium</t>
        </is>
      </c>
      <c r="B16" s="7" t="n">
        <v>0.01</v>
      </c>
    </row>
    <row r="17">
      <c r="A17" t="inlineStr">
        <is>
          <t>+ Management transition premium</t>
        </is>
      </c>
      <c r="B17" s="7" t="n">
        <v>0.005</v>
      </c>
    </row>
    <row r="18">
      <c r="A18" s="3">
        <f> Total WACC</f>
        <v/>
      </c>
      <c r="B18" s="8">
        <f>SUM(B13:B17)</f>
        <v/>
      </c>
    </row>
    <row r="20">
      <c r="A20" s="3" t="inlineStr">
        <is>
          <t>5-YEAR FCF PROJECTION — BASE CASE</t>
        </is>
      </c>
    </row>
    <row r="21">
      <c r="A21" s="9" t="inlineStr">
        <is>
          <t>Year</t>
        </is>
      </c>
      <c r="B21" s="9" t="inlineStr">
        <is>
          <t>Y1</t>
        </is>
      </c>
      <c r="C21" s="9" t="inlineStr">
        <is>
          <t>Y2</t>
        </is>
      </c>
      <c r="D21" s="9" t="inlineStr">
        <is>
          <t>Y3</t>
        </is>
      </c>
      <c r="E21" s="9" t="inlineStr">
        <is>
          <t>Y4</t>
        </is>
      </c>
      <c r="F21" s="9" t="inlineStr">
        <is>
          <t>Y5</t>
        </is>
      </c>
      <c r="G21" s="9" t="inlineStr">
        <is>
          <t>Terminal</t>
        </is>
      </c>
    </row>
    <row r="22">
      <c r="A22" t="inlineStr">
        <is>
          <t>Growth rate</t>
        </is>
      </c>
      <c r="B22" s="7" t="n">
        <v>0.025</v>
      </c>
      <c r="C22" s="7" t="n">
        <v>0.025</v>
      </c>
      <c r="D22" s="7" t="n">
        <v>0.025</v>
      </c>
      <c r="E22" s="7" t="n">
        <v>0.02</v>
      </c>
      <c r="F22" s="7" t="n">
        <v>0.02</v>
      </c>
    </row>
    <row r="23">
      <c r="A23" t="inlineStr">
        <is>
          <t>Free Cash Flow</t>
        </is>
      </c>
      <c r="B23" s="10">
        <f>B10*(1+B22)</f>
        <v/>
      </c>
      <c r="C23" s="10">
        <f>B23*(1+C22)</f>
        <v/>
      </c>
      <c r="D23" s="10">
        <f>C23*(1+D22)</f>
        <v/>
      </c>
      <c r="E23" s="10">
        <f>D23*(1+E22)</f>
        <v/>
      </c>
      <c r="F23" s="10">
        <f>E23*(1+F22)</f>
        <v/>
      </c>
      <c r="G23" s="10">
        <f>F23*(1+B9)</f>
        <v/>
      </c>
    </row>
    <row r="24">
      <c r="A24" t="inlineStr">
        <is>
          <t>Discount factor</t>
        </is>
      </c>
      <c r="B24" s="11">
        <f>1/(1+B8)^1</f>
        <v/>
      </c>
      <c r="C24" s="11">
        <f>1/(1+B8)^2</f>
        <v/>
      </c>
      <c r="D24" s="11">
        <f>1/(1+B8)^3</f>
        <v/>
      </c>
      <c r="E24" s="11">
        <f>1/(1+B8)^4</f>
        <v/>
      </c>
      <c r="F24" s="11">
        <f>1/(1+B8)^5</f>
        <v/>
      </c>
    </row>
    <row r="25">
      <c r="A25" s="3" t="inlineStr">
        <is>
          <t>PV of FCF</t>
        </is>
      </c>
      <c r="B25" s="10">
        <f>B23*B24</f>
        <v/>
      </c>
      <c r="C25" s="10">
        <f>C23*C24</f>
        <v/>
      </c>
      <c r="D25" s="10">
        <f>D23*D24</f>
        <v/>
      </c>
      <c r="E25" s="10">
        <f>E23*E24</f>
        <v/>
      </c>
      <c r="F25" s="10">
        <f>F23*F24</f>
        <v/>
      </c>
    </row>
    <row r="27">
      <c r="A27" s="3" t="inlineStr">
        <is>
          <t>VALUATION SUMMARY</t>
        </is>
      </c>
    </row>
    <row r="28">
      <c r="A28" t="inlineStr">
        <is>
          <t>Sum of PV of explicit FCF</t>
        </is>
      </c>
      <c r="B28" s="10">
        <f>SUM(B25:F25)</f>
        <v/>
      </c>
    </row>
    <row r="29">
      <c r="A29" t="inlineStr">
        <is>
          <t>Terminal value (Gordon Growth)</t>
        </is>
      </c>
      <c r="B29" s="10">
        <f>G23/(B8-B9)</f>
        <v/>
      </c>
    </row>
    <row r="30">
      <c r="A30" t="inlineStr">
        <is>
          <t>PV of terminal value</t>
        </is>
      </c>
      <c r="B30" s="10">
        <f>B29/(1+B8)^5</f>
        <v/>
      </c>
    </row>
    <row r="31">
      <c r="A31" t="inlineStr">
        <is>
          <t>Enterprise Value</t>
        </is>
      </c>
      <c r="B31" s="10">
        <f>B28+B30</f>
        <v/>
      </c>
    </row>
    <row r="32">
      <c r="A32" t="inlineStr">
        <is>
          <t>+ Net cash</t>
        </is>
      </c>
      <c r="B32" s="10">
        <f>B7</f>
        <v/>
      </c>
    </row>
    <row r="33">
      <c r="A33" s="3">
        <f> Equity Value</f>
        <v/>
      </c>
      <c r="B33" s="10">
        <f>B31+B32</f>
        <v/>
      </c>
    </row>
    <row r="34">
      <c r="A34" s="3" t="inlineStr">
        <is>
          <t>Intrinsic Value per share (NZD)</t>
        </is>
      </c>
      <c r="B34" s="12">
        <f>B33/B6</f>
        <v/>
      </c>
    </row>
    <row r="35">
      <c r="A35" t="inlineStr">
        <is>
          <t>Current price (NZD)</t>
        </is>
      </c>
      <c r="B35" s="11">
        <f>B5</f>
        <v/>
      </c>
    </row>
    <row r="36">
      <c r="A36" s="3" t="inlineStr">
        <is>
          <t>Upside / (Downside)</t>
        </is>
      </c>
      <c r="B36" s="7">
        <f>B34/B35-1</f>
        <v/>
      </c>
    </row>
    <row r="38">
      <c r="A38" s="3" t="inlineStr">
        <is>
          <t>ENTRY PRICE FOR 15% CAGR</t>
        </is>
      </c>
    </row>
    <row r="39">
      <c r="A39" t="inlineStr">
        <is>
          <t>Terminal equity value per share</t>
        </is>
      </c>
      <c r="B39" s="11">
        <f>(B29+B7)/B6</f>
        <v/>
      </c>
    </row>
    <row r="40">
      <c r="A40" s="3" t="inlineStr">
        <is>
          <t>Entry price (15% CAGR, 5yr)</t>
        </is>
      </c>
      <c r="B40" s="12">
        <f>B39/(1.15)^5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3" t="inlineStr">
        <is>
          <t>Scenario Comparison (NZD)</t>
        </is>
      </c>
    </row>
    <row r="3">
      <c r="A3" s="14" t="inlineStr">
        <is>
          <t>Metric</t>
        </is>
      </c>
      <c r="B3" s="14" t="inlineStr">
        <is>
          <t>Bear</t>
        </is>
      </c>
      <c r="C3" s="14" t="inlineStr">
        <is>
          <t>Base</t>
        </is>
      </c>
      <c r="D3" s="14" t="inlineStr">
        <is>
          <t>Bull</t>
        </is>
      </c>
    </row>
    <row r="4">
      <c r="A4" t="inlineStr">
        <is>
          <t>Normalized base FCF (m)</t>
        </is>
      </c>
      <c r="B4" s="10" t="n">
        <v>1.5</v>
      </c>
      <c r="C4" s="10" t="n">
        <v>2</v>
      </c>
      <c r="D4" s="10" t="n">
        <v>2.5</v>
      </c>
    </row>
    <row r="5">
      <c r="A5" t="inlineStr">
        <is>
          <t>Terminal growth</t>
        </is>
      </c>
      <c r="B5" s="7" t="n">
        <v>0.01</v>
      </c>
      <c r="C5" s="7" t="n">
        <v>0.02</v>
      </c>
      <c r="D5" s="7" t="n">
        <v>0.03</v>
      </c>
    </row>
    <row r="6">
      <c r="A6" t="inlineStr">
        <is>
          <t>WACC</t>
        </is>
      </c>
      <c r="B6" s="7" t="n">
        <v>0.17</v>
      </c>
      <c r="C6" s="7" t="n">
        <v>0.17</v>
      </c>
      <c r="D6" s="7" t="n">
        <v>0.17</v>
      </c>
    </row>
    <row r="7">
      <c r="A7" t="inlineStr">
        <is>
          <t>Enterprise Value (m)</t>
        </is>
      </c>
      <c r="B7" s="10" t="n">
        <v>8.651999999999999</v>
      </c>
      <c r="C7" s="10" t="n">
        <v>13.776</v>
      </c>
      <c r="D7" s="10" t="n">
        <v>20.793</v>
      </c>
    </row>
    <row r="8">
      <c r="A8" t="inlineStr">
        <is>
          <t>Equity Value (m)</t>
        </is>
      </c>
      <c r="B8" s="10" t="n">
        <v>17.007</v>
      </c>
      <c r="C8" s="10" t="n">
        <v>22.131</v>
      </c>
      <c r="D8" s="10" t="n">
        <v>29.148</v>
      </c>
    </row>
    <row r="9">
      <c r="A9" t="inlineStr">
        <is>
          <t>Intrinsic Value / share</t>
        </is>
      </c>
      <c r="B9" s="11" t="n">
        <v>1.158</v>
      </c>
      <c r="C9" s="11" t="n">
        <v>1.507</v>
      </c>
      <c r="D9" s="11" t="n">
        <v>1.985</v>
      </c>
    </row>
    <row r="10">
      <c r="A10" t="inlineStr">
        <is>
          <t>Upside vs $0.58</t>
        </is>
      </c>
      <c r="B10" s="7" t="n">
        <v>0.997</v>
      </c>
      <c r="C10" s="7" t="n">
        <v>1.598</v>
      </c>
      <c r="D10" s="7" t="n">
        <v>2.422</v>
      </c>
    </row>
    <row r="12">
      <c r="A12" s="3" t="inlineStr">
        <is>
          <t>Probability-weighted IV (50/25/25 base/bull/bear)</t>
        </is>
      </c>
      <c r="B12" s="11" t="n">
        <v>1.539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5" t="inlineStr">
        <is>
          <t>Base IV per share: WACC (rows) x Terminal Growth (cols)</t>
        </is>
      </c>
    </row>
    <row r="3">
      <c r="A3" s="3" t="inlineStr">
        <is>
          <t>WACC \ Term g</t>
        </is>
      </c>
      <c r="B3" s="16" t="n">
        <v>0.01</v>
      </c>
      <c r="C3" s="16" t="n">
        <v>0.015</v>
      </c>
      <c r="D3" s="16" t="n">
        <v>0.02</v>
      </c>
      <c r="E3" s="16" t="n">
        <v>0.025</v>
      </c>
      <c r="F3" s="16" t="n">
        <v>0.03</v>
      </c>
    </row>
    <row r="4">
      <c r="A4" s="16" t="n">
        <v>0.15</v>
      </c>
      <c r="B4" s="17" t="n">
        <v>1.604</v>
      </c>
      <c r="C4" s="17" t="n">
        <v>1.627</v>
      </c>
      <c r="D4" s="17" t="n">
        <v>1.652</v>
      </c>
      <c r="E4" s="17" t="n">
        <v>1.679</v>
      </c>
      <c r="F4" s="17" t="n">
        <v>1.708</v>
      </c>
    </row>
    <row r="5">
      <c r="A5" s="16" t="n">
        <v>0.16</v>
      </c>
      <c r="B5" s="18" t="n">
        <v>1.534</v>
      </c>
      <c r="C5" s="17" t="n">
        <v>1.554</v>
      </c>
      <c r="D5" s="17" t="n">
        <v>1.574</v>
      </c>
      <c r="E5" s="17" t="n">
        <v>1.597</v>
      </c>
      <c r="F5" s="17" t="n">
        <v>1.621</v>
      </c>
    </row>
    <row r="6">
      <c r="A6" s="16" t="n">
        <v>0.17</v>
      </c>
      <c r="B6" s="18" t="n">
        <v>1.473</v>
      </c>
      <c r="C6" s="18" t="n">
        <v>1.49</v>
      </c>
      <c r="D6" s="18" t="n">
        <v>1.507</v>
      </c>
      <c r="E6" s="18" t="n">
        <v>1.526</v>
      </c>
      <c r="F6" s="18" t="n">
        <v>1.546</v>
      </c>
    </row>
    <row r="7">
      <c r="A7" s="16" t="n">
        <v>0.18</v>
      </c>
      <c r="B7" s="19" t="n">
        <v>1.42</v>
      </c>
      <c r="C7" s="19" t="n">
        <v>1.434</v>
      </c>
      <c r="D7" s="19" t="n">
        <v>1.449</v>
      </c>
      <c r="E7" s="18" t="n">
        <v>1.465</v>
      </c>
      <c r="F7" s="18" t="n">
        <v>1.481</v>
      </c>
    </row>
    <row r="8">
      <c r="A8" s="16" t="n">
        <v>0.19</v>
      </c>
      <c r="B8" s="19" t="n">
        <v>1.372</v>
      </c>
      <c r="C8" s="19" t="n">
        <v>1.384</v>
      </c>
      <c r="D8" s="19" t="n">
        <v>1.397</v>
      </c>
      <c r="E8" s="19" t="n">
        <v>1.41</v>
      </c>
      <c r="F8" s="19" t="n">
        <v>1.425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2026-06-25T08:46:14Z</dcterms:created>
  <dcterms:modified xmlns:dcterms="http://purl.org/dc/terms/" xmlns:xsi="http://www.w3.org/2001/XMLSchema-instance" xsi:type="dcterms:W3CDTF">2026-06-25T08:46:14Z</dcterms:modified>
</cp:coreProperties>
</file>