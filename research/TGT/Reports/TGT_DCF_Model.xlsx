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<sst xmlns="http://schemas.openxmlformats.org/spreadsheetml/2006/main" count="390" uniqueCount="175">
  <si>
    <t xml:space="preserve">Ticker</t>
  </si>
  <si>
    <t xml:space="preserve">TGT</t>
  </si>
  <si>
    <t xml:space="preserve">Company</t>
  </si>
  <si>
    <t xml:space="preserve">Target Corporation</t>
  </si>
  <si>
    <t xml:space="preserve">Valuation date</t>
  </si>
  <si>
    <t xml:space="preserve">2026-10-02</t>
  </si>
  <si>
    <t xml:space="preserve">Current price</t>
  </si>
  <si>
    <t xml:space="preserve">Price as of</t>
  </si>
  <si>
    <t xml:space="preserve">2026-10-01T20:03:43Z regular close (Yahoo chart API)</t>
  </si>
  <si>
    <t xml:space="preserve">Balance sheet date</t>
  </si>
  <si>
    <t xml:space="preserve">2026-08-01</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</si>
  <si>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</si>
  <si>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</si>
  <si>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</si>
  <si>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</si>
  <si>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</si>
  <si>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</si>
  <si>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</si>
  <si>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</si>
  <si>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</si>
  <si>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</si>
  <si>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2026-10-02T09:32:04Z</t>
  </si>
  <si>
    <t xml:space="preserve">Drivers file</t>
  </si>
  <si>
    <t xml:space="preserve">TGT_Drivers.json</t>
  </si>
  <si>
    <t xml:space="preserve">Convention</t>
  </si>
  <si>
    <t xml:space="preserve">Percents stored as percents; formulas divide by 100. Blue = input, green = link, black = formula.</t>
  </si>
  <si>
    <t xml:space="preserve">Methodology</t>
  </si>
  <si>
    <t xml:space="preserve">summary: A mature US mass-merchant valued on owner FCF with the FY2026 tariff refund and the FY2025 litigation gain stripped from the margin base. The question the price asks is whether Target's operating margin returns to its pre-COVID ~6%: the base case assumes most, not all, of the way back.
key_risks_to_valuation: Operating-margin path: each 50bp of mature pre-SBC EBITDA margin is worth roughly $10/share; Grocery/essentials share loss to Walmart, Costco and Amazon reducing trip frequency; Tariff policy: the FY2026 refund shows how large tariff swings are relative to a ~5% operating margin; Return on the ~$5B capex step-up (new stores, 130+ remodels) - capex is held above D&amp;A for a decade in every case; Brand/political exposure (2025 DEI boycott) and CEO-transition execution; Discretionary-heavy category mix in a consumer slowdown</t>
  </si>
  <si>
    <t xml:space="preserve">Data sources</t>
  </si>
  <si>
    <t xml:space="preserve">price: Yahoo Finance chart API at inputs.price_as_of; 52-week range 83.44-170.75
financials: TGT_Metrics.csv (SEC XBRL) for history; SEC XBRL companyfacts (CIK 27419) for the 2026-08-01 balance sheet (cash, debt incl. finance leases), diluted shares, H1 FY2026 SBC, equity-award withholding, buybacks and capex
qualitative: TGT_Analysis.json (2026-10-02): FY2026 guidance (sales ~+5%, operating margin ~6% incl. ~90bp tariff refund, EPS $9.90-10.90), ~$5B capex plan, Roundel/Circle 360, competitive position</t>
  </si>
  <si>
    <t xml:space="preserve">Scenario narrative: bear</t>
  </si>
  <si>
    <t xml:space="preserve">The FY2026 recovery proves to be easy comparisons plus a tariff windfall. Grocery and essentials trips continue to migrate to Walmart (20-27% grocery share), Costco and Amazon/Whole Foods; Target's discretionary-heavy mix (apparel, home, electronics) meets a softer middle-income consumer and renewed tariff costs; reputational exposure from both sides of the DEI fight flares again. Sales grow ~1-2% after FY2026, the margin stays at the FY2023-25 underlying level, and the heavy capex programme earns little - management cuts it back. Investment-grade balance sheet means this is a value bear, not a solvency bear.</t>
  </si>
  <si>
    <t xml:space="preserve">Scenario narrative: base</t>
  </si>
  <si>
    <t xml:space="preserve">Fiddelke's plan delivers the guided ~5% FY2026 sales growth (H1 +6%, Q2 comp +3.8% with traffic +3.6%), then growth settles at ~3% as the boycott comparisons lapse: low-single-digit comps plus ~1pt from 30+ new stores a year. Roundel and Target Circle 360 add high-margin other revenue, and the operating margin climbs back to ~5.6% (pre-SBC EBITDA 9.0%) - better than the FY2023-25 ~5% underlying but short of the FY2018-19 6%+, because Walmart and Costco keep the price gap (~5% above Walmart) from narrowing on Target's terms. The $994M tariff refund is treated as a one-off and is in no forward year. The ~$5B capex year is a step, not a new run-rate: capex glides to 3.4% of sales.</t>
  </si>
  <si>
    <t xml:space="preserve">Scenario narrative: bull</t>
  </si>
  <si>
    <t xml:space="preserve">The Enterprise Acceleration Office turns the reset into sustained share gains: traffic stays positive, owned brands and the Home/Baby/seasonal refresh restore 'Tar-zhay' discovery, Roundel doubles as management targets and Circle 360 membership compounds, lifting mix. Sales grow 6% in FY2026 and 3.5-4% for several years as the 300-store decade plan executes; the operating margin returns to ~6.4%, matching FY2018-19, and the business earns a slightly higher exit multiple.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</si>
  <si>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</si>
  <si>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</si>
  <si>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</si>
  <si>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</si>
  <si>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</si>
  <si>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</si>
  <si>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</si>
  <si>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</si>
  <si>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</si>
  <si>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</si>
  <si>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</si>
  <si>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</si>
  <si>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</si>
  <si>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</si>
  <si>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</si>
  <si>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</si>
  <si>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</si>
  <si>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</si>
  <si>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</si>
  <si>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</si>
  <si>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</si>
  <si>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</si>
  <si>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</si>
  <si>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</si>
  <si>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</si>
  <si>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</si>
  <si>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</si>
  <si>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</si>
  <si>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</si>
  <si>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</si>
  <si>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</si>
  <si>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</si>
  <si>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</si>
  <si>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</si>
  <si>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</si>
  <si>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</si>
  <si>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</si>
  <si>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</si>
  <si>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</si>
  <si>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</si>
  <si>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</si>
  <si>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</si>
  <si>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</si>
  <si>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</si>
  <si>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</si>
  <si>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</si>
  <si>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</si>
  <si>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</si>
  <si>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</si>
  <si>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</si>
  <si>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</si>
  <si>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</si>
  <si>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</si>
  <si>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</si>
  <si>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</si>
  <si>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</si>
  <si>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FY2025 (fiscal year ended 2026-01-31; labelled FY2026 in Metrics.csv)</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</si>
  <si>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</si>
  <si>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</si>
  <si>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</si>
  <si>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</si>
  <si>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</si>
  <si>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</si>
  <si>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</si>
  <si>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</si>
  <si>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</si>
  <si>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</si>
  <si>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</si>
  <si>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</si>
  <si>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</si>
  <si>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</si>
  <si>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</si>
  <si>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</si>
  <si>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</si>
  <si>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</si>
  <si>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</si>
  <si>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</si>
  <si>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</si>
  <si>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</si>
  <si>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</si>
  <si>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</si>
  <si>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</si>
  <si>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</si>
  <si>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</si>
  <si>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TGT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</si>
  <si>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</si>
  <si>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</si>
  <si>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</si>
  <si>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</si>
  <si>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</si>
  <si>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</si>
  <si>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</si>
  <si>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</si>
  <si>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</si>
  <si>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</si>
  <si>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</si>
  <si>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</si>
  <si>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</si>
  <si>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</si>
  <si>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</si>
  <si>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</si>
  <si>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</si>
  <si>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</si>
  <si>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</si>
  <si>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</si>
  <si>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</si>
  <si>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</si>
  <si>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</si>
  <si>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</si>
  <si>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</si>
  <si>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</si>
  <si>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</si>
  <si>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</si>
  <si>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</si>
  <si>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</si>
  <si>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TGT owner-FCF component DCF: base case (millions, USD)</t>
  </si>
  <si>
    <t xml:space="preserve">TGT owner-FCF component DCF: bull case (millions, USD)</t>
  </si>
  <si>
    <t xml:space="preserve">TGT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</si>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</sst>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156.7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15633</v>
      </c>
      <c r="AA2" s="0" t="s">
        <v>17</v>
      </c>
      <c r="AB2" s="0" t="s">
        <v>14</v>
      </c>
    </row>
    <row r="3" customFormat="false" ht="15" hidden="false" customHeight="false" outlineLevel="0" collapsed="false">
      <c r="A3" s="0" t="s">
        <v>64</v>
      </c>
      <c r="B3" s="0" t="n">
        <v>63367</v>
      </c>
      <c r="C3" s="0" t="n">
        <v>42929</v>
      </c>
      <c r="I3" s="0" t="n">
        <v>2849</v>
      </c>
      <c r="J3" s="0" t="n">
        <v>4.49603105717487</v>
      </c>
      <c r="K3" s="0" t="n">
        <v>3.37</v>
      </c>
      <c r="L3" s="0" t="n">
        <v>4125</v>
      </c>
      <c r="M3" s="0" t="n">
        <v>4369</v>
      </c>
      <c r="N3" s="0" t="n">
        <v>-244</v>
      </c>
      <c r="O3" s="0" t="n">
        <v>15307</v>
      </c>
      <c r="T3" s="0" t="n">
        <v>850.8</v>
      </c>
      <c r="U3" s="0" t="n">
        <v>73</v>
      </c>
      <c r="AA3" s="0" t="s">
        <v>17</v>
      </c>
      <c r="AB3" s="0" t="s">
        <v>14</v>
      </c>
    </row>
    <row r="4" customFormat="false" ht="15" hidden="false" customHeight="false" outlineLevel="0" collapsed="false">
      <c r="A4" s="0" t="s">
        <v>65</v>
      </c>
      <c r="B4" s="0" t="n">
        <v>64948</v>
      </c>
      <c r="C4" s="0" t="n">
        <v>44157</v>
      </c>
      <c r="I4" s="0" t="n">
        <v>2214</v>
      </c>
      <c r="J4" s="0" t="n">
        <v>3.40888095091458</v>
      </c>
      <c r="K4" s="0" t="n">
        <v>2.87</v>
      </c>
      <c r="L4" s="0" t="n">
        <v>4430</v>
      </c>
      <c r="M4" s="0" t="n">
        <v>3547</v>
      </c>
      <c r="N4" s="0" t="n">
        <v>883</v>
      </c>
      <c r="O4" s="0" t="n">
        <v>13712</v>
      </c>
      <c r="P4" s="0" t="n">
        <v>44106</v>
      </c>
      <c r="T4" s="0" t="n">
        <v>773.6</v>
      </c>
      <c r="U4" s="0" t="n">
        <v>72</v>
      </c>
      <c r="V4" s="0" t="n">
        <v>0.62</v>
      </c>
      <c r="AA4" s="0" t="s">
        <v>17</v>
      </c>
      <c r="AB4" s="0" t="s">
        <v>14</v>
      </c>
    </row>
    <row r="5" customFormat="false" ht="15" hidden="false" customHeight="false" outlineLevel="0" collapsed="false">
      <c r="A5" s="0" t="s">
        <v>66</v>
      </c>
      <c r="B5" s="0" t="n">
        <v>65357</v>
      </c>
      <c r="C5" s="0" t="n">
        <v>44062</v>
      </c>
      <c r="F5" s="0" t="n">
        <v>4576</v>
      </c>
      <c r="G5" s="0" t="n">
        <v>7.00154535856909</v>
      </c>
      <c r="H5" s="0" t="n">
        <v>6599</v>
      </c>
      <c r="I5" s="0" t="n">
        <v>2488</v>
      </c>
      <c r="J5" s="0" t="n">
        <v>3.8067842771241</v>
      </c>
      <c r="K5" s="0" t="n">
        <v>3.31</v>
      </c>
      <c r="L5" s="0" t="n">
        <v>5881</v>
      </c>
      <c r="M5" s="0" t="n">
        <v>1729</v>
      </c>
      <c r="N5" s="0" t="n">
        <v>4152</v>
      </c>
      <c r="O5" s="0" t="n">
        <v>15347</v>
      </c>
      <c r="P5" s="0" t="n">
        <v>44533</v>
      </c>
      <c r="T5" s="0" t="n">
        <v>754.8</v>
      </c>
      <c r="U5" s="0" t="n">
        <v>103</v>
      </c>
      <c r="V5" s="0" t="n">
        <v>0.67</v>
      </c>
      <c r="AA5" s="0" t="s">
        <v>17</v>
      </c>
      <c r="AB5" s="0" t="s">
        <v>14</v>
      </c>
    </row>
    <row r="6" customFormat="false" ht="15" hidden="false" customHeight="false" outlineLevel="0" collapsed="false">
      <c r="A6" s="0" t="s">
        <v>67</v>
      </c>
      <c r="B6" s="0" t="n">
        <v>67390</v>
      </c>
      <c r="C6" s="0" t="n">
        <v>45725</v>
      </c>
      <c r="F6" s="0" t="n">
        <v>5169</v>
      </c>
      <c r="G6" s="0" t="n">
        <v>7.67027748924173</v>
      </c>
      <c r="H6" s="0" t="n">
        <v>7253</v>
      </c>
      <c r="I6" s="0" t="n">
        <v>2920</v>
      </c>
      <c r="J6" s="0" t="n">
        <v>4.33298709007271</v>
      </c>
      <c r="K6" s="0" t="n">
        <v>4.03</v>
      </c>
      <c r="L6" s="0" t="n">
        <v>5271</v>
      </c>
      <c r="M6" s="0" t="n">
        <v>2129</v>
      </c>
      <c r="N6" s="0" t="n">
        <v>3142</v>
      </c>
      <c r="O6" s="0" t="n">
        <v>15487</v>
      </c>
      <c r="P6" s="0" t="n">
        <v>43705</v>
      </c>
      <c r="R6" s="0" t="n">
        <v>15726</v>
      </c>
      <c r="T6" s="0" t="n">
        <v>729.4</v>
      </c>
      <c r="U6" s="0" t="n">
        <v>109</v>
      </c>
      <c r="V6" s="0" t="n">
        <v>0.92</v>
      </c>
      <c r="AA6" s="0" t="s">
        <v>17</v>
      </c>
      <c r="AB6" s="0" t="s">
        <v>14</v>
      </c>
    </row>
    <row r="7" customFormat="false" ht="15" hidden="false" customHeight="false" outlineLevel="0" collapsed="false">
      <c r="A7" s="0" t="s">
        <v>68</v>
      </c>
      <c r="B7" s="0" t="n">
        <v>69865</v>
      </c>
      <c r="C7" s="0" t="n">
        <v>47860</v>
      </c>
      <c r="F7" s="0" t="n">
        <v>5250</v>
      </c>
      <c r="G7" s="0" t="n">
        <v>7.51449223502469</v>
      </c>
      <c r="H7" s="0" t="n">
        <v>7381</v>
      </c>
      <c r="I7" s="0" t="n">
        <v>2929</v>
      </c>
      <c r="J7" s="0" t="n">
        <v>4.19237100121663</v>
      </c>
      <c r="K7" s="0" t="n">
        <v>4.31</v>
      </c>
      <c r="M7" s="0" t="n">
        <v>4368</v>
      </c>
      <c r="O7" s="0" t="n">
        <v>15821</v>
      </c>
      <c r="P7" s="0" t="n">
        <v>46630</v>
      </c>
      <c r="R7" s="0" t="n">
        <v>19466</v>
      </c>
      <c r="T7" s="0" t="n">
        <v>683.9</v>
      </c>
      <c r="U7" s="0" t="n">
        <v>90</v>
      </c>
      <c r="V7" s="0" t="n">
        <v>1.15</v>
      </c>
      <c r="AA7" s="0" t="s">
        <v>17</v>
      </c>
      <c r="AB7" s="0" t="s">
        <v>14</v>
      </c>
    </row>
    <row r="8" customFormat="false" ht="15" hidden="false" customHeight="false" outlineLevel="0" collapsed="false">
      <c r="A8" s="0" t="s">
        <v>69</v>
      </c>
      <c r="B8" s="0" t="n">
        <v>73301</v>
      </c>
      <c r="C8" s="0" t="n">
        <v>50568</v>
      </c>
      <c r="F8" s="0" t="n">
        <v>5206</v>
      </c>
      <c r="G8" s="0" t="n">
        <v>7.10222234348781</v>
      </c>
      <c r="H8" s="0" t="n">
        <v>7250</v>
      </c>
      <c r="K8" s="0" t="n">
        <v>4.57</v>
      </c>
      <c r="L8" s="0" t="n">
        <v>5325</v>
      </c>
      <c r="M8" s="0" t="n">
        <v>2346</v>
      </c>
      <c r="N8" s="0" t="n">
        <v>2979</v>
      </c>
      <c r="O8" s="0" t="n">
        <v>16558</v>
      </c>
      <c r="P8" s="0" t="n">
        <v>48163</v>
      </c>
      <c r="R8" s="0" t="n">
        <v>16678</v>
      </c>
      <c r="T8" s="0" t="n">
        <v>663.3</v>
      </c>
      <c r="U8" s="0" t="n">
        <v>102</v>
      </c>
      <c r="V8" s="0" t="n">
        <v>1.38</v>
      </c>
      <c r="AA8" s="0" t="s">
        <v>17</v>
      </c>
      <c r="AB8" s="0" t="s">
        <v>14</v>
      </c>
    </row>
    <row r="9" customFormat="false" ht="15" hidden="false" customHeight="false" outlineLevel="0" collapsed="false">
      <c r="A9" s="0" t="s">
        <v>70</v>
      </c>
      <c r="B9" s="0" t="n">
        <v>71279</v>
      </c>
      <c r="C9" s="0" t="n">
        <v>50039</v>
      </c>
      <c r="D9" s="0" t="n">
        <v>21240</v>
      </c>
      <c r="E9" s="0" t="n">
        <v>29.7983978450876</v>
      </c>
      <c r="K9" s="0" t="n">
        <v>3.1</v>
      </c>
      <c r="L9" s="0" t="n">
        <v>6520</v>
      </c>
      <c r="M9" s="0" t="n">
        <v>1886</v>
      </c>
      <c r="N9" s="0" t="n">
        <v>4634</v>
      </c>
      <c r="O9" s="0" t="n">
        <v>16231</v>
      </c>
      <c r="P9" s="0" t="n">
        <v>44553</v>
      </c>
      <c r="R9" s="0" t="n">
        <v>12509</v>
      </c>
      <c r="T9" s="0" t="n">
        <v>641.8</v>
      </c>
      <c r="U9" s="0" t="n">
        <v>106</v>
      </c>
      <c r="V9" s="0" t="n">
        <v>1.65</v>
      </c>
      <c r="AA9" s="0" t="s">
        <v>17</v>
      </c>
      <c r="AB9" s="0" t="s">
        <v>14</v>
      </c>
    </row>
    <row r="10" customFormat="false" ht="15" hidden="false" customHeight="false" outlineLevel="0" collapsed="false">
      <c r="A10" s="0" t="s">
        <v>71</v>
      </c>
      <c r="B10" s="0" t="n">
        <v>72618</v>
      </c>
      <c r="C10" s="0" t="n">
        <v>51278</v>
      </c>
      <c r="D10" s="0" t="n">
        <v>21340</v>
      </c>
      <c r="E10" s="0" t="n">
        <v>29.3866534468038</v>
      </c>
      <c r="K10" s="0" t="n">
        <v>-2.58</v>
      </c>
      <c r="L10" s="0" t="n">
        <v>4465</v>
      </c>
      <c r="M10" s="0" t="n">
        <v>1786</v>
      </c>
      <c r="N10" s="0" t="n">
        <v>2679</v>
      </c>
      <c r="O10" s="0" t="n">
        <v>13997</v>
      </c>
      <c r="P10" s="0" t="n">
        <v>41172</v>
      </c>
      <c r="R10" s="0" t="n">
        <v>12725</v>
      </c>
      <c r="T10" s="0" t="n">
        <v>640.213987</v>
      </c>
      <c r="U10" s="0" t="n">
        <v>73</v>
      </c>
      <c r="V10" s="0" t="n">
        <v>1.99</v>
      </c>
      <c r="AA10" s="0" t="s">
        <v>17</v>
      </c>
      <c r="AB10" s="0" t="s">
        <v>14</v>
      </c>
    </row>
    <row r="11" customFormat="false" ht="15" hidden="false" customHeight="false" outlineLevel="0" collapsed="false">
      <c r="A11" s="0" t="s">
        <v>72</v>
      </c>
      <c r="B11" s="0" t="n">
        <v>73785</v>
      </c>
      <c r="C11" s="0" t="n">
        <v>52241</v>
      </c>
      <c r="D11" s="0" t="n">
        <v>21544</v>
      </c>
      <c r="E11" s="0" t="n">
        <v>29.1983465474012</v>
      </c>
      <c r="K11" s="0" t="n">
        <v>5.35</v>
      </c>
      <c r="L11" s="0" t="n">
        <v>5958</v>
      </c>
      <c r="M11" s="0" t="n">
        <v>1438</v>
      </c>
      <c r="N11" s="0" t="n">
        <v>4520</v>
      </c>
      <c r="O11" s="0" t="n">
        <v>12965</v>
      </c>
      <c r="P11" s="0" t="n">
        <v>40262</v>
      </c>
      <c r="R11" s="0" t="n">
        <v>12760</v>
      </c>
      <c r="S11" s="0" t="n">
        <v>4046</v>
      </c>
      <c r="T11" s="0" t="n">
        <v>632.9</v>
      </c>
      <c r="U11" s="0" t="n">
        <v>118</v>
      </c>
      <c r="V11" s="0" t="n">
        <v>2.2</v>
      </c>
      <c r="AA11" s="0" t="s">
        <v>17</v>
      </c>
      <c r="AB11" s="0" t="s">
        <v>14</v>
      </c>
    </row>
    <row r="12" customFormat="false" ht="15" hidden="false" customHeight="false" outlineLevel="0" collapsed="false">
      <c r="A12" s="0" t="s">
        <v>73</v>
      </c>
      <c r="B12" s="0" t="n">
        <v>70271</v>
      </c>
      <c r="C12" s="0" t="n">
        <v>49145</v>
      </c>
      <c r="D12" s="0" t="n">
        <v>20350</v>
      </c>
      <c r="E12" s="0" t="n">
        <v>28.9593146532709</v>
      </c>
      <c r="F12" s="0" t="n">
        <v>4864</v>
      </c>
      <c r="G12" s="0" t="n">
        <v>6.92177427388254</v>
      </c>
      <c r="H12" s="0" t="n">
        <v>7182</v>
      </c>
      <c r="K12" s="0" t="n">
        <v>4.73</v>
      </c>
      <c r="L12" s="0" t="n">
        <v>5444</v>
      </c>
      <c r="M12" s="0" t="n">
        <v>1547</v>
      </c>
      <c r="N12" s="0" t="n">
        <v>3897</v>
      </c>
      <c r="O12" s="0" t="n">
        <v>10915</v>
      </c>
      <c r="P12" s="0" t="n">
        <v>37431</v>
      </c>
      <c r="R12" s="0" t="n">
        <v>12749</v>
      </c>
      <c r="S12" s="0" t="n">
        <v>2512</v>
      </c>
      <c r="T12" s="0" t="n">
        <v>582.5</v>
      </c>
      <c r="U12" s="0" t="n">
        <v>116</v>
      </c>
      <c r="V12" s="0" t="n">
        <v>2.36</v>
      </c>
      <c r="AA12" s="0" t="s">
        <v>17</v>
      </c>
      <c r="AB12" s="0" t="s">
        <v>14</v>
      </c>
    </row>
    <row r="13" customFormat="false" ht="15" hidden="false" customHeight="false" outlineLevel="0" collapsed="false">
      <c r="A13" s="0" t="s">
        <v>74</v>
      </c>
      <c r="B13" s="0" t="n">
        <v>72714</v>
      </c>
      <c r="C13" s="0" t="n">
        <v>51125</v>
      </c>
      <c r="D13" s="0" t="n">
        <v>20754</v>
      </c>
      <c r="E13" s="0" t="n">
        <v>28.5419589075006</v>
      </c>
      <c r="F13" s="0" t="n">
        <v>4224</v>
      </c>
      <c r="G13" s="0" t="n">
        <v>5.80906015347801</v>
      </c>
      <c r="H13" s="0" t="n">
        <v>6700</v>
      </c>
      <c r="K13" s="0" t="n">
        <v>5.32</v>
      </c>
      <c r="L13" s="0" t="n">
        <v>6935</v>
      </c>
      <c r="M13" s="0" t="n">
        <v>2533</v>
      </c>
      <c r="N13" s="0" t="n">
        <v>4402</v>
      </c>
      <c r="O13" s="0" t="n">
        <v>11651</v>
      </c>
      <c r="P13" s="0" t="n">
        <v>40303</v>
      </c>
      <c r="R13" s="0" t="n">
        <v>11398</v>
      </c>
      <c r="T13" s="0" t="n">
        <v>550.3</v>
      </c>
      <c r="U13" s="0" t="n">
        <v>115</v>
      </c>
      <c r="V13" s="0" t="n">
        <v>2.46</v>
      </c>
      <c r="AA13" s="0" t="s">
        <v>17</v>
      </c>
      <c r="AB13" s="0" t="s">
        <v>14</v>
      </c>
    </row>
    <row r="14" customFormat="false" ht="15" hidden="false" customHeight="false" outlineLevel="0" collapsed="false">
      <c r="A14" s="0" t="s">
        <v>75</v>
      </c>
      <c r="B14" s="0" t="n">
        <v>75356</v>
      </c>
      <c r="C14" s="0" t="n">
        <v>53299</v>
      </c>
      <c r="F14" s="0" t="n">
        <v>4110</v>
      </c>
      <c r="G14" s="0" t="n">
        <v>5.45411115239662</v>
      </c>
      <c r="H14" s="0" t="n">
        <v>6584</v>
      </c>
      <c r="K14" s="0" t="n">
        <v>5.55</v>
      </c>
      <c r="L14" s="0" t="n">
        <v>5973</v>
      </c>
      <c r="M14" s="0" t="n">
        <v>3516</v>
      </c>
      <c r="N14" s="0" t="n">
        <v>2457</v>
      </c>
      <c r="O14" s="0" t="n">
        <v>11297</v>
      </c>
      <c r="P14" s="0" t="n">
        <v>41290</v>
      </c>
      <c r="R14" s="0" t="n">
        <v>11275</v>
      </c>
      <c r="T14" s="0" t="n">
        <v>533.2</v>
      </c>
      <c r="U14" s="0" t="n">
        <v>134</v>
      </c>
      <c r="V14" s="0" t="n">
        <v>2.54</v>
      </c>
      <c r="AA14" s="0" t="s">
        <v>17</v>
      </c>
      <c r="AB14" s="0" t="s">
        <v>14</v>
      </c>
    </row>
    <row r="15" customFormat="false" ht="15" hidden="false" customHeight="false" outlineLevel="0" collapsed="false">
      <c r="A15" s="0" t="s">
        <v>76</v>
      </c>
      <c r="B15" s="0" t="n">
        <v>78112</v>
      </c>
      <c r="C15" s="0" t="n">
        <v>54864</v>
      </c>
      <c r="F15" s="0" t="n">
        <v>4658</v>
      </c>
      <c r="G15" s="0" t="n">
        <v>5.9632322818517</v>
      </c>
      <c r="H15" s="0" t="n">
        <v>7262</v>
      </c>
      <c r="K15" s="0" t="n">
        <v>6.42</v>
      </c>
      <c r="L15" s="0" t="n">
        <v>7117</v>
      </c>
      <c r="M15" s="0" t="n">
        <v>3027</v>
      </c>
      <c r="N15" s="0" t="n">
        <v>4090</v>
      </c>
      <c r="O15" s="0" t="n">
        <v>11833</v>
      </c>
      <c r="P15" s="0" t="n">
        <v>42779</v>
      </c>
      <c r="R15" s="0" t="n">
        <v>11499</v>
      </c>
      <c r="T15" s="0" t="n">
        <v>515.6</v>
      </c>
      <c r="U15" s="0" t="n">
        <v>152</v>
      </c>
      <c r="V15" s="0" t="n">
        <v>2.62</v>
      </c>
      <c r="AA15" s="0" t="s">
        <v>17</v>
      </c>
      <c r="AB15" s="0" t="s">
        <v>14</v>
      </c>
    </row>
    <row r="16" customFormat="false" ht="15" hidden="false" customHeight="false" outlineLevel="0" collapsed="false">
      <c r="A16" s="0" t="s">
        <v>77</v>
      </c>
      <c r="B16" s="0" t="n">
        <v>93561</v>
      </c>
      <c r="C16" s="0" t="n">
        <v>66177</v>
      </c>
      <c r="F16" s="0" t="n">
        <v>6539</v>
      </c>
      <c r="G16" s="0" t="n">
        <v>6.98902320411283</v>
      </c>
      <c r="H16" s="0" t="n">
        <v>9024</v>
      </c>
      <c r="I16" s="0" t="n">
        <v>4368</v>
      </c>
      <c r="J16" s="0" t="n">
        <v>4.66861192163401</v>
      </c>
      <c r="K16" s="0" t="n">
        <v>8.72</v>
      </c>
      <c r="L16" s="0" t="n">
        <v>10525</v>
      </c>
      <c r="M16" s="0" t="n">
        <v>2649</v>
      </c>
      <c r="N16" s="0" t="n">
        <v>7876</v>
      </c>
      <c r="O16" s="0" t="n">
        <v>14440</v>
      </c>
      <c r="P16" s="0" t="n">
        <v>51248</v>
      </c>
      <c r="R16" s="0" t="n">
        <v>12680</v>
      </c>
      <c r="T16" s="0" t="n">
        <v>505.4</v>
      </c>
      <c r="U16" s="0" t="n">
        <v>210</v>
      </c>
      <c r="V16" s="0" t="n">
        <v>2.7</v>
      </c>
      <c r="AA16" s="0" t="s">
        <v>17</v>
      </c>
      <c r="AB16" s="0" t="s">
        <v>14</v>
      </c>
    </row>
    <row r="17" customFormat="false" ht="15" hidden="false" customHeight="false" outlineLevel="0" collapsed="false">
      <c r="A17" s="0" t="s">
        <v>78</v>
      </c>
      <c r="B17" s="0" t="n">
        <v>106005</v>
      </c>
      <c r="C17" s="0" t="n">
        <v>74963</v>
      </c>
      <c r="F17" s="0" t="n">
        <v>8946</v>
      </c>
      <c r="G17" s="0" t="n">
        <v>8.43922456487902</v>
      </c>
      <c r="H17" s="0" t="n">
        <v>11588</v>
      </c>
      <c r="I17" s="0" t="n">
        <v>6946</v>
      </c>
      <c r="J17" s="0" t="n">
        <v>6.55252110749493</v>
      </c>
      <c r="K17" s="0" t="n">
        <v>14.23</v>
      </c>
      <c r="L17" s="0" t="n">
        <v>8625</v>
      </c>
      <c r="M17" s="0" t="n">
        <v>3544</v>
      </c>
      <c r="N17" s="0" t="n">
        <v>5081</v>
      </c>
      <c r="O17" s="0" t="n">
        <v>12827</v>
      </c>
      <c r="P17" s="0" t="n">
        <v>53811</v>
      </c>
      <c r="R17" s="0" t="n">
        <v>13720</v>
      </c>
      <c r="T17" s="0" t="n">
        <v>492.7</v>
      </c>
      <c r="U17" s="0" t="n">
        <v>238</v>
      </c>
      <c r="V17" s="0" t="n">
        <v>3.38</v>
      </c>
      <c r="AA17" s="0" t="s">
        <v>17</v>
      </c>
      <c r="AB17" s="0" t="s">
        <v>14</v>
      </c>
    </row>
    <row r="18" customFormat="false" ht="15" hidden="false" customHeight="false" outlineLevel="0" collapsed="false">
      <c r="A18" s="0" t="s">
        <v>79</v>
      </c>
      <c r="B18" s="0" t="n">
        <v>109120</v>
      </c>
      <c r="C18" s="0" t="n">
        <v>82306</v>
      </c>
      <c r="F18" s="0" t="n">
        <v>3848</v>
      </c>
      <c r="G18" s="0" t="n">
        <v>3.52639296187683</v>
      </c>
      <c r="H18" s="0" t="n">
        <v>6548</v>
      </c>
      <c r="I18" s="0" t="n">
        <v>2780</v>
      </c>
      <c r="J18" s="0" t="n">
        <v>2.54765395894428</v>
      </c>
      <c r="K18" s="0" t="n">
        <v>6.02</v>
      </c>
      <c r="L18" s="0" t="n">
        <v>4018</v>
      </c>
      <c r="M18" s="0" t="n">
        <v>5528</v>
      </c>
      <c r="N18" s="0" t="n">
        <v>-1510</v>
      </c>
      <c r="O18" s="0" t="n">
        <v>11232</v>
      </c>
      <c r="P18" s="0" t="n">
        <v>53335</v>
      </c>
      <c r="R18" s="0" t="n">
        <v>16139</v>
      </c>
      <c r="T18" s="0" t="n">
        <v>464.7</v>
      </c>
      <c r="U18" s="0" t="n">
        <v>224</v>
      </c>
      <c r="V18" s="0" t="n">
        <v>4.14</v>
      </c>
      <c r="AA18" s="0" t="s">
        <v>17</v>
      </c>
      <c r="AB18" s="0" t="s">
        <v>14</v>
      </c>
    </row>
    <row r="19" customFormat="false" ht="15" hidden="false" customHeight="false" outlineLevel="0" collapsed="false">
      <c r="A19" s="0" t="s">
        <v>80</v>
      </c>
      <c r="B19" s="0" t="n">
        <v>107412</v>
      </c>
      <c r="C19" s="0" t="n">
        <v>77828</v>
      </c>
      <c r="F19" s="0" t="n">
        <v>5707</v>
      </c>
      <c r="G19" s="0" t="n">
        <v>5.3131866085726</v>
      </c>
      <c r="H19" s="0" t="n">
        <v>8508</v>
      </c>
      <c r="I19" s="0" t="n">
        <v>4138</v>
      </c>
      <c r="J19" s="0" t="n">
        <v>3.85245596395189</v>
      </c>
      <c r="K19" s="0" t="n">
        <v>8.96</v>
      </c>
      <c r="L19" s="0" t="n">
        <v>8621</v>
      </c>
      <c r="M19" s="0" t="n">
        <v>4806</v>
      </c>
      <c r="N19" s="0" t="n">
        <v>3815</v>
      </c>
      <c r="O19" s="0" t="n">
        <v>13432</v>
      </c>
      <c r="P19" s="0" t="n">
        <v>55356</v>
      </c>
      <c r="R19" s="0" t="n">
        <v>16038</v>
      </c>
      <c r="T19" s="0" t="n">
        <v>462.8</v>
      </c>
      <c r="U19" s="0" t="n">
        <v>255</v>
      </c>
      <c r="V19" s="0" t="n">
        <v>4.38</v>
      </c>
      <c r="AA19" s="0" t="s">
        <v>17</v>
      </c>
      <c r="AB19" s="0" t="s">
        <v>14</v>
      </c>
    </row>
    <row r="20" customFormat="false" ht="15" hidden="false" customHeight="false" outlineLevel="0" collapsed="false">
      <c r="A20" s="0" t="s">
        <v>81</v>
      </c>
      <c r="B20" s="0" t="n">
        <v>106566</v>
      </c>
      <c r="C20" s="0" t="n">
        <v>76502</v>
      </c>
      <c r="F20" s="0" t="n">
        <v>5566</v>
      </c>
      <c r="G20" s="0" t="n">
        <v>5.22305425745547</v>
      </c>
      <c r="H20" s="0" t="n">
        <v>8547</v>
      </c>
      <c r="I20" s="0" t="n">
        <v>4091</v>
      </c>
      <c r="J20" s="0" t="n">
        <v>3.83893549537376</v>
      </c>
      <c r="K20" s="0" t="n">
        <v>8.89</v>
      </c>
      <c r="L20" s="0" t="n">
        <v>7367</v>
      </c>
      <c r="M20" s="0" t="n">
        <v>2891</v>
      </c>
      <c r="N20" s="0" t="n">
        <v>4476</v>
      </c>
      <c r="O20" s="0" t="n">
        <v>14666</v>
      </c>
      <c r="P20" s="0" t="n">
        <v>57769</v>
      </c>
      <c r="R20" s="0" t="n">
        <v>15940</v>
      </c>
      <c r="T20" s="0" t="n">
        <v>461.8</v>
      </c>
      <c r="U20" s="0" t="n">
        <v>307</v>
      </c>
      <c r="V20" s="0" t="n">
        <v>4.46</v>
      </c>
      <c r="AA20" s="0" t="s">
        <v>17</v>
      </c>
      <c r="AB20" s="0" t="s">
        <v>14</v>
      </c>
    </row>
    <row r="21" customFormat="false" ht="15" hidden="false" customHeight="false" outlineLevel="0" collapsed="false">
      <c r="A21" s="0" t="s">
        <v>82</v>
      </c>
      <c r="B21" s="0" t="n">
        <v>104780</v>
      </c>
      <c r="C21" s="0" t="n">
        <v>75511</v>
      </c>
      <c r="F21" s="0" t="n">
        <v>5117</v>
      </c>
      <c r="G21" s="0" t="n">
        <v>4.8835655659477</v>
      </c>
      <c r="H21" s="0" t="n">
        <v>8251</v>
      </c>
      <c r="I21" s="0" t="n">
        <v>3705</v>
      </c>
      <c r="J21" s="0" t="n">
        <v>3.53598014888338</v>
      </c>
      <c r="K21" s="0" t="n">
        <v>8.16</v>
      </c>
      <c r="L21" s="0" t="n">
        <v>6562</v>
      </c>
      <c r="M21" s="0" t="n">
        <v>3727</v>
      </c>
      <c r="N21" s="0" t="n">
        <v>2835</v>
      </c>
      <c r="O21" s="0" t="n">
        <v>16165</v>
      </c>
      <c r="P21" s="0" t="n">
        <v>59490</v>
      </c>
      <c r="R21" s="0" t="n">
        <v>16528</v>
      </c>
      <c r="T21" s="0" t="n">
        <v>455.6</v>
      </c>
      <c r="U21" s="0" t="n">
        <v>282</v>
      </c>
      <c r="V21" s="0" t="n">
        <v>4.54</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156.7</v>
      </c>
    </row>
    <row r="3" customFormat="false" ht="15" hidden="false" customHeight="false" outlineLevel="0" collapsed="false">
      <c r="A3" s="0" t="s">
        <v>86</v>
      </c>
      <c r="B3" s="3" t="n">
        <v>456.6</v>
      </c>
    </row>
    <row r="4" customFormat="false" ht="15" hidden="false" customHeight="false" outlineLevel="0" collapsed="false">
      <c r="A4" s="0" t="s">
        <v>87</v>
      </c>
      <c r="B4" s="3" t="n">
        <v>9946</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104780</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82</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3</v>
      </c>
      <c r="D13" s="3" t="n">
        <v>0.5</v>
      </c>
      <c r="E13" s="3" t="n">
        <v>1</v>
      </c>
      <c r="F13" s="3" t="n">
        <v>1.5</v>
      </c>
      <c r="G13" s="3" t="n">
        <v>1.5</v>
      </c>
      <c r="H13" s="3" t="n">
        <v>2</v>
      </c>
      <c r="I13" s="3" t="n">
        <v>2</v>
      </c>
      <c r="J13" s="3" t="n">
        <v>2</v>
      </c>
      <c r="K13" s="3" t="n">
        <v>2</v>
      </c>
      <c r="L13" s="3" t="n">
        <v>2</v>
      </c>
    </row>
    <row r="14" customFormat="false" ht="15" hidden="false" customHeight="false" outlineLevel="0" collapsed="false">
      <c r="A14" s="0" t="s">
        <v>107</v>
      </c>
      <c r="C14" s="3" t="n">
        <v>7.9</v>
      </c>
      <c r="D14" s="3" t="n">
        <v>7.6</v>
      </c>
      <c r="E14" s="3" t="n">
        <v>7.6</v>
      </c>
      <c r="F14" s="3" t="n">
        <v>7.7</v>
      </c>
      <c r="G14" s="3" t="n">
        <v>7.8</v>
      </c>
      <c r="H14" s="3" t="n">
        <v>7.8</v>
      </c>
      <c r="I14" s="3" t="n">
        <v>7.8</v>
      </c>
      <c r="J14" s="3" t="n">
        <v>7.8</v>
      </c>
      <c r="K14" s="3" t="n">
        <v>7.8</v>
      </c>
      <c r="L14" s="3" t="n">
        <v>7.8</v>
      </c>
    </row>
    <row r="15" customFormat="false" ht="15" hidden="false" customHeight="false" outlineLevel="0" collapsed="false">
      <c r="A15" s="0" t="s">
        <v>108</v>
      </c>
      <c r="C15" s="3" t="n">
        <v>0.35</v>
      </c>
      <c r="D15" s="3" t="n">
        <v>0.35</v>
      </c>
      <c r="E15" s="3" t="n">
        <v>0.35</v>
      </c>
      <c r="F15" s="3" t="n">
        <v>0.35</v>
      </c>
      <c r="G15" s="3" t="n">
        <v>0.35</v>
      </c>
      <c r="H15" s="3" t="n">
        <v>0.35</v>
      </c>
      <c r="I15" s="3" t="n">
        <v>0.35</v>
      </c>
      <c r="J15" s="3" t="n">
        <v>0.35</v>
      </c>
      <c r="K15" s="3" t="n">
        <v>0.35</v>
      </c>
      <c r="L15" s="3" t="n">
        <v>0.35</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3</v>
      </c>
      <c r="D17" s="3" t="n">
        <v>3.1</v>
      </c>
      <c r="E17" s="3" t="n">
        <v>3.2</v>
      </c>
      <c r="F17" s="3" t="n">
        <v>3.2</v>
      </c>
      <c r="G17" s="3" t="n">
        <v>3.2</v>
      </c>
      <c r="H17" s="3" t="n">
        <v>3.2</v>
      </c>
      <c r="I17" s="3" t="n">
        <v>3.2</v>
      </c>
      <c r="J17" s="3" t="n">
        <v>3.2</v>
      </c>
      <c r="K17" s="3" t="n">
        <v>3.2</v>
      </c>
      <c r="L17" s="3" t="n">
        <v>3.2</v>
      </c>
    </row>
    <row r="18" customFormat="false" ht="15" hidden="false" customHeight="false" outlineLevel="0" collapsed="false">
      <c r="A18" s="0" t="s">
        <v>111</v>
      </c>
      <c r="C18" s="3" t="n">
        <v>4.5</v>
      </c>
      <c r="D18" s="3" t="n">
        <v>4</v>
      </c>
      <c r="E18" s="3" t="n">
        <v>3.6</v>
      </c>
      <c r="F18" s="3" t="n">
        <v>3.4</v>
      </c>
      <c r="G18" s="3" t="n">
        <v>3.3</v>
      </c>
      <c r="H18" s="3" t="n">
        <v>3.3</v>
      </c>
      <c r="I18" s="3" t="n">
        <v>3.3</v>
      </c>
      <c r="J18" s="3" t="n">
        <v>3.3</v>
      </c>
      <c r="K18" s="3" t="n">
        <v>3.3</v>
      </c>
      <c r="L18" s="3" t="n">
        <v>3.3</v>
      </c>
    </row>
    <row r="19" customFormat="false" ht="15" hidden="false" customHeight="false" outlineLevel="0" collapsed="false">
      <c r="A19" s="0" t="s">
        <v>112</v>
      </c>
      <c r="C19" s="3" t="n">
        <v>23</v>
      </c>
      <c r="D19" s="3" t="n">
        <v>23</v>
      </c>
      <c r="E19" s="3" t="n">
        <v>23</v>
      </c>
      <c r="F19" s="3" t="n">
        <v>23</v>
      </c>
      <c r="G19" s="3" t="n">
        <v>23</v>
      </c>
      <c r="H19" s="3" t="n">
        <v>23</v>
      </c>
      <c r="I19" s="3" t="n">
        <v>23</v>
      </c>
      <c r="J19" s="3" t="n">
        <v>23</v>
      </c>
      <c r="K19" s="3" t="n">
        <v>23</v>
      </c>
      <c r="L19" s="3" t="n">
        <v>23</v>
      </c>
    </row>
    <row r="20" customFormat="false" ht="15" hidden="false" customHeight="false" outlineLevel="0" collapsed="false">
      <c r="A20" s="0" t="s">
        <v>113</v>
      </c>
      <c r="B20" s="3" t="n">
        <v>8.5</v>
      </c>
    </row>
    <row r="21" customFormat="false" ht="15" hidden="false" customHeight="false" outlineLevel="0" collapsed="false">
      <c r="A21" s="0" t="s">
        <v>114</v>
      </c>
      <c r="B21" s="3" t="n">
        <v>2</v>
      </c>
    </row>
    <row r="22" customFormat="false" ht="15" hidden="false" customHeight="false" outlineLevel="0" collapsed="false">
      <c r="A22" s="0" t="s">
        <v>115</v>
      </c>
      <c r="B22" s="3" t="n">
        <v>13</v>
      </c>
    </row>
    <row r="23" customFormat="false" ht="15" hidden="false" customHeight="false" outlineLevel="0" collapsed="false">
      <c r="A23" s="0" t="s">
        <v>116</v>
      </c>
      <c r="B23" s="3" t="n">
        <v>-2</v>
      </c>
    </row>
    <row r="24" customFormat="false" ht="15" hidden="false" customHeight="false" outlineLevel="0" collapsed="false">
      <c r="A24" s="0" t="s">
        <v>117</v>
      </c>
      <c r="B24" s="3" t="n">
        <v>0.2</v>
      </c>
    </row>
    <row r="26" customFormat="false" ht="15" hidden="false" customHeight="false" outlineLevel="0" collapsed="false">
      <c r="A26" s="2" t="s">
        <v>118</v>
      </c>
      <c r="C26" s="2" t="s">
        <v>82</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5</v>
      </c>
      <c r="D27" s="3" t="n">
        <v>3</v>
      </c>
      <c r="E27" s="3" t="n">
        <v>3</v>
      </c>
      <c r="F27" s="3" t="n">
        <v>3</v>
      </c>
      <c r="G27" s="3" t="n">
        <v>2.8</v>
      </c>
      <c r="H27" s="3" t="n">
        <v>2.7</v>
      </c>
      <c r="I27" s="3" t="n">
        <v>2.6</v>
      </c>
      <c r="J27" s="3" t="n">
        <v>2.5</v>
      </c>
      <c r="K27" s="3" t="n">
        <v>2.5</v>
      </c>
      <c r="L27" s="3" t="n">
        <v>2.5</v>
      </c>
    </row>
    <row r="28" customFormat="false" ht="15" hidden="false" customHeight="false" outlineLevel="0" collapsed="false">
      <c r="A28" s="0" t="s">
        <v>107</v>
      </c>
      <c r="C28" s="3" t="n">
        <v>8.3</v>
      </c>
      <c r="D28" s="3" t="n">
        <v>8.5</v>
      </c>
      <c r="E28" s="3" t="n">
        <v>8.7</v>
      </c>
      <c r="F28" s="3" t="n">
        <v>8.85</v>
      </c>
      <c r="G28" s="3" t="n">
        <v>9</v>
      </c>
      <c r="H28" s="3" t="n">
        <v>9</v>
      </c>
      <c r="I28" s="3" t="n">
        <v>9</v>
      </c>
      <c r="J28" s="3" t="n">
        <v>9</v>
      </c>
      <c r="K28" s="3" t="n">
        <v>9</v>
      </c>
      <c r="L28" s="3" t="n">
        <v>9</v>
      </c>
    </row>
    <row r="29" customFormat="false" ht="15" hidden="false" customHeight="false" outlineLevel="0" collapsed="false">
      <c r="A29" s="0" t="s">
        <v>108</v>
      </c>
      <c r="C29" s="3" t="n">
        <v>0.35</v>
      </c>
      <c r="D29" s="3" t="n">
        <v>0.35</v>
      </c>
      <c r="E29" s="3" t="n">
        <v>0.35</v>
      </c>
      <c r="F29" s="3" t="n">
        <v>0.35</v>
      </c>
      <c r="G29" s="3" t="n">
        <v>0.35</v>
      </c>
      <c r="H29" s="3" t="n">
        <v>0.35</v>
      </c>
      <c r="I29" s="3" t="n">
        <v>0.35</v>
      </c>
      <c r="J29" s="3" t="n">
        <v>0.35</v>
      </c>
      <c r="K29" s="3" t="n">
        <v>0.35</v>
      </c>
      <c r="L29" s="3" t="n">
        <v>0.35</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3</v>
      </c>
      <c r="D31" s="3" t="n">
        <v>3.1</v>
      </c>
      <c r="E31" s="3" t="n">
        <v>3.2</v>
      </c>
      <c r="F31" s="3" t="n">
        <v>3.3</v>
      </c>
      <c r="G31" s="3" t="n">
        <v>3.3</v>
      </c>
      <c r="H31" s="3" t="n">
        <v>3.3</v>
      </c>
      <c r="I31" s="3" t="n">
        <v>3.3</v>
      </c>
      <c r="J31" s="3" t="n">
        <v>3.3</v>
      </c>
      <c r="K31" s="3" t="n">
        <v>3.3</v>
      </c>
      <c r="L31" s="3" t="n">
        <v>3.3</v>
      </c>
    </row>
    <row r="32" customFormat="false" ht="15" hidden="false" customHeight="false" outlineLevel="0" collapsed="false">
      <c r="A32" s="0" t="s">
        <v>111</v>
      </c>
      <c r="C32" s="3" t="n">
        <v>4.5</v>
      </c>
      <c r="D32" s="3" t="n">
        <v>4.3</v>
      </c>
      <c r="E32" s="3" t="n">
        <v>4</v>
      </c>
      <c r="F32" s="3" t="n">
        <v>3.8</v>
      </c>
      <c r="G32" s="3" t="n">
        <v>3.6</v>
      </c>
      <c r="H32" s="3" t="n">
        <v>3.5</v>
      </c>
      <c r="I32" s="3" t="n">
        <v>3.5</v>
      </c>
      <c r="J32" s="3" t="n">
        <v>3.4</v>
      </c>
      <c r="K32" s="3" t="n">
        <v>3.4</v>
      </c>
      <c r="L32" s="3" t="n">
        <v>3.4</v>
      </c>
    </row>
    <row r="33" customFormat="false" ht="15" hidden="false" customHeight="false" outlineLevel="0" collapsed="false">
      <c r="A33" s="0" t="s">
        <v>112</v>
      </c>
      <c r="C33" s="3" t="n">
        <v>23</v>
      </c>
      <c r="D33" s="3" t="n">
        <v>23</v>
      </c>
      <c r="E33" s="3" t="n">
        <v>23</v>
      </c>
      <c r="F33" s="3" t="n">
        <v>23</v>
      </c>
      <c r="G33" s="3" t="n">
        <v>23</v>
      </c>
      <c r="H33" s="3" t="n">
        <v>23</v>
      </c>
      <c r="I33" s="3" t="n">
        <v>23</v>
      </c>
      <c r="J33" s="3" t="n">
        <v>23</v>
      </c>
      <c r="K33" s="3" t="n">
        <v>23</v>
      </c>
      <c r="L33" s="3" t="n">
        <v>23</v>
      </c>
    </row>
    <row r="34" customFormat="false" ht="15" hidden="false" customHeight="false" outlineLevel="0" collapsed="false">
      <c r="A34" s="0" t="s">
        <v>113</v>
      </c>
      <c r="B34" s="3" t="n">
        <v>8.5</v>
      </c>
    </row>
    <row r="35" customFormat="false" ht="15" hidden="false" customHeight="false" outlineLevel="0" collapsed="false">
      <c r="A35" s="0" t="s">
        <v>114</v>
      </c>
      <c r="B35" s="3" t="n">
        <v>2.5</v>
      </c>
    </row>
    <row r="36" customFormat="false" ht="15" hidden="false" customHeight="false" outlineLevel="0" collapsed="false">
      <c r="A36" s="0" t="s">
        <v>115</v>
      </c>
      <c r="B36" s="3" t="n">
        <v>16</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82</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6</v>
      </c>
      <c r="D41" s="3" t="n">
        <v>4</v>
      </c>
      <c r="E41" s="3" t="n">
        <v>4</v>
      </c>
      <c r="F41" s="3" t="n">
        <v>3.5</v>
      </c>
      <c r="G41" s="3" t="n">
        <v>3.5</v>
      </c>
      <c r="H41" s="3" t="n">
        <v>3</v>
      </c>
      <c r="I41" s="3" t="n">
        <v>3</v>
      </c>
      <c r="J41" s="3" t="n">
        <v>3</v>
      </c>
      <c r="K41" s="3" t="n">
        <v>3</v>
      </c>
      <c r="L41" s="3" t="n">
        <v>3</v>
      </c>
    </row>
    <row r="42" customFormat="false" ht="15" hidden="false" customHeight="false" outlineLevel="0" collapsed="false">
      <c r="A42" s="0" t="s">
        <v>107</v>
      </c>
      <c r="C42" s="3" t="n">
        <v>8.4</v>
      </c>
      <c r="D42" s="3" t="n">
        <v>8.8</v>
      </c>
      <c r="E42" s="3" t="n">
        <v>9.2</v>
      </c>
      <c r="F42" s="3" t="n">
        <v>9.5</v>
      </c>
      <c r="G42" s="3" t="n">
        <v>9.7</v>
      </c>
      <c r="H42" s="3" t="n">
        <v>9.8</v>
      </c>
      <c r="I42" s="3" t="n">
        <v>9.8</v>
      </c>
      <c r="J42" s="3" t="n">
        <v>9.8</v>
      </c>
      <c r="K42" s="3" t="n">
        <v>9.8</v>
      </c>
      <c r="L42" s="3" t="n">
        <v>9.8</v>
      </c>
    </row>
    <row r="43" customFormat="false" ht="15" hidden="false" customHeight="false" outlineLevel="0" collapsed="false">
      <c r="A43" s="0" t="s">
        <v>108</v>
      </c>
      <c r="C43" s="3" t="n">
        <v>0.35</v>
      </c>
      <c r="D43" s="3" t="n">
        <v>0.35</v>
      </c>
      <c r="E43" s="3" t="n">
        <v>0.35</v>
      </c>
      <c r="F43" s="3" t="n">
        <v>0.35</v>
      </c>
      <c r="G43" s="3" t="n">
        <v>0.35</v>
      </c>
      <c r="H43" s="3" t="n">
        <v>0.35</v>
      </c>
      <c r="I43" s="3" t="n">
        <v>0.35</v>
      </c>
      <c r="J43" s="3" t="n">
        <v>0.35</v>
      </c>
      <c r="K43" s="3" t="n">
        <v>0.35</v>
      </c>
      <c r="L43" s="3" t="n">
        <v>0.35</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3</v>
      </c>
      <c r="D45" s="3" t="n">
        <v>3.1</v>
      </c>
      <c r="E45" s="3" t="n">
        <v>3.2</v>
      </c>
      <c r="F45" s="3" t="n">
        <v>3.3</v>
      </c>
      <c r="G45" s="3" t="n">
        <v>3.3</v>
      </c>
      <c r="H45" s="3" t="n">
        <v>3.3</v>
      </c>
      <c r="I45" s="3" t="n">
        <v>3.3</v>
      </c>
      <c r="J45" s="3" t="n">
        <v>3.3</v>
      </c>
      <c r="K45" s="3" t="n">
        <v>3.3</v>
      </c>
      <c r="L45" s="3" t="n">
        <v>3.3</v>
      </c>
    </row>
    <row r="46" customFormat="false" ht="15" hidden="false" customHeight="false" outlineLevel="0" collapsed="false">
      <c r="A46" s="0" t="s">
        <v>111</v>
      </c>
      <c r="C46" s="3" t="n">
        <v>4.5</v>
      </c>
      <c r="D46" s="3" t="n">
        <v>4.4</v>
      </c>
      <c r="E46" s="3" t="n">
        <v>4.2</v>
      </c>
      <c r="F46" s="3" t="n">
        <v>4</v>
      </c>
      <c r="G46" s="3" t="n">
        <v>3.8</v>
      </c>
      <c r="H46" s="3" t="n">
        <v>3.7</v>
      </c>
      <c r="I46" s="3" t="n">
        <v>3.6</v>
      </c>
      <c r="J46" s="3" t="n">
        <v>3.6</v>
      </c>
      <c r="K46" s="3" t="n">
        <v>3.6</v>
      </c>
      <c r="L46" s="3" t="n">
        <v>3.6</v>
      </c>
    </row>
    <row r="47" customFormat="false" ht="15" hidden="false" customHeight="false" outlineLevel="0" collapsed="false">
      <c r="A47" s="0" t="s">
        <v>112</v>
      </c>
      <c r="C47" s="3" t="n">
        <v>23</v>
      </c>
      <c r="D47" s="3" t="n">
        <v>23</v>
      </c>
      <c r="E47" s="3" t="n">
        <v>23</v>
      </c>
      <c r="F47" s="3" t="n">
        <v>23</v>
      </c>
      <c r="G47" s="3" t="n">
        <v>23</v>
      </c>
      <c r="H47" s="3" t="n">
        <v>23</v>
      </c>
      <c r="I47" s="3" t="n">
        <v>23</v>
      </c>
      <c r="J47" s="3" t="n">
        <v>23</v>
      </c>
      <c r="K47" s="3" t="n">
        <v>23</v>
      </c>
      <c r="L47" s="3" t="n">
        <v>23</v>
      </c>
    </row>
    <row r="48" customFormat="false" ht="15" hidden="false" customHeight="false" outlineLevel="0" collapsed="false">
      <c r="A48" s="0" t="s">
        <v>113</v>
      </c>
      <c r="B48" s="3" t="n">
        <v>8.5</v>
      </c>
    </row>
    <row r="49" customFormat="false" ht="15" hidden="false" customHeight="false" outlineLevel="0" collapsed="false">
      <c r="A49" s="0" t="s">
        <v>114</v>
      </c>
      <c r="B49" s="3" t="n">
        <v>2.75</v>
      </c>
    </row>
    <row r="50" customFormat="false" ht="15" hidden="false" customHeight="false" outlineLevel="0" collapsed="false">
      <c r="A50" s="0" t="s">
        <v>115</v>
      </c>
      <c r="B50" s="3" t="n">
        <v>17</v>
      </c>
    </row>
    <row r="51" customFormat="false" ht="15" hidden="false" customHeight="false" outlineLevel="0" collapsed="false">
      <c r="A51" s="0" t="s">
        <v>116</v>
      </c>
      <c r="B51" s="3" t="n">
        <v>0</v>
      </c>
    </row>
    <row r="52" customFormat="false" ht="15" hidden="false" customHeight="false" outlineLevel="0" collapsed="false">
      <c r="A52" s="0" t="s">
        <v>117</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92</v>
      </c>
      <c r="C3" s="2" t="s">
        <v>82</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3</v>
      </c>
      <c r="D5" s="4" t="n">
        <f aca="false">Assumptions!D13</f>
        <v>0.5</v>
      </c>
      <c r="E5" s="4" t="n">
        <f aca="false">Assumptions!E13</f>
        <v>1</v>
      </c>
      <c r="F5" s="4" t="n">
        <f aca="false">Assumptions!F13</f>
        <v>1.5</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104780</v>
      </c>
      <c r="C6" s="0" t="n">
        <f aca="false">B6*(1+C5/100)</f>
        <v>107923.4</v>
      </c>
      <c r="D6" s="0" t="n">
        <f aca="false">C6*(1+D5/100)</f>
        <v>108463.017</v>
      </c>
      <c r="E6" s="0" t="n">
        <f aca="false">D6*(1+E5/100)</f>
        <v>109547.64717</v>
      </c>
      <c r="F6" s="0" t="n">
        <f aca="false">E6*(1+F5/100)</f>
        <v>111190.86187755</v>
      </c>
      <c r="G6" s="0" t="n">
        <f aca="false">F6*(1+G5/100)</f>
        <v>112858.724805713</v>
      </c>
      <c r="H6" s="0" t="n">
        <f aca="false">G6*(1+H5/100)</f>
        <v>115115.899301828</v>
      </c>
      <c r="I6" s="0" t="n">
        <f aca="false">H6*(1+I5/100)</f>
        <v>117418.217287864</v>
      </c>
      <c r="J6" s="0" t="n">
        <f aca="false">I6*(1+J5/100)</f>
        <v>119766.581633621</v>
      </c>
      <c r="K6" s="0" t="n">
        <f aca="false">J6*(1+K5/100)</f>
        <v>122161.913266294</v>
      </c>
      <c r="L6" s="0" t="n">
        <f aca="false">K6*(1+L5/100)</f>
        <v>124605.15153162</v>
      </c>
    </row>
    <row r="7" customFormat="false" ht="15" hidden="false" customHeight="false" outlineLevel="0" collapsed="false">
      <c r="A7" s="0" t="s">
        <v>107</v>
      </c>
      <c r="C7" s="4" t="n">
        <f aca="false">Assumptions!C14</f>
        <v>7.9</v>
      </c>
      <c r="D7" s="4" t="n">
        <f aca="false">Assumptions!D14</f>
        <v>7.6</v>
      </c>
      <c r="E7" s="4" t="n">
        <f aca="false">Assumptions!E14</f>
        <v>7.6</v>
      </c>
      <c r="F7" s="4" t="n">
        <f aca="false">Assumptions!F14</f>
        <v>7.7</v>
      </c>
      <c r="G7" s="4" t="n">
        <f aca="false">Assumptions!G14</f>
        <v>7.8</v>
      </c>
      <c r="H7" s="4" t="n">
        <f aca="false">Assumptions!H14</f>
        <v>7.8</v>
      </c>
      <c r="I7" s="4" t="n">
        <f aca="false">Assumptions!I14</f>
        <v>7.8</v>
      </c>
      <c r="J7" s="4" t="n">
        <f aca="false">Assumptions!J14</f>
        <v>7.8</v>
      </c>
      <c r="K7" s="4" t="n">
        <f aca="false">Assumptions!K14</f>
        <v>7.8</v>
      </c>
      <c r="L7" s="4" t="n">
        <f aca="false">Assumptions!L14</f>
        <v>7.8</v>
      </c>
    </row>
    <row r="8" customFormat="false" ht="15" hidden="false" customHeight="false" outlineLevel="0" collapsed="false">
      <c r="A8" s="0" t="s">
        <v>43</v>
      </c>
      <c r="C8" s="0" t="n">
        <f aca="false">C6*C7/100</f>
        <v>8525.9486</v>
      </c>
      <c r="D8" s="0" t="n">
        <f aca="false">D6*D7/100</f>
        <v>8243.189292</v>
      </c>
      <c r="E8" s="0" t="n">
        <f aca="false">E6*E7/100</f>
        <v>8325.62118492</v>
      </c>
      <c r="F8" s="0" t="n">
        <f aca="false">F6*F7/100</f>
        <v>8561.69636457135</v>
      </c>
      <c r="G8" s="0" t="n">
        <f aca="false">G6*G7/100</f>
        <v>8802.98053484563</v>
      </c>
      <c r="H8" s="0" t="n">
        <f aca="false">H6*H7/100</f>
        <v>8979.04014554255</v>
      </c>
      <c r="I8" s="0" t="n">
        <f aca="false">I6*I7/100</f>
        <v>9158.6209484534</v>
      </c>
      <c r="J8" s="0" t="n">
        <f aca="false">J6*J7/100</f>
        <v>9341.79336742246</v>
      </c>
      <c r="K8" s="0" t="n">
        <f aca="false">K6*K7/100</f>
        <v>9528.62923477091</v>
      </c>
      <c r="L8" s="0" t="n">
        <f aca="false">L6*L7/100</f>
        <v>9719.20181946633</v>
      </c>
    </row>
    <row r="9" customFormat="false" ht="15" hidden="false" customHeight="false" outlineLevel="0" collapsed="false">
      <c r="A9" s="0" t="s">
        <v>108</v>
      </c>
      <c r="C9" s="4" t="n">
        <f aca="false">Assumptions!C15</f>
        <v>0.35</v>
      </c>
      <c r="D9" s="4" t="n">
        <f aca="false">Assumptions!D15</f>
        <v>0.35</v>
      </c>
      <c r="E9" s="4" t="n">
        <f aca="false">Assumptions!E15</f>
        <v>0.35</v>
      </c>
      <c r="F9" s="4" t="n">
        <f aca="false">Assumptions!F15</f>
        <v>0.35</v>
      </c>
      <c r="G9" s="4" t="n">
        <f aca="false">Assumptions!G15</f>
        <v>0.35</v>
      </c>
      <c r="H9" s="4" t="n">
        <f aca="false">Assumptions!H15</f>
        <v>0.35</v>
      </c>
      <c r="I9" s="4" t="n">
        <f aca="false">Assumptions!I15</f>
        <v>0.35</v>
      </c>
      <c r="J9" s="4" t="n">
        <f aca="false">Assumptions!J15</f>
        <v>0.35</v>
      </c>
      <c r="K9" s="4" t="n">
        <f aca="false">Assumptions!K15</f>
        <v>0.35</v>
      </c>
      <c r="L9" s="4" t="n">
        <f aca="false">Assumptions!L15</f>
        <v>0.35</v>
      </c>
    </row>
    <row r="10" customFormat="false" ht="15" hidden="false" customHeight="false" outlineLevel="0" collapsed="false">
      <c r="A10" s="0" t="s">
        <v>123</v>
      </c>
      <c r="C10" s="0" t="n">
        <f aca="false">-C6*C9/100</f>
        <v>-377.7319</v>
      </c>
      <c r="D10" s="0" t="n">
        <f aca="false">-D6*D9/100</f>
        <v>-379.6205595</v>
      </c>
      <c r="E10" s="0" t="n">
        <f aca="false">-E6*E9/100</f>
        <v>-383.416765095</v>
      </c>
      <c r="F10" s="0" t="n">
        <f aca="false">-F6*F9/100</f>
        <v>-389.168016571425</v>
      </c>
      <c r="G10" s="0" t="n">
        <f aca="false">-G6*G9/100</f>
        <v>-395.005536819996</v>
      </c>
      <c r="H10" s="0" t="n">
        <f aca="false">-H6*H9/100</f>
        <v>-402.905647556396</v>
      </c>
      <c r="I10" s="0" t="n">
        <f aca="false">-I6*I9/100</f>
        <v>-410.963760507524</v>
      </c>
      <c r="J10" s="0" t="n">
        <f aca="false">-J6*J9/100</f>
        <v>-419.183035717675</v>
      </c>
      <c r="K10" s="0" t="n">
        <f aca="false">-K6*K9/100</f>
        <v>-427.566696432028</v>
      </c>
      <c r="L10" s="0" t="n">
        <f aca="false">-L6*L9/100</f>
        <v>-436.118030360669</v>
      </c>
    </row>
    <row r="11" customFormat="false" ht="15" hidden="false" customHeight="false" outlineLevel="0" collapsed="false">
      <c r="A11" s="0" t="s">
        <v>124</v>
      </c>
      <c r="C11" s="0" t="n">
        <f aca="false">C8+C10+C24</f>
        <v>8148.2167</v>
      </c>
      <c r="D11" s="0" t="n">
        <f aca="false">D8+D10+D24</f>
        <v>7863.5687325</v>
      </c>
      <c r="E11" s="0" t="n">
        <f aca="false">E8+E10+E24</f>
        <v>7942.204419825</v>
      </c>
      <c r="F11" s="0" t="n">
        <f aca="false">F8+F10+F24</f>
        <v>8172.52834799992</v>
      </c>
      <c r="G11" s="0" t="n">
        <f aca="false">G8+G10+G24</f>
        <v>8407.97499802564</v>
      </c>
      <c r="H11" s="0" t="n">
        <f aca="false">H8+H10+H24</f>
        <v>8576.13449798615</v>
      </c>
      <c r="I11" s="0" t="n">
        <f aca="false">I8+I10+I24</f>
        <v>8747.65718794587</v>
      </c>
      <c r="J11" s="0" t="n">
        <f aca="false">J8+J10+J24</f>
        <v>8922.61033170479</v>
      </c>
      <c r="K11" s="0" t="n">
        <f aca="false">K8+K10+K24</f>
        <v>9101.06253833889</v>
      </c>
      <c r="L11" s="0" t="n">
        <f aca="false">L8+L10+L24</f>
        <v>9283.08378910566</v>
      </c>
    </row>
    <row r="12" customFormat="false" ht="15" hidden="false" customHeight="false" outlineLevel="0" collapsed="false">
      <c r="A12" s="0" t="s">
        <v>125</v>
      </c>
      <c r="C12" s="4" t="n">
        <f aca="false">-C6*Assumptions!C17/100</f>
        <v>-3237.702</v>
      </c>
      <c r="D12" s="4" t="n">
        <f aca="false">-D6*Assumptions!D17/100</f>
        <v>-3362.353527</v>
      </c>
      <c r="E12" s="4" t="n">
        <f aca="false">-E6*Assumptions!E17/100</f>
        <v>-3505.52470944</v>
      </c>
      <c r="F12" s="4" t="n">
        <f aca="false">-F6*Assumptions!F17/100</f>
        <v>-3558.1075800816</v>
      </c>
      <c r="G12" s="4" t="n">
        <f aca="false">-G6*Assumptions!G17/100</f>
        <v>-3611.47919378282</v>
      </c>
      <c r="H12" s="4" t="n">
        <f aca="false">-H6*Assumptions!H17/100</f>
        <v>-3683.70877765848</v>
      </c>
      <c r="I12" s="4" t="n">
        <f aca="false">-I6*Assumptions!I17/100</f>
        <v>-3757.38295321165</v>
      </c>
      <c r="J12" s="4" t="n">
        <f aca="false">-J6*Assumptions!J17/100</f>
        <v>-3832.53061227588</v>
      </c>
      <c r="K12" s="4" t="n">
        <f aca="false">-K6*Assumptions!K17/100</f>
        <v>-3909.1812245214</v>
      </c>
      <c r="L12" s="4" t="n">
        <f aca="false">-L6*Assumptions!L17/100</f>
        <v>-3987.36484901183</v>
      </c>
    </row>
    <row r="13" customFormat="false" ht="15" hidden="false" customHeight="false" outlineLevel="0" collapsed="false">
      <c r="A13" s="0" t="s">
        <v>126</v>
      </c>
      <c r="C13" s="0" t="n">
        <f aca="false">C11+C12</f>
        <v>4910.5147</v>
      </c>
      <c r="D13" s="0" t="n">
        <f aca="false">D11+D12</f>
        <v>4501.2152055</v>
      </c>
      <c r="E13" s="0" t="n">
        <f aca="false">E11+E12</f>
        <v>4436.679710385</v>
      </c>
      <c r="F13" s="0" t="n">
        <f aca="false">F11+F12</f>
        <v>4614.42076791833</v>
      </c>
      <c r="G13" s="0" t="n">
        <f aca="false">G11+G12</f>
        <v>4796.49580424281</v>
      </c>
      <c r="H13" s="0" t="n">
        <f aca="false">H11+H12</f>
        <v>4892.42572032767</v>
      </c>
      <c r="I13" s="0" t="n">
        <f aca="false">I11+I12</f>
        <v>4990.27423473422</v>
      </c>
      <c r="J13" s="0" t="n">
        <f aca="false">J11+J12</f>
        <v>5090.07971942891</v>
      </c>
      <c r="K13" s="0" t="n">
        <f aca="false">K11+K12</f>
        <v>5191.88131381749</v>
      </c>
      <c r="L13" s="0" t="n">
        <f aca="false">L11+L12</f>
        <v>5295.71894009384</v>
      </c>
    </row>
    <row r="14" customFormat="false" ht="15" hidden="false" customHeight="false" outlineLevel="0" collapsed="false">
      <c r="A14" s="0" t="s">
        <v>112</v>
      </c>
      <c r="C14" s="4" t="n">
        <f aca="false">Assumptions!C19</f>
        <v>23</v>
      </c>
      <c r="D14" s="4" t="n">
        <f aca="false">Assumptions!D19</f>
        <v>23</v>
      </c>
      <c r="E14" s="4" t="n">
        <f aca="false">Assumptions!E19</f>
        <v>23</v>
      </c>
      <c r="F14" s="4" t="n">
        <f aca="false">Assumptions!F19</f>
        <v>23</v>
      </c>
      <c r="G14" s="4" t="n">
        <f aca="false">Assumptions!G19</f>
        <v>23</v>
      </c>
      <c r="H14" s="4" t="n">
        <f aca="false">Assumptions!H19</f>
        <v>23</v>
      </c>
      <c r="I14" s="4" t="n">
        <f aca="false">Assumptions!I19</f>
        <v>23</v>
      </c>
      <c r="J14" s="4" t="n">
        <f aca="false">Assumptions!J19</f>
        <v>23</v>
      </c>
      <c r="K14" s="4" t="n">
        <f aca="false">Assumptions!K19</f>
        <v>23</v>
      </c>
      <c r="L14" s="4" t="n">
        <f aca="false">Assumptions!L19</f>
        <v>23</v>
      </c>
    </row>
    <row r="15" customFormat="false" ht="15" hidden="false" customHeight="false" outlineLevel="0" collapsed="false">
      <c r="A15" s="0" t="s">
        <v>127</v>
      </c>
      <c r="C15" s="0" t="n">
        <f aca="false">C13-MAX(0,C13)*C14/100</f>
        <v>3781.096319</v>
      </c>
      <c r="D15" s="0" t="n">
        <f aca="false">D13-MAX(0,D13)*D14/100</f>
        <v>3465.935708235</v>
      </c>
      <c r="E15" s="0" t="n">
        <f aca="false">E13-MAX(0,E13)*E14/100</f>
        <v>3416.24337699645</v>
      </c>
      <c r="F15" s="0" t="n">
        <f aca="false">F13-MAX(0,F13)*F14/100</f>
        <v>3553.10399129711</v>
      </c>
      <c r="G15" s="0" t="n">
        <f aca="false">G13-MAX(0,G13)*G14/100</f>
        <v>3693.30176926697</v>
      </c>
      <c r="H15" s="0" t="n">
        <f aca="false">H13-MAX(0,H13)*H14/100</f>
        <v>3767.1678046523</v>
      </c>
      <c r="I15" s="0" t="n">
        <f aca="false">I13-MAX(0,I13)*I14/100</f>
        <v>3842.51116074535</v>
      </c>
      <c r="J15" s="0" t="n">
        <f aca="false">J13-MAX(0,J13)*J14/100</f>
        <v>3919.36138396026</v>
      </c>
      <c r="K15" s="0" t="n">
        <f aca="false">K13-MAX(0,K13)*K14/100</f>
        <v>3997.74861163946</v>
      </c>
      <c r="L15" s="0" t="n">
        <f aca="false">L13-MAX(0,L13)*L14/100</f>
        <v>4077.70358387225</v>
      </c>
    </row>
    <row r="16" customFormat="false" ht="15" hidden="false" customHeight="false" outlineLevel="0" collapsed="false">
      <c r="A16" s="0" t="s">
        <v>128</v>
      </c>
      <c r="C16" s="0" t="n">
        <f aca="false">-C12</f>
        <v>3237.702</v>
      </c>
      <c r="D16" s="0" t="n">
        <f aca="false">-D12</f>
        <v>3362.353527</v>
      </c>
      <c r="E16" s="0" t="n">
        <f aca="false">-E12</f>
        <v>3505.52470944</v>
      </c>
      <c r="F16" s="0" t="n">
        <f aca="false">-F12</f>
        <v>3558.1075800816</v>
      </c>
      <c r="G16" s="0" t="n">
        <f aca="false">-G12</f>
        <v>3611.47919378282</v>
      </c>
      <c r="H16" s="0" t="n">
        <f aca="false">-H12</f>
        <v>3683.70877765848</v>
      </c>
      <c r="I16" s="0" t="n">
        <f aca="false">-I12</f>
        <v>3757.38295321165</v>
      </c>
      <c r="J16" s="0" t="n">
        <f aca="false">-J12</f>
        <v>3832.53061227588</v>
      </c>
      <c r="K16" s="0" t="n">
        <f aca="false">-K12</f>
        <v>3909.1812245214</v>
      </c>
      <c r="L16" s="0" t="n">
        <f aca="false">-L12</f>
        <v>3987.36484901183</v>
      </c>
    </row>
    <row r="17" customFormat="false" ht="15" hidden="false" customHeight="false" outlineLevel="0" collapsed="false">
      <c r="A17" s="0" t="s">
        <v>129</v>
      </c>
      <c r="C17" s="4" t="n">
        <f aca="false">-C6*Assumptions!C18/100</f>
        <v>-4856.553</v>
      </c>
      <c r="D17" s="4" t="n">
        <f aca="false">-D6*Assumptions!D18/100</f>
        <v>-4338.52068</v>
      </c>
      <c r="E17" s="4" t="n">
        <f aca="false">-E6*Assumptions!E18/100</f>
        <v>-3943.71529812</v>
      </c>
      <c r="F17" s="4" t="n">
        <f aca="false">-F6*Assumptions!F18/100</f>
        <v>-3780.4893038367</v>
      </c>
      <c r="G17" s="4" t="n">
        <f aca="false">-G6*Assumptions!G18/100</f>
        <v>-3724.33791858854</v>
      </c>
      <c r="H17" s="4" t="n">
        <f aca="false">-H6*Assumptions!H18/100</f>
        <v>-3798.82467696031</v>
      </c>
      <c r="I17" s="4" t="n">
        <f aca="false">-I6*Assumptions!I18/100</f>
        <v>-3874.80117049951</v>
      </c>
      <c r="J17" s="4" t="n">
        <f aca="false">-J6*Assumptions!J18/100</f>
        <v>-3952.2971939095</v>
      </c>
      <c r="K17" s="4" t="n">
        <f aca="false">-K6*Assumptions!K18/100</f>
        <v>-4031.34313778769</v>
      </c>
      <c r="L17" s="4" t="n">
        <f aca="false">-L6*Assumptions!L18/100</f>
        <v>-4111.97000054345</v>
      </c>
    </row>
    <row r="18" customFormat="false" ht="15" hidden="false" customHeight="false" outlineLevel="0" collapsed="false">
      <c r="A18" s="0" t="s">
        <v>130</v>
      </c>
      <c r="C18" s="4" t="n">
        <f aca="false">(C6-B6)*Assumptions!$B$23/100</f>
        <v>-62.8680000000002</v>
      </c>
      <c r="D18" s="4" t="n">
        <f aca="false">(D6-C6)*Assumptions!$B$23/100</f>
        <v>-10.7923399999997</v>
      </c>
      <c r="E18" s="4" t="n">
        <f aca="false">(E6-D6)*Assumptions!$B$23/100</f>
        <v>-21.6926034000001</v>
      </c>
      <c r="F18" s="4" t="n">
        <f aca="false">(F6-E6)*Assumptions!$B$23/100</f>
        <v>-32.8642941509999</v>
      </c>
      <c r="G18" s="4" t="n">
        <f aca="false">(G6-F6)*Assumptions!$B$23/100</f>
        <v>-33.3572585632649</v>
      </c>
      <c r="H18" s="4" t="n">
        <f aca="false">(H6-G6)*Assumptions!$B$23/100</f>
        <v>-45.1434899222854</v>
      </c>
      <c r="I18" s="4" t="n">
        <f aca="false">(I6-H6)*Assumptions!$B$23/100</f>
        <v>-46.046359720731</v>
      </c>
      <c r="J18" s="4" t="n">
        <f aca="false">(J6-I6)*Assumptions!$B$23/100</f>
        <v>-46.9672869151455</v>
      </c>
      <c r="K18" s="4" t="n">
        <f aca="false">(K6-J6)*Assumptions!$B$23/100</f>
        <v>-47.9066326534486</v>
      </c>
      <c r="L18" s="4" t="n">
        <f aca="false">(L6-K6)*Assumptions!$B$23/100</f>
        <v>-48.8647653065177</v>
      </c>
    </row>
    <row r="19" customFormat="false" ht="15" hidden="false" customHeight="false" outlineLevel="0" collapsed="false">
      <c r="A19" s="0" t="s">
        <v>131</v>
      </c>
      <c r="C19" s="0" t="n">
        <f aca="false">C15+C16+C17+C18</f>
        <v>2099.377319</v>
      </c>
      <c r="D19" s="0" t="n">
        <f aca="false">D15+D16+D17+D18</f>
        <v>2478.976215235</v>
      </c>
      <c r="E19" s="0" t="n">
        <f aca="false">E15+E16+E17+E18</f>
        <v>2956.36018491645</v>
      </c>
      <c r="F19" s="0" t="n">
        <f aca="false">F15+F16+F17+F18</f>
        <v>3297.85797339101</v>
      </c>
      <c r="G19" s="0" t="n">
        <f aca="false">G15+G16+G17+G18</f>
        <v>3547.08578589799</v>
      </c>
      <c r="H19" s="0" t="n">
        <f aca="false">H15+H16+H17+H18</f>
        <v>3606.90841542819</v>
      </c>
      <c r="I19" s="0" t="n">
        <f aca="false">I15+I16+I17+I18</f>
        <v>3679.04658373676</v>
      </c>
      <c r="J19" s="0" t="n">
        <f aca="false">J15+J16+J17+J18</f>
        <v>3752.62751541149</v>
      </c>
      <c r="K19" s="0" t="n">
        <f aca="false">K15+K16+K17+K18</f>
        <v>3827.68006571972</v>
      </c>
      <c r="L19" s="0" t="n">
        <f aca="false">L15+L16+L17+L18</f>
        <v>3904.23366703412</v>
      </c>
    </row>
    <row r="20" customFormat="false" ht="15" hidden="false" customHeight="false" outlineLevel="0" collapsed="false">
      <c r="A20" s="0" t="s">
        <v>132</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133</v>
      </c>
      <c r="C21" s="0" t="n">
        <f aca="false">C19*C20</f>
        <v>1934.90997142857</v>
      </c>
      <c r="D21" s="0" t="n">
        <f aca="false">D19*D20</f>
        <v>2105.77945187623</v>
      </c>
      <c r="E21" s="0" t="n">
        <f aca="false">E19*E20</f>
        <v>2314.55833064926</v>
      </c>
      <c r="F21" s="0" t="n">
        <f aca="false">F19*F20</f>
        <v>2379.64950676698</v>
      </c>
      <c r="G21" s="0" t="n">
        <f aca="false">G19*G20</f>
        <v>2358.97316792292</v>
      </c>
      <c r="H21" s="0" t="n">
        <f aca="false">H19*H20</f>
        <v>2210.83680543877</v>
      </c>
      <c r="I21" s="0" t="n">
        <f aca="false">I19*I20</f>
        <v>2078.39036087331</v>
      </c>
      <c r="J21" s="0" t="n">
        <f aca="false">J19*J20</f>
        <v>1953.8784959362</v>
      </c>
      <c r="K21" s="0" t="n">
        <f aca="false">K19*K20</f>
        <v>1836.8258671474</v>
      </c>
      <c r="L21" s="0" t="n">
        <f aca="false">L19*L20</f>
        <v>1726.7856078252</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8.5</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13</v>
      </c>
    </row>
    <row r="30" customFormat="false" ht="15" hidden="false" customHeight="false" outlineLevel="0" collapsed="false">
      <c r="A30" s="0" t="s">
        <v>136</v>
      </c>
      <c r="B30" s="0" t="n">
        <f aca="false">SUM(C21:L21)</f>
        <v>20900.5875658649</v>
      </c>
    </row>
    <row r="31" customFormat="false" ht="15" hidden="false" customHeight="false" outlineLevel="0" collapsed="false">
      <c r="A31" s="0" t="s">
        <v>137</v>
      </c>
      <c r="B31" s="0" t="n">
        <f aca="false">L19</f>
        <v>3904.23366703412</v>
      </c>
    </row>
    <row r="32" customFormat="false" ht="15" hidden="false" customHeight="false" outlineLevel="0" collapsed="false">
      <c r="A32" s="0" t="s">
        <v>138</v>
      </c>
      <c r="B32" s="0" t="n">
        <f aca="false">IF(B27&gt;B28,B31*(1+B28/100)/((B27-B28)/100),B31*B29)</f>
        <v>61266.4360057661</v>
      </c>
    </row>
    <row r="33" customFormat="false" ht="15" hidden="false" customHeight="false" outlineLevel="0" collapsed="false">
      <c r="A33" s="0" t="s">
        <v>139</v>
      </c>
      <c r="B33" s="0" t="n">
        <f aca="false">B31*B29</f>
        <v>50755.0376714435</v>
      </c>
    </row>
    <row r="34" customFormat="false" ht="15" hidden="false" customHeight="false" outlineLevel="0" collapsed="false">
      <c r="A34" s="0" t="s">
        <v>140</v>
      </c>
      <c r="B34" s="0" t="n">
        <f aca="false">MAX(0,MIN(B32,B33))</f>
        <v>50755.0376714435</v>
      </c>
    </row>
    <row r="35" customFormat="false" ht="15" hidden="false" customHeight="false" outlineLevel="0" collapsed="false">
      <c r="A35" s="0" t="s">
        <v>141</v>
      </c>
      <c r="B35" s="0" t="n">
        <f aca="false">B34/(1+B27/100)^L4</f>
        <v>22448.2129017277</v>
      </c>
    </row>
    <row r="36" customFormat="false" ht="15" hidden="false" customHeight="false" outlineLevel="0" collapsed="false">
      <c r="A36" s="0" t="s">
        <v>142</v>
      </c>
      <c r="B36" s="0" t="n">
        <f aca="false">B30+B35</f>
        <v>43348.8004675925</v>
      </c>
    </row>
    <row r="37" customFormat="false" ht="15" hidden="false" customHeight="false" outlineLevel="0" collapsed="false">
      <c r="A37" s="0" t="s">
        <v>143</v>
      </c>
      <c r="B37" s="0" t="n">
        <f aca="false">B36+Assumptions!$B$5-Assumptions!$B$4</f>
        <v>33402.8004675925</v>
      </c>
    </row>
    <row r="38" customFormat="false" ht="15" hidden="false" customHeight="false" outlineLevel="0" collapsed="false">
      <c r="A38" s="0" t="s">
        <v>144</v>
      </c>
      <c r="B38" s="0" t="n">
        <f aca="false">B37/Assumptions!$B$3*Assumptions!$B$10</f>
        <v>73.1554981769437</v>
      </c>
    </row>
    <row r="39" customFormat="false" ht="15" hidden="false" customHeight="false" outlineLevel="0" collapsed="false">
      <c r="A39" s="0" t="s">
        <v>145</v>
      </c>
      <c r="B39" s="4" t="n">
        <f aca="false">B38/Assumptions!$B$2-1</f>
        <v>-0.533149341563856</v>
      </c>
    </row>
    <row r="41" customFormat="false" ht="15" hidden="false" customHeight="false" outlineLevel="0" collapsed="false">
      <c r="A41" s="0" t="s">
        <v>146</v>
      </c>
      <c r="B41" s="0" t="n">
        <f aca="false">SUMPRODUCT(-C10:L10/(1+$B$27/100)^C4:L4)</f>
        <v>2609.7493465497</v>
      </c>
    </row>
    <row r="42" customFormat="false" ht="15" hidden="false" customHeight="false" outlineLevel="0" collapsed="false">
      <c r="A42" s="0" t="s">
        <v>147</v>
      </c>
      <c r="B42" s="0" t="n">
        <f aca="false">IF(B27&gt;B28,-L10*(1+B28/100)/((B27-B28)/100),-L10*20)/(1+B27/100)^L4</f>
        <v>3026.86795299084</v>
      </c>
    </row>
    <row r="43" customFormat="false" ht="15" hidden="false" customHeight="false" outlineLevel="0" collapsed="false">
      <c r="A43" s="0" t="s">
        <v>148</v>
      </c>
      <c r="B43" s="0" t="n">
        <f aca="false">(B37+B41+B42)/Assumptions!$B$3*Assumptions!$B$10</f>
        <v>85.5002579218858</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30633.2180028831</v>
      </c>
    </row>
    <row r="47" customFormat="false" ht="15" hidden="false" customHeight="false" outlineLevel="0" collapsed="false">
      <c r="A47" s="0" t="s">
        <v>150</v>
      </c>
      <c r="B47" s="0" t="n">
        <f aca="false">(SUMPRODUCT(C19:L19/(1+B45/100)^C4:L4)+B46/(1+B45/100)^L4+Assumptions!$B$5-Assumptions!$B$4)/Assumptions!$B$3*Assumptions!$B$10</f>
        <v>28.7808671252726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92</v>
      </c>
      <c r="C3" s="2" t="s">
        <v>82</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5</v>
      </c>
      <c r="D5" s="4" t="n">
        <f aca="false">Assumptions!D27</f>
        <v>3</v>
      </c>
      <c r="E5" s="4" t="n">
        <f aca="false">Assumptions!E27</f>
        <v>3</v>
      </c>
      <c r="F5" s="4" t="n">
        <f aca="false">Assumptions!F27</f>
        <v>3</v>
      </c>
      <c r="G5" s="4" t="n">
        <f aca="false">Assumptions!G27</f>
        <v>2.8</v>
      </c>
      <c r="H5" s="4" t="n">
        <f aca="false">Assumptions!H27</f>
        <v>2.7</v>
      </c>
      <c r="I5" s="4" t="n">
        <f aca="false">Assumptions!I27</f>
        <v>2.6</v>
      </c>
      <c r="J5" s="4" t="n">
        <f aca="false">Assumptions!J27</f>
        <v>2.5</v>
      </c>
      <c r="K5" s="4" t="n">
        <f aca="false">Assumptions!K27</f>
        <v>2.5</v>
      </c>
      <c r="L5" s="4" t="n">
        <f aca="false">Assumptions!L27</f>
        <v>2.5</v>
      </c>
    </row>
    <row r="6" customFormat="false" ht="15" hidden="false" customHeight="false" outlineLevel="0" collapsed="false">
      <c r="A6" s="0" t="s">
        <v>37</v>
      </c>
      <c r="B6" s="3" t="n">
        <v>104780</v>
      </c>
      <c r="C6" s="0" t="n">
        <f aca="false">B6*(1+C5/100)</f>
        <v>110019</v>
      </c>
      <c r="D6" s="0" t="n">
        <f aca="false">C6*(1+D5/100)</f>
        <v>113319.57</v>
      </c>
      <c r="E6" s="0" t="n">
        <f aca="false">D6*(1+E5/100)</f>
        <v>116719.1571</v>
      </c>
      <c r="F6" s="0" t="n">
        <f aca="false">E6*(1+F5/100)</f>
        <v>120220.731813</v>
      </c>
      <c r="G6" s="0" t="n">
        <f aca="false">F6*(1+G5/100)</f>
        <v>123586.912303764</v>
      </c>
      <c r="H6" s="0" t="n">
        <f aca="false">G6*(1+H5/100)</f>
        <v>126923.758935966</v>
      </c>
      <c r="I6" s="0" t="n">
        <f aca="false">H6*(1+I5/100)</f>
        <v>130223.776668301</v>
      </c>
      <c r="J6" s="0" t="n">
        <f aca="false">I6*(1+J5/100)</f>
        <v>133479.371085008</v>
      </c>
      <c r="K6" s="0" t="n">
        <f aca="false">J6*(1+K5/100)</f>
        <v>136816.355362133</v>
      </c>
      <c r="L6" s="0" t="n">
        <f aca="false">K6*(1+L5/100)</f>
        <v>140236.764246187</v>
      </c>
    </row>
    <row r="7" customFormat="false" ht="15" hidden="false" customHeight="false" outlineLevel="0" collapsed="false">
      <c r="A7" s="0" t="s">
        <v>107</v>
      </c>
      <c r="C7" s="4" t="n">
        <f aca="false">Assumptions!C28</f>
        <v>8.3</v>
      </c>
      <c r="D7" s="4" t="n">
        <f aca="false">Assumptions!D28</f>
        <v>8.5</v>
      </c>
      <c r="E7" s="4" t="n">
        <f aca="false">Assumptions!E28</f>
        <v>8.7</v>
      </c>
      <c r="F7" s="4" t="n">
        <f aca="false">Assumptions!F28</f>
        <v>8.85</v>
      </c>
      <c r="G7" s="4" t="n">
        <f aca="false">Assumptions!G28</f>
        <v>9</v>
      </c>
      <c r="H7" s="4" t="n">
        <f aca="false">Assumptions!H28</f>
        <v>9</v>
      </c>
      <c r="I7" s="4" t="n">
        <f aca="false">Assumptions!I28</f>
        <v>9</v>
      </c>
      <c r="J7" s="4" t="n">
        <f aca="false">Assumptions!J28</f>
        <v>9</v>
      </c>
      <c r="K7" s="4" t="n">
        <f aca="false">Assumptions!K28</f>
        <v>9</v>
      </c>
      <c r="L7" s="4" t="n">
        <f aca="false">Assumptions!L28</f>
        <v>9</v>
      </c>
    </row>
    <row r="8" customFormat="false" ht="15" hidden="false" customHeight="false" outlineLevel="0" collapsed="false">
      <c r="A8" s="0" t="s">
        <v>43</v>
      </c>
      <c r="C8" s="0" t="n">
        <f aca="false">C6*C7/100</f>
        <v>9131.577</v>
      </c>
      <c r="D8" s="0" t="n">
        <f aca="false">D6*D7/100</f>
        <v>9632.16345</v>
      </c>
      <c r="E8" s="0" t="n">
        <f aca="false">E6*E7/100</f>
        <v>10154.5666677</v>
      </c>
      <c r="F8" s="0" t="n">
        <f aca="false">F6*F7/100</f>
        <v>10639.5347654505</v>
      </c>
      <c r="G8" s="0" t="n">
        <f aca="false">G6*G7/100</f>
        <v>11122.8221073388</v>
      </c>
      <c r="H8" s="0" t="n">
        <f aca="false">H6*H7/100</f>
        <v>11423.1383042369</v>
      </c>
      <c r="I8" s="0" t="n">
        <f aca="false">I6*I7/100</f>
        <v>11720.1399001471</v>
      </c>
      <c r="J8" s="0" t="n">
        <f aca="false">J6*J7/100</f>
        <v>12013.1433976507</v>
      </c>
      <c r="K8" s="0" t="n">
        <f aca="false">K6*K7/100</f>
        <v>12313.471982592</v>
      </c>
      <c r="L8" s="0" t="n">
        <f aca="false">L6*L7/100</f>
        <v>12621.3087821568</v>
      </c>
    </row>
    <row r="9" customFormat="false" ht="15" hidden="false" customHeight="false" outlineLevel="0" collapsed="false">
      <c r="A9" s="0" t="s">
        <v>108</v>
      </c>
      <c r="C9" s="4" t="n">
        <f aca="false">Assumptions!C29</f>
        <v>0.35</v>
      </c>
      <c r="D9" s="4" t="n">
        <f aca="false">Assumptions!D29</f>
        <v>0.35</v>
      </c>
      <c r="E9" s="4" t="n">
        <f aca="false">Assumptions!E29</f>
        <v>0.35</v>
      </c>
      <c r="F9" s="4" t="n">
        <f aca="false">Assumptions!F29</f>
        <v>0.35</v>
      </c>
      <c r="G9" s="4" t="n">
        <f aca="false">Assumptions!G29</f>
        <v>0.35</v>
      </c>
      <c r="H9" s="4" t="n">
        <f aca="false">Assumptions!H29</f>
        <v>0.35</v>
      </c>
      <c r="I9" s="4" t="n">
        <f aca="false">Assumptions!I29</f>
        <v>0.35</v>
      </c>
      <c r="J9" s="4" t="n">
        <f aca="false">Assumptions!J29</f>
        <v>0.35</v>
      </c>
      <c r="K9" s="4" t="n">
        <f aca="false">Assumptions!K29</f>
        <v>0.35</v>
      </c>
      <c r="L9" s="4" t="n">
        <f aca="false">Assumptions!L29</f>
        <v>0.35</v>
      </c>
    </row>
    <row r="10" customFormat="false" ht="15" hidden="false" customHeight="false" outlineLevel="0" collapsed="false">
      <c r="A10" s="0" t="s">
        <v>123</v>
      </c>
      <c r="C10" s="0" t="n">
        <f aca="false">-C6*C9/100</f>
        <v>-385.0665</v>
      </c>
      <c r="D10" s="0" t="n">
        <f aca="false">-D6*D9/100</f>
        <v>-396.618495</v>
      </c>
      <c r="E10" s="0" t="n">
        <f aca="false">-E6*E9/100</f>
        <v>-408.51704985</v>
      </c>
      <c r="F10" s="0" t="n">
        <f aca="false">-F6*F9/100</f>
        <v>-420.7725613455</v>
      </c>
      <c r="G10" s="0" t="n">
        <f aca="false">-G6*G9/100</f>
        <v>-432.554193063174</v>
      </c>
      <c r="H10" s="0" t="n">
        <f aca="false">-H6*H9/100</f>
        <v>-444.23315627588</v>
      </c>
      <c r="I10" s="0" t="n">
        <f aca="false">-I6*I9/100</f>
        <v>-455.783218339053</v>
      </c>
      <c r="J10" s="0" t="n">
        <f aca="false">-J6*J9/100</f>
        <v>-467.177798797529</v>
      </c>
      <c r="K10" s="0" t="n">
        <f aca="false">-K6*K9/100</f>
        <v>-478.857243767467</v>
      </c>
      <c r="L10" s="0" t="n">
        <f aca="false">-L6*L9/100</f>
        <v>-490.828674861654</v>
      </c>
    </row>
    <row r="11" customFormat="false" ht="15" hidden="false" customHeight="false" outlineLevel="0" collapsed="false">
      <c r="A11" s="0" t="s">
        <v>124</v>
      </c>
      <c r="C11" s="0" t="n">
        <f aca="false">C8+C10+C24</f>
        <v>8746.5105</v>
      </c>
      <c r="D11" s="0" t="n">
        <f aca="false">D8+D10+D24</f>
        <v>9235.544955</v>
      </c>
      <c r="E11" s="0" t="n">
        <f aca="false">E8+E10+E24</f>
        <v>9746.04961785</v>
      </c>
      <c r="F11" s="0" t="n">
        <f aca="false">F8+F10+F24</f>
        <v>10218.762204105</v>
      </c>
      <c r="G11" s="0" t="n">
        <f aca="false">G8+G10+G24</f>
        <v>10690.2679142756</v>
      </c>
      <c r="H11" s="0" t="n">
        <f aca="false">H8+H10+H24</f>
        <v>10978.905147961</v>
      </c>
      <c r="I11" s="0" t="n">
        <f aca="false">I8+I10+I24</f>
        <v>11264.356681808</v>
      </c>
      <c r="J11" s="0" t="n">
        <f aca="false">J8+J10+J24</f>
        <v>11545.9655988532</v>
      </c>
      <c r="K11" s="0" t="n">
        <f aca="false">K8+K10+K24</f>
        <v>11834.6147388245</v>
      </c>
      <c r="L11" s="0" t="n">
        <f aca="false">L8+L10+L24</f>
        <v>12130.4801072952</v>
      </c>
    </row>
    <row r="12" customFormat="false" ht="15" hidden="false" customHeight="false" outlineLevel="0" collapsed="false">
      <c r="A12" s="0" t="s">
        <v>125</v>
      </c>
      <c r="C12" s="4" t="n">
        <f aca="false">-C6*Assumptions!C31/100</f>
        <v>-3300.57</v>
      </c>
      <c r="D12" s="4" t="n">
        <f aca="false">-D6*Assumptions!D31/100</f>
        <v>-3512.90667</v>
      </c>
      <c r="E12" s="4" t="n">
        <f aca="false">-E6*Assumptions!E31/100</f>
        <v>-3735.0130272</v>
      </c>
      <c r="F12" s="4" t="n">
        <f aca="false">-F6*Assumptions!F31/100</f>
        <v>-3967.284149829</v>
      </c>
      <c r="G12" s="4" t="n">
        <f aca="false">-G6*Assumptions!G31/100</f>
        <v>-4078.36810602421</v>
      </c>
      <c r="H12" s="4" t="n">
        <f aca="false">-H6*Assumptions!H31/100</f>
        <v>-4188.48404488687</v>
      </c>
      <c r="I12" s="4" t="n">
        <f aca="false">-I6*Assumptions!I31/100</f>
        <v>-4297.38463005392</v>
      </c>
      <c r="J12" s="4" t="n">
        <f aca="false">-J6*Assumptions!J31/100</f>
        <v>-4404.81924580527</v>
      </c>
      <c r="K12" s="4" t="n">
        <f aca="false">-K6*Assumptions!K31/100</f>
        <v>-4514.9397269504</v>
      </c>
      <c r="L12" s="4" t="n">
        <f aca="false">-L6*Assumptions!L31/100</f>
        <v>-4627.81322012416</v>
      </c>
    </row>
    <row r="13" customFormat="false" ht="15" hidden="false" customHeight="false" outlineLevel="0" collapsed="false">
      <c r="A13" s="0" t="s">
        <v>126</v>
      </c>
      <c r="C13" s="0" t="n">
        <f aca="false">C11+C12</f>
        <v>5445.9405</v>
      </c>
      <c r="D13" s="0" t="n">
        <f aca="false">D11+D12</f>
        <v>5722.638285</v>
      </c>
      <c r="E13" s="0" t="n">
        <f aca="false">E11+E12</f>
        <v>6011.03659065</v>
      </c>
      <c r="F13" s="0" t="n">
        <f aca="false">F11+F12</f>
        <v>6251.478054276</v>
      </c>
      <c r="G13" s="0" t="n">
        <f aca="false">G11+G12</f>
        <v>6611.89980825138</v>
      </c>
      <c r="H13" s="0" t="n">
        <f aca="false">H11+H12</f>
        <v>6790.42110307416</v>
      </c>
      <c r="I13" s="0" t="n">
        <f aca="false">I11+I12</f>
        <v>6966.97205175409</v>
      </c>
      <c r="J13" s="0" t="n">
        <f aca="false">J11+J12</f>
        <v>7141.14635304794</v>
      </c>
      <c r="K13" s="0" t="n">
        <f aca="false">K11+K12</f>
        <v>7319.67501187414</v>
      </c>
      <c r="L13" s="0" t="n">
        <f aca="false">L11+L12</f>
        <v>7502.66688717099</v>
      </c>
    </row>
    <row r="14" customFormat="false" ht="15" hidden="false" customHeight="false" outlineLevel="0" collapsed="false">
      <c r="A14" s="0" t="s">
        <v>112</v>
      </c>
      <c r="C14" s="4" t="n">
        <f aca="false">Assumptions!C33</f>
        <v>23</v>
      </c>
      <c r="D14" s="4" t="n">
        <f aca="false">Assumptions!D33</f>
        <v>23</v>
      </c>
      <c r="E14" s="4" t="n">
        <f aca="false">Assumptions!E33</f>
        <v>23</v>
      </c>
      <c r="F14" s="4" t="n">
        <f aca="false">Assumptions!F33</f>
        <v>23</v>
      </c>
      <c r="G14" s="4" t="n">
        <f aca="false">Assumptions!G33</f>
        <v>23</v>
      </c>
      <c r="H14" s="4" t="n">
        <f aca="false">Assumptions!H33</f>
        <v>23</v>
      </c>
      <c r="I14" s="4" t="n">
        <f aca="false">Assumptions!I33</f>
        <v>23</v>
      </c>
      <c r="J14" s="4" t="n">
        <f aca="false">Assumptions!J33</f>
        <v>23</v>
      </c>
      <c r="K14" s="4" t="n">
        <f aca="false">Assumptions!K33</f>
        <v>23</v>
      </c>
      <c r="L14" s="4" t="n">
        <f aca="false">Assumptions!L33</f>
        <v>23</v>
      </c>
    </row>
    <row r="15" customFormat="false" ht="15" hidden="false" customHeight="false" outlineLevel="0" collapsed="false">
      <c r="A15" s="0" t="s">
        <v>127</v>
      </c>
      <c r="C15" s="0" t="n">
        <f aca="false">C13-MAX(0,C13)*C14/100</f>
        <v>4193.374185</v>
      </c>
      <c r="D15" s="0" t="n">
        <f aca="false">D13-MAX(0,D13)*D14/100</f>
        <v>4406.43147945</v>
      </c>
      <c r="E15" s="0" t="n">
        <f aca="false">E13-MAX(0,E13)*E14/100</f>
        <v>4628.4981748005</v>
      </c>
      <c r="F15" s="0" t="n">
        <f aca="false">F13-MAX(0,F13)*F14/100</f>
        <v>4813.63810179252</v>
      </c>
      <c r="G15" s="0" t="n">
        <f aca="false">G13-MAX(0,G13)*G14/100</f>
        <v>5091.16285235356</v>
      </c>
      <c r="H15" s="0" t="n">
        <f aca="false">H13-MAX(0,H13)*H14/100</f>
        <v>5228.62424936711</v>
      </c>
      <c r="I15" s="0" t="n">
        <f aca="false">I13-MAX(0,I13)*I14/100</f>
        <v>5364.56847985065</v>
      </c>
      <c r="J15" s="0" t="n">
        <f aca="false">J13-MAX(0,J13)*J14/100</f>
        <v>5498.68269184691</v>
      </c>
      <c r="K15" s="0" t="n">
        <f aca="false">K13-MAX(0,K13)*K14/100</f>
        <v>5636.14975914309</v>
      </c>
      <c r="L15" s="0" t="n">
        <f aca="false">L13-MAX(0,L13)*L14/100</f>
        <v>5777.05350312166</v>
      </c>
    </row>
    <row r="16" customFormat="false" ht="15" hidden="false" customHeight="false" outlineLevel="0" collapsed="false">
      <c r="A16" s="0" t="s">
        <v>128</v>
      </c>
      <c r="C16" s="0" t="n">
        <f aca="false">-C12</f>
        <v>3300.57</v>
      </c>
      <c r="D16" s="0" t="n">
        <f aca="false">-D12</f>
        <v>3512.90667</v>
      </c>
      <c r="E16" s="0" t="n">
        <f aca="false">-E12</f>
        <v>3735.0130272</v>
      </c>
      <c r="F16" s="0" t="n">
        <f aca="false">-F12</f>
        <v>3967.284149829</v>
      </c>
      <c r="G16" s="0" t="n">
        <f aca="false">-G12</f>
        <v>4078.36810602421</v>
      </c>
      <c r="H16" s="0" t="n">
        <f aca="false">-H12</f>
        <v>4188.48404488687</v>
      </c>
      <c r="I16" s="0" t="n">
        <f aca="false">-I12</f>
        <v>4297.38463005392</v>
      </c>
      <c r="J16" s="0" t="n">
        <f aca="false">-J12</f>
        <v>4404.81924580527</v>
      </c>
      <c r="K16" s="0" t="n">
        <f aca="false">-K12</f>
        <v>4514.9397269504</v>
      </c>
      <c r="L16" s="0" t="n">
        <f aca="false">-L12</f>
        <v>4627.81322012416</v>
      </c>
    </row>
    <row r="17" customFormat="false" ht="15" hidden="false" customHeight="false" outlineLevel="0" collapsed="false">
      <c r="A17" s="0" t="s">
        <v>129</v>
      </c>
      <c r="C17" s="4" t="n">
        <f aca="false">-C6*Assumptions!C32/100</f>
        <v>-4950.855</v>
      </c>
      <c r="D17" s="4" t="n">
        <f aca="false">-D6*Assumptions!D32/100</f>
        <v>-4872.74151</v>
      </c>
      <c r="E17" s="4" t="n">
        <f aca="false">-E6*Assumptions!E32/100</f>
        <v>-4668.766284</v>
      </c>
      <c r="F17" s="4" t="n">
        <f aca="false">-F6*Assumptions!F32/100</f>
        <v>-4568.387808894</v>
      </c>
      <c r="G17" s="4" t="n">
        <f aca="false">-G6*Assumptions!G32/100</f>
        <v>-4449.12884293551</v>
      </c>
      <c r="H17" s="4" t="n">
        <f aca="false">-H6*Assumptions!H32/100</f>
        <v>-4442.3315627588</v>
      </c>
      <c r="I17" s="4" t="n">
        <f aca="false">-I6*Assumptions!I32/100</f>
        <v>-4557.83218339053</v>
      </c>
      <c r="J17" s="4" t="n">
        <f aca="false">-J6*Assumptions!J32/100</f>
        <v>-4538.29861689028</v>
      </c>
      <c r="K17" s="4" t="n">
        <f aca="false">-K6*Assumptions!K32/100</f>
        <v>-4651.75608231254</v>
      </c>
      <c r="L17" s="4" t="n">
        <f aca="false">-L6*Assumptions!L32/100</f>
        <v>-4768.04998437035</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2543.089185</v>
      </c>
      <c r="D19" s="0" t="n">
        <f aca="false">D15+D16+D17+D18</f>
        <v>3046.59663945</v>
      </c>
      <c r="E19" s="0" t="n">
        <f aca="false">E15+E16+E17+E18</f>
        <v>3694.7449180005</v>
      </c>
      <c r="F19" s="0" t="n">
        <f aca="false">F15+F16+F17+F18</f>
        <v>4212.53444272752</v>
      </c>
      <c r="G19" s="0" t="n">
        <f aca="false">G15+G16+G17+G18</f>
        <v>4720.40211544227</v>
      </c>
      <c r="H19" s="0" t="n">
        <f aca="false">H15+H16+H17+H18</f>
        <v>4974.77673149517</v>
      </c>
      <c r="I19" s="0" t="n">
        <f aca="false">I15+I16+I17+I18</f>
        <v>5104.12092651405</v>
      </c>
      <c r="J19" s="0" t="n">
        <f aca="false">J15+J16+J17+J18</f>
        <v>5365.2033207619</v>
      </c>
      <c r="K19" s="0" t="n">
        <f aca="false">K15+K16+K17+K18</f>
        <v>5499.33340378095</v>
      </c>
      <c r="L19" s="0" t="n">
        <f aca="false">L15+L16+L17+L18</f>
        <v>5636.81673887548</v>
      </c>
    </row>
    <row r="20" customFormat="false" ht="15" hidden="false" customHeight="false" outlineLevel="0" collapsed="false">
      <c r="A20" s="0" t="s">
        <v>132</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133</v>
      </c>
      <c r="C21" s="0" t="n">
        <f aca="false">C19*C20</f>
        <v>2343.861</v>
      </c>
      <c r="D21" s="0" t="n">
        <f aca="false">D19*D20</f>
        <v>2587.94762211982</v>
      </c>
      <c r="E21" s="0" t="n">
        <f aca="false">E19*E20</f>
        <v>2892.64571793837</v>
      </c>
      <c r="F21" s="0" t="n">
        <f aca="false">F19*F20</f>
        <v>3039.65652546521</v>
      </c>
      <c r="G21" s="0" t="n">
        <f aca="false">G19*G20</f>
        <v>3139.28182295593</v>
      </c>
      <c r="H21" s="0" t="n">
        <f aca="false">H19*H20</f>
        <v>3049.26497434348</v>
      </c>
      <c r="I21" s="0" t="n">
        <f aca="false">I19*I20</f>
        <v>2883.45240891835</v>
      </c>
      <c r="J21" s="0" t="n">
        <f aca="false">J19*J20</f>
        <v>2793.49744990949</v>
      </c>
      <c r="K21" s="0" t="n">
        <f aca="false">K19*K20</f>
        <v>2639.01832825551</v>
      </c>
      <c r="L21" s="0" t="n">
        <f aca="false">L19*L20</f>
        <v>2493.08183084046</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8.5</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16</v>
      </c>
    </row>
    <row r="30" customFormat="false" ht="15" hidden="false" customHeight="false" outlineLevel="0" collapsed="false">
      <c r="A30" s="0" t="s">
        <v>136</v>
      </c>
      <c r="B30" s="0" t="n">
        <f aca="false">SUM(C21:L21)</f>
        <v>27861.7076807466</v>
      </c>
    </row>
    <row r="31" customFormat="false" ht="15" hidden="false" customHeight="false" outlineLevel="0" collapsed="false">
      <c r="A31" s="0" t="s">
        <v>137</v>
      </c>
      <c r="B31" s="0" t="n">
        <f aca="false">L19</f>
        <v>5636.81673887548</v>
      </c>
    </row>
    <row r="32" customFormat="false" ht="15" hidden="false" customHeight="false" outlineLevel="0" collapsed="false">
      <c r="A32" s="0" t="s">
        <v>138</v>
      </c>
      <c r="B32" s="0" t="n">
        <f aca="false">IF(B27&gt;B28,B31*(1+B28/100)/((B27-B28)/100),B31*B29)</f>
        <v>96295.6192891227</v>
      </c>
    </row>
    <row r="33" customFormat="false" ht="15" hidden="false" customHeight="false" outlineLevel="0" collapsed="false">
      <c r="A33" s="0" t="s">
        <v>139</v>
      </c>
      <c r="B33" s="0" t="n">
        <f aca="false">B31*B29</f>
        <v>90189.0678220076</v>
      </c>
    </row>
    <row r="34" customFormat="false" ht="15" hidden="false" customHeight="false" outlineLevel="0" collapsed="false">
      <c r="A34" s="0" t="s">
        <v>140</v>
      </c>
      <c r="B34" s="0" t="n">
        <f aca="false">MAX(0,MIN(B32,B33))</f>
        <v>90189.0678220076</v>
      </c>
    </row>
    <row r="35" customFormat="false" ht="15" hidden="false" customHeight="false" outlineLevel="0" collapsed="false">
      <c r="A35" s="0" t="s">
        <v>141</v>
      </c>
      <c r="B35" s="0" t="n">
        <f aca="false">B34/(1+B27/100)^L4</f>
        <v>39889.3092934473</v>
      </c>
    </row>
    <row r="36" customFormat="false" ht="15" hidden="false" customHeight="false" outlineLevel="0" collapsed="false">
      <c r="A36" s="0" t="s">
        <v>142</v>
      </c>
      <c r="B36" s="0" t="n">
        <f aca="false">B30+B35</f>
        <v>67751.016974194</v>
      </c>
    </row>
    <row r="37" customFormat="false" ht="15" hidden="false" customHeight="false" outlineLevel="0" collapsed="false">
      <c r="A37" s="0" t="s">
        <v>143</v>
      </c>
      <c r="B37" s="0" t="n">
        <f aca="false">B36+Assumptions!$B$5-Assumptions!$B$4</f>
        <v>57805.016974194</v>
      </c>
    </row>
    <row r="38" customFormat="false" ht="15" hidden="false" customHeight="false" outlineLevel="0" collapsed="false">
      <c r="A38" s="0" t="s">
        <v>144</v>
      </c>
      <c r="B38" s="0" t="n">
        <f aca="false">B37/Assumptions!$B$3*Assumptions!$B$10</f>
        <v>126.598810718778</v>
      </c>
    </row>
    <row r="39" customFormat="false" ht="15" hidden="false" customHeight="false" outlineLevel="0" collapsed="false">
      <c r="A39" s="0" t="s">
        <v>145</v>
      </c>
      <c r="B39" s="4" t="n">
        <f aca="false">B38/Assumptions!$B$2-1</f>
        <v>-0.192094379586612</v>
      </c>
    </row>
    <row r="41" customFormat="false" ht="15" hidden="false" customHeight="false" outlineLevel="0" collapsed="false">
      <c r="A41" s="0" t="s">
        <v>146</v>
      </c>
      <c r="B41" s="0" t="n">
        <f aca="false">SUMPRODUCT(-C10:L10/(1+$B$27/100)^C4:L4)</f>
        <v>2822.82774212299</v>
      </c>
    </row>
    <row r="42" customFormat="false" ht="15" hidden="false" customHeight="false" outlineLevel="0" collapsed="false">
      <c r="A42" s="0" t="s">
        <v>147</v>
      </c>
      <c r="B42" s="0" t="n">
        <f aca="false">IF(B27&gt;B28,-L10*(1+B28/100)/((B27-B28)/100),-L10*20)/(1+B27/100)^L4</f>
        <v>3708.5587212921</v>
      </c>
    </row>
    <row r="43" customFormat="false" ht="15" hidden="false" customHeight="false" outlineLevel="0" collapsed="false">
      <c r="A43" s="0" t="s">
        <v>148</v>
      </c>
      <c r="B43" s="0" t="n">
        <f aca="false">(B37+B41+B42)/Assumptions!$B$3*Assumptions!$B$10</f>
        <v>140.903205075797</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46221.8972587789</v>
      </c>
    </row>
    <row r="47" customFormat="false" ht="15" hidden="false" customHeight="false" outlineLevel="0" collapsed="false">
      <c r="A47" s="0" t="s">
        <v>150</v>
      </c>
      <c r="B47" s="0" t="n">
        <f aca="false">(SUMPRODUCT(C19:L19/(1+B45/100)^C4:L4)+B46/(1+B45/100)^L4+Assumptions!$B$5-Assumptions!$B$4)/Assumptions!$B$3*Assumptions!$B$10</f>
        <v>48.0928523518415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92</v>
      </c>
      <c r="C3" s="2" t="s">
        <v>82</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6</v>
      </c>
      <c r="D5" s="4" t="n">
        <f aca="false">Assumptions!D41</f>
        <v>4</v>
      </c>
      <c r="E5" s="4" t="n">
        <f aca="false">Assumptions!E41</f>
        <v>4</v>
      </c>
      <c r="F5" s="4" t="n">
        <f aca="false">Assumptions!F41</f>
        <v>3.5</v>
      </c>
      <c r="G5" s="4" t="n">
        <f aca="false">Assumptions!G41</f>
        <v>3.5</v>
      </c>
      <c r="H5" s="4" t="n">
        <f aca="false">Assumptions!H41</f>
        <v>3</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37</v>
      </c>
      <c r="B6" s="3" t="n">
        <v>104780</v>
      </c>
      <c r="C6" s="0" t="n">
        <f aca="false">B6*(1+C5/100)</f>
        <v>111066.8</v>
      </c>
      <c r="D6" s="0" t="n">
        <f aca="false">C6*(1+D5/100)</f>
        <v>115509.472</v>
      </c>
      <c r="E6" s="0" t="n">
        <f aca="false">D6*(1+E5/100)</f>
        <v>120129.85088</v>
      </c>
      <c r="F6" s="0" t="n">
        <f aca="false">E6*(1+F5/100)</f>
        <v>124334.3956608</v>
      </c>
      <c r="G6" s="0" t="n">
        <f aca="false">F6*(1+G5/100)</f>
        <v>128686.099508928</v>
      </c>
      <c r="H6" s="0" t="n">
        <f aca="false">G6*(1+H5/100)</f>
        <v>132546.682494196</v>
      </c>
      <c r="I6" s="0" t="n">
        <f aca="false">H6*(1+I5/100)</f>
        <v>136523.082969022</v>
      </c>
      <c r="J6" s="0" t="n">
        <f aca="false">I6*(1+J5/100)</f>
        <v>140618.775458092</v>
      </c>
      <c r="K6" s="0" t="n">
        <f aca="false">J6*(1+K5/100)</f>
        <v>144837.338721835</v>
      </c>
      <c r="L6" s="0" t="n">
        <f aca="false">K6*(1+L5/100)</f>
        <v>149182.45888349</v>
      </c>
    </row>
    <row r="7" customFormat="false" ht="15" hidden="false" customHeight="false" outlineLevel="0" collapsed="false">
      <c r="A7" s="0" t="s">
        <v>107</v>
      </c>
      <c r="C7" s="4" t="n">
        <f aca="false">Assumptions!C42</f>
        <v>8.4</v>
      </c>
      <c r="D7" s="4" t="n">
        <f aca="false">Assumptions!D42</f>
        <v>8.8</v>
      </c>
      <c r="E7" s="4" t="n">
        <f aca="false">Assumptions!E42</f>
        <v>9.2</v>
      </c>
      <c r="F7" s="4" t="n">
        <f aca="false">Assumptions!F42</f>
        <v>9.5</v>
      </c>
      <c r="G7" s="4" t="n">
        <f aca="false">Assumptions!G42</f>
        <v>9.7</v>
      </c>
      <c r="H7" s="4" t="n">
        <f aca="false">Assumptions!H42</f>
        <v>9.8</v>
      </c>
      <c r="I7" s="4" t="n">
        <f aca="false">Assumptions!I42</f>
        <v>9.8</v>
      </c>
      <c r="J7" s="4" t="n">
        <f aca="false">Assumptions!J42</f>
        <v>9.8</v>
      </c>
      <c r="K7" s="4" t="n">
        <f aca="false">Assumptions!K42</f>
        <v>9.8</v>
      </c>
      <c r="L7" s="4" t="n">
        <f aca="false">Assumptions!L42</f>
        <v>9.8</v>
      </c>
    </row>
    <row r="8" customFormat="false" ht="15" hidden="false" customHeight="false" outlineLevel="0" collapsed="false">
      <c r="A8" s="0" t="s">
        <v>43</v>
      </c>
      <c r="C8" s="0" t="n">
        <f aca="false">C6*C7/100</f>
        <v>9329.6112</v>
      </c>
      <c r="D8" s="0" t="n">
        <f aca="false">D6*D7/100</f>
        <v>10164.833536</v>
      </c>
      <c r="E8" s="0" t="n">
        <f aca="false">E6*E7/100</f>
        <v>11051.94628096</v>
      </c>
      <c r="F8" s="0" t="n">
        <f aca="false">F6*F7/100</f>
        <v>11811.767587776</v>
      </c>
      <c r="G8" s="0" t="n">
        <f aca="false">G6*G7/100</f>
        <v>12482.551652366</v>
      </c>
      <c r="H8" s="0" t="n">
        <f aca="false">H6*H7/100</f>
        <v>12989.5748844312</v>
      </c>
      <c r="I8" s="0" t="n">
        <f aca="false">I6*I7/100</f>
        <v>13379.2621309641</v>
      </c>
      <c r="J8" s="0" t="n">
        <f aca="false">J6*J7/100</f>
        <v>13780.6399948931</v>
      </c>
      <c r="K8" s="0" t="n">
        <f aca="false">K6*K7/100</f>
        <v>14194.0591947398</v>
      </c>
      <c r="L8" s="0" t="n">
        <f aca="false">L6*L7/100</f>
        <v>14619.880970582</v>
      </c>
    </row>
    <row r="9" customFormat="false" ht="15" hidden="false" customHeight="false" outlineLevel="0" collapsed="false">
      <c r="A9" s="0" t="s">
        <v>108</v>
      </c>
      <c r="C9" s="4" t="n">
        <f aca="false">Assumptions!C43</f>
        <v>0.35</v>
      </c>
      <c r="D9" s="4" t="n">
        <f aca="false">Assumptions!D43</f>
        <v>0.35</v>
      </c>
      <c r="E9" s="4" t="n">
        <f aca="false">Assumptions!E43</f>
        <v>0.35</v>
      </c>
      <c r="F9" s="4" t="n">
        <f aca="false">Assumptions!F43</f>
        <v>0.35</v>
      </c>
      <c r="G9" s="4" t="n">
        <f aca="false">Assumptions!G43</f>
        <v>0.35</v>
      </c>
      <c r="H9" s="4" t="n">
        <f aca="false">Assumptions!H43</f>
        <v>0.35</v>
      </c>
      <c r="I9" s="4" t="n">
        <f aca="false">Assumptions!I43</f>
        <v>0.35</v>
      </c>
      <c r="J9" s="4" t="n">
        <f aca="false">Assumptions!J43</f>
        <v>0.35</v>
      </c>
      <c r="K9" s="4" t="n">
        <f aca="false">Assumptions!K43</f>
        <v>0.35</v>
      </c>
      <c r="L9" s="4" t="n">
        <f aca="false">Assumptions!L43</f>
        <v>0.35</v>
      </c>
    </row>
    <row r="10" customFormat="false" ht="15" hidden="false" customHeight="false" outlineLevel="0" collapsed="false">
      <c r="A10" s="0" t="s">
        <v>123</v>
      </c>
      <c r="C10" s="0" t="n">
        <f aca="false">-C6*C9/100</f>
        <v>-388.7338</v>
      </c>
      <c r="D10" s="0" t="n">
        <f aca="false">-D6*D9/100</f>
        <v>-404.283152</v>
      </c>
      <c r="E10" s="0" t="n">
        <f aca="false">-E6*E9/100</f>
        <v>-420.45447808</v>
      </c>
      <c r="F10" s="0" t="n">
        <f aca="false">-F6*F9/100</f>
        <v>-435.1703848128</v>
      </c>
      <c r="G10" s="0" t="n">
        <f aca="false">-G6*G9/100</f>
        <v>-450.401348281248</v>
      </c>
      <c r="H10" s="0" t="n">
        <f aca="false">-H6*H9/100</f>
        <v>-463.913388729685</v>
      </c>
      <c r="I10" s="0" t="n">
        <f aca="false">-I6*I9/100</f>
        <v>-477.830790391576</v>
      </c>
      <c r="J10" s="0" t="n">
        <f aca="false">-J6*J9/100</f>
        <v>-492.165714103323</v>
      </c>
      <c r="K10" s="0" t="n">
        <f aca="false">-K6*K9/100</f>
        <v>-506.930685526423</v>
      </c>
      <c r="L10" s="0" t="n">
        <f aca="false">-L6*L9/100</f>
        <v>-522.138606092216</v>
      </c>
    </row>
    <row r="11" customFormat="false" ht="15" hidden="false" customHeight="false" outlineLevel="0" collapsed="false">
      <c r="A11" s="0" t="s">
        <v>124</v>
      </c>
      <c r="C11" s="0" t="n">
        <f aca="false">C8+C10+C24</f>
        <v>8940.8774</v>
      </c>
      <c r="D11" s="0" t="n">
        <f aca="false">D8+D10+D24</f>
        <v>9760.550384</v>
      </c>
      <c r="E11" s="0" t="n">
        <f aca="false">E8+E10+E24</f>
        <v>10631.49180288</v>
      </c>
      <c r="F11" s="0" t="n">
        <f aca="false">F8+F10+F24</f>
        <v>11376.5972029632</v>
      </c>
      <c r="G11" s="0" t="n">
        <f aca="false">G8+G10+G24</f>
        <v>12032.1503040848</v>
      </c>
      <c r="H11" s="0" t="n">
        <f aca="false">H8+H10+H24</f>
        <v>12525.6614957015</v>
      </c>
      <c r="I11" s="0" t="n">
        <f aca="false">I8+I10+I24</f>
        <v>12901.4313405726</v>
      </c>
      <c r="J11" s="0" t="n">
        <f aca="false">J8+J10+J24</f>
        <v>13288.4742807897</v>
      </c>
      <c r="K11" s="0" t="n">
        <f aca="false">K8+K10+K24</f>
        <v>13687.1285092134</v>
      </c>
      <c r="L11" s="0" t="n">
        <f aca="false">L8+L10+L24</f>
        <v>14097.7423644898</v>
      </c>
    </row>
    <row r="12" customFormat="false" ht="15" hidden="false" customHeight="false" outlineLevel="0" collapsed="false">
      <c r="A12" s="0" t="s">
        <v>125</v>
      </c>
      <c r="C12" s="4" t="n">
        <f aca="false">-C6*Assumptions!C45/100</f>
        <v>-3332.004</v>
      </c>
      <c r="D12" s="4" t="n">
        <f aca="false">-D6*Assumptions!D45/100</f>
        <v>-3580.793632</v>
      </c>
      <c r="E12" s="4" t="n">
        <f aca="false">-E6*Assumptions!E45/100</f>
        <v>-3844.15522816</v>
      </c>
      <c r="F12" s="4" t="n">
        <f aca="false">-F6*Assumptions!F45/100</f>
        <v>-4103.0350568064</v>
      </c>
      <c r="G12" s="4" t="n">
        <f aca="false">-G6*Assumptions!G45/100</f>
        <v>-4246.64128379462</v>
      </c>
      <c r="H12" s="4" t="n">
        <f aca="false">-H6*Assumptions!H45/100</f>
        <v>-4374.04052230846</v>
      </c>
      <c r="I12" s="4" t="n">
        <f aca="false">-I6*Assumptions!I45/100</f>
        <v>-4505.26173797772</v>
      </c>
      <c r="J12" s="4" t="n">
        <f aca="false">-J6*Assumptions!J45/100</f>
        <v>-4640.41959011705</v>
      </c>
      <c r="K12" s="4" t="n">
        <f aca="false">-K6*Assumptions!K45/100</f>
        <v>-4779.63217782056</v>
      </c>
      <c r="L12" s="4" t="n">
        <f aca="false">-L6*Assumptions!L45/100</f>
        <v>-4923.02114315518</v>
      </c>
    </row>
    <row r="13" customFormat="false" ht="15" hidden="false" customHeight="false" outlineLevel="0" collapsed="false">
      <c r="A13" s="0" t="s">
        <v>126</v>
      </c>
      <c r="C13" s="0" t="n">
        <f aca="false">C11+C12</f>
        <v>5608.8734</v>
      </c>
      <c r="D13" s="0" t="n">
        <f aca="false">D11+D12</f>
        <v>6179.756752</v>
      </c>
      <c r="E13" s="0" t="n">
        <f aca="false">E11+E12</f>
        <v>6787.33657472</v>
      </c>
      <c r="F13" s="0" t="n">
        <f aca="false">F11+F12</f>
        <v>7273.5621461568</v>
      </c>
      <c r="G13" s="0" t="n">
        <f aca="false">G11+G12</f>
        <v>7785.50902029014</v>
      </c>
      <c r="H13" s="0" t="n">
        <f aca="false">H11+H12</f>
        <v>8151.62097339305</v>
      </c>
      <c r="I13" s="0" t="n">
        <f aca="false">I11+I12</f>
        <v>8396.16960259483</v>
      </c>
      <c r="J13" s="0" t="n">
        <f aca="false">J11+J12</f>
        <v>8648.05469067268</v>
      </c>
      <c r="K13" s="0" t="n">
        <f aca="false">K11+K12</f>
        <v>8907.49633139286</v>
      </c>
      <c r="L13" s="0" t="n">
        <f aca="false">L11+L12</f>
        <v>9174.72122133465</v>
      </c>
    </row>
    <row r="14" customFormat="false" ht="15" hidden="false" customHeight="false" outlineLevel="0" collapsed="false">
      <c r="A14" s="0" t="s">
        <v>112</v>
      </c>
      <c r="C14" s="4" t="n">
        <f aca="false">Assumptions!C47</f>
        <v>23</v>
      </c>
      <c r="D14" s="4" t="n">
        <f aca="false">Assumptions!D47</f>
        <v>23</v>
      </c>
      <c r="E14" s="4" t="n">
        <f aca="false">Assumptions!E47</f>
        <v>23</v>
      </c>
      <c r="F14" s="4" t="n">
        <f aca="false">Assumptions!F47</f>
        <v>23</v>
      </c>
      <c r="G14" s="4" t="n">
        <f aca="false">Assumptions!G47</f>
        <v>23</v>
      </c>
      <c r="H14" s="4" t="n">
        <f aca="false">Assumptions!H47</f>
        <v>23</v>
      </c>
      <c r="I14" s="4" t="n">
        <f aca="false">Assumptions!I47</f>
        <v>23</v>
      </c>
      <c r="J14" s="4" t="n">
        <f aca="false">Assumptions!J47</f>
        <v>23</v>
      </c>
      <c r="K14" s="4" t="n">
        <f aca="false">Assumptions!K47</f>
        <v>23</v>
      </c>
      <c r="L14" s="4" t="n">
        <f aca="false">Assumptions!L47</f>
        <v>23</v>
      </c>
    </row>
    <row r="15" customFormat="false" ht="15" hidden="false" customHeight="false" outlineLevel="0" collapsed="false">
      <c r="A15" s="0" t="s">
        <v>127</v>
      </c>
      <c r="C15" s="0" t="n">
        <f aca="false">C13-MAX(0,C13)*C14/100</f>
        <v>4318.832518</v>
      </c>
      <c r="D15" s="0" t="n">
        <f aca="false">D13-MAX(0,D13)*D14/100</f>
        <v>4758.41269904</v>
      </c>
      <c r="E15" s="0" t="n">
        <f aca="false">E13-MAX(0,E13)*E14/100</f>
        <v>5226.2491625344</v>
      </c>
      <c r="F15" s="0" t="n">
        <f aca="false">F13-MAX(0,F13)*F14/100</f>
        <v>5600.64285254074</v>
      </c>
      <c r="G15" s="0" t="n">
        <f aca="false">G13-MAX(0,G13)*G14/100</f>
        <v>5994.84194562341</v>
      </c>
      <c r="H15" s="0" t="n">
        <f aca="false">H13-MAX(0,H13)*H14/100</f>
        <v>6276.74814951265</v>
      </c>
      <c r="I15" s="0" t="n">
        <f aca="false">I13-MAX(0,I13)*I14/100</f>
        <v>6465.05059399802</v>
      </c>
      <c r="J15" s="0" t="n">
        <f aca="false">J13-MAX(0,J13)*J14/100</f>
        <v>6659.00211181797</v>
      </c>
      <c r="K15" s="0" t="n">
        <f aca="false">K13-MAX(0,K13)*K14/100</f>
        <v>6858.7721751725</v>
      </c>
      <c r="L15" s="0" t="n">
        <f aca="false">L13-MAX(0,L13)*L14/100</f>
        <v>7064.53534042768</v>
      </c>
    </row>
    <row r="16" customFormat="false" ht="15" hidden="false" customHeight="false" outlineLevel="0" collapsed="false">
      <c r="A16" s="0" t="s">
        <v>128</v>
      </c>
      <c r="C16" s="0" t="n">
        <f aca="false">-C12</f>
        <v>3332.004</v>
      </c>
      <c r="D16" s="0" t="n">
        <f aca="false">-D12</f>
        <v>3580.793632</v>
      </c>
      <c r="E16" s="0" t="n">
        <f aca="false">-E12</f>
        <v>3844.15522816</v>
      </c>
      <c r="F16" s="0" t="n">
        <f aca="false">-F12</f>
        <v>4103.0350568064</v>
      </c>
      <c r="G16" s="0" t="n">
        <f aca="false">-G12</f>
        <v>4246.64128379462</v>
      </c>
      <c r="H16" s="0" t="n">
        <f aca="false">-H12</f>
        <v>4374.04052230846</v>
      </c>
      <c r="I16" s="0" t="n">
        <f aca="false">-I12</f>
        <v>4505.26173797772</v>
      </c>
      <c r="J16" s="0" t="n">
        <f aca="false">-J12</f>
        <v>4640.41959011705</v>
      </c>
      <c r="K16" s="0" t="n">
        <f aca="false">-K12</f>
        <v>4779.63217782056</v>
      </c>
      <c r="L16" s="0" t="n">
        <f aca="false">-L12</f>
        <v>4923.02114315518</v>
      </c>
    </row>
    <row r="17" customFormat="false" ht="15" hidden="false" customHeight="false" outlineLevel="0" collapsed="false">
      <c r="A17" s="0" t="s">
        <v>129</v>
      </c>
      <c r="C17" s="4" t="n">
        <f aca="false">-C6*Assumptions!C46/100</f>
        <v>-4998.006</v>
      </c>
      <c r="D17" s="4" t="n">
        <f aca="false">-D6*Assumptions!D46/100</f>
        <v>-5082.416768</v>
      </c>
      <c r="E17" s="4" t="n">
        <f aca="false">-E6*Assumptions!E46/100</f>
        <v>-5045.45373696</v>
      </c>
      <c r="F17" s="4" t="n">
        <f aca="false">-F6*Assumptions!F46/100</f>
        <v>-4973.375826432</v>
      </c>
      <c r="G17" s="4" t="n">
        <f aca="false">-G6*Assumptions!G46/100</f>
        <v>-4890.07178133926</v>
      </c>
      <c r="H17" s="4" t="n">
        <f aca="false">-H6*Assumptions!H46/100</f>
        <v>-4904.22725228525</v>
      </c>
      <c r="I17" s="4" t="n">
        <f aca="false">-I6*Assumptions!I46/100</f>
        <v>-4914.83098688478</v>
      </c>
      <c r="J17" s="4" t="n">
        <f aca="false">-J6*Assumptions!J46/100</f>
        <v>-5062.27591649132</v>
      </c>
      <c r="K17" s="4" t="n">
        <f aca="false">-K6*Assumptions!K46/100</f>
        <v>-5214.14419398606</v>
      </c>
      <c r="L17" s="4" t="n">
        <f aca="false">-L6*Assumptions!L46/100</f>
        <v>-5370.56851980565</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2652.830518</v>
      </c>
      <c r="D19" s="0" t="n">
        <f aca="false">D15+D16+D17+D18</f>
        <v>3256.78956304</v>
      </c>
      <c r="E19" s="0" t="n">
        <f aca="false">E15+E16+E17+E18</f>
        <v>4024.9506537344</v>
      </c>
      <c r="F19" s="0" t="n">
        <f aca="false">F15+F16+F17+F18</f>
        <v>4730.30208291513</v>
      </c>
      <c r="G19" s="0" t="n">
        <f aca="false">G15+G16+G17+G18</f>
        <v>5351.41144807877</v>
      </c>
      <c r="H19" s="0" t="n">
        <f aca="false">H15+H16+H17+H18</f>
        <v>5746.56141953586</v>
      </c>
      <c r="I19" s="0" t="n">
        <f aca="false">I15+I16+I17+I18</f>
        <v>6055.48134509096</v>
      </c>
      <c r="J19" s="0" t="n">
        <f aca="false">J15+J16+J17+J18</f>
        <v>6237.14578544369</v>
      </c>
      <c r="K19" s="0" t="n">
        <f aca="false">K15+K16+K17+K18</f>
        <v>6424.260159007</v>
      </c>
      <c r="L19" s="0" t="n">
        <f aca="false">L15+L16+L17+L18</f>
        <v>6616.98796377721</v>
      </c>
    </row>
    <row r="20" customFormat="false" ht="15" hidden="false" customHeight="false" outlineLevel="0" collapsed="false">
      <c r="A20" s="0" t="s">
        <v>132</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133</v>
      </c>
      <c r="C21" s="0" t="n">
        <f aca="false">C19*C20</f>
        <v>2445.00508571429</v>
      </c>
      <c r="D21" s="0" t="n">
        <f aca="false">D19*D20</f>
        <v>2766.49711231073</v>
      </c>
      <c r="E21" s="0" t="n">
        <f aca="false">E19*E20</f>
        <v>3151.16646259272</v>
      </c>
      <c r="F21" s="0" t="n">
        <f aca="false">F19*F20</f>
        <v>3413.2643398507</v>
      </c>
      <c r="G21" s="0" t="n">
        <f aca="false">G19*G20</f>
        <v>3558.93169167813</v>
      </c>
      <c r="H21" s="0" t="n">
        <f aca="false">H19*H20</f>
        <v>3522.32660986933</v>
      </c>
      <c r="I21" s="0" t="n">
        <f aca="false">I19*I20</f>
        <v>3420.90097845462</v>
      </c>
      <c r="J21" s="0" t="n">
        <f aca="false">J19*J20</f>
        <v>3247.49125143619</v>
      </c>
      <c r="K21" s="0" t="n">
        <f aca="false">K19*K20</f>
        <v>3082.87187924357</v>
      </c>
      <c r="L21" s="0" t="n">
        <f aca="false">L19*L20</f>
        <v>2926.59726785334</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8.5</v>
      </c>
    </row>
    <row r="28" customFormat="false" ht="15" hidden="false" customHeight="false" outlineLevel="0" collapsed="false">
      <c r="A28" s="0" t="s">
        <v>114</v>
      </c>
      <c r="B28" s="4" t="n">
        <f aca="false">Assumptions!$B$49</f>
        <v>2.75</v>
      </c>
    </row>
    <row r="29" customFormat="false" ht="15" hidden="false" customHeight="false" outlineLevel="0" collapsed="false">
      <c r="A29" s="0" t="s">
        <v>115</v>
      </c>
      <c r="B29" s="4" t="n">
        <f aca="false">Assumptions!$B$50</f>
        <v>17</v>
      </c>
    </row>
    <row r="30" customFormat="false" ht="15" hidden="false" customHeight="false" outlineLevel="0" collapsed="false">
      <c r="A30" s="0" t="s">
        <v>136</v>
      </c>
      <c r="B30" s="0" t="n">
        <f aca="false">SUM(C21:L21)</f>
        <v>31535.0526790036</v>
      </c>
    </row>
    <row r="31" customFormat="false" ht="15" hidden="false" customHeight="false" outlineLevel="0" collapsed="false">
      <c r="A31" s="0" t="s">
        <v>137</v>
      </c>
      <c r="B31" s="0" t="n">
        <f aca="false">L19</f>
        <v>6616.98796377721</v>
      </c>
    </row>
    <row r="32" customFormat="false" ht="15" hidden="false" customHeight="false" outlineLevel="0" collapsed="false">
      <c r="A32" s="0" t="s">
        <v>138</v>
      </c>
      <c r="B32" s="0" t="n">
        <f aca="false">IF(B27&gt;B28,B31*(1+B28/100)/((B27-B28)/100),B31*B29)</f>
        <v>118242.69796141</v>
      </c>
    </row>
    <row r="33" customFormat="false" ht="15" hidden="false" customHeight="false" outlineLevel="0" collapsed="false">
      <c r="A33" s="0" t="s">
        <v>139</v>
      </c>
      <c r="B33" s="0" t="n">
        <f aca="false">B31*B29</f>
        <v>112488.795384213</v>
      </c>
    </row>
    <row r="34" customFormat="false" ht="15" hidden="false" customHeight="false" outlineLevel="0" collapsed="false">
      <c r="A34" s="0" t="s">
        <v>140</v>
      </c>
      <c r="B34" s="0" t="n">
        <f aca="false">MAX(0,MIN(B32,B33))</f>
        <v>112488.795384213</v>
      </c>
    </row>
    <row r="35" customFormat="false" ht="15" hidden="false" customHeight="false" outlineLevel="0" collapsed="false">
      <c r="A35" s="0" t="s">
        <v>141</v>
      </c>
      <c r="B35" s="0" t="n">
        <f aca="false">B34/(1+B27/100)^L4</f>
        <v>49752.1535535068</v>
      </c>
    </row>
    <row r="36" customFormat="false" ht="15" hidden="false" customHeight="false" outlineLevel="0" collapsed="false">
      <c r="A36" s="0" t="s">
        <v>142</v>
      </c>
      <c r="B36" s="0" t="n">
        <f aca="false">B30+B35</f>
        <v>81287.2062325105</v>
      </c>
    </row>
    <row r="37" customFormat="false" ht="15" hidden="false" customHeight="false" outlineLevel="0" collapsed="false">
      <c r="A37" s="0" t="s">
        <v>143</v>
      </c>
      <c r="B37" s="0" t="n">
        <f aca="false">B36+Assumptions!$B$5-Assumptions!$B$4</f>
        <v>71341.2062325105</v>
      </c>
    </row>
    <row r="38" customFormat="false" ht="15" hidden="false" customHeight="false" outlineLevel="0" collapsed="false">
      <c r="A38" s="0" t="s">
        <v>144</v>
      </c>
      <c r="B38" s="0" t="n">
        <f aca="false">B37/Assumptions!$B$3*Assumptions!$B$10</f>
        <v>156.244428892927</v>
      </c>
    </row>
    <row r="39" customFormat="false" ht="15" hidden="false" customHeight="false" outlineLevel="0" collapsed="false">
      <c r="A39" s="0" t="s">
        <v>145</v>
      </c>
      <c r="B39" s="4" t="n">
        <f aca="false">B38/Assumptions!$B$2-1</f>
        <v>-0.00290728211278268</v>
      </c>
    </row>
    <row r="41" customFormat="false" ht="15" hidden="false" customHeight="false" outlineLevel="0" collapsed="false">
      <c r="A41" s="0" t="s">
        <v>146</v>
      </c>
      <c r="B41" s="0" t="n">
        <f aca="false">SUMPRODUCT(-C10:L10/(1+$B$27/100)^C4:L4)</f>
        <v>2929.1711032232</v>
      </c>
    </row>
    <row r="42" customFormat="false" ht="15" hidden="false" customHeight="false" outlineLevel="0" collapsed="false">
      <c r="A42" s="0" t="s">
        <v>147</v>
      </c>
      <c r="B42" s="0" t="n">
        <f aca="false">IF(B27&gt;B28,-L10*(1+B28/100)/((B27-B28)/100),-L10*20)/(1+B27/100)^L4</f>
        <v>4126.69535791468</v>
      </c>
    </row>
    <row r="43" customFormat="false" ht="15" hidden="false" customHeight="false" outlineLevel="0" collapsed="false">
      <c r="A43" s="0" t="s">
        <v>148</v>
      </c>
      <c r="B43" s="0" t="n">
        <f aca="false">(B37+B41+B42)/Assumptions!$B$3*Assumptions!$B$10</f>
        <v>171.697487283505</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55501.674553315</v>
      </c>
    </row>
    <row r="47" customFormat="false" ht="15" hidden="false" customHeight="false" outlineLevel="0" collapsed="false">
      <c r="A47" s="0" t="s">
        <v>150</v>
      </c>
      <c r="B47" s="0" t="n">
        <f aca="false">(SUMPRODUCT(C19:L19/(1+B45/100)^C4:L4)+B46/(1+B45/100)^L4+Assumptions!$B$5-Assumptions!$B$4)/Assumptions!$B$3*Assumptions!$B$10</f>
        <v>58.7293321173745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73.1554981769437</v>
      </c>
      <c r="C4" s="0" t="n">
        <f aca="false">B4/Assumptions!$B$2-1</f>
        <v>-0.533149341563856</v>
      </c>
      <c r="D4" s="4" t="n">
        <f aca="false">Assumptions!$B$24</f>
        <v>0.2</v>
      </c>
      <c r="E4" s="4" t="n">
        <f aca="false">DCF_Bear!$B$43</f>
        <v>85.5002579218858</v>
      </c>
      <c r="F4" s="4" t="n">
        <f aca="false">DCF_Bear!$B$47</f>
        <v>28.7808671252726</v>
      </c>
    </row>
    <row r="5" customFormat="false" ht="15" hidden="false" customHeight="false" outlineLevel="0" collapsed="false">
      <c r="A5" s="0" t="s">
        <v>159</v>
      </c>
      <c r="B5" s="4" t="n">
        <f aca="false">DCF_Base!$B$38</f>
        <v>126.598810718778</v>
      </c>
      <c r="C5" s="0" t="n">
        <f aca="false">B5/Assumptions!$B$2-1</f>
        <v>-0.192094379586612</v>
      </c>
      <c r="D5" s="4" t="n">
        <f aca="false">Assumptions!$B$38</f>
        <v>0.5</v>
      </c>
      <c r="E5" s="4" t="n">
        <f aca="false">DCF_Base!$B$43</f>
        <v>140.903205075797</v>
      </c>
      <c r="F5" s="4" t="n">
        <f aca="false">DCF_Base!$B$47</f>
        <v>48.0928523518415</v>
      </c>
    </row>
    <row r="6" customFormat="false" ht="15" hidden="false" customHeight="false" outlineLevel="0" collapsed="false">
      <c r="A6" s="0" t="s">
        <v>160</v>
      </c>
      <c r="B6" s="4" t="n">
        <f aca="false">DCF_Bull!$B$38</f>
        <v>156.244428892927</v>
      </c>
      <c r="C6" s="0" t="n">
        <f aca="false">B6/Assumptions!$B$2-1</f>
        <v>-0.00290728211278268</v>
      </c>
      <c r="D6" s="4" t="n">
        <f aca="false">Assumptions!$B$52</f>
        <v>0.3</v>
      </c>
      <c r="E6" s="4" t="n">
        <f aca="false">DCF_Bull!$B$43</f>
        <v>171.697487283505</v>
      </c>
      <c r="F6" s="4" t="n">
        <f aca="false">DCF_Bull!$B$47</f>
        <v>58.7293321173745</v>
      </c>
    </row>
    <row r="8" customFormat="false" ht="15" hidden="false" customHeight="false" outlineLevel="0" collapsed="false">
      <c r="A8" s="0" t="s">
        <v>161</v>
      </c>
      <c r="B8" s="0" t="n">
        <f aca="false">SUMPRODUCT(B4:B6,D4:D6)</f>
        <v>124.803833662656</v>
      </c>
    </row>
    <row r="9" customFormat="false" ht="15" hidden="false" customHeight="false" outlineLevel="0" collapsed="false">
      <c r="A9" s="0" t="s">
        <v>162</v>
      </c>
      <c r="B9" s="0" t="n">
        <f aca="false">SUMPRODUCT(E4:E6,D4:D6)</f>
        <v>139.060900307327</v>
      </c>
    </row>
    <row r="10" customFormat="false" ht="15" hidden="false" customHeight="false" outlineLevel="0" collapsed="false">
      <c r="A10" s="0" t="s">
        <v>163</v>
      </c>
      <c r="B10" s="0" t="n">
        <f aca="false">1-Assumptions!$B$2/B8</f>
        <v>-0.255570405181298</v>
      </c>
    </row>
    <row r="11" customFormat="false" ht="15" hidden="false" customHeight="false" outlineLevel="0" collapsed="false">
      <c r="A11" s="0" t="s">
        <v>164</v>
      </c>
      <c r="B11" s="0" t="n">
        <f aca="false">IF(ABS(B9-B8)&gt;0.01*ABS(B8),(Assumptions!$B$2-B8)/(B9-B8)*100,"n/a")</f>
        <v>223.721801491791</v>
      </c>
    </row>
    <row r="12" customFormat="false" ht="15" hidden="false" customHeight="false" outlineLevel="0" collapsed="false">
      <c r="A12" s="0" t="s">
        <v>165</v>
      </c>
      <c r="B12" s="0" t="n">
        <f aca="false">SUMPRODUCT(F4:F6,D4:D6)</f>
        <v>47.4213992361876</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126.598810718778</v>
      </c>
      <c r="C15" s="3" t="n">
        <v>8.5</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119.94764505498</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99.8785261186215</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84.573014137894</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72.5248168746182</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48.0928523518415</v>
      </c>
      <c r="C20" s="3" t="n">
        <v>15</v>
      </c>
    </row>
    <row r="22" customFormat="false" ht="15" hidden="false" customHeight="false" outlineLevel="0" collapsed="false">
      <c r="A22" s="2" t="s">
        <v>174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151.141500261555</v>
      </c>
      <c r="C24" s="0" t="n">
        <f aca="false">(SUMPRODUCT(DCF_Base!$C$19:$L$19/(1+$A$24/100)^DCF_Base!$C$4:$L$4)+MAX(0,MIN(IF($A$24&gt;$C$23,DCF_Base!$L$19*(1+$C$23/100)/(($A$24-$C$23)/100),DCF_Base!$L$19*DCF_Base!$B$29),DCF_Base!$L$19*DCF_Base!$B$29))/(1+$A$24/100)^DCF_Base!$L$4+Assumptions!$B$5-Assumptions!$B$4)/Assumptions!$B$3*Assumptions!$B$10</f>
        <v>151.141500261555</v>
      </c>
      <c r="D24" s="0" t="n">
        <f aca="false">(SUMPRODUCT(DCF_Base!$C$19:$L$19/(1+$A$24/100)^DCF_Base!$C$4:$L$4)+MAX(0,MIN(IF($A$24&gt;$D$23,DCF_Base!$L$19*(1+$D$23/100)/(($A$24-$D$23)/100),DCF_Base!$L$19*DCF_Base!$B$29),DCF_Base!$L$19*DCF_Base!$B$29))/(1+$A$24/100)^DCF_Base!$L$4+Assumptions!$B$5-Assumptions!$B$4)/Assumptions!$B$3*Assumptions!$B$10</f>
        <v>151.141500261555</v>
      </c>
      <c r="E24" s="0" t="n">
        <f aca="false">(SUMPRODUCT(DCF_Base!$C$19:$L$19/(1+$A$24/100)^DCF_Base!$C$4:$L$4)+MAX(0,MIN(IF($A$24&gt;$E$23,DCF_Base!$L$19*(1+$E$23/100)/(($A$24-$E$23)/100),DCF_Base!$L$19*DCF_Base!$B$29),DCF_Base!$L$19*DCF_Base!$B$29))/(1+$A$24/100)^DCF_Base!$L$4+Assumptions!$B$5-Assumptions!$B$4)/Assumptions!$B$3*Assumptions!$B$10</f>
        <v>151.141500261555</v>
      </c>
      <c r="F24" s="0" t="n">
        <f aca="false">(SUMPRODUCT(DCF_Base!$C$19:$L$19/(1+$A$24/100)^DCF_Base!$C$4:$L$4)+MAX(0,MIN(IF($A$24&gt;$F$23,DCF_Base!$L$19*(1+$F$23/100)/(($A$24-$F$23)/100),DCF_Base!$L$19*DCF_Base!$B$29),DCF_Base!$L$19*DCF_Base!$B$29))/(1+$A$24/100)^DCF_Base!$L$4+Assumptions!$B$5-Assumptions!$B$4)/Assumptions!$B$3*Assumptions!$B$10</f>
        <v>151.141500261555</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138.290124124721</v>
      </c>
      <c r="C25" s="0" t="n">
        <f aca="false">(SUMPRODUCT(DCF_Base!$C$19:$L$19/(1+$A$25/100)^DCF_Base!$C$4:$L$4)+MAX(0,MIN(IF($A$25&gt;$C$23,DCF_Base!$L$19*(1+$C$23/100)/(($A$25-$C$23)/100),DCF_Base!$L$19*DCF_Base!$B$29),DCF_Base!$L$19*DCF_Base!$B$29))/(1+$A$25/100)^DCF_Base!$L$4+Assumptions!$B$5-Assumptions!$B$4)/Assumptions!$B$3*Assumptions!$B$10</f>
        <v>138.290124124721</v>
      </c>
      <c r="D25" s="0" t="n">
        <f aca="false">(SUMPRODUCT(DCF_Base!$C$19:$L$19/(1+$A$25/100)^DCF_Base!$C$4:$L$4)+MAX(0,MIN(IF($A$25&gt;$D$23,DCF_Base!$L$19*(1+$D$23/100)/(($A$25-$D$23)/100),DCF_Base!$L$19*DCF_Base!$B$29),DCF_Base!$L$19*DCF_Base!$B$29))/(1+$A$25/100)^DCF_Base!$L$4+Assumptions!$B$5-Assumptions!$B$4)/Assumptions!$B$3*Assumptions!$B$10</f>
        <v>138.290124124721</v>
      </c>
      <c r="E25" s="0" t="n">
        <f aca="false">(SUMPRODUCT(DCF_Base!$C$19:$L$19/(1+$A$25/100)^DCF_Base!$C$4:$L$4)+MAX(0,MIN(IF($A$25&gt;$E$23,DCF_Base!$L$19*(1+$E$23/100)/(($A$25-$E$23)/100),DCF_Base!$L$19*DCF_Base!$B$29),DCF_Base!$L$19*DCF_Base!$B$29))/(1+$A$25/100)^DCF_Base!$L$4+Assumptions!$B$5-Assumptions!$B$4)/Assumptions!$B$3*Assumptions!$B$10</f>
        <v>138.290124124721</v>
      </c>
      <c r="F25" s="0" t="n">
        <f aca="false">(SUMPRODUCT(DCF_Base!$C$19:$L$19/(1+$A$25/100)^DCF_Base!$C$4:$L$4)+MAX(0,MIN(IF($A$25&gt;$F$23,DCF_Base!$L$19*(1+$F$23/100)/(($A$25-$F$23)/100),DCF_Base!$L$19*DCF_Base!$B$29),DCF_Base!$L$19*DCF_Base!$B$29))/(1+$A$25/100)^DCF_Base!$L$4+Assumptions!$B$5-Assumptions!$B$4)/Assumptions!$B$3*Assumptions!$B$10</f>
        <v>138.290124124721</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118.408660157541</v>
      </c>
      <c r="C26" s="0" t="n">
        <f aca="false">(SUMPRODUCT(DCF_Base!$C$19:$L$19/(1+$A$26/100)^DCF_Base!$C$4:$L$4)+MAX(0,MIN(IF($A$26&gt;$C$23,DCF_Base!$L$19*(1+$C$23/100)/(($A$26-$C$23)/100),DCF_Base!$L$19*DCF_Base!$B$29),DCF_Base!$L$19*DCF_Base!$B$29))/(1+$A$26/100)^DCF_Base!$L$4+Assumptions!$B$5-Assumptions!$B$4)/Assumptions!$B$3*Assumptions!$B$10</f>
        <v>124.918779834422</v>
      </c>
      <c r="D26" s="0" t="n">
        <f aca="false">(SUMPRODUCT(DCF_Base!$C$19:$L$19/(1+$A$26/100)^DCF_Base!$C$4:$L$4)+MAX(0,MIN(IF($A$26&gt;$D$23,DCF_Base!$L$19*(1+$D$23/100)/(($A$26-$D$23)/100),DCF_Base!$L$19*DCF_Base!$B$29),DCF_Base!$L$19*DCF_Base!$B$29))/(1+$A$26/100)^DCF_Base!$L$4+Assumptions!$B$5-Assumptions!$B$4)/Assumptions!$B$3*Assumptions!$B$10</f>
        <v>126.598810718778</v>
      </c>
      <c r="E26" s="0" t="n">
        <f aca="false">(SUMPRODUCT(DCF_Base!$C$19:$L$19/(1+$A$26/100)^DCF_Base!$C$4:$L$4)+MAX(0,MIN(IF($A$26&gt;$E$23,DCF_Base!$L$19*(1+$E$23/100)/(($A$26-$E$23)/100),DCF_Base!$L$19*DCF_Base!$B$29),DCF_Base!$L$19*DCF_Base!$B$29))/(1+$A$26/100)^DCF_Base!$L$4+Assumptions!$B$5-Assumptions!$B$4)/Assumptions!$B$3*Assumptions!$B$10</f>
        <v>126.598810718778</v>
      </c>
      <c r="F26" s="0" t="n">
        <f aca="false">(SUMPRODUCT(DCF_Base!$C$19:$L$19/(1+$A$26/100)^DCF_Base!$C$4:$L$4)+MAX(0,MIN(IF($A$26&gt;$F$23,DCF_Base!$L$19*(1+$F$23/100)/(($A$26-$F$23)/100),DCF_Base!$L$19*DCF_Base!$B$29),DCF_Base!$L$19*DCF_Base!$B$29))/(1+$A$26/100)^DCF_Base!$L$4+Assumptions!$B$5-Assumptions!$B$4)/Assumptions!$B$3*Assumptions!$B$10</f>
        <v>126.598810718778</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99.4493242665795</v>
      </c>
      <c r="C27" s="0" t="n">
        <f aca="false">(SUMPRODUCT(DCF_Base!$C$19:$L$19/(1+$A$27/100)^DCF_Base!$C$4:$L$4)+MAX(0,MIN(IF($A$27&gt;$C$23,DCF_Base!$L$19*(1+$C$23/100)/(($A$27-$C$23)/100),DCF_Base!$L$19*DCF_Base!$B$29),DCF_Base!$L$19*DCF_Base!$B$29))/(1+$A$27/100)^DCF_Base!$L$4+Assumptions!$B$5-Assumptions!$B$4)/Assumptions!$B$3*Assumptions!$B$10</f>
        <v>103.994908287594</v>
      </c>
      <c r="D27" s="0" t="n">
        <f aca="false">(SUMPRODUCT(DCF_Base!$C$19:$L$19/(1+$A$27/100)^DCF_Base!$C$4:$L$4)+MAX(0,MIN(IF($A$27&gt;$D$23,DCF_Base!$L$19*(1+$D$23/100)/(($A$27-$D$23)/100),DCF_Base!$L$19*DCF_Base!$B$29),DCF_Base!$L$19*DCF_Base!$B$29))/(1+$A$27/100)^DCF_Base!$L$4+Assumptions!$B$5-Assumptions!$B$4)/Assumptions!$B$3*Assumptions!$B$10</f>
        <v>109.189861454468</v>
      </c>
      <c r="E27" s="0" t="n">
        <f aca="false">(SUMPRODUCT(DCF_Base!$C$19:$L$19/(1+$A$27/100)^DCF_Base!$C$4:$L$4)+MAX(0,MIN(IF($A$27&gt;$E$23,DCF_Base!$L$19*(1+$E$23/100)/(($A$27-$E$23)/100),DCF_Base!$L$19*DCF_Base!$B$29),DCF_Base!$L$19*DCF_Base!$B$29))/(1+$A$27/100)^DCF_Base!$L$4+Assumptions!$B$5-Assumptions!$B$4)/Assumptions!$B$3*Assumptions!$B$10</f>
        <v>115.184038185476</v>
      </c>
      <c r="F27" s="0" t="n">
        <f aca="false">(SUMPRODUCT(DCF_Base!$C$19:$L$19/(1+$A$27/100)^DCF_Base!$C$4:$L$4)+MAX(0,MIN(IF($A$27&gt;$F$23,DCF_Base!$L$19*(1+$F$23/100)/(($A$27-$F$23)/100),DCF_Base!$L$19*DCF_Base!$B$29),DCF_Base!$L$19*DCF_Base!$B$29))/(1+$A$27/100)^DCF_Base!$L$4+Assumptions!$B$5-Assumptions!$B$4)/Assumptions!$B$3*Assumptions!$B$10</f>
        <v>115.950416945605</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84.7613211976168</v>
      </c>
      <c r="C28" s="0" t="n">
        <f aca="false">(SUMPRODUCT(DCF_Base!$C$19:$L$19/(1+$A$28/100)^DCF_Base!$C$4:$L$4)+MAX(0,MIN(IF($A$28&gt;$C$23,DCF_Base!$L$19*(1+$C$23/100)/(($A$28-$C$23)/100),DCF_Base!$L$19*DCF_Base!$B$29),DCF_Base!$L$19*DCF_Base!$B$29))/(1+$A$28/100)^DCF_Base!$L$4+Assumptions!$B$5-Assumptions!$B$4)/Assumptions!$B$3*Assumptions!$B$10</f>
        <v>88.0464021442633</v>
      </c>
      <c r="D28" s="0" t="n">
        <f aca="false">(SUMPRODUCT(DCF_Base!$C$19:$L$19/(1+$A$28/100)^DCF_Base!$C$4:$L$4)+MAX(0,MIN(IF($A$28&gt;$D$23,DCF_Base!$L$19*(1+$D$23/100)/(($A$28-$D$23)/100),DCF_Base!$L$19*DCF_Base!$B$29),DCF_Base!$L$19*DCF_Base!$B$29))/(1+$A$28/100)^DCF_Base!$L$4+Assumptions!$B$5-Assumptions!$B$4)/Assumptions!$B$3*Assumptions!$B$10</f>
        <v>91.7421182092405</v>
      </c>
      <c r="E28" s="0" t="n">
        <f aca="false">(SUMPRODUCT(DCF_Base!$C$19:$L$19/(1+$A$28/100)^DCF_Base!$C$4:$L$4)+MAX(0,MIN(IF($A$28&gt;$E$23,DCF_Base!$L$19*(1+$E$23/100)/(($A$28-$E$23)/100),DCF_Base!$L$19*DCF_Base!$B$29),DCF_Base!$L$19*DCF_Base!$B$29))/(1+$A$28/100)^DCF_Base!$L$4+Assumptions!$B$5-Assumptions!$B$4)/Assumptions!$B$3*Assumptions!$B$10</f>
        <v>95.9305964162148</v>
      </c>
      <c r="F28" s="0" t="n">
        <f aca="false">(SUMPRODUCT(DCF_Base!$C$19:$L$19/(1+$A$28/100)^DCF_Base!$C$4:$L$4)+MAX(0,MIN(IF($A$28&gt;$F$23,DCF_Base!$L$19*(1+$F$23/100)/(($A$28-$F$23)/100),DCF_Base!$L$19*DCF_Base!$B$29),DCF_Base!$L$19*DCF_Base!$B$29))/(1+$A$28/100)^DCF_Base!$L$4+Assumptions!$B$5-Assumptions!$B$4)/Assumptions!$B$3*Assumptions!$B$10</f>
        <v>100.717428652757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2026-10-02T09:32:04Z</dcterms:created>
  <dc:creator>openpyxl</dc:creator>
  <dc:description/>
  <dc:language>en-NZ</dc:language>
  <cp:lastModifiedBy/>
  <dcterms:modified xsi:type="dcterms:W3CDTF">2026-10-02T09:32:04Z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