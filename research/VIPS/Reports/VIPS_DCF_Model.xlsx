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<sst xmlns="http://schemas.openxmlformats.org/spreadsheetml/2006/main" count="380" uniqueCount="172">
  <si>
    <t xml:space="preserve">Ticker</t>
  </si>
  <si>
    <t xml:space="preserve">VIPS</t>
  </si>
  <si>
    <t xml:space="preserve">Company</t>
  </si>
  <si>
    <t xml:space="preserve">Vipshop Holdings Limited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</si>
  <si>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</si>
  <si>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</si>
  <si>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</si>
  <si>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</si>
  <si>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(Friday; valuation date falls on the weekend, no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</si>
  <si>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</si>
  <si>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</si>
  <si>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</si>
  <si>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</si>
  <si>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</si>
  <si>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</si>
  <si>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</si>
  <si>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</si>
  <si>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</si>
  <si>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</si>
  <si>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</si>
  <si>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</si>
  <si>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</si>
  <si>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2026-10-04T09:26:29Z</t>
  </si>
  <si>
    <t xml:space="preserve">Drivers file</t>
  </si>
  <si>
    <t xml:space="preserve">VIPS_Drivers.json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</si>
  <si>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</si>
  <si>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</si>
  <si>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</si>
  <si>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shrinking but highly cash-generative off-price retailer trading as if the equity were worth little more than its cash. At the 2026-10-02 close the market capitalisation is ~US$5.9bn (RMB39.9bn), against net cash of RMB22.7bn plus RMB7.6bn of equity-method investments (net of RMB3.3bn NCI, ~RMB27bn or ~US$8/ADS of balance-sheet value), so the operating business -- RMB8bn of GAAP operating profit, ~RMB5bn of normalised owner FCF -- is priced at roughly 2-3x. The house DCF values the flows in CNY at a 10% WACC with the China/ADR risk charged once through a 30% bear weight, capitalises the terminal year at a deliberately low 10-14x cap, excludes RMB5bn of other investments at zero, and still arrives well above the price in every scenario, including the bear. That gap is the price of the China-ADR discount and of the structural-decline narrative, not of any aggressive assumption: SBC is fully expensed, the share count is held flat despite RMB4.9bn/yr of buybacks, and interest income is stripped. The required-return table shows what discount rate the current price implies; a reader who believes the cash will never reach ADS holders should read the bear entry price, not the weighted IV. A no-re-rate memo: capitalising the terminal year at the stock's own recent ~3x EV/EBITDA instead of 12x would still leave the base value above the price, because two-thirds of the market cap is balance-sheet cash and investments.
key_risks_to_valuation: Structural share loss to Douyin, Pinduoduo, JD and Taotian in discount apparel; active customers -2.9% and orders -5.5% YoY in Q2-2026, with management guiding FY2026 revenue slightly negative; Apparel is ~75% of GMV: a prolonged Chinese discretionary-spending slump or apparel deflation hits both volume and margin; Operating deleverage: Q2-2026 non-GAAP operating margin fell to 8.1% from 9.3% on rising return rates and fulfilment cost; a 1pt margin miss is ~RMB1bn of EBITDA; Cash-trapping and tax leakage: profits sit in PRC subsidiaries; dividend withholding tax (RMB1.56bn catch-up accrued Q2-2026 at the 10% rate) raises the cash cost of the US$1bn+/yr return programme, modelled as a 28-30% cash tax rate; China ADR structural tail: HFCAA audit-inspection contingency, VIE enforceability, US-China geopolitics; priced via the 30% bear weight, not the WACC; RMB/USD: flows are CNY, the quote is USD; a 10% RMB depreciation cuts every USD figure here by 10% with no offset; Balance-sheet value assumptions: RMB7.6bn equity-method investees (incl. the 49% REIT stake) taken at book, RMB5.0bn other investments at zero; short-term loans doubled to RMB11bn in H1-2026 and must stay matched by cash; Working-capital unwind: a payables-funded model consumes cash as revenue falls (FY2024-25 ~RMB3bn/yr); the 20% capture rate may understate the outflow if the decline accelerates</t>
  </si>
  <si>
    <t xml:space="preserve">Data sources</t>
  </si>
  <si>
    <t xml:space="preserve">price: Yahoo Finance chart API at inputs.price_as_of (regular Friday close); 52-week range 12.02-20.62 USD per ADS. FX: Yahoo CNY=X at 2026-10-04T03:30Z, see inputs.fx_note.
financials: research/VIPS/Reports/VIPS_Metrics.csv (core_metrics, CNY millions FY2013-25, currency corrected 2026-10-04); SEC XBRL companyfacts CIK0001529192 for FY2022-25 D&amp;A, SBC, cash taxes, interest income, dividends, buybacks, NCI, leases, diluted shares (20-F FY2025 filed 2026-04-16, accession 0001104659-26-044015); 6-K filed 2026-08-25 (accession 0001104659-26-100484, EX-99.1) for the Q2/H1-2026 income statement, the 2026-06-30 balance sheet, share counts, the ADS ratio, buybacks and Q3-2026 guidance.
qualitative: research/VIPS/Reports/VIPS_Analysis.json (2026-10-04): business model, competitive position, bull/bear points, guidance and Q2-2026 developments.</t>
  </si>
  <si>
    <t xml:space="preserve">Scenario narrative: bear</t>
  </si>
  <si>
    <t xml:space="preserve">The core flash-sale niche is absorbed by larger platforms: Douyin's livestream apparel, PDD's subsidies and JD/Taotian's discount pushes keep pulling the value-seeking customer, active users fall 3-5% a year, orders decline faster than GMV, and apparel (75% of GMV) stays deflationary. Revenue shrinks ~17% to ~RMB88bn by FY2031 and flattens; the fixed fulfilment and outlet cost base pushes the EBITDA margin to 9%, return rates and defensive marketing rise, and the working-capital unwind on falling sales is charged every year. Capitalised at 10x with 1% terminal growth. The China ADR structural tail (HFCAA, VIE, geopolitics) is why this path carries 30% rather than the house 15%; even here the net cash and investments (~RMB27bn, ~US$8/ADS) are a floor the price already sits near.</t>
  </si>
  <si>
    <t xml:space="preserve">Scenario narrative: base</t>
  </si>
  <si>
    <t xml:space="preserve">Vipshop stays a niche off-price apparel platform in slow structural decline: revenue drifts down ~3% over two years as active customers shrink, then stabilises around RMB104-108bn from FY2028 as the 10m-member SVIP cohort and the Shan Shan outlet chain (22 malls, 20%+ GMV growth) offset mass-market attrition to Douyin, PDD and JD. The pre-SBC EBITDA margin settles at 10.5%, just under the FY2024-25 11-11.4% range, SBC glides from 1.5% to 1.3% of revenue, capex and D&amp;A run near parity at ~1.8%, and cash tax runs at 28% once the 10% dividend withholding rate is applied to the profits upstreamed each year to fund the ~US$1bn capital return. Owner FCF of ~RMB5-6bn a year is capitalised at 12x (the cap binds, below the 12.75x Gordon value at 10%/2%). Axes: active-customer attrition vs SVIP spend; apparel-category cyclicality; whether margins can be defended as revenue falls.</t>
  </si>
  <si>
    <t xml:space="preserve">Scenario narrative: bull</t>
  </si>
  <si>
    <t xml:space="preserve">Chinese discretionary consumption stabilises in 2027 and Vipshop's deep brand-supply relationships make it the natural clearance channel as brands carry excess inventory; SVIP spend per member keeps compounding, Shan Shan Outlets scales toward ~10% of revenue with real-estate-like economics (and the REIT provides recycled capital for more outlets), and the Tencent/JD traffic channels hold online share. Growth returns to 3-3.5% in FY2028-30, the margin recovers above the FY2024 peak to 11.5%, and the terminal value is Gordon at 10%/2.5% (13.7x, under the 14x cap). Needs three things to go right at once -- macro, share stabilisation, and the outlet build-out -- hence 20%.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</si>
  <si>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</si>
  <si>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</si>
  <si>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</si>
  <si>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</si>
  <si>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</si>
  <si>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</si>
  <si>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</si>
  <si>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</si>
  <si>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</si>
  <si>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</si>
  <si>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</si>
  <si>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</si>
  <si>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</si>
  <si>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</si>
  <si>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</si>
  <si>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</si>
  <si>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</si>
  <si>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</si>
  <si>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</si>
  <si>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</si>
  <si>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</si>
  <si>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</si>
  <si>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</si>
  <si>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</si>
  <si>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</si>
  <si>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</si>
  <si>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</si>
  <si>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</si>
  <si>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</si>
  <si>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</si>
  <si>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</si>
  <si>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</si>
  <si>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</si>
  <si>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</si>
  <si>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</si>
  <si>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</si>
  <si>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</si>
  <si>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</si>
  <si>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</si>
  <si>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</si>
  <si>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</si>
  <si>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</si>
  <si>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</si>
  <si>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</si>
  <si>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</si>
  <si>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</si>
  <si>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</si>
  <si>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</si>
  <si>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</si>
  <si>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</si>
  <si>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</si>
  <si>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</si>
  <si>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</si>
  <si>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</si>
  <si>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</si>
  <si>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</si>
  <si>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</si>
  <si>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</si>
  <si>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</si>
  <si>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</si>
  <si>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</si>
  <si>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</si>
  <si>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</si>
  <si>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</si>
  <si>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</si>
  <si>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</si>
  <si>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</si>
  <si>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</si>
  <si>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</si>
  <si>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</si>
  <si>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</si>
  <si>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</si>
  <si>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</si>
  <si>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</si>
  <si>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</si>
  <si>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</si>
  <si>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</si>
  <si>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</si>
  <si>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</si>
  <si>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</si>
  <si>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</si>
  <si>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VIPS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</si>
  <si>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</si>
  <si>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</si>
  <si>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</si>
  <si>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</si>
  <si>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</si>
  <si>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</si>
  <si>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</si>
  <si>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</si>
  <si>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</si>
  <si>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</si>
  <si>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</si>
  <si>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</si>
  <si>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</si>
  <si>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</si>
  <si>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</si>
  <si>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</si>
  <si>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</si>
  <si>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</si>
  <si>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</si>
  <si>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</si>
  <si>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</si>
  <si>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</si>
  <si>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</si>
  <si>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</si>
  <si>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</si>
  <si>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</si>
  <si>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</si>
  <si>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</si>
  <si>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</si>
  <si>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</si>
  <si>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VIPS owner-FCF component DCF: base case (millions, CNY)</t>
  </si>
  <si>
    <t xml:space="preserve">VIPS owner-FCF component DCF: bull case (millions, CNY)</t>
  </si>
  <si>
    <t xml:space="preserve">VIPS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</si>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</sst>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12.33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-1.549963</v>
      </c>
      <c r="S2" s="0" t="n">
        <v>0.28772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32.582115</v>
      </c>
      <c r="D3" s="0" t="n">
        <v>3.2078</v>
      </c>
      <c r="E3" s="0" t="n">
        <v>9.84527861374254</v>
      </c>
      <c r="F3" s="0" t="n">
        <v>-8.366412</v>
      </c>
      <c r="G3" s="0" t="n">
        <v>-25.6779279061534</v>
      </c>
      <c r="I3" s="0" t="n">
        <v>-8.365848</v>
      </c>
      <c r="J3" s="0" t="n">
        <v>-25.6761968951371</v>
      </c>
      <c r="K3" s="0" t="n">
        <v>-0.18</v>
      </c>
      <c r="M3" s="0" t="n">
        <v>1.519205</v>
      </c>
      <c r="O3" s="0" t="n">
        <v>-10.111581</v>
      </c>
      <c r="S3" s="0" t="n">
        <v>1.111091</v>
      </c>
      <c r="T3" s="0" t="n">
        <v>47.775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227.142876</v>
      </c>
      <c r="D4" s="0" t="n">
        <v>43.341542</v>
      </c>
      <c r="E4" s="0" t="n">
        <v>19.0811804284806</v>
      </c>
      <c r="F4" s="0" t="n">
        <v>-106.917828</v>
      </c>
      <c r="G4" s="0" t="n">
        <v>-47.0707379790331</v>
      </c>
      <c r="I4" s="0" t="n">
        <v>-107.271525</v>
      </c>
      <c r="J4" s="0" t="n">
        <v>-47.2264536264831</v>
      </c>
      <c r="K4" s="0" t="n">
        <v>-3.38</v>
      </c>
      <c r="M4" s="0" t="n">
        <v>9.59216</v>
      </c>
      <c r="O4" s="0" t="n">
        <v>18.289202</v>
      </c>
      <c r="P4" s="0" t="n">
        <v>167.43532</v>
      </c>
      <c r="Q4" s="0" t="n">
        <v>149.146118</v>
      </c>
      <c r="S4" s="0" t="n">
        <v>44.954778</v>
      </c>
      <c r="T4" s="0" t="n">
        <v>46.255574</v>
      </c>
      <c r="U4" s="0" t="n">
        <v>73.927902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692.112964</v>
      </c>
      <c r="D5" s="0" t="n">
        <v>154.475104</v>
      </c>
      <c r="E5" s="0" t="n">
        <v>22.3193484351494</v>
      </c>
      <c r="F5" s="0" t="n">
        <v>-11.943573</v>
      </c>
      <c r="G5" s="0" t="n">
        <v>-1.72566815263411</v>
      </c>
      <c r="I5" s="0" t="n">
        <v>-9.472074</v>
      </c>
      <c r="J5" s="0" t="n">
        <v>-1.36857341108842</v>
      </c>
      <c r="K5" s="0" t="n">
        <v>-0.11</v>
      </c>
      <c r="M5" s="0" t="n">
        <v>12.379386</v>
      </c>
      <c r="O5" s="0" t="n">
        <v>514.501</v>
      </c>
      <c r="P5" s="0" t="n">
        <v>398.91712</v>
      </c>
      <c r="Q5" s="0" t="n">
        <v>316.334306</v>
      </c>
      <c r="S5" s="0" t="n">
        <v>775.477</v>
      </c>
      <c r="T5" s="0" t="n">
        <v>101.284881</v>
      </c>
      <c r="U5" s="0" t="n">
        <v>7.596949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10420.794</v>
      </c>
      <c r="D6" s="0" t="n">
        <v>2504.496</v>
      </c>
      <c r="E6" s="0" t="n">
        <v>24.0336388954623</v>
      </c>
      <c r="F6" s="0" t="n">
        <v>330.598</v>
      </c>
      <c r="G6" s="0" t="n">
        <v>3.17248378578446</v>
      </c>
      <c r="I6" s="0" t="n">
        <v>321.22</v>
      </c>
      <c r="J6" s="0" t="n">
        <v>3.08249064322738</v>
      </c>
      <c r="K6" s="0" t="n">
        <v>0.48</v>
      </c>
      <c r="M6" s="0" t="n">
        <v>133.926</v>
      </c>
      <c r="O6" s="0" t="n">
        <v>1472.596</v>
      </c>
      <c r="P6" s="0" t="n">
        <v>1072.059941</v>
      </c>
      <c r="Q6" s="0" t="n">
        <v>828.804543</v>
      </c>
      <c r="S6" s="0" t="n">
        <v>2026.264</v>
      </c>
      <c r="T6" s="0" t="n">
        <v>115.495173</v>
      </c>
      <c r="U6" s="0" t="n">
        <v>76.505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23129.313</v>
      </c>
      <c r="D7" s="0" t="n">
        <v>5751.269</v>
      </c>
      <c r="E7" s="0" t="n">
        <v>24.865714775013</v>
      </c>
      <c r="F7" s="0" t="n">
        <v>833.687</v>
      </c>
      <c r="G7" s="0" t="n">
        <v>3.60446071182486</v>
      </c>
      <c r="I7" s="0" t="n">
        <v>752.593</v>
      </c>
      <c r="J7" s="0" t="n">
        <v>3.25384934693045</v>
      </c>
      <c r="K7" s="0" t="n">
        <v>7.42</v>
      </c>
      <c r="M7" s="0" t="n">
        <v>1588.91</v>
      </c>
      <c r="O7" s="0" t="n">
        <v>2698.068</v>
      </c>
      <c r="P7" s="0" t="n">
        <v>16951.041</v>
      </c>
      <c r="Q7" s="0" t="n">
        <v>14252.973</v>
      </c>
      <c r="S7" s="0" t="n">
        <v>4790.751</v>
      </c>
      <c r="T7" s="0" t="n">
        <v>120.227584</v>
      </c>
      <c r="U7" s="0" t="n">
        <v>225.494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40203.212</v>
      </c>
      <c r="D8" s="0" t="n">
        <v>9896.489</v>
      </c>
      <c r="E8" s="0" t="n">
        <v>24.6161649969659</v>
      </c>
      <c r="F8" s="0" t="n">
        <v>2070.549</v>
      </c>
      <c r="G8" s="0" t="n">
        <v>5.15020789881167</v>
      </c>
      <c r="I8" s="0" t="n">
        <v>1508.712</v>
      </c>
      <c r="J8" s="0" t="n">
        <v>3.7527150815711</v>
      </c>
      <c r="K8" s="0" t="n">
        <v>13.74</v>
      </c>
      <c r="L8" s="0" t="n">
        <v>1915.086</v>
      </c>
      <c r="M8" s="0" t="n">
        <v>2183.228</v>
      </c>
      <c r="N8" s="0" t="n">
        <v>-268.142</v>
      </c>
      <c r="O8" s="0" t="n">
        <v>3613.267</v>
      </c>
      <c r="P8" s="0" t="n">
        <v>20035.522</v>
      </c>
      <c r="Q8" s="0" t="n">
        <v>16422.255</v>
      </c>
      <c r="S8" s="0" t="n">
        <v>3324.384</v>
      </c>
      <c r="T8" s="0" t="n">
        <v>120.168063</v>
      </c>
      <c r="U8" s="0" t="n">
        <v>302.941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56591.302</v>
      </c>
      <c r="C9" s="0" t="n">
        <v>42994.688</v>
      </c>
      <c r="D9" s="0" t="n">
        <v>13596.614</v>
      </c>
      <c r="E9" s="0" t="n">
        <v>24.0259784091909</v>
      </c>
      <c r="F9" s="0" t="n">
        <v>2707.709</v>
      </c>
      <c r="G9" s="0" t="n">
        <v>4.78467344681343</v>
      </c>
      <c r="I9" s="0" t="n">
        <v>1992.767</v>
      </c>
      <c r="J9" s="0" t="n">
        <v>3.52133089286407</v>
      </c>
      <c r="K9" s="0" t="n">
        <v>17.57</v>
      </c>
      <c r="L9" s="0" t="n">
        <v>2831.413</v>
      </c>
      <c r="M9" s="0" t="n">
        <v>1967.645</v>
      </c>
      <c r="N9" s="0" t="n">
        <v>863.768</v>
      </c>
      <c r="O9" s="0" t="n">
        <v>5781.804</v>
      </c>
      <c r="P9" s="0" t="n">
        <v>25094.453</v>
      </c>
      <c r="Q9" s="0" t="n">
        <v>19312.649</v>
      </c>
      <c r="S9" s="0" t="n">
        <v>4109.577</v>
      </c>
      <c r="T9" s="0" t="n">
        <v>125.817183</v>
      </c>
      <c r="U9" s="0" t="n">
        <v>475.653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72912.313</v>
      </c>
      <c r="C10" s="0" t="n">
        <v>56618.471</v>
      </c>
      <c r="D10" s="0" t="n">
        <v>16293.842</v>
      </c>
      <c r="E10" s="0" t="n">
        <v>22.347174749483</v>
      </c>
      <c r="F10" s="0" t="n">
        <v>2690.446</v>
      </c>
      <c r="G10" s="0" t="n">
        <v>3.6899748331945</v>
      </c>
      <c r="I10" s="0" t="n">
        <v>1892.433</v>
      </c>
      <c r="J10" s="0" t="n">
        <v>2.59549165584694</v>
      </c>
      <c r="K10" s="0" t="n">
        <v>16.59</v>
      </c>
      <c r="L10" s="0" t="n">
        <v>981.251</v>
      </c>
      <c r="M10" s="0" t="n">
        <v>2197.773</v>
      </c>
      <c r="N10" s="0" t="n">
        <v>-1216.522</v>
      </c>
      <c r="O10" s="0" t="n">
        <v>14250.576</v>
      </c>
      <c r="P10" s="0" t="n">
        <v>37982.82</v>
      </c>
      <c r="Q10" s="0" t="n">
        <v>23732.244</v>
      </c>
      <c r="S10" s="0" t="n">
        <v>9973.891</v>
      </c>
      <c r="T10" s="0" t="n">
        <v>125.715833</v>
      </c>
      <c r="U10" s="0" t="n">
        <v>667.098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84523.948</v>
      </c>
      <c r="C11" s="0" t="n">
        <v>67454.981</v>
      </c>
      <c r="D11" s="0" t="n">
        <v>17068.967</v>
      </c>
      <c r="E11" s="0" t="n">
        <v>20.1942377324826</v>
      </c>
      <c r="F11" s="0" t="n">
        <v>2421.113</v>
      </c>
      <c r="G11" s="0" t="n">
        <v>2.86441068748942</v>
      </c>
      <c r="I11" s="0" t="n">
        <v>2133.472</v>
      </c>
      <c r="J11" s="0" t="n">
        <v>2.52410358304607</v>
      </c>
      <c r="K11" s="0" t="n">
        <v>16.09</v>
      </c>
      <c r="L11" s="0" t="n">
        <v>5745.748</v>
      </c>
      <c r="M11" s="0" t="n">
        <v>2519.673</v>
      </c>
      <c r="N11" s="0" t="n">
        <v>3226.075</v>
      </c>
      <c r="O11" s="0" t="n">
        <v>17210.793</v>
      </c>
      <c r="P11" s="0" t="n">
        <v>43562.663</v>
      </c>
      <c r="Q11" s="0" t="n">
        <v>26351.87</v>
      </c>
      <c r="S11" s="0" t="n">
        <v>9540.556</v>
      </c>
      <c r="T11" s="0" t="n">
        <v>140.08361</v>
      </c>
      <c r="U11" s="0" t="n">
        <v>671.21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92994.418</v>
      </c>
      <c r="C12" s="0" t="n">
        <v>72314.19</v>
      </c>
      <c r="D12" s="0" t="n">
        <v>20680.228</v>
      </c>
      <c r="E12" s="0" t="n">
        <v>22.2381390676589</v>
      </c>
      <c r="F12" s="0" t="n">
        <v>4773.374</v>
      </c>
      <c r="G12" s="0" t="n">
        <v>5.13296830353839</v>
      </c>
      <c r="I12" s="0" t="n">
        <v>3986.433</v>
      </c>
      <c r="J12" s="0" t="n">
        <v>4.28674439362586</v>
      </c>
      <c r="K12" s="0" t="n">
        <v>30.08</v>
      </c>
      <c r="L12" s="0" t="n">
        <v>12290.183</v>
      </c>
      <c r="M12" s="0" t="n">
        <v>3303.176</v>
      </c>
      <c r="N12" s="0" t="n">
        <v>8987.007</v>
      </c>
      <c r="O12" s="0" t="n">
        <v>22249.697</v>
      </c>
      <c r="P12" s="0" t="n">
        <v>48582.678</v>
      </c>
      <c r="Q12" s="0" t="n">
        <v>26332.981</v>
      </c>
      <c r="R12" s="0" t="n">
        <v>64.515</v>
      </c>
      <c r="S12" s="0" t="n">
        <v>6573.808</v>
      </c>
      <c r="T12" s="0" t="n">
        <v>136.081415</v>
      </c>
      <c r="U12" s="0" t="n">
        <v>688.083</v>
      </c>
      <c r="AA12" s="0" t="s">
        <v>18</v>
      </c>
      <c r="AB12" s="0" t="s">
        <v>14</v>
      </c>
    </row>
    <row r="13" customFormat="false" ht="15" hidden="false" customHeight="false" outlineLevel="0" collapsed="false">
      <c r="A13" s="0" t="s">
        <v>75</v>
      </c>
      <c r="B13" s="0" t="n">
        <v>101858.489</v>
      </c>
      <c r="C13" s="0" t="n">
        <v>80573.181</v>
      </c>
      <c r="D13" s="0" t="n">
        <v>21285.308</v>
      </c>
      <c r="E13" s="0" t="n">
        <v>20.8969406565613</v>
      </c>
      <c r="F13" s="0" t="n">
        <v>5860.086</v>
      </c>
      <c r="G13" s="0" t="n">
        <v>5.75316407845005</v>
      </c>
      <c r="I13" s="0" t="n">
        <v>5919.356</v>
      </c>
      <c r="J13" s="0" t="n">
        <v>5.81135265024401</v>
      </c>
      <c r="K13" s="0" t="n">
        <v>43.73</v>
      </c>
      <c r="L13" s="0" t="n">
        <v>11820.444</v>
      </c>
      <c r="M13" s="0" t="n">
        <v>2237.257</v>
      </c>
      <c r="N13" s="0" t="n">
        <v>9583.187</v>
      </c>
      <c r="O13" s="0" t="n">
        <v>29385.789</v>
      </c>
      <c r="P13" s="0" t="n">
        <v>58940.814</v>
      </c>
      <c r="Q13" s="0" t="n">
        <v>29555.025</v>
      </c>
      <c r="S13" s="0" t="n">
        <v>11995.415</v>
      </c>
      <c r="T13" s="0" t="n">
        <v>138.03601</v>
      </c>
      <c r="U13" s="0" t="n">
        <v>951.048</v>
      </c>
      <c r="AA13" s="0" t="s">
        <v>18</v>
      </c>
      <c r="AB13" s="0" t="s">
        <v>14</v>
      </c>
    </row>
    <row r="14" customFormat="false" ht="15" hidden="false" customHeight="false" outlineLevel="0" collapsed="false">
      <c r="A14" s="0" t="s">
        <v>76</v>
      </c>
      <c r="B14" s="0" t="n">
        <v>117059.678</v>
      </c>
      <c r="C14" s="0" t="n">
        <v>93953.121</v>
      </c>
      <c r="D14" s="0" t="n">
        <v>23106.557</v>
      </c>
      <c r="E14" s="0" t="n">
        <v>19.7391257132964</v>
      </c>
      <c r="F14" s="0" t="n">
        <v>5582.422</v>
      </c>
      <c r="G14" s="0" t="n">
        <v>4.76886840573746</v>
      </c>
      <c r="I14" s="0" t="n">
        <v>4692.874</v>
      </c>
      <c r="J14" s="0" t="n">
        <v>4.00895857581293</v>
      </c>
      <c r="K14" s="0" t="n">
        <v>34.38</v>
      </c>
      <c r="L14" s="0" t="n">
        <v>6744.644</v>
      </c>
      <c r="M14" s="0" t="n">
        <v>2732.399</v>
      </c>
      <c r="N14" s="0" t="n">
        <v>4012.245</v>
      </c>
      <c r="O14" s="0" t="n">
        <v>33828.316</v>
      </c>
      <c r="P14" s="0" t="n">
        <v>62287.541</v>
      </c>
      <c r="Q14" s="0" t="n">
        <v>28459.225</v>
      </c>
      <c r="S14" s="0" t="n">
        <v>16297.41</v>
      </c>
      <c r="T14" s="0" t="n">
        <v>138.745022</v>
      </c>
      <c r="U14" s="0" t="n">
        <v>1010.013</v>
      </c>
      <c r="AA14" s="0" t="s">
        <v>18</v>
      </c>
      <c r="AB14" s="0" t="s">
        <v>14</v>
      </c>
    </row>
    <row r="15" customFormat="false" ht="15" hidden="false" customHeight="false" outlineLevel="0" collapsed="false">
      <c r="A15" s="0" t="s">
        <v>77</v>
      </c>
      <c r="B15" s="0" t="n">
        <v>103152.489</v>
      </c>
      <c r="C15" s="0" t="n">
        <v>81536.409</v>
      </c>
      <c r="D15" s="0" t="n">
        <v>21616.08</v>
      </c>
      <c r="E15" s="0" t="n">
        <v>20.9554613849405</v>
      </c>
      <c r="F15" s="0" t="n">
        <v>6197.446</v>
      </c>
      <c r="G15" s="0" t="n">
        <v>6.00804310209131</v>
      </c>
      <c r="I15" s="0" t="n">
        <v>6311.835</v>
      </c>
      <c r="J15" s="0" t="n">
        <v>6.11893620909138</v>
      </c>
      <c r="K15" s="0" t="n">
        <v>49.51</v>
      </c>
      <c r="L15" s="0" t="n">
        <v>10519.692</v>
      </c>
      <c r="M15" s="0" t="n">
        <v>2430.773</v>
      </c>
      <c r="N15" s="0" t="n">
        <v>8088.919</v>
      </c>
      <c r="O15" s="0" t="n">
        <v>34073.043</v>
      </c>
      <c r="P15" s="0" t="n">
        <v>65475.51</v>
      </c>
      <c r="Q15" s="0" t="n">
        <v>31402.467</v>
      </c>
      <c r="S15" s="0" t="n">
        <v>21938.653</v>
      </c>
      <c r="T15" s="0" t="n">
        <v>128.157304</v>
      </c>
      <c r="U15" s="0" t="n">
        <v>1207.581</v>
      </c>
      <c r="AA15" s="0" t="s">
        <v>18</v>
      </c>
      <c r="AB15" s="0" t="s">
        <v>14</v>
      </c>
    </row>
    <row r="16" customFormat="false" ht="15" hidden="false" customHeight="false" outlineLevel="0" collapsed="false">
      <c r="A16" s="0" t="s">
        <v>78</v>
      </c>
      <c r="B16" s="0" t="n">
        <v>112856.02</v>
      </c>
      <c r="C16" s="0" t="n">
        <v>87135.128</v>
      </c>
      <c r="D16" s="0" t="n">
        <v>25720.892</v>
      </c>
      <c r="E16" s="0" t="n">
        <v>22.7908905524047</v>
      </c>
      <c r="F16" s="0" t="n">
        <v>9104.135</v>
      </c>
      <c r="G16" s="0" t="n">
        <v>8.06703532518691</v>
      </c>
      <c r="I16" s="0" t="n">
        <v>8201.299</v>
      </c>
      <c r="J16" s="0" t="n">
        <v>7.26704609997765</v>
      </c>
      <c r="K16" s="0" t="n">
        <v>73.32</v>
      </c>
      <c r="L16" s="0" t="n">
        <v>14414.513</v>
      </c>
      <c r="M16" s="0" t="n">
        <v>2167.178</v>
      </c>
      <c r="N16" s="0" t="n">
        <v>12247.335</v>
      </c>
      <c r="O16" s="0" t="n">
        <v>38559.758</v>
      </c>
      <c r="P16" s="0" t="n">
        <v>72322.594</v>
      </c>
      <c r="Q16" s="0" t="n">
        <v>33762.836</v>
      </c>
      <c r="S16" s="0" t="n">
        <v>25414.729</v>
      </c>
      <c r="T16" s="0" t="n">
        <v>112.552398</v>
      </c>
      <c r="U16" s="0" t="n">
        <v>1509.806</v>
      </c>
      <c r="AA16" s="0" t="s">
        <v>18</v>
      </c>
      <c r="AB16" s="0" t="s">
        <v>14</v>
      </c>
    </row>
    <row r="17" customFormat="false" ht="15" hidden="false" customHeight="false" outlineLevel="0" collapsed="false">
      <c r="A17" s="0" t="s">
        <v>79</v>
      </c>
      <c r="B17" s="0" t="n">
        <v>108420.832</v>
      </c>
      <c r="C17" s="0" t="n">
        <v>82951.178</v>
      </c>
      <c r="D17" s="0" t="n">
        <v>25469.654</v>
      </c>
      <c r="E17" s="0" t="n">
        <v>23.4914762506158</v>
      </c>
      <c r="F17" s="0" t="n">
        <v>9173.253</v>
      </c>
      <c r="G17" s="0" t="n">
        <v>8.46078454738292</v>
      </c>
      <c r="I17" s="0" t="n">
        <v>7838.945</v>
      </c>
      <c r="J17" s="0" t="n">
        <v>7.23010961583471</v>
      </c>
      <c r="K17" s="0" t="n">
        <v>72.97</v>
      </c>
      <c r="L17" s="0" t="n">
        <v>9128.983</v>
      </c>
      <c r="M17" s="0" t="n">
        <v>2723.247</v>
      </c>
      <c r="N17" s="0" t="n">
        <v>6405.736</v>
      </c>
      <c r="O17" s="0" t="n">
        <v>41549.229</v>
      </c>
      <c r="P17" s="0" t="n">
        <v>74936.126</v>
      </c>
      <c r="Q17" s="0" t="n">
        <v>33386.897</v>
      </c>
      <c r="S17" s="0" t="n">
        <v>26352.161</v>
      </c>
      <c r="T17" s="0" t="n">
        <v>107.855806</v>
      </c>
      <c r="U17" s="0" t="n">
        <v>1537.74</v>
      </c>
      <c r="AA17" s="0" t="s">
        <v>18</v>
      </c>
      <c r="AB17" s="0" t="s">
        <v>14</v>
      </c>
    </row>
    <row r="18" customFormat="false" ht="15" hidden="false" customHeight="false" outlineLevel="0" collapsed="false">
      <c r="A18" s="0" t="s">
        <v>80</v>
      </c>
      <c r="B18" s="0" t="n">
        <v>105919.546</v>
      </c>
      <c r="C18" s="0" t="n">
        <v>81429.23</v>
      </c>
      <c r="D18" s="0" t="n">
        <v>24490.316</v>
      </c>
      <c r="E18" s="0" t="n">
        <v>23.1216210084586</v>
      </c>
      <c r="F18" s="0" t="n">
        <v>8135.946</v>
      </c>
      <c r="G18" s="0" t="n">
        <v>7.68125082409247</v>
      </c>
      <c r="I18" s="0" t="n">
        <v>7409.639</v>
      </c>
      <c r="J18" s="0" t="n">
        <v>6.99553508282598</v>
      </c>
      <c r="K18" s="0" t="n">
        <v>72.37</v>
      </c>
      <c r="L18" s="0" t="n">
        <v>7454.245</v>
      </c>
      <c r="M18" s="0" t="n">
        <v>1985.766</v>
      </c>
      <c r="N18" s="0" t="n">
        <v>5468.479</v>
      </c>
      <c r="O18" s="0" t="n">
        <v>44443.164</v>
      </c>
      <c r="P18" s="0" t="n">
        <v>78843.318</v>
      </c>
      <c r="Q18" s="0" t="n">
        <v>34400.154</v>
      </c>
      <c r="S18" s="0" t="n">
        <v>22990.435</v>
      </c>
      <c r="T18" s="0" t="n">
        <v>102.38389</v>
      </c>
      <c r="U18" s="0" t="n">
        <v>1731.063</v>
      </c>
      <c r="AA18" s="0" t="s">
        <v>18</v>
      </c>
      <c r="AB1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12.33</v>
      </c>
    </row>
    <row r="3" customFormat="false" ht="15" hidden="false" customHeight="false" outlineLevel="0" collapsed="false">
      <c r="A3" s="0" t="s">
        <v>84</v>
      </c>
      <c r="B3" s="3" t="n">
        <v>482.39</v>
      </c>
    </row>
    <row r="4" customFormat="false" ht="15" hidden="false" customHeight="false" outlineLevel="0" collapsed="false">
      <c r="A4" s="0" t="s">
        <v>85</v>
      </c>
      <c r="B4" s="3" t="n">
        <v>-22703.223</v>
      </c>
    </row>
    <row r="5" customFormat="false" ht="15" hidden="false" customHeight="false" outlineLevel="0" collapsed="false">
      <c r="A5" s="0" t="s">
        <v>86</v>
      </c>
      <c r="B5" s="3" t="n">
        <v>4271.423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105919.546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0.14915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-4</v>
      </c>
      <c r="D13" s="3" t="n">
        <v>-5</v>
      </c>
      <c r="E13" s="3" t="n">
        <v>-4</v>
      </c>
      <c r="F13" s="3" t="n">
        <v>-3</v>
      </c>
      <c r="G13" s="3" t="n">
        <v>-2</v>
      </c>
      <c r="H13" s="3" t="n">
        <v>-1</v>
      </c>
      <c r="I13" s="3" t="n">
        <v>-1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105</v>
      </c>
      <c r="C14" s="3" t="n">
        <v>10.2</v>
      </c>
      <c r="D14" s="3" t="n">
        <v>9.8</v>
      </c>
      <c r="E14" s="3" t="n">
        <v>9.5</v>
      </c>
      <c r="F14" s="3" t="n">
        <v>9.2</v>
      </c>
      <c r="G14" s="3" t="n">
        <v>9</v>
      </c>
      <c r="H14" s="3" t="n">
        <v>9</v>
      </c>
      <c r="I14" s="3" t="n">
        <v>9</v>
      </c>
      <c r="J14" s="3" t="n">
        <v>9</v>
      </c>
      <c r="K14" s="3" t="n">
        <v>9</v>
      </c>
      <c r="L14" s="3" t="n">
        <v>9</v>
      </c>
    </row>
    <row r="15" customFormat="false" ht="15" hidden="false" customHeight="false" outlineLevel="0" collapsed="false">
      <c r="A15" s="0" t="s">
        <v>106</v>
      </c>
      <c r="C15" s="3" t="n">
        <v>1.5</v>
      </c>
      <c r="D15" s="3" t="n">
        <v>1.5</v>
      </c>
      <c r="E15" s="3" t="n">
        <v>1.5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1.7</v>
      </c>
      <c r="D17" s="3" t="n">
        <v>1.7</v>
      </c>
      <c r="E17" s="3" t="n">
        <v>1.7</v>
      </c>
      <c r="F17" s="3" t="n">
        <v>1.7</v>
      </c>
      <c r="G17" s="3" t="n">
        <v>1.7</v>
      </c>
      <c r="H17" s="3" t="n">
        <v>1.7</v>
      </c>
      <c r="I17" s="3" t="n">
        <v>1.7</v>
      </c>
      <c r="J17" s="3" t="n">
        <v>1.7</v>
      </c>
      <c r="K17" s="3" t="n">
        <v>1.7</v>
      </c>
      <c r="L17" s="3" t="n">
        <v>1.7</v>
      </c>
    </row>
    <row r="18" customFormat="false" ht="15" hidden="false" customHeight="false" outlineLevel="0" collapsed="false">
      <c r="A18" s="0" t="s">
        <v>109</v>
      </c>
      <c r="C18" s="3" t="n">
        <v>1.7</v>
      </c>
      <c r="D18" s="3" t="n">
        <v>1.7</v>
      </c>
      <c r="E18" s="3" t="n">
        <v>1.7</v>
      </c>
      <c r="F18" s="3" t="n">
        <v>1.7</v>
      </c>
      <c r="G18" s="3" t="n">
        <v>1.7</v>
      </c>
      <c r="H18" s="3" t="n">
        <v>1.7</v>
      </c>
      <c r="I18" s="3" t="n">
        <v>1.7</v>
      </c>
      <c r="J18" s="3" t="n">
        <v>1.7</v>
      </c>
      <c r="K18" s="3" t="n">
        <v>1.7</v>
      </c>
      <c r="L18" s="3" t="n">
        <v>1.7</v>
      </c>
    </row>
    <row r="19" customFormat="false" ht="15" hidden="false" customHeight="false" outlineLevel="0" collapsed="false">
      <c r="A19" s="0" t="s">
        <v>110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111</v>
      </c>
      <c r="B20" s="3" t="n">
        <v>10</v>
      </c>
    </row>
    <row r="21" customFormat="false" ht="15" hidden="false" customHeight="false" outlineLevel="0" collapsed="false">
      <c r="A21" s="0" t="s">
        <v>112</v>
      </c>
      <c r="B21" s="3" t="n">
        <v>1</v>
      </c>
    </row>
    <row r="22" customFormat="false" ht="15" hidden="false" customHeight="false" outlineLevel="0" collapsed="false">
      <c r="A22" s="0" t="s">
        <v>113</v>
      </c>
      <c r="B22" s="3" t="n">
        <v>10</v>
      </c>
    </row>
    <row r="23" customFormat="false" ht="15" hidden="false" customHeight="false" outlineLevel="0" collapsed="false">
      <c r="A23" s="0" t="s">
        <v>114</v>
      </c>
      <c r="B23" s="3" t="n">
        <v>20</v>
      </c>
    </row>
    <row r="24" customFormat="false" ht="15" hidden="false" customHeight="false" outlineLevel="0" collapsed="false">
      <c r="A24" s="0" t="s">
        <v>115</v>
      </c>
      <c r="B24" s="3" t="n">
        <v>0.3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-2</v>
      </c>
      <c r="D27" s="3" t="n">
        <v>-1</v>
      </c>
      <c r="E27" s="3" t="n">
        <v>0</v>
      </c>
      <c r="F27" s="3" t="n">
        <v>1</v>
      </c>
      <c r="G27" s="3" t="n">
        <v>1.5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105</v>
      </c>
      <c r="C28" s="3" t="n">
        <v>10.6</v>
      </c>
      <c r="D28" s="3" t="n">
        <v>10.5</v>
      </c>
      <c r="E28" s="3" t="n">
        <v>10.5</v>
      </c>
      <c r="F28" s="3" t="n">
        <v>10.5</v>
      </c>
      <c r="G28" s="3" t="n">
        <v>10.5</v>
      </c>
      <c r="H28" s="3" t="n">
        <v>10.5</v>
      </c>
      <c r="I28" s="3" t="n">
        <v>10.5</v>
      </c>
      <c r="J28" s="3" t="n">
        <v>10.5</v>
      </c>
      <c r="K28" s="3" t="n">
        <v>10.5</v>
      </c>
      <c r="L28" s="3" t="n">
        <v>10.5</v>
      </c>
    </row>
    <row r="29" customFormat="false" ht="15" hidden="false" customHeight="false" outlineLevel="0" collapsed="false">
      <c r="A29" s="0" t="s">
        <v>106</v>
      </c>
      <c r="C29" s="3" t="n">
        <v>1.45</v>
      </c>
      <c r="D29" s="3" t="n">
        <v>1.45</v>
      </c>
      <c r="E29" s="3" t="n">
        <v>1.4</v>
      </c>
      <c r="F29" s="3" t="n">
        <v>1.4</v>
      </c>
      <c r="G29" s="3" t="n">
        <v>1.35</v>
      </c>
      <c r="H29" s="3" t="n">
        <v>1.35</v>
      </c>
      <c r="I29" s="3" t="n">
        <v>1.3</v>
      </c>
      <c r="J29" s="3" t="n">
        <v>1.3</v>
      </c>
      <c r="K29" s="3" t="n">
        <v>1.3</v>
      </c>
      <c r="L29" s="3" t="n">
        <v>1.3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1.7</v>
      </c>
      <c r="D31" s="3" t="n">
        <v>1.7</v>
      </c>
      <c r="E31" s="3" t="n">
        <v>1.7</v>
      </c>
      <c r="F31" s="3" t="n">
        <v>1.7</v>
      </c>
      <c r="G31" s="3" t="n">
        <v>1.7</v>
      </c>
      <c r="H31" s="3" t="n">
        <v>1.7</v>
      </c>
      <c r="I31" s="3" t="n">
        <v>1.7</v>
      </c>
      <c r="J31" s="3" t="n">
        <v>1.7</v>
      </c>
      <c r="K31" s="3" t="n">
        <v>1.7</v>
      </c>
      <c r="L31" s="3" t="n">
        <v>1.7</v>
      </c>
    </row>
    <row r="32" customFormat="false" ht="15" hidden="false" customHeight="false" outlineLevel="0" collapsed="false">
      <c r="A32" s="0" t="s">
        <v>109</v>
      </c>
      <c r="C32" s="3" t="n">
        <v>1.8</v>
      </c>
      <c r="D32" s="3" t="n">
        <v>1.9</v>
      </c>
      <c r="E32" s="3" t="n">
        <v>1.9</v>
      </c>
      <c r="F32" s="3" t="n">
        <v>1.9</v>
      </c>
      <c r="G32" s="3" t="n">
        <v>1.9</v>
      </c>
      <c r="H32" s="3" t="n">
        <v>1.9</v>
      </c>
      <c r="I32" s="3" t="n">
        <v>1.9</v>
      </c>
      <c r="J32" s="3" t="n">
        <v>1.9</v>
      </c>
      <c r="K32" s="3" t="n">
        <v>1.9</v>
      </c>
      <c r="L32" s="3" t="n">
        <v>1.9</v>
      </c>
    </row>
    <row r="33" customFormat="false" ht="15" hidden="false" customHeight="false" outlineLevel="0" collapsed="false">
      <c r="A33" s="0" t="s">
        <v>110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111</v>
      </c>
      <c r="B34" s="3" t="n">
        <v>10</v>
      </c>
    </row>
    <row r="35" customFormat="false" ht="15" hidden="false" customHeight="false" outlineLevel="0" collapsed="false">
      <c r="A35" s="0" t="s">
        <v>112</v>
      </c>
      <c r="B35" s="3" t="n">
        <v>2</v>
      </c>
    </row>
    <row r="36" customFormat="false" ht="15" hidden="false" customHeight="false" outlineLevel="0" collapsed="false">
      <c r="A36" s="0" t="s">
        <v>113</v>
      </c>
      <c r="B36" s="3" t="n">
        <v>12</v>
      </c>
    </row>
    <row r="37" customFormat="false" ht="15" hidden="false" customHeight="false" outlineLevel="0" collapsed="false">
      <c r="A37" s="0" t="s">
        <v>114</v>
      </c>
      <c r="B37" s="3" t="n">
        <v>20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-1</v>
      </c>
      <c r="D41" s="3" t="n">
        <v>1.5</v>
      </c>
      <c r="E41" s="3" t="n">
        <v>3</v>
      </c>
      <c r="F41" s="3" t="n">
        <v>3.5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105</v>
      </c>
      <c r="C42" s="3" t="n">
        <v>10.8</v>
      </c>
      <c r="D42" s="3" t="n">
        <v>11</v>
      </c>
      <c r="E42" s="3" t="n">
        <v>11.2</v>
      </c>
      <c r="F42" s="3" t="n">
        <v>11.4</v>
      </c>
      <c r="G42" s="3" t="n">
        <v>11.5</v>
      </c>
      <c r="H42" s="3" t="n">
        <v>11.5</v>
      </c>
      <c r="I42" s="3" t="n">
        <v>11.5</v>
      </c>
      <c r="J42" s="3" t="n">
        <v>11.5</v>
      </c>
      <c r="K42" s="3" t="n">
        <v>11.5</v>
      </c>
      <c r="L42" s="3" t="n">
        <v>11.5</v>
      </c>
    </row>
    <row r="43" customFormat="false" ht="15" hidden="false" customHeight="false" outlineLevel="0" collapsed="false">
      <c r="A43" s="0" t="s">
        <v>106</v>
      </c>
      <c r="C43" s="3" t="n">
        <v>1.4</v>
      </c>
      <c r="D43" s="3" t="n">
        <v>1.4</v>
      </c>
      <c r="E43" s="3" t="n">
        <v>1.35</v>
      </c>
      <c r="F43" s="3" t="n">
        <v>1.3</v>
      </c>
      <c r="G43" s="3" t="n">
        <v>1.3</v>
      </c>
      <c r="H43" s="3" t="n">
        <v>1.25</v>
      </c>
      <c r="I43" s="3" t="n">
        <v>1.25</v>
      </c>
      <c r="J43" s="3" t="n">
        <v>1.2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1.7</v>
      </c>
      <c r="D45" s="3" t="n">
        <v>1.7</v>
      </c>
      <c r="E45" s="3" t="n">
        <v>1.7</v>
      </c>
      <c r="F45" s="3" t="n">
        <v>1.7</v>
      </c>
      <c r="G45" s="3" t="n">
        <v>1.7</v>
      </c>
      <c r="H45" s="3" t="n">
        <v>1.7</v>
      </c>
      <c r="I45" s="3" t="n">
        <v>1.7</v>
      </c>
      <c r="J45" s="3" t="n">
        <v>1.7</v>
      </c>
      <c r="K45" s="3" t="n">
        <v>1.7</v>
      </c>
      <c r="L45" s="3" t="n">
        <v>1.7</v>
      </c>
    </row>
    <row r="46" customFormat="false" ht="15" hidden="false" customHeight="false" outlineLevel="0" collapsed="false">
      <c r="A46" s="0" t="s">
        <v>109</v>
      </c>
      <c r="C46" s="3" t="n">
        <v>1.9</v>
      </c>
      <c r="D46" s="3" t="n">
        <v>2</v>
      </c>
      <c r="E46" s="3" t="n">
        <v>2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110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111</v>
      </c>
      <c r="B48" s="3" t="n">
        <v>10</v>
      </c>
    </row>
    <row r="49" customFormat="false" ht="15" hidden="false" customHeight="false" outlineLevel="0" collapsed="false">
      <c r="A49" s="0" t="s">
        <v>112</v>
      </c>
      <c r="B49" s="3" t="n">
        <v>2.5</v>
      </c>
    </row>
    <row r="50" customFormat="false" ht="15" hidden="false" customHeight="false" outlineLevel="0" collapsed="false">
      <c r="A50" s="0" t="s">
        <v>113</v>
      </c>
      <c r="B50" s="3" t="n">
        <v>14</v>
      </c>
    </row>
    <row r="51" customFormat="false" ht="15" hidden="false" customHeight="false" outlineLevel="0" collapsed="false">
      <c r="A51" s="0" t="s">
        <v>114</v>
      </c>
      <c r="B51" s="3" t="n">
        <v>20</v>
      </c>
    </row>
    <row r="52" customFormat="false" ht="15" hidden="false" customHeight="false" outlineLevel="0" collapsed="false">
      <c r="A52" s="0" t="s">
        <v>115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-4</v>
      </c>
      <c r="D5" s="4" t="n">
        <f aca="false">Assumptions!D13</f>
        <v>-5</v>
      </c>
      <c r="E5" s="4" t="n">
        <f aca="false">Assumptions!E13</f>
        <v>-4</v>
      </c>
      <c r="F5" s="4" t="n">
        <f aca="false">Assumptions!F13</f>
        <v>-3</v>
      </c>
      <c r="G5" s="4" t="n">
        <f aca="false">Assumptions!G13</f>
        <v>-2</v>
      </c>
      <c r="H5" s="4" t="n">
        <f aca="false">Assumptions!H13</f>
        <v>-1</v>
      </c>
      <c r="I5" s="4" t="n">
        <f aca="false">Assumptions!I13</f>
        <v>-1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105919.546</v>
      </c>
      <c r="C6" s="0" t="n">
        <f aca="false">B6*(1+C5/100)</f>
        <v>101682.76416</v>
      </c>
      <c r="D6" s="0" t="n">
        <f aca="false">C6*(1+D5/100)</f>
        <v>96598.625952</v>
      </c>
      <c r="E6" s="0" t="n">
        <f aca="false">D6*(1+E5/100)</f>
        <v>92734.68091392</v>
      </c>
      <c r="F6" s="0" t="n">
        <f aca="false">E6*(1+F5/100)</f>
        <v>89952.6404865024</v>
      </c>
      <c r="G6" s="0" t="n">
        <f aca="false">F6*(1+G5/100)</f>
        <v>88153.5876767723</v>
      </c>
      <c r="H6" s="0" t="n">
        <f aca="false">G6*(1+H5/100)</f>
        <v>87272.0518000046</v>
      </c>
      <c r="I6" s="0" t="n">
        <f aca="false">H6*(1+I5/100)</f>
        <v>86399.3312820046</v>
      </c>
      <c r="J6" s="0" t="n">
        <f aca="false">I6*(1+J5/100)</f>
        <v>86399.3312820046</v>
      </c>
      <c r="K6" s="0" t="n">
        <f aca="false">J6*(1+K5/100)</f>
        <v>86399.3312820046</v>
      </c>
      <c r="L6" s="0" t="n">
        <f aca="false">K6*(1+L5/100)</f>
        <v>86399.3312820046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10.2</v>
      </c>
      <c r="D7" s="4" t="n">
        <f aca="false">Assumptions!D14</f>
        <v>9.8</v>
      </c>
      <c r="E7" s="4" t="n">
        <f aca="false">Assumptions!E14</f>
        <v>9.5</v>
      </c>
      <c r="F7" s="4" t="n">
        <f aca="false">Assumptions!F14</f>
        <v>9.2</v>
      </c>
      <c r="G7" s="4" t="n">
        <f aca="false">Assumptions!G14</f>
        <v>9</v>
      </c>
      <c r="H7" s="4" t="n">
        <f aca="false">Assumptions!H14</f>
        <v>9</v>
      </c>
      <c r="I7" s="4" t="n">
        <f aca="false">Assumptions!I14</f>
        <v>9</v>
      </c>
      <c r="J7" s="4" t="n">
        <f aca="false">Assumptions!J14</f>
        <v>9</v>
      </c>
      <c r="K7" s="4" t="n">
        <f aca="false">Assumptions!K14</f>
        <v>9</v>
      </c>
      <c r="L7" s="4" t="n">
        <f aca="false">Assumptions!L14</f>
        <v>9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10371.64194432</v>
      </c>
      <c r="D8" s="0" t="n">
        <f aca="false">D6*D7/100</f>
        <v>9466.665343296</v>
      </c>
      <c r="E8" s="0" t="n">
        <f aca="false">E6*E7/100</f>
        <v>8809.7946868224</v>
      </c>
      <c r="F8" s="0" t="n">
        <f aca="false">F6*F7/100</f>
        <v>8275.64292475822</v>
      </c>
      <c r="G8" s="0" t="n">
        <f aca="false">G6*G7/100</f>
        <v>7933.82289090951</v>
      </c>
      <c r="H8" s="0" t="n">
        <f aca="false">H6*H7/100</f>
        <v>7854.48466200042</v>
      </c>
      <c r="I8" s="0" t="n">
        <f aca="false">I6*I7/100</f>
        <v>7775.93981538041</v>
      </c>
      <c r="J8" s="0" t="n">
        <f aca="false">J6*J7/100</f>
        <v>7775.93981538041</v>
      </c>
      <c r="K8" s="0" t="n">
        <f aca="false">K6*K7/100</f>
        <v>7775.93981538041</v>
      </c>
      <c r="L8" s="0" t="n">
        <f aca="false">L6*L7/100</f>
        <v>7775.93981538041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1.5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-1525.2414624</v>
      </c>
      <c r="D10" s="0" t="n">
        <f aca="false">-D6*D9/100</f>
        <v>-1448.97938928</v>
      </c>
      <c r="E10" s="0" t="n">
        <f aca="false">-E6*E9/100</f>
        <v>-1391.0202137088</v>
      </c>
      <c r="F10" s="0" t="n">
        <f aca="false">-F6*F9/100</f>
        <v>-1349.28960729754</v>
      </c>
      <c r="G10" s="0" t="n">
        <f aca="false">-G6*G9/100</f>
        <v>-1322.30381515159</v>
      </c>
      <c r="H10" s="0" t="n">
        <f aca="false">-H6*H9/100</f>
        <v>-1309.08077700007</v>
      </c>
      <c r="I10" s="0" t="n">
        <f aca="false">-I6*I9/100</f>
        <v>-1295.98996923007</v>
      </c>
      <c r="J10" s="0" t="n">
        <f aca="false">-J6*J9/100</f>
        <v>-1295.98996923007</v>
      </c>
      <c r="K10" s="0" t="n">
        <f aca="false">-K6*K9/100</f>
        <v>-1295.98996923007</v>
      </c>
      <c r="L10" s="0" t="n">
        <f aca="false">-L6*L9/100</f>
        <v>-1295.98996923007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8846.40048192</v>
      </c>
      <c r="D11" s="0" t="n">
        <f aca="false">D8+D10+D24</f>
        <v>8017.685954016</v>
      </c>
      <c r="E11" s="0" t="n">
        <f aca="false">E8+E10+E24</f>
        <v>7418.7744731136</v>
      </c>
      <c r="F11" s="0" t="n">
        <f aca="false">F8+F10+F24</f>
        <v>6926.35331746068</v>
      </c>
      <c r="G11" s="0" t="n">
        <f aca="false">G8+G10+G24</f>
        <v>6611.51907575793</v>
      </c>
      <c r="H11" s="0" t="n">
        <f aca="false">H8+H10+H24</f>
        <v>6545.40388500035</v>
      </c>
      <c r="I11" s="0" t="n">
        <f aca="false">I8+I10+I24</f>
        <v>6479.94984615034</v>
      </c>
      <c r="J11" s="0" t="n">
        <f aca="false">J8+J10+J24</f>
        <v>6479.94984615034</v>
      </c>
      <c r="K11" s="0" t="n">
        <f aca="false">K8+K10+K24</f>
        <v>6479.94984615034</v>
      </c>
      <c r="L11" s="0" t="n">
        <f aca="false">L8+L10+L24</f>
        <v>6479.94984615034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-1728.60699072</v>
      </c>
      <c r="D12" s="4" t="n">
        <f aca="false">-D6*Assumptions!D17/100</f>
        <v>-1642.176641184</v>
      </c>
      <c r="E12" s="4" t="n">
        <f aca="false">-E6*Assumptions!E17/100</f>
        <v>-1576.48957553664</v>
      </c>
      <c r="F12" s="4" t="n">
        <f aca="false">-F6*Assumptions!F17/100</f>
        <v>-1529.19488827054</v>
      </c>
      <c r="G12" s="4" t="n">
        <f aca="false">-G6*Assumptions!G17/100</f>
        <v>-1498.61099050513</v>
      </c>
      <c r="H12" s="4" t="n">
        <f aca="false">-H6*Assumptions!H17/100</f>
        <v>-1483.62488060008</v>
      </c>
      <c r="I12" s="4" t="n">
        <f aca="false">-I6*Assumptions!I17/100</f>
        <v>-1468.78863179408</v>
      </c>
      <c r="J12" s="4" t="n">
        <f aca="false">-J6*Assumptions!J17/100</f>
        <v>-1468.78863179408</v>
      </c>
      <c r="K12" s="4" t="n">
        <f aca="false">-K6*Assumptions!K17/100</f>
        <v>-1468.78863179408</v>
      </c>
      <c r="L12" s="4" t="n">
        <f aca="false">-L6*Assumptions!L17/100</f>
        <v>-1468.78863179408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7117.7934912</v>
      </c>
      <c r="D13" s="0" t="n">
        <f aca="false">D11+D12</f>
        <v>6375.509312832</v>
      </c>
      <c r="E13" s="0" t="n">
        <f aca="false">E11+E12</f>
        <v>5842.28489757696</v>
      </c>
      <c r="F13" s="0" t="n">
        <f aca="false">F11+F12</f>
        <v>5397.15842919014</v>
      </c>
      <c r="G13" s="0" t="n">
        <f aca="false">G11+G12</f>
        <v>5112.9080852528</v>
      </c>
      <c r="H13" s="0" t="n">
        <f aca="false">H11+H12</f>
        <v>5061.77900440027</v>
      </c>
      <c r="I13" s="0" t="n">
        <f aca="false">I11+I12</f>
        <v>5011.16121435627</v>
      </c>
      <c r="J13" s="0" t="n">
        <f aca="false">J11+J12</f>
        <v>5011.16121435627</v>
      </c>
      <c r="K13" s="0" t="n">
        <f aca="false">K11+K12</f>
        <v>5011.16121435627</v>
      </c>
      <c r="L13" s="0" t="n">
        <f aca="false">L11+L12</f>
        <v>5011.16121435627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4982.45544384</v>
      </c>
      <c r="D15" s="0" t="n">
        <f aca="false">D13-MAX(0,D13)*D14/100</f>
        <v>4462.8565189824</v>
      </c>
      <c r="E15" s="0" t="n">
        <f aca="false">E13-MAX(0,E13)*E14/100</f>
        <v>4089.59942830387</v>
      </c>
      <c r="F15" s="0" t="n">
        <f aca="false">F13-MAX(0,F13)*F14/100</f>
        <v>3778.0109004331</v>
      </c>
      <c r="G15" s="0" t="n">
        <f aca="false">G13-MAX(0,G13)*G14/100</f>
        <v>3579.03565967696</v>
      </c>
      <c r="H15" s="0" t="n">
        <f aca="false">H13-MAX(0,H13)*H14/100</f>
        <v>3543.24530308019</v>
      </c>
      <c r="I15" s="0" t="n">
        <f aca="false">I13-MAX(0,I13)*I14/100</f>
        <v>3507.81285004939</v>
      </c>
      <c r="J15" s="0" t="n">
        <f aca="false">J13-MAX(0,J13)*J14/100</f>
        <v>3507.81285004939</v>
      </c>
      <c r="K15" s="0" t="n">
        <f aca="false">K13-MAX(0,K13)*K14/100</f>
        <v>3507.81285004939</v>
      </c>
      <c r="L15" s="0" t="n">
        <f aca="false">L13-MAX(0,L13)*L14/100</f>
        <v>3507.81285004939</v>
      </c>
    </row>
    <row r="16" customFormat="false" ht="15" hidden="false" customHeight="false" outlineLevel="0" collapsed="false">
      <c r="A16" s="0" t="s">
        <v>126</v>
      </c>
      <c r="C16" s="0" t="n">
        <f aca="false">-C12</f>
        <v>1728.60699072</v>
      </c>
      <c r="D16" s="0" t="n">
        <f aca="false">-D12</f>
        <v>1642.176641184</v>
      </c>
      <c r="E16" s="0" t="n">
        <f aca="false">-E12</f>
        <v>1576.48957553664</v>
      </c>
      <c r="F16" s="0" t="n">
        <f aca="false">-F12</f>
        <v>1529.19488827054</v>
      </c>
      <c r="G16" s="0" t="n">
        <f aca="false">-G12</f>
        <v>1498.61099050513</v>
      </c>
      <c r="H16" s="0" t="n">
        <f aca="false">-H12</f>
        <v>1483.62488060008</v>
      </c>
      <c r="I16" s="0" t="n">
        <f aca="false">-I12</f>
        <v>1468.78863179408</v>
      </c>
      <c r="J16" s="0" t="n">
        <f aca="false">-J12</f>
        <v>1468.78863179408</v>
      </c>
      <c r="K16" s="0" t="n">
        <f aca="false">-K12</f>
        <v>1468.78863179408</v>
      </c>
      <c r="L16" s="0" t="n">
        <f aca="false">-L12</f>
        <v>1468.78863179408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-1728.60699072</v>
      </c>
      <c r="D17" s="4" t="n">
        <f aca="false">-D6*Assumptions!D18/100</f>
        <v>-1642.176641184</v>
      </c>
      <c r="E17" s="4" t="n">
        <f aca="false">-E6*Assumptions!E18/100</f>
        <v>-1576.48957553664</v>
      </c>
      <c r="F17" s="4" t="n">
        <f aca="false">-F6*Assumptions!F18/100</f>
        <v>-1529.19488827054</v>
      </c>
      <c r="G17" s="4" t="n">
        <f aca="false">-G6*Assumptions!G18/100</f>
        <v>-1498.61099050513</v>
      </c>
      <c r="H17" s="4" t="n">
        <f aca="false">-H6*Assumptions!H18/100</f>
        <v>-1483.62488060008</v>
      </c>
      <c r="I17" s="4" t="n">
        <f aca="false">-I6*Assumptions!I18/100</f>
        <v>-1468.78863179408</v>
      </c>
      <c r="J17" s="4" t="n">
        <f aca="false">-J6*Assumptions!J18/100</f>
        <v>-1468.78863179408</v>
      </c>
      <c r="K17" s="4" t="n">
        <f aca="false">-K6*Assumptions!K18/100</f>
        <v>-1468.78863179408</v>
      </c>
      <c r="L17" s="4" t="n">
        <f aca="false">-L6*Assumptions!L18/100</f>
        <v>-1468.78863179408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-847.356368000002</v>
      </c>
      <c r="D18" s="4" t="n">
        <f aca="false">(D6-C6)*Assumptions!$B$23/100</f>
        <v>-1016.8276416</v>
      </c>
      <c r="E18" s="4" t="n">
        <f aca="false">(E6-D6)*Assumptions!$B$23/100</f>
        <v>-772.789007616</v>
      </c>
      <c r="F18" s="4" t="n">
        <f aca="false">(F6-E6)*Assumptions!$B$23/100</f>
        <v>-556.408085483519</v>
      </c>
      <c r="G18" s="4" t="n">
        <f aca="false">(G6-F6)*Assumptions!$B$23/100</f>
        <v>-359.810561946011</v>
      </c>
      <c r="H18" s="4" t="n">
        <f aca="false">(H6-G6)*Assumptions!$B$23/100</f>
        <v>-176.307175353545</v>
      </c>
      <c r="I18" s="4" t="n">
        <f aca="false">(I6-H6)*Assumptions!$B$23/100</f>
        <v>-174.544103600009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4135.09907584</v>
      </c>
      <c r="D19" s="0" t="n">
        <f aca="false">D15+D16+D17+D18</f>
        <v>3446.0288773824</v>
      </c>
      <c r="E19" s="0" t="n">
        <f aca="false">E15+E16+E17+E18</f>
        <v>3316.81042068787</v>
      </c>
      <c r="F19" s="0" t="n">
        <f aca="false">F15+F16+F17+F18</f>
        <v>3221.60281494958</v>
      </c>
      <c r="G19" s="0" t="n">
        <f aca="false">G15+G16+G17+G18</f>
        <v>3219.22509773095</v>
      </c>
      <c r="H19" s="0" t="n">
        <f aca="false">H15+H16+H17+H18</f>
        <v>3366.93812772664</v>
      </c>
      <c r="I19" s="0" t="n">
        <f aca="false">I15+I16+I17+I18</f>
        <v>3333.26874644938</v>
      </c>
      <c r="J19" s="0" t="n">
        <f aca="false">J15+J16+J17+J18</f>
        <v>3507.81285004939</v>
      </c>
      <c r="K19" s="0" t="n">
        <f aca="false">K15+K16+K17+K18</f>
        <v>3507.81285004939</v>
      </c>
      <c r="L19" s="0" t="n">
        <f aca="false">L15+L16+L17+L18</f>
        <v>3507.81285004939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3759.18097803636</v>
      </c>
      <c r="D21" s="0" t="n">
        <f aca="false">D19*D20</f>
        <v>2847.95774990281</v>
      </c>
      <c r="E21" s="0" t="n">
        <f aca="false">E19*E20</f>
        <v>2491.96876084739</v>
      </c>
      <c r="F21" s="0" t="n">
        <f aca="false">F19*F20</f>
        <v>2200.39807045255</v>
      </c>
      <c r="G21" s="0" t="n">
        <f aca="false">G19*G20</f>
        <v>1998.88550690834</v>
      </c>
      <c r="H21" s="0" t="n">
        <f aca="false">H19*H20</f>
        <v>1900.54879720576</v>
      </c>
      <c r="I21" s="0" t="n">
        <f aca="false">I19*I20</f>
        <v>1710.49391748519</v>
      </c>
      <c r="J21" s="0" t="n">
        <f aca="false">J19*J20</f>
        <v>1636.42058294258</v>
      </c>
      <c r="K21" s="0" t="n">
        <f aca="false">K19*K20</f>
        <v>1487.65507540234</v>
      </c>
      <c r="L21" s="0" t="n">
        <f aca="false">L19*L20</f>
        <v>1352.41370491122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21385.9231440945</v>
      </c>
    </row>
    <row r="31" customFormat="false" ht="15" hidden="false" customHeight="false" outlineLevel="0" collapsed="false">
      <c r="A31" s="0" t="s">
        <v>135</v>
      </c>
      <c r="B31" s="0" t="n">
        <f aca="false">L19</f>
        <v>3507.81285004939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39365.4553172209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35078.1285004939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35078.1285004939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13524.1370491122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34910.0601932067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61884.7061932067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19.1341112558651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0.551833840702769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8429.67556673216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5607.2982018076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23.4741984002456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25306.3641324991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15.6989233368722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-2</v>
      </c>
      <c r="D5" s="4" t="n">
        <f aca="false">Assumptions!D27</f>
        <v>-1</v>
      </c>
      <c r="E5" s="4" t="n">
        <f aca="false">Assumptions!E27</f>
        <v>0</v>
      </c>
      <c r="F5" s="4" t="n">
        <f aca="false">Assumptions!F27</f>
        <v>1</v>
      </c>
      <c r="G5" s="4" t="n">
        <f aca="false">Assumptions!G27</f>
        <v>1.5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105919.546</v>
      </c>
      <c r="C6" s="0" t="n">
        <f aca="false">B6*(1+C5/100)</f>
        <v>103801.15508</v>
      </c>
      <c r="D6" s="0" t="n">
        <f aca="false">C6*(1+D5/100)</f>
        <v>102763.1435292</v>
      </c>
      <c r="E6" s="0" t="n">
        <f aca="false">D6*(1+E5/100)</f>
        <v>102763.1435292</v>
      </c>
      <c r="F6" s="0" t="n">
        <f aca="false">E6*(1+F5/100)</f>
        <v>103790.774964492</v>
      </c>
      <c r="G6" s="0" t="n">
        <f aca="false">F6*(1+G5/100)</f>
        <v>105347.636588959</v>
      </c>
      <c r="H6" s="0" t="n">
        <f aca="false">G6*(1+H5/100)</f>
        <v>107454.589320739</v>
      </c>
      <c r="I6" s="0" t="n">
        <f aca="false">H6*(1+I5/100)</f>
        <v>109603.681107153</v>
      </c>
      <c r="J6" s="0" t="n">
        <f aca="false">I6*(1+J5/100)</f>
        <v>111795.754729296</v>
      </c>
      <c r="K6" s="0" t="n">
        <f aca="false">J6*(1+K5/100)</f>
        <v>114031.669823882</v>
      </c>
      <c r="L6" s="0" t="n">
        <f aca="false">K6*(1+L5/100)</f>
        <v>116312.30322036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10.6</v>
      </c>
      <c r="D7" s="4" t="n">
        <f aca="false">Assumptions!D28</f>
        <v>10.5</v>
      </c>
      <c r="E7" s="4" t="n">
        <f aca="false">Assumptions!E28</f>
        <v>10.5</v>
      </c>
      <c r="F7" s="4" t="n">
        <f aca="false">Assumptions!F28</f>
        <v>10.5</v>
      </c>
      <c r="G7" s="4" t="n">
        <f aca="false">Assumptions!G28</f>
        <v>10.5</v>
      </c>
      <c r="H7" s="4" t="n">
        <f aca="false">Assumptions!H28</f>
        <v>10.5</v>
      </c>
      <c r="I7" s="4" t="n">
        <f aca="false">Assumptions!I28</f>
        <v>10.5</v>
      </c>
      <c r="J7" s="4" t="n">
        <f aca="false">Assumptions!J28</f>
        <v>10.5</v>
      </c>
      <c r="K7" s="4" t="n">
        <f aca="false">Assumptions!K28</f>
        <v>10.5</v>
      </c>
      <c r="L7" s="4" t="n">
        <f aca="false">Assumptions!L28</f>
        <v>10.5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11002.92243848</v>
      </c>
      <c r="D8" s="0" t="n">
        <f aca="false">D6*D7/100</f>
        <v>10790.130070566</v>
      </c>
      <c r="E8" s="0" t="n">
        <f aca="false">E6*E7/100</f>
        <v>10790.130070566</v>
      </c>
      <c r="F8" s="0" t="n">
        <f aca="false">F6*F7/100</f>
        <v>10898.0313712717</v>
      </c>
      <c r="G8" s="0" t="n">
        <f aca="false">G6*G7/100</f>
        <v>11061.5018418407</v>
      </c>
      <c r="H8" s="0" t="n">
        <f aca="false">H6*H7/100</f>
        <v>11282.7318786776</v>
      </c>
      <c r="I8" s="0" t="n">
        <f aca="false">I6*I7/100</f>
        <v>11508.3865162511</v>
      </c>
      <c r="J8" s="0" t="n">
        <f aca="false">J6*J7/100</f>
        <v>11738.5542465761</v>
      </c>
      <c r="K8" s="0" t="n">
        <f aca="false">K6*K7/100</f>
        <v>11973.3253315076</v>
      </c>
      <c r="L8" s="0" t="n">
        <f aca="false">L6*L7/100</f>
        <v>12212.7918381378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1.45</v>
      </c>
      <c r="D9" s="4" t="n">
        <f aca="false">Assumptions!D29</f>
        <v>1.45</v>
      </c>
      <c r="E9" s="4" t="n">
        <f aca="false">Assumptions!E29</f>
        <v>1.4</v>
      </c>
      <c r="F9" s="4" t="n">
        <f aca="false">Assumptions!F29</f>
        <v>1.4</v>
      </c>
      <c r="G9" s="4" t="n">
        <f aca="false">Assumptions!G29</f>
        <v>1.35</v>
      </c>
      <c r="H9" s="4" t="n">
        <f aca="false">Assumptions!H29</f>
        <v>1.35</v>
      </c>
      <c r="I9" s="4" t="n">
        <f aca="false">Assumptions!I29</f>
        <v>1.3</v>
      </c>
      <c r="J9" s="4" t="n">
        <f aca="false">Assumptions!J29</f>
        <v>1.3</v>
      </c>
      <c r="K9" s="4" t="n">
        <f aca="false">Assumptions!K29</f>
        <v>1.3</v>
      </c>
      <c r="L9" s="4" t="n">
        <f aca="false">Assumptions!L29</f>
        <v>1.3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-1505.11674866</v>
      </c>
      <c r="D10" s="0" t="n">
        <f aca="false">-D6*D9/100</f>
        <v>-1490.0655811734</v>
      </c>
      <c r="E10" s="0" t="n">
        <f aca="false">-E6*E9/100</f>
        <v>-1438.6840094088</v>
      </c>
      <c r="F10" s="0" t="n">
        <f aca="false">-F6*F9/100</f>
        <v>-1453.07084950289</v>
      </c>
      <c r="G10" s="0" t="n">
        <f aca="false">-G6*G9/100</f>
        <v>-1422.19309395095</v>
      </c>
      <c r="H10" s="0" t="n">
        <f aca="false">-H6*H9/100</f>
        <v>-1450.63695582997</v>
      </c>
      <c r="I10" s="0" t="n">
        <f aca="false">-I6*I9/100</f>
        <v>-1424.84785439299</v>
      </c>
      <c r="J10" s="0" t="n">
        <f aca="false">-J6*J9/100</f>
        <v>-1453.34481148085</v>
      </c>
      <c r="K10" s="0" t="n">
        <f aca="false">-K6*K9/100</f>
        <v>-1482.41170771047</v>
      </c>
      <c r="L10" s="0" t="n">
        <f aca="false">-L6*L9/100</f>
        <v>-1512.05994186468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9497.80568982</v>
      </c>
      <c r="D11" s="0" t="n">
        <f aca="false">D8+D10+D24</f>
        <v>9300.0644893926</v>
      </c>
      <c r="E11" s="0" t="n">
        <f aca="false">E8+E10+E24</f>
        <v>9351.4460611572</v>
      </c>
      <c r="F11" s="0" t="n">
        <f aca="false">F8+F10+F24</f>
        <v>9444.96052176877</v>
      </c>
      <c r="G11" s="0" t="n">
        <f aca="false">G8+G10+G24</f>
        <v>9639.30874788978</v>
      </c>
      <c r="H11" s="0" t="n">
        <f aca="false">H8+H10+H24</f>
        <v>9832.09492284758</v>
      </c>
      <c r="I11" s="0" t="n">
        <f aca="false">I8+I10+I24</f>
        <v>10083.5386618581</v>
      </c>
      <c r="J11" s="0" t="n">
        <f aca="false">J8+J10+J24</f>
        <v>10285.2094350953</v>
      </c>
      <c r="K11" s="0" t="n">
        <f aca="false">K8+K10+K24</f>
        <v>10490.9136237972</v>
      </c>
      <c r="L11" s="0" t="n">
        <f aca="false">L8+L10+L24</f>
        <v>10700.7318962731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-1764.61963636</v>
      </c>
      <c r="D12" s="4" t="n">
        <f aca="false">-D6*Assumptions!D31/100</f>
        <v>-1746.9734399964</v>
      </c>
      <c r="E12" s="4" t="n">
        <f aca="false">-E6*Assumptions!E31/100</f>
        <v>-1746.9734399964</v>
      </c>
      <c r="F12" s="4" t="n">
        <f aca="false">-F6*Assumptions!F31/100</f>
        <v>-1764.44317439636</v>
      </c>
      <c r="G12" s="4" t="n">
        <f aca="false">-G6*Assumptions!G31/100</f>
        <v>-1790.90982201231</v>
      </c>
      <c r="H12" s="4" t="n">
        <f aca="false">-H6*Assumptions!H31/100</f>
        <v>-1826.72801845256</v>
      </c>
      <c r="I12" s="4" t="n">
        <f aca="false">-I6*Assumptions!I31/100</f>
        <v>-1863.26257882161</v>
      </c>
      <c r="J12" s="4" t="n">
        <f aca="false">-J6*Assumptions!J31/100</f>
        <v>-1900.52783039804</v>
      </c>
      <c r="K12" s="4" t="n">
        <f aca="false">-K6*Assumptions!K31/100</f>
        <v>-1938.538387006</v>
      </c>
      <c r="L12" s="4" t="n">
        <f aca="false">-L6*Assumptions!L31/100</f>
        <v>-1977.30915474612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7733.18605346</v>
      </c>
      <c r="D13" s="0" t="n">
        <f aca="false">D11+D12</f>
        <v>7553.0910493962</v>
      </c>
      <c r="E13" s="0" t="n">
        <f aca="false">E11+E12</f>
        <v>7604.4726211608</v>
      </c>
      <c r="F13" s="0" t="n">
        <f aca="false">F11+F12</f>
        <v>7680.51734737241</v>
      </c>
      <c r="G13" s="0" t="n">
        <f aca="false">G11+G12</f>
        <v>7848.39892587747</v>
      </c>
      <c r="H13" s="0" t="n">
        <f aca="false">H11+H12</f>
        <v>8005.36690439503</v>
      </c>
      <c r="I13" s="0" t="n">
        <f aca="false">I11+I12</f>
        <v>8220.2760830365</v>
      </c>
      <c r="J13" s="0" t="n">
        <f aca="false">J11+J12</f>
        <v>8384.68160469723</v>
      </c>
      <c r="K13" s="0" t="n">
        <f aca="false">K11+K12</f>
        <v>8552.37523679118</v>
      </c>
      <c r="L13" s="0" t="n">
        <f aca="false">L11+L12</f>
        <v>8723.422741527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5567.8939584912</v>
      </c>
      <c r="D15" s="0" t="n">
        <f aca="false">D13-MAX(0,D13)*D14/100</f>
        <v>5438.22555556527</v>
      </c>
      <c r="E15" s="0" t="n">
        <f aca="false">E13-MAX(0,E13)*E14/100</f>
        <v>5475.22028723578</v>
      </c>
      <c r="F15" s="0" t="n">
        <f aca="false">F13-MAX(0,F13)*F14/100</f>
        <v>5529.97249010813</v>
      </c>
      <c r="G15" s="0" t="n">
        <f aca="false">G13-MAX(0,G13)*G14/100</f>
        <v>5650.84722663178</v>
      </c>
      <c r="H15" s="0" t="n">
        <f aca="false">H13-MAX(0,H13)*H14/100</f>
        <v>5763.86417116442</v>
      </c>
      <c r="I15" s="0" t="n">
        <f aca="false">I13-MAX(0,I13)*I14/100</f>
        <v>5918.59877978628</v>
      </c>
      <c r="J15" s="0" t="n">
        <f aca="false">J13-MAX(0,J13)*J14/100</f>
        <v>6036.970755382</v>
      </c>
      <c r="K15" s="0" t="n">
        <f aca="false">K13-MAX(0,K13)*K14/100</f>
        <v>6157.71017048965</v>
      </c>
      <c r="L15" s="0" t="n">
        <f aca="false">L13-MAX(0,L13)*L14/100</f>
        <v>6280.86437389944</v>
      </c>
    </row>
    <row r="16" customFormat="false" ht="15" hidden="false" customHeight="false" outlineLevel="0" collapsed="false">
      <c r="A16" s="0" t="s">
        <v>126</v>
      </c>
      <c r="C16" s="0" t="n">
        <f aca="false">-C12</f>
        <v>1764.61963636</v>
      </c>
      <c r="D16" s="0" t="n">
        <f aca="false">-D12</f>
        <v>1746.9734399964</v>
      </c>
      <c r="E16" s="0" t="n">
        <f aca="false">-E12</f>
        <v>1746.9734399964</v>
      </c>
      <c r="F16" s="0" t="n">
        <f aca="false">-F12</f>
        <v>1764.44317439636</v>
      </c>
      <c r="G16" s="0" t="n">
        <f aca="false">-G12</f>
        <v>1790.90982201231</v>
      </c>
      <c r="H16" s="0" t="n">
        <f aca="false">-H12</f>
        <v>1826.72801845256</v>
      </c>
      <c r="I16" s="0" t="n">
        <f aca="false">-I12</f>
        <v>1863.26257882161</v>
      </c>
      <c r="J16" s="0" t="n">
        <f aca="false">-J12</f>
        <v>1900.52783039804</v>
      </c>
      <c r="K16" s="0" t="n">
        <f aca="false">-K12</f>
        <v>1938.538387006</v>
      </c>
      <c r="L16" s="0" t="n">
        <f aca="false">-L12</f>
        <v>1977.30915474612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-1868.42079144</v>
      </c>
      <c r="D17" s="4" t="n">
        <f aca="false">-D6*Assumptions!D32/100</f>
        <v>-1952.4997270548</v>
      </c>
      <c r="E17" s="4" t="n">
        <f aca="false">-E6*Assumptions!E32/100</f>
        <v>-1952.4997270548</v>
      </c>
      <c r="F17" s="4" t="n">
        <f aca="false">-F6*Assumptions!F32/100</f>
        <v>-1972.02472432535</v>
      </c>
      <c r="G17" s="4" t="n">
        <f aca="false">-G6*Assumptions!G32/100</f>
        <v>-2001.60509519023</v>
      </c>
      <c r="H17" s="4" t="n">
        <f aca="false">-H6*Assumptions!H32/100</f>
        <v>-2041.63719709403</v>
      </c>
      <c r="I17" s="4" t="n">
        <f aca="false">-I6*Assumptions!I32/100</f>
        <v>-2082.46994103591</v>
      </c>
      <c r="J17" s="4" t="n">
        <f aca="false">-J6*Assumptions!J32/100</f>
        <v>-2124.11933985663</v>
      </c>
      <c r="K17" s="4" t="n">
        <f aca="false">-K6*Assumptions!K32/100</f>
        <v>-2166.60172665376</v>
      </c>
      <c r="L17" s="4" t="n">
        <f aca="false">-L6*Assumptions!L32/100</f>
        <v>-2209.93376118684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-423.678184000001</v>
      </c>
      <c r="D18" s="4" t="n">
        <f aca="false">(D6-C6)*Assumptions!$B$37/100</f>
        <v>-207.60231016</v>
      </c>
      <c r="E18" s="4" t="n">
        <f aca="false">(E6-D6)*Assumptions!$B$37/100</f>
        <v>0</v>
      </c>
      <c r="F18" s="4" t="n">
        <f aca="false">(F6-E6)*Assumptions!$B$37/100</f>
        <v>205.5262870584</v>
      </c>
      <c r="G18" s="4" t="n">
        <f aca="false">(G6-F6)*Assumptions!$B$37/100</f>
        <v>311.372324893475</v>
      </c>
      <c r="H18" s="4" t="n">
        <f aca="false">(H6-G6)*Assumptions!$B$37/100</f>
        <v>421.390546355839</v>
      </c>
      <c r="I18" s="4" t="n">
        <f aca="false">(I6-H6)*Assumptions!$B$37/100</f>
        <v>429.818357282956</v>
      </c>
      <c r="J18" s="4" t="n">
        <f aca="false">(J6-I6)*Assumptions!$B$37/100</f>
        <v>438.414724428614</v>
      </c>
      <c r="K18" s="4" t="n">
        <f aca="false">(K6-J6)*Assumptions!$B$37/100</f>
        <v>447.183018917186</v>
      </c>
      <c r="L18" s="4" t="n">
        <f aca="false">(L6-K6)*Assumptions!$B$37/100</f>
        <v>456.126679295528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5040.4146194112</v>
      </c>
      <c r="D19" s="0" t="n">
        <f aca="false">D15+D16+D17+D18</f>
        <v>5025.09695834687</v>
      </c>
      <c r="E19" s="0" t="n">
        <f aca="false">E15+E16+E17+E18</f>
        <v>5269.69400017738</v>
      </c>
      <c r="F19" s="0" t="n">
        <f aca="false">F15+F16+F17+F18</f>
        <v>5527.91722723755</v>
      </c>
      <c r="G19" s="0" t="n">
        <f aca="false">G15+G16+G17+G18</f>
        <v>5751.52427834734</v>
      </c>
      <c r="H19" s="0" t="n">
        <f aca="false">H15+H16+H17+H18</f>
        <v>5970.34553887878</v>
      </c>
      <c r="I19" s="0" t="n">
        <f aca="false">I15+I16+I17+I18</f>
        <v>6129.20977485493</v>
      </c>
      <c r="J19" s="0" t="n">
        <f aca="false">J15+J16+J17+J18</f>
        <v>6251.79397035203</v>
      </c>
      <c r="K19" s="0" t="n">
        <f aca="false">K15+K16+K17+K18</f>
        <v>6376.82984975907</v>
      </c>
      <c r="L19" s="0" t="n">
        <f aca="false">L15+L16+L17+L18</f>
        <v>6504.36644675425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4582.19510855564</v>
      </c>
      <c r="D21" s="0" t="n">
        <f aca="false">D19*D20</f>
        <v>4152.97269284865</v>
      </c>
      <c r="E21" s="0" t="n">
        <f aca="false">E19*E20</f>
        <v>3959.1990985555</v>
      </c>
      <c r="F21" s="0" t="n">
        <f aca="false">F19*F20</f>
        <v>3775.64184634762</v>
      </c>
      <c r="G21" s="0" t="n">
        <f aca="false">G19*G20</f>
        <v>3571.24406451828</v>
      </c>
      <c r="H21" s="0" t="n">
        <f aca="false">H19*H20</f>
        <v>3370.10441010994</v>
      </c>
      <c r="I21" s="0" t="n">
        <f aca="false">I19*I20</f>
        <v>3145.25375430581</v>
      </c>
      <c r="J21" s="0" t="n">
        <f aca="false">J19*J20</f>
        <v>2916.50802671993</v>
      </c>
      <c r="K21" s="0" t="n">
        <f aca="false">K19*K20</f>
        <v>2704.39835204939</v>
      </c>
      <c r="L21" s="0" t="n">
        <f aca="false">L19*L20</f>
        <v>2507.71483553671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34685.2321895475</v>
      </c>
    </row>
    <row r="31" customFormat="false" ht="15" hidden="false" customHeight="false" outlineLevel="0" collapsed="false">
      <c r="A31" s="0" t="s">
        <v>135</v>
      </c>
      <c r="B31" s="0" t="n">
        <f aca="false">L19</f>
        <v>6504.36644675425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82930.6721961167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78052.397361051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78052.397361051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30092.5780264405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64777.8102159879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91752.4562159879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28.3689107249624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1.30080378953466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8995.85556705985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7432.79818846447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33.4484805909141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51034.2598129949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20.9033156433168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-1</v>
      </c>
      <c r="D5" s="4" t="n">
        <f aca="false">Assumptions!D41</f>
        <v>1.5</v>
      </c>
      <c r="E5" s="4" t="n">
        <f aca="false">Assumptions!E41</f>
        <v>3</v>
      </c>
      <c r="F5" s="4" t="n">
        <f aca="false">Assumptions!F41</f>
        <v>3.5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105919.546</v>
      </c>
      <c r="C6" s="0" t="n">
        <f aca="false">B6*(1+C5/100)</f>
        <v>104860.35054</v>
      </c>
      <c r="D6" s="0" t="n">
        <f aca="false">C6*(1+D5/100)</f>
        <v>106433.2557981</v>
      </c>
      <c r="E6" s="0" t="n">
        <f aca="false">D6*(1+E5/100)</f>
        <v>109626.253472043</v>
      </c>
      <c r="F6" s="0" t="n">
        <f aca="false">E6*(1+F5/100)</f>
        <v>113463.172343564</v>
      </c>
      <c r="G6" s="0" t="n">
        <f aca="false">F6*(1+G5/100)</f>
        <v>117434.383375589</v>
      </c>
      <c r="H6" s="0" t="n">
        <f aca="false">G6*(1+H5/100)</f>
        <v>120957.414876857</v>
      </c>
      <c r="I6" s="0" t="n">
        <f aca="false">H6*(1+I5/100)</f>
        <v>124586.137323163</v>
      </c>
      <c r="J6" s="0" t="n">
        <f aca="false">I6*(1+J5/100)</f>
        <v>127700.790756242</v>
      </c>
      <c r="K6" s="0" t="n">
        <f aca="false">J6*(1+K5/100)</f>
        <v>130893.310525148</v>
      </c>
      <c r="L6" s="0" t="n">
        <f aca="false">K6*(1+L5/100)</f>
        <v>134165.643288276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10.8</v>
      </c>
      <c r="D7" s="4" t="n">
        <f aca="false">Assumptions!D42</f>
        <v>11</v>
      </c>
      <c r="E7" s="4" t="n">
        <f aca="false">Assumptions!E42</f>
        <v>11.2</v>
      </c>
      <c r="F7" s="4" t="n">
        <f aca="false">Assumptions!F42</f>
        <v>11.4</v>
      </c>
      <c r="G7" s="4" t="n">
        <f aca="false">Assumptions!G42</f>
        <v>11.5</v>
      </c>
      <c r="H7" s="4" t="n">
        <f aca="false">Assumptions!H42</f>
        <v>11.5</v>
      </c>
      <c r="I7" s="4" t="n">
        <f aca="false">Assumptions!I42</f>
        <v>11.5</v>
      </c>
      <c r="J7" s="4" t="n">
        <f aca="false">Assumptions!J42</f>
        <v>11.5</v>
      </c>
      <c r="K7" s="4" t="n">
        <f aca="false">Assumptions!K42</f>
        <v>11.5</v>
      </c>
      <c r="L7" s="4" t="n">
        <f aca="false">Assumptions!L42</f>
        <v>11.5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11324.91785832</v>
      </c>
      <c r="D8" s="0" t="n">
        <f aca="false">D6*D7/100</f>
        <v>11707.658137791</v>
      </c>
      <c r="E8" s="0" t="n">
        <f aca="false">E6*E7/100</f>
        <v>12278.1403888688</v>
      </c>
      <c r="F8" s="0" t="n">
        <f aca="false">F6*F7/100</f>
        <v>12934.8016471664</v>
      </c>
      <c r="G8" s="0" t="n">
        <f aca="false">G6*G7/100</f>
        <v>13504.9540881928</v>
      </c>
      <c r="H8" s="0" t="n">
        <f aca="false">H6*H7/100</f>
        <v>13910.1027108385</v>
      </c>
      <c r="I8" s="0" t="n">
        <f aca="false">I6*I7/100</f>
        <v>14327.4057921637</v>
      </c>
      <c r="J8" s="0" t="n">
        <f aca="false">J6*J7/100</f>
        <v>14685.5909369678</v>
      </c>
      <c r="K8" s="0" t="n">
        <f aca="false">K6*K7/100</f>
        <v>15052.730710392</v>
      </c>
      <c r="L8" s="0" t="n">
        <f aca="false">L6*L7/100</f>
        <v>15429.0489781518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1.4</v>
      </c>
      <c r="D9" s="4" t="n">
        <f aca="false">Assumptions!D43</f>
        <v>1.4</v>
      </c>
      <c r="E9" s="4" t="n">
        <f aca="false">Assumptions!E43</f>
        <v>1.35</v>
      </c>
      <c r="F9" s="4" t="n">
        <f aca="false">Assumptions!F43</f>
        <v>1.3</v>
      </c>
      <c r="G9" s="4" t="n">
        <f aca="false">Assumptions!G43</f>
        <v>1.3</v>
      </c>
      <c r="H9" s="4" t="n">
        <f aca="false">Assumptions!H43</f>
        <v>1.25</v>
      </c>
      <c r="I9" s="4" t="n">
        <f aca="false">Assumptions!I43</f>
        <v>1.25</v>
      </c>
      <c r="J9" s="4" t="n">
        <f aca="false">Assumptions!J43</f>
        <v>1.2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-1468.04490756</v>
      </c>
      <c r="D10" s="0" t="n">
        <f aca="false">-D6*D9/100</f>
        <v>-1490.0655811734</v>
      </c>
      <c r="E10" s="0" t="n">
        <f aca="false">-E6*E9/100</f>
        <v>-1479.95442187258</v>
      </c>
      <c r="F10" s="0" t="n">
        <f aca="false">-F6*F9/100</f>
        <v>-1475.02124046634</v>
      </c>
      <c r="G10" s="0" t="n">
        <f aca="false">-G6*G9/100</f>
        <v>-1526.64698388266</v>
      </c>
      <c r="H10" s="0" t="n">
        <f aca="false">-H6*H9/100</f>
        <v>-1511.96768596071</v>
      </c>
      <c r="I10" s="0" t="n">
        <f aca="false">-I6*I9/100</f>
        <v>-1557.32671653953</v>
      </c>
      <c r="J10" s="0" t="n">
        <f aca="false">-J6*J9/100</f>
        <v>-1532.4094890749</v>
      </c>
      <c r="K10" s="0" t="n">
        <f aca="false">-K6*K9/100</f>
        <v>-1570.71972630177</v>
      </c>
      <c r="L10" s="0" t="n">
        <f aca="false">-L6*L9/100</f>
        <v>-1609.98771945932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9856.87295076</v>
      </c>
      <c r="D11" s="0" t="n">
        <f aca="false">D8+D10+D24</f>
        <v>10217.5925566176</v>
      </c>
      <c r="E11" s="0" t="n">
        <f aca="false">E8+E10+E24</f>
        <v>10798.1859669962</v>
      </c>
      <c r="F11" s="0" t="n">
        <f aca="false">F8+F10+F24</f>
        <v>11459.7804067</v>
      </c>
      <c r="G11" s="0" t="n">
        <f aca="false">G8+G10+G24</f>
        <v>11978.3071043101</v>
      </c>
      <c r="H11" s="0" t="n">
        <f aca="false">H8+H10+H24</f>
        <v>12398.1350248778</v>
      </c>
      <c r="I11" s="0" t="n">
        <f aca="false">I8+I10+I24</f>
        <v>12770.0790756242</v>
      </c>
      <c r="J11" s="0" t="n">
        <f aca="false">J8+J10+J24</f>
        <v>13153.1814478929</v>
      </c>
      <c r="K11" s="0" t="n">
        <f aca="false">K8+K10+K24</f>
        <v>13482.0109840902</v>
      </c>
      <c r="L11" s="0" t="n">
        <f aca="false">L8+L10+L24</f>
        <v>13819.0612586925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-1782.62595918</v>
      </c>
      <c r="D12" s="4" t="n">
        <f aca="false">-D6*Assumptions!D45/100</f>
        <v>-1809.3653485677</v>
      </c>
      <c r="E12" s="4" t="n">
        <f aca="false">-E6*Assumptions!E45/100</f>
        <v>-1863.64630902473</v>
      </c>
      <c r="F12" s="4" t="n">
        <f aca="false">-F6*Assumptions!F45/100</f>
        <v>-1928.8739298406</v>
      </c>
      <c r="G12" s="4" t="n">
        <f aca="false">-G6*Assumptions!G45/100</f>
        <v>-1996.38451738502</v>
      </c>
      <c r="H12" s="4" t="n">
        <f aca="false">-H6*Assumptions!H45/100</f>
        <v>-2056.27605290657</v>
      </c>
      <c r="I12" s="4" t="n">
        <f aca="false">-I6*Assumptions!I45/100</f>
        <v>-2117.96433449376</v>
      </c>
      <c r="J12" s="4" t="n">
        <f aca="false">-J6*Assumptions!J45/100</f>
        <v>-2170.91344285611</v>
      </c>
      <c r="K12" s="4" t="n">
        <f aca="false">-K6*Assumptions!K45/100</f>
        <v>-2225.18627892751</v>
      </c>
      <c r="L12" s="4" t="n">
        <f aca="false">-L6*Assumptions!L45/100</f>
        <v>-2280.8159359007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8074.24699158</v>
      </c>
      <c r="D13" s="0" t="n">
        <f aca="false">D11+D12</f>
        <v>8408.2272080499</v>
      </c>
      <c r="E13" s="0" t="n">
        <f aca="false">E11+E12</f>
        <v>8934.5396579715</v>
      </c>
      <c r="F13" s="0" t="n">
        <f aca="false">F11+F12</f>
        <v>9530.90647685942</v>
      </c>
      <c r="G13" s="0" t="n">
        <f aca="false">G11+G12</f>
        <v>9981.92258692508</v>
      </c>
      <c r="H13" s="0" t="n">
        <f aca="false">H11+H12</f>
        <v>10341.8589719713</v>
      </c>
      <c r="I13" s="0" t="n">
        <f aca="false">I11+I12</f>
        <v>10652.1147411304</v>
      </c>
      <c r="J13" s="0" t="n">
        <f aca="false">J11+J12</f>
        <v>10982.2680050368</v>
      </c>
      <c r="K13" s="0" t="n">
        <f aca="false">K11+K12</f>
        <v>11256.8247051627</v>
      </c>
      <c r="L13" s="0" t="n">
        <f aca="false">L11+L12</f>
        <v>11538.2453227918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5894.2003038534</v>
      </c>
      <c r="D15" s="0" t="n">
        <f aca="false">D13-MAX(0,D13)*D14/100</f>
        <v>6138.00586187643</v>
      </c>
      <c r="E15" s="0" t="n">
        <f aca="false">E13-MAX(0,E13)*E14/100</f>
        <v>6522.2139503192</v>
      </c>
      <c r="F15" s="0" t="n">
        <f aca="false">F13-MAX(0,F13)*F14/100</f>
        <v>6957.56172810737</v>
      </c>
      <c r="G15" s="0" t="n">
        <f aca="false">G13-MAX(0,G13)*G14/100</f>
        <v>7286.80348845531</v>
      </c>
      <c r="H15" s="0" t="n">
        <f aca="false">H13-MAX(0,H13)*H14/100</f>
        <v>7549.55704953902</v>
      </c>
      <c r="I15" s="0" t="n">
        <f aca="false">I13-MAX(0,I13)*I14/100</f>
        <v>7776.04376102519</v>
      </c>
      <c r="J15" s="0" t="n">
        <f aca="false">J13-MAX(0,J13)*J14/100</f>
        <v>8017.05564367685</v>
      </c>
      <c r="K15" s="0" t="n">
        <f aca="false">K13-MAX(0,K13)*K14/100</f>
        <v>8217.48203476877</v>
      </c>
      <c r="L15" s="0" t="n">
        <f aca="false">L13-MAX(0,L13)*L14/100</f>
        <v>8422.91908563799</v>
      </c>
    </row>
    <row r="16" customFormat="false" ht="15" hidden="false" customHeight="false" outlineLevel="0" collapsed="false">
      <c r="A16" s="0" t="s">
        <v>126</v>
      </c>
      <c r="C16" s="0" t="n">
        <f aca="false">-C12</f>
        <v>1782.62595918</v>
      </c>
      <c r="D16" s="0" t="n">
        <f aca="false">-D12</f>
        <v>1809.3653485677</v>
      </c>
      <c r="E16" s="0" t="n">
        <f aca="false">-E12</f>
        <v>1863.64630902473</v>
      </c>
      <c r="F16" s="0" t="n">
        <f aca="false">-F12</f>
        <v>1928.8739298406</v>
      </c>
      <c r="G16" s="0" t="n">
        <f aca="false">-G12</f>
        <v>1996.38451738502</v>
      </c>
      <c r="H16" s="0" t="n">
        <f aca="false">-H12</f>
        <v>2056.27605290657</v>
      </c>
      <c r="I16" s="0" t="n">
        <f aca="false">-I12</f>
        <v>2117.96433449376</v>
      </c>
      <c r="J16" s="0" t="n">
        <f aca="false">-J12</f>
        <v>2170.91344285611</v>
      </c>
      <c r="K16" s="0" t="n">
        <f aca="false">-K12</f>
        <v>2225.18627892751</v>
      </c>
      <c r="L16" s="0" t="n">
        <f aca="false">-L12</f>
        <v>2280.8159359007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-1992.34666026</v>
      </c>
      <c r="D17" s="4" t="n">
        <f aca="false">-D6*Assumptions!D46/100</f>
        <v>-2128.665115962</v>
      </c>
      <c r="E17" s="4" t="n">
        <f aca="false">-E6*Assumptions!E46/100</f>
        <v>-2192.52506944086</v>
      </c>
      <c r="F17" s="4" t="n">
        <f aca="false">-F6*Assumptions!F46/100</f>
        <v>-2269.26344687129</v>
      </c>
      <c r="G17" s="4" t="n">
        <f aca="false">-G6*Assumptions!G46/100</f>
        <v>-2348.68766751178</v>
      </c>
      <c r="H17" s="4" t="n">
        <f aca="false">-H6*Assumptions!H46/100</f>
        <v>-2419.14829753714</v>
      </c>
      <c r="I17" s="4" t="n">
        <f aca="false">-I6*Assumptions!I46/100</f>
        <v>-2491.72274646325</v>
      </c>
      <c r="J17" s="4" t="n">
        <f aca="false">-J6*Assumptions!J46/100</f>
        <v>-2554.01581512483</v>
      </c>
      <c r="K17" s="4" t="n">
        <f aca="false">-K6*Assumptions!K46/100</f>
        <v>-2617.86621050295</v>
      </c>
      <c r="L17" s="4" t="n">
        <f aca="false">-L6*Assumptions!L46/100</f>
        <v>-2683.31286576553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-211.839092000001</v>
      </c>
      <c r="D18" s="4" t="n">
        <f aca="false">(D6-C6)*Assumptions!$B$51/100</f>
        <v>314.581051619997</v>
      </c>
      <c r="E18" s="4" t="n">
        <f aca="false">(E6-D6)*Assumptions!$B$51/100</f>
        <v>638.5995347886</v>
      </c>
      <c r="F18" s="4" t="n">
        <f aca="false">(F6-E6)*Assumptions!$B$51/100</f>
        <v>767.3837743043</v>
      </c>
      <c r="G18" s="4" t="n">
        <f aca="false">(G6-F6)*Assumptions!$B$51/100</f>
        <v>794.242206404949</v>
      </c>
      <c r="H18" s="4" t="n">
        <f aca="false">(H6-G6)*Assumptions!$B$51/100</f>
        <v>704.606300253535</v>
      </c>
      <c r="I18" s="4" t="n">
        <f aca="false">(I6-H6)*Assumptions!$B$51/100</f>
        <v>725.744489261141</v>
      </c>
      <c r="J18" s="4" t="n">
        <f aca="false">(J6-I6)*Assumptions!$B$51/100</f>
        <v>622.930686615812</v>
      </c>
      <c r="K18" s="4" t="n">
        <f aca="false">(K6-J6)*Assumptions!$B$51/100</f>
        <v>638.503953781206</v>
      </c>
      <c r="L18" s="4" t="n">
        <f aca="false">(L6-K6)*Assumptions!$B$51/100</f>
        <v>654.466552625733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5472.6405107734</v>
      </c>
      <c r="D19" s="0" t="n">
        <f aca="false">D15+D16+D17+D18</f>
        <v>6133.28714610212</v>
      </c>
      <c r="E19" s="0" t="n">
        <f aca="false">E15+E16+E17+E18</f>
        <v>6831.93472469167</v>
      </c>
      <c r="F19" s="0" t="n">
        <f aca="false">F15+F16+F17+F18</f>
        <v>7384.55598538098</v>
      </c>
      <c r="G19" s="0" t="n">
        <f aca="false">G15+G16+G17+G18</f>
        <v>7728.74254473349</v>
      </c>
      <c r="H19" s="0" t="n">
        <f aca="false">H15+H16+H17+H18</f>
        <v>7891.29110516199</v>
      </c>
      <c r="I19" s="0" t="n">
        <f aca="false">I15+I16+I17+I18</f>
        <v>8128.02983831685</v>
      </c>
      <c r="J19" s="0" t="n">
        <f aca="false">J15+J16+J17+J18</f>
        <v>8256.88395802394</v>
      </c>
      <c r="K19" s="0" t="n">
        <f aca="false">K15+K16+K17+K18</f>
        <v>8463.30605697454</v>
      </c>
      <c r="L19" s="0" t="n">
        <f aca="false">L15+L16+L17+L18</f>
        <v>8674.8887083989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4975.12773706673</v>
      </c>
      <c r="D21" s="0" t="n">
        <f aca="false">D19*D20</f>
        <v>5068.83235215051</v>
      </c>
      <c r="E21" s="0" t="n">
        <f aca="false">E19*E20</f>
        <v>5132.9336774543</v>
      </c>
      <c r="F21" s="0" t="n">
        <f aca="false">F19*F20</f>
        <v>5043.75109991188</v>
      </c>
      <c r="G21" s="0" t="n">
        <f aca="false">G19*G20</f>
        <v>4798.9410464595</v>
      </c>
      <c r="H21" s="0" t="n">
        <f aca="false">H19*H20</f>
        <v>4454.4281033292</v>
      </c>
      <c r="I21" s="0" t="n">
        <f aca="false">I19*I20</f>
        <v>4170.96449675371</v>
      </c>
      <c r="J21" s="0" t="n">
        <f aca="false">J19*J20</f>
        <v>3851.89730395352</v>
      </c>
      <c r="K21" s="0" t="n">
        <f aca="false">K19*K20</f>
        <v>3589.26794232032</v>
      </c>
      <c r="L21" s="0" t="n">
        <f aca="false">L19*L20</f>
        <v>3344.54512807121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44430.6888874709</v>
      </c>
    </row>
    <row r="31" customFormat="false" ht="15" hidden="false" customHeight="false" outlineLevel="0" collapsed="false">
      <c r="A31" s="0" t="s">
        <v>135</v>
      </c>
      <c r="B31" s="0" t="n">
        <f aca="false">L19</f>
        <v>8674.8887083989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118556.812348118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121448.441917585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118556.812348118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45708.7834169732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90139.4723044441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117114.118304444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36.210474398532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1.93677813451192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9287.70410032364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8483.17280445376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41.7050457834022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71134.0874088709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24.805578793536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19.1341112558651</v>
      </c>
      <c r="C4" s="0" t="n">
        <f aca="false">B4/Assumptions!$B$2-1</f>
        <v>0.551833840702769</v>
      </c>
      <c r="D4" s="4" t="n">
        <f aca="false">Assumptions!$B$24</f>
        <v>0.3</v>
      </c>
      <c r="E4" s="4" t="n">
        <f aca="false">DCF_Bear!$B$43</f>
        <v>23.4741984002456</v>
      </c>
      <c r="F4" s="4" t="n">
        <f aca="false">DCF_Bear!$B$47</f>
        <v>15.6989233368722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28.3689107249624</v>
      </c>
      <c r="C5" s="0" t="n">
        <f aca="false">B5/Assumptions!$B$2-1</f>
        <v>1.30080378953466</v>
      </c>
      <c r="D5" s="4" t="n">
        <f aca="false">Assumptions!$B$38</f>
        <v>0.5</v>
      </c>
      <c r="E5" s="4" t="n">
        <f aca="false">DCF_Base!$B$43</f>
        <v>33.4484805909141</v>
      </c>
      <c r="F5" s="4" t="n">
        <f aca="false">DCF_Base!$B$47</f>
        <v>20.9033156433168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36.210474398532</v>
      </c>
      <c r="C6" s="0" t="n">
        <f aca="false">B6/Assumptions!$B$2-1</f>
        <v>1.93677813451192</v>
      </c>
      <c r="D6" s="4" t="n">
        <f aca="false">Assumptions!$B$52</f>
        <v>0.2</v>
      </c>
      <c r="E6" s="4" t="n">
        <f aca="false">DCF_Bull!$B$43</f>
        <v>41.7050457834022</v>
      </c>
      <c r="F6" s="4" t="n">
        <f aca="false">DCF_Bull!$B$47</f>
        <v>24.805578793536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27.1667836189471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32.1075089722112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0.546136923202031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-300.295656166059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20.1224505814273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29.7613353246105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28.3689107249624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26.6225078926423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24.7616902984927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20.9033156433168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31.28479775299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31.28479775299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31.28479775299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31.28479775299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31.28479775299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29.7613353246105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29.7613353246105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29.7613353246105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29.7613353246105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29.7613353246105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27.7658533384673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28.3233013427905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28.3689107249624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28.3689107249624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28.3689107249624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25.7489722225367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26.1627522767973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26.6225078926423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27.0946893359426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27.0946893359426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24.1024024472008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24.4163490430541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24.7616902984927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25.1433832650302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25.5674865611829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2026-10-04T09:26:29Z</dcterms:created>
  <dc:creator>openpyxl</dc:creator>
  <dc:description/>
  <dc:language>en-NZ</dc:language>
  <cp:lastModifiedBy/>
  <dcterms:modified xsi:type="dcterms:W3CDTF">2026-10-04T09:26:29Z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