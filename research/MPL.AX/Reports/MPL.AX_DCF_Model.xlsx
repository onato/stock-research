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<sst xmlns="http://schemas.openxmlformats.org/spreadsheetml/2006/main" count="368" uniqueCount="169">
  <si>
    <t xml:space="preserve">Ticker</t>
  </si>
  <si>
    <t xml:space="preserve">MPL.AX</t>
  </si>
  <si>
    <t xml:space="preserve">Company</t>
  </si>
  <si>
    <t xml:space="preserve">Medibank Private Limited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</si>
  <si>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</si>
  <si>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</si>
  <si>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</si>
  <si>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</si>
  <si>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2026-09-24T06:16:33Z (ASX regular session)</t>
  </si>
  <si>
    <t xml:space="preserve">Balance sheet date</t>
  </si>
  <si>
    <t xml:space="preserve">2026-06-30</t>
  </si>
  <si>
    <t xml:space="preserve">Model</t>
  </si>
  <si>
    <t xml:space="preserve">Insurer FCFE capitalisation at cost of equity (engine route)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</si>
  <si>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</si>
  <si>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</si>
  <si>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</si>
  <si>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</si>
  <si>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</si>
  <si>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</si>
  <si>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</si>
  <si>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</si>
  <si>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2026-09-24T08:44:37Z</t>
  </si>
  <si>
    <t xml:space="preserve">Drivers file</t>
  </si>
  <si>
    <t xml:space="preserve">MPL.AX_Drivers.json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</si>
  <si>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</si>
  <si>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</si>
  <si>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</si>
  <si>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Medibank is valued as an earnings-distribution stream at an 8.5% AUD cost of equity, not as a compounder of book value and not on reported free cash flow. The regulated investment portfolio is neither added as net cash nor stripped of its income. Value comes from ~89% of NPAT being paid out and growing at roughly health-cost inflation; the market price implies either a lower discount rate (Australian holders can use the franking credits, which this NZ-based model gives no value to) or margin expansion the guidance does not support.
key_risks_to_valuation: Annual government premium-rate approval lags claims inflation (FY27 hospital claims growth per unit guided to step up 2.1% -&gt; 3.6%); OAIC civil penalty and customer class action outcomes are unprovided and could exceed the $150m bridge; Revenue Mix / downgrading and aggregator competition compress acquisition economics; Medibank Health FY30 $200m target depends on Better Medical integration and further M&amp;A; Net investment income (~$180m) falls ~$6.4m per 25bp RBA cut; Franking credits are excluded: an Australian tax-resident buyer's fair value is meaningfully higher than this model's</t>
  </si>
  <si>
    <t xml:space="preserve">Data sources</t>
  </si>
  <si>
    <t xml:space="preserve">price: Yahoo Finance chart API at inputs.price_as_of; 52-week range 4.06-5.31
financials: MPL.AX_Metrics.csv / core_metrics from FY2015-FY2026 annual reports and H1 FY2016-H1 FY2026 interim reports; FY2026 annual report group summary income statement (MPL.AX_Annual_FY2026.txt:1016-1064), segment note (4505-4554), underlying NPAT reconciliation (4876-4882), cash flow (4425-4464)
qualitative: MPL.AX_Analysis.json (2026-09-24), FY2026 annual report outlook section</t>
  </si>
  <si>
    <t xml:space="preserve">Scenario narrative: bear</t>
  </si>
  <si>
    <t xml:space="preserve">The regulator becomes the margin-setter: the April 2027 approval lags the step-up in hospital claims growth, the COVID benefit unwinds uncompensated, downgrading widens and aggressive competitor/aggregator tactics lift acquisition cost, so group margin falls to ~10.3% before a slow partial recovery. Cybercrime costs stay ~$35m and the OAIC penalty plus class action exceed the bridge. Growth slows to 3% and 2.5% terminal. The company stays profitable and dividend-paying throughout -- this is a margin story, not a solvency story.</t>
  </si>
  <si>
    <t xml:space="preserve">Scenario narrative: base</t>
  </si>
  <si>
    <t xml:space="preserve">Medibank remains a regulated, slow-compounding cash payer. Revenue grows ~5.5% in FY27 (premium rate, small volume gain, Revenue Mix drag, Health +25%) and decays to 3% by FY36. Resident insurance margin is held flat at FY26 levels as management guides, with the FY26 COVID utilisation benefit unwinding offset by the 4.41% April-2026 premium increase; Medibank Health scales toward its FY30 $200m segment profit target and lifts group margin ~0.15pp; cybercrime costs fade from $35m to under $20m and then out. About 89% of NPAT is distributable once the Health build-out is funded; the ~$3.4bn regulated portfolio and its ~$180m investment income stay inside the business. A probability-weighted $150m post-tax cost for the OAIC penalty and class action is deducted in the bridge.</t>
  </si>
  <si>
    <t xml:space="preserve">Scenario narrative: bull</t>
  </si>
  <si>
    <t xml:space="preserve">The health-company pivot works: Health exceeds $200m of segment profit by FY30, primary care/virtual care lower claims cost, market share recovers above 26.8%, the non-resident book rebounds on visa settings, and the expense ratio improves. Group margin expands ~1pp to 12.4% and growth holds ~5-6% for four years with 3.5% terminal growth. Cyber litigation settles within the bridge amount.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</si>
  <si>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</si>
  <si>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</si>
  <si>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</si>
  <si>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</si>
  <si>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</si>
  <si>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</si>
  <si>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</si>
  <si>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</si>
  <si>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</si>
  <si>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</si>
  <si>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</si>
  <si>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</si>
  <si>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</si>
  <si>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</si>
  <si>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</si>
  <si>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</si>
  <si>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</si>
  <si>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</si>
  <si>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</si>
  <si>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</si>
  <si>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</si>
  <si>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</si>
  <si>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</si>
  <si>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</si>
  <si>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</si>
  <si>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</si>
  <si>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</si>
  <si>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InsuranceServiceResult</t>
  </si>
  <si>
    <t xml:space="preserve">NetEarnedPremium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</si>
  <si>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</si>
  <si>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</si>
  <si>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</si>
  <si>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</si>
  <si>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</si>
  <si>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</si>
  <si>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</si>
  <si>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</si>
  <si>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</si>
  <si>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</si>
  <si>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</si>
  <si>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</si>
  <si>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</si>
  <si>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</si>
  <si>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</si>
  <si>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</si>
  <si>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</si>
  <si>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</si>
  <si>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</si>
  <si>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</si>
  <si>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</si>
  <si>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</si>
  <si>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</si>
  <si>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</si>
  <si>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</si>
  <si>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</si>
  <si>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</si>
  <si>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</si>
  <si>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</si>
  <si>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</si>
  <si>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</si>
  <si>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</si>
  <si>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</si>
  <si>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</si>
  <si>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</si>
  <si>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</si>
  <si>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</si>
  <si>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</si>
  <si>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</si>
  <si>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</si>
  <si>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</si>
  <si>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</si>
  <si>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</si>
  <si>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</si>
  <si>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</si>
  <si>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</si>
  <si>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</si>
  <si>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</si>
  <si>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</si>
  <si>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MPL.AX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</si>
  <si>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</si>
  <si>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</si>
  <si>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</si>
  <si>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</si>
  <si>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</si>
  <si>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</si>
  <si>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</si>
  <si>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</si>
  <si>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</si>
  <si>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</si>
  <si>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</si>
  <si>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</si>
  <si>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</si>
  <si>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</si>
  <si>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</si>
  <si>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</si>
  <si>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</si>
  <si>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</si>
  <si>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</si>
  <si>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</si>
  <si>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</si>
  <si>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</si>
  <si>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</si>
  <si>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</si>
  <si>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</si>
  <si>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</si>
  <si>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</si>
  <si>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</si>
  <si>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</si>
  <si>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</si>
  <si>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MPL.AX owner-FCF component DCF: base case (millions, AUD)</t>
  </si>
  <si>
    <t xml:space="preserve">MPL.AX owner-FCF component DCF: bull case (millions, AUD)</t>
  </si>
  <si>
    <t xml:space="preserve">MPL.AX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</si>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</sst>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4.56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6576</v>
      </c>
      <c r="F2" s="0" t="n">
        <v>302.8</v>
      </c>
      <c r="G2" s="0" t="n">
        <v>4.6</v>
      </c>
      <c r="I2" s="0" t="n">
        <v>285.3</v>
      </c>
      <c r="J2" s="0" t="n">
        <v>4.3</v>
      </c>
      <c r="K2" s="0" t="n">
        <v>0.104</v>
      </c>
      <c r="L2" s="0" t="n">
        <v>377.1</v>
      </c>
      <c r="M2" s="0" t="n">
        <v>52.9</v>
      </c>
      <c r="N2" s="0" t="n">
        <v>324.2</v>
      </c>
      <c r="O2" s="0" t="n">
        <v>1442</v>
      </c>
      <c r="P2" s="0" t="n">
        <v>3140.9</v>
      </c>
      <c r="Q2" s="0" t="n">
        <v>1698.9</v>
      </c>
      <c r="R2" s="0" t="n">
        <v>0</v>
      </c>
      <c r="S2" s="0" t="n">
        <v>408.7</v>
      </c>
      <c r="T2" s="0" t="n">
        <v>2754</v>
      </c>
      <c r="U2" s="0" t="n">
        <v>1.8</v>
      </c>
      <c r="AA2" s="0" t="s">
        <v>17</v>
      </c>
      <c r="AB2" s="0" t="s">
        <v>14</v>
      </c>
      <c r="AD2" s="0" t="n">
        <v>5934.8</v>
      </c>
    </row>
    <row r="3" customFormat="false" ht="15" hidden="false" customHeight="false" outlineLevel="0" collapsed="false">
      <c r="A3" s="0" t="s">
        <v>66</v>
      </c>
      <c r="B3" s="0" t="n">
        <v>6741.8</v>
      </c>
      <c r="F3" s="0" t="n">
        <v>487</v>
      </c>
      <c r="G3" s="0" t="n">
        <v>7.2</v>
      </c>
      <c r="I3" s="0" t="n">
        <v>417.6</v>
      </c>
      <c r="J3" s="0" t="n">
        <v>6.2</v>
      </c>
      <c r="K3" s="0" t="n">
        <v>0.152</v>
      </c>
      <c r="L3" s="0" t="n">
        <v>352.3</v>
      </c>
      <c r="M3" s="0" t="n">
        <v>78.2</v>
      </c>
      <c r="N3" s="0" t="n">
        <v>274.1</v>
      </c>
      <c r="O3" s="0" t="n">
        <v>1578.7</v>
      </c>
      <c r="P3" s="0" t="n">
        <v>3266.2</v>
      </c>
      <c r="Q3" s="0" t="n">
        <v>1687.5</v>
      </c>
      <c r="R3" s="0" t="n">
        <v>0</v>
      </c>
      <c r="S3" s="0" t="n">
        <v>438.7</v>
      </c>
      <c r="T3" s="0" t="n">
        <v>2754</v>
      </c>
      <c r="U3" s="0" t="n">
        <v>3.6</v>
      </c>
      <c r="AA3" s="0" t="s">
        <v>17</v>
      </c>
      <c r="AB3" s="0" t="s">
        <v>14</v>
      </c>
      <c r="AD3" s="0" t="n">
        <v>6172.5</v>
      </c>
    </row>
    <row r="4" customFormat="false" ht="15" hidden="false" customHeight="false" outlineLevel="0" collapsed="false">
      <c r="A4" s="0" t="s">
        <v>67</v>
      </c>
      <c r="B4" s="0" t="n">
        <v>6797</v>
      </c>
      <c r="F4" s="0" t="n">
        <v>489.4</v>
      </c>
      <c r="G4" s="0" t="n">
        <v>7.2</v>
      </c>
      <c r="I4" s="0" t="n">
        <v>449.5</v>
      </c>
      <c r="J4" s="0" t="n">
        <v>6.6</v>
      </c>
      <c r="K4" s="0" t="n">
        <v>0.163</v>
      </c>
      <c r="L4" s="0" t="n">
        <v>393.4</v>
      </c>
      <c r="M4" s="0" t="n">
        <v>48.8</v>
      </c>
      <c r="N4" s="0" t="n">
        <v>344.6</v>
      </c>
      <c r="O4" s="0" t="n">
        <v>1719.8</v>
      </c>
      <c r="P4" s="0" t="n">
        <v>3462.5</v>
      </c>
      <c r="Q4" s="0" t="n">
        <v>1742.7</v>
      </c>
      <c r="R4" s="0" t="n">
        <v>0</v>
      </c>
      <c r="S4" s="0" t="n">
        <v>594.6</v>
      </c>
      <c r="T4" s="0" t="n">
        <v>2754</v>
      </c>
      <c r="U4" s="0" t="n">
        <v>2.3</v>
      </c>
      <c r="AA4" s="0" t="s">
        <v>17</v>
      </c>
      <c r="AB4" s="0" t="s">
        <v>14</v>
      </c>
      <c r="AD4" s="0" t="n">
        <v>6244.9</v>
      </c>
    </row>
    <row r="5" customFormat="false" ht="15" hidden="false" customHeight="false" outlineLevel="0" collapsed="false">
      <c r="A5" s="0" t="s">
        <v>68</v>
      </c>
      <c r="B5" s="0" t="n">
        <v>6906.4</v>
      </c>
      <c r="F5" s="0" t="n">
        <v>532.7</v>
      </c>
      <c r="G5" s="0" t="n">
        <v>7.7</v>
      </c>
      <c r="I5" s="0" t="n">
        <v>445.1</v>
      </c>
      <c r="J5" s="0" t="n">
        <v>6.4</v>
      </c>
      <c r="K5" s="0" t="n">
        <v>0.162</v>
      </c>
      <c r="L5" s="0" t="n">
        <v>408.3</v>
      </c>
      <c r="M5" s="0" t="n">
        <v>43.8</v>
      </c>
      <c r="N5" s="0" t="n">
        <v>364.5</v>
      </c>
      <c r="O5" s="0" t="n">
        <v>1829.2</v>
      </c>
      <c r="P5" s="0" t="n">
        <v>3544.9</v>
      </c>
      <c r="Q5" s="0" t="n">
        <v>1715.7</v>
      </c>
      <c r="R5" s="0" t="n">
        <v>0</v>
      </c>
      <c r="S5" s="0" t="n">
        <v>470.1</v>
      </c>
      <c r="T5" s="0" t="n">
        <v>2754</v>
      </c>
      <c r="U5" s="0" t="n">
        <v>3.5</v>
      </c>
      <c r="AA5" s="0" t="s">
        <v>17</v>
      </c>
      <c r="AB5" s="0" t="s">
        <v>14</v>
      </c>
      <c r="AD5" s="0" t="n">
        <v>6319.5</v>
      </c>
    </row>
    <row r="6" customFormat="false" ht="15" hidden="false" customHeight="false" outlineLevel="0" collapsed="false">
      <c r="A6" s="0" t="s">
        <v>69</v>
      </c>
      <c r="B6" s="0" t="n">
        <v>6655.8</v>
      </c>
      <c r="F6" s="0" t="n">
        <v>513.5</v>
      </c>
      <c r="G6" s="0" t="n">
        <v>7.7</v>
      </c>
      <c r="I6" s="0" t="n">
        <v>458.7</v>
      </c>
      <c r="J6" s="0" t="n">
        <v>6.9</v>
      </c>
      <c r="K6" s="0" t="n">
        <v>0.167</v>
      </c>
      <c r="L6" s="0" t="n">
        <v>416.1</v>
      </c>
      <c r="M6" s="0" t="n">
        <v>49.5</v>
      </c>
      <c r="N6" s="0" t="n">
        <v>366.6</v>
      </c>
      <c r="O6" s="0" t="n">
        <v>1935.4</v>
      </c>
      <c r="P6" s="0" t="n">
        <v>3630.8</v>
      </c>
      <c r="Q6" s="0" t="n">
        <v>1695.4</v>
      </c>
      <c r="R6" s="0" t="n">
        <v>0</v>
      </c>
      <c r="S6" s="0" t="n">
        <v>656.5</v>
      </c>
      <c r="T6" s="0" t="n">
        <v>2754</v>
      </c>
      <c r="U6" s="0" t="n">
        <v>5.8</v>
      </c>
      <c r="AA6" s="0" t="s">
        <v>17</v>
      </c>
      <c r="AB6" s="0" t="s">
        <v>14</v>
      </c>
      <c r="AD6" s="0" t="n">
        <v>6470.7</v>
      </c>
    </row>
    <row r="7" customFormat="false" ht="15" hidden="false" customHeight="false" outlineLevel="0" collapsed="false">
      <c r="A7" s="0" t="s">
        <v>70</v>
      </c>
      <c r="B7" s="0" t="n">
        <v>6769.6</v>
      </c>
      <c r="F7" s="0" t="n">
        <v>447.8</v>
      </c>
      <c r="G7" s="0" t="n">
        <v>6.6</v>
      </c>
      <c r="I7" s="0" t="n">
        <v>315</v>
      </c>
      <c r="J7" s="0" t="n">
        <v>4.7</v>
      </c>
      <c r="K7" s="0" t="n">
        <v>0.114</v>
      </c>
      <c r="L7" s="0" t="n">
        <v>572.4</v>
      </c>
      <c r="M7" s="0" t="n">
        <v>29.3</v>
      </c>
      <c r="N7" s="0" t="n">
        <v>543.1</v>
      </c>
      <c r="O7" s="0" t="n">
        <v>1813.9</v>
      </c>
      <c r="P7" s="0" t="n">
        <v>3763.8</v>
      </c>
      <c r="Q7" s="0" t="n">
        <v>1949.9</v>
      </c>
      <c r="R7" s="0" t="n">
        <v>0</v>
      </c>
      <c r="S7" s="0" t="n">
        <v>871.4</v>
      </c>
      <c r="T7" s="0" t="n">
        <v>2754</v>
      </c>
      <c r="U7" s="0" t="n">
        <v>1.2</v>
      </c>
      <c r="AA7" s="0" t="s">
        <v>17</v>
      </c>
      <c r="AB7" s="0" t="s">
        <v>14</v>
      </c>
      <c r="AD7" s="0" t="n">
        <v>6554.7</v>
      </c>
    </row>
    <row r="8" customFormat="false" ht="15" hidden="false" customHeight="false" outlineLevel="0" collapsed="false">
      <c r="A8" s="0" t="s">
        <v>71</v>
      </c>
      <c r="B8" s="0" t="n">
        <v>6910.4</v>
      </c>
      <c r="F8" s="0" t="n">
        <v>512.3</v>
      </c>
      <c r="G8" s="0" t="n">
        <v>7.4</v>
      </c>
      <c r="I8" s="0" t="n">
        <v>441.2</v>
      </c>
      <c r="J8" s="0" t="n">
        <v>6.4</v>
      </c>
      <c r="K8" s="0" t="n">
        <v>0.16</v>
      </c>
      <c r="L8" s="0" t="n">
        <v>482.2</v>
      </c>
      <c r="M8" s="0" t="n">
        <v>35.1</v>
      </c>
      <c r="N8" s="0" t="n">
        <v>447.1</v>
      </c>
      <c r="O8" s="0" t="n">
        <v>1906.1</v>
      </c>
      <c r="P8" s="0" t="n">
        <v>3923.8</v>
      </c>
      <c r="Q8" s="0" t="n">
        <v>2017.7</v>
      </c>
      <c r="R8" s="0" t="n">
        <v>0</v>
      </c>
      <c r="S8" s="0" t="n">
        <v>671.7</v>
      </c>
      <c r="T8" s="0" t="n">
        <v>2754</v>
      </c>
      <c r="U8" s="0" t="n">
        <v>5.2</v>
      </c>
      <c r="AA8" s="0" t="s">
        <v>17</v>
      </c>
      <c r="AB8" s="0" t="s">
        <v>14</v>
      </c>
      <c r="AD8" s="0" t="n">
        <v>6691.1</v>
      </c>
    </row>
    <row r="9" customFormat="false" ht="15" hidden="false" customHeight="false" outlineLevel="0" collapsed="false">
      <c r="A9" s="0" t="s">
        <v>72</v>
      </c>
      <c r="B9" s="0" t="n">
        <v>7128.5</v>
      </c>
      <c r="F9" s="0" t="n">
        <v>584.8</v>
      </c>
      <c r="G9" s="0" t="n">
        <v>8.2</v>
      </c>
      <c r="I9" s="0" t="n">
        <v>393.9</v>
      </c>
      <c r="J9" s="0" t="n">
        <v>5.5</v>
      </c>
      <c r="K9" s="0" t="n">
        <v>0.143</v>
      </c>
      <c r="L9" s="0" t="n">
        <v>948.5</v>
      </c>
      <c r="M9" s="0" t="n">
        <v>35.1</v>
      </c>
      <c r="N9" s="0" t="n">
        <v>913.4</v>
      </c>
      <c r="O9" s="0" t="n">
        <v>1945.6</v>
      </c>
      <c r="P9" s="0" t="n">
        <v>4552.8</v>
      </c>
      <c r="Q9" s="0" t="n">
        <v>2607.2</v>
      </c>
      <c r="R9" s="0" t="n">
        <v>0</v>
      </c>
      <c r="S9" s="0" t="n">
        <v>596.7</v>
      </c>
      <c r="T9" s="0" t="n">
        <v>2754</v>
      </c>
      <c r="U9" s="0" t="n">
        <v>5.9</v>
      </c>
      <c r="AA9" s="0" t="s">
        <v>17</v>
      </c>
      <c r="AB9" s="0" t="s">
        <v>14</v>
      </c>
      <c r="AD9" s="0" t="n">
        <v>6881.2</v>
      </c>
    </row>
    <row r="10" customFormat="false" ht="15" hidden="false" customHeight="false" outlineLevel="0" collapsed="false">
      <c r="A10" s="0" t="s">
        <v>73</v>
      </c>
      <c r="B10" s="0" t="n">
        <v>7355.3</v>
      </c>
      <c r="F10" s="0" t="n">
        <v>588.5</v>
      </c>
      <c r="G10" s="0" t="n">
        <v>8</v>
      </c>
      <c r="I10" s="0" t="n">
        <v>511.1</v>
      </c>
      <c r="J10" s="0" t="n">
        <v>6.9</v>
      </c>
      <c r="K10" s="0" t="n">
        <v>0.186</v>
      </c>
      <c r="L10" s="0" t="n">
        <v>184.5</v>
      </c>
      <c r="M10" s="0" t="n">
        <v>41.9</v>
      </c>
      <c r="N10" s="0" t="n">
        <v>142.6</v>
      </c>
      <c r="O10" s="0" t="n">
        <v>2084.4</v>
      </c>
      <c r="P10" s="0" t="n">
        <v>4388.8</v>
      </c>
      <c r="Q10" s="0" t="n">
        <v>2304.4</v>
      </c>
      <c r="R10" s="0" t="n">
        <v>0</v>
      </c>
      <c r="S10" s="0" t="n">
        <v>420.6</v>
      </c>
      <c r="T10" s="0" t="n">
        <v>2754</v>
      </c>
      <c r="U10" s="0" t="n">
        <v>6.7</v>
      </c>
      <c r="AA10" s="0" t="s">
        <v>17</v>
      </c>
      <c r="AB10" s="0" t="s">
        <v>14</v>
      </c>
      <c r="AD10" s="0" t="n">
        <v>7182</v>
      </c>
    </row>
    <row r="11" customFormat="false" ht="15" hidden="false" customHeight="false" outlineLevel="0" collapsed="false">
      <c r="A11" s="0" t="s">
        <v>74</v>
      </c>
      <c r="B11" s="0" t="n">
        <v>7845.9</v>
      </c>
      <c r="F11" s="0" t="n">
        <v>529.5</v>
      </c>
      <c r="G11" s="0" t="n">
        <v>6.7</v>
      </c>
      <c r="I11" s="0" t="n">
        <v>492.5</v>
      </c>
      <c r="J11" s="0" t="n">
        <v>6.3</v>
      </c>
      <c r="K11" s="0" t="n">
        <v>0.179</v>
      </c>
      <c r="L11" s="0" t="n">
        <v>868.5</v>
      </c>
      <c r="M11" s="0" t="n">
        <v>57.6</v>
      </c>
      <c r="N11" s="0" t="n">
        <v>810.9</v>
      </c>
      <c r="O11" s="0" t="n">
        <v>2305.7</v>
      </c>
      <c r="P11" s="0" t="n">
        <v>4685.4</v>
      </c>
      <c r="Q11" s="0" t="n">
        <v>2380.3</v>
      </c>
      <c r="R11" s="0" t="n">
        <v>34.9</v>
      </c>
      <c r="S11" s="0" t="n">
        <v>691</v>
      </c>
      <c r="T11" s="0" t="n">
        <v>2754</v>
      </c>
      <c r="U11" s="0" t="n">
        <v>3.3</v>
      </c>
      <c r="AA11" s="0" t="s">
        <v>17</v>
      </c>
      <c r="AB11" s="0" t="s">
        <v>14</v>
      </c>
      <c r="AC11" s="0" t="n">
        <v>714.3</v>
      </c>
      <c r="AD11" s="0" t="n">
        <v>7623.1</v>
      </c>
    </row>
    <row r="12" customFormat="false" ht="15" hidden="false" customHeight="false" outlineLevel="0" collapsed="false">
      <c r="A12" s="0" t="s">
        <v>75</v>
      </c>
      <c r="B12" s="0" t="n">
        <v>8346.4</v>
      </c>
      <c r="F12" s="0" t="n">
        <v>521</v>
      </c>
      <c r="G12" s="0" t="n">
        <v>6.2</v>
      </c>
      <c r="I12" s="0" t="n">
        <v>500.8</v>
      </c>
      <c r="J12" s="0" t="n">
        <v>6</v>
      </c>
      <c r="K12" s="0" t="n">
        <v>0.182</v>
      </c>
      <c r="L12" s="0" t="n">
        <v>380.9</v>
      </c>
      <c r="M12" s="0" t="n">
        <v>69.8</v>
      </c>
      <c r="N12" s="0" t="n">
        <v>311.1</v>
      </c>
      <c r="O12" s="0" t="n">
        <v>2335.9</v>
      </c>
      <c r="P12" s="0" t="n">
        <v>4700.3</v>
      </c>
      <c r="Q12" s="0" t="n">
        <v>2364.2</v>
      </c>
      <c r="R12" s="0" t="n">
        <v>35</v>
      </c>
      <c r="S12" s="0" t="n">
        <v>648.6</v>
      </c>
      <c r="T12" s="0" t="n">
        <v>2754</v>
      </c>
      <c r="U12" s="0" t="n">
        <v>8.5</v>
      </c>
      <c r="AA12" s="0" t="s">
        <v>17</v>
      </c>
      <c r="AB12" s="0" t="s">
        <v>14</v>
      </c>
      <c r="AC12" s="0" t="n">
        <v>700.4</v>
      </c>
      <c r="AD12" s="0" t="n">
        <v>8011.7</v>
      </c>
    </row>
    <row r="13" customFormat="false" ht="15" hidden="false" customHeight="false" outlineLevel="0" collapsed="false">
      <c r="A13" s="0" t="s">
        <v>76</v>
      </c>
      <c r="B13" s="0" t="n">
        <v>9115.2</v>
      </c>
      <c r="F13" s="0" t="n">
        <v>749</v>
      </c>
      <c r="G13" s="0" t="n">
        <v>8.2</v>
      </c>
      <c r="I13" s="0" t="n">
        <v>638.7</v>
      </c>
      <c r="J13" s="0" t="n">
        <v>7</v>
      </c>
      <c r="K13" s="0" t="n">
        <v>0.232</v>
      </c>
      <c r="L13" s="0" t="n">
        <v>511.6</v>
      </c>
      <c r="M13" s="0" t="n">
        <v>91.1</v>
      </c>
      <c r="N13" s="0" t="n">
        <v>420.5</v>
      </c>
      <c r="O13" s="0" t="n">
        <v>2430.7</v>
      </c>
      <c r="P13" s="0" t="n">
        <v>4752.9</v>
      </c>
      <c r="Q13" s="0" t="n">
        <v>2342.2</v>
      </c>
      <c r="R13" s="0" t="n">
        <v>35.9</v>
      </c>
      <c r="S13" s="0" t="n">
        <v>570.4</v>
      </c>
      <c r="T13" s="0" t="n">
        <v>2754</v>
      </c>
      <c r="U13" s="0" t="n">
        <v>11.4</v>
      </c>
      <c r="AA13" s="0" t="s">
        <v>17</v>
      </c>
      <c r="AB13" s="0" t="s">
        <v>14</v>
      </c>
      <c r="AC13" s="0" t="n">
        <v>927.6</v>
      </c>
      <c r="AD13" s="0" t="n">
        <v>8652.2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4.56</v>
      </c>
    </row>
    <row r="3" customFormat="false" ht="15" hidden="false" customHeight="false" outlineLevel="0" collapsed="false">
      <c r="A3" s="0" t="s">
        <v>80</v>
      </c>
      <c r="B3" s="3" t="n">
        <v>2754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-150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9115.2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4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2.8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101</v>
      </c>
      <c r="C14" s="3" t="n">
        <v>10.6</v>
      </c>
      <c r="D14" s="3" t="n">
        <v>10.3</v>
      </c>
      <c r="E14" s="3" t="n">
        <v>10.3</v>
      </c>
      <c r="F14" s="3" t="n">
        <v>10.4</v>
      </c>
      <c r="G14" s="3" t="n">
        <v>10.5</v>
      </c>
      <c r="H14" s="3" t="n">
        <v>10.6</v>
      </c>
      <c r="I14" s="3" t="n">
        <v>10.7</v>
      </c>
      <c r="J14" s="3" t="n">
        <v>10.8</v>
      </c>
      <c r="K14" s="3" t="n">
        <v>10.8</v>
      </c>
      <c r="L14" s="3" t="n">
        <v>10.8</v>
      </c>
    </row>
    <row r="15" customFormat="false" ht="15" hidden="false" customHeight="false" outlineLevel="0" collapsed="false">
      <c r="A15" s="0" t="s">
        <v>102</v>
      </c>
      <c r="C15" s="3" t="n">
        <v>0.125</v>
      </c>
      <c r="D15" s="3" t="n">
        <v>0.125</v>
      </c>
      <c r="E15" s="3" t="n">
        <v>0.125</v>
      </c>
      <c r="F15" s="3" t="n">
        <v>0.125</v>
      </c>
      <c r="G15" s="3" t="n">
        <v>0.125</v>
      </c>
      <c r="H15" s="3" t="n">
        <v>0.125</v>
      </c>
      <c r="I15" s="3" t="n">
        <v>0.125</v>
      </c>
      <c r="J15" s="3" t="n">
        <v>0.125</v>
      </c>
      <c r="K15" s="3" t="n">
        <v>0.125</v>
      </c>
      <c r="L15" s="3" t="n">
        <v>0.125</v>
      </c>
    </row>
    <row r="16" customFormat="false" ht="15" hidden="false" customHeight="false" outlineLevel="0" collapsed="false">
      <c r="A16" s="0" t="s">
        <v>103</v>
      </c>
      <c r="C16" s="3" t="n">
        <v>0.59</v>
      </c>
      <c r="D16" s="3" t="n">
        <v>0.59</v>
      </c>
      <c r="E16" s="3" t="n">
        <v>0.59</v>
      </c>
      <c r="F16" s="3" t="n">
        <v>0.59</v>
      </c>
      <c r="G16" s="3" t="n">
        <v>0.59</v>
      </c>
      <c r="H16" s="3" t="n">
        <v>0.59</v>
      </c>
      <c r="I16" s="3" t="n">
        <v>0.59</v>
      </c>
      <c r="J16" s="3" t="n">
        <v>0.59</v>
      </c>
      <c r="K16" s="3" t="n">
        <v>0.59</v>
      </c>
      <c r="L16" s="3" t="n">
        <v>0.59</v>
      </c>
    </row>
    <row r="17" customFormat="false" ht="15" hidden="false" customHeight="false" outlineLevel="0" collapsed="false">
      <c r="A17" s="0" t="s">
        <v>104</v>
      </c>
      <c r="C17" s="3" t="n">
        <v>0.72</v>
      </c>
      <c r="D17" s="3" t="n">
        <v>0.74</v>
      </c>
      <c r="E17" s="3" t="n">
        <v>0.76</v>
      </c>
      <c r="F17" s="3" t="n">
        <v>0.78</v>
      </c>
      <c r="G17" s="3" t="n">
        <v>0.8</v>
      </c>
      <c r="H17" s="3" t="n">
        <v>0.8</v>
      </c>
      <c r="I17" s="3" t="n">
        <v>0.8</v>
      </c>
      <c r="J17" s="3" t="n">
        <v>0.8</v>
      </c>
      <c r="K17" s="3" t="n">
        <v>0.8</v>
      </c>
      <c r="L17" s="3" t="n">
        <v>0.8</v>
      </c>
    </row>
    <row r="18" customFormat="false" ht="15" hidden="false" customHeight="false" outlineLevel="0" collapsed="false">
      <c r="A18" s="0" t="s">
        <v>105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1.8</v>
      </c>
      <c r="H18" s="3" t="n">
        <v>1.7</v>
      </c>
      <c r="I18" s="3" t="n">
        <v>1.7</v>
      </c>
      <c r="J18" s="3" t="n">
        <v>1.7</v>
      </c>
      <c r="K18" s="3" t="n">
        <v>1.7</v>
      </c>
      <c r="L18" s="3" t="n">
        <v>1.7</v>
      </c>
    </row>
    <row r="19" customFormat="false" ht="15" hidden="false" customHeight="false" outlineLevel="0" collapsed="false">
      <c r="A19" s="0" t="s">
        <v>106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107</v>
      </c>
      <c r="B20" s="3" t="n">
        <v>8.5</v>
      </c>
    </row>
    <row r="21" customFormat="false" ht="15" hidden="false" customHeight="false" outlineLevel="0" collapsed="false">
      <c r="A21" s="0" t="s">
        <v>108</v>
      </c>
      <c r="B21" s="3" t="n">
        <v>2.5</v>
      </c>
    </row>
    <row r="22" customFormat="false" ht="15" hidden="false" customHeight="false" outlineLevel="0" collapsed="false">
      <c r="A22" s="0" t="s">
        <v>109</v>
      </c>
      <c r="B22" s="3" t="n">
        <v>18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5.5</v>
      </c>
      <c r="D27" s="3" t="n">
        <v>5</v>
      </c>
      <c r="E27" s="3" t="n">
        <v>4.8</v>
      </c>
      <c r="F27" s="3" t="n">
        <v>4.5</v>
      </c>
      <c r="G27" s="3" t="n">
        <v>4.2</v>
      </c>
      <c r="H27" s="3" t="n">
        <v>4</v>
      </c>
      <c r="I27" s="3" t="n">
        <v>3.8</v>
      </c>
      <c r="J27" s="3" t="n">
        <v>3.5</v>
      </c>
      <c r="K27" s="3" t="n">
        <v>3.2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11.45</v>
      </c>
      <c r="D28" s="3" t="n">
        <v>11.5</v>
      </c>
      <c r="E28" s="3" t="n">
        <v>11.55</v>
      </c>
      <c r="F28" s="3" t="n">
        <v>11.6</v>
      </c>
      <c r="G28" s="3" t="n">
        <v>11.6</v>
      </c>
      <c r="H28" s="3" t="n">
        <v>11.6</v>
      </c>
      <c r="I28" s="3" t="n">
        <v>11.6</v>
      </c>
      <c r="J28" s="3" t="n">
        <v>11.6</v>
      </c>
      <c r="K28" s="3" t="n">
        <v>11.6</v>
      </c>
      <c r="L28" s="3" t="n">
        <v>11.6</v>
      </c>
    </row>
    <row r="29" customFormat="false" ht="15" hidden="false" customHeight="false" outlineLevel="0" collapsed="false">
      <c r="A29" s="0" t="s">
        <v>102</v>
      </c>
      <c r="C29" s="3" t="n">
        <v>0.125</v>
      </c>
      <c r="D29" s="3" t="n">
        <v>0.125</v>
      </c>
      <c r="E29" s="3" t="n">
        <v>0.125</v>
      </c>
      <c r="F29" s="3" t="n">
        <v>0.125</v>
      </c>
      <c r="G29" s="3" t="n">
        <v>0.125</v>
      </c>
      <c r="H29" s="3" t="n">
        <v>0.125</v>
      </c>
      <c r="I29" s="3" t="n">
        <v>0.125</v>
      </c>
      <c r="J29" s="3" t="n">
        <v>0.125</v>
      </c>
      <c r="K29" s="3" t="n">
        <v>0.125</v>
      </c>
      <c r="L29" s="3" t="n">
        <v>0.125</v>
      </c>
    </row>
    <row r="30" customFormat="false" ht="15" hidden="false" customHeight="false" outlineLevel="0" collapsed="false">
      <c r="A30" s="0" t="s">
        <v>103</v>
      </c>
      <c r="C30" s="3" t="n">
        <v>0.59</v>
      </c>
      <c r="D30" s="3" t="n">
        <v>0.59</v>
      </c>
      <c r="E30" s="3" t="n">
        <v>0.59</v>
      </c>
      <c r="F30" s="3" t="n">
        <v>0.59</v>
      </c>
      <c r="G30" s="3" t="n">
        <v>0.59</v>
      </c>
      <c r="H30" s="3" t="n">
        <v>0.59</v>
      </c>
      <c r="I30" s="3" t="n">
        <v>0.59</v>
      </c>
      <c r="J30" s="3" t="n">
        <v>0.59</v>
      </c>
      <c r="K30" s="3" t="n">
        <v>0.59</v>
      </c>
      <c r="L30" s="3" t="n">
        <v>0.59</v>
      </c>
    </row>
    <row r="31" customFormat="false" ht="15" hidden="false" customHeight="false" outlineLevel="0" collapsed="false">
      <c r="A31" s="0" t="s">
        <v>104</v>
      </c>
      <c r="C31" s="3" t="n">
        <v>0.72</v>
      </c>
      <c r="D31" s="3" t="n">
        <v>0.74</v>
      </c>
      <c r="E31" s="3" t="n">
        <v>0.76</v>
      </c>
      <c r="F31" s="3" t="n">
        <v>0.78</v>
      </c>
      <c r="G31" s="3" t="n">
        <v>0.8</v>
      </c>
      <c r="H31" s="3" t="n">
        <v>0.8</v>
      </c>
      <c r="I31" s="3" t="n">
        <v>0.8</v>
      </c>
      <c r="J31" s="3" t="n">
        <v>0.8</v>
      </c>
      <c r="K31" s="3" t="n">
        <v>0.8</v>
      </c>
      <c r="L31" s="3" t="n">
        <v>0.8</v>
      </c>
    </row>
    <row r="32" customFormat="false" ht="15" hidden="false" customHeight="false" outlineLevel="0" collapsed="false">
      <c r="A32" s="0" t="s">
        <v>105</v>
      </c>
      <c r="C32" s="3" t="n">
        <v>2</v>
      </c>
      <c r="D32" s="3" t="n">
        <v>2</v>
      </c>
      <c r="E32" s="3" t="n">
        <v>2</v>
      </c>
      <c r="F32" s="3" t="n">
        <v>2</v>
      </c>
      <c r="G32" s="3" t="n">
        <v>1.7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106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107</v>
      </c>
      <c r="B34" s="3" t="n">
        <v>8.5</v>
      </c>
    </row>
    <row r="35" customFormat="false" ht="15" hidden="false" customHeight="false" outlineLevel="0" collapsed="false">
      <c r="A35" s="0" t="s">
        <v>108</v>
      </c>
      <c r="B35" s="3" t="n">
        <v>3</v>
      </c>
    </row>
    <row r="36" customFormat="false" ht="15" hidden="false" customHeight="false" outlineLevel="0" collapsed="false">
      <c r="A36" s="0" t="s">
        <v>109</v>
      </c>
      <c r="B36" s="3" t="n">
        <v>18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6.5</v>
      </c>
      <c r="D41" s="3" t="n">
        <v>6</v>
      </c>
      <c r="E41" s="3" t="n">
        <v>5.5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3.8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101</v>
      </c>
      <c r="C42" s="3" t="n">
        <v>11.6</v>
      </c>
      <c r="D42" s="3" t="n">
        <v>11.8</v>
      </c>
      <c r="E42" s="3" t="n">
        <v>12</v>
      </c>
      <c r="F42" s="3" t="n">
        <v>12.2</v>
      </c>
      <c r="G42" s="3" t="n">
        <v>12.4</v>
      </c>
      <c r="H42" s="3" t="n">
        <v>12.4</v>
      </c>
      <c r="I42" s="3" t="n">
        <v>12.4</v>
      </c>
      <c r="J42" s="3" t="n">
        <v>12.4</v>
      </c>
      <c r="K42" s="3" t="n">
        <v>12.4</v>
      </c>
      <c r="L42" s="3" t="n">
        <v>12.4</v>
      </c>
    </row>
    <row r="43" customFormat="false" ht="15" hidden="false" customHeight="false" outlineLevel="0" collapsed="false">
      <c r="A43" s="0" t="s">
        <v>102</v>
      </c>
      <c r="C43" s="3" t="n">
        <v>0.125</v>
      </c>
      <c r="D43" s="3" t="n">
        <v>0.125</v>
      </c>
      <c r="E43" s="3" t="n">
        <v>0.125</v>
      </c>
      <c r="F43" s="3" t="n">
        <v>0.125</v>
      </c>
      <c r="G43" s="3" t="n">
        <v>0.125</v>
      </c>
      <c r="H43" s="3" t="n">
        <v>0.125</v>
      </c>
      <c r="I43" s="3" t="n">
        <v>0.125</v>
      </c>
      <c r="J43" s="3" t="n">
        <v>0.125</v>
      </c>
      <c r="K43" s="3" t="n">
        <v>0.125</v>
      </c>
      <c r="L43" s="3" t="n">
        <v>0.125</v>
      </c>
    </row>
    <row r="44" customFormat="false" ht="15" hidden="false" customHeight="false" outlineLevel="0" collapsed="false">
      <c r="A44" s="0" t="s">
        <v>103</v>
      </c>
      <c r="C44" s="3" t="n">
        <v>0.59</v>
      </c>
      <c r="D44" s="3" t="n">
        <v>0.59</v>
      </c>
      <c r="E44" s="3" t="n">
        <v>0.59</v>
      </c>
      <c r="F44" s="3" t="n">
        <v>0.59</v>
      </c>
      <c r="G44" s="3" t="n">
        <v>0.59</v>
      </c>
      <c r="H44" s="3" t="n">
        <v>0.59</v>
      </c>
      <c r="I44" s="3" t="n">
        <v>0.59</v>
      </c>
      <c r="J44" s="3" t="n">
        <v>0.59</v>
      </c>
      <c r="K44" s="3" t="n">
        <v>0.59</v>
      </c>
      <c r="L44" s="3" t="n">
        <v>0.59</v>
      </c>
    </row>
    <row r="45" customFormat="false" ht="15" hidden="false" customHeight="false" outlineLevel="0" collapsed="false">
      <c r="A45" s="0" t="s">
        <v>104</v>
      </c>
      <c r="C45" s="3" t="n">
        <v>0.72</v>
      </c>
      <c r="D45" s="3" t="n">
        <v>0.74</v>
      </c>
      <c r="E45" s="3" t="n">
        <v>0.76</v>
      </c>
      <c r="F45" s="3" t="n">
        <v>0.78</v>
      </c>
      <c r="G45" s="3" t="n">
        <v>0.8</v>
      </c>
      <c r="H45" s="3" t="n">
        <v>0.8</v>
      </c>
      <c r="I45" s="3" t="n">
        <v>0.8</v>
      </c>
      <c r="J45" s="3" t="n">
        <v>0.8</v>
      </c>
      <c r="K45" s="3" t="n">
        <v>0.8</v>
      </c>
      <c r="L45" s="3" t="n">
        <v>0.8</v>
      </c>
    </row>
    <row r="46" customFormat="false" ht="15" hidden="false" customHeight="false" outlineLevel="0" collapsed="false">
      <c r="A46" s="0" t="s">
        <v>105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1.6</v>
      </c>
      <c r="H46" s="3" t="n">
        <v>1.5</v>
      </c>
      <c r="I46" s="3" t="n">
        <v>1.5</v>
      </c>
      <c r="J46" s="3" t="n">
        <v>1.5</v>
      </c>
      <c r="K46" s="3" t="n">
        <v>1.5</v>
      </c>
      <c r="L46" s="3" t="n">
        <v>1.5</v>
      </c>
    </row>
    <row r="47" customFormat="false" ht="15" hidden="false" customHeight="false" outlineLevel="0" collapsed="false">
      <c r="A47" s="0" t="s">
        <v>106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107</v>
      </c>
      <c r="B48" s="3" t="n">
        <v>8.5</v>
      </c>
    </row>
    <row r="49" customFormat="false" ht="15" hidden="false" customHeight="false" outlineLevel="0" collapsed="false">
      <c r="A49" s="0" t="s">
        <v>108</v>
      </c>
      <c r="B49" s="3" t="n">
        <v>3.5</v>
      </c>
    </row>
    <row r="50" customFormat="false" ht="15" hidden="false" customHeight="false" outlineLevel="0" collapsed="false">
      <c r="A50" s="0" t="s">
        <v>109</v>
      </c>
      <c r="B50" s="3" t="n">
        <v>18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2.8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9115.2</v>
      </c>
      <c r="C6" s="0" t="n">
        <f aca="false">B6*(1+C5/100)</f>
        <v>9479.808</v>
      </c>
      <c r="D6" s="0" t="n">
        <f aca="false">C6*(1+D5/100)</f>
        <v>9764.20224</v>
      </c>
      <c r="E6" s="0" t="n">
        <f aca="false">D6*(1+E5/100)</f>
        <v>10057.1283072</v>
      </c>
      <c r="F6" s="0" t="n">
        <f aca="false">E6*(1+F5/100)</f>
        <v>10358.842156416</v>
      </c>
      <c r="G6" s="0" t="n">
        <f aca="false">F6*(1+G5/100)</f>
        <v>10669.6074211085</v>
      </c>
      <c r="H6" s="0" t="n">
        <f aca="false">G6*(1+H5/100)</f>
        <v>10968.3564288995</v>
      </c>
      <c r="I6" s="0" t="n">
        <f aca="false">H6*(1+I5/100)</f>
        <v>11242.565339622</v>
      </c>
      <c r="J6" s="0" t="n">
        <f aca="false">I6*(1+J5/100)</f>
        <v>11523.6294731126</v>
      </c>
      <c r="K6" s="0" t="n">
        <f aca="false">J6*(1+K5/100)</f>
        <v>11811.7202099404</v>
      </c>
      <c r="L6" s="0" t="n">
        <f aca="false">K6*(1+L5/100)</f>
        <v>12107.0132151889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10.6</v>
      </c>
      <c r="D7" s="4" t="n">
        <f aca="false">Assumptions!D14</f>
        <v>10.3</v>
      </c>
      <c r="E7" s="4" t="n">
        <f aca="false">Assumptions!E14</f>
        <v>10.3</v>
      </c>
      <c r="F7" s="4" t="n">
        <f aca="false">Assumptions!F14</f>
        <v>10.4</v>
      </c>
      <c r="G7" s="4" t="n">
        <f aca="false">Assumptions!G14</f>
        <v>10.5</v>
      </c>
      <c r="H7" s="4" t="n">
        <f aca="false">Assumptions!H14</f>
        <v>10.6</v>
      </c>
      <c r="I7" s="4" t="n">
        <f aca="false">Assumptions!I14</f>
        <v>10.7</v>
      </c>
      <c r="J7" s="4" t="n">
        <f aca="false">Assumptions!J14</f>
        <v>10.8</v>
      </c>
      <c r="K7" s="4" t="n">
        <f aca="false">Assumptions!K14</f>
        <v>10.8</v>
      </c>
      <c r="L7" s="4" t="n">
        <f aca="false">Assumptions!L14</f>
        <v>10.8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1004.859648</v>
      </c>
      <c r="D8" s="0" t="n">
        <f aca="false">D6*D7/100</f>
        <v>1005.71283072</v>
      </c>
      <c r="E8" s="0" t="n">
        <f aca="false">E6*E7/100</f>
        <v>1035.8842156416</v>
      </c>
      <c r="F8" s="0" t="n">
        <f aca="false">F6*F7/100</f>
        <v>1077.31958426726</v>
      </c>
      <c r="G8" s="0" t="n">
        <f aca="false">G6*G7/100</f>
        <v>1120.30877921639</v>
      </c>
      <c r="H8" s="0" t="n">
        <f aca="false">H6*H7/100</f>
        <v>1162.64578146335</v>
      </c>
      <c r="I8" s="0" t="n">
        <f aca="false">I6*I7/100</f>
        <v>1202.95449133955</v>
      </c>
      <c r="J8" s="0" t="n">
        <f aca="false">J6*J7/100</f>
        <v>1244.55198309616</v>
      </c>
      <c r="K8" s="0" t="n">
        <f aca="false">K6*K7/100</f>
        <v>1275.66578267356</v>
      </c>
      <c r="L8" s="0" t="n">
        <f aca="false">L6*L7/100</f>
        <v>1307.5574272404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0.125</v>
      </c>
      <c r="D9" s="4" t="n">
        <f aca="false">Assumptions!D15</f>
        <v>0.125</v>
      </c>
      <c r="E9" s="4" t="n">
        <f aca="false">Assumptions!E15</f>
        <v>0.125</v>
      </c>
      <c r="F9" s="4" t="n">
        <f aca="false">Assumptions!F15</f>
        <v>0.125</v>
      </c>
      <c r="G9" s="4" t="n">
        <f aca="false">Assumptions!G15</f>
        <v>0.125</v>
      </c>
      <c r="H9" s="4" t="n">
        <f aca="false">Assumptions!H15</f>
        <v>0.125</v>
      </c>
      <c r="I9" s="4" t="n">
        <f aca="false">Assumptions!I15</f>
        <v>0.125</v>
      </c>
      <c r="J9" s="4" t="n">
        <f aca="false">Assumptions!J15</f>
        <v>0.125</v>
      </c>
      <c r="K9" s="4" t="n">
        <f aca="false">Assumptions!K15</f>
        <v>0.125</v>
      </c>
      <c r="L9" s="4" t="n">
        <f aca="false">Assumptions!L15</f>
        <v>0.125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-11.84976</v>
      </c>
      <c r="D10" s="0" t="n">
        <f aca="false">-D6*D9/100</f>
        <v>-12.2052528</v>
      </c>
      <c r="E10" s="0" t="n">
        <f aca="false">-E6*E9/100</f>
        <v>-12.571410384</v>
      </c>
      <c r="F10" s="0" t="n">
        <f aca="false">-F6*F9/100</f>
        <v>-12.94855269552</v>
      </c>
      <c r="G10" s="0" t="n">
        <f aca="false">-G6*G9/100</f>
        <v>-13.3370092763856</v>
      </c>
      <c r="H10" s="0" t="n">
        <f aca="false">-H6*H9/100</f>
        <v>-13.7104455361244</v>
      </c>
      <c r="I10" s="0" t="n">
        <f aca="false">-I6*I9/100</f>
        <v>-14.0532066745275</v>
      </c>
      <c r="J10" s="0" t="n">
        <f aca="false">-J6*J9/100</f>
        <v>-14.4045368413907</v>
      </c>
      <c r="K10" s="0" t="n">
        <f aca="false">-K6*K9/100</f>
        <v>-14.7646502624255</v>
      </c>
      <c r="L10" s="0" t="n">
        <f aca="false">-L6*L9/100</f>
        <v>-15.1337665189861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937.0790208</v>
      </c>
      <c r="D11" s="0" t="n">
        <f aca="false">D8+D10+D24</f>
        <v>935.898784704</v>
      </c>
      <c r="E11" s="0" t="n">
        <f aca="false">E8+E10+E24</f>
        <v>963.97574824512</v>
      </c>
      <c r="F11" s="0" t="n">
        <f aca="false">F8+F10+F24</f>
        <v>1003.25386284889</v>
      </c>
      <c r="G11" s="0" t="n">
        <f aca="false">G8+G10+G24</f>
        <v>1044.02108615547</v>
      </c>
      <c r="H11" s="0" t="n">
        <f aca="false">H8+H10+H24</f>
        <v>1084.22203299672</v>
      </c>
      <c r="I11" s="0" t="n">
        <f aca="false">I8+I10+I24</f>
        <v>1122.57014916126</v>
      </c>
      <c r="J11" s="0" t="n">
        <f aca="false">J8+J10+J24</f>
        <v>1162.1580323634</v>
      </c>
      <c r="K11" s="0" t="n">
        <f aca="false">K8+K10+K24</f>
        <v>1191.21198317249</v>
      </c>
      <c r="L11" s="0" t="n">
        <f aca="false">L8+L10+L24</f>
        <v>1220.9922827518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-68.2546176</v>
      </c>
      <c r="D12" s="4" t="n">
        <f aca="false">-D6*Assumptions!D17/100</f>
        <v>-72.255096576</v>
      </c>
      <c r="E12" s="4" t="n">
        <f aca="false">-E6*Assumptions!E17/100</f>
        <v>-76.43417513472</v>
      </c>
      <c r="F12" s="4" t="n">
        <f aca="false">-F6*Assumptions!F17/100</f>
        <v>-80.7989688200448</v>
      </c>
      <c r="G12" s="4" t="n">
        <f aca="false">-G6*Assumptions!G17/100</f>
        <v>-85.3568593688679</v>
      </c>
      <c r="H12" s="4" t="n">
        <f aca="false">-H6*Assumptions!H17/100</f>
        <v>-87.7468514311962</v>
      </c>
      <c r="I12" s="4" t="n">
        <f aca="false">-I6*Assumptions!I17/100</f>
        <v>-89.9405227169761</v>
      </c>
      <c r="J12" s="4" t="n">
        <f aca="false">-J6*Assumptions!J17/100</f>
        <v>-92.1890357849004</v>
      </c>
      <c r="K12" s="4" t="n">
        <f aca="false">-K6*Assumptions!K17/100</f>
        <v>-94.493761679523</v>
      </c>
      <c r="L12" s="4" t="n">
        <f aca="false">-L6*Assumptions!L17/100</f>
        <v>-96.856105721511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868.8244032</v>
      </c>
      <c r="D13" s="0" t="n">
        <f aca="false">D11+D12</f>
        <v>863.643688128</v>
      </c>
      <c r="E13" s="0" t="n">
        <f aca="false">E11+E12</f>
        <v>887.5415731104</v>
      </c>
      <c r="F13" s="0" t="n">
        <f aca="false">F11+F12</f>
        <v>922.454894028845</v>
      </c>
      <c r="G13" s="0" t="n">
        <f aca="false">G11+G12</f>
        <v>958.664226786597</v>
      </c>
      <c r="H13" s="0" t="n">
        <f aca="false">H11+H12</f>
        <v>996.475181565522</v>
      </c>
      <c r="I13" s="0" t="n">
        <f aca="false">I11+I12</f>
        <v>1032.62962644428</v>
      </c>
      <c r="J13" s="0" t="n">
        <f aca="false">J11+J12</f>
        <v>1069.9689965785</v>
      </c>
      <c r="K13" s="0" t="n">
        <f aca="false">K11+K12</f>
        <v>1096.71822149296</v>
      </c>
      <c r="L13" s="0" t="n">
        <f aca="false">L11+L12</f>
        <v>1124.13617703029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608.17708224</v>
      </c>
      <c r="D15" s="0" t="n">
        <f aca="false">D13-MAX(0,D13)*D14/100</f>
        <v>604.5505816896</v>
      </c>
      <c r="E15" s="0" t="n">
        <f aca="false">E13-MAX(0,E13)*E14/100</f>
        <v>621.27910117728</v>
      </c>
      <c r="F15" s="0" t="n">
        <f aca="false">F13-MAX(0,F13)*F14/100</f>
        <v>645.718425820191</v>
      </c>
      <c r="G15" s="0" t="n">
        <f aca="false">G13-MAX(0,G13)*G14/100</f>
        <v>671.064958750618</v>
      </c>
      <c r="H15" s="0" t="n">
        <f aca="false">H13-MAX(0,H13)*H14/100</f>
        <v>697.532627095865</v>
      </c>
      <c r="I15" s="0" t="n">
        <f aca="false">I13-MAX(0,I13)*I14/100</f>
        <v>722.840738510997</v>
      </c>
      <c r="J15" s="0" t="n">
        <f aca="false">J13-MAX(0,J13)*J14/100</f>
        <v>748.978297604951</v>
      </c>
      <c r="K15" s="0" t="n">
        <f aca="false">K13-MAX(0,K13)*K14/100</f>
        <v>767.702755045074</v>
      </c>
      <c r="L15" s="0" t="n">
        <f aca="false">L13-MAX(0,L13)*L14/100</f>
        <v>786.895323921201</v>
      </c>
    </row>
    <row r="16" customFormat="false" ht="15" hidden="false" customHeight="false" outlineLevel="0" collapsed="false">
      <c r="A16" s="0" t="s">
        <v>122</v>
      </c>
      <c r="C16" s="0" t="n">
        <f aca="false">-C12</f>
        <v>68.2546176</v>
      </c>
      <c r="D16" s="0" t="n">
        <f aca="false">-D12</f>
        <v>72.255096576</v>
      </c>
      <c r="E16" s="0" t="n">
        <f aca="false">-E12</f>
        <v>76.43417513472</v>
      </c>
      <c r="F16" s="0" t="n">
        <f aca="false">-F12</f>
        <v>80.7989688200448</v>
      </c>
      <c r="G16" s="0" t="n">
        <f aca="false">-G12</f>
        <v>85.3568593688679</v>
      </c>
      <c r="H16" s="0" t="n">
        <f aca="false">-H12</f>
        <v>87.7468514311962</v>
      </c>
      <c r="I16" s="0" t="n">
        <f aca="false">-I12</f>
        <v>89.9405227169761</v>
      </c>
      <c r="J16" s="0" t="n">
        <f aca="false">-J12</f>
        <v>92.1890357849004</v>
      </c>
      <c r="K16" s="0" t="n">
        <f aca="false">-K12</f>
        <v>94.493761679523</v>
      </c>
      <c r="L16" s="0" t="n">
        <f aca="false">-L12</f>
        <v>96.856105721511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-189.59616</v>
      </c>
      <c r="D17" s="4" t="n">
        <f aca="false">-D6*Assumptions!D18/100</f>
        <v>-195.2840448</v>
      </c>
      <c r="E17" s="4" t="n">
        <f aca="false">-E6*Assumptions!E18/100</f>
        <v>-201.142566144</v>
      </c>
      <c r="F17" s="4" t="n">
        <f aca="false">-F6*Assumptions!F18/100</f>
        <v>-207.17684312832</v>
      </c>
      <c r="G17" s="4" t="n">
        <f aca="false">-G6*Assumptions!G18/100</f>
        <v>-192.052933579953</v>
      </c>
      <c r="H17" s="4" t="n">
        <f aca="false">-H6*Assumptions!H18/100</f>
        <v>-186.462059291292</v>
      </c>
      <c r="I17" s="4" t="n">
        <f aca="false">-I6*Assumptions!I18/100</f>
        <v>-191.123610773574</v>
      </c>
      <c r="J17" s="4" t="n">
        <f aca="false">-J6*Assumptions!J18/100</f>
        <v>-195.901701042913</v>
      </c>
      <c r="K17" s="4" t="n">
        <f aca="false">-K6*Assumptions!K18/100</f>
        <v>-200.799243568986</v>
      </c>
      <c r="L17" s="4" t="n">
        <f aca="false">-L6*Assumptions!L18/100</f>
        <v>-205.819224658211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486.83553984</v>
      </c>
      <c r="D19" s="0" t="n">
        <f aca="false">D15+D16+D17+D18</f>
        <v>481.5216334656</v>
      </c>
      <c r="E19" s="0" t="n">
        <f aca="false">E15+E16+E17+E18</f>
        <v>496.570710168</v>
      </c>
      <c r="F19" s="0" t="n">
        <f aca="false">F15+F16+F17+F18</f>
        <v>519.340551511916</v>
      </c>
      <c r="G19" s="0" t="n">
        <f aca="false">G15+G16+G17+G18</f>
        <v>564.368884539533</v>
      </c>
      <c r="H19" s="0" t="n">
        <f aca="false">H15+H16+H17+H18</f>
        <v>598.817419235769</v>
      </c>
      <c r="I19" s="0" t="n">
        <f aca="false">I15+I16+I17+I18</f>
        <v>621.657650454399</v>
      </c>
      <c r="J19" s="0" t="n">
        <f aca="false">J15+J16+J17+J18</f>
        <v>645.265632346938</v>
      </c>
      <c r="K19" s="0" t="n">
        <f aca="false">K15+K16+K17+K18</f>
        <v>661.397273155611</v>
      </c>
      <c r="L19" s="0" t="n">
        <f aca="false">L15+L16+L17+L18</f>
        <v>677.932204984501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448.696350082949</v>
      </c>
      <c r="D21" s="0" t="n">
        <f aca="false">D19*D20</f>
        <v>409.031097254646</v>
      </c>
      <c r="E21" s="0" t="n">
        <f aca="false">E19*E20</f>
        <v>388.769230434026</v>
      </c>
      <c r="F21" s="0" t="n">
        <f aca="false">F19*F20</f>
        <v>374.742786748535</v>
      </c>
      <c r="G21" s="0" t="n">
        <f aca="false">G19*G20</f>
        <v>375.330943709417</v>
      </c>
      <c r="H21" s="0" t="n">
        <f aca="false">H19*H20</f>
        <v>367.042197279393</v>
      </c>
      <c r="I21" s="0" t="n">
        <f aca="false">I19*I20</f>
        <v>351.190787901158</v>
      </c>
      <c r="J21" s="0" t="n">
        <f aca="false">J19*J20</f>
        <v>335.970100424718</v>
      </c>
      <c r="K21" s="0" t="n">
        <f aca="false">K19*K20</f>
        <v>317.391108696162</v>
      </c>
      <c r="L21" s="0" t="n">
        <f aca="false">L19*L20</f>
        <v>299.839526648448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0.59</v>
      </c>
      <c r="D23" s="4" t="n">
        <f aca="false">Assumptions!D16</f>
        <v>0.59</v>
      </c>
      <c r="E23" s="4" t="n">
        <f aca="false">Assumptions!E16</f>
        <v>0.59</v>
      </c>
      <c r="F23" s="4" t="n">
        <f aca="false">Assumptions!F16</f>
        <v>0.59</v>
      </c>
      <c r="G23" s="4" t="n">
        <f aca="false">Assumptions!G16</f>
        <v>0.59</v>
      </c>
      <c r="H23" s="4" t="n">
        <f aca="false">Assumptions!H16</f>
        <v>0.59</v>
      </c>
      <c r="I23" s="4" t="n">
        <f aca="false">Assumptions!I16</f>
        <v>0.59</v>
      </c>
      <c r="J23" s="4" t="n">
        <f aca="false">Assumptions!J16</f>
        <v>0.59</v>
      </c>
      <c r="K23" s="4" t="n">
        <f aca="false">Assumptions!K16</f>
        <v>0.59</v>
      </c>
      <c r="L23" s="4" t="n">
        <f aca="false">Assumptions!L16</f>
        <v>0.59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-55.9308672</v>
      </c>
      <c r="D24" s="0" t="n">
        <f aca="false">-D6*D23/100</f>
        <v>-57.608793216</v>
      </c>
      <c r="E24" s="0" t="n">
        <f aca="false">-E6*E23/100</f>
        <v>-59.33705701248</v>
      </c>
      <c r="F24" s="0" t="n">
        <f aca="false">-F6*F23/100</f>
        <v>-61.1171687228544</v>
      </c>
      <c r="G24" s="0" t="n">
        <f aca="false">-G6*G23/100</f>
        <v>-62.95068378454</v>
      </c>
      <c r="H24" s="0" t="n">
        <f aca="false">-H6*H23/100</f>
        <v>-64.7133029305072</v>
      </c>
      <c r="I24" s="0" t="n">
        <f aca="false">-I6*I23/100</f>
        <v>-66.3311355037698</v>
      </c>
      <c r="J24" s="0" t="n">
        <f aca="false">-J6*J23/100</f>
        <v>-67.9894138913641</v>
      </c>
      <c r="K24" s="0" t="n">
        <f aca="false">-K6*K23/100</f>
        <v>-69.6891492386482</v>
      </c>
      <c r="L24" s="0" t="n">
        <f aca="false">-L6*L23/100</f>
        <v>-71.4313779696144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3668.00412917945</v>
      </c>
    </row>
    <row r="31" customFormat="false" ht="15" hidden="false" customHeight="false" outlineLevel="0" collapsed="false">
      <c r="A31" s="0" t="s">
        <v>131</v>
      </c>
      <c r="B31" s="0" t="n">
        <f aca="false">L19</f>
        <v>677.932204984501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11581.3418351519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12202.779689721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11581.3418351519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5122.25858024431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8790.26270942377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8640.26270942377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3.13735029390841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-0.311984584669208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86.9660519934582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114.346338517821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3.21044847492195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5559.04408087291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1.44324156145994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5.5</v>
      </c>
      <c r="D5" s="4" t="n">
        <f aca="false">Assumptions!D27</f>
        <v>5</v>
      </c>
      <c r="E5" s="4" t="n">
        <f aca="false">Assumptions!E27</f>
        <v>4.8</v>
      </c>
      <c r="F5" s="4" t="n">
        <f aca="false">Assumptions!F27</f>
        <v>4.5</v>
      </c>
      <c r="G5" s="4" t="n">
        <f aca="false">Assumptions!G27</f>
        <v>4.2</v>
      </c>
      <c r="H5" s="4" t="n">
        <f aca="false">Assumptions!H27</f>
        <v>4</v>
      </c>
      <c r="I5" s="4" t="n">
        <f aca="false">Assumptions!I27</f>
        <v>3.8</v>
      </c>
      <c r="J5" s="4" t="n">
        <f aca="false">Assumptions!J27</f>
        <v>3.5</v>
      </c>
      <c r="K5" s="4" t="n">
        <f aca="false">Assumptions!K27</f>
        <v>3.2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9115.2</v>
      </c>
      <c r="C6" s="0" t="n">
        <f aca="false">B6*(1+C5/100)</f>
        <v>9616.536</v>
      </c>
      <c r="D6" s="0" t="n">
        <f aca="false">C6*(1+D5/100)</f>
        <v>10097.3628</v>
      </c>
      <c r="E6" s="0" t="n">
        <f aca="false">D6*(1+E5/100)</f>
        <v>10582.0362144</v>
      </c>
      <c r="F6" s="0" t="n">
        <f aca="false">E6*(1+F5/100)</f>
        <v>11058.227844048</v>
      </c>
      <c r="G6" s="0" t="n">
        <f aca="false">F6*(1+G5/100)</f>
        <v>11522.673413498</v>
      </c>
      <c r="H6" s="0" t="n">
        <f aca="false">G6*(1+H5/100)</f>
        <v>11983.5803500379</v>
      </c>
      <c r="I6" s="0" t="n">
        <f aca="false">H6*(1+I5/100)</f>
        <v>12438.9564033394</v>
      </c>
      <c r="J6" s="0" t="n">
        <f aca="false">I6*(1+J5/100)</f>
        <v>12874.3198774563</v>
      </c>
      <c r="K6" s="0" t="n">
        <f aca="false">J6*(1+K5/100)</f>
        <v>13286.2981135349</v>
      </c>
      <c r="L6" s="0" t="n">
        <f aca="false">K6*(1+L5/100)</f>
        <v>13684.8870569409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11.45</v>
      </c>
      <c r="D7" s="4" t="n">
        <f aca="false">Assumptions!D28</f>
        <v>11.5</v>
      </c>
      <c r="E7" s="4" t="n">
        <f aca="false">Assumptions!E28</f>
        <v>11.55</v>
      </c>
      <c r="F7" s="4" t="n">
        <f aca="false">Assumptions!F28</f>
        <v>11.6</v>
      </c>
      <c r="G7" s="4" t="n">
        <f aca="false">Assumptions!G28</f>
        <v>11.6</v>
      </c>
      <c r="H7" s="4" t="n">
        <f aca="false">Assumptions!H28</f>
        <v>11.6</v>
      </c>
      <c r="I7" s="4" t="n">
        <f aca="false">Assumptions!I28</f>
        <v>11.6</v>
      </c>
      <c r="J7" s="4" t="n">
        <f aca="false">Assumptions!J28</f>
        <v>11.6</v>
      </c>
      <c r="K7" s="4" t="n">
        <f aca="false">Assumptions!K28</f>
        <v>11.6</v>
      </c>
      <c r="L7" s="4" t="n">
        <f aca="false">Assumptions!L28</f>
        <v>11.6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1101.093372</v>
      </c>
      <c r="D8" s="0" t="n">
        <f aca="false">D6*D7/100</f>
        <v>1161.196722</v>
      </c>
      <c r="E8" s="0" t="n">
        <f aca="false">E6*E7/100</f>
        <v>1222.2251827632</v>
      </c>
      <c r="F8" s="0" t="n">
        <f aca="false">F6*F7/100</f>
        <v>1282.75442990957</v>
      </c>
      <c r="G8" s="0" t="n">
        <f aca="false">G6*G7/100</f>
        <v>1336.63011596577</v>
      </c>
      <c r="H8" s="0" t="n">
        <f aca="false">H6*H7/100</f>
        <v>1390.0953206044</v>
      </c>
      <c r="I8" s="0" t="n">
        <f aca="false">I6*I7/100</f>
        <v>1442.91894278737</v>
      </c>
      <c r="J8" s="0" t="n">
        <f aca="false">J6*J7/100</f>
        <v>1493.42110578493</v>
      </c>
      <c r="K8" s="0" t="n">
        <f aca="false">K6*K7/100</f>
        <v>1541.21058117004</v>
      </c>
      <c r="L8" s="0" t="n">
        <f aca="false">L6*L7/100</f>
        <v>1587.44689860514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0.125</v>
      </c>
      <c r="D9" s="4" t="n">
        <f aca="false">Assumptions!D29</f>
        <v>0.125</v>
      </c>
      <c r="E9" s="4" t="n">
        <f aca="false">Assumptions!E29</f>
        <v>0.125</v>
      </c>
      <c r="F9" s="4" t="n">
        <f aca="false">Assumptions!F29</f>
        <v>0.125</v>
      </c>
      <c r="G9" s="4" t="n">
        <f aca="false">Assumptions!G29</f>
        <v>0.125</v>
      </c>
      <c r="H9" s="4" t="n">
        <f aca="false">Assumptions!H29</f>
        <v>0.125</v>
      </c>
      <c r="I9" s="4" t="n">
        <f aca="false">Assumptions!I29</f>
        <v>0.125</v>
      </c>
      <c r="J9" s="4" t="n">
        <f aca="false">Assumptions!J29</f>
        <v>0.125</v>
      </c>
      <c r="K9" s="4" t="n">
        <f aca="false">Assumptions!K29</f>
        <v>0.125</v>
      </c>
      <c r="L9" s="4" t="n">
        <f aca="false">Assumptions!L29</f>
        <v>0.125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-12.02067</v>
      </c>
      <c r="D10" s="0" t="n">
        <f aca="false">-D6*D9/100</f>
        <v>-12.6217035</v>
      </c>
      <c r="E10" s="0" t="n">
        <f aca="false">-E6*E9/100</f>
        <v>-13.227545268</v>
      </c>
      <c r="F10" s="0" t="n">
        <f aca="false">-F6*F9/100</f>
        <v>-13.82278480506</v>
      </c>
      <c r="G10" s="0" t="n">
        <f aca="false">-G6*G9/100</f>
        <v>-14.4033417668725</v>
      </c>
      <c r="H10" s="0" t="n">
        <f aca="false">-H6*H9/100</f>
        <v>-14.9794754375474</v>
      </c>
      <c r="I10" s="0" t="n">
        <f aca="false">-I6*I9/100</f>
        <v>-15.5486955041742</v>
      </c>
      <c r="J10" s="0" t="n">
        <f aca="false">-J6*J9/100</f>
        <v>-16.0928998468203</v>
      </c>
      <c r="K10" s="0" t="n">
        <f aca="false">-K6*K9/100</f>
        <v>-16.6078726419186</v>
      </c>
      <c r="L10" s="0" t="n">
        <f aca="false">-L6*L9/100</f>
        <v>-17.1061088211761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1032.3351396</v>
      </c>
      <c r="D11" s="0" t="n">
        <f aca="false">D8+D10+D24</f>
        <v>1089.00057798</v>
      </c>
      <c r="E11" s="0" t="n">
        <f aca="false">E8+E10+E24</f>
        <v>1146.56362383024</v>
      </c>
      <c r="F11" s="0" t="n">
        <f aca="false">F8+F10+F24</f>
        <v>1203.68810082462</v>
      </c>
      <c r="G11" s="0" t="n">
        <f aca="false">G8+G10+G24</f>
        <v>1254.24300105926</v>
      </c>
      <c r="H11" s="0" t="n">
        <f aca="false">H8+H10+H24</f>
        <v>1304.41272110163</v>
      </c>
      <c r="I11" s="0" t="n">
        <f aca="false">I8+I10+I24</f>
        <v>1353.98040450349</v>
      </c>
      <c r="J11" s="0" t="n">
        <f aca="false">J8+J10+J24</f>
        <v>1401.36971866111</v>
      </c>
      <c r="K11" s="0" t="n">
        <f aca="false">K8+K10+K24</f>
        <v>1446.21354965827</v>
      </c>
      <c r="L11" s="0" t="n">
        <f aca="false">L8+L10+L24</f>
        <v>1489.59995614802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-69.2390592</v>
      </c>
      <c r="D12" s="4" t="n">
        <f aca="false">-D6*Assumptions!D31/100</f>
        <v>-74.72048472</v>
      </c>
      <c r="E12" s="4" t="n">
        <f aca="false">-E6*Assumptions!E31/100</f>
        <v>-80.42347522944</v>
      </c>
      <c r="F12" s="4" t="n">
        <f aca="false">-F6*Assumptions!F31/100</f>
        <v>-86.2541771835744</v>
      </c>
      <c r="G12" s="4" t="n">
        <f aca="false">-G6*Assumptions!G31/100</f>
        <v>-92.1813873079841</v>
      </c>
      <c r="H12" s="4" t="n">
        <f aca="false">-H6*Assumptions!H31/100</f>
        <v>-95.8686428003035</v>
      </c>
      <c r="I12" s="4" t="n">
        <f aca="false">-I6*Assumptions!I31/100</f>
        <v>-99.5116512267151</v>
      </c>
      <c r="J12" s="4" t="n">
        <f aca="false">-J6*Assumptions!J31/100</f>
        <v>-102.99455901965</v>
      </c>
      <c r="K12" s="4" t="n">
        <f aca="false">-K6*Assumptions!K31/100</f>
        <v>-106.290384908279</v>
      </c>
      <c r="L12" s="4" t="n">
        <f aca="false">-L6*Assumptions!L31/100</f>
        <v>-109.479096455527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963.0960804</v>
      </c>
      <c r="D13" s="0" t="n">
        <f aca="false">D11+D12</f>
        <v>1014.28009326</v>
      </c>
      <c r="E13" s="0" t="n">
        <f aca="false">E11+E12</f>
        <v>1066.1401486008</v>
      </c>
      <c r="F13" s="0" t="n">
        <f aca="false">F11+F12</f>
        <v>1117.43392364105</v>
      </c>
      <c r="G13" s="0" t="n">
        <f aca="false">G11+G12</f>
        <v>1162.06161375128</v>
      </c>
      <c r="H13" s="0" t="n">
        <f aca="false">H11+H12</f>
        <v>1208.54407830133</v>
      </c>
      <c r="I13" s="0" t="n">
        <f aca="false">I11+I12</f>
        <v>1254.46875327678</v>
      </c>
      <c r="J13" s="0" t="n">
        <f aca="false">J11+J12</f>
        <v>1298.37515964146</v>
      </c>
      <c r="K13" s="0" t="n">
        <f aca="false">K11+K12</f>
        <v>1339.92316474999</v>
      </c>
      <c r="L13" s="0" t="n">
        <f aca="false">L11+L12</f>
        <v>1380.12085969249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674.16725628</v>
      </c>
      <c r="D15" s="0" t="n">
        <f aca="false">D13-MAX(0,D13)*D14/100</f>
        <v>709.996065282</v>
      </c>
      <c r="E15" s="0" t="n">
        <f aca="false">E13-MAX(0,E13)*E14/100</f>
        <v>746.29810402056</v>
      </c>
      <c r="F15" s="0" t="n">
        <f aca="false">F13-MAX(0,F13)*F14/100</f>
        <v>782.203746548735</v>
      </c>
      <c r="G15" s="0" t="n">
        <f aca="false">G13-MAX(0,G13)*G14/100</f>
        <v>813.443129625892</v>
      </c>
      <c r="H15" s="0" t="n">
        <f aca="false">H13-MAX(0,H13)*H14/100</f>
        <v>845.980854810928</v>
      </c>
      <c r="I15" s="0" t="n">
        <f aca="false">I13-MAX(0,I13)*I14/100</f>
        <v>878.128127293744</v>
      </c>
      <c r="J15" s="0" t="n">
        <f aca="false">J13-MAX(0,J13)*J14/100</f>
        <v>908.862611749024</v>
      </c>
      <c r="K15" s="0" t="n">
        <f aca="false">K13-MAX(0,K13)*K14/100</f>
        <v>937.946215324993</v>
      </c>
      <c r="L15" s="0" t="n">
        <f aca="false">L13-MAX(0,L13)*L14/100</f>
        <v>966.084601784743</v>
      </c>
    </row>
    <row r="16" customFormat="false" ht="15" hidden="false" customHeight="false" outlineLevel="0" collapsed="false">
      <c r="A16" s="0" t="s">
        <v>122</v>
      </c>
      <c r="C16" s="0" t="n">
        <f aca="false">-C12</f>
        <v>69.2390592</v>
      </c>
      <c r="D16" s="0" t="n">
        <f aca="false">-D12</f>
        <v>74.72048472</v>
      </c>
      <c r="E16" s="0" t="n">
        <f aca="false">-E12</f>
        <v>80.42347522944</v>
      </c>
      <c r="F16" s="0" t="n">
        <f aca="false">-F12</f>
        <v>86.2541771835744</v>
      </c>
      <c r="G16" s="0" t="n">
        <f aca="false">-G12</f>
        <v>92.1813873079841</v>
      </c>
      <c r="H16" s="0" t="n">
        <f aca="false">-H12</f>
        <v>95.8686428003035</v>
      </c>
      <c r="I16" s="0" t="n">
        <f aca="false">-I12</f>
        <v>99.5116512267151</v>
      </c>
      <c r="J16" s="0" t="n">
        <f aca="false">-J12</f>
        <v>102.99455901965</v>
      </c>
      <c r="K16" s="0" t="n">
        <f aca="false">-K12</f>
        <v>106.290384908279</v>
      </c>
      <c r="L16" s="0" t="n">
        <f aca="false">-L12</f>
        <v>109.479096455527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-192.33072</v>
      </c>
      <c r="D17" s="4" t="n">
        <f aca="false">-D6*Assumptions!D32/100</f>
        <v>-201.947256</v>
      </c>
      <c r="E17" s="4" t="n">
        <f aca="false">-E6*Assumptions!E32/100</f>
        <v>-211.640724288</v>
      </c>
      <c r="F17" s="4" t="n">
        <f aca="false">-F6*Assumptions!F32/100</f>
        <v>-221.16455688096</v>
      </c>
      <c r="G17" s="4" t="n">
        <f aca="false">-G6*Assumptions!G32/100</f>
        <v>-195.885448029466</v>
      </c>
      <c r="H17" s="4" t="n">
        <f aca="false">-H6*Assumptions!H32/100</f>
        <v>-191.737285600607</v>
      </c>
      <c r="I17" s="4" t="n">
        <f aca="false">-I6*Assumptions!I32/100</f>
        <v>-199.02330245343</v>
      </c>
      <c r="J17" s="4" t="n">
        <f aca="false">-J6*Assumptions!J32/100</f>
        <v>-205.9891180393</v>
      </c>
      <c r="K17" s="4" t="n">
        <f aca="false">-K6*Assumptions!K32/100</f>
        <v>-212.580769816558</v>
      </c>
      <c r="L17" s="4" t="n">
        <f aca="false">-L6*Assumptions!L32/100</f>
        <v>-218.958192911055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551.07559548</v>
      </c>
      <c r="D19" s="0" t="n">
        <f aca="false">D15+D16+D17+D18</f>
        <v>582.769294002</v>
      </c>
      <c r="E19" s="0" t="n">
        <f aca="false">E15+E16+E17+E18</f>
        <v>615.080854962</v>
      </c>
      <c r="F19" s="0" t="n">
        <f aca="false">F15+F16+F17+F18</f>
        <v>647.293366851349</v>
      </c>
      <c r="G19" s="0" t="n">
        <f aca="false">G15+G16+G17+G18</f>
        <v>709.73906890441</v>
      </c>
      <c r="H19" s="0" t="n">
        <f aca="false">H15+H16+H17+H18</f>
        <v>750.112212010625</v>
      </c>
      <c r="I19" s="0" t="n">
        <f aca="false">I15+I16+I17+I18</f>
        <v>778.616476067029</v>
      </c>
      <c r="J19" s="0" t="n">
        <f aca="false">J15+J16+J17+J18</f>
        <v>805.868052729374</v>
      </c>
      <c r="K19" s="0" t="n">
        <f aca="false">K15+K16+K17+K18</f>
        <v>831.655830416715</v>
      </c>
      <c r="L19" s="0" t="n">
        <f aca="false">L15+L16+L17+L18</f>
        <v>856.605505329216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507.903774635945</v>
      </c>
      <c r="D21" s="0" t="n">
        <f aca="false">D19*D20</f>
        <v>495.036457773153</v>
      </c>
      <c r="E21" s="0" t="n">
        <f aca="false">E19*E20</f>
        <v>481.551782539447</v>
      </c>
      <c r="F21" s="0" t="n">
        <f aca="false">F19*F20</f>
        <v>467.070247897156</v>
      </c>
      <c r="G21" s="0" t="n">
        <f aca="false">G19*G20</f>
        <v>472.008719503874</v>
      </c>
      <c r="H21" s="0" t="n">
        <f aca="false">H19*H20</f>
        <v>459.777597742333</v>
      </c>
      <c r="I21" s="0" t="n">
        <f aca="false">I19*I20</f>
        <v>439.860964476075</v>
      </c>
      <c r="J21" s="0" t="n">
        <f aca="false">J19*J20</f>
        <v>419.590873947224</v>
      </c>
      <c r="K21" s="0" t="n">
        <f aca="false">K19*K20</f>
        <v>399.094729874226</v>
      </c>
      <c r="L21" s="0" t="n">
        <f aca="false">L19*L20</f>
        <v>378.864121447422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0.59</v>
      </c>
      <c r="D23" s="4" t="n">
        <f aca="false">Assumptions!D30</f>
        <v>0.59</v>
      </c>
      <c r="E23" s="4" t="n">
        <f aca="false">Assumptions!E30</f>
        <v>0.59</v>
      </c>
      <c r="F23" s="4" t="n">
        <f aca="false">Assumptions!F30</f>
        <v>0.59</v>
      </c>
      <c r="G23" s="4" t="n">
        <f aca="false">Assumptions!G30</f>
        <v>0.59</v>
      </c>
      <c r="H23" s="4" t="n">
        <f aca="false">Assumptions!H30</f>
        <v>0.59</v>
      </c>
      <c r="I23" s="4" t="n">
        <f aca="false">Assumptions!I30</f>
        <v>0.59</v>
      </c>
      <c r="J23" s="4" t="n">
        <f aca="false">Assumptions!J30</f>
        <v>0.59</v>
      </c>
      <c r="K23" s="4" t="n">
        <f aca="false">Assumptions!K30</f>
        <v>0.59</v>
      </c>
      <c r="L23" s="4" t="n">
        <f aca="false">Assumptions!L30</f>
        <v>0.59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-56.7375624</v>
      </c>
      <c r="D24" s="0" t="n">
        <f aca="false">-D6*D23/100</f>
        <v>-59.57444052</v>
      </c>
      <c r="E24" s="0" t="n">
        <f aca="false">-E6*E23/100</f>
        <v>-62.43401366496</v>
      </c>
      <c r="F24" s="0" t="n">
        <f aca="false">-F6*F23/100</f>
        <v>-65.2435442798832</v>
      </c>
      <c r="G24" s="0" t="n">
        <f aca="false">-G6*G23/100</f>
        <v>-67.9837731396383</v>
      </c>
      <c r="H24" s="0" t="n">
        <f aca="false">-H6*H23/100</f>
        <v>-70.7031240652238</v>
      </c>
      <c r="I24" s="0" t="n">
        <f aca="false">-I6*I23/100</f>
        <v>-73.3898427797023</v>
      </c>
      <c r="J24" s="0" t="n">
        <f aca="false">-J6*J23/100</f>
        <v>-75.9584872769919</v>
      </c>
      <c r="K24" s="0" t="n">
        <f aca="false">-K6*K23/100</f>
        <v>-78.3891588698557</v>
      </c>
      <c r="L24" s="0" t="n">
        <f aca="false">-L6*L23/100</f>
        <v>-80.7408336359513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4520.75926983685</v>
      </c>
    </row>
    <row r="31" customFormat="false" ht="15" hidden="false" customHeight="false" outlineLevel="0" collapsed="false">
      <c r="A31" s="0" t="s">
        <v>131</v>
      </c>
      <c r="B31" s="0" t="n">
        <f aca="false">L19</f>
        <v>856.605505329216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16041.8849179835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15418.8990959259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15418.8990959259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6819.55418605359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11340.3134558904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11190.3134558904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4.06329464629283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-0.108926612655082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93.5896341645117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141.686471142353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4.14872533086322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7352.5305874091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1.83125019152709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6.5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3.8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9115.2</v>
      </c>
      <c r="C6" s="0" t="n">
        <f aca="false">B6*(1+C5/100)</f>
        <v>9707.688</v>
      </c>
      <c r="D6" s="0" t="n">
        <f aca="false">C6*(1+D5/100)</f>
        <v>10290.14928</v>
      </c>
      <c r="E6" s="0" t="n">
        <f aca="false">D6*(1+E5/100)</f>
        <v>10856.1074904</v>
      </c>
      <c r="F6" s="0" t="n">
        <f aca="false">E6*(1+F5/100)</f>
        <v>11453.193402372</v>
      </c>
      <c r="G6" s="0" t="n">
        <f aca="false">F6*(1+G5/100)</f>
        <v>12025.8530724906</v>
      </c>
      <c r="H6" s="0" t="n">
        <f aca="false">G6*(1+H5/100)</f>
        <v>12567.0164607527</v>
      </c>
      <c r="I6" s="0" t="n">
        <f aca="false">H6*(1+I5/100)</f>
        <v>13069.6971191828</v>
      </c>
      <c r="J6" s="0" t="n">
        <f aca="false">I6*(1+J5/100)</f>
        <v>13566.3456097117</v>
      </c>
      <c r="K6" s="0" t="n">
        <f aca="false">J6*(1+K5/100)</f>
        <v>14041.1677060516</v>
      </c>
      <c r="L6" s="0" t="n">
        <f aca="false">K6*(1+L5/100)</f>
        <v>14532.6085757634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11.6</v>
      </c>
      <c r="D7" s="4" t="n">
        <f aca="false">Assumptions!D42</f>
        <v>11.8</v>
      </c>
      <c r="E7" s="4" t="n">
        <f aca="false">Assumptions!E42</f>
        <v>12</v>
      </c>
      <c r="F7" s="4" t="n">
        <f aca="false">Assumptions!F42</f>
        <v>12.2</v>
      </c>
      <c r="G7" s="4" t="n">
        <f aca="false">Assumptions!G42</f>
        <v>12.4</v>
      </c>
      <c r="H7" s="4" t="n">
        <f aca="false">Assumptions!H42</f>
        <v>12.4</v>
      </c>
      <c r="I7" s="4" t="n">
        <f aca="false">Assumptions!I42</f>
        <v>12.4</v>
      </c>
      <c r="J7" s="4" t="n">
        <f aca="false">Assumptions!J42</f>
        <v>12.4</v>
      </c>
      <c r="K7" s="4" t="n">
        <f aca="false">Assumptions!K42</f>
        <v>12.4</v>
      </c>
      <c r="L7" s="4" t="n">
        <f aca="false">Assumptions!L42</f>
        <v>12.4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1126.091808</v>
      </c>
      <c r="D8" s="0" t="n">
        <f aca="false">D6*D7/100</f>
        <v>1214.23761504</v>
      </c>
      <c r="E8" s="0" t="n">
        <f aca="false">E6*E7/100</f>
        <v>1302.732898848</v>
      </c>
      <c r="F8" s="0" t="n">
        <f aca="false">F6*F7/100</f>
        <v>1397.28959508938</v>
      </c>
      <c r="G8" s="0" t="n">
        <f aca="false">G6*G7/100</f>
        <v>1491.20578098883</v>
      </c>
      <c r="H8" s="0" t="n">
        <f aca="false">H6*H7/100</f>
        <v>1558.31004113333</v>
      </c>
      <c r="I8" s="0" t="n">
        <f aca="false">I6*I7/100</f>
        <v>1620.64244277867</v>
      </c>
      <c r="J8" s="0" t="n">
        <f aca="false">J6*J7/100</f>
        <v>1682.22685560425</v>
      </c>
      <c r="K8" s="0" t="n">
        <f aca="false">K6*K7/100</f>
        <v>1741.1047955504</v>
      </c>
      <c r="L8" s="0" t="n">
        <f aca="false">L6*L7/100</f>
        <v>1802.04346339467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0.125</v>
      </c>
      <c r="D9" s="4" t="n">
        <f aca="false">Assumptions!D43</f>
        <v>0.125</v>
      </c>
      <c r="E9" s="4" t="n">
        <f aca="false">Assumptions!E43</f>
        <v>0.125</v>
      </c>
      <c r="F9" s="4" t="n">
        <f aca="false">Assumptions!F43</f>
        <v>0.125</v>
      </c>
      <c r="G9" s="4" t="n">
        <f aca="false">Assumptions!G43</f>
        <v>0.125</v>
      </c>
      <c r="H9" s="4" t="n">
        <f aca="false">Assumptions!H43</f>
        <v>0.125</v>
      </c>
      <c r="I9" s="4" t="n">
        <f aca="false">Assumptions!I43</f>
        <v>0.125</v>
      </c>
      <c r="J9" s="4" t="n">
        <f aca="false">Assumptions!J43</f>
        <v>0.125</v>
      </c>
      <c r="K9" s="4" t="n">
        <f aca="false">Assumptions!K43</f>
        <v>0.125</v>
      </c>
      <c r="L9" s="4" t="n">
        <f aca="false">Assumptions!L43</f>
        <v>0.125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-12.13461</v>
      </c>
      <c r="D10" s="0" t="n">
        <f aca="false">-D6*D9/100</f>
        <v>-12.8626866</v>
      </c>
      <c r="E10" s="0" t="n">
        <f aca="false">-E6*E9/100</f>
        <v>-13.570134363</v>
      </c>
      <c r="F10" s="0" t="n">
        <f aca="false">-F6*F9/100</f>
        <v>-14.316491752965</v>
      </c>
      <c r="G10" s="0" t="n">
        <f aca="false">-G6*G9/100</f>
        <v>-15.0323163406133</v>
      </c>
      <c r="H10" s="0" t="n">
        <f aca="false">-H6*H9/100</f>
        <v>-15.7087705759408</v>
      </c>
      <c r="I10" s="0" t="n">
        <f aca="false">-I6*I9/100</f>
        <v>-16.3371213989785</v>
      </c>
      <c r="J10" s="0" t="n">
        <f aca="false">-J6*J9/100</f>
        <v>-16.9579320121397</v>
      </c>
      <c r="K10" s="0" t="n">
        <f aca="false">-K6*K9/100</f>
        <v>-17.5514596325645</v>
      </c>
      <c r="L10" s="0" t="n">
        <f aca="false">-L6*L9/100</f>
        <v>-18.1657607197043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1056.6818388</v>
      </c>
      <c r="D11" s="0" t="n">
        <f aca="false">D8+D10+D24</f>
        <v>1140.663047688</v>
      </c>
      <c r="E11" s="0" t="n">
        <f aca="false">E8+E10+E24</f>
        <v>1225.11173029164</v>
      </c>
      <c r="F11" s="0" t="n">
        <f aca="false">F8+F10+F24</f>
        <v>1315.39926226242</v>
      </c>
      <c r="G11" s="0" t="n">
        <f aca="false">G8+G10+G24</f>
        <v>1405.22093152053</v>
      </c>
      <c r="H11" s="0" t="n">
        <f aca="false">H8+H10+H24</f>
        <v>1468.45587343895</v>
      </c>
      <c r="I11" s="0" t="n">
        <f aca="false">I8+I10+I24</f>
        <v>1527.19410837651</v>
      </c>
      <c r="J11" s="0" t="n">
        <f aca="false">J8+J10+J24</f>
        <v>1585.22748449482</v>
      </c>
      <c r="K11" s="0" t="n">
        <f aca="false">K8+K10+K24</f>
        <v>1640.71044645213</v>
      </c>
      <c r="L11" s="0" t="n">
        <f aca="false">L8+L10+L24</f>
        <v>1698.13531207796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-69.8953536</v>
      </c>
      <c r="D12" s="4" t="n">
        <f aca="false">-D6*Assumptions!D45/100</f>
        <v>-76.147104672</v>
      </c>
      <c r="E12" s="4" t="n">
        <f aca="false">-E6*Assumptions!E45/100</f>
        <v>-82.50641692704</v>
      </c>
      <c r="F12" s="4" t="n">
        <f aca="false">-F6*Assumptions!F45/100</f>
        <v>-89.3349085385016</v>
      </c>
      <c r="G12" s="4" t="n">
        <f aca="false">-G6*Assumptions!G45/100</f>
        <v>-96.2068245799248</v>
      </c>
      <c r="H12" s="4" t="n">
        <f aca="false">-H6*Assumptions!H45/100</f>
        <v>-100.536131686021</v>
      </c>
      <c r="I12" s="4" t="n">
        <f aca="false">-I6*Assumptions!I45/100</f>
        <v>-104.557576953462</v>
      </c>
      <c r="J12" s="4" t="n">
        <f aca="false">-J6*Assumptions!J45/100</f>
        <v>-108.530764877694</v>
      </c>
      <c r="K12" s="4" t="n">
        <f aca="false">-K6*Assumptions!K45/100</f>
        <v>-112.329341648413</v>
      </c>
      <c r="L12" s="4" t="n">
        <f aca="false">-L6*Assumptions!L45/100</f>
        <v>-116.260868606108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986.7864852</v>
      </c>
      <c r="D13" s="0" t="n">
        <f aca="false">D11+D12</f>
        <v>1064.515943016</v>
      </c>
      <c r="E13" s="0" t="n">
        <f aca="false">E11+E12</f>
        <v>1142.6053133646</v>
      </c>
      <c r="F13" s="0" t="n">
        <f aca="false">F11+F12</f>
        <v>1226.06435372392</v>
      </c>
      <c r="G13" s="0" t="n">
        <f aca="false">G11+G12</f>
        <v>1309.0141069406</v>
      </c>
      <c r="H13" s="0" t="n">
        <f aca="false">H11+H12</f>
        <v>1367.91974175293</v>
      </c>
      <c r="I13" s="0" t="n">
        <f aca="false">I11+I12</f>
        <v>1422.63653142305</v>
      </c>
      <c r="J13" s="0" t="n">
        <f aca="false">J11+J12</f>
        <v>1476.69671961712</v>
      </c>
      <c r="K13" s="0" t="n">
        <f aca="false">K11+K12</f>
        <v>1528.38110480372</v>
      </c>
      <c r="L13" s="0" t="n">
        <f aca="false">L11+L12</f>
        <v>1581.87444347185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690.75053964</v>
      </c>
      <c r="D15" s="0" t="n">
        <f aca="false">D13-MAX(0,D13)*D14/100</f>
        <v>745.1611601112</v>
      </c>
      <c r="E15" s="0" t="n">
        <f aca="false">E13-MAX(0,E13)*E14/100</f>
        <v>799.82371935522</v>
      </c>
      <c r="F15" s="0" t="n">
        <f aca="false">F13-MAX(0,F13)*F14/100</f>
        <v>858.245047606746</v>
      </c>
      <c r="G15" s="0" t="n">
        <f aca="false">G13-MAX(0,G13)*G14/100</f>
        <v>916.309874858421</v>
      </c>
      <c r="H15" s="0" t="n">
        <f aca="false">H13-MAX(0,H13)*H14/100</f>
        <v>957.54381922705</v>
      </c>
      <c r="I15" s="0" t="n">
        <f aca="false">I13-MAX(0,I13)*I14/100</f>
        <v>995.845571996132</v>
      </c>
      <c r="J15" s="0" t="n">
        <f aca="false">J13-MAX(0,J13)*J14/100</f>
        <v>1033.68770373199</v>
      </c>
      <c r="K15" s="0" t="n">
        <f aca="false">K13-MAX(0,K13)*K14/100</f>
        <v>1069.8667733626</v>
      </c>
      <c r="L15" s="0" t="n">
        <f aca="false">L13-MAX(0,L13)*L14/100</f>
        <v>1107.3121104303</v>
      </c>
    </row>
    <row r="16" customFormat="false" ht="15" hidden="false" customHeight="false" outlineLevel="0" collapsed="false">
      <c r="A16" s="0" t="s">
        <v>122</v>
      </c>
      <c r="C16" s="0" t="n">
        <f aca="false">-C12</f>
        <v>69.8953536</v>
      </c>
      <c r="D16" s="0" t="n">
        <f aca="false">-D12</f>
        <v>76.147104672</v>
      </c>
      <c r="E16" s="0" t="n">
        <f aca="false">-E12</f>
        <v>82.50641692704</v>
      </c>
      <c r="F16" s="0" t="n">
        <f aca="false">-F12</f>
        <v>89.3349085385016</v>
      </c>
      <c r="G16" s="0" t="n">
        <f aca="false">-G12</f>
        <v>96.2068245799248</v>
      </c>
      <c r="H16" s="0" t="n">
        <f aca="false">-H12</f>
        <v>100.536131686021</v>
      </c>
      <c r="I16" s="0" t="n">
        <f aca="false">-I12</f>
        <v>104.557576953462</v>
      </c>
      <c r="J16" s="0" t="n">
        <f aca="false">-J12</f>
        <v>108.530764877694</v>
      </c>
      <c r="K16" s="0" t="n">
        <f aca="false">-K12</f>
        <v>112.329341648413</v>
      </c>
      <c r="L16" s="0" t="n">
        <f aca="false">-L12</f>
        <v>116.260868606108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-194.15376</v>
      </c>
      <c r="D17" s="4" t="n">
        <f aca="false">-D6*Assumptions!D46/100</f>
        <v>-205.8029856</v>
      </c>
      <c r="E17" s="4" t="n">
        <f aca="false">-E6*Assumptions!E46/100</f>
        <v>-217.122149808</v>
      </c>
      <c r="F17" s="4" t="n">
        <f aca="false">-F6*Assumptions!F46/100</f>
        <v>-229.06386804744</v>
      </c>
      <c r="G17" s="4" t="n">
        <f aca="false">-G6*Assumptions!G46/100</f>
        <v>-192.41364915985</v>
      </c>
      <c r="H17" s="4" t="n">
        <f aca="false">-H6*Assumptions!H46/100</f>
        <v>-188.50524691129</v>
      </c>
      <c r="I17" s="4" t="n">
        <f aca="false">-I6*Assumptions!I46/100</f>
        <v>-196.045456787742</v>
      </c>
      <c r="J17" s="4" t="n">
        <f aca="false">-J6*Assumptions!J46/100</f>
        <v>-203.495184145676</v>
      </c>
      <c r="K17" s="4" t="n">
        <f aca="false">-K6*Assumptions!K46/100</f>
        <v>-210.617515590775</v>
      </c>
      <c r="L17" s="4" t="n">
        <f aca="false">-L6*Assumptions!L46/100</f>
        <v>-217.989128636452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566.49213324</v>
      </c>
      <c r="D19" s="0" t="n">
        <f aca="false">D15+D16+D17+D18</f>
        <v>615.5052791832</v>
      </c>
      <c r="E19" s="0" t="n">
        <f aca="false">E15+E16+E17+E18</f>
        <v>665.20798647426</v>
      </c>
      <c r="F19" s="0" t="n">
        <f aca="false">F15+F16+F17+F18</f>
        <v>718.516088097808</v>
      </c>
      <c r="G19" s="0" t="n">
        <f aca="false">G15+G16+G17+G18</f>
        <v>820.103050278497</v>
      </c>
      <c r="H19" s="0" t="n">
        <f aca="false">H15+H16+H17+H18</f>
        <v>869.574704001781</v>
      </c>
      <c r="I19" s="0" t="n">
        <f aca="false">I15+I16+I17+I18</f>
        <v>904.357692161853</v>
      </c>
      <c r="J19" s="0" t="n">
        <f aca="false">J15+J16+J17+J18</f>
        <v>938.723284464003</v>
      </c>
      <c r="K19" s="0" t="n">
        <f aca="false">K15+K16+K17+K18</f>
        <v>971.578599420243</v>
      </c>
      <c r="L19" s="0" t="n">
        <f aca="false">L15+L16+L17+L18</f>
        <v>1005.58385039995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522.112565198157</v>
      </c>
      <c r="D21" s="0" t="n">
        <f aca="false">D19*D20</f>
        <v>522.844213453843</v>
      </c>
      <c r="E21" s="0" t="n">
        <f aca="false">E19*E20</f>
        <v>520.796719751497</v>
      </c>
      <c r="F21" s="0" t="n">
        <f aca="false">F19*F20</f>
        <v>518.462732004185</v>
      </c>
      <c r="G21" s="0" t="n">
        <f aca="false">G19*G20</f>
        <v>545.4057802126</v>
      </c>
      <c r="H21" s="0" t="n">
        <f aca="false">H19*H20</f>
        <v>533.001545717771</v>
      </c>
      <c r="I21" s="0" t="n">
        <f aca="false">I19*I20</f>
        <v>510.895490826251</v>
      </c>
      <c r="J21" s="0" t="n">
        <f aca="false">J19*J20</f>
        <v>488.764534080782</v>
      </c>
      <c r="K21" s="0" t="n">
        <f aca="false">K19*K20</f>
        <v>466.240822832819</v>
      </c>
      <c r="L21" s="0" t="n">
        <f aca="false">L19*L20</f>
        <v>444.755070628542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0.59</v>
      </c>
      <c r="D23" s="4" t="n">
        <f aca="false">Assumptions!D44</f>
        <v>0.59</v>
      </c>
      <c r="E23" s="4" t="n">
        <f aca="false">Assumptions!E44</f>
        <v>0.59</v>
      </c>
      <c r="F23" s="4" t="n">
        <f aca="false">Assumptions!F44</f>
        <v>0.59</v>
      </c>
      <c r="G23" s="4" t="n">
        <f aca="false">Assumptions!G44</f>
        <v>0.59</v>
      </c>
      <c r="H23" s="4" t="n">
        <f aca="false">Assumptions!H44</f>
        <v>0.59</v>
      </c>
      <c r="I23" s="4" t="n">
        <f aca="false">Assumptions!I44</f>
        <v>0.59</v>
      </c>
      <c r="J23" s="4" t="n">
        <f aca="false">Assumptions!J44</f>
        <v>0.59</v>
      </c>
      <c r="K23" s="4" t="n">
        <f aca="false">Assumptions!K44</f>
        <v>0.59</v>
      </c>
      <c r="L23" s="4" t="n">
        <f aca="false">Assumptions!L44</f>
        <v>0.59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-57.2753592</v>
      </c>
      <c r="D24" s="0" t="n">
        <f aca="false">-D6*D23/100</f>
        <v>-60.711880752</v>
      </c>
      <c r="E24" s="0" t="n">
        <f aca="false">-E6*E23/100</f>
        <v>-64.05103419336</v>
      </c>
      <c r="F24" s="0" t="n">
        <f aca="false">-F6*F23/100</f>
        <v>-67.5738410739948</v>
      </c>
      <c r="G24" s="0" t="n">
        <f aca="false">-G6*G23/100</f>
        <v>-70.9525331276945</v>
      </c>
      <c r="H24" s="0" t="n">
        <f aca="false">-H6*H23/100</f>
        <v>-74.1453971184408</v>
      </c>
      <c r="I24" s="0" t="n">
        <f aca="false">-I6*I23/100</f>
        <v>-77.1112130031784</v>
      </c>
      <c r="J24" s="0" t="n">
        <f aca="false">-J6*J23/100</f>
        <v>-80.0414390972992</v>
      </c>
      <c r="K24" s="0" t="n">
        <f aca="false">-K6*K23/100</f>
        <v>-82.8428894657047</v>
      </c>
      <c r="L24" s="0" t="n">
        <f aca="false">-L6*L23/100</f>
        <v>-85.7423905970043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5073.27947470645</v>
      </c>
    </row>
    <row r="31" customFormat="false" ht="15" hidden="false" customHeight="false" outlineLevel="0" collapsed="false">
      <c r="A31" s="0" t="s">
        <v>131</v>
      </c>
      <c r="B31" s="0" t="n">
        <f aca="false">L19</f>
        <v>1005.58385039995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20815.585703279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18100.5093071991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18100.5093071991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8005.59127131375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13078.8707460202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12928.8707460202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4.69457906536681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0.0295129529313185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97.2064040903203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166.31313610107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4.79026517291634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9050.25465359956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2.12366490526487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3.13735029390841</v>
      </c>
      <c r="C4" s="0" t="n">
        <f aca="false">B4/Assumptions!$B$2-1</f>
        <v>-0.311984584669208</v>
      </c>
      <c r="D4" s="4" t="n">
        <f aca="false">Assumptions!$B$24</f>
        <v>0.25</v>
      </c>
      <c r="E4" s="4" t="n">
        <f aca="false">DCF_Bear!$B$43</f>
        <v>3.21044847492195</v>
      </c>
      <c r="F4" s="4" t="n">
        <f aca="false">DCF_Bear!$B$47</f>
        <v>1.44324156145994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4.06329464629283</v>
      </c>
      <c r="C5" s="0" t="n">
        <f aca="false">B5/Assumptions!$B$2-1</f>
        <v>-0.108926612655082</v>
      </c>
      <c r="D5" s="4" t="n">
        <f aca="false">Assumptions!$B$38</f>
        <v>0.5</v>
      </c>
      <c r="E5" s="4" t="n">
        <f aca="false">DCF_Base!$B$43</f>
        <v>4.14872533086322</v>
      </c>
      <c r="F5" s="4" t="n">
        <f aca="false">DCF_Base!$B$47</f>
        <v>1.83125019152709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4.69457906536681</v>
      </c>
      <c r="C6" s="0" t="n">
        <f aca="false">B6/Assumptions!$B$2-1</f>
        <v>0.0295129529313185</v>
      </c>
      <c r="D6" s="4" t="n">
        <f aca="false">Assumptions!$B$52</f>
        <v>0.25</v>
      </c>
      <c r="E6" s="4" t="n">
        <f aca="false">DCF_Bull!$B$43</f>
        <v>4.79026517291634</v>
      </c>
      <c r="F6" s="4" t="n">
        <f aca="false">DCF_Bull!$B$47</f>
        <v>2.12366490526487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3.98962966296522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4.07454107739118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-0.14296322847441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671.72398539199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1.80735171244475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4.06329464629283</v>
      </c>
      <c r="C15" s="3" t="n">
        <v>8.5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3.80350182125455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3.23853383491534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2.81536194226523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2.48669239187865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1.83125019152709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4.74070489849674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4.74070489849674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4.74070489849674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4.74070489849674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4.74070489849674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4.38593564761995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4.38593564761995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4.38593564761995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4.38593564761995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4.38593564761995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3.74582848117851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3.93719003070575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4.06329464629283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4.06329464629283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4.06329464629283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3.21728739268242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3.34817561028943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3.49920047675906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3.67539615430696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3.76952809162707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2.81412610728947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2.90724064999815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3.01277046506799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3.13337596800494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3.27253616370143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2026-09-24T08:44:37Z</dcterms:created>
  <dc:creator>openpyxl</dc:creator>
  <dc:description/>
  <dc:language>en-NZ</dc:language>
  <cp:lastModifiedBy/>
  <dcterms:modified xsi:type="dcterms:W3CDTF">2026-09-24T08:44:37Z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