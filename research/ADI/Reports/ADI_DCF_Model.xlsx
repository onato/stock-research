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<sst xmlns="http://schemas.openxmlformats.org/spreadsheetml/2006/main" count="390" uniqueCount="176">
  <si>
    <t xml:space="preserve">Ticker</t>
  </si>
  <si>
    <t xml:space="preserve">ADI</t>
  </si>
  <si>
    <t xml:space="preserve">Company</t>
  </si>
  <si>
    <t xml:space="preserve">Analog Devices, Inc.</t>
  </si>
  <si>
    <t xml:space="preserve">Valuation date</t>
  </si>
  <si>
    <t xml:space="preserve">2026-09-25</t>
  </si>
  <si>
    <t xml:space="preserve">Current price</t>
  </si>
  <si>
    <t xml:space="preserve">Price as of</t>
  </si>
  <si>
    <t xml:space="preserve">2026-09-24T20:00:01Z regular close</t>
  </si>
  <si>
    <t xml:space="preserve">Balance sheet date</t>
  </si>
  <si>
    <t xml:space="preserve">2026-08-01</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</si>
  <si>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</si>
  <si>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</si>
  <si>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</si>
  <si>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</si>
  <si>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</si>
  <si>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</si>
  <si>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</si>
  <si>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</si>
  <si>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</si>
  <si>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</si>
  <si>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2026-09-25T06:54:38Z</t>
  </si>
  <si>
    <t xml:space="preserve">Drivers file</t>
  </si>
  <si>
    <t xml:space="preserve">ADI_Drivers.json</t>
  </si>
  <si>
    <t xml:space="preserve">Convention</t>
  </si>
  <si>
    <t xml:space="preserve">Percents stored as percents; formulas divide by 100. Blue = input, green = link, black = formula.</t>
  </si>
  <si>
    <t xml:space="preserve">Methodology</t>
  </si>
  <si>
    <t xml:space="preserve">summary: Analog Devices is a high-quality, diversified analog/mixed-signal semiconductor franchise with genuine design-in switching-cost moats, currently riding both a cyclical industrial/automotive recovery and a secular AI-datacenter power/connectivity growth wave simultaneously -- an unusually favorable but also unusually well-priced combination. The stock trades at roughly 12.8x the FY2026E guided revenue base and ~43x owner FCF, pricing in sustained elevated growth for years. The valuation below is built on management's own explicit FY2026 guidance and FY2027 growth framing rather than distorted historical CAGRs (the trailing 3-year window spans a full cyclical peak-to-trough-to-recovery cycle and an M&amp;A-inflated equity base), decelerating toward a mature, still-attractive but no longer extraordinary growth and margin profile.
key_risks_to_valuation: AI datacenter capex digestion: growth is increasingly concentrated in a handful of hyperscale customers whose spending plans could shift quickly; Repeat of the FY2023-2024 industrial/automotive inventory correction -- ADI's own recent history shows a 24% peak-to-trough revenue swing is a real, not theoretical, risk; Texas Instruments' aggressive 300mm owned-fab capacity expansion pressuring pricing and share in overlapping analog product lines; US-China trade tensions, export controls and China's semiconductor indigenization push structurally eroding a historically important geographic market; Integration risk from a rapid cadence of acquisitions (Maxim, Empower, pending Alif) distracting management or diluting returns if the growth cycle decelerates before synergies are realized</t>
  </si>
  <si>
    <t xml:space="preserve">Data sources</t>
  </si>
  <si>
    <t xml:space="preserve">price: Yahoo Finance chart API at inputs.price_as_of; 52-week range 223.47-445.91
financials: SEC XBRL company-facts API (CIK 0000006281) and research/ADI/Reports/ADI_Metrics.csv (from core_metrics, SEC XBRL-sourced, no PDF filings for this US filer)
qualitative: research/ADI/Reports/ADI_Analysis.json, analysis_date 2026-09-25</t>
  </si>
  <si>
    <t xml:space="preserve">Scenario narrative: bear</t>
  </si>
  <si>
    <t xml:space="preserve">A digestion phase in concentrated hyperscaler AI capex coincides with a repeat of the FY2023-2024-style industrial/automotive inventory correction, compounded by Texas Instruments' capacity-driven pricing pressure and continuing China indigenization/export-control friction -- growth and margins fall sharply in years 2-3 before a muted recovery to a lower structural growth and margin plateau than the base case.</t>
  </si>
  <si>
    <t xml:space="preserve">Scenario narrative: base</t>
  </si>
  <si>
    <t xml:space="preserve">Cyclical recovery in Industrial and Automotive continues broadening while the AI datacenter power/connectivity ramp persists for several years as management describes, both decelerating toward a mature high-single-digit blended growth rate as the AI buildout matures; margins expand toward the guided ~51-52% run-rate.</t>
  </si>
  <si>
    <t xml:space="preserve">Scenario narrative: bull</t>
  </si>
  <si>
    <t xml:space="preserve">The current upcycle is structural, not merely cyclical: AI datacenter content per GW keeps rising, industrial/auto electrification content growth runs hotter and longer, and bolt-on M&amp;A (Alif) adds genuinely incremental TAM -- multi-year double-digit growth as the CEO has suggested is possible for the analog industry broadly.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</si>
  <si>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</si>
  <si>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</si>
  <si>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</si>
  <si>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</si>
  <si>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</si>
  <si>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</si>
  <si>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</si>
  <si>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</si>
  <si>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</si>
  <si>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</si>
  <si>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</si>
  <si>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</si>
  <si>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</si>
  <si>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</si>
  <si>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</si>
  <si>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</si>
  <si>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</si>
  <si>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</si>
  <si>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</si>
  <si>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</si>
  <si>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</si>
  <si>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</si>
  <si>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</si>
  <si>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</si>
  <si>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</si>
  <si>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</si>
  <si>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</si>
  <si>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</si>
  <si>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</si>
  <si>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</si>
  <si>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</si>
  <si>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</si>
  <si>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</si>
  <si>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</si>
  <si>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</si>
  <si>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</si>
  <si>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</si>
  <si>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</si>
  <si>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</si>
  <si>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</si>
  <si>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</si>
  <si>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</si>
  <si>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</si>
  <si>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</si>
  <si>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</si>
  <si>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</si>
  <si>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</si>
  <si>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</si>
  <si>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</si>
  <si>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</si>
  <si>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</si>
  <si>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</si>
  <si>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</si>
  <si>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</si>
  <si>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</si>
  <si>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</si>
  <si>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</si>
  <si>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</si>
  <si>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</si>
  <si>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</si>
  <si>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</si>
  <si>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</si>
  <si>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</si>
  <si>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</si>
  <si>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</si>
  <si>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</si>
  <si>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</si>
  <si>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</si>
  <si>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</si>
  <si>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</si>
  <si>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</si>
  <si>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</si>
  <si>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</si>
  <si>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</si>
  <si>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</si>
  <si>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</si>
  <si>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</si>
  <si>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</si>
  <si>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</si>
  <si>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</si>
  <si>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</si>
  <si>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</si>
  <si>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</si>
  <si>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</si>
  <si>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</si>
  <si>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ADI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</si>
  <si>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</si>
  <si>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</si>
  <si>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</si>
  <si>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</si>
  <si>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</si>
  <si>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</si>
  <si>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</si>
  <si>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</si>
  <si>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</si>
  <si>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</si>
  <si>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</si>
  <si>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</si>
  <si>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</si>
  <si>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</si>
  <si>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</si>
  <si>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</si>
  <si>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</si>
  <si>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</si>
  <si>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</si>
  <si>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</si>
  <si>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</si>
  <si>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</si>
  <si>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</si>
  <si>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</si>
  <si>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</si>
  <si>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</si>
  <si>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</si>
  <si>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</si>
  <si>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</si>
  <si>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</si>
  <si>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ADI owner-FCF component DCF: base case (millions, USD)</t>
  </si>
  <si>
    <t xml:space="preserve">ADI owner-FCF component DCF: bull case (millions, USD)</t>
  </si>
  <si>
    <t xml:space="preserve">ADI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</si>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</sst>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382.61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S2" s="0" t="n">
        <v>343.947</v>
      </c>
      <c r="AA2" s="0" t="s">
        <v>17</v>
      </c>
      <c r="AB2" s="0" t="s">
        <v>14</v>
      </c>
    </row>
    <row r="3" customFormat="false" ht="15" hidden="false" customHeight="false" outlineLevel="0" collapsed="false">
      <c r="A3" s="0" t="s">
        <v>64</v>
      </c>
      <c r="B3" s="0" t="n">
        <v>2464.721</v>
      </c>
      <c r="C3" s="0" t="n">
        <v>956.445</v>
      </c>
      <c r="D3" s="0" t="n">
        <v>1508.276</v>
      </c>
      <c r="E3" s="0" t="n">
        <v>61.1945936274329</v>
      </c>
      <c r="F3" s="0" t="n">
        <v>568.723</v>
      </c>
      <c r="G3" s="0" t="n">
        <v>23.0745386597509</v>
      </c>
      <c r="I3" s="0" t="n">
        <v>496.907</v>
      </c>
      <c r="J3" s="0" t="n">
        <v>20.1607808754013</v>
      </c>
      <c r="K3" s="0" t="n">
        <v>1.5</v>
      </c>
      <c r="L3" s="0" t="n">
        <v>820.365</v>
      </c>
      <c r="M3" s="0" t="n">
        <v>141.81</v>
      </c>
      <c r="N3" s="0" t="n">
        <v>678.555</v>
      </c>
      <c r="S3" s="0" t="n">
        <v>424.972</v>
      </c>
      <c r="T3" s="0" t="n">
        <v>332.301</v>
      </c>
      <c r="U3" s="0" t="n">
        <v>72.652</v>
      </c>
      <c r="AA3" s="0" t="s">
        <v>17</v>
      </c>
      <c r="AB3" s="0" t="s">
        <v>14</v>
      </c>
    </row>
    <row r="4" customFormat="false" ht="15" hidden="false" customHeight="false" outlineLevel="0" collapsed="false">
      <c r="A4" s="0" t="s">
        <v>65</v>
      </c>
      <c r="B4" s="0" t="n">
        <v>2582.931</v>
      </c>
      <c r="C4" s="0" t="n">
        <v>1005.656</v>
      </c>
      <c r="D4" s="0" t="n">
        <v>1577.275</v>
      </c>
      <c r="E4" s="0" t="n">
        <v>61.0653168822551</v>
      </c>
      <c r="F4" s="0" t="n">
        <v>625.025</v>
      </c>
      <c r="G4" s="0" t="n">
        <v>24.198284816745</v>
      </c>
      <c r="I4" s="0" t="n">
        <v>786.284</v>
      </c>
      <c r="J4" s="0" t="n">
        <v>30.4415410245183</v>
      </c>
      <c r="K4" s="0" t="n">
        <v>2.65</v>
      </c>
      <c r="L4" s="0" t="n">
        <v>669.368</v>
      </c>
      <c r="M4" s="0" t="n">
        <v>157.408</v>
      </c>
      <c r="N4" s="0" t="n">
        <v>511.96</v>
      </c>
      <c r="O4" s="0" t="n">
        <v>2420.263</v>
      </c>
      <c r="P4" s="0" t="n">
        <v>3090.992</v>
      </c>
      <c r="S4" s="0" t="n">
        <v>593.599</v>
      </c>
      <c r="T4" s="0" t="n">
        <v>297.11</v>
      </c>
      <c r="U4" s="0" t="n">
        <v>50.247</v>
      </c>
      <c r="AA4" s="0" t="s">
        <v>17</v>
      </c>
      <c r="AB4" s="0" t="s">
        <v>14</v>
      </c>
    </row>
    <row r="5" customFormat="false" ht="15" hidden="false" customHeight="false" outlineLevel="0" collapsed="false">
      <c r="A5" s="0" t="s">
        <v>66</v>
      </c>
      <c r="B5" s="0" t="n">
        <v>2014.908</v>
      </c>
      <c r="C5" s="0" t="n">
        <v>896.271</v>
      </c>
      <c r="D5" s="0" t="n">
        <v>1118.637</v>
      </c>
      <c r="E5" s="0" t="n">
        <v>55.5180186886945</v>
      </c>
      <c r="F5" s="0" t="n">
        <v>284.817</v>
      </c>
      <c r="G5" s="0" t="n">
        <v>14.1354841015074</v>
      </c>
      <c r="I5" s="0" t="n">
        <v>247.772</v>
      </c>
      <c r="J5" s="0" t="n">
        <v>12.29693861953</v>
      </c>
      <c r="K5" s="0" t="n">
        <v>0.85</v>
      </c>
      <c r="L5" s="0" t="n">
        <v>432.148</v>
      </c>
      <c r="M5" s="0" t="n">
        <v>56.095</v>
      </c>
      <c r="N5" s="0" t="n">
        <v>376.053</v>
      </c>
      <c r="O5" s="0" t="n">
        <v>2529.149</v>
      </c>
      <c r="P5" s="0" t="n">
        <v>3369.407</v>
      </c>
      <c r="S5" s="0" t="n">
        <v>1070</v>
      </c>
      <c r="T5" s="0" t="n">
        <v>292.698</v>
      </c>
      <c r="U5" s="0" t="n">
        <v>48.613</v>
      </c>
      <c r="AA5" s="0" t="s">
        <v>17</v>
      </c>
      <c r="AB5" s="0" t="s">
        <v>14</v>
      </c>
    </row>
    <row r="6" customFormat="false" ht="15" hidden="false" customHeight="false" outlineLevel="0" collapsed="false">
      <c r="A6" s="0" t="s">
        <v>67</v>
      </c>
      <c r="B6" s="0" t="n">
        <v>2761.503</v>
      </c>
      <c r="C6" s="0" t="n">
        <v>962.081</v>
      </c>
      <c r="D6" s="0" t="n">
        <v>1799.422</v>
      </c>
      <c r="E6" s="0" t="n">
        <v>65.1609648803568</v>
      </c>
      <c r="F6" s="0" t="n">
        <v>900.074</v>
      </c>
      <c r="G6" s="0" t="n">
        <v>32.5936274557732</v>
      </c>
      <c r="I6" s="0" t="n">
        <v>712.084</v>
      </c>
      <c r="J6" s="0" t="n">
        <v>25.7861027129067</v>
      </c>
      <c r="K6" s="0" t="n">
        <v>2.33</v>
      </c>
      <c r="L6" s="0" t="n">
        <v>991.175</v>
      </c>
      <c r="M6" s="0" t="n">
        <v>111.557</v>
      </c>
      <c r="N6" s="0" t="n">
        <v>879.618</v>
      </c>
      <c r="O6" s="0" t="n">
        <v>3199.717</v>
      </c>
      <c r="P6" s="0" t="n">
        <v>4328.831</v>
      </c>
      <c r="S6" s="0" t="n">
        <v>1405.1</v>
      </c>
      <c r="T6" s="0" t="n">
        <v>305.861</v>
      </c>
      <c r="U6" s="0" t="n">
        <v>51.752</v>
      </c>
      <c r="AA6" s="0" t="s">
        <v>17</v>
      </c>
      <c r="AB6" s="0" t="s">
        <v>14</v>
      </c>
    </row>
    <row r="7" customFormat="false" ht="15" hidden="false" customHeight="false" outlineLevel="0" collapsed="false">
      <c r="A7" s="0" t="s">
        <v>68</v>
      </c>
      <c r="B7" s="0" t="n">
        <v>2993.32</v>
      </c>
      <c r="D7" s="0" t="n">
        <v>1986.541</v>
      </c>
      <c r="E7" s="0" t="n">
        <v>66.3658078655139</v>
      </c>
      <c r="F7" s="0" t="n">
        <v>1072.025</v>
      </c>
      <c r="G7" s="0" t="n">
        <v>35.8139123114134</v>
      </c>
      <c r="I7" s="0" t="n">
        <v>867.394</v>
      </c>
      <c r="J7" s="0" t="n">
        <v>28.9776569160664</v>
      </c>
      <c r="K7" s="0" t="n">
        <v>2.81</v>
      </c>
      <c r="L7" s="0" t="n">
        <v>900.529</v>
      </c>
      <c r="M7" s="0" t="n">
        <v>122.996</v>
      </c>
      <c r="N7" s="0" t="n">
        <v>777.533</v>
      </c>
      <c r="O7" s="0" t="n">
        <v>3795.413</v>
      </c>
      <c r="P7" s="0" t="n">
        <v>5277.635</v>
      </c>
      <c r="S7" s="0" t="n">
        <v>1405.1</v>
      </c>
      <c r="T7" s="0" t="n">
        <v>308.236</v>
      </c>
      <c r="U7" s="0" t="n">
        <v>52.358</v>
      </c>
      <c r="AA7" s="0" t="s">
        <v>17</v>
      </c>
      <c r="AB7" s="0" t="s">
        <v>14</v>
      </c>
    </row>
    <row r="8" customFormat="false" ht="15" hidden="false" customHeight="false" outlineLevel="0" collapsed="false">
      <c r="A8" s="0" t="s">
        <v>69</v>
      </c>
      <c r="B8" s="0" t="n">
        <v>2701.142</v>
      </c>
      <c r="D8" s="0" t="n">
        <v>1741.001</v>
      </c>
      <c r="E8" s="0" t="n">
        <v>64.4542567551058</v>
      </c>
      <c r="F8" s="0" t="n">
        <v>824.048</v>
      </c>
      <c r="G8" s="0" t="n">
        <v>30.5073927990457</v>
      </c>
      <c r="I8" s="0" t="n">
        <v>651.236</v>
      </c>
      <c r="J8" s="0" t="n">
        <v>24.1096543610073</v>
      </c>
      <c r="K8" s="0" t="n">
        <v>2.13</v>
      </c>
      <c r="L8" s="0" t="n">
        <v>814.542</v>
      </c>
      <c r="M8" s="0" t="n">
        <v>132.176</v>
      </c>
      <c r="N8" s="0" t="n">
        <v>682.366</v>
      </c>
      <c r="O8" s="0" t="n">
        <v>4165.359</v>
      </c>
      <c r="P8" s="0" t="n">
        <v>5620.347</v>
      </c>
      <c r="S8" s="0" t="n">
        <v>528.833</v>
      </c>
      <c r="T8" s="0" t="n">
        <v>306.191</v>
      </c>
      <c r="U8" s="0" t="n">
        <v>53.5</v>
      </c>
      <c r="AA8" s="0" t="s">
        <v>17</v>
      </c>
      <c r="AB8" s="0" t="s">
        <v>14</v>
      </c>
    </row>
    <row r="9" customFormat="false" ht="15" hidden="false" customHeight="false" outlineLevel="0" collapsed="false">
      <c r="A9" s="0" t="s">
        <v>70</v>
      </c>
      <c r="B9" s="0" t="n">
        <v>2633.689</v>
      </c>
      <c r="D9" s="0" t="n">
        <v>1692.411</v>
      </c>
      <c r="E9" s="0" t="n">
        <v>64.260092972253</v>
      </c>
      <c r="F9" s="0" t="n">
        <v>753.075</v>
      </c>
      <c r="G9" s="0" t="n">
        <v>28.5939228208038</v>
      </c>
      <c r="I9" s="0" t="n">
        <v>673.487</v>
      </c>
      <c r="J9" s="0" t="n">
        <v>25.5720018574707</v>
      </c>
      <c r="K9" s="0" t="n">
        <v>2.14</v>
      </c>
      <c r="L9" s="0" t="n">
        <v>912.345</v>
      </c>
      <c r="M9" s="0" t="n">
        <v>123.074</v>
      </c>
      <c r="N9" s="0" t="n">
        <v>789.271</v>
      </c>
      <c r="O9" s="0" t="n">
        <v>4739.576</v>
      </c>
      <c r="P9" s="0" t="n">
        <v>6381.75</v>
      </c>
      <c r="S9" s="0" t="n">
        <v>392.089</v>
      </c>
      <c r="T9" s="0" t="n">
        <v>314.041</v>
      </c>
      <c r="U9" s="0" t="n">
        <v>56.886</v>
      </c>
      <c r="AA9" s="0" t="s">
        <v>17</v>
      </c>
      <c r="AB9" s="0" t="s">
        <v>14</v>
      </c>
    </row>
    <row r="10" customFormat="false" ht="15" hidden="false" customHeight="false" outlineLevel="0" collapsed="false">
      <c r="A10" s="0" t="s">
        <v>71</v>
      </c>
      <c r="B10" s="0" t="n">
        <v>2864.773</v>
      </c>
      <c r="D10" s="0" t="n">
        <v>1830.188</v>
      </c>
      <c r="E10" s="0" t="n">
        <v>63.8859693246201</v>
      </c>
      <c r="F10" s="0" t="n">
        <v>752.484</v>
      </c>
      <c r="G10" s="0" t="n">
        <v>26.2667932153787</v>
      </c>
      <c r="I10" s="0" t="n">
        <v>629.32</v>
      </c>
      <c r="J10" s="0" t="n">
        <v>21.9675346004727</v>
      </c>
      <c r="L10" s="0" t="n">
        <v>871.602</v>
      </c>
      <c r="M10" s="0" t="n">
        <v>177.913</v>
      </c>
      <c r="N10" s="0" t="n">
        <v>693.689</v>
      </c>
      <c r="O10" s="0" t="n">
        <v>4757.897</v>
      </c>
      <c r="P10" s="0" t="n">
        <v>6859.69</v>
      </c>
      <c r="R10" s="0" t="n">
        <v>0</v>
      </c>
      <c r="S10" s="0" t="n">
        <v>569.233</v>
      </c>
      <c r="T10" s="0" t="n">
        <v>318.027</v>
      </c>
      <c r="U10" s="0" t="n">
        <v>50.812</v>
      </c>
      <c r="AA10" s="0" t="s">
        <v>17</v>
      </c>
      <c r="AB10" s="0" t="s">
        <v>14</v>
      </c>
    </row>
    <row r="11" customFormat="false" ht="15" hidden="false" customHeight="false" outlineLevel="0" collapsed="false">
      <c r="A11" s="0" t="s">
        <v>72</v>
      </c>
      <c r="B11" s="0" t="n">
        <v>3435.092</v>
      </c>
      <c r="D11" s="0" t="n">
        <v>2259.262</v>
      </c>
      <c r="E11" s="0" t="n">
        <v>65.7700579780687</v>
      </c>
      <c r="F11" s="0" t="n">
        <v>830.841</v>
      </c>
      <c r="G11" s="0" t="n">
        <v>24.1868631174944</v>
      </c>
      <c r="I11" s="0" t="n">
        <v>696.878</v>
      </c>
      <c r="J11" s="0" t="n">
        <v>20.287025791449</v>
      </c>
      <c r="L11" s="0" t="n">
        <v>907.798</v>
      </c>
      <c r="M11" s="0" t="n">
        <v>153.96</v>
      </c>
      <c r="N11" s="0" t="n">
        <v>753.838</v>
      </c>
      <c r="O11" s="0" t="n">
        <v>5072.959</v>
      </c>
      <c r="P11" s="0" t="n">
        <v>7058.777</v>
      </c>
      <c r="R11" s="0" t="n">
        <v>374.594</v>
      </c>
      <c r="S11" s="0" t="n">
        <v>884.353</v>
      </c>
      <c r="T11" s="0" t="n">
        <v>316.872</v>
      </c>
      <c r="U11" s="0" t="n">
        <v>68.919</v>
      </c>
      <c r="AA11" s="0" t="s">
        <v>17</v>
      </c>
      <c r="AB11" s="0" t="s">
        <v>14</v>
      </c>
    </row>
    <row r="12" customFormat="false" ht="15" hidden="false" customHeight="false" outlineLevel="0" collapsed="false">
      <c r="A12" s="0" t="s">
        <v>73</v>
      </c>
      <c r="B12" s="0" t="n">
        <v>3421.409</v>
      </c>
      <c r="C12" s="0" t="n">
        <v>1194.236</v>
      </c>
      <c r="D12" s="0" t="n">
        <v>2227.173</v>
      </c>
      <c r="E12" s="0" t="n">
        <v>65.0951990831847</v>
      </c>
      <c r="F12" s="0" t="n">
        <v>1028.112</v>
      </c>
      <c r="G12" s="0" t="n">
        <v>30.0493743951688</v>
      </c>
      <c r="I12" s="0" t="n">
        <v>861.664</v>
      </c>
      <c r="J12" s="0" t="n">
        <v>25.1844780907515</v>
      </c>
      <c r="L12" s="0" t="n">
        <v>1291.348</v>
      </c>
      <c r="M12" s="0" t="n">
        <v>127.397</v>
      </c>
      <c r="N12" s="0" t="n">
        <v>1163.951</v>
      </c>
      <c r="O12" s="0" t="n">
        <v>5165.618</v>
      </c>
      <c r="P12" s="0" t="n">
        <v>7970.278</v>
      </c>
      <c r="R12" s="0" t="n">
        <v>0</v>
      </c>
      <c r="S12" s="0" t="n">
        <v>921.132</v>
      </c>
      <c r="T12" s="0" t="n">
        <v>312.308</v>
      </c>
      <c r="U12" s="0" t="n">
        <v>63.421</v>
      </c>
      <c r="AA12" s="0" t="s">
        <v>17</v>
      </c>
      <c r="AB12" s="0" t="s">
        <v>14</v>
      </c>
    </row>
    <row r="13" customFormat="false" ht="15" hidden="false" customHeight="false" outlineLevel="0" collapsed="false">
      <c r="A13" s="0" t="s">
        <v>74</v>
      </c>
      <c r="B13" s="0" t="n">
        <v>5246.354</v>
      </c>
      <c r="C13" s="0" t="n">
        <v>2078.113</v>
      </c>
      <c r="D13" s="0" t="n">
        <v>3168.241</v>
      </c>
      <c r="E13" s="0" t="n">
        <v>60.3893866102059</v>
      </c>
      <c r="F13" s="0" t="n">
        <v>1162.761</v>
      </c>
      <c r="G13" s="0" t="n">
        <v>22.1632204003009</v>
      </c>
      <c r="I13" s="0" t="n">
        <v>805.379</v>
      </c>
      <c r="J13" s="0" t="n">
        <v>15.3512134331766</v>
      </c>
      <c r="L13" s="0" t="n">
        <v>1154.365</v>
      </c>
      <c r="M13" s="0" t="n">
        <v>204.098</v>
      </c>
      <c r="N13" s="0" t="n">
        <v>950.267</v>
      </c>
      <c r="O13" s="0" t="n">
        <v>10161.54</v>
      </c>
      <c r="P13" s="0" t="n">
        <v>21141.294</v>
      </c>
      <c r="R13" s="0" t="n">
        <v>300</v>
      </c>
      <c r="S13" s="0" t="n">
        <v>1047.838</v>
      </c>
      <c r="T13" s="0" t="n">
        <v>350.484</v>
      </c>
      <c r="U13" s="0" t="n">
        <v>104.188</v>
      </c>
      <c r="AA13" s="0" t="s">
        <v>17</v>
      </c>
      <c r="AB13" s="0" t="s">
        <v>14</v>
      </c>
    </row>
    <row r="14" customFormat="false" ht="15" hidden="false" customHeight="false" outlineLevel="0" collapsed="false">
      <c r="A14" s="0" t="s">
        <v>75</v>
      </c>
      <c r="B14" s="0" t="n">
        <v>6224.689</v>
      </c>
      <c r="C14" s="0" t="n">
        <v>1974.293</v>
      </c>
      <c r="D14" s="0" t="n">
        <v>4250.396</v>
      </c>
      <c r="E14" s="0" t="n">
        <v>68.2828652162381</v>
      </c>
      <c r="F14" s="0" t="n">
        <v>1899.589</v>
      </c>
      <c r="G14" s="0" t="n">
        <v>30.5170105687208</v>
      </c>
      <c r="I14" s="0" t="n">
        <v>1506.98</v>
      </c>
      <c r="J14" s="0" t="n">
        <v>24.2097235701254</v>
      </c>
      <c r="L14" s="0" t="n">
        <v>2442.361</v>
      </c>
      <c r="M14" s="0" t="n">
        <v>254.876</v>
      </c>
      <c r="N14" s="0" t="n">
        <v>2187.485</v>
      </c>
      <c r="O14" s="0" t="n">
        <v>11268.173</v>
      </c>
      <c r="P14" s="0" t="n">
        <v>20438.366</v>
      </c>
      <c r="R14" s="0" t="n">
        <v>67</v>
      </c>
      <c r="S14" s="0" t="n">
        <v>816.591</v>
      </c>
      <c r="T14" s="0" t="n">
        <v>374.938</v>
      </c>
      <c r="U14" s="0" t="n">
        <v>151.165</v>
      </c>
      <c r="AA14" s="0" t="s">
        <v>17</v>
      </c>
      <c r="AB14" s="0" t="s">
        <v>14</v>
      </c>
    </row>
    <row r="15" customFormat="false" ht="15" hidden="false" customHeight="false" outlineLevel="0" collapsed="false">
      <c r="A15" s="0" t="s">
        <v>76</v>
      </c>
      <c r="B15" s="0" t="n">
        <v>5991.065</v>
      </c>
      <c r="C15" s="0" t="n">
        <v>1977.315</v>
      </c>
      <c r="D15" s="0" t="n">
        <v>4013.75</v>
      </c>
      <c r="E15" s="0" t="n">
        <v>66.99560094908</v>
      </c>
      <c r="F15" s="0" t="n">
        <v>1710.608</v>
      </c>
      <c r="G15" s="0" t="n">
        <v>28.5526529924145</v>
      </c>
      <c r="I15" s="0" t="n">
        <v>1363.011</v>
      </c>
      <c r="J15" s="0" t="n">
        <v>22.7507296282047</v>
      </c>
      <c r="L15" s="0" t="n">
        <v>2253.1</v>
      </c>
      <c r="M15" s="0" t="n">
        <v>275.372</v>
      </c>
      <c r="N15" s="0" t="n">
        <v>1977.728</v>
      </c>
      <c r="O15" s="0" t="n">
        <v>11709.188</v>
      </c>
      <c r="P15" s="0" t="n">
        <v>21392.641</v>
      </c>
      <c r="R15" s="0" t="n">
        <v>299.667</v>
      </c>
      <c r="S15" s="0" t="n">
        <v>648.322</v>
      </c>
      <c r="T15" s="0" t="n">
        <v>372.871</v>
      </c>
      <c r="U15" s="0" t="n">
        <v>150.3</v>
      </c>
      <c r="AA15" s="0" t="s">
        <v>17</v>
      </c>
      <c r="AB15" s="0" t="s">
        <v>14</v>
      </c>
    </row>
    <row r="16" customFormat="false" ht="15" hidden="false" customHeight="false" outlineLevel="0" collapsed="false">
      <c r="A16" s="0" t="s">
        <v>77</v>
      </c>
      <c r="B16" s="0" t="n">
        <v>5603.056</v>
      </c>
      <c r="C16" s="0" t="n">
        <v>1912.578</v>
      </c>
      <c r="D16" s="0" t="n">
        <v>3690.478</v>
      </c>
      <c r="E16" s="0" t="n">
        <v>65.8654491406118</v>
      </c>
      <c r="F16" s="0" t="n">
        <v>1498.244</v>
      </c>
      <c r="G16" s="0" t="n">
        <v>26.7397648711703</v>
      </c>
      <c r="I16" s="0" t="n">
        <v>1220.761</v>
      </c>
      <c r="J16" s="0" t="n">
        <v>21.7874138684318</v>
      </c>
      <c r="K16" s="0" t="n">
        <v>3.28</v>
      </c>
      <c r="L16" s="0" t="n">
        <v>2008.487</v>
      </c>
      <c r="M16" s="0" t="n">
        <v>165.692</v>
      </c>
      <c r="N16" s="0" t="n">
        <v>1842.795</v>
      </c>
      <c r="O16" s="0" t="n">
        <v>11997.945</v>
      </c>
      <c r="P16" s="0" t="n">
        <v>21468.603</v>
      </c>
      <c r="R16" s="0" t="n">
        <v>0</v>
      </c>
      <c r="S16" s="0" t="n">
        <v>1055.86</v>
      </c>
      <c r="T16" s="0" t="n">
        <v>371.973</v>
      </c>
      <c r="U16" s="0" t="n">
        <v>149.518</v>
      </c>
      <c r="AA16" s="0" t="s">
        <v>17</v>
      </c>
      <c r="AB16" s="0" t="s">
        <v>14</v>
      </c>
    </row>
    <row r="17" customFormat="false" ht="15" hidden="false" customHeight="false" outlineLevel="0" collapsed="false">
      <c r="A17" s="0" t="s">
        <v>78</v>
      </c>
      <c r="B17" s="0" t="n">
        <v>7318.286</v>
      </c>
      <c r="C17" s="0" t="n">
        <v>2793.274</v>
      </c>
      <c r="D17" s="0" t="n">
        <v>4525.012</v>
      </c>
      <c r="E17" s="0" t="n">
        <v>61.8315818758655</v>
      </c>
      <c r="F17" s="0" t="n">
        <v>1692.201</v>
      </c>
      <c r="G17" s="0" t="n">
        <v>23.1229142998784</v>
      </c>
      <c r="I17" s="0" t="n">
        <v>1390.422</v>
      </c>
      <c r="J17" s="0" t="n">
        <v>18.9992848052126</v>
      </c>
      <c r="K17" s="0" t="n">
        <v>3.46</v>
      </c>
      <c r="L17" s="0" t="n">
        <v>2735.069</v>
      </c>
      <c r="M17" s="0" t="n">
        <v>343.676</v>
      </c>
      <c r="N17" s="0" t="n">
        <v>2391.393</v>
      </c>
      <c r="O17" s="0" t="n">
        <v>37992.542</v>
      </c>
      <c r="P17" s="0" t="n">
        <v>52322.071</v>
      </c>
      <c r="R17" s="0" t="n">
        <v>7293.528</v>
      </c>
      <c r="S17" s="0" t="n">
        <v>1977.964</v>
      </c>
      <c r="T17" s="0" t="n">
        <v>401.288</v>
      </c>
      <c r="U17" s="0" t="n">
        <v>243.611</v>
      </c>
      <c r="AA17" s="0" t="s">
        <v>17</v>
      </c>
      <c r="AB17" s="0" t="s">
        <v>14</v>
      </c>
    </row>
    <row r="18" customFormat="false" ht="15" hidden="false" customHeight="false" outlineLevel="0" collapsed="false">
      <c r="A18" s="0" t="s">
        <v>79</v>
      </c>
      <c r="B18" s="0" t="n">
        <v>12013.953</v>
      </c>
      <c r="C18" s="0" t="n">
        <v>4481.479</v>
      </c>
      <c r="D18" s="0" t="n">
        <v>7532.474</v>
      </c>
      <c r="E18" s="0" t="n">
        <v>62.6977148986683</v>
      </c>
      <c r="F18" s="0" t="n">
        <v>3278.7</v>
      </c>
      <c r="G18" s="0" t="n">
        <v>27.2907676599035</v>
      </c>
      <c r="I18" s="0" t="n">
        <v>2748.561</v>
      </c>
      <c r="J18" s="0" t="n">
        <v>22.8780735200146</v>
      </c>
      <c r="K18" s="0" t="n">
        <v>5.25</v>
      </c>
      <c r="L18" s="0" t="n">
        <v>4475.402</v>
      </c>
      <c r="M18" s="0" t="n">
        <v>699.308</v>
      </c>
      <c r="N18" s="0" t="n">
        <v>3776.094</v>
      </c>
      <c r="O18" s="0" t="n">
        <v>36465.323</v>
      </c>
      <c r="P18" s="0" t="n">
        <v>50302.35</v>
      </c>
      <c r="R18" s="0" t="n">
        <v>6548.625</v>
      </c>
      <c r="S18" s="0" t="n">
        <v>1470.572</v>
      </c>
      <c r="T18" s="0" t="n">
        <v>523.178</v>
      </c>
      <c r="U18" s="0" t="n">
        <v>323.487</v>
      </c>
      <c r="V18" s="0" t="n">
        <v>2.97</v>
      </c>
      <c r="AA18" s="0" t="s">
        <v>17</v>
      </c>
      <c r="AB18" s="0" t="s">
        <v>14</v>
      </c>
    </row>
    <row r="19" customFormat="false" ht="15" hidden="false" customHeight="false" outlineLevel="0" collapsed="false">
      <c r="A19" s="0" t="s">
        <v>80</v>
      </c>
      <c r="B19" s="0" t="n">
        <v>12305.539</v>
      </c>
      <c r="C19" s="0" t="n">
        <v>4428.321</v>
      </c>
      <c r="D19" s="0" t="n">
        <v>7877.218</v>
      </c>
      <c r="E19" s="0" t="n">
        <v>64.0135958286752</v>
      </c>
      <c r="F19" s="0" t="n">
        <v>3823.112</v>
      </c>
      <c r="G19" s="0" t="n">
        <v>31.0682205793667</v>
      </c>
      <c r="I19" s="0" t="n">
        <v>3314.579</v>
      </c>
      <c r="J19" s="0" t="n">
        <v>26.9356669382788</v>
      </c>
      <c r="K19" s="0" t="n">
        <v>6.55</v>
      </c>
      <c r="L19" s="0" t="n">
        <v>4817.634</v>
      </c>
      <c r="M19" s="0" t="n">
        <v>1261.463</v>
      </c>
      <c r="N19" s="0" t="n">
        <v>3556.171</v>
      </c>
      <c r="O19" s="0" t="n">
        <v>35565.122</v>
      </c>
      <c r="P19" s="0" t="n">
        <v>48794.478</v>
      </c>
      <c r="R19" s="0" t="n">
        <v>6401.509</v>
      </c>
      <c r="S19" s="0" t="n">
        <v>958.061</v>
      </c>
      <c r="T19" s="0" t="n">
        <v>505.959</v>
      </c>
      <c r="U19" s="0" t="n">
        <v>299.823</v>
      </c>
      <c r="V19" s="0" t="n">
        <v>3.34</v>
      </c>
      <c r="AA19" s="0" t="s">
        <v>17</v>
      </c>
      <c r="AB19" s="0" t="s">
        <v>14</v>
      </c>
    </row>
    <row r="20" customFormat="false" ht="15" hidden="false" customHeight="false" outlineLevel="0" collapsed="false">
      <c r="A20" s="0" t="s">
        <v>81</v>
      </c>
      <c r="B20" s="0" t="n">
        <v>9427.157</v>
      </c>
      <c r="C20" s="0" t="n">
        <v>4045.814</v>
      </c>
      <c r="D20" s="0" t="n">
        <v>5381.343</v>
      </c>
      <c r="E20" s="0" t="n">
        <v>57.0834133769068</v>
      </c>
      <c r="F20" s="0" t="n">
        <v>2032.798</v>
      </c>
      <c r="G20" s="0" t="n">
        <v>21.5632135966336</v>
      </c>
      <c r="I20" s="0" t="n">
        <v>1635.273</v>
      </c>
      <c r="J20" s="0" t="n">
        <v>17.3464067692943</v>
      </c>
      <c r="K20" s="0" t="n">
        <v>3.28</v>
      </c>
      <c r="L20" s="0" t="n">
        <v>3852.529</v>
      </c>
      <c r="M20" s="0" t="n">
        <v>730.463</v>
      </c>
      <c r="N20" s="0" t="n">
        <v>3122.066</v>
      </c>
      <c r="O20" s="0" t="n">
        <v>35176.317</v>
      </c>
      <c r="P20" s="0" t="n">
        <v>48228.277</v>
      </c>
      <c r="R20" s="0" t="n">
        <v>7033.949</v>
      </c>
      <c r="S20" s="0" t="n">
        <v>1991.342</v>
      </c>
      <c r="T20" s="0" t="n">
        <v>498.697</v>
      </c>
      <c r="U20" s="0" t="n">
        <v>262.71</v>
      </c>
      <c r="V20" s="0" t="n">
        <v>3.62</v>
      </c>
      <c r="AA20" s="0" t="s">
        <v>17</v>
      </c>
      <c r="AB20" s="0" t="s">
        <v>14</v>
      </c>
    </row>
    <row r="21" customFormat="false" ht="15" hidden="false" customHeight="false" outlineLevel="0" collapsed="false">
      <c r="A21" s="0" t="s">
        <v>82</v>
      </c>
      <c r="B21" s="0" t="n">
        <v>11019.707</v>
      </c>
      <c r="C21" s="0" t="n">
        <v>4246.229</v>
      </c>
      <c r="D21" s="0" t="n">
        <v>6773.478</v>
      </c>
      <c r="E21" s="0" t="n">
        <v>61.4669518890112</v>
      </c>
      <c r="F21" s="0" t="n">
        <v>2932.496</v>
      </c>
      <c r="G21" s="0" t="n">
        <v>26.6113790502778</v>
      </c>
      <c r="I21" s="0" t="n">
        <v>2267.342</v>
      </c>
      <c r="J21" s="0" t="n">
        <v>20.5753383461103</v>
      </c>
      <c r="K21" s="0" t="n">
        <v>4.56</v>
      </c>
      <c r="L21" s="0" t="n">
        <v>4812.202</v>
      </c>
      <c r="M21" s="0" t="n">
        <v>533.552</v>
      </c>
      <c r="N21" s="0" t="n">
        <v>4278.65</v>
      </c>
      <c r="O21" s="0" t="n">
        <v>33815.755</v>
      </c>
      <c r="P21" s="0" t="n">
        <v>47992.712</v>
      </c>
      <c r="R21" s="0" t="n">
        <v>8145.066</v>
      </c>
      <c r="S21" s="0" t="n">
        <v>2499.406</v>
      </c>
      <c r="T21" s="0" t="n">
        <v>496.709</v>
      </c>
      <c r="U21" s="0" t="n">
        <v>321.56</v>
      </c>
      <c r="V21" s="0" t="n">
        <v>3.89</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382.61</v>
      </c>
    </row>
    <row r="3" customFormat="false" ht="15" hidden="false" customHeight="false" outlineLevel="0" collapsed="false">
      <c r="A3" s="0" t="s">
        <v>86</v>
      </c>
      <c r="B3" s="3" t="n">
        <v>488.8</v>
      </c>
    </row>
    <row r="4" customFormat="false" ht="15" hidden="false" customHeight="false" outlineLevel="0" collapsed="false">
      <c r="A4" s="0" t="s">
        <v>87</v>
      </c>
      <c r="B4" s="3" t="n">
        <v>5950.6</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15105.6</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10</v>
      </c>
      <c r="D13" s="3" t="n">
        <v>2</v>
      </c>
      <c r="E13" s="3" t="n">
        <v>-8</v>
      </c>
      <c r="F13" s="3" t="n">
        <v>4</v>
      </c>
      <c r="G13" s="3" t="n">
        <v>6</v>
      </c>
      <c r="H13" s="3" t="n">
        <v>5</v>
      </c>
      <c r="I13" s="3" t="n">
        <v>4</v>
      </c>
      <c r="J13" s="3" t="n">
        <v>3.5</v>
      </c>
      <c r="K13" s="3" t="n">
        <v>3</v>
      </c>
      <c r="L13" s="3" t="n">
        <v>3</v>
      </c>
    </row>
    <row r="14" customFormat="false" ht="15" hidden="false" customHeight="false" outlineLevel="0" collapsed="false">
      <c r="A14" s="0" t="s">
        <v>108</v>
      </c>
      <c r="C14" s="3" t="n">
        <v>42</v>
      </c>
      <c r="D14" s="3" t="n">
        <v>38</v>
      </c>
      <c r="E14" s="3" t="n">
        <v>36</v>
      </c>
      <c r="F14" s="3" t="n">
        <v>38</v>
      </c>
      <c r="G14" s="3" t="n">
        <v>40</v>
      </c>
      <c r="H14" s="3" t="n">
        <v>42</v>
      </c>
      <c r="I14" s="3" t="n">
        <v>43</v>
      </c>
      <c r="J14" s="3" t="n">
        <v>43.5</v>
      </c>
      <c r="K14" s="3" t="n">
        <v>44</v>
      </c>
      <c r="L14" s="3" t="n">
        <v>44</v>
      </c>
    </row>
    <row r="15" customFormat="false" ht="15" hidden="false" customHeight="false" outlineLevel="0" collapsed="false">
      <c r="A15" s="0" t="s">
        <v>109</v>
      </c>
      <c r="C15" s="3" t="n">
        <v>2.8</v>
      </c>
      <c r="D15" s="3" t="n">
        <v>3</v>
      </c>
      <c r="E15" s="3" t="n">
        <v>3.2</v>
      </c>
      <c r="F15" s="3" t="n">
        <v>3</v>
      </c>
      <c r="G15" s="3" t="n">
        <v>2.8</v>
      </c>
      <c r="H15" s="3" t="n">
        <v>2.6</v>
      </c>
      <c r="I15" s="3" t="n">
        <v>2.4</v>
      </c>
      <c r="J15" s="3" t="n">
        <v>2.3</v>
      </c>
      <c r="K15" s="3" t="n">
        <v>2.2</v>
      </c>
      <c r="L15" s="3" t="n">
        <v>2.2</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16.5</v>
      </c>
      <c r="D17" s="3" t="n">
        <v>14</v>
      </c>
      <c r="E17" s="3" t="n">
        <v>11.5</v>
      </c>
      <c r="F17" s="3" t="n">
        <v>9.5</v>
      </c>
      <c r="G17" s="3" t="n">
        <v>7.5</v>
      </c>
      <c r="H17" s="3" t="n">
        <v>6</v>
      </c>
      <c r="I17" s="3" t="n">
        <v>5</v>
      </c>
      <c r="J17" s="3" t="n">
        <v>4.5</v>
      </c>
      <c r="K17" s="3" t="n">
        <v>4</v>
      </c>
      <c r="L17" s="3" t="n">
        <v>4</v>
      </c>
    </row>
    <row r="18" customFormat="false" ht="15" hidden="false" customHeight="false" outlineLevel="0" collapsed="false">
      <c r="A18" s="0" t="s">
        <v>112</v>
      </c>
      <c r="C18" s="3" t="n">
        <v>4</v>
      </c>
      <c r="D18" s="3" t="n">
        <v>3.5</v>
      </c>
      <c r="E18" s="3" t="n">
        <v>3.2</v>
      </c>
      <c r="F18" s="3" t="n">
        <v>3.5</v>
      </c>
      <c r="G18" s="3" t="n">
        <v>3.8</v>
      </c>
      <c r="H18" s="3" t="n">
        <v>4</v>
      </c>
      <c r="I18" s="3" t="n">
        <v>4.2</v>
      </c>
      <c r="J18" s="3" t="n">
        <v>4.2</v>
      </c>
      <c r="K18" s="3" t="n">
        <v>4.3</v>
      </c>
      <c r="L18" s="3" t="n">
        <v>4.3</v>
      </c>
    </row>
    <row r="19" customFormat="false" ht="15" hidden="false" customHeight="false" outlineLevel="0" collapsed="false">
      <c r="A19" s="0" t="s">
        <v>113</v>
      </c>
      <c r="C19" s="3" t="n">
        <v>18</v>
      </c>
      <c r="D19" s="3" t="n">
        <v>19</v>
      </c>
      <c r="E19" s="3" t="n">
        <v>20</v>
      </c>
      <c r="F19" s="3" t="n">
        <v>20</v>
      </c>
      <c r="G19" s="3" t="n">
        <v>20</v>
      </c>
      <c r="H19" s="3" t="n">
        <v>20</v>
      </c>
      <c r="I19" s="3" t="n">
        <v>20</v>
      </c>
      <c r="J19" s="3" t="n">
        <v>20</v>
      </c>
      <c r="K19" s="3" t="n">
        <v>20</v>
      </c>
      <c r="L19" s="3" t="n">
        <v>20</v>
      </c>
    </row>
    <row r="20" customFormat="false" ht="15" hidden="false" customHeight="false" outlineLevel="0" collapsed="false">
      <c r="A20" s="0" t="s">
        <v>114</v>
      </c>
      <c r="B20" s="3" t="n">
        <v>9.5</v>
      </c>
    </row>
    <row r="21" customFormat="false" ht="15" hidden="false" customHeight="false" outlineLevel="0" collapsed="false">
      <c r="A21" s="0" t="s">
        <v>115</v>
      </c>
      <c r="B21" s="3" t="n">
        <v>2</v>
      </c>
    </row>
    <row r="22" customFormat="false" ht="15" hidden="false" customHeight="false" outlineLevel="0" collapsed="false">
      <c r="A22" s="0" t="s">
        <v>116</v>
      </c>
      <c r="B22" s="3" t="n">
        <v>13</v>
      </c>
    </row>
    <row r="23" customFormat="false" ht="15" hidden="false" customHeight="false" outlineLevel="0" collapsed="false">
      <c r="A23" s="0" t="s">
        <v>117</v>
      </c>
      <c r="B23" s="3" t="n">
        <v>-8</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20</v>
      </c>
      <c r="D27" s="3" t="n">
        <v>16</v>
      </c>
      <c r="E27" s="3" t="n">
        <v>13</v>
      </c>
      <c r="F27" s="3" t="n">
        <v>10</v>
      </c>
      <c r="G27" s="3" t="n">
        <v>8</v>
      </c>
      <c r="H27" s="3" t="n">
        <v>6.5</v>
      </c>
      <c r="I27" s="3" t="n">
        <v>5.5</v>
      </c>
      <c r="J27" s="3" t="n">
        <v>5</v>
      </c>
      <c r="K27" s="3" t="n">
        <v>4.5</v>
      </c>
      <c r="L27" s="3" t="n">
        <v>4</v>
      </c>
    </row>
    <row r="28" customFormat="false" ht="15" hidden="false" customHeight="false" outlineLevel="0" collapsed="false">
      <c r="A28" s="0" t="s">
        <v>108</v>
      </c>
      <c r="C28" s="3" t="n">
        <v>46</v>
      </c>
      <c r="D28" s="3" t="n">
        <v>47.5</v>
      </c>
      <c r="E28" s="3" t="n">
        <v>48.5</v>
      </c>
      <c r="F28" s="3" t="n">
        <v>49.5</v>
      </c>
      <c r="G28" s="3" t="n">
        <v>50</v>
      </c>
      <c r="H28" s="3" t="n">
        <v>50.5</v>
      </c>
      <c r="I28" s="3" t="n">
        <v>51</v>
      </c>
      <c r="J28" s="3" t="n">
        <v>51</v>
      </c>
      <c r="K28" s="3" t="n">
        <v>51</v>
      </c>
      <c r="L28" s="3" t="n">
        <v>51</v>
      </c>
    </row>
    <row r="29" customFormat="false" ht="15" hidden="false" customHeight="false" outlineLevel="0" collapsed="false">
      <c r="A29" s="0" t="s">
        <v>109</v>
      </c>
      <c r="C29" s="3" t="n">
        <v>2.6</v>
      </c>
      <c r="D29" s="3" t="n">
        <v>2.5</v>
      </c>
      <c r="E29" s="3" t="n">
        <v>2.4</v>
      </c>
      <c r="F29" s="3" t="n">
        <v>2.3</v>
      </c>
      <c r="G29" s="3" t="n">
        <v>2.2</v>
      </c>
      <c r="H29" s="3" t="n">
        <v>2.1</v>
      </c>
      <c r="I29" s="3" t="n">
        <v>2</v>
      </c>
      <c r="J29" s="3" t="n">
        <v>2</v>
      </c>
      <c r="K29" s="3" t="n">
        <v>2</v>
      </c>
      <c r="L29" s="3" t="n">
        <v>2</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16</v>
      </c>
      <c r="D31" s="3" t="n">
        <v>13</v>
      </c>
      <c r="E31" s="3" t="n">
        <v>10</v>
      </c>
      <c r="F31" s="3" t="n">
        <v>8</v>
      </c>
      <c r="G31" s="3" t="n">
        <v>6</v>
      </c>
      <c r="H31" s="3" t="n">
        <v>4.5</v>
      </c>
      <c r="I31" s="3" t="n">
        <v>4</v>
      </c>
      <c r="J31" s="3" t="n">
        <v>4</v>
      </c>
      <c r="K31" s="3" t="n">
        <v>4</v>
      </c>
      <c r="L31" s="3" t="n">
        <v>4</v>
      </c>
    </row>
    <row r="32" customFormat="false" ht="15" hidden="false" customHeight="false" outlineLevel="0" collapsed="false">
      <c r="A32" s="0" t="s">
        <v>112</v>
      </c>
      <c r="C32" s="3" t="n">
        <v>4.3</v>
      </c>
      <c r="D32" s="3" t="n">
        <v>4.2</v>
      </c>
      <c r="E32" s="3" t="n">
        <v>4.2</v>
      </c>
      <c r="F32" s="3" t="n">
        <v>4.3</v>
      </c>
      <c r="G32" s="3" t="n">
        <v>4.3</v>
      </c>
      <c r="H32" s="3" t="n">
        <v>4.5</v>
      </c>
      <c r="I32" s="3" t="n">
        <v>4.5</v>
      </c>
      <c r="J32" s="3" t="n">
        <v>4.5</v>
      </c>
      <c r="K32" s="3" t="n">
        <v>4.5</v>
      </c>
      <c r="L32" s="3" t="n">
        <v>4.5</v>
      </c>
    </row>
    <row r="33" customFormat="false" ht="15" hidden="false" customHeight="false" outlineLevel="0" collapsed="false">
      <c r="A33" s="0" t="s">
        <v>113</v>
      </c>
      <c r="C33" s="3" t="n">
        <v>17</v>
      </c>
      <c r="D33" s="3" t="n">
        <v>17.5</v>
      </c>
      <c r="E33" s="3" t="n">
        <v>18</v>
      </c>
      <c r="F33" s="3" t="n">
        <v>18.5</v>
      </c>
      <c r="G33" s="3" t="n">
        <v>19</v>
      </c>
      <c r="H33" s="3" t="n">
        <v>19.5</v>
      </c>
      <c r="I33" s="3" t="n">
        <v>20</v>
      </c>
      <c r="J33" s="3" t="n">
        <v>20</v>
      </c>
      <c r="K33" s="3" t="n">
        <v>20</v>
      </c>
      <c r="L33" s="3" t="n">
        <v>20</v>
      </c>
    </row>
    <row r="34" customFormat="false" ht="15" hidden="false" customHeight="false" outlineLevel="0" collapsed="false">
      <c r="A34" s="0" t="s">
        <v>114</v>
      </c>
      <c r="B34" s="3" t="n">
        <v>9.5</v>
      </c>
    </row>
    <row r="35" customFormat="false" ht="15" hidden="false" customHeight="false" outlineLevel="0" collapsed="false">
      <c r="A35" s="0" t="s">
        <v>115</v>
      </c>
      <c r="B35" s="3" t="n">
        <v>3</v>
      </c>
    </row>
    <row r="36" customFormat="false" ht="15" hidden="false" customHeight="false" outlineLevel="0" collapsed="false">
      <c r="A36" s="0" t="s">
        <v>116</v>
      </c>
      <c r="B36" s="3" t="n">
        <v>16</v>
      </c>
    </row>
    <row r="37" customFormat="false" ht="15" hidden="false" customHeight="false" outlineLevel="0" collapsed="false">
      <c r="A37" s="0" t="s">
        <v>117</v>
      </c>
      <c r="B37" s="3" t="n">
        <v>-8</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24</v>
      </c>
      <c r="D41" s="3" t="n">
        <v>21</v>
      </c>
      <c r="E41" s="3" t="n">
        <v>18</v>
      </c>
      <c r="F41" s="3" t="n">
        <v>15</v>
      </c>
      <c r="G41" s="3" t="n">
        <v>12</v>
      </c>
      <c r="H41" s="3" t="n">
        <v>10</v>
      </c>
      <c r="I41" s="3" t="n">
        <v>8.5</v>
      </c>
      <c r="J41" s="3" t="n">
        <v>7</v>
      </c>
      <c r="K41" s="3" t="n">
        <v>6</v>
      </c>
      <c r="L41" s="3" t="n">
        <v>5</v>
      </c>
    </row>
    <row r="42" customFormat="false" ht="15" hidden="false" customHeight="false" outlineLevel="0" collapsed="false">
      <c r="A42" s="0" t="s">
        <v>108</v>
      </c>
      <c r="C42" s="3" t="n">
        <v>47</v>
      </c>
      <c r="D42" s="3" t="n">
        <v>49</v>
      </c>
      <c r="E42" s="3" t="n">
        <v>50.5</v>
      </c>
      <c r="F42" s="3" t="n">
        <v>51.5</v>
      </c>
      <c r="G42" s="3" t="n">
        <v>52.5</v>
      </c>
      <c r="H42" s="3" t="n">
        <v>53</v>
      </c>
      <c r="I42" s="3" t="n">
        <v>53.5</v>
      </c>
      <c r="J42" s="3" t="n">
        <v>53.5</v>
      </c>
      <c r="K42" s="3" t="n">
        <v>53.5</v>
      </c>
      <c r="L42" s="3" t="n">
        <v>53.5</v>
      </c>
    </row>
    <row r="43" customFormat="false" ht="15" hidden="false" customHeight="false" outlineLevel="0" collapsed="false">
      <c r="A43" s="0" t="s">
        <v>109</v>
      </c>
      <c r="C43" s="3" t="n">
        <v>2.5</v>
      </c>
      <c r="D43" s="3" t="n">
        <v>2.4</v>
      </c>
      <c r="E43" s="3" t="n">
        <v>2.3</v>
      </c>
      <c r="F43" s="3" t="n">
        <v>2.2</v>
      </c>
      <c r="G43" s="3" t="n">
        <v>2.1</v>
      </c>
      <c r="H43" s="3" t="n">
        <v>2</v>
      </c>
      <c r="I43" s="3" t="n">
        <v>1.9</v>
      </c>
      <c r="J43" s="3" t="n">
        <v>1.9</v>
      </c>
      <c r="K43" s="3" t="n">
        <v>1.9</v>
      </c>
      <c r="L43" s="3" t="n">
        <v>1.9</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16</v>
      </c>
      <c r="D45" s="3" t="n">
        <v>13</v>
      </c>
      <c r="E45" s="3" t="n">
        <v>10</v>
      </c>
      <c r="F45" s="3" t="n">
        <v>8</v>
      </c>
      <c r="G45" s="3" t="n">
        <v>6</v>
      </c>
      <c r="H45" s="3" t="n">
        <v>4.5</v>
      </c>
      <c r="I45" s="3" t="n">
        <v>4</v>
      </c>
      <c r="J45" s="3" t="n">
        <v>4</v>
      </c>
      <c r="K45" s="3" t="n">
        <v>4</v>
      </c>
      <c r="L45" s="3" t="n">
        <v>4</v>
      </c>
    </row>
    <row r="46" customFormat="false" ht="15" hidden="false" customHeight="false" outlineLevel="0" collapsed="false">
      <c r="A46" s="0" t="s">
        <v>112</v>
      </c>
      <c r="C46" s="3" t="n">
        <v>4.5</v>
      </c>
      <c r="D46" s="3" t="n">
        <v>4.5</v>
      </c>
      <c r="E46" s="3" t="n">
        <v>4.6</v>
      </c>
      <c r="F46" s="3" t="n">
        <v>4.8</v>
      </c>
      <c r="G46" s="3" t="n">
        <v>4.8</v>
      </c>
      <c r="H46" s="3" t="n">
        <v>4.8</v>
      </c>
      <c r="I46" s="3" t="n">
        <v>4.6</v>
      </c>
      <c r="J46" s="3" t="n">
        <v>4.5</v>
      </c>
      <c r="K46" s="3" t="n">
        <v>4.5</v>
      </c>
      <c r="L46" s="3" t="n">
        <v>4.5</v>
      </c>
    </row>
    <row r="47" customFormat="false" ht="15" hidden="false" customHeight="false" outlineLevel="0" collapsed="false">
      <c r="A47" s="0" t="s">
        <v>113</v>
      </c>
      <c r="C47" s="3" t="n">
        <v>16.5</v>
      </c>
      <c r="D47" s="3" t="n">
        <v>17</v>
      </c>
      <c r="E47" s="3" t="n">
        <v>17.5</v>
      </c>
      <c r="F47" s="3" t="n">
        <v>18</v>
      </c>
      <c r="G47" s="3" t="n">
        <v>18.5</v>
      </c>
      <c r="H47" s="3" t="n">
        <v>19</v>
      </c>
      <c r="I47" s="3" t="n">
        <v>19.5</v>
      </c>
      <c r="J47" s="3" t="n">
        <v>19.5</v>
      </c>
      <c r="K47" s="3" t="n">
        <v>19.5</v>
      </c>
      <c r="L47" s="3" t="n">
        <v>19.5</v>
      </c>
    </row>
    <row r="48" customFormat="false" ht="15" hidden="false" customHeight="false" outlineLevel="0" collapsed="false">
      <c r="A48" s="0" t="s">
        <v>114</v>
      </c>
      <c r="B48" s="3" t="n">
        <v>9.5</v>
      </c>
    </row>
    <row r="49" customFormat="false" ht="15" hidden="false" customHeight="false" outlineLevel="0" collapsed="false">
      <c r="A49" s="0" t="s">
        <v>115</v>
      </c>
      <c r="B49" s="3" t="n">
        <v>3.5</v>
      </c>
    </row>
    <row r="50" customFormat="false" ht="15" hidden="false" customHeight="false" outlineLevel="0" collapsed="false">
      <c r="A50" s="0" t="s">
        <v>116</v>
      </c>
      <c r="B50" s="3" t="n">
        <v>16</v>
      </c>
    </row>
    <row r="51" customFormat="false" ht="15" hidden="false" customHeight="false" outlineLevel="0" collapsed="false">
      <c r="A51" s="0" t="s">
        <v>117</v>
      </c>
      <c r="B51" s="3" t="n">
        <v>-8</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10</v>
      </c>
      <c r="D5" s="4" t="n">
        <f aca="false">Assumptions!D13</f>
        <v>2</v>
      </c>
      <c r="E5" s="4" t="n">
        <f aca="false">Assumptions!E13</f>
        <v>-8</v>
      </c>
      <c r="F5" s="4" t="n">
        <f aca="false">Assumptions!F13</f>
        <v>4</v>
      </c>
      <c r="G5" s="4" t="n">
        <f aca="false">Assumptions!G13</f>
        <v>6</v>
      </c>
      <c r="H5" s="4" t="n">
        <f aca="false">Assumptions!H13</f>
        <v>5</v>
      </c>
      <c r="I5" s="4" t="n">
        <f aca="false">Assumptions!I13</f>
        <v>4</v>
      </c>
      <c r="J5" s="4" t="n">
        <f aca="false">Assumptions!J13</f>
        <v>3.5</v>
      </c>
      <c r="K5" s="4" t="n">
        <f aca="false">Assumptions!K13</f>
        <v>3</v>
      </c>
      <c r="L5" s="4" t="n">
        <f aca="false">Assumptions!L13</f>
        <v>3</v>
      </c>
    </row>
    <row r="6" customFormat="false" ht="15" hidden="false" customHeight="false" outlineLevel="0" collapsed="false">
      <c r="A6" s="0" t="s">
        <v>37</v>
      </c>
      <c r="B6" s="3" t="n">
        <v>15105.6</v>
      </c>
      <c r="C6" s="0" t="n">
        <f aca="false">B6*(1+C5/100)</f>
        <v>16616.16</v>
      </c>
      <c r="D6" s="0" t="n">
        <f aca="false">C6*(1+D5/100)</f>
        <v>16948.4832</v>
      </c>
      <c r="E6" s="0" t="n">
        <f aca="false">D6*(1+E5/100)</f>
        <v>15592.604544</v>
      </c>
      <c r="F6" s="0" t="n">
        <f aca="false">E6*(1+F5/100)</f>
        <v>16216.30872576</v>
      </c>
      <c r="G6" s="0" t="n">
        <f aca="false">F6*(1+G5/100)</f>
        <v>17189.2872493056</v>
      </c>
      <c r="H6" s="0" t="n">
        <f aca="false">G6*(1+H5/100)</f>
        <v>18048.7516117709</v>
      </c>
      <c r="I6" s="0" t="n">
        <f aca="false">H6*(1+I5/100)</f>
        <v>18770.7016762417</v>
      </c>
      <c r="J6" s="0" t="n">
        <f aca="false">I6*(1+J5/100)</f>
        <v>19427.6762349102</v>
      </c>
      <c r="K6" s="0" t="n">
        <f aca="false">J6*(1+K5/100)</f>
        <v>20010.5065219575</v>
      </c>
      <c r="L6" s="0" t="n">
        <f aca="false">K6*(1+L5/100)</f>
        <v>20610.8217176162</v>
      </c>
    </row>
    <row r="7" customFormat="false" ht="15" hidden="false" customHeight="false" outlineLevel="0" collapsed="false">
      <c r="A7" s="0" t="s">
        <v>108</v>
      </c>
      <c r="C7" s="4" t="n">
        <f aca="false">Assumptions!C14</f>
        <v>42</v>
      </c>
      <c r="D7" s="4" t="n">
        <f aca="false">Assumptions!D14</f>
        <v>38</v>
      </c>
      <c r="E7" s="4" t="n">
        <f aca="false">Assumptions!E14</f>
        <v>36</v>
      </c>
      <c r="F7" s="4" t="n">
        <f aca="false">Assumptions!F14</f>
        <v>38</v>
      </c>
      <c r="G7" s="4" t="n">
        <f aca="false">Assumptions!G14</f>
        <v>40</v>
      </c>
      <c r="H7" s="4" t="n">
        <f aca="false">Assumptions!H14</f>
        <v>42</v>
      </c>
      <c r="I7" s="4" t="n">
        <f aca="false">Assumptions!I14</f>
        <v>43</v>
      </c>
      <c r="J7" s="4" t="n">
        <f aca="false">Assumptions!J14</f>
        <v>43.5</v>
      </c>
      <c r="K7" s="4" t="n">
        <f aca="false">Assumptions!K14</f>
        <v>44</v>
      </c>
      <c r="L7" s="4" t="n">
        <f aca="false">Assumptions!L14</f>
        <v>44</v>
      </c>
    </row>
    <row r="8" customFormat="false" ht="15" hidden="false" customHeight="false" outlineLevel="0" collapsed="false">
      <c r="A8" s="0" t="s">
        <v>43</v>
      </c>
      <c r="C8" s="0" t="n">
        <f aca="false">C6*C7/100</f>
        <v>6978.7872</v>
      </c>
      <c r="D8" s="0" t="n">
        <f aca="false">D6*D7/100</f>
        <v>6440.423616</v>
      </c>
      <c r="E8" s="0" t="n">
        <f aca="false">E6*E7/100</f>
        <v>5613.33763584</v>
      </c>
      <c r="F8" s="0" t="n">
        <f aca="false">F6*F7/100</f>
        <v>6162.1973157888</v>
      </c>
      <c r="G8" s="0" t="n">
        <f aca="false">G6*G7/100</f>
        <v>6875.71489972224</v>
      </c>
      <c r="H8" s="0" t="n">
        <f aca="false">H6*H7/100</f>
        <v>7580.47567694377</v>
      </c>
      <c r="I8" s="0" t="n">
        <f aca="false">I6*I7/100</f>
        <v>8071.40172078394</v>
      </c>
      <c r="J8" s="0" t="n">
        <f aca="false">J6*J7/100</f>
        <v>8451.03916218593</v>
      </c>
      <c r="K8" s="0" t="n">
        <f aca="false">K6*K7/100</f>
        <v>8804.62286966129</v>
      </c>
      <c r="L8" s="0" t="n">
        <f aca="false">L6*L7/100</f>
        <v>9068.76155575113</v>
      </c>
    </row>
    <row r="9" customFormat="false" ht="15" hidden="false" customHeight="false" outlineLevel="0" collapsed="false">
      <c r="A9" s="0" t="s">
        <v>109</v>
      </c>
      <c r="C9" s="4" t="n">
        <f aca="false">Assumptions!C15</f>
        <v>2.8</v>
      </c>
      <c r="D9" s="4" t="n">
        <f aca="false">Assumptions!D15</f>
        <v>3</v>
      </c>
      <c r="E9" s="4" t="n">
        <f aca="false">Assumptions!E15</f>
        <v>3.2</v>
      </c>
      <c r="F9" s="4" t="n">
        <f aca="false">Assumptions!F15</f>
        <v>3</v>
      </c>
      <c r="G9" s="4" t="n">
        <f aca="false">Assumptions!G15</f>
        <v>2.8</v>
      </c>
      <c r="H9" s="4" t="n">
        <f aca="false">Assumptions!H15</f>
        <v>2.6</v>
      </c>
      <c r="I9" s="4" t="n">
        <f aca="false">Assumptions!I15</f>
        <v>2.4</v>
      </c>
      <c r="J9" s="4" t="n">
        <f aca="false">Assumptions!J15</f>
        <v>2.3</v>
      </c>
      <c r="K9" s="4" t="n">
        <f aca="false">Assumptions!K15</f>
        <v>2.2</v>
      </c>
      <c r="L9" s="4" t="n">
        <f aca="false">Assumptions!L15</f>
        <v>2.2</v>
      </c>
    </row>
    <row r="10" customFormat="false" ht="15" hidden="false" customHeight="false" outlineLevel="0" collapsed="false">
      <c r="A10" s="0" t="s">
        <v>124</v>
      </c>
      <c r="C10" s="0" t="n">
        <f aca="false">-C6*C9/100</f>
        <v>-465.25248</v>
      </c>
      <c r="D10" s="0" t="n">
        <f aca="false">-D6*D9/100</f>
        <v>-508.454496</v>
      </c>
      <c r="E10" s="0" t="n">
        <f aca="false">-E6*E9/100</f>
        <v>-498.963345408</v>
      </c>
      <c r="F10" s="0" t="n">
        <f aca="false">-F6*F9/100</f>
        <v>-486.4892617728</v>
      </c>
      <c r="G10" s="0" t="n">
        <f aca="false">-G6*G9/100</f>
        <v>-481.300042980557</v>
      </c>
      <c r="H10" s="0" t="n">
        <f aca="false">-H6*H9/100</f>
        <v>-469.267541906043</v>
      </c>
      <c r="I10" s="0" t="n">
        <f aca="false">-I6*I9/100</f>
        <v>-450.496840229801</v>
      </c>
      <c r="J10" s="0" t="n">
        <f aca="false">-J6*J9/100</f>
        <v>-446.836553402934</v>
      </c>
      <c r="K10" s="0" t="n">
        <f aca="false">-K6*K9/100</f>
        <v>-440.231143483065</v>
      </c>
      <c r="L10" s="0" t="n">
        <f aca="false">-L6*L9/100</f>
        <v>-453.438077787557</v>
      </c>
    </row>
    <row r="11" customFormat="false" ht="15" hidden="false" customHeight="false" outlineLevel="0" collapsed="false">
      <c r="A11" s="0" t="s">
        <v>125</v>
      </c>
      <c r="C11" s="0" t="n">
        <f aca="false">C8+C10+C24</f>
        <v>6513.53472</v>
      </c>
      <c r="D11" s="0" t="n">
        <f aca="false">D8+D10+D24</f>
        <v>5931.96912</v>
      </c>
      <c r="E11" s="0" t="n">
        <f aca="false">E8+E10+E24</f>
        <v>5114.374290432</v>
      </c>
      <c r="F11" s="0" t="n">
        <f aca="false">F8+F10+F24</f>
        <v>5675.708054016</v>
      </c>
      <c r="G11" s="0" t="n">
        <f aca="false">G8+G10+G24</f>
        <v>6394.41485674169</v>
      </c>
      <c r="H11" s="0" t="n">
        <f aca="false">H8+H10+H24</f>
        <v>7111.20813503773</v>
      </c>
      <c r="I11" s="0" t="n">
        <f aca="false">I8+I10+I24</f>
        <v>7620.90488055414</v>
      </c>
      <c r="J11" s="0" t="n">
        <f aca="false">J8+J10+J24</f>
        <v>8004.20260878299</v>
      </c>
      <c r="K11" s="0" t="n">
        <f aca="false">K8+K10+K24</f>
        <v>8364.39172617823</v>
      </c>
      <c r="L11" s="0" t="n">
        <f aca="false">L8+L10+L24</f>
        <v>8615.32347796358</v>
      </c>
    </row>
    <row r="12" customFormat="false" ht="15" hidden="false" customHeight="false" outlineLevel="0" collapsed="false">
      <c r="A12" s="0" t="s">
        <v>126</v>
      </c>
      <c r="C12" s="4" t="n">
        <f aca="false">-C6*Assumptions!C17/100</f>
        <v>-2741.6664</v>
      </c>
      <c r="D12" s="4" t="n">
        <f aca="false">-D6*Assumptions!D17/100</f>
        <v>-2372.787648</v>
      </c>
      <c r="E12" s="4" t="n">
        <f aca="false">-E6*Assumptions!E17/100</f>
        <v>-1793.14952256</v>
      </c>
      <c r="F12" s="4" t="n">
        <f aca="false">-F6*Assumptions!F17/100</f>
        <v>-1540.5493289472</v>
      </c>
      <c r="G12" s="4" t="n">
        <f aca="false">-G6*Assumptions!G17/100</f>
        <v>-1289.19654369792</v>
      </c>
      <c r="H12" s="4" t="n">
        <f aca="false">-H6*Assumptions!H17/100</f>
        <v>-1082.92509670625</v>
      </c>
      <c r="I12" s="4" t="n">
        <f aca="false">-I6*Assumptions!I17/100</f>
        <v>-938.535083812086</v>
      </c>
      <c r="J12" s="4" t="n">
        <f aca="false">-J6*Assumptions!J17/100</f>
        <v>-874.245430570958</v>
      </c>
      <c r="K12" s="4" t="n">
        <f aca="false">-K6*Assumptions!K17/100</f>
        <v>-800.4202608783</v>
      </c>
      <c r="L12" s="4" t="n">
        <f aca="false">-L6*Assumptions!L17/100</f>
        <v>-824.432868704648</v>
      </c>
    </row>
    <row r="13" customFormat="false" ht="15" hidden="false" customHeight="false" outlineLevel="0" collapsed="false">
      <c r="A13" s="0" t="s">
        <v>127</v>
      </c>
      <c r="C13" s="0" t="n">
        <f aca="false">C11+C12</f>
        <v>3771.86832</v>
      </c>
      <c r="D13" s="0" t="n">
        <f aca="false">D11+D12</f>
        <v>3559.181472</v>
      </c>
      <c r="E13" s="0" t="n">
        <f aca="false">E11+E12</f>
        <v>3321.224767872</v>
      </c>
      <c r="F13" s="0" t="n">
        <f aca="false">F11+F12</f>
        <v>4135.1587250688</v>
      </c>
      <c r="G13" s="0" t="n">
        <f aca="false">G11+G12</f>
        <v>5105.21831304376</v>
      </c>
      <c r="H13" s="0" t="n">
        <f aca="false">H11+H12</f>
        <v>6028.28303833148</v>
      </c>
      <c r="I13" s="0" t="n">
        <f aca="false">I11+I12</f>
        <v>6682.36979674205</v>
      </c>
      <c r="J13" s="0" t="n">
        <f aca="false">J11+J12</f>
        <v>7129.95717821204</v>
      </c>
      <c r="K13" s="0" t="n">
        <f aca="false">K11+K12</f>
        <v>7563.97146529993</v>
      </c>
      <c r="L13" s="0" t="n">
        <f aca="false">L11+L12</f>
        <v>7790.89060925893</v>
      </c>
    </row>
    <row r="14" customFormat="false" ht="15" hidden="false" customHeight="false" outlineLevel="0" collapsed="false">
      <c r="A14" s="0" t="s">
        <v>113</v>
      </c>
      <c r="C14" s="4" t="n">
        <f aca="false">Assumptions!C19</f>
        <v>18</v>
      </c>
      <c r="D14" s="4" t="n">
        <f aca="false">Assumptions!D19</f>
        <v>19</v>
      </c>
      <c r="E14" s="4" t="n">
        <f aca="false">Assumptions!E19</f>
        <v>20</v>
      </c>
      <c r="F14" s="4" t="n">
        <f aca="false">Assumptions!F19</f>
        <v>20</v>
      </c>
      <c r="G14" s="4" t="n">
        <f aca="false">Assumptions!G19</f>
        <v>20</v>
      </c>
      <c r="H14" s="4" t="n">
        <f aca="false">Assumptions!H19</f>
        <v>20</v>
      </c>
      <c r="I14" s="4" t="n">
        <f aca="false">Assumptions!I19</f>
        <v>20</v>
      </c>
      <c r="J14" s="4" t="n">
        <f aca="false">Assumptions!J19</f>
        <v>20</v>
      </c>
      <c r="K14" s="4" t="n">
        <f aca="false">Assumptions!K19</f>
        <v>20</v>
      </c>
      <c r="L14" s="4" t="n">
        <f aca="false">Assumptions!L19</f>
        <v>20</v>
      </c>
    </row>
    <row r="15" customFormat="false" ht="15" hidden="false" customHeight="false" outlineLevel="0" collapsed="false">
      <c r="A15" s="0" t="s">
        <v>128</v>
      </c>
      <c r="C15" s="0" t="n">
        <f aca="false">C13-MAX(0,C13)*C14/100</f>
        <v>3092.9320224</v>
      </c>
      <c r="D15" s="0" t="n">
        <f aca="false">D13-MAX(0,D13)*D14/100</f>
        <v>2882.93699232</v>
      </c>
      <c r="E15" s="0" t="n">
        <f aca="false">E13-MAX(0,E13)*E14/100</f>
        <v>2656.9798142976</v>
      </c>
      <c r="F15" s="0" t="n">
        <f aca="false">F13-MAX(0,F13)*F14/100</f>
        <v>3308.12698005504</v>
      </c>
      <c r="G15" s="0" t="n">
        <f aca="false">G13-MAX(0,G13)*G14/100</f>
        <v>4084.17465043501</v>
      </c>
      <c r="H15" s="0" t="n">
        <f aca="false">H13-MAX(0,H13)*H14/100</f>
        <v>4822.62643066518</v>
      </c>
      <c r="I15" s="0" t="n">
        <f aca="false">I13-MAX(0,I13)*I14/100</f>
        <v>5345.89583739364</v>
      </c>
      <c r="J15" s="0" t="n">
        <f aca="false">J13-MAX(0,J13)*J14/100</f>
        <v>5703.96574256963</v>
      </c>
      <c r="K15" s="0" t="n">
        <f aca="false">K13-MAX(0,K13)*K14/100</f>
        <v>6051.17717223994</v>
      </c>
      <c r="L15" s="0" t="n">
        <f aca="false">L13-MAX(0,L13)*L14/100</f>
        <v>6232.71248740714</v>
      </c>
    </row>
    <row r="16" customFormat="false" ht="15" hidden="false" customHeight="false" outlineLevel="0" collapsed="false">
      <c r="A16" s="0" t="s">
        <v>129</v>
      </c>
      <c r="C16" s="0" t="n">
        <f aca="false">-C12</f>
        <v>2741.6664</v>
      </c>
      <c r="D16" s="0" t="n">
        <f aca="false">-D12</f>
        <v>2372.787648</v>
      </c>
      <c r="E16" s="0" t="n">
        <f aca="false">-E12</f>
        <v>1793.14952256</v>
      </c>
      <c r="F16" s="0" t="n">
        <f aca="false">-F12</f>
        <v>1540.5493289472</v>
      </c>
      <c r="G16" s="0" t="n">
        <f aca="false">-G12</f>
        <v>1289.19654369792</v>
      </c>
      <c r="H16" s="0" t="n">
        <f aca="false">-H12</f>
        <v>1082.92509670625</v>
      </c>
      <c r="I16" s="0" t="n">
        <f aca="false">-I12</f>
        <v>938.535083812086</v>
      </c>
      <c r="J16" s="0" t="n">
        <f aca="false">-J12</f>
        <v>874.245430570958</v>
      </c>
      <c r="K16" s="0" t="n">
        <f aca="false">-K12</f>
        <v>800.4202608783</v>
      </c>
      <c r="L16" s="0" t="n">
        <f aca="false">-L12</f>
        <v>824.432868704648</v>
      </c>
    </row>
    <row r="17" customFormat="false" ht="15" hidden="false" customHeight="false" outlineLevel="0" collapsed="false">
      <c r="A17" s="0" t="s">
        <v>130</v>
      </c>
      <c r="C17" s="4" t="n">
        <f aca="false">-C6*Assumptions!C18/100</f>
        <v>-664.6464</v>
      </c>
      <c r="D17" s="4" t="n">
        <f aca="false">-D6*Assumptions!D18/100</f>
        <v>-593.196912</v>
      </c>
      <c r="E17" s="4" t="n">
        <f aca="false">-E6*Assumptions!E18/100</f>
        <v>-498.963345408</v>
      </c>
      <c r="F17" s="4" t="n">
        <f aca="false">-F6*Assumptions!F18/100</f>
        <v>-567.5708054016</v>
      </c>
      <c r="G17" s="4" t="n">
        <f aca="false">-G6*Assumptions!G18/100</f>
        <v>-653.192915473613</v>
      </c>
      <c r="H17" s="4" t="n">
        <f aca="false">-H6*Assumptions!H18/100</f>
        <v>-721.950064470836</v>
      </c>
      <c r="I17" s="4" t="n">
        <f aca="false">-I6*Assumptions!I18/100</f>
        <v>-788.369470402152</v>
      </c>
      <c r="J17" s="4" t="n">
        <f aca="false">-J6*Assumptions!J18/100</f>
        <v>-815.962401866228</v>
      </c>
      <c r="K17" s="4" t="n">
        <f aca="false">-K6*Assumptions!K18/100</f>
        <v>-860.451780444172</v>
      </c>
      <c r="L17" s="4" t="n">
        <f aca="false">-L6*Assumptions!L18/100</f>
        <v>-886.265333857497</v>
      </c>
    </row>
    <row r="18" customFormat="false" ht="15" hidden="false" customHeight="false" outlineLevel="0" collapsed="false">
      <c r="A18" s="0" t="s">
        <v>131</v>
      </c>
      <c r="C18" s="4" t="n">
        <f aca="false">(C6-B6)*Assumptions!$B$23/100</f>
        <v>-120.8448</v>
      </c>
      <c r="D18" s="4" t="n">
        <f aca="false">(D6-C6)*Assumptions!$B$23/100</f>
        <v>-26.5858559999999</v>
      </c>
      <c r="E18" s="4" t="n">
        <f aca="false">(E6-D6)*Assumptions!$B$23/100</f>
        <v>108.47029248</v>
      </c>
      <c r="F18" s="4" t="n">
        <f aca="false">(F6-E6)*Assumptions!$B$23/100</f>
        <v>-49.8963345408</v>
      </c>
      <c r="G18" s="4" t="n">
        <f aca="false">(G6-F6)*Assumptions!$B$23/100</f>
        <v>-77.8382818836482</v>
      </c>
      <c r="H18" s="4" t="n">
        <f aca="false">(H6-G6)*Assumptions!$B$23/100</f>
        <v>-68.7571489972225</v>
      </c>
      <c r="I18" s="4" t="n">
        <f aca="false">(I6-H6)*Assumptions!$B$23/100</f>
        <v>-57.7560051576668</v>
      </c>
      <c r="J18" s="4" t="n">
        <f aca="false">(J6-I6)*Assumptions!$B$23/100</f>
        <v>-52.5579646934767</v>
      </c>
      <c r="K18" s="4" t="n">
        <f aca="false">(K6-J6)*Assumptions!$B$23/100</f>
        <v>-46.6264229637844</v>
      </c>
      <c r="L18" s="4" t="n">
        <f aca="false">(L6-K6)*Assumptions!$B$23/100</f>
        <v>-48.025215652698</v>
      </c>
    </row>
    <row r="19" customFormat="false" ht="15" hidden="false" customHeight="false" outlineLevel="0" collapsed="false">
      <c r="A19" s="0" t="s">
        <v>132</v>
      </c>
      <c r="C19" s="0" t="n">
        <f aca="false">C15+C16+C17+C18</f>
        <v>5049.1072224</v>
      </c>
      <c r="D19" s="0" t="n">
        <f aca="false">D15+D16+D17+D18</f>
        <v>4635.94187232</v>
      </c>
      <c r="E19" s="0" t="n">
        <f aca="false">E15+E16+E17+E18</f>
        <v>4059.6362839296</v>
      </c>
      <c r="F19" s="0" t="n">
        <f aca="false">F15+F16+F17+F18</f>
        <v>4231.20916905984</v>
      </c>
      <c r="G19" s="0" t="n">
        <f aca="false">G15+G16+G17+G18</f>
        <v>4642.33999677567</v>
      </c>
      <c r="H19" s="0" t="n">
        <f aca="false">H15+H16+H17+H18</f>
        <v>5114.84431390338</v>
      </c>
      <c r="I19" s="0" t="n">
        <f aca="false">I15+I16+I17+I18</f>
        <v>5438.30544564591</v>
      </c>
      <c r="J19" s="0" t="n">
        <f aca="false">J15+J16+J17+J18</f>
        <v>5709.69080658088</v>
      </c>
      <c r="K19" s="0" t="n">
        <f aca="false">K15+K16+K17+K18</f>
        <v>5944.51922971029</v>
      </c>
      <c r="L19" s="0" t="n">
        <f aca="false">L15+L16+L17+L18</f>
        <v>6122.8548066016</v>
      </c>
    </row>
    <row r="20" customFormat="false" ht="15" hidden="false" customHeight="false" outlineLevel="0" collapsed="false">
      <c r="A20" s="0" t="s">
        <v>133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134</v>
      </c>
      <c r="C21" s="0" t="n">
        <f aca="false">C19*C20</f>
        <v>4611.05682410959</v>
      </c>
      <c r="D21" s="0" t="n">
        <f aca="false">D19*D20</f>
        <v>3866.42636502158</v>
      </c>
      <c r="E21" s="0" t="n">
        <f aca="false">E19*E20</f>
        <v>3092.03761079439</v>
      </c>
      <c r="F21" s="0" t="n">
        <f aca="false">F19*F20</f>
        <v>2943.12032835029</v>
      </c>
      <c r="G21" s="0" t="n">
        <f aca="false">G19*G20</f>
        <v>2948.94279759641</v>
      </c>
      <c r="H21" s="0" t="n">
        <f aca="false">H19*H20</f>
        <v>2967.20603817447</v>
      </c>
      <c r="I21" s="0" t="n">
        <f aca="false">I19*I20</f>
        <v>2881.14265451286</v>
      </c>
      <c r="J21" s="0" t="n">
        <f aca="false">J19*J20</f>
        <v>2762.48314811011</v>
      </c>
      <c r="K21" s="0" t="n">
        <f aca="false">K19*K20</f>
        <v>2626.57413757422</v>
      </c>
      <c r="L21" s="0" t="n">
        <f aca="false">L19*L20</f>
        <v>2470.65877780954</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9.5</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13</v>
      </c>
    </row>
    <row r="30" customFormat="false" ht="15" hidden="false" customHeight="false" outlineLevel="0" collapsed="false">
      <c r="A30" s="0" t="s">
        <v>137</v>
      </c>
      <c r="B30" s="0" t="n">
        <f aca="false">SUM(C21:L21)</f>
        <v>31169.6486820535</v>
      </c>
    </row>
    <row r="31" customFormat="false" ht="15" hidden="false" customHeight="false" outlineLevel="0" collapsed="false">
      <c r="A31" s="0" t="s">
        <v>138</v>
      </c>
      <c r="B31" s="0" t="n">
        <f aca="false">L19</f>
        <v>6122.8548066016</v>
      </c>
    </row>
    <row r="32" customFormat="false" ht="15" hidden="false" customHeight="false" outlineLevel="0" collapsed="false">
      <c r="A32" s="0" t="s">
        <v>139</v>
      </c>
      <c r="B32" s="0" t="n">
        <f aca="false">IF(B27&gt;B28,B31*(1+B28/100)/((B27-B28)/100),B31*B29)</f>
        <v>83270.8253697817</v>
      </c>
    </row>
    <row r="33" customFormat="false" ht="15" hidden="false" customHeight="false" outlineLevel="0" collapsed="false">
      <c r="A33" s="0" t="s">
        <v>140</v>
      </c>
      <c r="B33" s="0" t="n">
        <f aca="false">B31*B29</f>
        <v>79597.1124858208</v>
      </c>
    </row>
    <row r="34" customFormat="false" ht="15" hidden="false" customHeight="false" outlineLevel="0" collapsed="false">
      <c r="A34" s="0" t="s">
        <v>141</v>
      </c>
      <c r="B34" s="0" t="n">
        <f aca="false">MAX(0,MIN(B32,B33))</f>
        <v>79597.1124858208</v>
      </c>
    </row>
    <row r="35" customFormat="false" ht="15" hidden="false" customHeight="false" outlineLevel="0" collapsed="false">
      <c r="A35" s="0" t="s">
        <v>142</v>
      </c>
      <c r="B35" s="0" t="n">
        <f aca="false">B34/(1+B27/100)^L4</f>
        <v>32118.564111524</v>
      </c>
    </row>
    <row r="36" customFormat="false" ht="15" hidden="false" customHeight="false" outlineLevel="0" collapsed="false">
      <c r="A36" s="0" t="s">
        <v>143</v>
      </c>
      <c r="B36" s="0" t="n">
        <f aca="false">B30+B35</f>
        <v>63288.2127935775</v>
      </c>
    </row>
    <row r="37" customFormat="false" ht="15" hidden="false" customHeight="false" outlineLevel="0" collapsed="false">
      <c r="A37" s="0" t="s">
        <v>144</v>
      </c>
      <c r="B37" s="0" t="n">
        <f aca="false">B36+Assumptions!$B$5-Assumptions!$B$4</f>
        <v>57337.6127935775</v>
      </c>
    </row>
    <row r="38" customFormat="false" ht="15" hidden="false" customHeight="false" outlineLevel="0" collapsed="false">
      <c r="A38" s="0" t="s">
        <v>145</v>
      </c>
      <c r="B38" s="0" t="n">
        <f aca="false">B37/Assumptions!$B$3*Assumptions!$B$10</f>
        <v>117.302808497499</v>
      </c>
    </row>
    <row r="39" customFormat="false" ht="15" hidden="false" customHeight="false" outlineLevel="0" collapsed="false">
      <c r="A39" s="0" t="s">
        <v>146</v>
      </c>
      <c r="B39" s="4" t="n">
        <f aca="false">B38/Assumptions!$B$2-1</f>
        <v>-0.693414159333266</v>
      </c>
    </row>
    <row r="41" customFormat="false" ht="15" hidden="false" customHeight="false" outlineLevel="0" collapsed="false">
      <c r="A41" s="0" t="s">
        <v>147</v>
      </c>
      <c r="B41" s="0" t="n">
        <f aca="false">SUMPRODUCT(-C10:L10/(1+$B$27/100)^C4:L4)</f>
        <v>2977.67783108891</v>
      </c>
    </row>
    <row r="42" customFormat="false" ht="15" hidden="false" customHeight="false" outlineLevel="0" collapsed="false">
      <c r="A42" s="0" t="s">
        <v>148</v>
      </c>
      <c r="B42" s="0" t="n">
        <f aca="false">IF(B27&gt;B28,-L10*(1+B28/100)/((B27-B28)/100),-L10*20)/(1+B27/100)^L4</f>
        <v>2488.37428185394</v>
      </c>
    </row>
    <row r="43" customFormat="false" ht="15" hidden="false" customHeight="false" outlineLevel="0" collapsed="false">
      <c r="A43" s="0" t="s">
        <v>149</v>
      </c>
      <c r="B43" s="0" t="n">
        <f aca="false">(B37+B41+B42)/Assumptions!$B$3*Assumptions!$B$10</f>
        <v>128.48540283658</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48040.8607902587</v>
      </c>
    </row>
    <row r="47" customFormat="false" ht="15" hidden="false" customHeight="false" outlineLevel="0" collapsed="false">
      <c r="A47" s="0" t="s">
        <v>151</v>
      </c>
      <c r="B47" s="0" t="n">
        <f aca="false">(SUMPRODUCT(C19:L19/(1+B45/100)^C4:L4)+B46/(1+B45/100)^L4+Assumptions!$B$5-Assumptions!$B$4)/Assumptions!$B$3*Assumptions!$B$10</f>
        <v>62.48448491903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20</v>
      </c>
      <c r="D5" s="4" t="n">
        <f aca="false">Assumptions!D27</f>
        <v>16</v>
      </c>
      <c r="E5" s="4" t="n">
        <f aca="false">Assumptions!E27</f>
        <v>13</v>
      </c>
      <c r="F5" s="4" t="n">
        <f aca="false">Assumptions!F27</f>
        <v>10</v>
      </c>
      <c r="G5" s="4" t="n">
        <f aca="false">Assumptions!G27</f>
        <v>8</v>
      </c>
      <c r="H5" s="4" t="n">
        <f aca="false">Assumptions!H27</f>
        <v>6.5</v>
      </c>
      <c r="I5" s="4" t="n">
        <f aca="false">Assumptions!I27</f>
        <v>5.5</v>
      </c>
      <c r="J5" s="4" t="n">
        <f aca="false">Assumptions!J27</f>
        <v>5</v>
      </c>
      <c r="K5" s="4" t="n">
        <f aca="false">Assumptions!K27</f>
        <v>4.5</v>
      </c>
      <c r="L5" s="4" t="n">
        <f aca="false">Assumptions!L27</f>
        <v>4</v>
      </c>
    </row>
    <row r="6" customFormat="false" ht="15" hidden="false" customHeight="false" outlineLevel="0" collapsed="false">
      <c r="A6" s="0" t="s">
        <v>37</v>
      </c>
      <c r="B6" s="3" t="n">
        <v>15105.6</v>
      </c>
      <c r="C6" s="0" t="n">
        <f aca="false">B6*(1+C5/100)</f>
        <v>18126.72</v>
      </c>
      <c r="D6" s="0" t="n">
        <f aca="false">C6*(1+D5/100)</f>
        <v>21026.9952</v>
      </c>
      <c r="E6" s="0" t="n">
        <f aca="false">D6*(1+E5/100)</f>
        <v>23760.504576</v>
      </c>
      <c r="F6" s="0" t="n">
        <f aca="false">E6*(1+F5/100)</f>
        <v>26136.5550336</v>
      </c>
      <c r="G6" s="0" t="n">
        <f aca="false">F6*(1+G5/100)</f>
        <v>28227.479436288</v>
      </c>
      <c r="H6" s="0" t="n">
        <f aca="false">G6*(1+H5/100)</f>
        <v>30062.2655996467</v>
      </c>
      <c r="I6" s="0" t="n">
        <f aca="false">H6*(1+I5/100)</f>
        <v>31715.6902076273</v>
      </c>
      <c r="J6" s="0" t="n">
        <f aca="false">I6*(1+J5/100)</f>
        <v>33301.4747180087</v>
      </c>
      <c r="K6" s="0" t="n">
        <f aca="false">J6*(1+K5/100)</f>
        <v>34800.041080319</v>
      </c>
      <c r="L6" s="0" t="n">
        <f aca="false">K6*(1+L5/100)</f>
        <v>36192.0427235318</v>
      </c>
    </row>
    <row r="7" customFormat="false" ht="15" hidden="false" customHeight="false" outlineLevel="0" collapsed="false">
      <c r="A7" s="0" t="s">
        <v>108</v>
      </c>
      <c r="C7" s="4" t="n">
        <f aca="false">Assumptions!C28</f>
        <v>46</v>
      </c>
      <c r="D7" s="4" t="n">
        <f aca="false">Assumptions!D28</f>
        <v>47.5</v>
      </c>
      <c r="E7" s="4" t="n">
        <f aca="false">Assumptions!E28</f>
        <v>48.5</v>
      </c>
      <c r="F7" s="4" t="n">
        <f aca="false">Assumptions!F28</f>
        <v>49.5</v>
      </c>
      <c r="G7" s="4" t="n">
        <f aca="false">Assumptions!G28</f>
        <v>50</v>
      </c>
      <c r="H7" s="4" t="n">
        <f aca="false">Assumptions!H28</f>
        <v>50.5</v>
      </c>
      <c r="I7" s="4" t="n">
        <f aca="false">Assumptions!I28</f>
        <v>51</v>
      </c>
      <c r="J7" s="4" t="n">
        <f aca="false">Assumptions!J28</f>
        <v>51</v>
      </c>
      <c r="K7" s="4" t="n">
        <f aca="false">Assumptions!K28</f>
        <v>51</v>
      </c>
      <c r="L7" s="4" t="n">
        <f aca="false">Assumptions!L28</f>
        <v>51</v>
      </c>
    </row>
    <row r="8" customFormat="false" ht="15" hidden="false" customHeight="false" outlineLevel="0" collapsed="false">
      <c r="A8" s="0" t="s">
        <v>43</v>
      </c>
      <c r="C8" s="0" t="n">
        <f aca="false">C6*C7/100</f>
        <v>8338.2912</v>
      </c>
      <c r="D8" s="0" t="n">
        <f aca="false">D6*D7/100</f>
        <v>9987.82272</v>
      </c>
      <c r="E8" s="0" t="n">
        <f aca="false">E6*E7/100</f>
        <v>11523.84471936</v>
      </c>
      <c r="F8" s="0" t="n">
        <f aca="false">F6*F7/100</f>
        <v>12937.594741632</v>
      </c>
      <c r="G8" s="0" t="n">
        <f aca="false">G6*G7/100</f>
        <v>14113.739718144</v>
      </c>
      <c r="H8" s="0" t="n">
        <f aca="false">H6*H7/100</f>
        <v>15181.4441278216</v>
      </c>
      <c r="I8" s="0" t="n">
        <f aca="false">I6*I7/100</f>
        <v>16175.0020058899</v>
      </c>
      <c r="J8" s="0" t="n">
        <f aca="false">J6*J7/100</f>
        <v>16983.7521061844</v>
      </c>
      <c r="K8" s="0" t="n">
        <f aca="false">K6*K7/100</f>
        <v>17748.0209509627</v>
      </c>
      <c r="L8" s="0" t="n">
        <f aca="false">L6*L7/100</f>
        <v>18457.9417890012</v>
      </c>
    </row>
    <row r="9" customFormat="false" ht="15" hidden="false" customHeight="false" outlineLevel="0" collapsed="false">
      <c r="A9" s="0" t="s">
        <v>109</v>
      </c>
      <c r="C9" s="4" t="n">
        <f aca="false">Assumptions!C29</f>
        <v>2.6</v>
      </c>
      <c r="D9" s="4" t="n">
        <f aca="false">Assumptions!D29</f>
        <v>2.5</v>
      </c>
      <c r="E9" s="4" t="n">
        <f aca="false">Assumptions!E29</f>
        <v>2.4</v>
      </c>
      <c r="F9" s="4" t="n">
        <f aca="false">Assumptions!F29</f>
        <v>2.3</v>
      </c>
      <c r="G9" s="4" t="n">
        <f aca="false">Assumptions!G29</f>
        <v>2.2</v>
      </c>
      <c r="H9" s="4" t="n">
        <f aca="false">Assumptions!H29</f>
        <v>2.1</v>
      </c>
      <c r="I9" s="4" t="n">
        <f aca="false">Assumptions!I29</f>
        <v>2</v>
      </c>
      <c r="J9" s="4" t="n">
        <f aca="false">Assumptions!J29</f>
        <v>2</v>
      </c>
      <c r="K9" s="4" t="n">
        <f aca="false">Assumptions!K29</f>
        <v>2</v>
      </c>
      <c r="L9" s="4" t="n">
        <f aca="false">Assumptions!L29</f>
        <v>2</v>
      </c>
    </row>
    <row r="10" customFormat="false" ht="15" hidden="false" customHeight="false" outlineLevel="0" collapsed="false">
      <c r="A10" s="0" t="s">
        <v>124</v>
      </c>
      <c r="C10" s="0" t="n">
        <f aca="false">-C6*C9/100</f>
        <v>-471.29472</v>
      </c>
      <c r="D10" s="0" t="n">
        <f aca="false">-D6*D9/100</f>
        <v>-525.67488</v>
      </c>
      <c r="E10" s="0" t="n">
        <f aca="false">-E6*E9/100</f>
        <v>-570.252109824</v>
      </c>
      <c r="F10" s="0" t="n">
        <f aca="false">-F6*F9/100</f>
        <v>-601.1407657728</v>
      </c>
      <c r="G10" s="0" t="n">
        <f aca="false">-G6*G9/100</f>
        <v>-621.004547598336</v>
      </c>
      <c r="H10" s="0" t="n">
        <f aca="false">-H6*H9/100</f>
        <v>-631.307577592581</v>
      </c>
      <c r="I10" s="0" t="n">
        <f aca="false">-I6*I9/100</f>
        <v>-634.313804152546</v>
      </c>
      <c r="J10" s="0" t="n">
        <f aca="false">-J6*J9/100</f>
        <v>-666.029494360173</v>
      </c>
      <c r="K10" s="0" t="n">
        <f aca="false">-K6*K9/100</f>
        <v>-696.000821606381</v>
      </c>
      <c r="L10" s="0" t="n">
        <f aca="false">-L6*L9/100</f>
        <v>-723.840854470636</v>
      </c>
    </row>
    <row r="11" customFormat="false" ht="15" hidden="false" customHeight="false" outlineLevel="0" collapsed="false">
      <c r="A11" s="0" t="s">
        <v>125</v>
      </c>
      <c r="C11" s="0" t="n">
        <f aca="false">C8+C10+C24</f>
        <v>7866.99648</v>
      </c>
      <c r="D11" s="0" t="n">
        <f aca="false">D8+D10+D24</f>
        <v>9462.14784</v>
      </c>
      <c r="E11" s="0" t="n">
        <f aca="false">E8+E10+E24</f>
        <v>10953.592609536</v>
      </c>
      <c r="F11" s="0" t="n">
        <f aca="false">F8+F10+F24</f>
        <v>12336.4539758592</v>
      </c>
      <c r="G11" s="0" t="n">
        <f aca="false">G8+G10+G24</f>
        <v>13492.7351705457</v>
      </c>
      <c r="H11" s="0" t="n">
        <f aca="false">H8+H10+H24</f>
        <v>14550.136550229</v>
      </c>
      <c r="I11" s="0" t="n">
        <f aca="false">I8+I10+I24</f>
        <v>15540.6882017374</v>
      </c>
      <c r="J11" s="0" t="n">
        <f aca="false">J8+J10+J24</f>
        <v>16317.7226118242</v>
      </c>
      <c r="K11" s="0" t="n">
        <f aca="false">K8+K10+K24</f>
        <v>17052.0201293563</v>
      </c>
      <c r="L11" s="0" t="n">
        <f aca="false">L8+L10+L24</f>
        <v>17734.1009345306</v>
      </c>
    </row>
    <row r="12" customFormat="false" ht="15" hidden="false" customHeight="false" outlineLevel="0" collapsed="false">
      <c r="A12" s="0" t="s">
        <v>126</v>
      </c>
      <c r="C12" s="4" t="n">
        <f aca="false">-C6*Assumptions!C31/100</f>
        <v>-2900.2752</v>
      </c>
      <c r="D12" s="4" t="n">
        <f aca="false">-D6*Assumptions!D31/100</f>
        <v>-2733.509376</v>
      </c>
      <c r="E12" s="4" t="n">
        <f aca="false">-E6*Assumptions!E31/100</f>
        <v>-2376.0504576</v>
      </c>
      <c r="F12" s="4" t="n">
        <f aca="false">-F6*Assumptions!F31/100</f>
        <v>-2090.924402688</v>
      </c>
      <c r="G12" s="4" t="n">
        <f aca="false">-G6*Assumptions!G31/100</f>
        <v>-1693.64876617728</v>
      </c>
      <c r="H12" s="4" t="n">
        <f aca="false">-H6*Assumptions!H31/100</f>
        <v>-1352.8019519841</v>
      </c>
      <c r="I12" s="4" t="n">
        <f aca="false">-I6*Assumptions!I31/100</f>
        <v>-1268.62760830509</v>
      </c>
      <c r="J12" s="4" t="n">
        <f aca="false">-J6*Assumptions!J31/100</f>
        <v>-1332.05898872035</v>
      </c>
      <c r="K12" s="4" t="n">
        <f aca="false">-K6*Assumptions!K31/100</f>
        <v>-1392.00164321276</v>
      </c>
      <c r="L12" s="4" t="n">
        <f aca="false">-L6*Assumptions!L31/100</f>
        <v>-1447.68170894127</v>
      </c>
    </row>
    <row r="13" customFormat="false" ht="15" hidden="false" customHeight="false" outlineLevel="0" collapsed="false">
      <c r="A13" s="0" t="s">
        <v>127</v>
      </c>
      <c r="C13" s="0" t="n">
        <f aca="false">C11+C12</f>
        <v>4966.72128</v>
      </c>
      <c r="D13" s="0" t="n">
        <f aca="false">D11+D12</f>
        <v>6728.638464</v>
      </c>
      <c r="E13" s="0" t="n">
        <f aca="false">E11+E12</f>
        <v>8577.542151936</v>
      </c>
      <c r="F13" s="0" t="n">
        <f aca="false">F11+F12</f>
        <v>10245.5295731712</v>
      </c>
      <c r="G13" s="0" t="n">
        <f aca="false">G11+G12</f>
        <v>11799.0864043684</v>
      </c>
      <c r="H13" s="0" t="n">
        <f aca="false">H11+H12</f>
        <v>13197.3345982449</v>
      </c>
      <c r="I13" s="0" t="n">
        <f aca="false">I11+I12</f>
        <v>14272.0605934323</v>
      </c>
      <c r="J13" s="0" t="n">
        <f aca="false">J11+J12</f>
        <v>14985.6636231039</v>
      </c>
      <c r="K13" s="0" t="n">
        <f aca="false">K11+K12</f>
        <v>15660.0184861436</v>
      </c>
      <c r="L13" s="0" t="n">
        <f aca="false">L11+L12</f>
        <v>16286.4192255893</v>
      </c>
    </row>
    <row r="14" customFormat="false" ht="15" hidden="false" customHeight="false" outlineLevel="0" collapsed="false">
      <c r="A14" s="0" t="s">
        <v>113</v>
      </c>
      <c r="C14" s="4" t="n">
        <f aca="false">Assumptions!C33</f>
        <v>17</v>
      </c>
      <c r="D14" s="4" t="n">
        <f aca="false">Assumptions!D33</f>
        <v>17.5</v>
      </c>
      <c r="E14" s="4" t="n">
        <f aca="false">Assumptions!E33</f>
        <v>18</v>
      </c>
      <c r="F14" s="4" t="n">
        <f aca="false">Assumptions!F33</f>
        <v>18.5</v>
      </c>
      <c r="G14" s="4" t="n">
        <f aca="false">Assumptions!G33</f>
        <v>19</v>
      </c>
      <c r="H14" s="4" t="n">
        <f aca="false">Assumptions!H33</f>
        <v>19.5</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128</v>
      </c>
      <c r="C15" s="0" t="n">
        <f aca="false">C13-MAX(0,C13)*C14/100</f>
        <v>4122.3786624</v>
      </c>
      <c r="D15" s="0" t="n">
        <f aca="false">D13-MAX(0,D13)*D14/100</f>
        <v>5551.1267328</v>
      </c>
      <c r="E15" s="0" t="n">
        <f aca="false">E13-MAX(0,E13)*E14/100</f>
        <v>7033.58456458752</v>
      </c>
      <c r="F15" s="0" t="n">
        <f aca="false">F13-MAX(0,F13)*F14/100</f>
        <v>8350.10660213453</v>
      </c>
      <c r="G15" s="0" t="n">
        <f aca="false">G13-MAX(0,G13)*G14/100</f>
        <v>9557.25998753839</v>
      </c>
      <c r="H15" s="0" t="n">
        <f aca="false">H13-MAX(0,H13)*H14/100</f>
        <v>10623.8543515872</v>
      </c>
      <c r="I15" s="0" t="n">
        <f aca="false">I13-MAX(0,I13)*I14/100</f>
        <v>11417.6484747458</v>
      </c>
      <c r="J15" s="0" t="n">
        <f aca="false">J13-MAX(0,J13)*J14/100</f>
        <v>11988.5308984831</v>
      </c>
      <c r="K15" s="0" t="n">
        <f aca="false">K13-MAX(0,K13)*K14/100</f>
        <v>12528.0147889149</v>
      </c>
      <c r="L15" s="0" t="n">
        <f aca="false">L13-MAX(0,L13)*L14/100</f>
        <v>13029.1353804715</v>
      </c>
    </row>
    <row r="16" customFormat="false" ht="15" hidden="false" customHeight="false" outlineLevel="0" collapsed="false">
      <c r="A16" s="0" t="s">
        <v>129</v>
      </c>
      <c r="C16" s="0" t="n">
        <f aca="false">-C12</f>
        <v>2900.2752</v>
      </c>
      <c r="D16" s="0" t="n">
        <f aca="false">-D12</f>
        <v>2733.509376</v>
      </c>
      <c r="E16" s="0" t="n">
        <f aca="false">-E12</f>
        <v>2376.0504576</v>
      </c>
      <c r="F16" s="0" t="n">
        <f aca="false">-F12</f>
        <v>2090.924402688</v>
      </c>
      <c r="G16" s="0" t="n">
        <f aca="false">-G12</f>
        <v>1693.64876617728</v>
      </c>
      <c r="H16" s="0" t="n">
        <f aca="false">-H12</f>
        <v>1352.8019519841</v>
      </c>
      <c r="I16" s="0" t="n">
        <f aca="false">-I12</f>
        <v>1268.62760830509</v>
      </c>
      <c r="J16" s="0" t="n">
        <f aca="false">-J12</f>
        <v>1332.05898872035</v>
      </c>
      <c r="K16" s="0" t="n">
        <f aca="false">-K12</f>
        <v>1392.00164321276</v>
      </c>
      <c r="L16" s="0" t="n">
        <f aca="false">-L12</f>
        <v>1447.68170894127</v>
      </c>
    </row>
    <row r="17" customFormat="false" ht="15" hidden="false" customHeight="false" outlineLevel="0" collapsed="false">
      <c r="A17" s="0" t="s">
        <v>130</v>
      </c>
      <c r="C17" s="4" t="n">
        <f aca="false">-C6*Assumptions!C32/100</f>
        <v>-779.44896</v>
      </c>
      <c r="D17" s="4" t="n">
        <f aca="false">-D6*Assumptions!D32/100</f>
        <v>-883.1337984</v>
      </c>
      <c r="E17" s="4" t="n">
        <f aca="false">-E6*Assumptions!E32/100</f>
        <v>-997.941192192</v>
      </c>
      <c r="F17" s="4" t="n">
        <f aca="false">-F6*Assumptions!F32/100</f>
        <v>-1123.8718664448</v>
      </c>
      <c r="G17" s="4" t="n">
        <f aca="false">-G6*Assumptions!G32/100</f>
        <v>-1213.78161576038</v>
      </c>
      <c r="H17" s="4" t="n">
        <f aca="false">-H6*Assumptions!H32/100</f>
        <v>-1352.8019519841</v>
      </c>
      <c r="I17" s="4" t="n">
        <f aca="false">-I6*Assumptions!I32/100</f>
        <v>-1427.20605934323</v>
      </c>
      <c r="J17" s="4" t="n">
        <f aca="false">-J6*Assumptions!J32/100</f>
        <v>-1498.56636231039</v>
      </c>
      <c r="K17" s="4" t="n">
        <f aca="false">-K6*Assumptions!K32/100</f>
        <v>-1566.00184861436</v>
      </c>
      <c r="L17" s="4" t="n">
        <f aca="false">-L6*Assumptions!L32/100</f>
        <v>-1628.64192255893</v>
      </c>
    </row>
    <row r="18" customFormat="false" ht="15" hidden="false" customHeight="false" outlineLevel="0" collapsed="false">
      <c r="A18" s="0" t="s">
        <v>131</v>
      </c>
      <c r="C18" s="4" t="n">
        <f aca="false">(C6-B6)*Assumptions!$B$37/100</f>
        <v>-241.6896</v>
      </c>
      <c r="D18" s="4" t="n">
        <f aca="false">(D6-C6)*Assumptions!$B$37/100</f>
        <v>-232.022016</v>
      </c>
      <c r="E18" s="4" t="n">
        <f aca="false">(E6-D6)*Assumptions!$B$37/100</f>
        <v>-218.68075008</v>
      </c>
      <c r="F18" s="4" t="n">
        <f aca="false">(F6-E6)*Assumptions!$B$37/100</f>
        <v>-190.084036608</v>
      </c>
      <c r="G18" s="4" t="n">
        <f aca="false">(G6-F6)*Assumptions!$B$37/100</f>
        <v>-167.27395221504</v>
      </c>
      <c r="H18" s="4" t="n">
        <f aca="false">(H6-G6)*Assumptions!$B$37/100</f>
        <v>-146.782893068698</v>
      </c>
      <c r="I18" s="4" t="n">
        <f aca="false">(I6-H6)*Assumptions!$B$37/100</f>
        <v>-132.273968638445</v>
      </c>
      <c r="J18" s="4" t="n">
        <f aca="false">(J6-I6)*Assumptions!$B$37/100</f>
        <v>-126.862760830509</v>
      </c>
      <c r="K18" s="4" t="n">
        <f aca="false">(K6-J6)*Assumptions!$B$37/100</f>
        <v>-119.885308984831</v>
      </c>
      <c r="L18" s="4" t="n">
        <f aca="false">(L6-K6)*Assumptions!$B$37/100</f>
        <v>-111.360131457021</v>
      </c>
    </row>
    <row r="19" customFormat="false" ht="15" hidden="false" customHeight="false" outlineLevel="0" collapsed="false">
      <c r="A19" s="0" t="s">
        <v>132</v>
      </c>
      <c r="C19" s="0" t="n">
        <f aca="false">C15+C16+C17+C18</f>
        <v>6001.5153024</v>
      </c>
      <c r="D19" s="0" t="n">
        <f aca="false">D15+D16+D17+D18</f>
        <v>7169.4802944</v>
      </c>
      <c r="E19" s="0" t="n">
        <f aca="false">E15+E16+E17+E18</f>
        <v>8193.01307991552</v>
      </c>
      <c r="F19" s="0" t="n">
        <f aca="false">F15+F16+F17+F18</f>
        <v>9127.07510176973</v>
      </c>
      <c r="G19" s="0" t="n">
        <f aca="false">G15+G16+G17+G18</f>
        <v>9869.85318574025</v>
      </c>
      <c r="H19" s="0" t="n">
        <f aca="false">H15+H16+H17+H18</f>
        <v>10477.0714585185</v>
      </c>
      <c r="I19" s="0" t="n">
        <f aca="false">I15+I16+I17+I18</f>
        <v>11126.7960550692</v>
      </c>
      <c r="J19" s="0" t="n">
        <f aca="false">J15+J16+J17+J18</f>
        <v>11695.1607640626</v>
      </c>
      <c r="K19" s="0" t="n">
        <f aca="false">K15+K16+K17+K18</f>
        <v>12234.1292745284</v>
      </c>
      <c r="L19" s="0" t="n">
        <f aca="false">L15+L16+L17+L18</f>
        <v>12736.8150353968</v>
      </c>
    </row>
    <row r="20" customFormat="false" ht="15" hidden="false" customHeight="false" outlineLevel="0" collapsed="false">
      <c r="A20" s="0" t="s">
        <v>133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134</v>
      </c>
      <c r="C21" s="0" t="n">
        <f aca="false">C19*C20</f>
        <v>5480.83589260274</v>
      </c>
      <c r="D21" s="0" t="n">
        <f aca="false">D19*D20</f>
        <v>5979.42519497092</v>
      </c>
      <c r="E21" s="0" t="n">
        <f aca="false">E19*E20</f>
        <v>6240.23996659807</v>
      </c>
      <c r="F21" s="0" t="n">
        <f aca="false">F19*F20</f>
        <v>6348.55881548558</v>
      </c>
      <c r="G21" s="0" t="n">
        <f aca="false">G19*G20</f>
        <v>6269.60379585252</v>
      </c>
      <c r="H21" s="0" t="n">
        <f aca="false">H19*H20</f>
        <v>6077.92296035243</v>
      </c>
      <c r="I21" s="0" t="n">
        <f aca="false">I19*I20</f>
        <v>5894.83011624367</v>
      </c>
      <c r="J21" s="0" t="n">
        <f aca="false">J19*J20</f>
        <v>5658.39475719494</v>
      </c>
      <c r="K21" s="0" t="n">
        <f aca="false">K19*K20</f>
        <v>5405.62597352085</v>
      </c>
      <c r="L21" s="0" t="n">
        <f aca="false">L19*L20</f>
        <v>5139.48556065886</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9.5</v>
      </c>
    </row>
    <row r="28" customFormat="false" ht="15" hidden="false" customHeight="false" outlineLevel="0" collapsed="false">
      <c r="A28" s="0" t="s">
        <v>115</v>
      </c>
      <c r="B28" s="4" t="n">
        <f aca="false">Assumptions!$B$35</f>
        <v>3</v>
      </c>
    </row>
    <row r="29" customFormat="false" ht="15" hidden="false" customHeight="false" outlineLevel="0" collapsed="false">
      <c r="A29" s="0" t="s">
        <v>116</v>
      </c>
      <c r="B29" s="4" t="n">
        <f aca="false">Assumptions!$B$36</f>
        <v>16</v>
      </c>
    </row>
    <row r="30" customFormat="false" ht="15" hidden="false" customHeight="false" outlineLevel="0" collapsed="false">
      <c r="A30" s="0" t="s">
        <v>137</v>
      </c>
      <c r="B30" s="0" t="n">
        <f aca="false">SUM(C21:L21)</f>
        <v>58494.9230334806</v>
      </c>
    </row>
    <row r="31" customFormat="false" ht="15" hidden="false" customHeight="false" outlineLevel="0" collapsed="false">
      <c r="A31" s="0" t="s">
        <v>138</v>
      </c>
      <c r="B31" s="0" t="n">
        <f aca="false">L19</f>
        <v>12736.8150353968</v>
      </c>
    </row>
    <row r="32" customFormat="false" ht="15" hidden="false" customHeight="false" outlineLevel="0" collapsed="false">
      <c r="A32" s="0" t="s">
        <v>139</v>
      </c>
      <c r="B32" s="0" t="n">
        <f aca="false">IF(B27&gt;B28,B31*(1+B28/100)/((B27-B28)/100),B31*B29)</f>
        <v>201829.530560903</v>
      </c>
    </row>
    <row r="33" customFormat="false" ht="15" hidden="false" customHeight="false" outlineLevel="0" collapsed="false">
      <c r="A33" s="0" t="s">
        <v>140</v>
      </c>
      <c r="B33" s="0" t="n">
        <f aca="false">B31*B29</f>
        <v>203789.040566348</v>
      </c>
    </row>
    <row r="34" customFormat="false" ht="15" hidden="false" customHeight="false" outlineLevel="0" collapsed="false">
      <c r="A34" s="0" t="s">
        <v>141</v>
      </c>
      <c r="B34" s="0" t="n">
        <f aca="false">MAX(0,MIN(B32,B33))</f>
        <v>201829.530560903</v>
      </c>
    </row>
    <row r="35" customFormat="false" ht="15" hidden="false" customHeight="false" outlineLevel="0" collapsed="false">
      <c r="A35" s="0" t="s">
        <v>142</v>
      </c>
      <c r="B35" s="0" t="n">
        <f aca="false">B34/(1+B27/100)^L4</f>
        <v>81441.0788842865</v>
      </c>
    </row>
    <row r="36" customFormat="false" ht="15" hidden="false" customHeight="false" outlineLevel="0" collapsed="false">
      <c r="A36" s="0" t="s">
        <v>143</v>
      </c>
      <c r="B36" s="0" t="n">
        <f aca="false">B30+B35</f>
        <v>139936.001917767</v>
      </c>
    </row>
    <row r="37" customFormat="false" ht="15" hidden="false" customHeight="false" outlineLevel="0" collapsed="false">
      <c r="A37" s="0" t="s">
        <v>144</v>
      </c>
      <c r="B37" s="0" t="n">
        <f aca="false">B36+Assumptions!$B$5-Assumptions!$B$4</f>
        <v>133985.401917767</v>
      </c>
    </row>
    <row r="38" customFormat="false" ht="15" hidden="false" customHeight="false" outlineLevel="0" collapsed="false">
      <c r="A38" s="0" t="s">
        <v>145</v>
      </c>
      <c r="B38" s="0" t="n">
        <f aca="false">B37/Assumptions!$B$3*Assumptions!$B$10</f>
        <v>274.110887720473</v>
      </c>
    </row>
    <row r="39" customFormat="false" ht="15" hidden="false" customHeight="false" outlineLevel="0" collapsed="false">
      <c r="A39" s="0" t="s">
        <v>146</v>
      </c>
      <c r="B39" s="4" t="n">
        <f aca="false">B38/Assumptions!$B$2-1</f>
        <v>-0.283576258538792</v>
      </c>
    </row>
    <row r="41" customFormat="false" ht="15" hidden="false" customHeight="false" outlineLevel="0" collapsed="false">
      <c r="A41" s="0" t="s">
        <v>147</v>
      </c>
      <c r="B41" s="0" t="n">
        <f aca="false">SUMPRODUCT(-C10:L10/(1+$B$27/100)^C4:L4)</f>
        <v>3739.90733935141</v>
      </c>
    </row>
    <row r="42" customFormat="false" ht="15" hidden="false" customHeight="false" outlineLevel="0" collapsed="false">
      <c r="A42" s="0" t="s">
        <v>148</v>
      </c>
      <c r="B42" s="0" t="n">
        <f aca="false">IF(B27&gt;B28,-L10*(1+B28/100)/((B27-B28)/100),-L10*20)/(1+B27/100)^L4</f>
        <v>4628.34546664798</v>
      </c>
    </row>
    <row r="43" customFormat="false" ht="15" hidden="false" customHeight="false" outlineLevel="0" collapsed="false">
      <c r="A43" s="0" t="s">
        <v>149</v>
      </c>
      <c r="B43" s="0" t="n">
        <f aca="false">(B37+B41+B42)/Assumptions!$B$3*Assumptions!$B$10</f>
        <v>291.230881186102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109324.329053822</v>
      </c>
    </row>
    <row r="47" customFormat="false" ht="15" hidden="false" customHeight="false" outlineLevel="0" collapsed="false">
      <c r="A47" s="0" t="s">
        <v>151</v>
      </c>
      <c r="B47" s="0" t="n">
        <f aca="false">(SUMPRODUCT(C19:L19/(1+B45/100)^C4:L4)+B46/(1+B45/100)^L4+Assumptions!$B$5-Assumptions!$B$4)/Assumptions!$B$3*Assumptions!$B$10</f>
        <v>135.815923047796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24</v>
      </c>
      <c r="D5" s="4" t="n">
        <f aca="false">Assumptions!D41</f>
        <v>21</v>
      </c>
      <c r="E5" s="4" t="n">
        <f aca="false">Assumptions!E41</f>
        <v>18</v>
      </c>
      <c r="F5" s="4" t="n">
        <f aca="false">Assumptions!F41</f>
        <v>15</v>
      </c>
      <c r="G5" s="4" t="n">
        <f aca="false">Assumptions!G41</f>
        <v>12</v>
      </c>
      <c r="H5" s="4" t="n">
        <f aca="false">Assumptions!H41</f>
        <v>10</v>
      </c>
      <c r="I5" s="4" t="n">
        <f aca="false">Assumptions!I41</f>
        <v>8.5</v>
      </c>
      <c r="J5" s="4" t="n">
        <f aca="false">Assumptions!J41</f>
        <v>7</v>
      </c>
      <c r="K5" s="4" t="n">
        <f aca="false">Assumptions!K41</f>
        <v>6</v>
      </c>
      <c r="L5" s="4" t="n">
        <f aca="false">Assumptions!L41</f>
        <v>5</v>
      </c>
    </row>
    <row r="6" customFormat="false" ht="15" hidden="false" customHeight="false" outlineLevel="0" collapsed="false">
      <c r="A6" s="0" t="s">
        <v>37</v>
      </c>
      <c r="B6" s="3" t="n">
        <v>15105.6</v>
      </c>
      <c r="C6" s="0" t="n">
        <f aca="false">B6*(1+C5/100)</f>
        <v>18730.944</v>
      </c>
      <c r="D6" s="0" t="n">
        <f aca="false">C6*(1+D5/100)</f>
        <v>22664.44224</v>
      </c>
      <c r="E6" s="0" t="n">
        <f aca="false">D6*(1+E5/100)</f>
        <v>26744.0418432</v>
      </c>
      <c r="F6" s="0" t="n">
        <f aca="false">E6*(1+F5/100)</f>
        <v>30755.64811968</v>
      </c>
      <c r="G6" s="0" t="n">
        <f aca="false">F6*(1+G5/100)</f>
        <v>34446.3258940416</v>
      </c>
      <c r="H6" s="0" t="n">
        <f aca="false">G6*(1+H5/100)</f>
        <v>37890.9584834458</v>
      </c>
      <c r="I6" s="0" t="n">
        <f aca="false">H6*(1+I5/100)</f>
        <v>41111.6899545387</v>
      </c>
      <c r="J6" s="0" t="n">
        <f aca="false">I6*(1+J5/100)</f>
        <v>43989.5082513564</v>
      </c>
      <c r="K6" s="0" t="n">
        <f aca="false">J6*(1+K5/100)</f>
        <v>46628.8787464377</v>
      </c>
      <c r="L6" s="0" t="n">
        <f aca="false">K6*(1+L5/100)</f>
        <v>48960.3226837596</v>
      </c>
    </row>
    <row r="7" customFormat="false" ht="15" hidden="false" customHeight="false" outlineLevel="0" collapsed="false">
      <c r="A7" s="0" t="s">
        <v>108</v>
      </c>
      <c r="C7" s="4" t="n">
        <f aca="false">Assumptions!C42</f>
        <v>47</v>
      </c>
      <c r="D7" s="4" t="n">
        <f aca="false">Assumptions!D42</f>
        <v>49</v>
      </c>
      <c r="E7" s="4" t="n">
        <f aca="false">Assumptions!E42</f>
        <v>50.5</v>
      </c>
      <c r="F7" s="4" t="n">
        <f aca="false">Assumptions!F42</f>
        <v>51.5</v>
      </c>
      <c r="G7" s="4" t="n">
        <f aca="false">Assumptions!G42</f>
        <v>52.5</v>
      </c>
      <c r="H7" s="4" t="n">
        <f aca="false">Assumptions!H42</f>
        <v>53</v>
      </c>
      <c r="I7" s="4" t="n">
        <f aca="false">Assumptions!I42</f>
        <v>53.5</v>
      </c>
      <c r="J7" s="4" t="n">
        <f aca="false">Assumptions!J42</f>
        <v>53.5</v>
      </c>
      <c r="K7" s="4" t="n">
        <f aca="false">Assumptions!K42</f>
        <v>53.5</v>
      </c>
      <c r="L7" s="4" t="n">
        <f aca="false">Assumptions!L42</f>
        <v>53.5</v>
      </c>
    </row>
    <row r="8" customFormat="false" ht="15" hidden="false" customHeight="false" outlineLevel="0" collapsed="false">
      <c r="A8" s="0" t="s">
        <v>43</v>
      </c>
      <c r="C8" s="0" t="n">
        <f aca="false">C6*C7/100</f>
        <v>8803.54368</v>
      </c>
      <c r="D8" s="0" t="n">
        <f aca="false">D6*D7/100</f>
        <v>11105.5766976</v>
      </c>
      <c r="E8" s="0" t="n">
        <f aca="false">E6*E7/100</f>
        <v>13505.741130816</v>
      </c>
      <c r="F8" s="0" t="n">
        <f aca="false">F6*F7/100</f>
        <v>15839.1587816352</v>
      </c>
      <c r="G8" s="0" t="n">
        <f aca="false">G6*G7/100</f>
        <v>18084.3210943718</v>
      </c>
      <c r="H8" s="0" t="n">
        <f aca="false">H6*H7/100</f>
        <v>20082.2079962263</v>
      </c>
      <c r="I8" s="0" t="n">
        <f aca="false">I6*I7/100</f>
        <v>21994.7541256782</v>
      </c>
      <c r="J8" s="0" t="n">
        <f aca="false">J6*J7/100</f>
        <v>23534.3869144757</v>
      </c>
      <c r="K8" s="0" t="n">
        <f aca="false">K6*K7/100</f>
        <v>24946.4501293442</v>
      </c>
      <c r="L8" s="0" t="n">
        <f aca="false">L6*L7/100</f>
        <v>26193.7726358114</v>
      </c>
    </row>
    <row r="9" customFormat="false" ht="15" hidden="false" customHeight="false" outlineLevel="0" collapsed="false">
      <c r="A9" s="0" t="s">
        <v>109</v>
      </c>
      <c r="C9" s="4" t="n">
        <f aca="false">Assumptions!C43</f>
        <v>2.5</v>
      </c>
      <c r="D9" s="4" t="n">
        <f aca="false">Assumptions!D43</f>
        <v>2.4</v>
      </c>
      <c r="E9" s="4" t="n">
        <f aca="false">Assumptions!E43</f>
        <v>2.3</v>
      </c>
      <c r="F9" s="4" t="n">
        <f aca="false">Assumptions!F43</f>
        <v>2.2</v>
      </c>
      <c r="G9" s="4" t="n">
        <f aca="false">Assumptions!G43</f>
        <v>2.1</v>
      </c>
      <c r="H9" s="4" t="n">
        <f aca="false">Assumptions!H43</f>
        <v>2</v>
      </c>
      <c r="I9" s="4" t="n">
        <f aca="false">Assumptions!I43</f>
        <v>1.9</v>
      </c>
      <c r="J9" s="4" t="n">
        <f aca="false">Assumptions!J43</f>
        <v>1.9</v>
      </c>
      <c r="K9" s="4" t="n">
        <f aca="false">Assumptions!K43</f>
        <v>1.9</v>
      </c>
      <c r="L9" s="4" t="n">
        <f aca="false">Assumptions!L43</f>
        <v>1.9</v>
      </c>
    </row>
    <row r="10" customFormat="false" ht="15" hidden="false" customHeight="false" outlineLevel="0" collapsed="false">
      <c r="A10" s="0" t="s">
        <v>124</v>
      </c>
      <c r="C10" s="0" t="n">
        <f aca="false">-C6*C9/100</f>
        <v>-468.2736</v>
      </c>
      <c r="D10" s="0" t="n">
        <f aca="false">-D6*D9/100</f>
        <v>-543.94661376</v>
      </c>
      <c r="E10" s="0" t="n">
        <f aca="false">-E6*E9/100</f>
        <v>-615.1129623936</v>
      </c>
      <c r="F10" s="0" t="n">
        <f aca="false">-F6*F9/100</f>
        <v>-676.62425863296</v>
      </c>
      <c r="G10" s="0" t="n">
        <f aca="false">-G6*G9/100</f>
        <v>-723.372843774874</v>
      </c>
      <c r="H10" s="0" t="n">
        <f aca="false">-H6*H9/100</f>
        <v>-757.819169668915</v>
      </c>
      <c r="I10" s="0" t="n">
        <f aca="false">-I6*I9/100</f>
        <v>-781.122109136234</v>
      </c>
      <c r="J10" s="0" t="n">
        <f aca="false">-J6*J9/100</f>
        <v>-835.800656775771</v>
      </c>
      <c r="K10" s="0" t="n">
        <f aca="false">-K6*K9/100</f>
        <v>-885.948696182317</v>
      </c>
      <c r="L10" s="0" t="n">
        <f aca="false">-L6*L9/100</f>
        <v>-930.246130991433</v>
      </c>
    </row>
    <row r="11" customFormat="false" ht="15" hidden="false" customHeight="false" outlineLevel="0" collapsed="false">
      <c r="A11" s="0" t="s">
        <v>125</v>
      </c>
      <c r="C11" s="0" t="n">
        <f aca="false">C8+C10+C24</f>
        <v>8335.27008</v>
      </c>
      <c r="D11" s="0" t="n">
        <f aca="false">D8+D10+D24</f>
        <v>10561.63008384</v>
      </c>
      <c r="E11" s="0" t="n">
        <f aca="false">E8+E10+E24</f>
        <v>12890.6281684224</v>
      </c>
      <c r="F11" s="0" t="n">
        <f aca="false">F8+F10+F24</f>
        <v>15162.5345230022</v>
      </c>
      <c r="G11" s="0" t="n">
        <f aca="false">G8+G10+G24</f>
        <v>17360.948250597</v>
      </c>
      <c r="H11" s="0" t="n">
        <f aca="false">H8+H10+H24</f>
        <v>19324.3888265573</v>
      </c>
      <c r="I11" s="0" t="n">
        <f aca="false">I8+I10+I24</f>
        <v>21213.6320165419</v>
      </c>
      <c r="J11" s="0" t="n">
        <f aca="false">J8+J10+J24</f>
        <v>22698.5862576999</v>
      </c>
      <c r="K11" s="0" t="n">
        <f aca="false">K8+K10+K24</f>
        <v>24060.5014331619</v>
      </c>
      <c r="L11" s="0" t="n">
        <f aca="false">L8+L10+L24</f>
        <v>25263.52650482</v>
      </c>
    </row>
    <row r="12" customFormat="false" ht="15" hidden="false" customHeight="false" outlineLevel="0" collapsed="false">
      <c r="A12" s="0" t="s">
        <v>126</v>
      </c>
      <c r="C12" s="4" t="n">
        <f aca="false">-C6*Assumptions!C45/100</f>
        <v>-2996.95104</v>
      </c>
      <c r="D12" s="4" t="n">
        <f aca="false">-D6*Assumptions!D45/100</f>
        <v>-2946.3774912</v>
      </c>
      <c r="E12" s="4" t="n">
        <f aca="false">-E6*Assumptions!E45/100</f>
        <v>-2674.40418432</v>
      </c>
      <c r="F12" s="4" t="n">
        <f aca="false">-F6*Assumptions!F45/100</f>
        <v>-2460.4518495744</v>
      </c>
      <c r="G12" s="4" t="n">
        <f aca="false">-G6*Assumptions!G45/100</f>
        <v>-2066.7795536425</v>
      </c>
      <c r="H12" s="4" t="n">
        <f aca="false">-H6*Assumptions!H45/100</f>
        <v>-1705.09313175506</v>
      </c>
      <c r="I12" s="4" t="n">
        <f aca="false">-I6*Assumptions!I45/100</f>
        <v>-1644.46759818155</v>
      </c>
      <c r="J12" s="4" t="n">
        <f aca="false">-J6*Assumptions!J45/100</f>
        <v>-1759.58033005425</v>
      </c>
      <c r="K12" s="4" t="n">
        <f aca="false">-K6*Assumptions!K45/100</f>
        <v>-1865.15514985751</v>
      </c>
      <c r="L12" s="4" t="n">
        <f aca="false">-L6*Assumptions!L45/100</f>
        <v>-1958.41290735039</v>
      </c>
    </row>
    <row r="13" customFormat="false" ht="15" hidden="false" customHeight="false" outlineLevel="0" collapsed="false">
      <c r="A13" s="0" t="s">
        <v>127</v>
      </c>
      <c r="C13" s="0" t="n">
        <f aca="false">C11+C12</f>
        <v>5338.31904</v>
      </c>
      <c r="D13" s="0" t="n">
        <f aca="false">D11+D12</f>
        <v>7615.25259264</v>
      </c>
      <c r="E13" s="0" t="n">
        <f aca="false">E11+E12</f>
        <v>10216.2239841024</v>
      </c>
      <c r="F13" s="0" t="n">
        <f aca="false">F11+F12</f>
        <v>12702.0826734278</v>
      </c>
      <c r="G13" s="0" t="n">
        <f aca="false">G11+G12</f>
        <v>15294.1686969545</v>
      </c>
      <c r="H13" s="0" t="n">
        <f aca="false">H11+H12</f>
        <v>17619.2956948023</v>
      </c>
      <c r="I13" s="0" t="n">
        <f aca="false">I11+I12</f>
        <v>19569.1644183604</v>
      </c>
      <c r="J13" s="0" t="n">
        <f aca="false">J11+J12</f>
        <v>20939.0059276456</v>
      </c>
      <c r="K13" s="0" t="n">
        <f aca="false">K11+K12</f>
        <v>22195.3462833044</v>
      </c>
      <c r="L13" s="0" t="n">
        <f aca="false">L11+L12</f>
        <v>23305.1135974696</v>
      </c>
    </row>
    <row r="14" customFormat="false" ht="15" hidden="false" customHeight="false" outlineLevel="0" collapsed="false">
      <c r="A14" s="0" t="s">
        <v>113</v>
      </c>
      <c r="C14" s="4" t="n">
        <f aca="false">Assumptions!C47</f>
        <v>16.5</v>
      </c>
      <c r="D14" s="4" t="n">
        <f aca="false">Assumptions!D47</f>
        <v>17</v>
      </c>
      <c r="E14" s="4" t="n">
        <f aca="false">Assumptions!E47</f>
        <v>17.5</v>
      </c>
      <c r="F14" s="4" t="n">
        <f aca="false">Assumptions!F47</f>
        <v>18</v>
      </c>
      <c r="G14" s="4" t="n">
        <f aca="false">Assumptions!G47</f>
        <v>18.5</v>
      </c>
      <c r="H14" s="4" t="n">
        <f aca="false">Assumptions!H47</f>
        <v>19</v>
      </c>
      <c r="I14" s="4" t="n">
        <f aca="false">Assumptions!I47</f>
        <v>19.5</v>
      </c>
      <c r="J14" s="4" t="n">
        <f aca="false">Assumptions!J47</f>
        <v>19.5</v>
      </c>
      <c r="K14" s="4" t="n">
        <f aca="false">Assumptions!K47</f>
        <v>19.5</v>
      </c>
      <c r="L14" s="4" t="n">
        <f aca="false">Assumptions!L47</f>
        <v>19.5</v>
      </c>
    </row>
    <row r="15" customFormat="false" ht="15" hidden="false" customHeight="false" outlineLevel="0" collapsed="false">
      <c r="A15" s="0" t="s">
        <v>128</v>
      </c>
      <c r="C15" s="0" t="n">
        <f aca="false">C13-MAX(0,C13)*C14/100</f>
        <v>4457.4963984</v>
      </c>
      <c r="D15" s="0" t="n">
        <f aca="false">D13-MAX(0,D13)*D14/100</f>
        <v>6320.6596518912</v>
      </c>
      <c r="E15" s="0" t="n">
        <f aca="false">E13-MAX(0,E13)*E14/100</f>
        <v>8428.38478688448</v>
      </c>
      <c r="F15" s="0" t="n">
        <f aca="false">F13-MAX(0,F13)*F14/100</f>
        <v>10415.7077922108</v>
      </c>
      <c r="G15" s="0" t="n">
        <f aca="false">G13-MAX(0,G13)*G14/100</f>
        <v>12464.7474880179</v>
      </c>
      <c r="H15" s="0" t="n">
        <f aca="false">H13-MAX(0,H13)*H14/100</f>
        <v>14271.6295127898</v>
      </c>
      <c r="I15" s="0" t="n">
        <f aca="false">I13-MAX(0,I13)*I14/100</f>
        <v>15753.1773567801</v>
      </c>
      <c r="J15" s="0" t="n">
        <f aca="false">J13-MAX(0,J13)*J14/100</f>
        <v>16855.8997717547</v>
      </c>
      <c r="K15" s="0" t="n">
        <f aca="false">K13-MAX(0,K13)*K14/100</f>
        <v>17867.25375806</v>
      </c>
      <c r="L15" s="0" t="n">
        <f aca="false">L13-MAX(0,L13)*L14/100</f>
        <v>18760.616445963</v>
      </c>
    </row>
    <row r="16" customFormat="false" ht="15" hidden="false" customHeight="false" outlineLevel="0" collapsed="false">
      <c r="A16" s="0" t="s">
        <v>129</v>
      </c>
      <c r="C16" s="0" t="n">
        <f aca="false">-C12</f>
        <v>2996.95104</v>
      </c>
      <c r="D16" s="0" t="n">
        <f aca="false">-D12</f>
        <v>2946.3774912</v>
      </c>
      <c r="E16" s="0" t="n">
        <f aca="false">-E12</f>
        <v>2674.40418432</v>
      </c>
      <c r="F16" s="0" t="n">
        <f aca="false">-F12</f>
        <v>2460.4518495744</v>
      </c>
      <c r="G16" s="0" t="n">
        <f aca="false">-G12</f>
        <v>2066.7795536425</v>
      </c>
      <c r="H16" s="0" t="n">
        <f aca="false">-H12</f>
        <v>1705.09313175506</v>
      </c>
      <c r="I16" s="0" t="n">
        <f aca="false">-I12</f>
        <v>1644.46759818155</v>
      </c>
      <c r="J16" s="0" t="n">
        <f aca="false">-J12</f>
        <v>1759.58033005425</v>
      </c>
      <c r="K16" s="0" t="n">
        <f aca="false">-K12</f>
        <v>1865.15514985751</v>
      </c>
      <c r="L16" s="0" t="n">
        <f aca="false">-L12</f>
        <v>1958.41290735039</v>
      </c>
    </row>
    <row r="17" customFormat="false" ht="15" hidden="false" customHeight="false" outlineLevel="0" collapsed="false">
      <c r="A17" s="0" t="s">
        <v>130</v>
      </c>
      <c r="C17" s="4" t="n">
        <f aca="false">-C6*Assumptions!C46/100</f>
        <v>-842.89248</v>
      </c>
      <c r="D17" s="4" t="n">
        <f aca="false">-D6*Assumptions!D46/100</f>
        <v>-1019.8999008</v>
      </c>
      <c r="E17" s="4" t="n">
        <f aca="false">-E6*Assumptions!E46/100</f>
        <v>-1230.2259247872</v>
      </c>
      <c r="F17" s="4" t="n">
        <f aca="false">-F6*Assumptions!F46/100</f>
        <v>-1476.27110974464</v>
      </c>
      <c r="G17" s="4" t="n">
        <f aca="false">-G6*Assumptions!G46/100</f>
        <v>-1653.423642914</v>
      </c>
      <c r="H17" s="4" t="n">
        <f aca="false">-H6*Assumptions!H46/100</f>
        <v>-1818.7660072054</v>
      </c>
      <c r="I17" s="4" t="n">
        <f aca="false">-I6*Assumptions!I46/100</f>
        <v>-1891.13773790878</v>
      </c>
      <c r="J17" s="4" t="n">
        <f aca="false">-J6*Assumptions!J46/100</f>
        <v>-1979.52787131104</v>
      </c>
      <c r="K17" s="4" t="n">
        <f aca="false">-K6*Assumptions!K46/100</f>
        <v>-2098.2995435897</v>
      </c>
      <c r="L17" s="4" t="n">
        <f aca="false">-L6*Assumptions!L46/100</f>
        <v>-2203.21452076918</v>
      </c>
    </row>
    <row r="18" customFormat="false" ht="15" hidden="false" customHeight="false" outlineLevel="0" collapsed="false">
      <c r="A18" s="0" t="s">
        <v>131</v>
      </c>
      <c r="C18" s="4" t="n">
        <f aca="false">(C6-B6)*Assumptions!$B$51/100</f>
        <v>-290.02752</v>
      </c>
      <c r="D18" s="4" t="n">
        <f aca="false">(D6-C6)*Assumptions!$B$51/100</f>
        <v>-314.6798592</v>
      </c>
      <c r="E18" s="4" t="n">
        <f aca="false">(E6-D6)*Assumptions!$B$51/100</f>
        <v>-326.367968256</v>
      </c>
      <c r="F18" s="4" t="n">
        <f aca="false">(F6-E6)*Assumptions!$B$51/100</f>
        <v>-320.9285021184</v>
      </c>
      <c r="G18" s="4" t="n">
        <f aca="false">(G6-F6)*Assumptions!$B$51/100</f>
        <v>-295.254221948928</v>
      </c>
      <c r="H18" s="4" t="n">
        <f aca="false">(H6-G6)*Assumptions!$B$51/100</f>
        <v>-275.570607152333</v>
      </c>
      <c r="I18" s="4" t="n">
        <f aca="false">(I6-H6)*Assumptions!$B$51/100</f>
        <v>-257.658517687431</v>
      </c>
      <c r="J18" s="4" t="n">
        <f aca="false">(J6-I6)*Assumptions!$B$51/100</f>
        <v>-230.225463745417</v>
      </c>
      <c r="K18" s="4" t="n">
        <f aca="false">(K6-J6)*Assumptions!$B$51/100</f>
        <v>-211.149639606511</v>
      </c>
      <c r="L18" s="4" t="n">
        <f aca="false">(L6-K6)*Assumptions!$B$51/100</f>
        <v>-186.515514985751</v>
      </c>
    </row>
    <row r="19" customFormat="false" ht="15" hidden="false" customHeight="false" outlineLevel="0" collapsed="false">
      <c r="A19" s="0" t="s">
        <v>132</v>
      </c>
      <c r="C19" s="0" t="n">
        <f aca="false">C15+C16+C17+C18</f>
        <v>6321.5274384</v>
      </c>
      <c r="D19" s="0" t="n">
        <f aca="false">D15+D16+D17+D18</f>
        <v>7932.4573830912</v>
      </c>
      <c r="E19" s="0" t="n">
        <f aca="false">E15+E16+E17+E18</f>
        <v>9546.19507816128</v>
      </c>
      <c r="F19" s="0" t="n">
        <f aca="false">F15+F16+F17+F18</f>
        <v>11078.9600299222</v>
      </c>
      <c r="G19" s="0" t="n">
        <f aca="false">G15+G16+G17+G18</f>
        <v>12582.8491767975</v>
      </c>
      <c r="H19" s="0" t="n">
        <f aca="false">H15+H16+H17+H18</f>
        <v>13882.3860301872</v>
      </c>
      <c r="I19" s="0" t="n">
        <f aca="false">I15+I16+I17+I18</f>
        <v>15248.8486993655</v>
      </c>
      <c r="J19" s="0" t="n">
        <f aca="false">J15+J16+J17+J18</f>
        <v>16405.7267667525</v>
      </c>
      <c r="K19" s="0" t="n">
        <f aca="false">K15+K16+K17+K18</f>
        <v>17422.9597247213</v>
      </c>
      <c r="L19" s="0" t="n">
        <f aca="false">L15+L16+L17+L18</f>
        <v>18329.2993175585</v>
      </c>
    </row>
    <row r="20" customFormat="false" ht="15" hidden="false" customHeight="false" outlineLevel="0" collapsed="false">
      <c r="A20" s="0" t="s">
        <v>133</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134</v>
      </c>
      <c r="C21" s="0" t="n">
        <f aca="false">C19*C20</f>
        <v>5773.08441863014</v>
      </c>
      <c r="D21" s="0" t="n">
        <f aca="false">D19*D20</f>
        <v>6615.75645469544</v>
      </c>
      <c r="E21" s="0" t="n">
        <f aca="false">E19*E20</f>
        <v>7270.89624715918</v>
      </c>
      <c r="F21" s="0" t="n">
        <f aca="false">F19*F20</f>
        <v>7706.2397953466</v>
      </c>
      <c r="G21" s="0" t="n">
        <f aca="false">G19*G20</f>
        <v>7992.97390517085</v>
      </c>
      <c r="H21" s="0" t="n">
        <f aca="false">H19*H20</f>
        <v>8053.40243515738</v>
      </c>
      <c r="I21" s="0" t="n">
        <f aca="false">I19*I20</f>
        <v>8078.63935909116</v>
      </c>
      <c r="J21" s="0" t="n">
        <f aca="false">J19*J20</f>
        <v>7937.47774808002</v>
      </c>
      <c r="K21" s="0" t="n">
        <f aca="false">K19*K20</f>
        <v>7698.30050918694</v>
      </c>
      <c r="L21" s="0" t="n">
        <f aca="false">L19*L20</f>
        <v>7396.13230762846</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9.5</v>
      </c>
    </row>
    <row r="28" customFormat="false" ht="15" hidden="false" customHeight="false" outlineLevel="0" collapsed="false">
      <c r="A28" s="0" t="s">
        <v>115</v>
      </c>
      <c r="B28" s="4" t="n">
        <f aca="false">Assumptions!$B$49</f>
        <v>3.5</v>
      </c>
    </row>
    <row r="29" customFormat="false" ht="15" hidden="false" customHeight="false" outlineLevel="0" collapsed="false">
      <c r="A29" s="0" t="s">
        <v>116</v>
      </c>
      <c r="B29" s="4" t="n">
        <f aca="false">Assumptions!$B$50</f>
        <v>16</v>
      </c>
    </row>
    <row r="30" customFormat="false" ht="15" hidden="false" customHeight="false" outlineLevel="0" collapsed="false">
      <c r="A30" s="0" t="s">
        <v>137</v>
      </c>
      <c r="B30" s="0" t="n">
        <f aca="false">SUM(C21:L21)</f>
        <v>74522.9031801462</v>
      </c>
    </row>
    <row r="31" customFormat="false" ht="15" hidden="false" customHeight="false" outlineLevel="0" collapsed="false">
      <c r="A31" s="0" t="s">
        <v>138</v>
      </c>
      <c r="B31" s="0" t="n">
        <f aca="false">L19</f>
        <v>18329.2993175585</v>
      </c>
    </row>
    <row r="32" customFormat="false" ht="15" hidden="false" customHeight="false" outlineLevel="0" collapsed="false">
      <c r="A32" s="0" t="s">
        <v>139</v>
      </c>
      <c r="B32" s="0" t="n">
        <f aca="false">IF(B27&gt;B28,B31*(1+B28/100)/((B27-B28)/100),B31*B29)</f>
        <v>316180.413227884</v>
      </c>
    </row>
    <row r="33" customFormat="false" ht="15" hidden="false" customHeight="false" outlineLevel="0" collapsed="false">
      <c r="A33" s="0" t="s">
        <v>140</v>
      </c>
      <c r="B33" s="0" t="n">
        <f aca="false">B31*B29</f>
        <v>293268.789080936</v>
      </c>
    </row>
    <row r="34" customFormat="false" ht="15" hidden="false" customHeight="false" outlineLevel="0" collapsed="false">
      <c r="A34" s="0" t="s">
        <v>141</v>
      </c>
      <c r="B34" s="0" t="n">
        <f aca="false">MAX(0,MIN(B32,B33))</f>
        <v>293268.789080936</v>
      </c>
    </row>
    <row r="35" customFormat="false" ht="15" hidden="false" customHeight="false" outlineLevel="0" collapsed="false">
      <c r="A35" s="0" t="s">
        <v>142</v>
      </c>
      <c r="B35" s="0" t="n">
        <f aca="false">B34/(1+B27/100)^L4</f>
        <v>118338.116922055</v>
      </c>
    </row>
    <row r="36" customFormat="false" ht="15" hidden="false" customHeight="false" outlineLevel="0" collapsed="false">
      <c r="A36" s="0" t="s">
        <v>143</v>
      </c>
      <c r="B36" s="0" t="n">
        <f aca="false">B30+B35</f>
        <v>192861.020102202</v>
      </c>
    </row>
    <row r="37" customFormat="false" ht="15" hidden="false" customHeight="false" outlineLevel="0" collapsed="false">
      <c r="A37" s="0" t="s">
        <v>144</v>
      </c>
      <c r="B37" s="0" t="n">
        <f aca="false">B36+Assumptions!$B$5-Assumptions!$B$4</f>
        <v>186910.420102202</v>
      </c>
    </row>
    <row r="38" customFormat="false" ht="15" hidden="false" customHeight="false" outlineLevel="0" collapsed="false">
      <c r="A38" s="0" t="s">
        <v>145</v>
      </c>
      <c r="B38" s="0" t="n">
        <f aca="false">B37/Assumptions!$B$3*Assumptions!$B$10</f>
        <v>382.386293171443</v>
      </c>
    </row>
    <row r="39" customFormat="false" ht="15" hidden="false" customHeight="false" outlineLevel="0" collapsed="false">
      <c r="A39" s="0" t="s">
        <v>146</v>
      </c>
      <c r="B39" s="4" t="n">
        <f aca="false">B38/Assumptions!$B$2-1</f>
        <v>-0.000584686308660487</v>
      </c>
    </row>
    <row r="41" customFormat="false" ht="15" hidden="false" customHeight="false" outlineLevel="0" collapsed="false">
      <c r="A41" s="0" t="s">
        <v>147</v>
      </c>
      <c r="B41" s="0" t="n">
        <f aca="false">SUMPRODUCT(-C10:L10/(1+$B$27/100)^C4:L4)</f>
        <v>4304.61057227118</v>
      </c>
    </row>
    <row r="42" customFormat="false" ht="15" hidden="false" customHeight="false" outlineLevel="0" collapsed="false">
      <c r="A42" s="0" t="s">
        <v>148</v>
      </c>
      <c r="B42" s="0" t="n">
        <f aca="false">IF(B27&gt;B28,-L10*(1+B28/100)/((B27-B28)/100),-L10*20)/(1+B27/100)^L4</f>
        <v>6475.08956500052</v>
      </c>
    </row>
    <row r="43" customFormat="false" ht="15" hidden="false" customHeight="false" outlineLevel="0" collapsed="false">
      <c r="A43" s="0" t="s">
        <v>149</v>
      </c>
      <c r="B43" s="0" t="n">
        <f aca="false">(B37+B41+B42)/Assumptions!$B$3*Assumptions!$B$10</f>
        <v>404.439689524291</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164963.693858026</v>
      </c>
    </row>
    <row r="47" customFormat="false" ht="15" hidden="false" customHeight="false" outlineLevel="0" collapsed="false">
      <c r="A47" s="0" t="s">
        <v>151</v>
      </c>
      <c r="B47" s="0" t="n">
        <f aca="false">(SUMPRODUCT(C19:L19/(1+B45/100)^C4:L4)+B46/(1+B45/100)^L4+Assumptions!$B$5-Assumptions!$B$4)/Assumptions!$B$3*Assumptions!$B$10</f>
        <v>187.743230889549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117.302808497499</v>
      </c>
      <c r="C4" s="0" t="n">
        <f aca="false">B4/Assumptions!$B$2-1</f>
        <v>-0.693414159333266</v>
      </c>
      <c r="D4" s="4" t="n">
        <f aca="false">Assumptions!$B$24</f>
        <v>0.25</v>
      </c>
      <c r="E4" s="4" t="n">
        <f aca="false">DCF_Bear!$B$43</f>
        <v>128.48540283658</v>
      </c>
      <c r="F4" s="4" t="n">
        <f aca="false">DCF_Bear!$B$47</f>
        <v>62.48448491903</v>
      </c>
    </row>
    <row r="5" customFormat="false" ht="15" hidden="false" customHeight="false" outlineLevel="0" collapsed="false">
      <c r="A5" s="0" t="s">
        <v>160</v>
      </c>
      <c r="B5" s="4" t="n">
        <f aca="false">DCF_Base!$B$38</f>
        <v>274.110887720473</v>
      </c>
      <c r="C5" s="0" t="n">
        <f aca="false">B5/Assumptions!$B$2-1</f>
        <v>-0.283576258538792</v>
      </c>
      <c r="D5" s="4" t="n">
        <f aca="false">Assumptions!$B$38</f>
        <v>0.5</v>
      </c>
      <c r="E5" s="4" t="n">
        <f aca="false">DCF_Base!$B$43</f>
        <v>291.230881186102</v>
      </c>
      <c r="F5" s="4" t="n">
        <f aca="false">DCF_Base!$B$47</f>
        <v>135.815923047796</v>
      </c>
    </row>
    <row r="6" customFormat="false" ht="15" hidden="false" customHeight="false" outlineLevel="0" collapsed="false">
      <c r="A6" s="0" t="s">
        <v>161</v>
      </c>
      <c r="B6" s="4" t="n">
        <f aca="false">DCF_Bull!$B$38</f>
        <v>382.386293171443</v>
      </c>
      <c r="C6" s="0" t="n">
        <f aca="false">B6/Assumptions!$B$2-1</f>
        <v>-0.000584686308660487</v>
      </c>
      <c r="D6" s="4" t="n">
        <f aca="false">Assumptions!$B$52</f>
        <v>0.25</v>
      </c>
      <c r="E6" s="4" t="n">
        <f aca="false">DCF_Bull!$B$43</f>
        <v>404.439689524291</v>
      </c>
      <c r="F6" s="4" t="n">
        <f aca="false">DCF_Bull!$B$47</f>
        <v>187.743230889549</v>
      </c>
    </row>
    <row r="8" customFormat="false" ht="15" hidden="false" customHeight="false" outlineLevel="0" collapsed="false">
      <c r="A8" s="0" t="s">
        <v>162</v>
      </c>
      <c r="B8" s="0" t="n">
        <f aca="false">SUMPRODUCT(B4:B6,D4:D6)</f>
        <v>261.977719277472</v>
      </c>
    </row>
    <row r="9" customFormat="false" ht="15" hidden="false" customHeight="false" outlineLevel="0" collapsed="false">
      <c r="A9" s="0" t="s">
        <v>163</v>
      </c>
      <c r="B9" s="0" t="n">
        <f aca="false">SUMPRODUCT(E4:E6,D4:D6)</f>
        <v>278.846713683269</v>
      </c>
    </row>
    <row r="10" customFormat="false" ht="15" hidden="false" customHeight="false" outlineLevel="0" collapsed="false">
      <c r="A10" s="0" t="s">
        <v>164</v>
      </c>
      <c r="B10" s="0" t="n">
        <f aca="false">1-Assumptions!$B$2/B8</f>
        <v>-0.460467710976448</v>
      </c>
    </row>
    <row r="11" customFormat="false" ht="15" hidden="false" customHeight="false" outlineLevel="0" collapsed="false">
      <c r="A11" s="0" t="s">
        <v>165</v>
      </c>
      <c r="B11" s="0" t="n">
        <f aca="false">IF(ABS(B9-B8)&gt;0.01*ABS(B8),(Assumptions!$B$2-B8)/(B9-B8)*100,"n/a")</f>
        <v>715.112459110642</v>
      </c>
    </row>
    <row r="12" customFormat="false" ht="15" hidden="false" customHeight="false" outlineLevel="0" collapsed="false">
      <c r="A12" s="0" t="s">
        <v>166</v>
      </c>
      <c r="B12" s="0" t="n">
        <f aca="false">SUMPRODUCT(F4:F6,D4:D6)</f>
        <v>130.464890476043</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286.612003551326</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274.110887720473</v>
      </c>
      <c r="C16" s="3" t="n">
        <v>9.5</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252.420246238443</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217.251969100182</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189.987429049627</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135.815923047796</v>
      </c>
      <c r="C20" s="3" t="n">
        <v>15</v>
      </c>
    </row>
    <row r="22" customFormat="false" ht="15" hidden="false" customHeight="false" outlineLevel="0" collapsed="false">
      <c r="A22" s="2" t="s">
        <v>175</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322.487020182799</v>
      </c>
      <c r="C24" s="0" t="n">
        <f aca="false">(SUMPRODUCT(DCF_Base!$C$19:$L$19/(1+$A$24/100)^DCF_Base!$C$4:$L$4)+MAX(0,MIN(IF($A$24&gt;$C$23,DCF_Base!$L$19*(1+$C$23/100)/(($A$24-$C$23)/100),DCF_Base!$L$19*DCF_Base!$B$29),DCF_Base!$L$19*DCF_Base!$B$29))/(1+$A$24/100)^DCF_Base!$L$4+Assumptions!$B$5-Assumptions!$B$4)/Assumptions!$B$3*Assumptions!$B$10</f>
        <v>322.487020182799</v>
      </c>
      <c r="D24" s="0" t="n">
        <f aca="false">(SUMPRODUCT(DCF_Base!$C$19:$L$19/(1+$A$24/100)^DCF_Base!$C$4:$L$4)+MAX(0,MIN(IF($A$24&gt;$D$23,DCF_Base!$L$19*(1+$D$23/100)/(($A$24-$D$23)/100),DCF_Base!$L$19*DCF_Base!$B$29),DCF_Base!$L$19*DCF_Base!$B$29))/(1+$A$24/100)^DCF_Base!$L$4+Assumptions!$B$5-Assumptions!$B$4)/Assumptions!$B$3*Assumptions!$B$10</f>
        <v>322.487020182799</v>
      </c>
      <c r="E24" s="0" t="n">
        <f aca="false">(SUMPRODUCT(DCF_Base!$C$19:$L$19/(1+$A$24/100)^DCF_Base!$C$4:$L$4)+MAX(0,MIN(IF($A$24&gt;$E$23,DCF_Base!$L$19*(1+$E$23/100)/(($A$24-$E$23)/100),DCF_Base!$L$19*DCF_Base!$B$29),DCF_Base!$L$19*DCF_Base!$B$29))/(1+$A$24/100)^DCF_Base!$L$4+Assumptions!$B$5-Assumptions!$B$4)/Assumptions!$B$3*Assumptions!$B$10</f>
        <v>322.487020182799</v>
      </c>
      <c r="F24" s="0" t="n">
        <f aca="false">(SUMPRODUCT(DCF_Base!$C$19:$L$19/(1+$A$24/100)^DCF_Base!$C$4:$L$4)+MAX(0,MIN(IF($A$24&gt;$F$23,DCF_Base!$L$19*(1+$F$23/100)/(($A$24-$F$23)/100),DCF_Base!$L$19*DCF_Base!$B$29),DCF_Base!$L$19*DCF_Base!$B$29))/(1+$A$24/100)^DCF_Base!$L$4+Assumptions!$B$5-Assumptions!$B$4)/Assumptions!$B$3*Assumptions!$B$10</f>
        <v>322.487020182799</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294.46779524907</v>
      </c>
      <c r="C25" s="0" t="n">
        <f aca="false">(SUMPRODUCT(DCF_Base!$C$19:$L$19/(1+$A$25/100)^DCF_Base!$C$4:$L$4)+MAX(0,MIN(IF($A$25&gt;$C$23,DCF_Base!$L$19*(1+$C$23/100)/(($A$25-$C$23)/100),DCF_Base!$L$19*DCF_Base!$B$29),DCF_Base!$L$19*DCF_Base!$B$29))/(1+$A$25/100)^DCF_Base!$L$4+Assumptions!$B$5-Assumptions!$B$4)/Assumptions!$B$3*Assumptions!$B$10</f>
        <v>298.013878293372</v>
      </c>
      <c r="D25" s="0" t="n">
        <f aca="false">(SUMPRODUCT(DCF_Base!$C$19:$L$19/(1+$A$25/100)^DCF_Base!$C$4:$L$4)+MAX(0,MIN(IF($A$25&gt;$D$23,DCF_Base!$L$19*(1+$D$23/100)/(($A$25-$D$23)/100),DCF_Base!$L$19*DCF_Base!$B$29),DCF_Base!$L$19*DCF_Base!$B$29))/(1+$A$25/100)^DCF_Base!$L$4+Assumptions!$B$5-Assumptions!$B$4)/Assumptions!$B$3*Assumptions!$B$10</f>
        <v>298.013878293372</v>
      </c>
      <c r="E25" s="0" t="n">
        <f aca="false">(SUMPRODUCT(DCF_Base!$C$19:$L$19/(1+$A$25/100)^DCF_Base!$C$4:$L$4)+MAX(0,MIN(IF($A$25&gt;$E$23,DCF_Base!$L$19*(1+$E$23/100)/(($A$25-$E$23)/100),DCF_Base!$L$19*DCF_Base!$B$29),DCF_Base!$L$19*DCF_Base!$B$29))/(1+$A$25/100)^DCF_Base!$L$4+Assumptions!$B$5-Assumptions!$B$4)/Assumptions!$B$3*Assumptions!$B$10</f>
        <v>298.013878293372</v>
      </c>
      <c r="F25" s="0" t="n">
        <f aca="false">(SUMPRODUCT(DCF_Base!$C$19:$L$19/(1+$A$25/100)^DCF_Base!$C$4:$L$4)+MAX(0,MIN(IF($A$25&gt;$F$23,DCF_Base!$L$19*(1+$F$23/100)/(($A$25-$F$23)/100),DCF_Base!$L$19*DCF_Base!$B$29),DCF_Base!$L$19*DCF_Base!$B$29))/(1+$A$25/100)^DCF_Base!$L$4+Assumptions!$B$5-Assumptions!$B$4)/Assumptions!$B$3*Assumptions!$B$10</f>
        <v>298.013878293372</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250.493712476352</v>
      </c>
      <c r="C26" s="0" t="n">
        <f aca="false">(SUMPRODUCT(DCF_Base!$C$19:$L$19/(1+$A$26/100)^DCF_Base!$C$4:$L$4)+MAX(0,MIN(IF($A$26&gt;$C$23,DCF_Base!$L$19*(1+$C$23/100)/(($A$26-$C$23)/100),DCF_Base!$L$19*DCF_Base!$B$29),DCF_Base!$L$19*DCF_Base!$B$29))/(1+$A$26/100)^DCF_Base!$L$4+Assumptions!$B$5-Assumptions!$B$4)/Assumptions!$B$3*Assumptions!$B$10</f>
        <v>261.45882955398</v>
      </c>
      <c r="D26" s="0" t="n">
        <f aca="false">(SUMPRODUCT(DCF_Base!$C$19:$L$19/(1+$A$26/100)^DCF_Base!$C$4:$L$4)+MAX(0,MIN(IF($A$26&gt;$D$23,DCF_Base!$L$19*(1+$D$23/100)/(($A$26-$D$23)/100),DCF_Base!$L$19*DCF_Base!$B$29),DCF_Base!$L$19*DCF_Base!$B$29))/(1+$A$26/100)^DCF_Base!$L$4+Assumptions!$B$5-Assumptions!$B$4)/Assumptions!$B$3*Assumptions!$B$10</f>
        <v>274.110887720473</v>
      </c>
      <c r="E26" s="0" t="n">
        <f aca="false">(SUMPRODUCT(DCF_Base!$C$19:$L$19/(1+$A$26/100)^DCF_Base!$C$4:$L$4)+MAX(0,MIN(IF($A$26&gt;$E$23,DCF_Base!$L$19*(1+$E$23/100)/(($A$26-$E$23)/100),DCF_Base!$L$19*DCF_Base!$B$29),DCF_Base!$L$19*DCF_Base!$B$29))/(1+$A$26/100)^DCF_Base!$L$4+Assumptions!$B$5-Assumptions!$B$4)/Assumptions!$B$3*Assumptions!$B$10</f>
        <v>275.728502463221</v>
      </c>
      <c r="F26" s="0" t="n">
        <f aca="false">(SUMPRODUCT(DCF_Base!$C$19:$L$19/(1+$A$26/100)^DCF_Base!$C$4:$L$4)+MAX(0,MIN(IF($A$26&gt;$F$23,DCF_Base!$L$19*(1+$F$23/100)/(($A$26-$F$23)/100),DCF_Base!$L$19*DCF_Base!$B$29),DCF_Base!$L$19*DCF_Base!$B$29))/(1+$A$26/100)^DCF_Base!$L$4+Assumptions!$B$5-Assumptions!$B$4)/Assumptions!$B$3*Assumptions!$B$10</f>
        <v>275.728502463221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217.008733782802</v>
      </c>
      <c r="C27" s="0" t="n">
        <f aca="false">(SUMPRODUCT(DCF_Base!$C$19:$L$19/(1+$A$27/100)^DCF_Base!$C$4:$L$4)+MAX(0,MIN(IF($A$27&gt;$C$23,DCF_Base!$L$19*(1+$C$23/100)/(($A$27-$C$23)/100),DCF_Base!$L$19*DCF_Base!$B$29),DCF_Base!$L$19*DCF_Base!$B$29))/(1+$A$27/100)^DCF_Base!$L$4+Assumptions!$B$5-Assumptions!$B$4)/Assumptions!$B$3*Assumptions!$B$10</f>
        <v>224.809373757104</v>
      </c>
      <c r="D27" s="0" t="n">
        <f aca="false">(SUMPRODUCT(DCF_Base!$C$19:$L$19/(1+$A$27/100)^DCF_Base!$C$4:$L$4)+MAX(0,MIN(IF($A$27&gt;$D$23,DCF_Base!$L$19*(1+$D$23/100)/(($A$27-$D$23)/100),DCF_Base!$L$19*DCF_Base!$B$29),DCF_Base!$L$19*DCF_Base!$B$29))/(1+$A$27/100)^DCF_Base!$L$4+Assumptions!$B$5-Assumptions!$B$4)/Assumptions!$B$3*Assumptions!$B$10</f>
        <v>233.650099061313</v>
      </c>
      <c r="E27" s="0" t="n">
        <f aca="false">(SUMPRODUCT(DCF_Base!$C$19:$L$19/(1+$A$27/100)^DCF_Base!$C$4:$L$4)+MAX(0,MIN(IF($A$27&gt;$E$23,DCF_Base!$L$19*(1+$E$23/100)/(($A$27-$E$23)/100),DCF_Base!$L$19*DCF_Base!$B$29),DCF_Base!$L$19*DCF_Base!$B$29))/(1+$A$27/100)^DCF_Base!$L$4+Assumptions!$B$5-Assumptions!$B$4)/Assumptions!$B$3*Assumptions!$B$10</f>
        <v>243.753785123267</v>
      </c>
      <c r="F27" s="0" t="n">
        <f aca="false">(SUMPRODUCT(DCF_Base!$C$19:$L$19/(1+$A$27/100)^DCF_Base!$C$4:$L$4)+MAX(0,MIN(IF($A$27&gt;$F$23,DCF_Base!$L$19*(1+$F$23/100)/(($A$27-$F$23)/100),DCF_Base!$L$19*DCF_Base!$B$29),DCF_Base!$L$19*DCF_Base!$B$29))/(1+$A$27/100)^DCF_Base!$L$4+Assumptions!$B$5-Assumptions!$B$4)/Assumptions!$B$3*Assumptions!$B$10</f>
        <v>255.41188442552</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190.691748442144</v>
      </c>
      <c r="C28" s="0" t="n">
        <f aca="false">(SUMPRODUCT(DCF_Base!$C$19:$L$19/(1+$A$28/100)^DCF_Base!$C$4:$L$4)+MAX(0,MIN(IF($A$28&gt;$C$23,DCF_Base!$L$19*(1+$C$23/100)/(($A$28-$C$23)/100),DCF_Base!$L$19*DCF_Base!$B$29),DCF_Base!$L$19*DCF_Base!$B$29))/(1+$A$28/100)^DCF_Base!$L$4+Assumptions!$B$5-Assumptions!$B$4)/Assumptions!$B$3*Assumptions!$B$10</f>
        <v>196.41258747139</v>
      </c>
      <c r="D28" s="0" t="n">
        <f aca="false">(SUMPRODUCT(DCF_Base!$C$19:$L$19/(1+$A$28/100)^DCF_Base!$C$4:$L$4)+MAX(0,MIN(IF($A$28&gt;$D$23,DCF_Base!$L$19*(1+$D$23/100)/(($A$28-$D$23)/100),DCF_Base!$L$19*DCF_Base!$B$29),DCF_Base!$L$19*DCF_Base!$B$29))/(1+$A$28/100)^DCF_Base!$L$4+Assumptions!$B$5-Assumptions!$B$4)/Assumptions!$B$3*Assumptions!$B$10</f>
        <v>202.806466386429</v>
      </c>
      <c r="E28" s="0" t="n">
        <f aca="false">(SUMPRODUCT(DCF_Base!$C$19:$L$19/(1+$A$28/100)^DCF_Base!$C$4:$L$4)+MAX(0,MIN(IF($A$28&gt;$E$23,DCF_Base!$L$19*(1+$E$23/100)/(($A$28-$E$23)/100),DCF_Base!$L$19*DCF_Base!$B$29),DCF_Base!$L$19*DCF_Base!$B$29))/(1+$A$28/100)^DCF_Base!$L$4+Assumptions!$B$5-Assumptions!$B$4)/Assumptions!$B$3*Assumptions!$B$10</f>
        <v>209.999580165849</v>
      </c>
      <c r="F28" s="0" t="n">
        <f aca="false">(SUMPRODUCT(DCF_Base!$C$19:$L$19/(1+$A$28/100)^DCF_Base!$C$4:$L$4)+MAX(0,MIN(IF($A$28&gt;$F$23,DCF_Base!$L$19*(1+$F$23/100)/(($A$28-$F$23)/100),DCF_Base!$L$19*DCF_Base!$B$29),DCF_Base!$L$19*DCF_Base!$B$29))/(1+$A$28/100)^DCF_Base!$L$4+Assumptions!$B$5-Assumptions!$B$4)/Assumptions!$B$3*Assumptions!$B$10</f>
        <v>218.151775782524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2026-09-25T06:54:38Z</dcterms:created>
  <dc:creator>openpyxl</dc:creator>
  <dc:description/>
  <dc:language>en-NZ</dc:language>
  <cp:lastModifiedBy/>
  <dcterms:modified xsi:type="dcterms:W3CDTF">2026-09-25T06:54:38Z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