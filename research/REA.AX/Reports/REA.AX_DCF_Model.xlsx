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<sst xmlns="http://schemas.openxmlformats.org/spreadsheetml/2006/main" count="363" uniqueCount="166">
  <si>
    <t xml:space="preserve">Ticker</t>
  </si>
  <si>
    <t xml:space="preserve">REA.AX</t>
  </si>
  <si>
    <t xml:space="preserve">Company</t>
  </si>
  <si>
    <t xml:space="preserve">REA Group Limited</t>
  </si>
  <si>
    <t xml:space="preserve">Valuation date</t>
  </si>
  <si>
    <t xml:space="preserve">2026-09-25</t>
  </si>
  <si>
    <t xml:space="preserve">Current price</t>
  </si>
  <si>
    <t xml:space="preserve">Price as of</t>
  </si>
  <si>
    <t xml:space="preserve">2026-09-25T04:14:40Z (intraday ASX print, regular session; refresh at the 06:00Z close)</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</si>
  <si>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</si>
  <si>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</si>
  <si>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</si>
  <si>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</si>
  <si>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</si>
  <si>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</si>
  <si>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</si>
  <si>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</si>
  <si>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</si>
  <si>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</si>
  <si>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</si>
  <si>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</si>
  <si>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2026-09-25T04:40:30Z</t>
  </si>
  <si>
    <t xml:space="preserve">Drivers file</t>
  </si>
  <si>
    <t xml:space="preserve">REA.AX_Drivers.json</t>
  </si>
  <si>
    <t xml:space="preserve">Convention</t>
  </si>
  <si>
    <t xml:space="preserve">Percents stored as percents; formulas divide by 100. Blue = input, green = link, black = formula.</t>
  </si>
  <si>
    <t xml:space="preserve">Methodology</t>
  </si>
  <si>
    <t xml:space="preserve">summary: REA is valued as what it is: a dominant, capital-light, net-cash two-sided marketplace whose value is a long stream of owner free cash flow. The base case takes management's FY27 guidance at face value and then lets growth fade to nominal GDP over ten years while margins expand only modestly; the discount rate is a plain AUD cost of equity with no ad-hoc premium, and every company-specific risk (ACCC pricing intervention, listing cyclicality, CoStar/Domain competition) is expressed in the bear flows and a 25% bear weight rather than the WACC. The India exit is treated as complete: base-year flows are continuing-operations only, and the residual India assets and the Aurum consideration sit in the bridge at fair value less costs to sell. Leases are an operating cost, associates are an asset in the bridge, and SBC is expensed once with a flat share count funded by real buybacks.
key_risks_to_valuation: ACCC intervention on subscription pricing: the single assumption the base case most depends on is continued low-double-digit yield growth; a pricing constraint moves the value toward the bear case.; Listing volumes: FY27 is guided flat to down low-single-digits with weakness in Sydney and Melbourne; a multi-year housing downturn compounds with the pricing risk.; CoStar-owned Domain investing to close the audience gap, forcing higher marketing spend and eroding the margin expansion assumed in base and bull.; Terminal value is ~55-60% of enterprise value and Gordon growth binds; each 0.5pp of terminal growth or WACC moves the base value by roughly 7-9%.; Working-capital drag from trail-commission contract assets and vendor funding is modelled at -20% of revenue growth; if Financial Services grows faster than the core, cash conversion is lower than the margin path implies.; Move Inc (20%) is carried at A$249.9m book with no observable mark; a realtor.com transaction or News Corp restructuring could reveal materially more (or less) value.; Governance: News Corp holds 62% and controls Move Inc's other 80%; related-party outcomes may not be optimised for REA minorities.</t>
  </si>
  <si>
    <t xml:space="preserve">Data sources</t>
  </si>
  <si>
    <t xml:space="preserve">price: Yahoo Finance chart API (regularMarketPrice) at inputs.price_as_of; 52-week range 131.07-233.50 AUD.
financials: REA Group FY2026 Annual Report (year ended 30 June 2026): consolidated income statement (continuing/discontinued split), cash flow statement, notes 4 (EPS and share counts), 9 (borrowings and leases), 13 (NCI and buyback), 16 (share-based payments), 17 (business combinations, contingent consideration), 19 (held for sale and discontinued operations), 20 (associates, Move Inc); full year results and operations review core reconciliation and five-year summary. History from research/REA.AX/Reports/REA.AX_Metrics.csv (FY2016-FY2026, AUD millions).
qualitative: research/REA.AX/Reports/REA.AX_Analysis.json (2026-09-25): FY27 guidance items from the August 2026 results presentation, ACCC undertaking (September 2026), CoStar/Domain completion (August 2025), Aurum PropTech transaction.</t>
  </si>
  <si>
    <t xml:space="preserve">Scenario narrative: bear</t>
  </si>
  <si>
    <t xml:space="preserve">Regulatory capture of the growth lever: after the September 2026 undertaking, the ACCC moves against REA's subscription pricing and yield growth is held to mid-single digits. A weaker property cycle (rates, tax reform debate) takes listings down for a second year, and a CoStar-backed Domain narrows the audience gap with aggressive investment, forcing REA into higher marketing and product spend. Margins compress ~5pp and the business re-rates from compounder to regulated utility-like classifieds asset.</t>
  </si>
  <si>
    <t xml:space="preserve">Scenario narrative: base</t>
  </si>
  <si>
    <t xml:space="preserve">Yield-led growth continues at a moderating pace: the FY27 8% Premiere+ rise and add-on depth products deliver low-double-digit controllable yield growth against flat-to-down listings, Commercial/New Homes and Financial Services grow around 10%, and costs rise mid-to-high single digits, so revenue grows 9% and margins expand modestly. Listings normalise from FY28 but growth decelerates steadily to 3% as the platform matures and the ACCC keeps a lid on price escalation. Capital returns (60% payout plus periodic buybacks) continue; the model holds the count flat.</t>
  </si>
  <si>
    <t xml:space="preserve">Scenario narrative: bull</t>
  </si>
  <si>
    <t xml:space="preserve">Rate cuts revive Sydney and Melbourne listings from FY28, pricing power is exercised unhindered, AI-native search and valuation products create a new monetisation layer on top of depth listings, and Financial Services (Mortgage Choice, Simplicity, PropTrack) scales toward a fifth of revenue. Operating leverage on a largely fixed cost base carries the pre-SBC margin to ~71%, and Move Inc's turnaround adds unmodelled upside through the equity-accounted stake.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</si>
  <si>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</si>
  <si>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</si>
  <si>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</si>
  <si>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</si>
  <si>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</si>
  <si>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</si>
  <si>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</si>
  <si>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</si>
  <si>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</si>
  <si>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</si>
  <si>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</si>
  <si>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</si>
  <si>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</si>
  <si>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</si>
  <si>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</si>
  <si>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</si>
  <si>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</si>
  <si>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</si>
  <si>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</si>
  <si>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</si>
  <si>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</si>
  <si>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</si>
  <si>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</si>
  <si>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</si>
  <si>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</si>
  <si>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</si>
  <si>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</si>
  <si>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</si>
  <si>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</si>
  <si>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</si>
  <si>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</si>
  <si>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</si>
  <si>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</si>
  <si>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</si>
  <si>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</si>
  <si>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</si>
  <si>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</si>
  <si>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</si>
  <si>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</si>
  <si>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</si>
  <si>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</si>
  <si>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</si>
  <si>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</si>
  <si>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</si>
  <si>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</si>
  <si>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</si>
  <si>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</si>
  <si>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</si>
  <si>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</si>
  <si>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</si>
  <si>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</si>
  <si>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</si>
  <si>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</si>
  <si>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</si>
  <si>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</si>
  <si>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</si>
  <si>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</si>
  <si>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</si>
  <si>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</si>
  <si>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</si>
  <si>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</si>
  <si>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</si>
  <si>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</si>
  <si>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</si>
  <si>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</si>
  <si>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</si>
  <si>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</si>
  <si>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</si>
  <si>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</si>
  <si>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</si>
  <si>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</si>
  <si>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</si>
  <si>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</si>
  <si>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</si>
  <si>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</si>
  <si>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REA.AX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</si>
  <si>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</si>
  <si>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</si>
  <si>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</si>
  <si>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</si>
  <si>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</si>
  <si>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</si>
  <si>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</si>
  <si>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</si>
  <si>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</si>
  <si>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</si>
  <si>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</si>
  <si>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</si>
  <si>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</si>
  <si>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</si>
  <si>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</si>
  <si>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</si>
  <si>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</si>
  <si>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</si>
  <si>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</si>
  <si>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</si>
  <si>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</si>
  <si>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</si>
  <si>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</si>
  <si>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</si>
  <si>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</si>
  <si>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</si>
  <si>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</si>
  <si>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</si>
  <si>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</si>
  <si>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</si>
  <si>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REA.AX owner-FCF component DCF: base case (millions, AUD)</t>
  </si>
  <si>
    <t xml:space="preserve">REA.AX owner-FCF component DCF: bull case (millions, AUD)</t>
  </si>
  <si>
    <t xml:space="preserve">REA.AX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</si>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</sst>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147.34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629.803</v>
      </c>
      <c r="F2" s="0" t="n">
        <v>350.23</v>
      </c>
      <c r="G2" s="0" t="n">
        <v>55.6</v>
      </c>
      <c r="H2" s="0" t="n">
        <v>385.164</v>
      </c>
      <c r="I2" s="0" t="n">
        <v>252.958</v>
      </c>
      <c r="J2" s="0" t="n">
        <v>40.2</v>
      </c>
      <c r="K2" s="0" t="n">
        <v>1.92</v>
      </c>
      <c r="L2" s="0" t="n">
        <v>221.339</v>
      </c>
      <c r="M2" s="0" t="n">
        <v>40.03</v>
      </c>
      <c r="N2" s="0" t="n">
        <v>181.309</v>
      </c>
      <c r="O2" s="0" t="n">
        <v>715.775</v>
      </c>
      <c r="P2" s="0" t="n">
        <v>1483.284</v>
      </c>
      <c r="Q2" s="0" t="n">
        <v>767.509</v>
      </c>
      <c r="R2" s="0" t="n">
        <v>496.253</v>
      </c>
      <c r="S2" s="0" t="n">
        <v>126.834</v>
      </c>
      <c r="T2" s="0" t="n">
        <v>131.75</v>
      </c>
      <c r="U2" s="0" t="n">
        <v>2.378</v>
      </c>
      <c r="AA2" s="0" t="s">
        <v>17</v>
      </c>
      <c r="AB2" s="0" t="s">
        <v>14</v>
      </c>
    </row>
    <row r="3" customFormat="false" ht="15" hidden="false" customHeight="false" outlineLevel="0" collapsed="false">
      <c r="A3" s="0" t="s">
        <v>64</v>
      </c>
      <c r="B3" s="0" t="n">
        <v>671.206</v>
      </c>
      <c r="F3" s="0" t="n">
        <v>156.379</v>
      </c>
      <c r="G3" s="0" t="n">
        <v>23.3</v>
      </c>
      <c r="H3" s="0" t="n">
        <v>194.195</v>
      </c>
      <c r="I3" s="0" t="n">
        <v>206.066</v>
      </c>
      <c r="J3" s="0" t="n">
        <v>30.7</v>
      </c>
      <c r="K3" s="0" t="n">
        <v>1.564</v>
      </c>
      <c r="L3" s="0" t="n">
        <v>296.816</v>
      </c>
      <c r="M3" s="0" t="n">
        <v>54.155</v>
      </c>
      <c r="N3" s="0" t="n">
        <v>242.661</v>
      </c>
      <c r="O3" s="0" t="n">
        <v>804.73</v>
      </c>
      <c r="P3" s="0" t="n">
        <v>1578.813</v>
      </c>
      <c r="Q3" s="0" t="n">
        <v>774.083</v>
      </c>
      <c r="R3" s="0" t="n">
        <v>492.946</v>
      </c>
      <c r="S3" s="0" t="n">
        <v>358.5</v>
      </c>
      <c r="T3" s="0" t="n">
        <v>131.76</v>
      </c>
      <c r="U3" s="0" t="n">
        <v>2.963</v>
      </c>
      <c r="AA3" s="0" t="s">
        <v>17</v>
      </c>
      <c r="AB3" s="0" t="s">
        <v>14</v>
      </c>
    </row>
    <row r="4" customFormat="false" ht="15" hidden="false" customHeight="false" outlineLevel="0" collapsed="false">
      <c r="A4" s="0" t="s">
        <v>65</v>
      </c>
      <c r="B4" s="0" t="n">
        <v>807.678</v>
      </c>
      <c r="F4" s="0" t="n">
        <v>390.474</v>
      </c>
      <c r="G4" s="0" t="n">
        <v>48.3</v>
      </c>
      <c r="H4" s="0" t="n">
        <v>439.176</v>
      </c>
      <c r="I4" s="0" t="n">
        <v>252.779</v>
      </c>
      <c r="J4" s="0" t="n">
        <v>31.3</v>
      </c>
      <c r="K4" s="0" t="n">
        <v>1.919</v>
      </c>
      <c r="L4" s="0" t="n">
        <v>326.345</v>
      </c>
      <c r="M4" s="0" t="n">
        <v>59.264</v>
      </c>
      <c r="N4" s="0" t="n">
        <v>267.081</v>
      </c>
      <c r="O4" s="0" t="n">
        <v>940.769</v>
      </c>
      <c r="P4" s="0" t="n">
        <v>1722.472</v>
      </c>
      <c r="Q4" s="0" t="n">
        <v>781.703</v>
      </c>
      <c r="R4" s="0" t="n">
        <v>432.384</v>
      </c>
      <c r="S4" s="0" t="n">
        <v>115.841</v>
      </c>
      <c r="T4" s="0" t="n">
        <v>131.72</v>
      </c>
      <c r="U4" s="0" t="n">
        <v>6.096</v>
      </c>
      <c r="AA4" s="0" t="s">
        <v>17</v>
      </c>
      <c r="AB4" s="0" t="s">
        <v>14</v>
      </c>
    </row>
    <row r="5" customFormat="false" ht="15" hidden="false" customHeight="false" outlineLevel="0" collapsed="false">
      <c r="A5" s="0" t="s">
        <v>66</v>
      </c>
      <c r="B5" s="0" t="n">
        <v>874.949</v>
      </c>
      <c r="F5" s="0" t="n">
        <v>252.571</v>
      </c>
      <c r="G5" s="0" t="n">
        <v>28.9</v>
      </c>
      <c r="H5" s="0" t="n">
        <v>312.144</v>
      </c>
      <c r="I5" s="0" t="n">
        <v>104.997</v>
      </c>
      <c r="J5" s="0" t="n">
        <v>12</v>
      </c>
      <c r="K5" s="0" t="n">
        <v>0.797</v>
      </c>
      <c r="L5" s="0" t="n">
        <v>364.054</v>
      </c>
      <c r="M5" s="0" t="n">
        <v>67.961</v>
      </c>
      <c r="N5" s="0" t="n">
        <v>296.093</v>
      </c>
      <c r="O5" s="0" t="n">
        <v>905.435</v>
      </c>
      <c r="P5" s="0" t="n">
        <v>1581.731</v>
      </c>
      <c r="Q5" s="0" t="n">
        <v>676.296</v>
      </c>
      <c r="R5" s="0" t="n">
        <v>310.106</v>
      </c>
      <c r="S5" s="0" t="n">
        <v>137.897</v>
      </c>
      <c r="T5" s="0" t="n">
        <v>131.74</v>
      </c>
      <c r="U5" s="0" t="n">
        <v>2.213</v>
      </c>
      <c r="AA5" s="0" t="s">
        <v>17</v>
      </c>
      <c r="AB5" s="0" t="s">
        <v>14</v>
      </c>
    </row>
    <row r="6" customFormat="false" ht="15" hidden="false" customHeight="false" outlineLevel="0" collapsed="false">
      <c r="A6" s="0" t="s">
        <v>67</v>
      </c>
      <c r="B6" s="0" t="n">
        <v>820.269</v>
      </c>
      <c r="F6" s="0" t="n">
        <v>239.256</v>
      </c>
      <c r="G6" s="0" t="n">
        <v>29.2</v>
      </c>
      <c r="H6" s="0" t="n">
        <v>317.876</v>
      </c>
      <c r="I6" s="0" t="n">
        <v>112.373</v>
      </c>
      <c r="J6" s="0" t="n">
        <v>13.7</v>
      </c>
      <c r="K6" s="0" t="n">
        <v>0.853</v>
      </c>
      <c r="L6" s="0" t="n">
        <v>419.146</v>
      </c>
      <c r="M6" s="0" t="n">
        <v>73.353</v>
      </c>
      <c r="N6" s="0" t="n">
        <v>345.793</v>
      </c>
      <c r="O6" s="0" t="n">
        <v>864.493</v>
      </c>
      <c r="P6" s="0" t="n">
        <v>1590.523</v>
      </c>
      <c r="Q6" s="0" t="n">
        <v>726.03</v>
      </c>
      <c r="R6" s="0" t="n">
        <v>327.152</v>
      </c>
      <c r="S6" s="0" t="n">
        <v>222.845</v>
      </c>
      <c r="T6" s="0" t="n">
        <v>131.74</v>
      </c>
      <c r="U6" s="0" t="n">
        <v>4.931</v>
      </c>
      <c r="AA6" s="0" t="s">
        <v>17</v>
      </c>
      <c r="AB6" s="0" t="s">
        <v>14</v>
      </c>
    </row>
    <row r="7" customFormat="false" ht="15" hidden="false" customHeight="false" outlineLevel="0" collapsed="false">
      <c r="A7" s="0" t="s">
        <v>68</v>
      </c>
      <c r="B7" s="0" t="n">
        <v>927.811</v>
      </c>
      <c r="F7" s="0" t="n">
        <v>473.029</v>
      </c>
      <c r="G7" s="0" t="n">
        <v>51</v>
      </c>
      <c r="H7" s="0" t="n">
        <v>555.641</v>
      </c>
      <c r="I7" s="0" t="n">
        <v>322.677</v>
      </c>
      <c r="J7" s="0" t="n">
        <v>34.8</v>
      </c>
      <c r="K7" s="0" t="n">
        <v>2.446</v>
      </c>
      <c r="L7" s="0" t="n">
        <v>321.451</v>
      </c>
      <c r="M7" s="0" t="n">
        <v>66.935</v>
      </c>
      <c r="N7" s="0" t="n">
        <v>254.516</v>
      </c>
      <c r="O7" s="0" t="n">
        <v>1139.221</v>
      </c>
      <c r="P7" s="0" t="n">
        <v>2372.286</v>
      </c>
      <c r="Q7" s="0" t="n">
        <v>1233.065</v>
      </c>
      <c r="R7" s="0" t="n">
        <v>495.603</v>
      </c>
      <c r="S7" s="0" t="n">
        <v>168.869</v>
      </c>
      <c r="T7" s="0" t="n">
        <v>131.92</v>
      </c>
      <c r="U7" s="0" t="n">
        <v>9.097</v>
      </c>
      <c r="AA7" s="0" t="s">
        <v>17</v>
      </c>
      <c r="AB7" s="0" t="s">
        <v>14</v>
      </c>
    </row>
    <row r="8" customFormat="false" ht="15" hidden="false" customHeight="false" outlineLevel="0" collapsed="false">
      <c r="A8" s="0" t="s">
        <v>69</v>
      </c>
      <c r="B8" s="0" t="n">
        <v>1160.2</v>
      </c>
      <c r="F8" s="0" t="n">
        <v>554.8</v>
      </c>
      <c r="G8" s="0" t="n">
        <v>47.8</v>
      </c>
      <c r="H8" s="0" t="n">
        <v>647.9</v>
      </c>
      <c r="I8" s="0" t="n">
        <v>384.8</v>
      </c>
      <c r="J8" s="0" t="n">
        <v>33.2</v>
      </c>
      <c r="K8" s="0" t="n">
        <v>2.913</v>
      </c>
      <c r="L8" s="0" t="n">
        <v>487.6</v>
      </c>
      <c r="M8" s="0" t="n">
        <v>95</v>
      </c>
      <c r="N8" s="0" t="n">
        <v>392.6</v>
      </c>
      <c r="O8" s="0" t="n">
        <v>1363.3</v>
      </c>
      <c r="P8" s="0" t="n">
        <v>2568.8</v>
      </c>
      <c r="Q8" s="0" t="n">
        <v>1205.5</v>
      </c>
      <c r="R8" s="0" t="n">
        <v>487</v>
      </c>
      <c r="S8" s="0" t="n">
        <v>248.2</v>
      </c>
      <c r="T8" s="0" t="n">
        <v>132.1</v>
      </c>
      <c r="U8" s="0" t="n">
        <v>10.4</v>
      </c>
      <c r="AA8" s="0" t="s">
        <v>17</v>
      </c>
      <c r="AB8" s="0" t="s">
        <v>14</v>
      </c>
    </row>
    <row r="9" customFormat="false" ht="15" hidden="false" customHeight="false" outlineLevel="0" collapsed="false">
      <c r="A9" s="0" t="s">
        <v>70</v>
      </c>
      <c r="B9" s="0" t="n">
        <v>1183.2</v>
      </c>
      <c r="F9" s="0" t="n">
        <v>523.2</v>
      </c>
      <c r="G9" s="0" t="n">
        <v>44.2</v>
      </c>
      <c r="H9" s="0" t="n">
        <v>615</v>
      </c>
      <c r="I9" s="0" t="n">
        <v>356.1</v>
      </c>
      <c r="J9" s="0" t="n">
        <v>30.1</v>
      </c>
      <c r="K9" s="0" t="n">
        <v>2.697</v>
      </c>
      <c r="L9" s="0" t="n">
        <v>472.7</v>
      </c>
      <c r="M9" s="0" t="n">
        <v>117.6</v>
      </c>
      <c r="N9" s="0" t="n">
        <v>355.1</v>
      </c>
      <c r="O9" s="0" t="n">
        <v>1517</v>
      </c>
      <c r="P9" s="0" t="n">
        <v>2626.6</v>
      </c>
      <c r="Q9" s="0" t="n">
        <v>1109.6</v>
      </c>
      <c r="R9" s="0" t="n">
        <v>403.2</v>
      </c>
      <c r="S9" s="0" t="n">
        <v>259.8</v>
      </c>
      <c r="T9" s="0" t="n">
        <v>132.04</v>
      </c>
      <c r="U9" s="0" t="n">
        <v>9.7</v>
      </c>
      <c r="AA9" s="0" t="s">
        <v>17</v>
      </c>
      <c r="AB9" s="0" t="s">
        <v>14</v>
      </c>
    </row>
    <row r="10" customFormat="false" ht="15" hidden="false" customHeight="false" outlineLevel="0" collapsed="false">
      <c r="A10" s="0" t="s">
        <v>71</v>
      </c>
      <c r="B10" s="0" t="n">
        <v>1452.8</v>
      </c>
      <c r="F10" s="0" t="n">
        <v>525.9</v>
      </c>
      <c r="G10" s="0" t="n">
        <v>36.2</v>
      </c>
      <c r="H10" s="0" t="n">
        <v>639.4</v>
      </c>
      <c r="I10" s="0" t="n">
        <v>302.8</v>
      </c>
      <c r="J10" s="0" t="n">
        <v>20.8</v>
      </c>
      <c r="K10" s="0" t="n">
        <v>2.293</v>
      </c>
      <c r="L10" s="0" t="n">
        <v>589.4</v>
      </c>
      <c r="M10" s="0" t="n">
        <v>125</v>
      </c>
      <c r="N10" s="0" t="n">
        <v>464.4</v>
      </c>
      <c r="O10" s="0" t="n">
        <v>1578.8</v>
      </c>
      <c r="P10" s="0" t="n">
        <v>2655</v>
      </c>
      <c r="Q10" s="0" t="n">
        <v>1076.2</v>
      </c>
      <c r="R10" s="0" t="n">
        <v>281.2</v>
      </c>
      <c r="S10" s="0" t="n">
        <v>204.2</v>
      </c>
      <c r="T10" s="0" t="n">
        <v>132.05</v>
      </c>
      <c r="U10" s="0" t="n">
        <v>12.6</v>
      </c>
      <c r="AA10" s="0" t="s">
        <v>17</v>
      </c>
      <c r="AB10" s="0" t="s">
        <v>14</v>
      </c>
    </row>
    <row r="11" customFormat="false" ht="15" hidden="false" customHeight="false" outlineLevel="0" collapsed="false">
      <c r="A11" s="0" t="s">
        <v>72</v>
      </c>
      <c r="B11" s="0" t="n">
        <v>1672.8</v>
      </c>
      <c r="C11" s="0" t="n">
        <v>66.7</v>
      </c>
      <c r="D11" s="0" t="n">
        <v>1606.1</v>
      </c>
      <c r="E11" s="0" t="n">
        <v>96</v>
      </c>
      <c r="F11" s="0" t="n">
        <v>908.4</v>
      </c>
      <c r="G11" s="0" t="n">
        <v>54.3</v>
      </c>
      <c r="H11" s="0" t="n">
        <v>1047.8</v>
      </c>
      <c r="I11" s="0" t="n">
        <v>677.9</v>
      </c>
      <c r="J11" s="0" t="n">
        <v>40.5</v>
      </c>
      <c r="K11" s="0" t="n">
        <v>5.134</v>
      </c>
      <c r="L11" s="0" t="n">
        <v>675.4</v>
      </c>
      <c r="M11" s="0" t="n">
        <v>138</v>
      </c>
      <c r="N11" s="0" t="n">
        <v>537.4</v>
      </c>
      <c r="O11" s="0" t="n">
        <v>1951.2</v>
      </c>
      <c r="P11" s="0" t="n">
        <v>2832.5</v>
      </c>
      <c r="Q11" s="0" t="n">
        <v>881.3</v>
      </c>
      <c r="R11" s="0" t="n">
        <v>70.7</v>
      </c>
      <c r="S11" s="0" t="n">
        <v>428.8</v>
      </c>
      <c r="T11" s="0" t="n">
        <v>132.04</v>
      </c>
      <c r="U11" s="0" t="n">
        <v>16.9</v>
      </c>
      <c r="AA11" s="0" t="s">
        <v>17</v>
      </c>
      <c r="AB11" s="0" t="s">
        <v>14</v>
      </c>
    </row>
    <row r="12" customFormat="false" ht="15" hidden="false" customHeight="false" outlineLevel="0" collapsed="false">
      <c r="A12" s="0" t="s">
        <v>73</v>
      </c>
      <c r="B12" s="0" t="n">
        <v>1730.4</v>
      </c>
      <c r="C12" s="0" t="n">
        <v>48.2</v>
      </c>
      <c r="D12" s="0" t="n">
        <v>1682.2</v>
      </c>
      <c r="E12" s="0" t="n">
        <v>97.2</v>
      </c>
      <c r="F12" s="0" t="n">
        <v>957.5</v>
      </c>
      <c r="G12" s="0" t="n">
        <v>55.3</v>
      </c>
      <c r="H12" s="0" t="n">
        <v>1090.5</v>
      </c>
      <c r="I12" s="0" t="n">
        <v>551.6</v>
      </c>
      <c r="J12" s="0" t="n">
        <v>31.9</v>
      </c>
      <c r="K12" s="0" t="n">
        <v>4.184</v>
      </c>
      <c r="L12" s="0" t="n">
        <v>771.4</v>
      </c>
      <c r="M12" s="0" t="n">
        <v>140.7</v>
      </c>
      <c r="N12" s="0" t="n">
        <v>630.7</v>
      </c>
      <c r="O12" s="0" t="n">
        <v>1908.6</v>
      </c>
      <c r="P12" s="0" t="n">
        <v>2917.3</v>
      </c>
      <c r="Q12" s="0" t="n">
        <v>1008.7</v>
      </c>
      <c r="R12" s="0" t="n">
        <v>75.6</v>
      </c>
      <c r="S12" s="0" t="n">
        <v>365.6</v>
      </c>
      <c r="T12" s="0" t="n">
        <v>131.84</v>
      </c>
      <c r="U12" s="0" t="n">
        <v>16.1</v>
      </c>
      <c r="X12" s="0" t="n">
        <v>1730.4</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147.34</v>
      </c>
    </row>
    <row r="3" customFormat="false" ht="15" hidden="false" customHeight="false" outlineLevel="0" collapsed="false">
      <c r="A3" s="0" t="s">
        <v>77</v>
      </c>
      <c r="B3" s="3" t="n">
        <v>130.98</v>
      </c>
    </row>
    <row r="4" customFormat="false" ht="15" hidden="false" customHeight="false" outlineLevel="0" collapsed="false">
      <c r="A4" s="0" t="s">
        <v>78</v>
      </c>
      <c r="B4" s="3" t="n">
        <v>-365.6</v>
      </c>
    </row>
    <row r="5" customFormat="false" ht="15" hidden="false" customHeight="false" outlineLevel="0" collapsed="false">
      <c r="A5" s="0" t="s">
        <v>79</v>
      </c>
      <c r="B5" s="3" t="n">
        <v>302</v>
      </c>
    </row>
    <row r="6" customFormat="false" ht="15" hidden="false" customHeight="false" outlineLevel="0" collapsed="false">
      <c r="A6" s="0" t="s">
        <v>80</v>
      </c>
      <c r="B6" s="3" t="n">
        <v>15</v>
      </c>
    </row>
    <row r="7" customFormat="false" ht="15" hidden="false" customHeight="false" outlineLevel="0" collapsed="false">
      <c r="A7" s="0" t="s">
        <v>81</v>
      </c>
      <c r="B7" s="3" t="n">
        <v>1730.4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4</v>
      </c>
      <c r="D13" s="3" t="n">
        <v>1</v>
      </c>
      <c r="E13" s="3" t="n">
        <v>2</v>
      </c>
      <c r="F13" s="3" t="n">
        <v>3</v>
      </c>
      <c r="G13" s="3" t="n">
        <v>3</v>
      </c>
      <c r="H13" s="3" t="n">
        <v>3</v>
      </c>
      <c r="I13" s="3" t="n">
        <v>3</v>
      </c>
      <c r="J13" s="3" t="n">
        <v>2.5</v>
      </c>
      <c r="K13" s="3" t="n">
        <v>2.5</v>
      </c>
      <c r="L13" s="3" t="n">
        <v>2.5</v>
      </c>
    </row>
    <row r="14" customFormat="false" ht="15" hidden="false" customHeight="false" outlineLevel="0" collapsed="false">
      <c r="A14" s="0" t="s">
        <v>98</v>
      </c>
      <c r="C14" s="3" t="n">
        <v>64.5</v>
      </c>
      <c r="D14" s="3" t="n">
        <v>63</v>
      </c>
      <c r="E14" s="3" t="n">
        <v>62</v>
      </c>
      <c r="F14" s="3" t="n">
        <v>61.5</v>
      </c>
      <c r="G14" s="3" t="n">
        <v>61.5</v>
      </c>
      <c r="H14" s="3" t="n">
        <v>61.5</v>
      </c>
      <c r="I14" s="3" t="n">
        <v>61.5</v>
      </c>
      <c r="J14" s="3" t="n">
        <v>61.5</v>
      </c>
      <c r="K14" s="3" t="n">
        <v>61.5</v>
      </c>
      <c r="L14" s="3" t="n">
        <v>61.5</v>
      </c>
    </row>
    <row r="15" customFormat="false" ht="15" hidden="false" customHeight="false" outlineLevel="0" collapsed="false">
      <c r="A15" s="0" t="s">
        <v>99</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100</v>
      </c>
      <c r="C16" s="3" t="n">
        <v>0.65</v>
      </c>
      <c r="D16" s="3" t="n">
        <v>0.65</v>
      </c>
      <c r="E16" s="3" t="n">
        <v>0.65</v>
      </c>
      <c r="F16" s="3" t="n">
        <v>0.65</v>
      </c>
      <c r="G16" s="3" t="n">
        <v>0.65</v>
      </c>
      <c r="H16" s="3" t="n">
        <v>0.65</v>
      </c>
      <c r="I16" s="3" t="n">
        <v>0.65</v>
      </c>
      <c r="J16" s="3" t="n">
        <v>0.65</v>
      </c>
      <c r="K16" s="3" t="n">
        <v>0.65</v>
      </c>
      <c r="L16" s="3" t="n">
        <v>0.65</v>
      </c>
    </row>
    <row r="17" customFormat="false" ht="15" hidden="false" customHeight="false" outlineLevel="0" collapsed="false">
      <c r="A17" s="0" t="s">
        <v>101</v>
      </c>
      <c r="C17" s="3" t="n">
        <v>7.2</v>
      </c>
      <c r="D17" s="3" t="n">
        <v>7.2</v>
      </c>
      <c r="E17" s="3" t="n">
        <v>7.2</v>
      </c>
      <c r="F17" s="3" t="n">
        <v>7.2</v>
      </c>
      <c r="G17" s="3" t="n">
        <v>7.2</v>
      </c>
      <c r="H17" s="3" t="n">
        <v>7.2</v>
      </c>
      <c r="I17" s="3" t="n">
        <v>7.2</v>
      </c>
      <c r="J17" s="3" t="n">
        <v>7.2</v>
      </c>
      <c r="K17" s="3" t="n">
        <v>7.2</v>
      </c>
      <c r="L17" s="3" t="n">
        <v>7.2</v>
      </c>
    </row>
    <row r="18" customFormat="false" ht="15" hidden="false" customHeight="false" outlineLevel="0" collapsed="false">
      <c r="A18" s="0" t="s">
        <v>102</v>
      </c>
      <c r="C18" s="3" t="n">
        <v>8.5</v>
      </c>
      <c r="D18" s="3" t="n">
        <v>8.5</v>
      </c>
      <c r="E18" s="3" t="n">
        <v>8.5</v>
      </c>
      <c r="F18" s="3" t="n">
        <v>8.3</v>
      </c>
      <c r="G18" s="3" t="n">
        <v>8</v>
      </c>
      <c r="H18" s="3" t="n">
        <v>8</v>
      </c>
      <c r="I18" s="3" t="n">
        <v>8</v>
      </c>
      <c r="J18" s="3" t="n">
        <v>8</v>
      </c>
      <c r="K18" s="3" t="n">
        <v>8</v>
      </c>
      <c r="L18" s="3" t="n">
        <v>8</v>
      </c>
    </row>
    <row r="19" customFormat="false" ht="15" hidden="false" customHeight="false" outlineLevel="0" collapsed="false">
      <c r="A19" s="0" t="s">
        <v>103</v>
      </c>
      <c r="C19" s="3" t="n">
        <v>29.5</v>
      </c>
      <c r="D19" s="3" t="n">
        <v>29.5</v>
      </c>
      <c r="E19" s="3" t="n">
        <v>29.5</v>
      </c>
      <c r="F19" s="3" t="n">
        <v>29.5</v>
      </c>
      <c r="G19" s="3" t="n">
        <v>29.5</v>
      </c>
      <c r="H19" s="3" t="n">
        <v>29.5</v>
      </c>
      <c r="I19" s="3" t="n">
        <v>29.5</v>
      </c>
      <c r="J19" s="3" t="n">
        <v>29.5</v>
      </c>
      <c r="K19" s="3" t="n">
        <v>29.5</v>
      </c>
      <c r="L19" s="3" t="n">
        <v>29.5</v>
      </c>
    </row>
    <row r="20" customFormat="false" ht="15" hidden="false" customHeight="false" outlineLevel="0" collapsed="false">
      <c r="A20" s="0" t="s">
        <v>104</v>
      </c>
      <c r="B20" s="3" t="n">
        <v>9.5</v>
      </c>
    </row>
    <row r="21" customFormat="false" ht="15" hidden="false" customHeight="false" outlineLevel="0" collapsed="false">
      <c r="A21" s="0" t="s">
        <v>105</v>
      </c>
      <c r="B21" s="3" t="n">
        <v>2.5</v>
      </c>
    </row>
    <row r="22" customFormat="false" ht="15" hidden="false" customHeight="false" outlineLevel="0" collapsed="false">
      <c r="A22" s="0" t="s">
        <v>106</v>
      </c>
      <c r="B22" s="3" t="n">
        <v>15</v>
      </c>
    </row>
    <row r="23" customFormat="false" ht="15" hidden="false" customHeight="false" outlineLevel="0" collapsed="false">
      <c r="A23" s="0" t="s">
        <v>107</v>
      </c>
      <c r="B23" s="3" t="n">
        <v>-25</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9</v>
      </c>
      <c r="D27" s="3" t="n">
        <v>8</v>
      </c>
      <c r="E27" s="3" t="n">
        <v>7</v>
      </c>
      <c r="F27" s="3" t="n">
        <v>6</v>
      </c>
      <c r="G27" s="3" t="n">
        <v>5.5</v>
      </c>
      <c r="H27" s="3" t="n">
        <v>5</v>
      </c>
      <c r="I27" s="3" t="n">
        <v>4.5</v>
      </c>
      <c r="J27" s="3" t="n">
        <v>4</v>
      </c>
      <c r="K27" s="3" t="n">
        <v>3.5</v>
      </c>
      <c r="L27" s="3" t="n">
        <v>3</v>
      </c>
    </row>
    <row r="28" customFormat="false" ht="15" hidden="false" customHeight="false" outlineLevel="0" collapsed="false">
      <c r="A28" s="0" t="s">
        <v>98</v>
      </c>
      <c r="C28" s="3" t="n">
        <v>66.4</v>
      </c>
      <c r="D28" s="3" t="n">
        <v>67</v>
      </c>
      <c r="E28" s="3" t="n">
        <v>67.5</v>
      </c>
      <c r="F28" s="3" t="n">
        <v>68</v>
      </c>
      <c r="G28" s="3" t="n">
        <v>68.3</v>
      </c>
      <c r="H28" s="3" t="n">
        <v>68.5</v>
      </c>
      <c r="I28" s="3" t="n">
        <v>68.5</v>
      </c>
      <c r="J28" s="3" t="n">
        <v>68.5</v>
      </c>
      <c r="K28" s="3" t="n">
        <v>68.5</v>
      </c>
      <c r="L28" s="3" t="n">
        <v>68.5</v>
      </c>
    </row>
    <row r="29" customFormat="false" ht="15" hidden="false" customHeight="false" outlineLevel="0" collapsed="false">
      <c r="A29" s="0" t="s">
        <v>99</v>
      </c>
      <c r="C29" s="3" t="n">
        <v>0.9</v>
      </c>
      <c r="D29" s="3" t="n">
        <v>0.9</v>
      </c>
      <c r="E29" s="3" t="n">
        <v>0.9</v>
      </c>
      <c r="F29" s="3" t="n">
        <v>0.9</v>
      </c>
      <c r="G29" s="3" t="n">
        <v>0.9</v>
      </c>
      <c r="H29" s="3" t="n">
        <v>0.9</v>
      </c>
      <c r="I29" s="3" t="n">
        <v>0.9</v>
      </c>
      <c r="J29" s="3" t="n">
        <v>0.9</v>
      </c>
      <c r="K29" s="3" t="n">
        <v>0.9</v>
      </c>
      <c r="L29" s="3" t="n">
        <v>0.9</v>
      </c>
    </row>
    <row r="30" customFormat="false" ht="15" hidden="false" customHeight="false" outlineLevel="0" collapsed="false">
      <c r="A30" s="0" t="s">
        <v>100</v>
      </c>
      <c r="C30" s="3" t="n">
        <v>0.65</v>
      </c>
      <c r="D30" s="3" t="n">
        <v>0.65</v>
      </c>
      <c r="E30" s="3" t="n">
        <v>0.65</v>
      </c>
      <c r="F30" s="3" t="n">
        <v>0.65</v>
      </c>
      <c r="G30" s="3" t="n">
        <v>0.65</v>
      </c>
      <c r="H30" s="3" t="n">
        <v>0.65</v>
      </c>
      <c r="I30" s="3" t="n">
        <v>0.65</v>
      </c>
      <c r="J30" s="3" t="n">
        <v>0.65</v>
      </c>
      <c r="K30" s="3" t="n">
        <v>0.65</v>
      </c>
      <c r="L30" s="3" t="n">
        <v>0.65</v>
      </c>
    </row>
    <row r="31" customFormat="false" ht="15" hidden="false" customHeight="false" outlineLevel="0" collapsed="false">
      <c r="A31" s="0" t="s">
        <v>101</v>
      </c>
      <c r="C31" s="3" t="n">
        <v>7.2</v>
      </c>
      <c r="D31" s="3" t="n">
        <v>7.2</v>
      </c>
      <c r="E31" s="3" t="n">
        <v>7.2</v>
      </c>
      <c r="F31" s="3" t="n">
        <v>7.2</v>
      </c>
      <c r="G31" s="3" t="n">
        <v>7.2</v>
      </c>
      <c r="H31" s="3" t="n">
        <v>7.2</v>
      </c>
      <c r="I31" s="3" t="n">
        <v>7.2</v>
      </c>
      <c r="J31" s="3" t="n">
        <v>7.2</v>
      </c>
      <c r="K31" s="3" t="n">
        <v>7.2</v>
      </c>
      <c r="L31" s="3" t="n">
        <v>7.2</v>
      </c>
    </row>
    <row r="32" customFormat="false" ht="15" hidden="false" customHeight="false" outlineLevel="0" collapsed="false">
      <c r="A32" s="0" t="s">
        <v>102</v>
      </c>
      <c r="C32" s="3" t="n">
        <v>8</v>
      </c>
      <c r="D32" s="3" t="n">
        <v>8</v>
      </c>
      <c r="E32" s="3" t="n">
        <v>7.9</v>
      </c>
      <c r="F32" s="3" t="n">
        <v>7.8</v>
      </c>
      <c r="G32" s="3" t="n">
        <v>7.7</v>
      </c>
      <c r="H32" s="3" t="n">
        <v>7.6</v>
      </c>
      <c r="I32" s="3" t="n">
        <v>7.5</v>
      </c>
      <c r="J32" s="3" t="n">
        <v>7.5</v>
      </c>
      <c r="K32" s="3" t="n">
        <v>7.5</v>
      </c>
      <c r="L32" s="3" t="n">
        <v>7.5</v>
      </c>
    </row>
    <row r="33" customFormat="false" ht="15" hidden="false" customHeight="false" outlineLevel="0" collapsed="false">
      <c r="A33" s="0" t="s">
        <v>103</v>
      </c>
      <c r="C33" s="3" t="n">
        <v>29.5</v>
      </c>
      <c r="D33" s="3" t="n">
        <v>29.5</v>
      </c>
      <c r="E33" s="3" t="n">
        <v>29.5</v>
      </c>
      <c r="F33" s="3" t="n">
        <v>29.5</v>
      </c>
      <c r="G33" s="3" t="n">
        <v>29.5</v>
      </c>
      <c r="H33" s="3" t="n">
        <v>29.5</v>
      </c>
      <c r="I33" s="3" t="n">
        <v>29.5</v>
      </c>
      <c r="J33" s="3" t="n">
        <v>29.5</v>
      </c>
      <c r="K33" s="3" t="n">
        <v>29.5</v>
      </c>
      <c r="L33" s="3" t="n">
        <v>29.5</v>
      </c>
    </row>
    <row r="34" customFormat="false" ht="15" hidden="false" customHeight="false" outlineLevel="0" collapsed="false">
      <c r="A34" s="0" t="s">
        <v>104</v>
      </c>
      <c r="B34" s="3" t="n">
        <v>9.5</v>
      </c>
    </row>
    <row r="35" customFormat="false" ht="15" hidden="false" customHeight="false" outlineLevel="0" collapsed="false">
      <c r="A35" s="0" t="s">
        <v>105</v>
      </c>
      <c r="B35" s="3" t="n">
        <v>3</v>
      </c>
    </row>
    <row r="36" customFormat="false" ht="15" hidden="false" customHeight="false" outlineLevel="0" collapsed="false">
      <c r="A36" s="0" t="s">
        <v>106</v>
      </c>
      <c r="B36" s="3" t="n">
        <v>20</v>
      </c>
    </row>
    <row r="37" customFormat="false" ht="15" hidden="false" customHeight="false" outlineLevel="0" collapsed="false">
      <c r="A37" s="0" t="s">
        <v>107</v>
      </c>
      <c r="B37" s="3" t="n">
        <v>-20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11</v>
      </c>
      <c r="D41" s="3" t="n">
        <v>11</v>
      </c>
      <c r="E41" s="3" t="n">
        <v>10</v>
      </c>
      <c r="F41" s="3" t="n">
        <v>9</v>
      </c>
      <c r="G41" s="3" t="n">
        <v>8</v>
      </c>
      <c r="H41" s="3" t="n">
        <v>7</v>
      </c>
      <c r="I41" s="3" t="n">
        <v>6</v>
      </c>
      <c r="J41" s="3" t="n">
        <v>5</v>
      </c>
      <c r="K41" s="3" t="n">
        <v>4</v>
      </c>
      <c r="L41" s="3" t="n">
        <v>3.5</v>
      </c>
    </row>
    <row r="42" customFormat="false" ht="15" hidden="false" customHeight="false" outlineLevel="0" collapsed="false">
      <c r="A42" s="0" t="s">
        <v>98</v>
      </c>
      <c r="C42" s="3" t="n">
        <v>66.6</v>
      </c>
      <c r="D42" s="3" t="n">
        <v>67.6</v>
      </c>
      <c r="E42" s="3" t="n">
        <v>68.6</v>
      </c>
      <c r="F42" s="3" t="n">
        <v>69.4</v>
      </c>
      <c r="G42" s="3" t="n">
        <v>70</v>
      </c>
      <c r="H42" s="3" t="n">
        <v>70.5</v>
      </c>
      <c r="I42" s="3" t="n">
        <v>71</v>
      </c>
      <c r="J42" s="3" t="n">
        <v>71</v>
      </c>
      <c r="K42" s="3" t="n">
        <v>71</v>
      </c>
      <c r="L42" s="3" t="n">
        <v>71</v>
      </c>
    </row>
    <row r="43" customFormat="false" ht="15" hidden="false" customHeight="false" outlineLevel="0" collapsed="false">
      <c r="A43" s="0" t="s">
        <v>99</v>
      </c>
      <c r="C43" s="3" t="n">
        <v>0.9</v>
      </c>
      <c r="D43" s="3" t="n">
        <v>0.9</v>
      </c>
      <c r="E43" s="3" t="n">
        <v>0.9</v>
      </c>
      <c r="F43" s="3" t="n">
        <v>0.9</v>
      </c>
      <c r="G43" s="3" t="n">
        <v>0.9</v>
      </c>
      <c r="H43" s="3" t="n">
        <v>0.9</v>
      </c>
      <c r="I43" s="3" t="n">
        <v>0.9</v>
      </c>
      <c r="J43" s="3" t="n">
        <v>0.9</v>
      </c>
      <c r="K43" s="3" t="n">
        <v>0.9</v>
      </c>
      <c r="L43" s="3" t="n">
        <v>0.9</v>
      </c>
    </row>
    <row r="44" customFormat="false" ht="15" hidden="false" customHeight="false" outlineLevel="0" collapsed="false">
      <c r="A44" s="0" t="s">
        <v>100</v>
      </c>
      <c r="C44" s="3" t="n">
        <v>0.65</v>
      </c>
      <c r="D44" s="3" t="n">
        <v>0.65</v>
      </c>
      <c r="E44" s="3" t="n">
        <v>0.65</v>
      </c>
      <c r="F44" s="3" t="n">
        <v>0.65</v>
      </c>
      <c r="G44" s="3" t="n">
        <v>0.65</v>
      </c>
      <c r="H44" s="3" t="n">
        <v>0.65</v>
      </c>
      <c r="I44" s="3" t="n">
        <v>0.65</v>
      </c>
      <c r="J44" s="3" t="n">
        <v>0.65</v>
      </c>
      <c r="K44" s="3" t="n">
        <v>0.65</v>
      </c>
      <c r="L44" s="3" t="n">
        <v>0.65</v>
      </c>
    </row>
    <row r="45" customFormat="false" ht="15" hidden="false" customHeight="false" outlineLevel="0" collapsed="false">
      <c r="A45" s="0" t="s">
        <v>101</v>
      </c>
      <c r="C45" s="3" t="n">
        <v>7.2</v>
      </c>
      <c r="D45" s="3" t="n">
        <v>7.2</v>
      </c>
      <c r="E45" s="3" t="n">
        <v>7.2</v>
      </c>
      <c r="F45" s="3" t="n">
        <v>7.2</v>
      </c>
      <c r="G45" s="3" t="n">
        <v>7.2</v>
      </c>
      <c r="H45" s="3" t="n">
        <v>7.2</v>
      </c>
      <c r="I45" s="3" t="n">
        <v>7.2</v>
      </c>
      <c r="J45" s="3" t="n">
        <v>7.2</v>
      </c>
      <c r="K45" s="3" t="n">
        <v>7.2</v>
      </c>
      <c r="L45" s="3" t="n">
        <v>7.2</v>
      </c>
    </row>
    <row r="46" customFormat="false" ht="15" hidden="false" customHeight="false" outlineLevel="0" collapsed="false">
      <c r="A46" s="0" t="s">
        <v>102</v>
      </c>
      <c r="C46" s="3" t="n">
        <v>8</v>
      </c>
      <c r="D46" s="3" t="n">
        <v>7.9</v>
      </c>
      <c r="E46" s="3" t="n">
        <v>7.8</v>
      </c>
      <c r="F46" s="3" t="n">
        <v>7.7</v>
      </c>
      <c r="G46" s="3" t="n">
        <v>7.6</v>
      </c>
      <c r="H46" s="3" t="n">
        <v>7.5</v>
      </c>
      <c r="I46" s="3" t="n">
        <v>7.4</v>
      </c>
      <c r="J46" s="3" t="n">
        <v>7.3</v>
      </c>
      <c r="K46" s="3" t="n">
        <v>7.2</v>
      </c>
      <c r="L46" s="3" t="n">
        <v>7.2</v>
      </c>
    </row>
    <row r="47" customFormat="false" ht="15" hidden="false" customHeight="false" outlineLevel="0" collapsed="false">
      <c r="A47" s="0" t="s">
        <v>103</v>
      </c>
      <c r="C47" s="3" t="n">
        <v>29.5</v>
      </c>
      <c r="D47" s="3" t="n">
        <v>29.5</v>
      </c>
      <c r="E47" s="3" t="n">
        <v>29.5</v>
      </c>
      <c r="F47" s="3" t="n">
        <v>29.5</v>
      </c>
      <c r="G47" s="3" t="n">
        <v>29.5</v>
      </c>
      <c r="H47" s="3" t="n">
        <v>29.5</v>
      </c>
      <c r="I47" s="3" t="n">
        <v>29.5</v>
      </c>
      <c r="J47" s="3" t="n">
        <v>29.5</v>
      </c>
      <c r="K47" s="3" t="n">
        <v>29.5</v>
      </c>
      <c r="L47" s="3" t="n">
        <v>29.5</v>
      </c>
    </row>
    <row r="48" customFormat="false" ht="15" hidden="false" customHeight="false" outlineLevel="0" collapsed="false">
      <c r="A48" s="0" t="s">
        <v>104</v>
      </c>
      <c r="B48" s="3" t="n">
        <v>9.5</v>
      </c>
    </row>
    <row r="49" customFormat="false" ht="15" hidden="false" customHeight="false" outlineLevel="0" collapsed="false">
      <c r="A49" s="0" t="s">
        <v>105</v>
      </c>
      <c r="B49" s="3" t="n">
        <v>3.5</v>
      </c>
    </row>
    <row r="50" customFormat="false" ht="15" hidden="false" customHeight="false" outlineLevel="0" collapsed="false">
      <c r="A50" s="0" t="s">
        <v>106</v>
      </c>
      <c r="B50" s="3" t="n">
        <v>20</v>
      </c>
    </row>
    <row r="51" customFormat="false" ht="15" hidden="false" customHeight="false" outlineLevel="0" collapsed="false">
      <c r="A51" s="0" t="s">
        <v>107</v>
      </c>
      <c r="B51" s="3" t="n">
        <v>-15</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4</v>
      </c>
      <c r="D5" s="4" t="n">
        <f aca="false">Assumptions!D13</f>
        <v>1</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1730.4</v>
      </c>
      <c r="C6" s="0" t="n">
        <f aca="false">B6*(1+C5/100)</f>
        <v>1799.616</v>
      </c>
      <c r="D6" s="0" t="n">
        <f aca="false">C6*(1+D5/100)</f>
        <v>1817.61216</v>
      </c>
      <c r="E6" s="0" t="n">
        <f aca="false">D6*(1+E5/100)</f>
        <v>1853.9644032</v>
      </c>
      <c r="F6" s="0" t="n">
        <f aca="false">E6*(1+F5/100)</f>
        <v>1909.583335296</v>
      </c>
      <c r="G6" s="0" t="n">
        <f aca="false">F6*(1+G5/100)</f>
        <v>1966.87083535488</v>
      </c>
      <c r="H6" s="0" t="n">
        <f aca="false">G6*(1+H5/100)</f>
        <v>2025.87696041553</v>
      </c>
      <c r="I6" s="0" t="n">
        <f aca="false">H6*(1+I5/100)</f>
        <v>2086.65326922799</v>
      </c>
      <c r="J6" s="0" t="n">
        <f aca="false">I6*(1+J5/100)</f>
        <v>2138.81960095869</v>
      </c>
      <c r="K6" s="0" t="n">
        <f aca="false">J6*(1+K5/100)</f>
        <v>2192.29009098266</v>
      </c>
      <c r="L6" s="0" t="n">
        <f aca="false">K6*(1+L5/100)</f>
        <v>2247.09734325723</v>
      </c>
    </row>
    <row r="7" customFormat="false" ht="15" hidden="false" customHeight="false" outlineLevel="0" collapsed="false">
      <c r="A7" s="0" t="s">
        <v>98</v>
      </c>
      <c r="C7" s="4" t="n">
        <f aca="false">Assumptions!C14</f>
        <v>64.5</v>
      </c>
      <c r="D7" s="4" t="n">
        <f aca="false">Assumptions!D14</f>
        <v>63</v>
      </c>
      <c r="E7" s="4" t="n">
        <f aca="false">Assumptions!E14</f>
        <v>62</v>
      </c>
      <c r="F7" s="4" t="n">
        <f aca="false">Assumptions!F14</f>
        <v>61.5</v>
      </c>
      <c r="G7" s="4" t="n">
        <f aca="false">Assumptions!G14</f>
        <v>61.5</v>
      </c>
      <c r="H7" s="4" t="n">
        <f aca="false">Assumptions!H14</f>
        <v>61.5</v>
      </c>
      <c r="I7" s="4" t="n">
        <f aca="false">Assumptions!I14</f>
        <v>61.5</v>
      </c>
      <c r="J7" s="4" t="n">
        <f aca="false">Assumptions!J14</f>
        <v>61.5</v>
      </c>
      <c r="K7" s="4" t="n">
        <f aca="false">Assumptions!K14</f>
        <v>61.5</v>
      </c>
      <c r="L7" s="4" t="n">
        <f aca="false">Assumptions!L14</f>
        <v>61.5</v>
      </c>
    </row>
    <row r="8" customFormat="false" ht="15" hidden="false" customHeight="false" outlineLevel="0" collapsed="false">
      <c r="A8" s="0" t="s">
        <v>43</v>
      </c>
      <c r="C8" s="0" t="n">
        <f aca="false">C6*C7/100</f>
        <v>1160.75232</v>
      </c>
      <c r="D8" s="0" t="n">
        <f aca="false">D6*D7/100</f>
        <v>1145.0956608</v>
      </c>
      <c r="E8" s="0" t="n">
        <f aca="false">E6*E7/100</f>
        <v>1149.457929984</v>
      </c>
      <c r="F8" s="0" t="n">
        <f aca="false">F6*F7/100</f>
        <v>1174.39375120704</v>
      </c>
      <c r="G8" s="0" t="n">
        <f aca="false">G6*G7/100</f>
        <v>1209.62556374325</v>
      </c>
      <c r="H8" s="0" t="n">
        <f aca="false">H6*H7/100</f>
        <v>1245.91433065555</v>
      </c>
      <c r="I8" s="0" t="n">
        <f aca="false">I6*I7/100</f>
        <v>1283.29176057522</v>
      </c>
      <c r="J8" s="0" t="n">
        <f aca="false">J6*J7/100</f>
        <v>1315.3740545896</v>
      </c>
      <c r="K8" s="0" t="n">
        <f aca="false">K6*K7/100</f>
        <v>1348.25840595434</v>
      </c>
      <c r="L8" s="0" t="n">
        <f aca="false">L6*L7/100</f>
        <v>1381.96486610319</v>
      </c>
    </row>
    <row r="9" customFormat="false" ht="15" hidden="false" customHeight="false" outlineLevel="0" collapsed="false">
      <c r="A9" s="0" t="s">
        <v>99</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114</v>
      </c>
      <c r="C10" s="0" t="n">
        <f aca="false">-C6*C9/100</f>
        <v>-16.196544</v>
      </c>
      <c r="D10" s="0" t="n">
        <f aca="false">-D6*D9/100</f>
        <v>-16.35850944</v>
      </c>
      <c r="E10" s="0" t="n">
        <f aca="false">-E6*E9/100</f>
        <v>-16.6856796288</v>
      </c>
      <c r="F10" s="0" t="n">
        <f aca="false">-F6*F9/100</f>
        <v>-17.186250017664</v>
      </c>
      <c r="G10" s="0" t="n">
        <f aca="false">-G6*G9/100</f>
        <v>-17.7018375181939</v>
      </c>
      <c r="H10" s="0" t="n">
        <f aca="false">-H6*H9/100</f>
        <v>-18.2328926437397</v>
      </c>
      <c r="I10" s="0" t="n">
        <f aca="false">-I6*I9/100</f>
        <v>-18.7798794230519</v>
      </c>
      <c r="J10" s="0" t="n">
        <f aca="false">-J6*J9/100</f>
        <v>-19.2493764086282</v>
      </c>
      <c r="K10" s="0" t="n">
        <f aca="false">-K6*K9/100</f>
        <v>-19.7306108188439</v>
      </c>
      <c r="L10" s="0" t="n">
        <f aca="false">-L6*L9/100</f>
        <v>-20.223876089315</v>
      </c>
    </row>
    <row r="11" customFormat="false" ht="15" hidden="false" customHeight="false" outlineLevel="0" collapsed="false">
      <c r="A11" s="0" t="s">
        <v>115</v>
      </c>
      <c r="C11" s="0" t="n">
        <f aca="false">C8+C10+C24</f>
        <v>1132.858272</v>
      </c>
      <c r="D11" s="0" t="n">
        <f aca="false">D8+D10+D24</f>
        <v>1116.92267232</v>
      </c>
      <c r="E11" s="0" t="n">
        <f aca="false">E8+E10+E24</f>
        <v>1120.7214817344</v>
      </c>
      <c r="F11" s="0" t="n">
        <f aca="false">F8+F10+F24</f>
        <v>1144.79520950995</v>
      </c>
      <c r="G11" s="0" t="n">
        <f aca="false">G8+G10+G24</f>
        <v>1179.13906579525</v>
      </c>
      <c r="H11" s="0" t="n">
        <f aca="false">H8+H10+H24</f>
        <v>1214.51323776911</v>
      </c>
      <c r="I11" s="0" t="n">
        <f aca="false">I8+I10+I24</f>
        <v>1250.94863490218</v>
      </c>
      <c r="J11" s="0" t="n">
        <f aca="false">J8+J10+J24</f>
        <v>1282.22235077474</v>
      </c>
      <c r="K11" s="0" t="n">
        <f aca="false">K8+K10+K24</f>
        <v>1314.2779095441</v>
      </c>
      <c r="L11" s="0" t="n">
        <f aca="false">L8+L10+L24</f>
        <v>1347.13485728271</v>
      </c>
    </row>
    <row r="12" customFormat="false" ht="15" hidden="false" customHeight="false" outlineLevel="0" collapsed="false">
      <c r="A12" s="0" t="s">
        <v>116</v>
      </c>
      <c r="C12" s="4" t="n">
        <f aca="false">-C6*Assumptions!C17/100</f>
        <v>-129.572352</v>
      </c>
      <c r="D12" s="4" t="n">
        <f aca="false">-D6*Assumptions!D17/100</f>
        <v>-130.86807552</v>
      </c>
      <c r="E12" s="4" t="n">
        <f aca="false">-E6*Assumptions!E17/100</f>
        <v>-133.4854370304</v>
      </c>
      <c r="F12" s="4" t="n">
        <f aca="false">-F6*Assumptions!F17/100</f>
        <v>-137.490000141312</v>
      </c>
      <c r="G12" s="4" t="n">
        <f aca="false">-G6*Assumptions!G17/100</f>
        <v>-141.614700145551</v>
      </c>
      <c r="H12" s="4" t="n">
        <f aca="false">-H6*Assumptions!H17/100</f>
        <v>-145.863141149918</v>
      </c>
      <c r="I12" s="4" t="n">
        <f aca="false">-I6*Assumptions!I17/100</f>
        <v>-150.239035384415</v>
      </c>
      <c r="J12" s="4" t="n">
        <f aca="false">-J6*Assumptions!J17/100</f>
        <v>-153.995011269026</v>
      </c>
      <c r="K12" s="4" t="n">
        <f aca="false">-K6*Assumptions!K17/100</f>
        <v>-157.844886550751</v>
      </c>
      <c r="L12" s="4" t="n">
        <f aca="false">-L6*Assumptions!L17/100</f>
        <v>-161.79100871452</v>
      </c>
    </row>
    <row r="13" customFormat="false" ht="15" hidden="false" customHeight="false" outlineLevel="0" collapsed="false">
      <c r="A13" s="0" t="s">
        <v>117</v>
      </c>
      <c r="C13" s="0" t="n">
        <f aca="false">C11+C12</f>
        <v>1003.28592</v>
      </c>
      <c r="D13" s="0" t="n">
        <f aca="false">D11+D12</f>
        <v>986.0545968</v>
      </c>
      <c r="E13" s="0" t="n">
        <f aca="false">E11+E12</f>
        <v>987.236044704</v>
      </c>
      <c r="F13" s="0" t="n">
        <f aca="false">F11+F12</f>
        <v>1007.30520936864</v>
      </c>
      <c r="G13" s="0" t="n">
        <f aca="false">G11+G12</f>
        <v>1037.5243656497</v>
      </c>
      <c r="H13" s="0" t="n">
        <f aca="false">H11+H12</f>
        <v>1068.65009661919</v>
      </c>
      <c r="I13" s="0" t="n">
        <f aca="false">I11+I12</f>
        <v>1100.70959951777</v>
      </c>
      <c r="J13" s="0" t="n">
        <f aca="false">J11+J12</f>
        <v>1128.22733950571</v>
      </c>
      <c r="K13" s="0" t="n">
        <f aca="false">K11+K12</f>
        <v>1156.43302299335</v>
      </c>
      <c r="L13" s="0" t="n">
        <f aca="false">L11+L12</f>
        <v>1185.34384856819</v>
      </c>
    </row>
    <row r="14" customFormat="false" ht="15" hidden="false" customHeight="false" outlineLevel="0" collapsed="false">
      <c r="A14" s="0" t="s">
        <v>103</v>
      </c>
      <c r="C14" s="4" t="n">
        <f aca="false">Assumptions!C19</f>
        <v>29.5</v>
      </c>
      <c r="D14" s="4" t="n">
        <f aca="false">Assumptions!D19</f>
        <v>29.5</v>
      </c>
      <c r="E14" s="4" t="n">
        <f aca="false">Assumptions!E19</f>
        <v>29.5</v>
      </c>
      <c r="F14" s="4" t="n">
        <f aca="false">Assumptions!F19</f>
        <v>29.5</v>
      </c>
      <c r="G14" s="4" t="n">
        <f aca="false">Assumptions!G19</f>
        <v>29.5</v>
      </c>
      <c r="H14" s="4" t="n">
        <f aca="false">Assumptions!H19</f>
        <v>29.5</v>
      </c>
      <c r="I14" s="4" t="n">
        <f aca="false">Assumptions!I19</f>
        <v>29.5</v>
      </c>
      <c r="J14" s="4" t="n">
        <f aca="false">Assumptions!J19</f>
        <v>29.5</v>
      </c>
      <c r="K14" s="4" t="n">
        <f aca="false">Assumptions!K19</f>
        <v>29.5</v>
      </c>
      <c r="L14" s="4" t="n">
        <f aca="false">Assumptions!L19</f>
        <v>29.5</v>
      </c>
    </row>
    <row r="15" customFormat="false" ht="15" hidden="false" customHeight="false" outlineLevel="0" collapsed="false">
      <c r="A15" s="0" t="s">
        <v>118</v>
      </c>
      <c r="C15" s="0" t="n">
        <f aca="false">C13-MAX(0,C13)*C14/100</f>
        <v>707.3165736</v>
      </c>
      <c r="D15" s="0" t="n">
        <f aca="false">D13-MAX(0,D13)*D14/100</f>
        <v>695.168490744</v>
      </c>
      <c r="E15" s="0" t="n">
        <f aca="false">E13-MAX(0,E13)*E14/100</f>
        <v>696.00141151632</v>
      </c>
      <c r="F15" s="0" t="n">
        <f aca="false">F13-MAX(0,F13)*F14/100</f>
        <v>710.150172604891</v>
      </c>
      <c r="G15" s="0" t="n">
        <f aca="false">G13-MAX(0,G13)*G14/100</f>
        <v>731.454677783038</v>
      </c>
      <c r="H15" s="0" t="n">
        <f aca="false">H13-MAX(0,H13)*H14/100</f>
        <v>753.398318116529</v>
      </c>
      <c r="I15" s="0" t="n">
        <f aca="false">I13-MAX(0,I13)*I14/100</f>
        <v>776.000267660025</v>
      </c>
      <c r="J15" s="0" t="n">
        <f aca="false">J13-MAX(0,J13)*J14/100</f>
        <v>795.400274351526</v>
      </c>
      <c r="K15" s="0" t="n">
        <f aca="false">K13-MAX(0,K13)*K14/100</f>
        <v>815.285281210314</v>
      </c>
      <c r="L15" s="0" t="n">
        <f aca="false">L13-MAX(0,L13)*L14/100</f>
        <v>835.667413240572</v>
      </c>
    </row>
    <row r="16" customFormat="false" ht="15" hidden="false" customHeight="false" outlineLevel="0" collapsed="false">
      <c r="A16" s="0" t="s">
        <v>119</v>
      </c>
      <c r="C16" s="0" t="n">
        <f aca="false">-C12</f>
        <v>129.572352</v>
      </c>
      <c r="D16" s="0" t="n">
        <f aca="false">-D12</f>
        <v>130.86807552</v>
      </c>
      <c r="E16" s="0" t="n">
        <f aca="false">-E12</f>
        <v>133.4854370304</v>
      </c>
      <c r="F16" s="0" t="n">
        <f aca="false">-F12</f>
        <v>137.490000141312</v>
      </c>
      <c r="G16" s="0" t="n">
        <f aca="false">-G12</f>
        <v>141.614700145551</v>
      </c>
      <c r="H16" s="0" t="n">
        <f aca="false">-H12</f>
        <v>145.863141149918</v>
      </c>
      <c r="I16" s="0" t="n">
        <f aca="false">-I12</f>
        <v>150.239035384415</v>
      </c>
      <c r="J16" s="0" t="n">
        <f aca="false">-J12</f>
        <v>153.995011269026</v>
      </c>
      <c r="K16" s="0" t="n">
        <f aca="false">-K12</f>
        <v>157.844886550751</v>
      </c>
      <c r="L16" s="0" t="n">
        <f aca="false">-L12</f>
        <v>161.79100871452</v>
      </c>
    </row>
    <row r="17" customFormat="false" ht="15" hidden="false" customHeight="false" outlineLevel="0" collapsed="false">
      <c r="A17" s="0" t="s">
        <v>120</v>
      </c>
      <c r="C17" s="4" t="n">
        <f aca="false">-C6*Assumptions!C18/100</f>
        <v>-152.96736</v>
      </c>
      <c r="D17" s="4" t="n">
        <f aca="false">-D6*Assumptions!D18/100</f>
        <v>-154.4970336</v>
      </c>
      <c r="E17" s="4" t="n">
        <f aca="false">-E6*Assumptions!E18/100</f>
        <v>-157.586974272</v>
      </c>
      <c r="F17" s="4" t="n">
        <f aca="false">-F6*Assumptions!F18/100</f>
        <v>-158.495416829568</v>
      </c>
      <c r="G17" s="4" t="n">
        <f aca="false">-G6*Assumptions!G18/100</f>
        <v>-157.34966682839</v>
      </c>
      <c r="H17" s="4" t="n">
        <f aca="false">-H6*Assumptions!H18/100</f>
        <v>-162.070156833242</v>
      </c>
      <c r="I17" s="4" t="n">
        <f aca="false">-I6*Assumptions!I18/100</f>
        <v>-166.932261538239</v>
      </c>
      <c r="J17" s="4" t="n">
        <f aca="false">-J6*Assumptions!J18/100</f>
        <v>-171.105568076695</v>
      </c>
      <c r="K17" s="4" t="n">
        <f aca="false">-K6*Assumptions!K18/100</f>
        <v>-175.383207278613</v>
      </c>
      <c r="L17" s="4" t="n">
        <f aca="false">-L6*Assumptions!L18/100</f>
        <v>-179.767787460578</v>
      </c>
    </row>
    <row r="18" customFormat="false" ht="15" hidden="false" customHeight="false" outlineLevel="0" collapsed="false">
      <c r="A18" s="0" t="s">
        <v>121</v>
      </c>
      <c r="C18" s="4" t="n">
        <f aca="false">(C6-B6)*Assumptions!$B$23/100</f>
        <v>-17.304</v>
      </c>
      <c r="D18" s="4" t="n">
        <f aca="false">(D6-C6)*Assumptions!$B$23/100</f>
        <v>-4.49903999999998</v>
      </c>
      <c r="E18" s="4" t="n">
        <f aca="false">(E6-D6)*Assumptions!$B$23/100</f>
        <v>-9.08806079999999</v>
      </c>
      <c r="F18" s="4" t="n">
        <f aca="false">(F6-E6)*Assumptions!$B$23/100</f>
        <v>-13.904733024</v>
      </c>
      <c r="G18" s="4" t="n">
        <f aca="false">(G6-F6)*Assumptions!$B$23/100</f>
        <v>-14.32187501472</v>
      </c>
      <c r="H18" s="4" t="n">
        <f aca="false">(H6-G6)*Assumptions!$B$23/100</f>
        <v>-14.7515312651616</v>
      </c>
      <c r="I18" s="4" t="n">
        <f aca="false">(I6-H6)*Assumptions!$B$23/100</f>
        <v>-15.1940772031165</v>
      </c>
      <c r="J18" s="4" t="n">
        <f aca="false">(J6-I6)*Assumptions!$B$23/100</f>
        <v>-13.0415829326749</v>
      </c>
      <c r="K18" s="4" t="n">
        <f aca="false">(K6-J6)*Assumptions!$B$23/100</f>
        <v>-13.3676225059918</v>
      </c>
      <c r="L18" s="4" t="n">
        <f aca="false">(L6-K6)*Assumptions!$B$23/100</f>
        <v>-13.7018130686416</v>
      </c>
    </row>
    <row r="19" customFormat="false" ht="15" hidden="false" customHeight="false" outlineLevel="0" collapsed="false">
      <c r="A19" s="0" t="s">
        <v>122</v>
      </c>
      <c r="C19" s="0" t="n">
        <f aca="false">C15+C16+C17+C18</f>
        <v>666.6175656</v>
      </c>
      <c r="D19" s="0" t="n">
        <f aca="false">D15+D16+D17+D18</f>
        <v>667.040492664</v>
      </c>
      <c r="E19" s="0" t="n">
        <f aca="false">E15+E16+E17+E18</f>
        <v>662.81181347472</v>
      </c>
      <c r="F19" s="0" t="n">
        <f aca="false">F15+F16+F17+F18</f>
        <v>675.240022892635</v>
      </c>
      <c r="G19" s="0" t="n">
        <f aca="false">G15+G16+G17+G18</f>
        <v>701.397836085479</v>
      </c>
      <c r="H19" s="0" t="n">
        <f aca="false">H15+H16+H17+H18</f>
        <v>722.439771168043</v>
      </c>
      <c r="I19" s="0" t="n">
        <f aca="false">I15+I16+I17+I18</f>
        <v>744.112964303085</v>
      </c>
      <c r="J19" s="0" t="n">
        <f aca="false">J15+J16+J17+J18</f>
        <v>765.248134611181</v>
      </c>
      <c r="K19" s="0" t="n">
        <f aca="false">K15+K16+K17+K18</f>
        <v>784.379337976461</v>
      </c>
      <c r="L19" s="0" t="n">
        <f aca="false">L15+L16+L17+L18</f>
        <v>803.988821425872</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608.783164931507</v>
      </c>
      <c r="D21" s="0" t="n">
        <f aca="false">D19*D20</f>
        <v>556.319086477763</v>
      </c>
      <c r="E21" s="0" t="n">
        <f aca="false">E19*E20</f>
        <v>504.833170462965</v>
      </c>
      <c r="F21" s="0" t="n">
        <f aca="false">F19*F20</f>
        <v>469.67960185542</v>
      </c>
      <c r="G21" s="0" t="n">
        <f aca="false">G19*G20</f>
        <v>445.547309850329</v>
      </c>
      <c r="H21" s="0" t="n">
        <f aca="false">H19*H20</f>
        <v>419.099296023597</v>
      </c>
      <c r="I21" s="0" t="n">
        <f aca="false">I19*I20</f>
        <v>394.22125562037</v>
      </c>
      <c r="J21" s="0" t="n">
        <f aca="false">J19*J20</f>
        <v>370.245105663085</v>
      </c>
      <c r="K21" s="0" t="n">
        <f aca="false">K19*K20</f>
        <v>346.576468771381</v>
      </c>
      <c r="L21" s="0" t="n">
        <f aca="false">L19*L20</f>
        <v>324.420895425265</v>
      </c>
    </row>
    <row r="23" customFormat="false" ht="15" hidden="false" customHeight="false" outlineLevel="0" collapsed="false">
      <c r="A23" s="0" t="s">
        <v>100</v>
      </c>
      <c r="C23" s="4" t="n">
        <f aca="false">Assumptions!C16</f>
        <v>0.65</v>
      </c>
      <c r="D23" s="4" t="n">
        <f aca="false">Assumptions!D16</f>
        <v>0.65</v>
      </c>
      <c r="E23" s="4" t="n">
        <f aca="false">Assumptions!E16</f>
        <v>0.65</v>
      </c>
      <c r="F23" s="4" t="n">
        <f aca="false">Assumptions!F16</f>
        <v>0.65</v>
      </c>
      <c r="G23" s="4" t="n">
        <f aca="false">Assumptions!G16</f>
        <v>0.65</v>
      </c>
      <c r="H23" s="4" t="n">
        <f aca="false">Assumptions!H16</f>
        <v>0.65</v>
      </c>
      <c r="I23" s="4" t="n">
        <f aca="false">Assumptions!I16</f>
        <v>0.65</v>
      </c>
      <c r="J23" s="4" t="n">
        <f aca="false">Assumptions!J16</f>
        <v>0.65</v>
      </c>
      <c r="K23" s="4" t="n">
        <f aca="false">Assumptions!K16</f>
        <v>0.65</v>
      </c>
      <c r="L23" s="4" t="n">
        <f aca="false">Assumptions!L16</f>
        <v>0.65</v>
      </c>
    </row>
    <row r="24" customFormat="false" ht="15" hidden="false" customHeight="false" outlineLevel="0" collapsed="false">
      <c r="A24" s="0" t="s">
        <v>125</v>
      </c>
      <c r="C24" s="0" t="n">
        <f aca="false">-C6*C23/100</f>
        <v>-11.697504</v>
      </c>
      <c r="D24" s="0" t="n">
        <f aca="false">-D6*D23/100</f>
        <v>-11.81447904</v>
      </c>
      <c r="E24" s="0" t="n">
        <f aca="false">-E6*E23/100</f>
        <v>-12.0507686208</v>
      </c>
      <c r="F24" s="0" t="n">
        <f aca="false">-F6*F23/100</f>
        <v>-12.412291679424</v>
      </c>
      <c r="G24" s="0" t="n">
        <f aca="false">-G6*G23/100</f>
        <v>-12.7846604298067</v>
      </c>
      <c r="H24" s="0" t="n">
        <f aca="false">-H6*H23/100</f>
        <v>-13.1682002427009</v>
      </c>
      <c r="I24" s="0" t="n">
        <f aca="false">-I6*I23/100</f>
        <v>-13.563246249982</v>
      </c>
      <c r="J24" s="0" t="n">
        <f aca="false">-J6*J23/100</f>
        <v>-13.9023274062315</v>
      </c>
      <c r="K24" s="0" t="n">
        <f aca="false">-K6*K23/100</f>
        <v>-14.2498855913873</v>
      </c>
      <c r="L24" s="0" t="n">
        <f aca="false">-L6*L23/100</f>
        <v>-14.606132731172</v>
      </c>
    </row>
    <row r="26" customFormat="false" ht="15" hidden="false" customHeight="false" outlineLevel="0" collapsed="false">
      <c r="A26" s="2" t="s">
        <v>126</v>
      </c>
    </row>
    <row r="27" customFormat="false" ht="15" hidden="false" customHeight="false" outlineLevel="0" collapsed="false">
      <c r="A27" s="0" t="s">
        <v>104</v>
      </c>
      <c r="B27" s="4" t="n">
        <f aca="false">Assumptions!$B$20</f>
        <v>9.5</v>
      </c>
    </row>
    <row r="28" customFormat="false" ht="15" hidden="false" customHeight="false" outlineLevel="0" collapsed="false">
      <c r="A28" s="0" t="s">
        <v>105</v>
      </c>
      <c r="B28" s="4" t="n">
        <f aca="false">Assumptions!$B$21</f>
        <v>2.5</v>
      </c>
    </row>
    <row r="29" customFormat="false" ht="15" hidden="false" customHeight="false" outlineLevel="0" collapsed="false">
      <c r="A29" s="0" t="s">
        <v>106</v>
      </c>
      <c r="B29" s="4" t="n">
        <f aca="false">Assumptions!$B$22</f>
        <v>15</v>
      </c>
    </row>
    <row r="30" customFormat="false" ht="15" hidden="false" customHeight="false" outlineLevel="0" collapsed="false">
      <c r="A30" s="0" t="s">
        <v>127</v>
      </c>
      <c r="B30" s="0" t="n">
        <f aca="false">SUM(C21:L21)</f>
        <v>4439.72535508168</v>
      </c>
    </row>
    <row r="31" customFormat="false" ht="15" hidden="false" customHeight="false" outlineLevel="0" collapsed="false">
      <c r="A31" s="0" t="s">
        <v>128</v>
      </c>
      <c r="B31" s="0" t="n">
        <f aca="false">L19</f>
        <v>803.988821425872</v>
      </c>
    </row>
    <row r="32" customFormat="false" ht="15" hidden="false" customHeight="false" outlineLevel="0" collapsed="false">
      <c r="A32" s="0" t="s">
        <v>129</v>
      </c>
      <c r="B32" s="0" t="n">
        <f aca="false">IF(B27&gt;B28,B31*(1+B28/100)/((B27-B28)/100),B31*B29)</f>
        <v>11772.6934565931</v>
      </c>
    </row>
    <row r="33" customFormat="false" ht="15" hidden="false" customHeight="false" outlineLevel="0" collapsed="false">
      <c r="A33" s="0" t="s">
        <v>130</v>
      </c>
      <c r="B33" s="0" t="n">
        <f aca="false">B31*B29</f>
        <v>12059.8323213881</v>
      </c>
    </row>
    <row r="34" customFormat="false" ht="15" hidden="false" customHeight="false" outlineLevel="0" collapsed="false">
      <c r="A34" s="0" t="s">
        <v>131</v>
      </c>
      <c r="B34" s="0" t="n">
        <f aca="false">MAX(0,MIN(B32,B33))</f>
        <v>11772.6934565931</v>
      </c>
    </row>
    <row r="35" customFormat="false" ht="15" hidden="false" customHeight="false" outlineLevel="0" collapsed="false">
      <c r="A35" s="0" t="s">
        <v>132</v>
      </c>
      <c r="B35" s="0" t="n">
        <f aca="false">B34/(1+B27/100)^L4</f>
        <v>4750.44882586996</v>
      </c>
    </row>
    <row r="36" customFormat="false" ht="15" hidden="false" customHeight="false" outlineLevel="0" collapsed="false">
      <c r="A36" s="0" t="s">
        <v>133</v>
      </c>
      <c r="B36" s="0" t="n">
        <f aca="false">B30+B35</f>
        <v>9190.17418095164</v>
      </c>
    </row>
    <row r="37" customFormat="false" ht="15" hidden="false" customHeight="false" outlineLevel="0" collapsed="false">
      <c r="A37" s="0" t="s">
        <v>134</v>
      </c>
      <c r="B37" s="0" t="n">
        <f aca="false">B36+Assumptions!$B$5-Assumptions!$B$4</f>
        <v>9857.77418095164</v>
      </c>
    </row>
    <row r="38" customFormat="false" ht="15" hidden="false" customHeight="false" outlineLevel="0" collapsed="false">
      <c r="A38" s="0" t="s">
        <v>135</v>
      </c>
      <c r="B38" s="0" t="n">
        <f aca="false">B37/Assumptions!$B$3*Assumptions!$B$10</f>
        <v>75.2616749194659</v>
      </c>
    </row>
    <row r="39" customFormat="false" ht="15" hidden="false" customHeight="false" outlineLevel="0" collapsed="false">
      <c r="A39" s="0" t="s">
        <v>136</v>
      </c>
      <c r="B39" s="4" t="n">
        <f aca="false">B38/Assumptions!$B$2-1</f>
        <v>-0.489197265376233</v>
      </c>
    </row>
    <row r="41" customFormat="false" ht="15" hidden="false" customHeight="false" outlineLevel="0" collapsed="false">
      <c r="A41" s="0" t="s">
        <v>137</v>
      </c>
      <c r="B41" s="0" t="n">
        <f aca="false">SUMPRODUCT(-C10:L10/(1+$B$27/100)^C4:L4)</f>
        <v>111.06065497866</v>
      </c>
    </row>
    <row r="42" customFormat="false" ht="15" hidden="false" customHeight="false" outlineLevel="0" collapsed="false">
      <c r="A42" s="0" t="s">
        <v>138</v>
      </c>
      <c r="B42" s="0" t="n">
        <f aca="false">IF(B27&gt;B28,-L10*(1+B28/100)/((B27-B28)/100),-L10*20)/(1+B27/100)^L4</f>
        <v>119.494806224596</v>
      </c>
    </row>
    <row r="43" customFormat="false" ht="15" hidden="false" customHeight="false" outlineLevel="0" collapsed="false">
      <c r="A43" s="0" t="s">
        <v>139</v>
      </c>
      <c r="B43" s="0" t="n">
        <f aca="false">(B37+B41+B42)/Assumptions!$B$3*Assumptions!$B$10</f>
        <v>77.0219090101916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6592.70833569215</v>
      </c>
    </row>
    <row r="47" customFormat="false" ht="15" hidden="false" customHeight="false" outlineLevel="0" collapsed="false">
      <c r="A47" s="0" t="s">
        <v>141</v>
      </c>
      <c r="B47" s="0" t="n">
        <f aca="false">(SUMPRODUCT(C19:L19/(1+B45/100)^C4:L4)+B46/(1+B45/100)^L4+Assumptions!$B$5-Assumptions!$B$4)/Assumptions!$B$3*Assumptions!$B$10</f>
        <v>44.4021682923701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9</v>
      </c>
      <c r="D5" s="4" t="n">
        <f aca="false">Assumptions!D27</f>
        <v>8</v>
      </c>
      <c r="E5" s="4" t="n">
        <f aca="false">Assumptions!E27</f>
        <v>7</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37</v>
      </c>
      <c r="B6" s="3" t="n">
        <v>1730.4</v>
      </c>
      <c r="C6" s="0" t="n">
        <f aca="false">B6*(1+C5/100)</f>
        <v>1886.136</v>
      </c>
      <c r="D6" s="0" t="n">
        <f aca="false">C6*(1+D5/100)</f>
        <v>2037.02688</v>
      </c>
      <c r="E6" s="0" t="n">
        <f aca="false">D6*(1+E5/100)</f>
        <v>2179.6187616</v>
      </c>
      <c r="F6" s="0" t="n">
        <f aca="false">E6*(1+F5/100)</f>
        <v>2310.395887296</v>
      </c>
      <c r="G6" s="0" t="n">
        <f aca="false">F6*(1+G5/100)</f>
        <v>2437.46766109728</v>
      </c>
      <c r="H6" s="0" t="n">
        <f aca="false">G6*(1+H5/100)</f>
        <v>2559.34104415214</v>
      </c>
      <c r="I6" s="0" t="n">
        <f aca="false">H6*(1+I5/100)</f>
        <v>2674.51139113899</v>
      </c>
      <c r="J6" s="0" t="n">
        <f aca="false">I6*(1+J5/100)</f>
        <v>2781.49184678455</v>
      </c>
      <c r="K6" s="0" t="n">
        <f aca="false">J6*(1+K5/100)</f>
        <v>2878.84406142201</v>
      </c>
      <c r="L6" s="0" t="n">
        <f aca="false">K6*(1+L5/100)</f>
        <v>2965.20938326467</v>
      </c>
    </row>
    <row r="7" customFormat="false" ht="15" hidden="false" customHeight="false" outlineLevel="0" collapsed="false">
      <c r="A7" s="0" t="s">
        <v>98</v>
      </c>
      <c r="C7" s="4" t="n">
        <f aca="false">Assumptions!C28</f>
        <v>66.4</v>
      </c>
      <c r="D7" s="4" t="n">
        <f aca="false">Assumptions!D28</f>
        <v>67</v>
      </c>
      <c r="E7" s="4" t="n">
        <f aca="false">Assumptions!E28</f>
        <v>67.5</v>
      </c>
      <c r="F7" s="4" t="n">
        <f aca="false">Assumptions!F28</f>
        <v>68</v>
      </c>
      <c r="G7" s="4" t="n">
        <f aca="false">Assumptions!G28</f>
        <v>68.3</v>
      </c>
      <c r="H7" s="4" t="n">
        <f aca="false">Assumptions!H28</f>
        <v>68.5</v>
      </c>
      <c r="I7" s="4" t="n">
        <f aca="false">Assumptions!I28</f>
        <v>68.5</v>
      </c>
      <c r="J7" s="4" t="n">
        <f aca="false">Assumptions!J28</f>
        <v>68.5</v>
      </c>
      <c r="K7" s="4" t="n">
        <f aca="false">Assumptions!K28</f>
        <v>68.5</v>
      </c>
      <c r="L7" s="4" t="n">
        <f aca="false">Assumptions!L28</f>
        <v>68.5</v>
      </c>
    </row>
    <row r="8" customFormat="false" ht="15" hidden="false" customHeight="false" outlineLevel="0" collapsed="false">
      <c r="A8" s="0" t="s">
        <v>43</v>
      </c>
      <c r="C8" s="0" t="n">
        <f aca="false">C6*C7/100</f>
        <v>1252.394304</v>
      </c>
      <c r="D8" s="0" t="n">
        <f aca="false">D6*D7/100</f>
        <v>1364.8080096</v>
      </c>
      <c r="E8" s="0" t="n">
        <f aca="false">E6*E7/100</f>
        <v>1471.24266408</v>
      </c>
      <c r="F8" s="0" t="n">
        <f aca="false">F6*F7/100</f>
        <v>1571.06920336128</v>
      </c>
      <c r="G8" s="0" t="n">
        <f aca="false">G6*G7/100</f>
        <v>1664.79041252944</v>
      </c>
      <c r="H8" s="0" t="n">
        <f aca="false">H6*H7/100</f>
        <v>1753.14861524422</v>
      </c>
      <c r="I8" s="0" t="n">
        <f aca="false">I6*I7/100</f>
        <v>1832.04030293021</v>
      </c>
      <c r="J8" s="0" t="n">
        <f aca="false">J6*J7/100</f>
        <v>1905.32191504742</v>
      </c>
      <c r="K8" s="0" t="n">
        <f aca="false">K6*K7/100</f>
        <v>1972.00818207408</v>
      </c>
      <c r="L8" s="0" t="n">
        <f aca="false">L6*L7/100</f>
        <v>2031.1684275363</v>
      </c>
    </row>
    <row r="9" customFormat="false" ht="15" hidden="false" customHeight="false" outlineLevel="0" collapsed="false">
      <c r="A9" s="0" t="s">
        <v>99</v>
      </c>
      <c r="C9" s="4" t="n">
        <f aca="false">Assumptions!C29</f>
        <v>0.9</v>
      </c>
      <c r="D9" s="4" t="n">
        <f aca="false">Assumptions!D29</f>
        <v>0.9</v>
      </c>
      <c r="E9" s="4" t="n">
        <f aca="false">Assumptions!E29</f>
        <v>0.9</v>
      </c>
      <c r="F9" s="4" t="n">
        <f aca="false">Assumptions!F29</f>
        <v>0.9</v>
      </c>
      <c r="G9" s="4" t="n">
        <f aca="false">Assumptions!G29</f>
        <v>0.9</v>
      </c>
      <c r="H9" s="4" t="n">
        <f aca="false">Assumptions!H29</f>
        <v>0.9</v>
      </c>
      <c r="I9" s="4" t="n">
        <f aca="false">Assumptions!I29</f>
        <v>0.9</v>
      </c>
      <c r="J9" s="4" t="n">
        <f aca="false">Assumptions!J29</f>
        <v>0.9</v>
      </c>
      <c r="K9" s="4" t="n">
        <f aca="false">Assumptions!K29</f>
        <v>0.9</v>
      </c>
      <c r="L9" s="4" t="n">
        <f aca="false">Assumptions!L29</f>
        <v>0.9</v>
      </c>
    </row>
    <row r="10" customFormat="false" ht="15" hidden="false" customHeight="false" outlineLevel="0" collapsed="false">
      <c r="A10" s="0" t="s">
        <v>114</v>
      </c>
      <c r="C10" s="0" t="n">
        <f aca="false">-C6*C9/100</f>
        <v>-16.975224</v>
      </c>
      <c r="D10" s="0" t="n">
        <f aca="false">-D6*D9/100</f>
        <v>-18.33324192</v>
      </c>
      <c r="E10" s="0" t="n">
        <f aca="false">-E6*E9/100</f>
        <v>-19.6165688544</v>
      </c>
      <c r="F10" s="0" t="n">
        <f aca="false">-F6*F9/100</f>
        <v>-20.793562985664</v>
      </c>
      <c r="G10" s="0" t="n">
        <f aca="false">-G6*G9/100</f>
        <v>-21.9372089498755</v>
      </c>
      <c r="H10" s="0" t="n">
        <f aca="false">-H6*H9/100</f>
        <v>-23.0340693973693</v>
      </c>
      <c r="I10" s="0" t="n">
        <f aca="false">-I6*I9/100</f>
        <v>-24.0706025202509</v>
      </c>
      <c r="J10" s="0" t="n">
        <f aca="false">-J6*J9/100</f>
        <v>-25.033426621061</v>
      </c>
      <c r="K10" s="0" t="n">
        <f aca="false">-K6*K9/100</f>
        <v>-25.9095965527981</v>
      </c>
      <c r="L10" s="0" t="n">
        <f aca="false">-L6*L9/100</f>
        <v>-26.686884449382</v>
      </c>
    </row>
    <row r="11" customFormat="false" ht="15" hidden="false" customHeight="false" outlineLevel="0" collapsed="false">
      <c r="A11" s="0" t="s">
        <v>115</v>
      </c>
      <c r="C11" s="0" t="n">
        <f aca="false">C8+C10+C24</f>
        <v>1223.159196</v>
      </c>
      <c r="D11" s="0" t="n">
        <f aca="false">D8+D10+D24</f>
        <v>1333.23409296</v>
      </c>
      <c r="E11" s="0" t="n">
        <f aca="false">E8+E10+E24</f>
        <v>1437.4585732752</v>
      </c>
      <c r="F11" s="0" t="n">
        <f aca="false">F8+F10+F24</f>
        <v>1535.25806710819</v>
      </c>
      <c r="G11" s="0" t="n">
        <f aca="false">G8+G10+G24</f>
        <v>1627.00966378243</v>
      </c>
      <c r="H11" s="0" t="n">
        <f aca="false">H8+H10+H24</f>
        <v>1713.47882905986</v>
      </c>
      <c r="I11" s="0" t="n">
        <f aca="false">I8+I10+I24</f>
        <v>1790.58537636755</v>
      </c>
      <c r="J11" s="0" t="n">
        <f aca="false">J8+J10+J24</f>
        <v>1862.20879142226</v>
      </c>
      <c r="K11" s="0" t="n">
        <f aca="false">K8+K10+K24</f>
        <v>1927.38609912204</v>
      </c>
      <c r="L11" s="0" t="n">
        <f aca="false">L8+L10+L24</f>
        <v>1985.2076820957</v>
      </c>
    </row>
    <row r="12" customFormat="false" ht="15" hidden="false" customHeight="false" outlineLevel="0" collapsed="false">
      <c r="A12" s="0" t="s">
        <v>116</v>
      </c>
      <c r="C12" s="4" t="n">
        <f aca="false">-C6*Assumptions!C31/100</f>
        <v>-135.801792</v>
      </c>
      <c r="D12" s="4" t="n">
        <f aca="false">-D6*Assumptions!D31/100</f>
        <v>-146.66593536</v>
      </c>
      <c r="E12" s="4" t="n">
        <f aca="false">-E6*Assumptions!E31/100</f>
        <v>-156.9325508352</v>
      </c>
      <c r="F12" s="4" t="n">
        <f aca="false">-F6*Assumptions!F31/100</f>
        <v>-166.348503885312</v>
      </c>
      <c r="G12" s="4" t="n">
        <f aca="false">-G6*Assumptions!G31/100</f>
        <v>-175.497671599004</v>
      </c>
      <c r="H12" s="4" t="n">
        <f aca="false">-H6*Assumptions!H31/100</f>
        <v>-184.272555178954</v>
      </c>
      <c r="I12" s="4" t="n">
        <f aca="false">-I6*Assumptions!I31/100</f>
        <v>-192.564820162007</v>
      </c>
      <c r="J12" s="4" t="n">
        <f aca="false">-J6*Assumptions!J31/100</f>
        <v>-200.267412968488</v>
      </c>
      <c r="K12" s="4" t="n">
        <f aca="false">-K6*Assumptions!K31/100</f>
        <v>-207.276772422385</v>
      </c>
      <c r="L12" s="4" t="n">
        <f aca="false">-L6*Assumptions!L31/100</f>
        <v>-213.495075595056</v>
      </c>
    </row>
    <row r="13" customFormat="false" ht="15" hidden="false" customHeight="false" outlineLevel="0" collapsed="false">
      <c r="A13" s="0" t="s">
        <v>117</v>
      </c>
      <c r="C13" s="0" t="n">
        <f aca="false">C11+C12</f>
        <v>1087.357404</v>
      </c>
      <c r="D13" s="0" t="n">
        <f aca="false">D11+D12</f>
        <v>1186.5681576</v>
      </c>
      <c r="E13" s="0" t="n">
        <f aca="false">E11+E12</f>
        <v>1280.52602244</v>
      </c>
      <c r="F13" s="0" t="n">
        <f aca="false">F11+F12</f>
        <v>1368.90956322288</v>
      </c>
      <c r="G13" s="0" t="n">
        <f aca="false">G11+G12</f>
        <v>1451.51199218343</v>
      </c>
      <c r="H13" s="0" t="n">
        <f aca="false">H11+H12</f>
        <v>1529.20627388091</v>
      </c>
      <c r="I13" s="0" t="n">
        <f aca="false">I11+I12</f>
        <v>1598.02055620555</v>
      </c>
      <c r="J13" s="0" t="n">
        <f aca="false">J11+J12</f>
        <v>1661.94137845377</v>
      </c>
      <c r="K13" s="0" t="n">
        <f aca="false">K11+K12</f>
        <v>1720.10932669965</v>
      </c>
      <c r="L13" s="0" t="n">
        <f aca="false">L11+L12</f>
        <v>1771.71260650064</v>
      </c>
    </row>
    <row r="14" customFormat="false" ht="15" hidden="false" customHeight="false" outlineLevel="0" collapsed="false">
      <c r="A14" s="0" t="s">
        <v>103</v>
      </c>
      <c r="C14" s="4" t="n">
        <f aca="false">Assumptions!C33</f>
        <v>29.5</v>
      </c>
      <c r="D14" s="4" t="n">
        <f aca="false">Assumptions!D33</f>
        <v>29.5</v>
      </c>
      <c r="E14" s="4" t="n">
        <f aca="false">Assumptions!E33</f>
        <v>29.5</v>
      </c>
      <c r="F14" s="4" t="n">
        <f aca="false">Assumptions!F33</f>
        <v>29.5</v>
      </c>
      <c r="G14" s="4" t="n">
        <f aca="false">Assumptions!G33</f>
        <v>29.5</v>
      </c>
      <c r="H14" s="4" t="n">
        <f aca="false">Assumptions!H33</f>
        <v>29.5</v>
      </c>
      <c r="I14" s="4" t="n">
        <f aca="false">Assumptions!I33</f>
        <v>29.5</v>
      </c>
      <c r="J14" s="4" t="n">
        <f aca="false">Assumptions!J33</f>
        <v>29.5</v>
      </c>
      <c r="K14" s="4" t="n">
        <f aca="false">Assumptions!K33</f>
        <v>29.5</v>
      </c>
      <c r="L14" s="4" t="n">
        <f aca="false">Assumptions!L33</f>
        <v>29.5</v>
      </c>
    </row>
    <row r="15" customFormat="false" ht="15" hidden="false" customHeight="false" outlineLevel="0" collapsed="false">
      <c r="A15" s="0" t="s">
        <v>118</v>
      </c>
      <c r="C15" s="0" t="n">
        <f aca="false">C13-MAX(0,C13)*C14/100</f>
        <v>766.58696982</v>
      </c>
      <c r="D15" s="0" t="n">
        <f aca="false">D13-MAX(0,D13)*D14/100</f>
        <v>836.530551108</v>
      </c>
      <c r="E15" s="0" t="n">
        <f aca="false">E13-MAX(0,E13)*E14/100</f>
        <v>902.7708458202</v>
      </c>
      <c r="F15" s="0" t="n">
        <f aca="false">F13-MAX(0,F13)*F14/100</f>
        <v>965.081242072131</v>
      </c>
      <c r="G15" s="0" t="n">
        <f aca="false">G13-MAX(0,G13)*G14/100</f>
        <v>1023.31595448932</v>
      </c>
      <c r="H15" s="0" t="n">
        <f aca="false">H13-MAX(0,H13)*H14/100</f>
        <v>1078.09042308604</v>
      </c>
      <c r="I15" s="0" t="n">
        <f aca="false">I13-MAX(0,I13)*I14/100</f>
        <v>1126.60449212491</v>
      </c>
      <c r="J15" s="0" t="n">
        <f aca="false">J13-MAX(0,J13)*J14/100</f>
        <v>1171.66867180991</v>
      </c>
      <c r="K15" s="0" t="n">
        <f aca="false">K13-MAX(0,K13)*K14/100</f>
        <v>1212.67707532325</v>
      </c>
      <c r="L15" s="0" t="n">
        <f aca="false">L13-MAX(0,L13)*L14/100</f>
        <v>1249.05738758295</v>
      </c>
    </row>
    <row r="16" customFormat="false" ht="15" hidden="false" customHeight="false" outlineLevel="0" collapsed="false">
      <c r="A16" s="0" t="s">
        <v>119</v>
      </c>
      <c r="C16" s="0" t="n">
        <f aca="false">-C12</f>
        <v>135.801792</v>
      </c>
      <c r="D16" s="0" t="n">
        <f aca="false">-D12</f>
        <v>146.66593536</v>
      </c>
      <c r="E16" s="0" t="n">
        <f aca="false">-E12</f>
        <v>156.9325508352</v>
      </c>
      <c r="F16" s="0" t="n">
        <f aca="false">-F12</f>
        <v>166.348503885312</v>
      </c>
      <c r="G16" s="0" t="n">
        <f aca="false">-G12</f>
        <v>175.497671599004</v>
      </c>
      <c r="H16" s="0" t="n">
        <f aca="false">-H12</f>
        <v>184.272555178954</v>
      </c>
      <c r="I16" s="0" t="n">
        <f aca="false">-I12</f>
        <v>192.564820162007</v>
      </c>
      <c r="J16" s="0" t="n">
        <f aca="false">-J12</f>
        <v>200.267412968488</v>
      </c>
      <c r="K16" s="0" t="n">
        <f aca="false">-K12</f>
        <v>207.276772422385</v>
      </c>
      <c r="L16" s="0" t="n">
        <f aca="false">-L12</f>
        <v>213.495075595056</v>
      </c>
    </row>
    <row r="17" customFormat="false" ht="15" hidden="false" customHeight="false" outlineLevel="0" collapsed="false">
      <c r="A17" s="0" t="s">
        <v>120</v>
      </c>
      <c r="C17" s="4" t="n">
        <f aca="false">-C6*Assumptions!C32/100</f>
        <v>-150.89088</v>
      </c>
      <c r="D17" s="4" t="n">
        <f aca="false">-D6*Assumptions!D32/100</f>
        <v>-162.9621504</v>
      </c>
      <c r="E17" s="4" t="n">
        <f aca="false">-E6*Assumptions!E32/100</f>
        <v>-172.1898821664</v>
      </c>
      <c r="F17" s="4" t="n">
        <f aca="false">-F6*Assumptions!F32/100</f>
        <v>-180.210879209088</v>
      </c>
      <c r="G17" s="4" t="n">
        <f aca="false">-G6*Assumptions!G32/100</f>
        <v>-187.685009904491</v>
      </c>
      <c r="H17" s="4" t="n">
        <f aca="false">-H6*Assumptions!H32/100</f>
        <v>-194.509919355563</v>
      </c>
      <c r="I17" s="4" t="n">
        <f aca="false">-I6*Assumptions!I32/100</f>
        <v>-200.588354335424</v>
      </c>
      <c r="J17" s="4" t="n">
        <f aca="false">-J6*Assumptions!J32/100</f>
        <v>-208.611888508841</v>
      </c>
      <c r="K17" s="4" t="n">
        <f aca="false">-K6*Assumptions!K32/100</f>
        <v>-215.913304606651</v>
      </c>
      <c r="L17" s="4" t="n">
        <f aca="false">-L6*Assumptions!L32/100</f>
        <v>-222.39070374485</v>
      </c>
    </row>
    <row r="18" customFormat="false" ht="15" hidden="false" customHeight="false" outlineLevel="0" collapsed="false">
      <c r="A18" s="0" t="s">
        <v>121</v>
      </c>
      <c r="C18" s="4" t="n">
        <f aca="false">(C6-B6)*Assumptions!$B$37/100</f>
        <v>-31.1472</v>
      </c>
      <c r="D18" s="4" t="n">
        <f aca="false">(D6-C6)*Assumptions!$B$37/100</f>
        <v>-30.178176</v>
      </c>
      <c r="E18" s="4" t="n">
        <f aca="false">(E6-D6)*Assumptions!$B$37/100</f>
        <v>-28.5183763200001</v>
      </c>
      <c r="F18" s="4" t="n">
        <f aca="false">(F6-E6)*Assumptions!$B$37/100</f>
        <v>-26.1554251392</v>
      </c>
      <c r="G18" s="4" t="n">
        <f aca="false">(G6-F6)*Assumptions!$B$37/100</f>
        <v>-25.414354760256</v>
      </c>
      <c r="H18" s="4" t="n">
        <f aca="false">(H6-G6)*Assumptions!$B$37/100</f>
        <v>-24.3746766109728</v>
      </c>
      <c r="I18" s="4" t="n">
        <f aca="false">(I6-H6)*Assumptions!$B$37/100</f>
        <v>-23.0340693973692</v>
      </c>
      <c r="J18" s="4" t="n">
        <f aca="false">(J6-I6)*Assumptions!$B$37/100</f>
        <v>-21.3960911291119</v>
      </c>
      <c r="K18" s="4" t="n">
        <f aca="false">(K6-J6)*Assumptions!$B$37/100</f>
        <v>-19.4704429274918</v>
      </c>
      <c r="L18" s="4" t="n">
        <f aca="false">(L6-K6)*Assumptions!$B$37/100</f>
        <v>-17.2730643685321</v>
      </c>
    </row>
    <row r="19" customFormat="false" ht="15" hidden="false" customHeight="false" outlineLevel="0" collapsed="false">
      <c r="A19" s="0" t="s">
        <v>122</v>
      </c>
      <c r="C19" s="0" t="n">
        <f aca="false">C15+C16+C17+C18</f>
        <v>720.35068182</v>
      </c>
      <c r="D19" s="0" t="n">
        <f aca="false">D15+D16+D17+D18</f>
        <v>790.056160068</v>
      </c>
      <c r="E19" s="0" t="n">
        <f aca="false">E15+E16+E17+E18</f>
        <v>858.995138169</v>
      </c>
      <c r="F19" s="0" t="n">
        <f aca="false">F15+F16+F17+F18</f>
        <v>925.063441609155</v>
      </c>
      <c r="G19" s="0" t="n">
        <f aca="false">G15+G16+G17+G18</f>
        <v>985.714261423576</v>
      </c>
      <c r="H19" s="0" t="n">
        <f aca="false">H15+H16+H17+H18</f>
        <v>1043.47838229846</v>
      </c>
      <c r="I19" s="0" t="n">
        <f aca="false">I15+I16+I17+I18</f>
        <v>1095.54688855412</v>
      </c>
      <c r="J19" s="0" t="n">
        <f aca="false">J15+J16+J17+J18</f>
        <v>1141.92810514044</v>
      </c>
      <c r="K19" s="0" t="n">
        <f aca="false">K15+K16+K17+K18</f>
        <v>1184.5701002115</v>
      </c>
      <c r="L19" s="0" t="n">
        <f aca="false">L15+L16+L17+L18</f>
        <v>1222.88869506463</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657.854503945206</v>
      </c>
      <c r="D21" s="0" t="n">
        <f aca="false">D19*D20</f>
        <v>658.915502235567</v>
      </c>
      <c r="E21" s="0" t="n">
        <f aca="false">E19*E20</f>
        <v>654.256955289872</v>
      </c>
      <c r="F21" s="0" t="n">
        <f aca="false">F19*F20</f>
        <v>643.450349824831</v>
      </c>
      <c r="G21" s="0" t="n">
        <f aca="false">G19*G20</f>
        <v>626.152968919133</v>
      </c>
      <c r="H21" s="0" t="n">
        <f aca="false">H19*H20</f>
        <v>605.339120145701</v>
      </c>
      <c r="I21" s="0" t="n">
        <f aca="false">I19*I20</f>
        <v>580.406323657175</v>
      </c>
      <c r="J21" s="0" t="n">
        <f aca="false">J19*J20</f>
        <v>552.491764206898</v>
      </c>
      <c r="K21" s="0" t="n">
        <f aca="false">K19*K20</f>
        <v>523.399970481861</v>
      </c>
      <c r="L21" s="0" t="n">
        <f aca="false">L19*L20</f>
        <v>493.452937261863</v>
      </c>
    </row>
    <row r="23" customFormat="false" ht="15" hidden="false" customHeight="false" outlineLevel="0" collapsed="false">
      <c r="A23" s="0" t="s">
        <v>100</v>
      </c>
      <c r="C23" s="4" t="n">
        <f aca="false">Assumptions!C30</f>
        <v>0.65</v>
      </c>
      <c r="D23" s="4" t="n">
        <f aca="false">Assumptions!D30</f>
        <v>0.65</v>
      </c>
      <c r="E23" s="4" t="n">
        <f aca="false">Assumptions!E30</f>
        <v>0.65</v>
      </c>
      <c r="F23" s="4" t="n">
        <f aca="false">Assumptions!F30</f>
        <v>0.65</v>
      </c>
      <c r="G23" s="4" t="n">
        <f aca="false">Assumptions!G30</f>
        <v>0.65</v>
      </c>
      <c r="H23" s="4" t="n">
        <f aca="false">Assumptions!H30</f>
        <v>0.65</v>
      </c>
      <c r="I23" s="4" t="n">
        <f aca="false">Assumptions!I30</f>
        <v>0.65</v>
      </c>
      <c r="J23" s="4" t="n">
        <f aca="false">Assumptions!J30</f>
        <v>0.65</v>
      </c>
      <c r="K23" s="4" t="n">
        <f aca="false">Assumptions!K30</f>
        <v>0.65</v>
      </c>
      <c r="L23" s="4" t="n">
        <f aca="false">Assumptions!L30</f>
        <v>0.65</v>
      </c>
    </row>
    <row r="24" customFormat="false" ht="15" hidden="false" customHeight="false" outlineLevel="0" collapsed="false">
      <c r="A24" s="0" t="s">
        <v>125</v>
      </c>
      <c r="C24" s="0" t="n">
        <f aca="false">-C6*C23/100</f>
        <v>-12.259884</v>
      </c>
      <c r="D24" s="0" t="n">
        <f aca="false">-D6*D23/100</f>
        <v>-13.24067472</v>
      </c>
      <c r="E24" s="0" t="n">
        <f aca="false">-E6*E23/100</f>
        <v>-14.1675219504</v>
      </c>
      <c r="F24" s="0" t="n">
        <f aca="false">-F6*F23/100</f>
        <v>-15.017573267424</v>
      </c>
      <c r="G24" s="0" t="n">
        <f aca="false">-G6*G23/100</f>
        <v>-15.8435397971323</v>
      </c>
      <c r="H24" s="0" t="n">
        <f aca="false">-H6*H23/100</f>
        <v>-16.6357167869889</v>
      </c>
      <c r="I24" s="0" t="n">
        <f aca="false">-I6*I23/100</f>
        <v>-17.3843240424034</v>
      </c>
      <c r="J24" s="0" t="n">
        <f aca="false">-J6*J23/100</f>
        <v>-18.0796970040996</v>
      </c>
      <c r="K24" s="0" t="n">
        <f aca="false">-K6*K23/100</f>
        <v>-18.7124863992431</v>
      </c>
      <c r="L24" s="0" t="n">
        <f aca="false">-L6*L23/100</f>
        <v>-19.2738609912204</v>
      </c>
    </row>
    <row r="26" customFormat="false" ht="15" hidden="false" customHeight="false" outlineLevel="0" collapsed="false">
      <c r="A26" s="2" t="s">
        <v>126</v>
      </c>
    </row>
    <row r="27" customFormat="false" ht="15" hidden="false" customHeight="false" outlineLevel="0" collapsed="false">
      <c r="A27" s="0" t="s">
        <v>104</v>
      </c>
      <c r="B27" s="4" t="n">
        <f aca="false">Assumptions!$B$34</f>
        <v>9.5</v>
      </c>
    </row>
    <row r="28" customFormat="false" ht="15" hidden="false" customHeight="false" outlineLevel="0" collapsed="false">
      <c r="A28" s="0" t="s">
        <v>105</v>
      </c>
      <c r="B28" s="4" t="n">
        <f aca="false">Assumptions!$B$35</f>
        <v>3</v>
      </c>
    </row>
    <row r="29" customFormat="false" ht="15" hidden="false" customHeight="false" outlineLevel="0" collapsed="false">
      <c r="A29" s="0" t="s">
        <v>106</v>
      </c>
      <c r="B29" s="4" t="n">
        <f aca="false">Assumptions!$B$36</f>
        <v>20</v>
      </c>
    </row>
    <row r="30" customFormat="false" ht="15" hidden="false" customHeight="false" outlineLevel="0" collapsed="false">
      <c r="A30" s="0" t="s">
        <v>127</v>
      </c>
      <c r="B30" s="0" t="n">
        <f aca="false">SUM(C21:L21)</f>
        <v>5995.72039596811</v>
      </c>
    </row>
    <row r="31" customFormat="false" ht="15" hidden="false" customHeight="false" outlineLevel="0" collapsed="false">
      <c r="A31" s="0" t="s">
        <v>128</v>
      </c>
      <c r="B31" s="0" t="n">
        <f aca="false">L19</f>
        <v>1222.88869506463</v>
      </c>
    </row>
    <row r="32" customFormat="false" ht="15" hidden="false" customHeight="false" outlineLevel="0" collapsed="false">
      <c r="A32" s="0" t="s">
        <v>129</v>
      </c>
      <c r="B32" s="0" t="n">
        <f aca="false">IF(B27&gt;B28,B31*(1+B28/100)/((B27-B28)/100),B31*B29)</f>
        <v>19378.0823987164</v>
      </c>
    </row>
    <row r="33" customFormat="false" ht="15" hidden="false" customHeight="false" outlineLevel="0" collapsed="false">
      <c r="A33" s="0" t="s">
        <v>130</v>
      </c>
      <c r="B33" s="0" t="n">
        <f aca="false">B31*B29</f>
        <v>24457.7739012925</v>
      </c>
    </row>
    <row r="34" customFormat="false" ht="15" hidden="false" customHeight="false" outlineLevel="0" collapsed="false">
      <c r="A34" s="0" t="s">
        <v>131</v>
      </c>
      <c r="B34" s="0" t="n">
        <f aca="false">MAX(0,MIN(B32,B33))</f>
        <v>19378.0823987164</v>
      </c>
    </row>
    <row r="35" customFormat="false" ht="15" hidden="false" customHeight="false" outlineLevel="0" collapsed="false">
      <c r="A35" s="0" t="s">
        <v>132</v>
      </c>
      <c r="B35" s="0" t="n">
        <f aca="false">B34/(1+B27/100)^L4</f>
        <v>7819.33115968798</v>
      </c>
    </row>
    <row r="36" customFormat="false" ht="15" hidden="false" customHeight="false" outlineLevel="0" collapsed="false">
      <c r="A36" s="0" t="s">
        <v>133</v>
      </c>
      <c r="B36" s="0" t="n">
        <f aca="false">B30+B35</f>
        <v>13815.0515556561</v>
      </c>
    </row>
    <row r="37" customFormat="false" ht="15" hidden="false" customHeight="false" outlineLevel="0" collapsed="false">
      <c r="A37" s="0" t="s">
        <v>134</v>
      </c>
      <c r="B37" s="0" t="n">
        <f aca="false">B36+Assumptions!$B$5-Assumptions!$B$4</f>
        <v>14482.6515556561</v>
      </c>
    </row>
    <row r="38" customFormat="false" ht="15" hidden="false" customHeight="false" outlineLevel="0" collapsed="false">
      <c r="A38" s="0" t="s">
        <v>135</v>
      </c>
      <c r="B38" s="0" t="n">
        <f aca="false">B37/Assumptions!$B$3*Assumptions!$B$10</f>
        <v>110.571473168851</v>
      </c>
    </row>
    <row r="39" customFormat="false" ht="15" hidden="false" customHeight="false" outlineLevel="0" collapsed="false">
      <c r="A39" s="0" t="s">
        <v>136</v>
      </c>
      <c r="B39" s="4" t="n">
        <f aca="false">B38/Assumptions!$B$2-1</f>
        <v>-0.249548845060059</v>
      </c>
    </row>
    <row r="41" customFormat="false" ht="15" hidden="false" customHeight="false" outlineLevel="0" collapsed="false">
      <c r="A41" s="0" t="s">
        <v>137</v>
      </c>
      <c r="B41" s="0" t="n">
        <f aca="false">SUMPRODUCT(-C10:L10/(1+$B$27/100)^C4:L4)</f>
        <v>134.575375152662</v>
      </c>
    </row>
    <row r="42" customFormat="false" ht="15" hidden="false" customHeight="false" outlineLevel="0" collapsed="false">
      <c r="A42" s="0" t="s">
        <v>138</v>
      </c>
      <c r="B42" s="0" t="n">
        <f aca="false">IF(B27&gt;B28,-L10*(1+B28/100)/((B27-B28)/100),-L10*20)/(1+B27/100)^L4</f>
        <v>170.639885683969</v>
      </c>
    </row>
    <row r="43" customFormat="false" ht="15" hidden="false" customHeight="false" outlineLevel="0" collapsed="false">
      <c r="A43" s="0" t="s">
        <v>139</v>
      </c>
      <c r="B43" s="0" t="n">
        <f aca="false">(B37+B41+B42)/Assumptions!$B$3*Assumptions!$B$10</f>
        <v>112.901716418482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10496.4612993047</v>
      </c>
    </row>
    <row r="47" customFormat="false" ht="15" hidden="false" customHeight="false" outlineLevel="0" collapsed="false">
      <c r="A47" s="0" t="s">
        <v>141</v>
      </c>
      <c r="B47" s="0" t="n">
        <f aca="false">(SUMPRODUCT(C19:L19/(1+B45/100)^C4:L4)+B46/(1+B45/100)^L4+Assumptions!$B$5-Assumptions!$B$4)/Assumptions!$B$3*Assumptions!$B$10</f>
        <v>60.6583115447437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11</v>
      </c>
      <c r="D5" s="4" t="n">
        <f aca="false">Assumptions!D41</f>
        <v>11</v>
      </c>
      <c r="E5" s="4" t="n">
        <f aca="false">Assumptions!E41</f>
        <v>10</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37</v>
      </c>
      <c r="B6" s="3" t="n">
        <v>1730.4</v>
      </c>
      <c r="C6" s="0" t="n">
        <f aca="false">B6*(1+C5/100)</f>
        <v>1920.744</v>
      </c>
      <c r="D6" s="0" t="n">
        <f aca="false">C6*(1+D5/100)</f>
        <v>2132.02584</v>
      </c>
      <c r="E6" s="0" t="n">
        <f aca="false">D6*(1+E5/100)</f>
        <v>2345.228424</v>
      </c>
      <c r="F6" s="0" t="n">
        <f aca="false">E6*(1+F5/100)</f>
        <v>2556.29898216</v>
      </c>
      <c r="G6" s="0" t="n">
        <f aca="false">F6*(1+G5/100)</f>
        <v>2760.8029007328</v>
      </c>
      <c r="H6" s="0" t="n">
        <f aca="false">G6*(1+H5/100)</f>
        <v>2954.0591037841</v>
      </c>
      <c r="I6" s="0" t="n">
        <f aca="false">H6*(1+I5/100)</f>
        <v>3131.30265001114</v>
      </c>
      <c r="J6" s="0" t="n">
        <f aca="false">I6*(1+J5/100)</f>
        <v>3287.8677825117</v>
      </c>
      <c r="K6" s="0" t="n">
        <f aca="false">J6*(1+K5/100)</f>
        <v>3419.38249381217</v>
      </c>
      <c r="L6" s="0" t="n">
        <f aca="false">K6*(1+L5/100)</f>
        <v>3539.0608810956</v>
      </c>
    </row>
    <row r="7" customFormat="false" ht="15" hidden="false" customHeight="false" outlineLevel="0" collapsed="false">
      <c r="A7" s="0" t="s">
        <v>98</v>
      </c>
      <c r="C7" s="4" t="n">
        <f aca="false">Assumptions!C42</f>
        <v>66.6</v>
      </c>
      <c r="D7" s="4" t="n">
        <f aca="false">Assumptions!D42</f>
        <v>67.6</v>
      </c>
      <c r="E7" s="4" t="n">
        <f aca="false">Assumptions!E42</f>
        <v>68.6</v>
      </c>
      <c r="F7" s="4" t="n">
        <f aca="false">Assumptions!F42</f>
        <v>69.4</v>
      </c>
      <c r="G7" s="4" t="n">
        <f aca="false">Assumptions!G42</f>
        <v>70</v>
      </c>
      <c r="H7" s="4" t="n">
        <f aca="false">Assumptions!H42</f>
        <v>70.5</v>
      </c>
      <c r="I7" s="4" t="n">
        <f aca="false">Assumptions!I42</f>
        <v>71</v>
      </c>
      <c r="J7" s="4" t="n">
        <f aca="false">Assumptions!J42</f>
        <v>71</v>
      </c>
      <c r="K7" s="4" t="n">
        <f aca="false">Assumptions!K42</f>
        <v>71</v>
      </c>
      <c r="L7" s="4" t="n">
        <f aca="false">Assumptions!L42</f>
        <v>71</v>
      </c>
    </row>
    <row r="8" customFormat="false" ht="15" hidden="false" customHeight="false" outlineLevel="0" collapsed="false">
      <c r="A8" s="0" t="s">
        <v>43</v>
      </c>
      <c r="C8" s="0" t="n">
        <f aca="false">C6*C7/100</f>
        <v>1279.215504</v>
      </c>
      <c r="D8" s="0" t="n">
        <f aca="false">D6*D7/100</f>
        <v>1441.24946784</v>
      </c>
      <c r="E8" s="0" t="n">
        <f aca="false">E6*E7/100</f>
        <v>1608.826698864</v>
      </c>
      <c r="F8" s="0" t="n">
        <f aca="false">F6*F7/100</f>
        <v>1774.07149361904</v>
      </c>
      <c r="G8" s="0" t="n">
        <f aca="false">G6*G7/100</f>
        <v>1932.56203051296</v>
      </c>
      <c r="H8" s="0" t="n">
        <f aca="false">H6*H7/100</f>
        <v>2082.61166816779</v>
      </c>
      <c r="I8" s="0" t="n">
        <f aca="false">I6*I7/100</f>
        <v>2223.22488150791</v>
      </c>
      <c r="J8" s="0" t="n">
        <f aca="false">J6*J7/100</f>
        <v>2334.38612558331</v>
      </c>
      <c r="K8" s="0" t="n">
        <f aca="false">K6*K7/100</f>
        <v>2427.76157060664</v>
      </c>
      <c r="L8" s="0" t="n">
        <f aca="false">L6*L7/100</f>
        <v>2512.73322557787</v>
      </c>
    </row>
    <row r="9" customFormat="false" ht="15" hidden="false" customHeight="false" outlineLevel="0" collapsed="false">
      <c r="A9" s="0" t="s">
        <v>99</v>
      </c>
      <c r="C9" s="4" t="n">
        <f aca="false">Assumptions!C43</f>
        <v>0.9</v>
      </c>
      <c r="D9" s="4" t="n">
        <f aca="false">Assumptions!D43</f>
        <v>0.9</v>
      </c>
      <c r="E9" s="4" t="n">
        <f aca="false">Assumptions!E43</f>
        <v>0.9</v>
      </c>
      <c r="F9" s="4" t="n">
        <f aca="false">Assumptions!F43</f>
        <v>0.9</v>
      </c>
      <c r="G9" s="4" t="n">
        <f aca="false">Assumptions!G43</f>
        <v>0.9</v>
      </c>
      <c r="H9" s="4" t="n">
        <f aca="false">Assumptions!H43</f>
        <v>0.9</v>
      </c>
      <c r="I9" s="4" t="n">
        <f aca="false">Assumptions!I43</f>
        <v>0.9</v>
      </c>
      <c r="J9" s="4" t="n">
        <f aca="false">Assumptions!J43</f>
        <v>0.9</v>
      </c>
      <c r="K9" s="4" t="n">
        <f aca="false">Assumptions!K43</f>
        <v>0.9</v>
      </c>
      <c r="L9" s="4" t="n">
        <f aca="false">Assumptions!L43</f>
        <v>0.9</v>
      </c>
    </row>
    <row r="10" customFormat="false" ht="15" hidden="false" customHeight="false" outlineLevel="0" collapsed="false">
      <c r="A10" s="0" t="s">
        <v>114</v>
      </c>
      <c r="C10" s="0" t="n">
        <f aca="false">-C6*C9/100</f>
        <v>-17.286696</v>
      </c>
      <c r="D10" s="0" t="n">
        <f aca="false">-D6*D9/100</f>
        <v>-19.18823256</v>
      </c>
      <c r="E10" s="0" t="n">
        <f aca="false">-E6*E9/100</f>
        <v>-21.107055816</v>
      </c>
      <c r="F10" s="0" t="n">
        <f aca="false">-F6*F9/100</f>
        <v>-23.00669083944</v>
      </c>
      <c r="G10" s="0" t="n">
        <f aca="false">-G6*G9/100</f>
        <v>-24.8472261065952</v>
      </c>
      <c r="H10" s="0" t="n">
        <f aca="false">-H6*H9/100</f>
        <v>-26.5865319340569</v>
      </c>
      <c r="I10" s="0" t="n">
        <f aca="false">-I6*I9/100</f>
        <v>-28.1817238501003</v>
      </c>
      <c r="J10" s="0" t="n">
        <f aca="false">-J6*J9/100</f>
        <v>-29.5908100426053</v>
      </c>
      <c r="K10" s="0" t="n">
        <f aca="false">-K6*K9/100</f>
        <v>-30.7744424443095</v>
      </c>
      <c r="L10" s="0" t="n">
        <f aca="false">-L6*L9/100</f>
        <v>-31.8515479298604</v>
      </c>
    </row>
    <row r="11" customFormat="false" ht="15" hidden="false" customHeight="false" outlineLevel="0" collapsed="false">
      <c r="A11" s="0" t="s">
        <v>115</v>
      </c>
      <c r="C11" s="0" t="n">
        <f aca="false">C8+C10+C24</f>
        <v>1249.443972</v>
      </c>
      <c r="D11" s="0" t="n">
        <f aca="false">D8+D10+D24</f>
        <v>1408.20306732</v>
      </c>
      <c r="E11" s="0" t="n">
        <f aca="false">E8+E10+E24</f>
        <v>1572.475658292</v>
      </c>
      <c r="F11" s="0" t="n">
        <f aca="false">F8+F10+F24</f>
        <v>1734.44885939556</v>
      </c>
      <c r="G11" s="0" t="n">
        <f aca="false">G8+G10+G24</f>
        <v>1889.7695855516</v>
      </c>
      <c r="H11" s="0" t="n">
        <f aca="false">H8+H10+H24</f>
        <v>2036.82375205914</v>
      </c>
      <c r="I11" s="0" t="n">
        <f aca="false">I8+I10+I24</f>
        <v>2174.68969043274</v>
      </c>
      <c r="J11" s="0" t="n">
        <f aca="false">J8+J10+J24</f>
        <v>2283.42417495438</v>
      </c>
      <c r="K11" s="0" t="n">
        <f aca="false">K8+K10+K24</f>
        <v>2374.76114195255</v>
      </c>
      <c r="L11" s="0" t="n">
        <f aca="false">L8+L10+L24</f>
        <v>2457.87778192089</v>
      </c>
    </row>
    <row r="12" customFormat="false" ht="15" hidden="false" customHeight="false" outlineLevel="0" collapsed="false">
      <c r="A12" s="0" t="s">
        <v>116</v>
      </c>
      <c r="C12" s="4" t="n">
        <f aca="false">-C6*Assumptions!C45/100</f>
        <v>-138.293568</v>
      </c>
      <c r="D12" s="4" t="n">
        <f aca="false">-D6*Assumptions!D45/100</f>
        <v>-153.50586048</v>
      </c>
      <c r="E12" s="4" t="n">
        <f aca="false">-E6*Assumptions!E45/100</f>
        <v>-168.856446528</v>
      </c>
      <c r="F12" s="4" t="n">
        <f aca="false">-F6*Assumptions!F45/100</f>
        <v>-184.05352671552</v>
      </c>
      <c r="G12" s="4" t="n">
        <f aca="false">-G6*Assumptions!G45/100</f>
        <v>-198.777808852762</v>
      </c>
      <c r="H12" s="4" t="n">
        <f aca="false">-H6*Assumptions!H45/100</f>
        <v>-212.692255472455</v>
      </c>
      <c r="I12" s="4" t="n">
        <f aca="false">-I6*Assumptions!I45/100</f>
        <v>-225.453790800802</v>
      </c>
      <c r="J12" s="4" t="n">
        <f aca="false">-J6*Assumptions!J45/100</f>
        <v>-236.726480340843</v>
      </c>
      <c r="K12" s="4" t="n">
        <f aca="false">-K6*Assumptions!K45/100</f>
        <v>-246.195539554476</v>
      </c>
      <c r="L12" s="4" t="n">
        <f aca="false">-L6*Assumptions!L45/100</f>
        <v>-254.812383438883</v>
      </c>
    </row>
    <row r="13" customFormat="false" ht="15" hidden="false" customHeight="false" outlineLevel="0" collapsed="false">
      <c r="A13" s="0" t="s">
        <v>117</v>
      </c>
      <c r="C13" s="0" t="n">
        <f aca="false">C11+C12</f>
        <v>1111.150404</v>
      </c>
      <c r="D13" s="0" t="n">
        <f aca="false">D11+D12</f>
        <v>1254.69720684</v>
      </c>
      <c r="E13" s="0" t="n">
        <f aca="false">E11+E12</f>
        <v>1403.619211764</v>
      </c>
      <c r="F13" s="0" t="n">
        <f aca="false">F11+F12</f>
        <v>1550.39533268004</v>
      </c>
      <c r="G13" s="0" t="n">
        <f aca="false">G11+G12</f>
        <v>1690.99177669884</v>
      </c>
      <c r="H13" s="0" t="n">
        <f aca="false">H11+H12</f>
        <v>1824.13149658668</v>
      </c>
      <c r="I13" s="0" t="n">
        <f aca="false">I11+I12</f>
        <v>1949.23589963194</v>
      </c>
      <c r="J13" s="0" t="n">
        <f aca="false">J11+J12</f>
        <v>2046.69769461353</v>
      </c>
      <c r="K13" s="0" t="n">
        <f aca="false">K11+K12</f>
        <v>2128.56560239808</v>
      </c>
      <c r="L13" s="0" t="n">
        <f aca="false">L11+L12</f>
        <v>2203.06539848201</v>
      </c>
    </row>
    <row r="14" customFormat="false" ht="15" hidden="false" customHeight="false" outlineLevel="0" collapsed="false">
      <c r="A14" s="0" t="s">
        <v>103</v>
      </c>
      <c r="C14" s="4" t="n">
        <f aca="false">Assumptions!C47</f>
        <v>29.5</v>
      </c>
      <c r="D14" s="4" t="n">
        <f aca="false">Assumptions!D47</f>
        <v>29.5</v>
      </c>
      <c r="E14" s="4" t="n">
        <f aca="false">Assumptions!E47</f>
        <v>29.5</v>
      </c>
      <c r="F14" s="4" t="n">
        <f aca="false">Assumptions!F47</f>
        <v>29.5</v>
      </c>
      <c r="G14" s="4" t="n">
        <f aca="false">Assumptions!G47</f>
        <v>29.5</v>
      </c>
      <c r="H14" s="4" t="n">
        <f aca="false">Assumptions!H47</f>
        <v>29.5</v>
      </c>
      <c r="I14" s="4" t="n">
        <f aca="false">Assumptions!I47</f>
        <v>29.5</v>
      </c>
      <c r="J14" s="4" t="n">
        <f aca="false">Assumptions!J47</f>
        <v>29.5</v>
      </c>
      <c r="K14" s="4" t="n">
        <f aca="false">Assumptions!K47</f>
        <v>29.5</v>
      </c>
      <c r="L14" s="4" t="n">
        <f aca="false">Assumptions!L47</f>
        <v>29.5</v>
      </c>
    </row>
    <row r="15" customFormat="false" ht="15" hidden="false" customHeight="false" outlineLevel="0" collapsed="false">
      <c r="A15" s="0" t="s">
        <v>118</v>
      </c>
      <c r="C15" s="0" t="n">
        <f aca="false">C13-MAX(0,C13)*C14/100</f>
        <v>783.36103482</v>
      </c>
      <c r="D15" s="0" t="n">
        <f aca="false">D13-MAX(0,D13)*D14/100</f>
        <v>884.5615308222</v>
      </c>
      <c r="E15" s="0" t="n">
        <f aca="false">E13-MAX(0,E13)*E14/100</f>
        <v>989.55154429362</v>
      </c>
      <c r="F15" s="0" t="n">
        <f aca="false">F13-MAX(0,F13)*F14/100</f>
        <v>1093.02870953943</v>
      </c>
      <c r="G15" s="0" t="n">
        <f aca="false">G13-MAX(0,G13)*G14/100</f>
        <v>1192.14920257268</v>
      </c>
      <c r="H15" s="0" t="n">
        <f aca="false">H13-MAX(0,H13)*H14/100</f>
        <v>1286.01270509361</v>
      </c>
      <c r="I15" s="0" t="n">
        <f aca="false">I13-MAX(0,I13)*I14/100</f>
        <v>1374.21130924052</v>
      </c>
      <c r="J15" s="0" t="n">
        <f aca="false">J13-MAX(0,J13)*J14/100</f>
        <v>1442.92187470254</v>
      </c>
      <c r="K15" s="0" t="n">
        <f aca="false">K13-MAX(0,K13)*K14/100</f>
        <v>1500.63874969064</v>
      </c>
      <c r="L15" s="0" t="n">
        <f aca="false">L13-MAX(0,L13)*L14/100</f>
        <v>1553.16110592982</v>
      </c>
    </row>
    <row r="16" customFormat="false" ht="15" hidden="false" customHeight="false" outlineLevel="0" collapsed="false">
      <c r="A16" s="0" t="s">
        <v>119</v>
      </c>
      <c r="C16" s="0" t="n">
        <f aca="false">-C12</f>
        <v>138.293568</v>
      </c>
      <c r="D16" s="0" t="n">
        <f aca="false">-D12</f>
        <v>153.50586048</v>
      </c>
      <c r="E16" s="0" t="n">
        <f aca="false">-E12</f>
        <v>168.856446528</v>
      </c>
      <c r="F16" s="0" t="n">
        <f aca="false">-F12</f>
        <v>184.05352671552</v>
      </c>
      <c r="G16" s="0" t="n">
        <f aca="false">-G12</f>
        <v>198.777808852762</v>
      </c>
      <c r="H16" s="0" t="n">
        <f aca="false">-H12</f>
        <v>212.692255472455</v>
      </c>
      <c r="I16" s="0" t="n">
        <f aca="false">-I12</f>
        <v>225.453790800802</v>
      </c>
      <c r="J16" s="0" t="n">
        <f aca="false">-J12</f>
        <v>236.726480340843</v>
      </c>
      <c r="K16" s="0" t="n">
        <f aca="false">-K12</f>
        <v>246.195539554476</v>
      </c>
      <c r="L16" s="0" t="n">
        <f aca="false">-L12</f>
        <v>254.812383438883</v>
      </c>
    </row>
    <row r="17" customFormat="false" ht="15" hidden="false" customHeight="false" outlineLevel="0" collapsed="false">
      <c r="A17" s="0" t="s">
        <v>120</v>
      </c>
      <c r="C17" s="4" t="n">
        <f aca="false">-C6*Assumptions!C46/100</f>
        <v>-153.65952</v>
      </c>
      <c r="D17" s="4" t="n">
        <f aca="false">-D6*Assumptions!D46/100</f>
        <v>-168.43004136</v>
      </c>
      <c r="E17" s="4" t="n">
        <f aca="false">-E6*Assumptions!E46/100</f>
        <v>-182.927817072</v>
      </c>
      <c r="F17" s="4" t="n">
        <f aca="false">-F6*Assumptions!F46/100</f>
        <v>-196.83502162632</v>
      </c>
      <c r="G17" s="4" t="n">
        <f aca="false">-G6*Assumptions!G46/100</f>
        <v>-209.821020455693</v>
      </c>
      <c r="H17" s="4" t="n">
        <f aca="false">-H6*Assumptions!H46/100</f>
        <v>-221.554432783807</v>
      </c>
      <c r="I17" s="4" t="n">
        <f aca="false">-I6*Assumptions!I46/100</f>
        <v>-231.716396100825</v>
      </c>
      <c r="J17" s="4" t="n">
        <f aca="false">-J6*Assumptions!J46/100</f>
        <v>-240.014348123354</v>
      </c>
      <c r="K17" s="4" t="n">
        <f aca="false">-K6*Assumptions!K46/100</f>
        <v>-246.195539554476</v>
      </c>
      <c r="L17" s="4" t="n">
        <f aca="false">-L6*Assumptions!L46/100</f>
        <v>-254.812383438883</v>
      </c>
    </row>
    <row r="18" customFormat="false" ht="15" hidden="false" customHeight="false" outlineLevel="0" collapsed="false">
      <c r="A18" s="0" t="s">
        <v>121</v>
      </c>
      <c r="C18" s="4" t="n">
        <f aca="false">(C6-B6)*Assumptions!$B$51/100</f>
        <v>-28.5516</v>
      </c>
      <c r="D18" s="4" t="n">
        <f aca="false">(D6-C6)*Assumptions!$B$51/100</f>
        <v>-31.692276</v>
      </c>
      <c r="E18" s="4" t="n">
        <f aca="false">(E6-D6)*Assumptions!$B$51/100</f>
        <v>-31.9803876</v>
      </c>
      <c r="F18" s="4" t="n">
        <f aca="false">(F6-E6)*Assumptions!$B$51/100</f>
        <v>-31.6605837240001</v>
      </c>
      <c r="G18" s="4" t="n">
        <f aca="false">(G6-F6)*Assumptions!$B$51/100</f>
        <v>-30.67558778592</v>
      </c>
      <c r="H18" s="4" t="n">
        <f aca="false">(H6-G6)*Assumptions!$B$51/100</f>
        <v>-28.9884304576945</v>
      </c>
      <c r="I18" s="4" t="n">
        <f aca="false">(I6-H6)*Assumptions!$B$51/100</f>
        <v>-26.5865319340569</v>
      </c>
      <c r="J18" s="4" t="n">
        <f aca="false">(J6-I6)*Assumptions!$B$51/100</f>
        <v>-23.4847698750836</v>
      </c>
      <c r="K18" s="4" t="n">
        <f aca="false">(K6-J6)*Assumptions!$B$51/100</f>
        <v>-19.7272066950702</v>
      </c>
      <c r="L18" s="4" t="n">
        <f aca="false">(L6-K6)*Assumptions!$B$51/100</f>
        <v>-17.9517580925139</v>
      </c>
    </row>
    <row r="19" customFormat="false" ht="15" hidden="false" customHeight="false" outlineLevel="0" collapsed="false">
      <c r="A19" s="0" t="s">
        <v>122</v>
      </c>
      <c r="C19" s="0" t="n">
        <f aca="false">C15+C16+C17+C18</f>
        <v>739.44348282</v>
      </c>
      <c r="D19" s="0" t="n">
        <f aca="false">D15+D16+D17+D18</f>
        <v>837.9450739422</v>
      </c>
      <c r="E19" s="0" t="n">
        <f aca="false">E15+E16+E17+E18</f>
        <v>943.49978614962</v>
      </c>
      <c r="F19" s="0" t="n">
        <f aca="false">F15+F16+F17+F18</f>
        <v>1048.58663090463</v>
      </c>
      <c r="G19" s="0" t="n">
        <f aca="false">G15+G16+G17+G18</f>
        <v>1150.43040318383</v>
      </c>
      <c r="H19" s="0" t="n">
        <f aca="false">H15+H16+H17+H18</f>
        <v>1248.16209732456</v>
      </c>
      <c r="I19" s="0" t="n">
        <f aca="false">I15+I16+I17+I18</f>
        <v>1341.36217200644</v>
      </c>
      <c r="J19" s="0" t="n">
        <f aca="false">J15+J16+J17+J18</f>
        <v>1416.14923704495</v>
      </c>
      <c r="K19" s="0" t="n">
        <f aca="false">K15+K16+K17+K18</f>
        <v>1480.91154299557</v>
      </c>
      <c r="L19" s="0" t="n">
        <f aca="false">L15+L16+L17+L18</f>
        <v>1535.2093478373</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675.290851890411</v>
      </c>
      <c r="D21" s="0" t="n">
        <f aca="false">D19*D20</f>
        <v>698.855381616063</v>
      </c>
      <c r="E21" s="0" t="n">
        <f aca="false">E19*E20</f>
        <v>718.62024588252</v>
      </c>
      <c r="F21" s="0" t="n">
        <f aca="false">F19*F20</f>
        <v>729.369904947876</v>
      </c>
      <c r="G21" s="0" t="n">
        <f aca="false">G19*G20</f>
        <v>730.785219083736</v>
      </c>
      <c r="H21" s="0" t="n">
        <f aca="false">H19*H20</f>
        <v>724.079538791592</v>
      </c>
      <c r="I21" s="0" t="n">
        <f aca="false">I19*I20</f>
        <v>710.636025788499</v>
      </c>
      <c r="J21" s="0" t="n">
        <f aca="false">J19*J20</f>
        <v>685.166418825456</v>
      </c>
      <c r="K21" s="0" t="n">
        <f aca="false">K19*K20</f>
        <v>654.337854510882</v>
      </c>
      <c r="L21" s="0" t="n">
        <f aca="false">L19*L20</f>
        <v>619.478751467362</v>
      </c>
    </row>
    <row r="23" customFormat="false" ht="15" hidden="false" customHeight="false" outlineLevel="0" collapsed="false">
      <c r="A23" s="0" t="s">
        <v>100</v>
      </c>
      <c r="C23" s="4" t="n">
        <f aca="false">Assumptions!C44</f>
        <v>0.65</v>
      </c>
      <c r="D23" s="4" t="n">
        <f aca="false">Assumptions!D44</f>
        <v>0.65</v>
      </c>
      <c r="E23" s="4" t="n">
        <f aca="false">Assumptions!E44</f>
        <v>0.65</v>
      </c>
      <c r="F23" s="4" t="n">
        <f aca="false">Assumptions!F44</f>
        <v>0.65</v>
      </c>
      <c r="G23" s="4" t="n">
        <f aca="false">Assumptions!G44</f>
        <v>0.65</v>
      </c>
      <c r="H23" s="4" t="n">
        <f aca="false">Assumptions!H44</f>
        <v>0.65</v>
      </c>
      <c r="I23" s="4" t="n">
        <f aca="false">Assumptions!I44</f>
        <v>0.65</v>
      </c>
      <c r="J23" s="4" t="n">
        <f aca="false">Assumptions!J44</f>
        <v>0.65</v>
      </c>
      <c r="K23" s="4" t="n">
        <f aca="false">Assumptions!K44</f>
        <v>0.65</v>
      </c>
      <c r="L23" s="4" t="n">
        <f aca="false">Assumptions!L44</f>
        <v>0.65</v>
      </c>
    </row>
    <row r="24" customFormat="false" ht="15" hidden="false" customHeight="false" outlineLevel="0" collapsed="false">
      <c r="A24" s="0" t="s">
        <v>125</v>
      </c>
      <c r="C24" s="0" t="n">
        <f aca="false">-C6*C23/100</f>
        <v>-12.484836</v>
      </c>
      <c r="D24" s="0" t="n">
        <f aca="false">-D6*D23/100</f>
        <v>-13.85816796</v>
      </c>
      <c r="E24" s="0" t="n">
        <f aca="false">-E6*E23/100</f>
        <v>-15.243984756</v>
      </c>
      <c r="F24" s="0" t="n">
        <f aca="false">-F6*F23/100</f>
        <v>-16.61594338404</v>
      </c>
      <c r="G24" s="0" t="n">
        <f aca="false">-G6*G23/100</f>
        <v>-17.9452188547632</v>
      </c>
      <c r="H24" s="0" t="n">
        <f aca="false">-H6*H23/100</f>
        <v>-19.2013841745966</v>
      </c>
      <c r="I24" s="0" t="n">
        <f aca="false">-I6*I23/100</f>
        <v>-20.3534672250724</v>
      </c>
      <c r="J24" s="0" t="n">
        <f aca="false">-J6*J23/100</f>
        <v>-21.3711405863261</v>
      </c>
      <c r="K24" s="0" t="n">
        <f aca="false">-K6*K23/100</f>
        <v>-22.2259862097791</v>
      </c>
      <c r="L24" s="0" t="n">
        <f aca="false">-L6*L23/100</f>
        <v>-23.0038957271214</v>
      </c>
    </row>
    <row r="26" customFormat="false" ht="15" hidden="false" customHeight="false" outlineLevel="0" collapsed="false">
      <c r="A26" s="2" t="s">
        <v>126</v>
      </c>
    </row>
    <row r="27" customFormat="false" ht="15" hidden="false" customHeight="false" outlineLevel="0" collapsed="false">
      <c r="A27" s="0" t="s">
        <v>104</v>
      </c>
      <c r="B27" s="4" t="n">
        <f aca="false">Assumptions!$B$48</f>
        <v>9.5</v>
      </c>
    </row>
    <row r="28" customFormat="false" ht="15" hidden="false" customHeight="false" outlineLevel="0" collapsed="false">
      <c r="A28" s="0" t="s">
        <v>105</v>
      </c>
      <c r="B28" s="4" t="n">
        <f aca="false">Assumptions!$B$49</f>
        <v>3.5</v>
      </c>
    </row>
    <row r="29" customFormat="false" ht="15" hidden="false" customHeight="false" outlineLevel="0" collapsed="false">
      <c r="A29" s="0" t="s">
        <v>106</v>
      </c>
      <c r="B29" s="4" t="n">
        <f aca="false">Assumptions!$B$50</f>
        <v>20</v>
      </c>
    </row>
    <row r="30" customFormat="false" ht="15" hidden="false" customHeight="false" outlineLevel="0" collapsed="false">
      <c r="A30" s="0" t="s">
        <v>127</v>
      </c>
      <c r="B30" s="0" t="n">
        <f aca="false">SUM(C21:L21)</f>
        <v>6946.6201928044</v>
      </c>
    </row>
    <row r="31" customFormat="false" ht="15" hidden="false" customHeight="false" outlineLevel="0" collapsed="false">
      <c r="A31" s="0" t="s">
        <v>128</v>
      </c>
      <c r="B31" s="0" t="n">
        <f aca="false">L19</f>
        <v>1535.2093478373</v>
      </c>
    </row>
    <row r="32" customFormat="false" ht="15" hidden="false" customHeight="false" outlineLevel="0" collapsed="false">
      <c r="A32" s="0" t="s">
        <v>129</v>
      </c>
      <c r="B32" s="0" t="n">
        <f aca="false">IF(B27&gt;B28,B31*(1+B28/100)/((B27-B28)/100),B31*B29)</f>
        <v>26482.3612501935</v>
      </c>
    </row>
    <row r="33" customFormat="false" ht="15" hidden="false" customHeight="false" outlineLevel="0" collapsed="false">
      <c r="A33" s="0" t="s">
        <v>130</v>
      </c>
      <c r="B33" s="0" t="n">
        <f aca="false">B31*B29</f>
        <v>30704.186956746</v>
      </c>
    </row>
    <row r="34" customFormat="false" ht="15" hidden="false" customHeight="false" outlineLevel="0" collapsed="false">
      <c r="A34" s="0" t="s">
        <v>131</v>
      </c>
      <c r="B34" s="0" t="n">
        <f aca="false">MAX(0,MIN(B32,B33))</f>
        <v>26482.3612501935</v>
      </c>
    </row>
    <row r="35" customFormat="false" ht="15" hidden="false" customHeight="false" outlineLevel="0" collapsed="false">
      <c r="A35" s="0" t="s">
        <v>132</v>
      </c>
      <c r="B35" s="0" t="n">
        <f aca="false">B34/(1+B27/100)^L4</f>
        <v>10686.008462812</v>
      </c>
    </row>
    <row r="36" customFormat="false" ht="15" hidden="false" customHeight="false" outlineLevel="0" collapsed="false">
      <c r="A36" s="0" t="s">
        <v>133</v>
      </c>
      <c r="B36" s="0" t="n">
        <f aca="false">B30+B35</f>
        <v>17632.6286556164</v>
      </c>
    </row>
    <row r="37" customFormat="false" ht="15" hidden="false" customHeight="false" outlineLevel="0" collapsed="false">
      <c r="A37" s="0" t="s">
        <v>134</v>
      </c>
      <c r="B37" s="0" t="n">
        <f aca="false">B36+Assumptions!$B$5-Assumptions!$B$4</f>
        <v>18300.2286556164</v>
      </c>
    </row>
    <row r="38" customFormat="false" ht="15" hidden="false" customHeight="false" outlineLevel="0" collapsed="false">
      <c r="A38" s="0" t="s">
        <v>135</v>
      </c>
      <c r="B38" s="0" t="n">
        <f aca="false">B37/Assumptions!$B$3*Assumptions!$B$10</f>
        <v>139.717732902858</v>
      </c>
    </row>
    <row r="39" customFormat="false" ht="15" hidden="false" customHeight="false" outlineLevel="0" collapsed="false">
      <c r="A39" s="0" t="s">
        <v>136</v>
      </c>
      <c r="B39" s="4" t="n">
        <f aca="false">B38/Assumptions!$B$2-1</f>
        <v>-0.0517325037134628</v>
      </c>
    </row>
    <row r="41" customFormat="false" ht="15" hidden="false" customHeight="false" outlineLevel="0" collapsed="false">
      <c r="A41" s="0" t="s">
        <v>137</v>
      </c>
      <c r="B41" s="0" t="n">
        <f aca="false">SUMPRODUCT(-C10:L10/(1+$B$27/100)^C4:L4)</f>
        <v>150.773417070154</v>
      </c>
    </row>
    <row r="42" customFormat="false" ht="15" hidden="false" customHeight="false" outlineLevel="0" collapsed="false">
      <c r="A42" s="0" t="s">
        <v>138</v>
      </c>
      <c r="B42" s="0" t="n">
        <f aca="false">IF(B27&gt;B28,-L10*(1+B28/100)/((B27-B28)/100),-L10*20)/(1+B27/100)^L4</f>
        <v>221.706512673098</v>
      </c>
    </row>
    <row r="43" customFormat="false" ht="15" hidden="false" customHeight="false" outlineLevel="0" collapsed="false">
      <c r="A43" s="0" t="s">
        <v>139</v>
      </c>
      <c r="B43" s="0" t="n">
        <f aca="false">(B37+B41+B42)/Assumptions!$B$3*Assumptions!$B$10</f>
        <v>142.561525311953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13816.8841305357</v>
      </c>
    </row>
    <row r="47" customFormat="false" ht="15" hidden="false" customHeight="false" outlineLevel="0" collapsed="false">
      <c r="A47" s="0" t="s">
        <v>141</v>
      </c>
      <c r="B47" s="0" t="n">
        <f aca="false">(SUMPRODUCT(C19:L19/(1+B45/100)^C4:L4)+B46/(1+B45/100)^L4+Assumptions!$B$5-Assumptions!$B$4)/Assumptions!$B$3*Assumptions!$B$10</f>
        <v>72.2145533916591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75.2616749194659</v>
      </c>
      <c r="C4" s="0" t="n">
        <f aca="false">B4/Assumptions!$B$2-1</f>
        <v>-0.489197265376233</v>
      </c>
      <c r="D4" s="4" t="n">
        <f aca="false">Assumptions!$B$24</f>
        <v>0.25</v>
      </c>
      <c r="E4" s="4" t="n">
        <f aca="false">DCF_Bear!$B$43</f>
        <v>77.0219090101916</v>
      </c>
      <c r="F4" s="4" t="n">
        <f aca="false">DCF_Bear!$B$47</f>
        <v>44.4021682923701</v>
      </c>
    </row>
    <row r="5" customFormat="false" ht="15" hidden="false" customHeight="false" outlineLevel="0" collapsed="false">
      <c r="A5" s="0" t="s">
        <v>150</v>
      </c>
      <c r="B5" s="4" t="n">
        <f aca="false">DCF_Base!$B$38</f>
        <v>110.571473168851</v>
      </c>
      <c r="C5" s="0" t="n">
        <f aca="false">B5/Assumptions!$B$2-1</f>
        <v>-0.249548845060059</v>
      </c>
      <c r="D5" s="4" t="n">
        <f aca="false">Assumptions!$B$38</f>
        <v>0.5</v>
      </c>
      <c r="E5" s="4" t="n">
        <f aca="false">DCF_Base!$B$43</f>
        <v>112.901716418482</v>
      </c>
      <c r="F5" s="4" t="n">
        <f aca="false">DCF_Base!$B$47</f>
        <v>60.6583115447437</v>
      </c>
    </row>
    <row r="6" customFormat="false" ht="15" hidden="false" customHeight="false" outlineLevel="0" collapsed="false">
      <c r="A6" s="0" t="s">
        <v>151</v>
      </c>
      <c r="B6" s="4" t="n">
        <f aca="false">DCF_Bull!$B$38</f>
        <v>139.717732902858</v>
      </c>
      <c r="C6" s="0" t="n">
        <f aca="false">B6/Assumptions!$B$2-1</f>
        <v>-0.0517325037134628</v>
      </c>
      <c r="D6" s="4" t="n">
        <f aca="false">Assumptions!$B$52</f>
        <v>0.25</v>
      </c>
      <c r="E6" s="4" t="n">
        <f aca="false">DCF_Bull!$B$43</f>
        <v>142.561525311953</v>
      </c>
      <c r="F6" s="4" t="n">
        <f aca="false">DCF_Bull!$B$47</f>
        <v>72.2145533916591</v>
      </c>
    </row>
    <row r="8" customFormat="false" ht="15" hidden="false" customHeight="false" outlineLevel="0" collapsed="false">
      <c r="A8" s="0" t="s">
        <v>152</v>
      </c>
      <c r="B8" s="0" t="n">
        <f aca="false">SUMPRODUCT(B4:B6,D4:D6)</f>
        <v>109.030588540007</v>
      </c>
    </row>
    <row r="9" customFormat="false" ht="15" hidden="false" customHeight="false" outlineLevel="0" collapsed="false">
      <c r="A9" s="0" t="s">
        <v>153</v>
      </c>
      <c r="B9" s="0" t="n">
        <f aca="false">SUMPRODUCT(E4:E6,D4:D6)</f>
        <v>111.346716789777</v>
      </c>
    </row>
    <row r="10" customFormat="false" ht="15" hidden="false" customHeight="false" outlineLevel="0" collapsed="false">
      <c r="A10" s="0" t="s">
        <v>154</v>
      </c>
      <c r="B10" s="0" t="n">
        <f aca="false">1-Assumptions!$B$2/B8</f>
        <v>-0.351363887629907</v>
      </c>
    </row>
    <row r="11" customFormat="false" ht="15" hidden="false" customHeight="false" outlineLevel="0" collapsed="false">
      <c r="A11" s="0" t="s">
        <v>155</v>
      </c>
      <c r="B11" s="0" t="n">
        <f aca="false">IF(ABS(B9-B8)&gt;0.01*ABS(B8),(Assumptions!$B$2-B8)/(B9-B8)*100,"n/a")</f>
        <v>1654.02807309091</v>
      </c>
    </row>
    <row r="12" customFormat="false" ht="15" hidden="false" customHeight="false" outlineLevel="0" collapsed="false">
      <c r="A12" s="0" t="s">
        <v>156</v>
      </c>
      <c r="B12" s="0" t="n">
        <f aca="false">SUMPRODUCT(F4:F6,D4:D6)</f>
        <v>59.4833361933791</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119.689495340712</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110.571473168851</v>
      </c>
      <c r="C16" s="3" t="n">
        <v>9.5</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102.762819098106</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90.0908370218323</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80.2540440586799</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60.6583115447437</v>
      </c>
      <c r="C20" s="3" t="n">
        <v>15</v>
      </c>
    </row>
    <row r="22" customFormat="false" ht="15" hidden="false" customHeight="false" outlineLevel="0" collapsed="false">
      <c r="A22" s="2" t="s">
        <v>165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139.592198461704</v>
      </c>
      <c r="C24" s="0" t="n">
        <f aca="false">(SUMPRODUCT(DCF_Base!$C$19:$L$19/(1+$A$24/100)^DCF_Base!$C$4:$L$4)+MAX(0,MIN(IF($A$24&gt;$C$23,DCF_Base!$L$19*(1+$C$23/100)/(($A$24-$C$23)/100),DCF_Base!$L$19*DCF_Base!$B$29),DCF_Base!$L$19*DCF_Base!$B$29))/(1+$A$24/100)^DCF_Base!$L$4+Assumptions!$B$5-Assumptions!$B$4)/Assumptions!$B$3*Assumptions!$B$10</f>
        <v>146.181275709682</v>
      </c>
      <c r="D24" s="0" t="n">
        <f aca="false">(SUMPRODUCT(DCF_Base!$C$19:$L$19/(1+$A$24/100)^DCF_Base!$C$4:$L$4)+MAX(0,MIN(IF($A$24&gt;$D$23,DCF_Base!$L$19*(1+$D$23/100)/(($A$24-$D$23)/100),DCF_Base!$L$19*DCF_Base!$B$29),DCF_Base!$L$19*DCF_Base!$B$29))/(1+$A$24/100)^DCF_Base!$L$4+Assumptions!$B$5-Assumptions!$B$4)/Assumptions!$B$3*Assumptions!$B$10</f>
        <v>146.181275709682</v>
      </c>
      <c r="E24" s="0" t="n">
        <f aca="false">(SUMPRODUCT(DCF_Base!$C$19:$L$19/(1+$A$24/100)^DCF_Base!$C$4:$L$4)+MAX(0,MIN(IF($A$24&gt;$E$23,DCF_Base!$L$19*(1+$E$23/100)/(($A$24-$E$23)/100),DCF_Base!$L$19*DCF_Base!$B$29),DCF_Base!$L$19*DCF_Base!$B$29))/(1+$A$24/100)^DCF_Base!$L$4+Assumptions!$B$5-Assumptions!$B$4)/Assumptions!$B$3*Assumptions!$B$10</f>
        <v>146.181275709682</v>
      </c>
      <c r="F24" s="0" t="n">
        <f aca="false">(SUMPRODUCT(DCF_Base!$C$19:$L$19/(1+$A$24/100)^DCF_Base!$C$4:$L$4)+MAX(0,MIN(IF($A$24&gt;$F$23,DCF_Base!$L$19*(1+$F$23/100)/(($A$24-$F$23)/100),DCF_Base!$L$19*DCF_Base!$B$29),DCF_Base!$L$19*DCF_Base!$B$29))/(1+$A$24/100)^DCF_Base!$L$4+Assumptions!$B$5-Assumptions!$B$4)/Assumptions!$B$3*Assumptions!$B$10</f>
        <v>146.181275709682</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117.941757754783</v>
      </c>
      <c r="C25" s="0" t="n">
        <f aca="false">(SUMPRODUCT(DCF_Base!$C$19:$L$19/(1+$A$25/100)^DCF_Base!$C$4:$L$4)+MAX(0,MIN(IF($A$25&gt;$C$23,DCF_Base!$L$19*(1+$C$23/100)/(($A$25-$C$23)/100),DCF_Base!$L$19*DCF_Base!$B$29),DCF_Base!$L$19*DCF_Base!$B$29))/(1+$A$25/100)^DCF_Base!$L$4+Assumptions!$B$5-Assumptions!$B$4)/Assumptions!$B$3*Assumptions!$B$10</f>
        <v>123.685827410495</v>
      </c>
      <c r="D25" s="0" t="n">
        <f aca="false">(SUMPRODUCT(DCF_Base!$C$19:$L$19/(1+$A$25/100)^DCF_Base!$C$4:$L$4)+MAX(0,MIN(IF($A$25&gt;$D$23,DCF_Base!$L$19*(1+$D$23/100)/(($A$25-$D$23)/100),DCF_Base!$L$19*DCF_Base!$B$29),DCF_Base!$L$19*DCF_Base!$B$29))/(1+$A$25/100)^DCF_Base!$L$4+Assumptions!$B$5-Assumptions!$B$4)/Assumptions!$B$3*Assumptions!$B$10</f>
        <v>130.474273367246</v>
      </c>
      <c r="E25" s="0" t="n">
        <f aca="false">(SUMPRODUCT(DCF_Base!$C$19:$L$19/(1+$A$25/100)^DCF_Base!$C$4:$L$4)+MAX(0,MIN(IF($A$25&gt;$E$23,DCF_Base!$L$19*(1+$E$23/100)/(($A$25-$E$23)/100),DCF_Base!$L$19*DCF_Base!$B$29),DCF_Base!$L$19*DCF_Base!$B$29))/(1+$A$25/100)^DCF_Base!$L$4+Assumptions!$B$5-Assumptions!$B$4)/Assumptions!$B$3*Assumptions!$B$10</f>
        <v>135.729844430537</v>
      </c>
      <c r="F25" s="0" t="n">
        <f aca="false">(SUMPRODUCT(DCF_Base!$C$19:$L$19/(1+$A$25/100)^DCF_Base!$C$4:$L$4)+MAX(0,MIN(IF($A$25&gt;$F$23,DCF_Base!$L$19*(1+$F$23/100)/(($A$25-$F$23)/100),DCF_Base!$L$19*DCF_Base!$B$29),DCF_Base!$L$19*DCF_Base!$B$29))/(1+$A$25/100)^DCF_Base!$L$4+Assumptions!$B$5-Assumptions!$B$4)/Assumptions!$B$3*Assumptions!$B$10</f>
        <v>135.729844430537</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102.109332285306</v>
      </c>
      <c r="C26" s="0" t="n">
        <f aca="false">(SUMPRODUCT(DCF_Base!$C$19:$L$19/(1+$A$26/100)^DCF_Base!$C$4:$L$4)+MAX(0,MIN(IF($A$26&gt;$C$23,DCF_Base!$L$19*(1+$C$23/100)/(($A$26-$C$23)/100),DCF_Base!$L$19*DCF_Base!$B$29),DCF_Base!$L$19*DCF_Base!$B$29))/(1+$A$26/100)^DCF_Base!$L$4+Assumptions!$B$5-Assumptions!$B$4)/Assumptions!$B$3*Assumptions!$B$10</f>
        <v>106.038183409809</v>
      </c>
      <c r="D26" s="0" t="n">
        <f aca="false">(SUMPRODUCT(DCF_Base!$C$19:$L$19/(1+$A$26/100)^DCF_Base!$C$4:$L$4)+MAX(0,MIN(IF($A$26&gt;$D$23,DCF_Base!$L$19*(1+$D$23/100)/(($A$26-$D$23)/100),DCF_Base!$L$19*DCF_Base!$B$29),DCF_Base!$L$19*DCF_Base!$B$29))/(1+$A$26/100)^DCF_Base!$L$4+Assumptions!$B$5-Assumptions!$B$4)/Assumptions!$B$3*Assumptions!$B$10</f>
        <v>110.571473168851</v>
      </c>
      <c r="E26" s="0" t="n">
        <f aca="false">(SUMPRODUCT(DCF_Base!$C$19:$L$19/(1+$A$26/100)^DCF_Base!$C$4:$L$4)+MAX(0,MIN(IF($A$26&gt;$E$23,DCF_Base!$L$19*(1+$E$23/100)/(($A$26-$E$23)/100),DCF_Base!$L$19*DCF_Base!$B$29),DCF_Base!$L$19*DCF_Base!$B$29))/(1+$A$26/100)^DCF_Base!$L$4+Assumptions!$B$5-Assumptions!$B$4)/Assumptions!$B$3*Assumptions!$B$10</f>
        <v>115.860311221066</v>
      </c>
      <c r="F26" s="0" t="n">
        <f aca="false">(SUMPRODUCT(DCF_Base!$C$19:$L$19/(1+$A$26/100)^DCF_Base!$C$4:$L$4)+MAX(0,MIN(IF($A$26&gt;$F$23,DCF_Base!$L$19*(1+$F$23/100)/(($A$26-$F$23)/100),DCF_Base!$L$19*DCF_Base!$B$29),DCF_Base!$L$19*DCF_Base!$B$29))/(1+$A$26/100)^DCF_Base!$L$4+Assumptions!$B$5-Assumptions!$B$4)/Assumptions!$B$3*Assumptions!$B$10</f>
        <v>122.110756191866</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90.0387804040496</v>
      </c>
      <c r="C27" s="0" t="n">
        <f aca="false">(SUMPRODUCT(DCF_Base!$C$19:$L$19/(1+$A$27/100)^DCF_Base!$C$4:$L$4)+MAX(0,MIN(IF($A$27&gt;$C$23,DCF_Base!$L$19*(1+$C$23/100)/(($A$27-$C$23)/100),DCF_Base!$L$19*DCF_Base!$B$29),DCF_Base!$L$19*DCF_Base!$B$29))/(1+$A$27/100)^DCF_Base!$L$4+Assumptions!$B$5-Assumptions!$B$4)/Assumptions!$B$3*Assumptions!$B$10</f>
        <v>92.8337850463083</v>
      </c>
      <c r="D27" s="0" t="n">
        <f aca="false">(SUMPRODUCT(DCF_Base!$C$19:$L$19/(1+$A$27/100)^DCF_Base!$C$4:$L$4)+MAX(0,MIN(IF($A$27&gt;$D$23,DCF_Base!$L$19*(1+$D$23/100)/(($A$27-$D$23)/100),DCF_Base!$L$19*DCF_Base!$B$29),DCF_Base!$L$19*DCF_Base!$B$29))/(1+$A$27/100)^DCF_Base!$L$4+Assumptions!$B$5-Assumptions!$B$4)/Assumptions!$B$3*Assumptions!$B$10</f>
        <v>96.0014569742014</v>
      </c>
      <c r="E27" s="0" t="n">
        <f aca="false">(SUMPRODUCT(DCF_Base!$C$19:$L$19/(1+$A$27/100)^DCF_Base!$C$4:$L$4)+MAX(0,MIN(IF($A$27&gt;$E$23,DCF_Base!$L$19*(1+$E$23/100)/(($A$27-$E$23)/100),DCF_Base!$L$19*DCF_Base!$B$29),DCF_Base!$L$19*DCF_Base!$B$29))/(1+$A$27/100)^DCF_Base!$L$4+Assumptions!$B$5-Assumptions!$B$4)/Assumptions!$B$3*Assumptions!$B$10</f>
        <v>99.6216534632221</v>
      </c>
      <c r="F27" s="0" t="n">
        <f aca="false">(SUMPRODUCT(DCF_Base!$C$19:$L$19/(1+$A$27/100)^DCF_Base!$C$4:$L$4)+MAX(0,MIN(IF($A$27&gt;$F$23,DCF_Base!$L$19*(1+$F$23/100)/(($A$27-$F$23)/100),DCF_Base!$L$19*DCF_Base!$B$29),DCF_Base!$L$19*DCF_Base!$B$29))/(1+$A$27/100)^DCF_Base!$L$4+Assumptions!$B$5-Assumptions!$B$4)/Assumptions!$B$3*Assumptions!$B$10</f>
        <v>103.798803258246</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80.5399047483953</v>
      </c>
      <c r="C28" s="0" t="n">
        <f aca="false">(SUMPRODUCT(DCF_Base!$C$19:$L$19/(1+$A$28/100)^DCF_Base!$C$4:$L$4)+MAX(0,MIN(IF($A$28&gt;$C$23,DCF_Base!$L$19*(1+$C$23/100)/(($A$28-$C$23)/100),DCF_Base!$L$19*DCF_Base!$B$29),DCF_Base!$L$19*DCF_Base!$B$29))/(1+$A$28/100)^DCF_Base!$L$4+Assumptions!$B$5-Assumptions!$B$4)/Assumptions!$B$3*Assumptions!$B$10</f>
        <v>82.5897072898576</v>
      </c>
      <c r="D28" s="0" t="n">
        <f aca="false">(SUMPRODUCT(DCF_Base!$C$19:$L$19/(1+$A$28/100)^DCF_Base!$C$4:$L$4)+MAX(0,MIN(IF($A$28&gt;$D$23,DCF_Base!$L$19*(1+$D$23/100)/(($A$28-$D$23)/100),DCF_Base!$L$19*DCF_Base!$B$29),DCF_Base!$L$19*DCF_Base!$B$29))/(1+$A$28/100)^DCF_Base!$L$4+Assumptions!$B$5-Assumptions!$B$4)/Assumptions!$B$3*Assumptions!$B$10</f>
        <v>84.8806630714919</v>
      </c>
      <c r="E28" s="0" t="n">
        <f aca="false">(SUMPRODUCT(DCF_Base!$C$19:$L$19/(1+$A$28/100)^DCF_Base!$C$4:$L$4)+MAX(0,MIN(IF($A$28&gt;$E$23,DCF_Base!$L$19*(1+$E$23/100)/(($A$28-$E$23)/100),DCF_Base!$L$19*DCF_Base!$B$29),DCF_Base!$L$19*DCF_Base!$B$29))/(1+$A$28/100)^DCF_Base!$L$4+Assumptions!$B$5-Assumptions!$B$4)/Assumptions!$B$3*Assumptions!$B$10</f>
        <v>87.4579883258305</v>
      </c>
      <c r="F28" s="0" t="n">
        <f aca="false">(SUMPRODUCT(DCF_Base!$C$19:$L$19/(1+$A$28/100)^DCF_Base!$C$4:$L$4)+MAX(0,MIN(IF($A$28&gt;$F$23,DCF_Base!$L$19*(1+$F$23/100)/(($A$28-$F$23)/100),DCF_Base!$L$19*DCF_Base!$B$29),DCF_Base!$L$19*DCF_Base!$B$29))/(1+$A$28/100)^DCF_Base!$L$4+Assumptions!$B$5-Assumptions!$B$4)/Assumptions!$B$3*Assumptions!$B$10</f>
        <v>90.3789569474143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2026-09-25T04:40:30Z</dcterms:created>
  <dc:creator>openpyxl</dc:creator>
  <dc:description/>
  <dc:language>en-NZ</dc:language>
  <cp:lastModifiedBy/>
  <dcterms:modified xsi:type="dcterms:W3CDTF">2026-09-25T04:40:30Z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