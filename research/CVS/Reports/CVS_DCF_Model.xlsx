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<sst xmlns="http://schemas.openxmlformats.org/spreadsheetml/2006/main" count="390" uniqueCount="175">
  <si>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</si>
  <si>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CVS</t>
  </si>
  <si>
    <t xml:space="preserve">Company</t>
  </si>
  <si>
    <t xml:space="preserve">CVS Health Corporation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</si>
  <si>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</si>
  <si>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</si>
  <si>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</si>
  <si>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</si>
  <si>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2026-09-25T20:00:03Z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</si>
  <si>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</si>
  <si>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</si>
  <si>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</si>
  <si>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</si>
  <si>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</si>
  <si>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</si>
  <si>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</si>
  <si>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</si>
  <si>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</si>
  <si>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</si>
  <si>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</si>
  <si>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</si>
  <si>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2026-09-26T01:22:58Z</t>
  </si>
  <si>
    <t xml:space="preserve">Drivers file</t>
  </si>
  <si>
    <t xml:space="preserve">CVS_Drivers.json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</si>
  <si>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</si>
  <si>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</si>
  <si>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</si>
  <si>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Consolidated owner-FCF DCF on an integrated managed-care/PBM/pharmacy conglomerate, with year 1 anchored to raised FY2026 guidance rather than the impairment-depressed FY2025 trough. SBC is small (~0.2% of revenue), so the house and street bases sit close together. The value case is margin normalization to a level still well below pre-2022, against leverage and regulator-controlled risks. The multiples sanity check trips against FY2025 trough actuals; on FY2026-guidance and mid-cycle denominators the implied P/E (~19.5x) and EV/EBITDA (~11.4x) sit inside the 10-year range (see sanity_check_note).
key_risks_to_valuation: Margin path is the whole valuation: each 0.1pp of terminal EBITDA margin is worth roughly $5-6/share on ~$550bn terminal revenue.; Part of the $11.3bn cash sits in regulated insurance subsidiaries. Netting only parent cash would lower IV by ~$5-7/share (partly offset by the excluded investment portfolio).; Opioid settlement remainder ($3.5bn) is an estimate, not read from a filing.; PBM reform (pass-through, delinking, forced divestiture) could move Caremark economics outside the bear path.; Leverage (~3.7x net debt/EBITDA): a renewed MA shock with a ratings downgrade would pressure refinancing and the dividend.
sanity_check_note: The 2026-09-26 multiples sanity check tripped on an implied P/E of 139x against a 24x 10-year average, with implied EV/EBITDA of 26x against 11.95x. Both are artefacts of the denominator. The check divides the weighted IV by FY2025 actuals: SBC-adjusted EPS of ~$0.88 and EBITDA of $9.3bn. Those figures are the trough year, depressed by the Q3-2025 Oak Street goodwill impairment and the MA reserve charges. The valuation is not built on them. Year 1 is the FY2026 guidance midpoint (~4.55% EBITDA margin, ~$19.4bn), and the terminal is capped at 13x unlevered FCF (bear 11x), which implies ~8.1x terminal EBITDA, below the 10-year average of 11.95x. On a normalized denominator the weighted IV implies 19.5x FY2026 GAAP-guidance EPS less SBC (16.7x adjusted), 26.4x FY2019-24 mid-cycle SBC-adjusted EPS, and 11.4x FY2026 EBITDA less SBC. All three are inside the historical range. Fix applied: priority 1, a mid-cycle/normalized basis, was already in place and was verified. The exit-multiple cap (priority 4) already binds below the historical-average EV/EBITDA. No driver path was changed, because moving margins or the WACC to pass a test measured against a trough denominator would be a fabricated fix. The trip is expected to persist until FY2026 actuals replace FY2025 in the check.</t>
  </si>
  <si>
    <t xml:space="preserve">Data sources</t>
  </si>
  <si>
    <t xml:space="preserve">price: Yahoo Finance chart API at inputs.price_as_of; 52-week range 69.51-110.68
financials: SEC XBRL (10-K/10-Q) via CVS_Metrics.csv / core_metrics, FY2007-Q2 2026; balance sheet at 2026-06-30
qualitative: CVS_Analysis.json (2026-09-26): Q2-2026 raised guidance (GAAP EPS $6.84-7.04, Adj EPS $7.90-8.10, OCF of at least $11.5bn), Dec-2025 Investor Day mid-teens Adj EPS CAGR to 2028, Jul-2026 FTC settlement</t>
  </si>
  <si>
    <t xml:space="preserve">Scenario narrative: bear</t>
  </si>
  <si>
    <t xml:space="preserve">MA cost trend and CMS policy reverse the 2026 recovery, state and federal PBM reform compresses Caremark, and retail keeps shrinking. The margin slides to 3.9% with growth of 2-3%, on a lower exit multiple.</t>
  </si>
  <si>
    <t xml:space="preserve">Scenario narrative: base</t>
  </si>
  <si>
    <t xml:space="preserve">Guidance-midpoint FY2026, then an Aetna margin recovery that plateaus at a 5.0% consolidated EBITDA margin: below the FY2019-21 peak because of pass-through-heavy pharmacy mix and partial PBM rebate give-back. Revenue growth decelerates from 6% to 3%.</t>
  </si>
  <si>
    <t xml:space="preserve">Scenario narrative: bull</t>
  </si>
  <si>
    <t xml:space="preserve">Mid-teens Adjusted EPS CAGR to 2028 delivered: MBR normalizes, star ratings and quality bonuses recover, Oak Street turns profitable, and Caremark comes through the FTC settlement intact. The margin rebuilds to 5.6%.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</si>
  <si>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</si>
  <si>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</si>
  <si>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</si>
  <si>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</si>
  <si>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</si>
  <si>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</si>
  <si>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</si>
  <si>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</si>
  <si>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</si>
  <si>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</si>
  <si>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</si>
  <si>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</si>
  <si>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</si>
  <si>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</si>
  <si>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</si>
  <si>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</si>
  <si>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</si>
  <si>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</si>
  <si>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</si>
  <si>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</si>
  <si>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</si>
  <si>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</si>
  <si>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</si>
  <si>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</si>
  <si>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</si>
  <si>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</si>
  <si>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</si>
  <si>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</si>
  <si>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</si>
  <si>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</si>
  <si>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</si>
  <si>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</si>
  <si>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</si>
  <si>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</si>
  <si>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</si>
  <si>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</si>
  <si>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</si>
  <si>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</si>
  <si>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</si>
  <si>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</si>
  <si>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</si>
  <si>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</si>
  <si>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</si>
  <si>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</si>
  <si>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</si>
  <si>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</si>
  <si>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</si>
  <si>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</si>
  <si>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</si>
  <si>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</si>
  <si>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</si>
  <si>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</si>
  <si>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</si>
  <si>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</si>
  <si>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</si>
  <si>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</si>
  <si>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</si>
  <si>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</si>
  <si>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</si>
  <si>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</si>
  <si>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</si>
  <si>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</si>
  <si>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</si>
  <si>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</si>
  <si>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</si>
  <si>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</si>
  <si>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</si>
  <si>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</si>
  <si>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</si>
  <si>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</si>
  <si>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</si>
  <si>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</si>
  <si>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</si>
  <si>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</si>
  <si>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</si>
  <si>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</si>
  <si>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</si>
  <si>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</si>
  <si>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</si>
  <si>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</si>
  <si>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</si>
  <si>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</si>
  <si>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</si>
  <si>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</si>
  <si>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CVS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</si>
  <si>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</si>
  <si>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</si>
  <si>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</si>
  <si>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</si>
  <si>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</si>
  <si>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</si>
  <si>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</si>
  <si>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</si>
  <si>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</si>
  <si>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</si>
  <si>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</si>
  <si>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</si>
  <si>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</si>
  <si>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</si>
  <si>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</si>
  <si>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</si>
  <si>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</si>
  <si>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</si>
  <si>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</si>
  <si>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</si>
  <si>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</si>
  <si>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</si>
  <si>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</si>
  <si>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</si>
  <si>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</si>
  <si>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</si>
  <si>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</si>
  <si>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</si>
  <si>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</si>
  <si>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</si>
  <si>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CVS owner-FCF component DCF: base case (millions, USD)</t>
  </si>
  <si>
    <t xml:space="preserve">CVS owner-FCF component DCF: bull case (millions, USD)</t>
  </si>
  <si>
    <t xml:space="preserve">CVS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</si>
  <si>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</si>
  <si>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</si>
  <si>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</si>
  <si>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</si>
  <si>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</si>
  <si>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</si>
  <si>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</si>
  <si>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</si>
  <si>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</si>
  <si>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</si>
  <si>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</si>
  <si>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</si>
  <si>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</si>
  <si>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</si>
  <si>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7.25%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</si>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</sst>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89.13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35.0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530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76330</v>
      </c>
      <c r="C3" s="0" t="n">
        <v>60222</v>
      </c>
      <c r="D3" s="0" t="n">
        <v>16108</v>
      </c>
      <c r="E3" s="0" t="n">
        <v>21.1031049390803</v>
      </c>
      <c r="F3" s="0" t="n">
        <v>4794</v>
      </c>
      <c r="G3" s="0" t="n">
        <v>6.28062360801782</v>
      </c>
      <c r="H3" s="0" t="n">
        <v>5889</v>
      </c>
      <c r="I3" s="0" t="n">
        <v>2637</v>
      </c>
      <c r="J3" s="0" t="n">
        <v>3.45473601467313</v>
      </c>
      <c r="K3" s="0" t="n">
        <v>1.97</v>
      </c>
      <c r="L3" s="0" t="n">
        <v>3230</v>
      </c>
      <c r="M3" s="0" t="n">
        <v>1805</v>
      </c>
      <c r="N3" s="0" t="n">
        <v>1425</v>
      </c>
      <c r="O3" s="0" t="n">
        <v>31322</v>
      </c>
      <c r="S3" s="0" t="n">
        <v>1056</v>
      </c>
      <c r="T3" s="0" t="n">
        <v>1372</v>
      </c>
      <c r="U3" s="0" t="n">
        <v>78</v>
      </c>
      <c r="V3" s="0" t="n">
        <v>0.2288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87472</v>
      </c>
      <c r="C4" s="0" t="n">
        <v>69182</v>
      </c>
      <c r="D4" s="0" t="n">
        <v>18290</v>
      </c>
      <c r="E4" s="0" t="n">
        <v>20.9095481982806</v>
      </c>
      <c r="F4" s="0" t="n">
        <v>6046</v>
      </c>
      <c r="G4" s="0" t="n">
        <v>6.91192610206695</v>
      </c>
      <c r="H4" s="0" t="n">
        <v>7320</v>
      </c>
      <c r="I4" s="0" t="n">
        <v>3212</v>
      </c>
      <c r="J4" s="0" t="n">
        <v>3.67203219315895</v>
      </c>
      <c r="K4" s="0" t="n">
        <v>2.23</v>
      </c>
      <c r="L4" s="0" t="n">
        <v>3947</v>
      </c>
      <c r="M4" s="0" t="n">
        <v>2180</v>
      </c>
      <c r="N4" s="0" t="n">
        <v>1767</v>
      </c>
      <c r="O4" s="0" t="n">
        <v>34574</v>
      </c>
      <c r="P4" s="0" t="n">
        <v>60960</v>
      </c>
      <c r="Q4" s="0" t="n">
        <v>26385.5</v>
      </c>
      <c r="R4" s="0" t="n">
        <v>8710</v>
      </c>
      <c r="S4" s="0" t="n">
        <v>1352</v>
      </c>
      <c r="T4" s="0" t="n">
        <v>1469</v>
      </c>
      <c r="U4" s="0" t="n">
        <v>92</v>
      </c>
      <c r="V4" s="0" t="n">
        <v>0.258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98215</v>
      </c>
      <c r="C5" s="0" t="n">
        <v>77857</v>
      </c>
      <c r="D5" s="0" t="n">
        <v>20358</v>
      </c>
      <c r="E5" s="0" t="n">
        <v>20.7279947054931</v>
      </c>
      <c r="F5" s="0" t="n">
        <v>6425</v>
      </c>
      <c r="G5" s="0" t="n">
        <v>6.54177060530469</v>
      </c>
      <c r="H5" s="0" t="n">
        <v>7814</v>
      </c>
      <c r="I5" s="0" t="n">
        <v>3696</v>
      </c>
      <c r="J5" s="0" t="n">
        <v>3.76317263147177</v>
      </c>
      <c r="K5" s="0" t="n">
        <v>2.58</v>
      </c>
      <c r="L5" s="0" t="n">
        <v>4035</v>
      </c>
      <c r="M5" s="0" t="n">
        <v>2548</v>
      </c>
      <c r="N5" s="0" t="n">
        <v>1487</v>
      </c>
      <c r="O5" s="0" t="n">
        <v>35768</v>
      </c>
      <c r="P5" s="0" t="n">
        <v>61641</v>
      </c>
      <c r="R5" s="0" t="n">
        <v>13279</v>
      </c>
      <c r="S5" s="0" t="n">
        <v>1086</v>
      </c>
      <c r="T5" s="0" t="n">
        <v>1450</v>
      </c>
      <c r="U5" s="0" t="n">
        <v>165</v>
      </c>
      <c r="V5" s="0" t="n">
        <v>0.305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95778</v>
      </c>
      <c r="C6" s="0" t="n">
        <v>75559</v>
      </c>
      <c r="D6" s="0" t="n">
        <v>20219</v>
      </c>
      <c r="E6" s="0" t="n">
        <v>21.1102758462277</v>
      </c>
      <c r="F6" s="0" t="n">
        <v>6137</v>
      </c>
      <c r="G6" s="0" t="n">
        <v>6.40752573659922</v>
      </c>
      <c r="H6" s="0" t="n">
        <v>7606</v>
      </c>
      <c r="I6" s="0" t="n">
        <v>3424</v>
      </c>
      <c r="J6" s="0" t="n">
        <v>3.57493370084988</v>
      </c>
      <c r="K6" s="0" t="n">
        <v>2.51</v>
      </c>
      <c r="L6" s="0" t="n">
        <v>4779</v>
      </c>
      <c r="M6" s="0" t="n">
        <v>2005</v>
      </c>
      <c r="N6" s="0" t="n">
        <v>2774</v>
      </c>
      <c r="O6" s="0" t="n">
        <v>37700</v>
      </c>
      <c r="P6" s="0" t="n">
        <v>62169</v>
      </c>
      <c r="R6" s="0" t="n">
        <v>9757</v>
      </c>
      <c r="S6" s="0" t="n">
        <v>1427</v>
      </c>
      <c r="T6" s="0" t="n">
        <v>1377</v>
      </c>
      <c r="U6" s="0" t="n">
        <v>150</v>
      </c>
      <c r="V6" s="0" t="n">
        <v>0.35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107080</v>
      </c>
      <c r="C7" s="0" t="n">
        <v>86518</v>
      </c>
      <c r="D7" s="0" t="n">
        <v>20562</v>
      </c>
      <c r="E7" s="0" t="n">
        <v>19.2024654463952</v>
      </c>
      <c r="F7" s="0" t="n">
        <v>6331</v>
      </c>
      <c r="G7" s="0" t="n">
        <v>5.91240194247292</v>
      </c>
      <c r="H7" s="0" t="n">
        <v>7899</v>
      </c>
      <c r="I7" s="0" t="n">
        <v>3458</v>
      </c>
      <c r="J7" s="0" t="n">
        <v>3.22936122525215</v>
      </c>
      <c r="K7" s="0" t="n">
        <v>2.59</v>
      </c>
      <c r="L7" s="0" t="n">
        <v>5856</v>
      </c>
      <c r="M7" s="0" t="n">
        <v>1872</v>
      </c>
      <c r="N7" s="0" t="n">
        <v>3984</v>
      </c>
      <c r="O7" s="0" t="n">
        <v>38013</v>
      </c>
      <c r="P7" s="0" t="n">
        <v>64852</v>
      </c>
      <c r="R7" s="0" t="n">
        <v>9264</v>
      </c>
      <c r="S7" s="0" t="n">
        <v>1413</v>
      </c>
      <c r="T7" s="0" t="n">
        <v>1347</v>
      </c>
      <c r="U7" s="0" t="n">
        <v>135</v>
      </c>
      <c r="V7" s="0" t="n">
        <v>0.5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123120</v>
      </c>
      <c r="C8" s="0" t="n">
        <v>100632</v>
      </c>
      <c r="D8" s="0" t="n">
        <v>22488</v>
      </c>
      <c r="E8" s="0" t="n">
        <v>18.2651072124756</v>
      </c>
      <c r="F8" s="0" t="n">
        <v>7210</v>
      </c>
      <c r="G8" s="0" t="n">
        <v>5.85607537361923</v>
      </c>
      <c r="H8" s="0" t="n">
        <v>8963</v>
      </c>
      <c r="I8" s="0" t="n">
        <v>3862</v>
      </c>
      <c r="J8" s="0" t="n">
        <v>3.1367771280052</v>
      </c>
      <c r="K8" s="0" t="n">
        <v>3.04</v>
      </c>
      <c r="L8" s="0" t="n">
        <v>6671</v>
      </c>
      <c r="M8" s="0" t="n">
        <v>2030</v>
      </c>
      <c r="N8" s="0" t="n">
        <v>4641</v>
      </c>
      <c r="O8" s="0" t="n">
        <v>37653</v>
      </c>
      <c r="P8" s="0" t="n">
        <v>66221</v>
      </c>
      <c r="R8" s="0" t="n">
        <v>9138</v>
      </c>
      <c r="S8" s="0" t="n">
        <v>1375</v>
      </c>
      <c r="T8" s="0" t="n">
        <v>1280</v>
      </c>
      <c r="U8" s="0" t="n">
        <v>132</v>
      </c>
      <c r="V8" s="0" t="n">
        <v>0.65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126761</v>
      </c>
      <c r="C9" s="0" t="n">
        <v>102978</v>
      </c>
      <c r="D9" s="0" t="n">
        <v>23783</v>
      </c>
      <c r="E9" s="0" t="n">
        <v>18.7620798195028</v>
      </c>
      <c r="F9" s="0" t="n">
        <v>8037</v>
      </c>
      <c r="G9" s="0" t="n">
        <v>6.34027816126411</v>
      </c>
      <c r="H9" s="0" t="n">
        <v>9907</v>
      </c>
      <c r="I9" s="0" t="n">
        <v>4592</v>
      </c>
      <c r="J9" s="0" t="n">
        <v>3.62256530005286</v>
      </c>
      <c r="K9" s="0" t="n">
        <v>3.77</v>
      </c>
      <c r="L9" s="0" t="n">
        <v>5783</v>
      </c>
      <c r="M9" s="0" t="n">
        <v>1984</v>
      </c>
      <c r="N9" s="0" t="n">
        <v>3799</v>
      </c>
      <c r="O9" s="0" t="n">
        <v>37938</v>
      </c>
      <c r="P9" s="0" t="n">
        <v>71526</v>
      </c>
      <c r="R9" s="0" t="n">
        <v>13402</v>
      </c>
      <c r="S9" s="0" t="n">
        <v>4089</v>
      </c>
      <c r="T9" s="0" t="n">
        <v>1226</v>
      </c>
      <c r="U9" s="0" t="n">
        <v>141</v>
      </c>
      <c r="V9" s="0" t="n">
        <v>0.9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139367</v>
      </c>
      <c r="C10" s="0" t="n">
        <v>114000</v>
      </c>
      <c r="D10" s="0" t="n">
        <v>25367</v>
      </c>
      <c r="E10" s="0" t="n">
        <v>18.2015828711244</v>
      </c>
      <c r="F10" s="0" t="n">
        <v>8799</v>
      </c>
      <c r="G10" s="0" t="n">
        <v>6.31354624839453</v>
      </c>
      <c r="H10" s="0" t="n">
        <v>10730</v>
      </c>
      <c r="I10" s="0" t="n">
        <v>4644</v>
      </c>
      <c r="J10" s="0" t="n">
        <v>3.33220920303946</v>
      </c>
      <c r="K10" s="0" t="n">
        <v>3.98</v>
      </c>
      <c r="L10" s="0" t="n">
        <v>8137</v>
      </c>
      <c r="M10" s="0" t="n">
        <v>2136</v>
      </c>
      <c r="N10" s="0" t="n">
        <v>6001</v>
      </c>
      <c r="O10" s="0" t="n">
        <v>37963</v>
      </c>
      <c r="P10" s="0" t="n">
        <v>74187</v>
      </c>
      <c r="R10" s="0" t="n">
        <v>12205</v>
      </c>
      <c r="S10" s="0" t="n">
        <v>2481</v>
      </c>
      <c r="T10" s="0" t="n">
        <v>1169</v>
      </c>
      <c r="U10" s="0" t="n">
        <v>165</v>
      </c>
      <c r="V10" s="0" t="n">
        <v>1.1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153290</v>
      </c>
      <c r="C11" s="0" t="n">
        <v>126762</v>
      </c>
      <c r="D11" s="0" t="n">
        <v>26528</v>
      </c>
      <c r="E11" s="0" t="n">
        <v>17.3057603235697</v>
      </c>
      <c r="F11" s="0" t="n">
        <v>9475</v>
      </c>
      <c r="G11" s="0" t="n">
        <v>6.18109465718573</v>
      </c>
      <c r="H11" s="0" t="n">
        <v>11567</v>
      </c>
      <c r="I11" s="0" t="n">
        <v>5239</v>
      </c>
      <c r="J11" s="0" t="n">
        <v>3.41770500358797</v>
      </c>
      <c r="K11" s="0" t="n">
        <v>4.66</v>
      </c>
      <c r="L11" s="0" t="n">
        <v>8539</v>
      </c>
      <c r="M11" s="0" t="n">
        <v>2367</v>
      </c>
      <c r="N11" s="0" t="n">
        <v>6172</v>
      </c>
      <c r="O11" s="0" t="n">
        <v>37203</v>
      </c>
      <c r="P11" s="0" t="n">
        <v>92437</v>
      </c>
      <c r="R11" s="0" t="n">
        <v>27464</v>
      </c>
      <c r="S11" s="0" t="n">
        <v>2459</v>
      </c>
      <c r="T11" s="0" t="n">
        <v>1126</v>
      </c>
      <c r="U11" s="0" t="n">
        <v>230</v>
      </c>
      <c r="V11" s="0" t="n">
        <v>1.4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177546</v>
      </c>
      <c r="C12" s="0" t="n">
        <v>146533</v>
      </c>
      <c r="D12" s="0" t="n">
        <v>28857</v>
      </c>
      <c r="E12" s="0" t="n">
        <v>16.2532526781792</v>
      </c>
      <c r="F12" s="0" t="n">
        <v>10386</v>
      </c>
      <c r="G12" s="0" t="n">
        <v>5.84975161366632</v>
      </c>
      <c r="H12" s="0" t="n">
        <v>12861</v>
      </c>
      <c r="I12" s="0" t="n">
        <v>5319</v>
      </c>
      <c r="J12" s="0" t="n">
        <v>2.99584333074246</v>
      </c>
      <c r="K12" s="0" t="n">
        <v>4.93</v>
      </c>
      <c r="L12" s="0" t="n">
        <v>10141</v>
      </c>
      <c r="M12" s="0" t="n">
        <v>2224</v>
      </c>
      <c r="N12" s="0" t="n">
        <v>7917</v>
      </c>
      <c r="O12" s="0" t="n">
        <v>36834</v>
      </c>
      <c r="P12" s="0" t="n">
        <v>94462</v>
      </c>
      <c r="R12" s="0" t="n">
        <v>25657</v>
      </c>
      <c r="S12" s="0" t="n">
        <v>3371</v>
      </c>
      <c r="T12" s="0" t="n">
        <v>1079</v>
      </c>
      <c r="U12" s="0" t="n">
        <v>222</v>
      </c>
      <c r="V12" s="0" t="n">
        <v>1.7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184786</v>
      </c>
      <c r="C13" s="0" t="n">
        <v>153448</v>
      </c>
      <c r="D13" s="0" t="n">
        <v>28545</v>
      </c>
      <c r="E13" s="0" t="n">
        <v>15.4475988440683</v>
      </c>
      <c r="F13" s="0" t="n">
        <v>9538</v>
      </c>
      <c r="G13" s="0" t="n">
        <v>5.16164644507701</v>
      </c>
      <c r="H13" s="0" t="n">
        <v>12018</v>
      </c>
      <c r="I13" s="0" t="n">
        <v>6623</v>
      </c>
      <c r="J13" s="0" t="n">
        <v>3.58414598508545</v>
      </c>
      <c r="K13" s="0" t="n">
        <v>6.47</v>
      </c>
      <c r="L13" s="0" t="n">
        <v>8007</v>
      </c>
      <c r="M13" s="0" t="n">
        <v>1918</v>
      </c>
      <c r="N13" s="0" t="n">
        <v>6089</v>
      </c>
      <c r="O13" s="0" t="n">
        <v>37695</v>
      </c>
      <c r="P13" s="0" t="n">
        <v>95131</v>
      </c>
      <c r="Q13" s="0" t="n">
        <v>57436</v>
      </c>
      <c r="R13" s="0" t="n">
        <v>30547</v>
      </c>
      <c r="S13" s="0" t="n">
        <v>1696</v>
      </c>
      <c r="T13" s="0" t="n">
        <v>1024</v>
      </c>
      <c r="U13" s="0" t="n">
        <v>234</v>
      </c>
      <c r="V13" s="0" t="n">
        <v>2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194579</v>
      </c>
      <c r="C14" s="0" t="n">
        <v>156447</v>
      </c>
      <c r="F14" s="0" t="n">
        <v>4021</v>
      </c>
      <c r="G14" s="0" t="n">
        <v>2.06651283026431</v>
      </c>
      <c r="H14" s="0" t="n">
        <v>6739</v>
      </c>
      <c r="I14" s="0" t="n">
        <v>-596</v>
      </c>
      <c r="J14" s="0" t="n">
        <v>-0.306302324505728</v>
      </c>
      <c r="K14" s="0" t="n">
        <v>-0.57</v>
      </c>
      <c r="L14" s="0" t="n">
        <v>8865</v>
      </c>
      <c r="M14" s="0" t="n">
        <v>2037</v>
      </c>
      <c r="N14" s="0" t="n">
        <v>6828</v>
      </c>
      <c r="O14" s="0" t="n">
        <v>58543</v>
      </c>
      <c r="P14" s="0" t="n">
        <v>196456</v>
      </c>
      <c r="Q14" s="0" t="n">
        <v>137913</v>
      </c>
      <c r="R14" s="0" t="n">
        <v>72709</v>
      </c>
      <c r="S14" s="0" t="n">
        <v>4059</v>
      </c>
      <c r="T14" s="0" t="n">
        <v>1295</v>
      </c>
      <c r="U14" s="0" t="n">
        <v>280</v>
      </c>
      <c r="V14" s="0" t="n">
        <v>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256776</v>
      </c>
      <c r="C15" s="0" t="n">
        <v>158719</v>
      </c>
      <c r="F15" s="0" t="n">
        <v>11987</v>
      </c>
      <c r="G15" s="0" t="n">
        <v>4.66827117799171</v>
      </c>
      <c r="H15" s="0" t="n">
        <v>16358</v>
      </c>
      <c r="I15" s="0" t="n">
        <v>6634</v>
      </c>
      <c r="J15" s="0" t="n">
        <v>2.58357478892108</v>
      </c>
      <c r="K15" s="0" t="n">
        <v>5.1</v>
      </c>
      <c r="L15" s="0" t="n">
        <v>12848</v>
      </c>
      <c r="M15" s="0" t="n">
        <v>2457</v>
      </c>
      <c r="N15" s="0" t="n">
        <v>10391</v>
      </c>
      <c r="O15" s="0" t="n">
        <v>64170</v>
      </c>
      <c r="P15" s="0" t="n">
        <v>222449</v>
      </c>
      <c r="Q15" s="0" t="n">
        <v>158279</v>
      </c>
      <c r="R15" s="0" t="n">
        <v>68480</v>
      </c>
      <c r="S15" s="0" t="n">
        <v>5683</v>
      </c>
      <c r="T15" s="0" t="n">
        <v>1305</v>
      </c>
      <c r="U15" s="0" t="n">
        <v>453</v>
      </c>
      <c r="V15" s="0" t="n">
        <v>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268706</v>
      </c>
      <c r="C16" s="0" t="n">
        <v>163981</v>
      </c>
      <c r="F16" s="0" t="n">
        <v>13911</v>
      </c>
      <c r="G16" s="0" t="n">
        <v>5.17703363527424</v>
      </c>
      <c r="H16" s="0" t="n">
        <v>18352</v>
      </c>
      <c r="I16" s="0" t="n">
        <v>7192</v>
      </c>
      <c r="J16" s="0" t="n">
        <v>2.67653122743817</v>
      </c>
      <c r="K16" s="0" t="n">
        <v>5.48</v>
      </c>
      <c r="L16" s="0" t="n">
        <v>15865</v>
      </c>
      <c r="M16" s="0" t="n">
        <v>2437</v>
      </c>
      <c r="N16" s="0" t="n">
        <v>13428</v>
      </c>
      <c r="O16" s="0" t="n">
        <v>69701</v>
      </c>
      <c r="P16" s="0" t="n">
        <v>230715</v>
      </c>
      <c r="Q16" s="0" t="n">
        <v>161014</v>
      </c>
      <c r="R16" s="0" t="n">
        <v>64647</v>
      </c>
      <c r="S16" s="0" t="n">
        <v>7854</v>
      </c>
      <c r="T16" s="0" t="n">
        <v>1314</v>
      </c>
      <c r="U16" s="0" t="n">
        <v>400</v>
      </c>
      <c r="V16" s="0" t="n">
        <v>2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292111</v>
      </c>
      <c r="C17" s="0" t="n">
        <v>175803</v>
      </c>
      <c r="F17" s="0" t="n">
        <v>13310</v>
      </c>
      <c r="G17" s="0" t="n">
        <v>4.55648708881213</v>
      </c>
      <c r="H17" s="0" t="n">
        <v>17796</v>
      </c>
      <c r="I17" s="0" t="n">
        <v>8001</v>
      </c>
      <c r="J17" s="0" t="n">
        <v>2.73902728757219</v>
      </c>
      <c r="K17" s="0" t="n">
        <v>6.07</v>
      </c>
      <c r="L17" s="0" t="n">
        <v>18265</v>
      </c>
      <c r="M17" s="0" t="n">
        <v>2520</v>
      </c>
      <c r="N17" s="0" t="n">
        <v>15745</v>
      </c>
      <c r="O17" s="0" t="n">
        <v>74841</v>
      </c>
      <c r="P17" s="0" t="n">
        <v>232999</v>
      </c>
      <c r="Q17" s="0" t="n">
        <v>157618</v>
      </c>
      <c r="R17" s="0" t="n">
        <v>56176</v>
      </c>
      <c r="S17" s="0" t="n">
        <v>9408</v>
      </c>
      <c r="T17" s="0" t="n">
        <v>1329</v>
      </c>
      <c r="U17" s="0" t="n">
        <v>484</v>
      </c>
      <c r="V17" s="0" t="n">
        <v>2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322467</v>
      </c>
      <c r="C18" s="0" t="n">
        <v>196892</v>
      </c>
      <c r="F18" s="0" t="n">
        <v>7954</v>
      </c>
      <c r="G18" s="0" t="n">
        <v>2.46660898634589</v>
      </c>
      <c r="H18" s="0" t="n">
        <v>12178</v>
      </c>
      <c r="I18" s="0" t="n">
        <v>4327</v>
      </c>
      <c r="J18" s="0" t="n">
        <v>1.3418427311942</v>
      </c>
      <c r="K18" s="0" t="n">
        <v>3.29</v>
      </c>
      <c r="L18" s="0" t="n">
        <v>16177</v>
      </c>
      <c r="M18" s="0" t="n">
        <v>2727</v>
      </c>
      <c r="N18" s="0" t="n">
        <v>13450</v>
      </c>
      <c r="O18" s="0" t="n">
        <v>71769</v>
      </c>
      <c r="P18" s="0" t="n">
        <v>228275</v>
      </c>
      <c r="Q18" s="0" t="n">
        <v>156506</v>
      </c>
      <c r="R18" s="0" t="n">
        <v>52254</v>
      </c>
      <c r="S18" s="0" t="n">
        <v>12945</v>
      </c>
      <c r="T18" s="0" t="n">
        <v>1323</v>
      </c>
      <c r="U18" s="0" t="n">
        <v>447</v>
      </c>
      <c r="V18" s="0" t="n">
        <v>2.2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357776</v>
      </c>
      <c r="C19" s="0" t="n">
        <v>217098</v>
      </c>
      <c r="F19" s="0" t="n">
        <v>13743</v>
      </c>
      <c r="G19" s="0" t="n">
        <v>3.84123026698269</v>
      </c>
      <c r="H19" s="0" t="n">
        <v>18109</v>
      </c>
      <c r="I19" s="0" t="n">
        <v>8368</v>
      </c>
      <c r="J19" s="0" t="n">
        <v>2.33889360940924</v>
      </c>
      <c r="K19" s="0" t="n">
        <v>6.49</v>
      </c>
      <c r="L19" s="0" t="n">
        <v>13426</v>
      </c>
      <c r="M19" s="0" t="n">
        <v>3031</v>
      </c>
      <c r="N19" s="0" t="n">
        <v>10395</v>
      </c>
      <c r="O19" s="0" t="n">
        <v>76636</v>
      </c>
      <c r="P19" s="0" t="n">
        <v>249728</v>
      </c>
      <c r="Q19" s="0" t="n">
        <v>173092</v>
      </c>
      <c r="R19" s="0" t="n">
        <v>61410</v>
      </c>
      <c r="S19" s="0" t="n">
        <v>8196</v>
      </c>
      <c r="T19" s="0" t="n">
        <v>1290</v>
      </c>
      <c r="U19" s="0" t="n">
        <v>588</v>
      </c>
      <c r="V19" s="0" t="n">
        <v>2.42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372809</v>
      </c>
      <c r="C20" s="0" t="n">
        <v>206287</v>
      </c>
      <c r="F20" s="0" t="n">
        <v>8516</v>
      </c>
      <c r="G20" s="0" t="n">
        <v>2.28427961771309</v>
      </c>
      <c r="H20" s="0" t="n">
        <v>13113</v>
      </c>
      <c r="I20" s="0" t="n">
        <v>4614</v>
      </c>
      <c r="J20" s="0" t="n">
        <v>1.23763106577363</v>
      </c>
      <c r="K20" s="0" t="n">
        <v>3.67</v>
      </c>
      <c r="L20" s="0" t="n">
        <v>9107</v>
      </c>
      <c r="M20" s="0" t="n">
        <v>2781</v>
      </c>
      <c r="N20" s="0" t="n">
        <v>6326</v>
      </c>
      <c r="O20" s="0" t="n">
        <v>75730</v>
      </c>
      <c r="P20" s="0" t="n">
        <v>253215</v>
      </c>
      <c r="Q20" s="0" t="n">
        <v>177485</v>
      </c>
      <c r="R20" s="0" t="n">
        <v>64151</v>
      </c>
      <c r="S20" s="0" t="n">
        <v>8586</v>
      </c>
      <c r="T20" s="0" t="n">
        <v>1262</v>
      </c>
      <c r="U20" s="0" t="n">
        <v>540</v>
      </c>
      <c r="V20" s="0" t="n">
        <v>2.66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402067</v>
      </c>
      <c r="C21" s="0" t="n">
        <v>221167</v>
      </c>
      <c r="F21" s="0" t="n">
        <v>4660</v>
      </c>
      <c r="G21" s="0" t="n">
        <v>1.1590108116309</v>
      </c>
      <c r="H21" s="0" t="n">
        <v>9266</v>
      </c>
      <c r="I21" s="0" t="n">
        <v>1768</v>
      </c>
      <c r="J21" s="0" t="n">
        <v>0.439727707073697</v>
      </c>
      <c r="K21" s="0" t="n">
        <v>1.4</v>
      </c>
      <c r="L21" s="0" t="n">
        <v>10639</v>
      </c>
      <c r="M21" s="0" t="n">
        <v>2832</v>
      </c>
      <c r="N21" s="0" t="n">
        <v>7807</v>
      </c>
      <c r="O21" s="0" t="n">
        <v>75382</v>
      </c>
      <c r="P21" s="0" t="n">
        <v>253538</v>
      </c>
      <c r="Q21" s="0" t="n">
        <v>178156</v>
      </c>
      <c r="R21" s="0" t="n">
        <v>64570</v>
      </c>
      <c r="S21" s="0" t="n">
        <v>8453</v>
      </c>
      <c r="T21" s="0" t="n">
        <v>1271</v>
      </c>
      <c r="U21" s="0" t="n">
        <v>535</v>
      </c>
      <c r="V21" s="0" t="n">
        <v>2.66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89.13</v>
      </c>
    </row>
    <row r="3" customFormat="false" ht="15" hidden="false" customHeight="false" outlineLevel="0" collapsed="false">
      <c r="A3" s="0" t="s">
        <v>86</v>
      </c>
      <c r="B3" s="3" t="n">
        <v>1290</v>
      </c>
    </row>
    <row r="4" customFormat="false" ht="15" hidden="false" customHeight="false" outlineLevel="0" collapsed="false">
      <c r="A4" s="0" t="s">
        <v>87</v>
      </c>
      <c r="B4" s="3" t="n">
        <v>50081</v>
      </c>
    </row>
    <row r="5" customFormat="false" ht="15" hidden="false" customHeight="false" outlineLevel="0" collapsed="false">
      <c r="A5" s="0" t="s">
        <v>88</v>
      </c>
      <c r="B5" s="3" t="n">
        <v>-3500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402067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5.5</v>
      </c>
      <c r="D13" s="3" t="n">
        <v>3.5</v>
      </c>
      <c r="E13" s="3" t="n">
        <v>3</v>
      </c>
      <c r="F13" s="3" t="n">
        <v>3</v>
      </c>
      <c r="G13" s="3" t="n">
        <v>2.5</v>
      </c>
      <c r="H13" s="3" t="n">
        <v>2.5</v>
      </c>
      <c r="I13" s="3" t="n">
        <v>2.5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4.4</v>
      </c>
      <c r="D14" s="3" t="n">
        <v>4.3</v>
      </c>
      <c r="E14" s="3" t="n">
        <v>4.2</v>
      </c>
      <c r="F14" s="3" t="n">
        <v>4.1</v>
      </c>
      <c r="G14" s="3" t="n">
        <v>4</v>
      </c>
      <c r="H14" s="3" t="n">
        <v>3.9</v>
      </c>
      <c r="I14" s="3" t="n">
        <v>3.9</v>
      </c>
      <c r="J14" s="3" t="n">
        <v>3.9</v>
      </c>
      <c r="K14" s="3" t="n">
        <v>3.9</v>
      </c>
      <c r="L14" s="3" t="n">
        <v>3.9</v>
      </c>
    </row>
    <row r="15" customFormat="false" ht="15" hidden="false" customHeight="false" outlineLevel="0" collapsed="false">
      <c r="A15" s="0" t="s">
        <v>108</v>
      </c>
      <c r="C15" s="3" t="n">
        <v>0.2</v>
      </c>
      <c r="D15" s="3" t="n">
        <v>0.2</v>
      </c>
      <c r="E15" s="3" t="n">
        <v>0.2</v>
      </c>
      <c r="F15" s="3" t="n">
        <v>0.2</v>
      </c>
      <c r="G15" s="3" t="n">
        <v>0.2</v>
      </c>
      <c r="H15" s="3" t="n">
        <v>0.2</v>
      </c>
      <c r="I15" s="3" t="n">
        <v>0.2</v>
      </c>
      <c r="J15" s="3" t="n">
        <v>0.2</v>
      </c>
      <c r="K15" s="3" t="n">
        <v>0.2</v>
      </c>
      <c r="L15" s="3" t="n">
        <v>0.2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1.1</v>
      </c>
      <c r="D17" s="3" t="n">
        <v>1.08</v>
      </c>
      <c r="E17" s="3" t="n">
        <v>1.06</v>
      </c>
      <c r="F17" s="3" t="n">
        <v>1.04</v>
      </c>
      <c r="G17" s="3" t="n">
        <v>1.02</v>
      </c>
      <c r="H17" s="3" t="n">
        <v>1</v>
      </c>
      <c r="I17" s="3" t="n">
        <v>0.98</v>
      </c>
      <c r="J17" s="3" t="n">
        <v>0.96</v>
      </c>
      <c r="K17" s="3" t="n">
        <v>0.94</v>
      </c>
      <c r="L17" s="3" t="n">
        <v>0.92</v>
      </c>
    </row>
    <row r="18" customFormat="false" ht="15" hidden="false" customHeight="false" outlineLevel="0" collapsed="false">
      <c r="A18" s="0" t="s">
        <v>111</v>
      </c>
      <c r="C18" s="3" t="n">
        <v>0.7</v>
      </c>
      <c r="D18" s="3" t="n">
        <v>0.7</v>
      </c>
      <c r="E18" s="3" t="n">
        <v>0.7</v>
      </c>
      <c r="F18" s="3" t="n">
        <v>0.7</v>
      </c>
      <c r="G18" s="3" t="n">
        <v>0.7</v>
      </c>
      <c r="H18" s="3" t="n">
        <v>0.7</v>
      </c>
      <c r="I18" s="3" t="n">
        <v>0.7</v>
      </c>
      <c r="J18" s="3" t="n">
        <v>0.7</v>
      </c>
      <c r="K18" s="3" t="n">
        <v>0.7</v>
      </c>
      <c r="L18" s="3" t="n">
        <v>0.7</v>
      </c>
    </row>
    <row r="19" customFormat="false" ht="15" hidden="false" customHeight="false" outlineLevel="0" collapsed="false">
      <c r="A19" s="0" t="s">
        <v>112</v>
      </c>
      <c r="C19" s="3" t="n">
        <v>26</v>
      </c>
      <c r="D19" s="3" t="n">
        <v>26</v>
      </c>
      <c r="E19" s="3" t="n">
        <v>26</v>
      </c>
      <c r="F19" s="3" t="n">
        <v>26</v>
      </c>
      <c r="G19" s="3" t="n">
        <v>26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113</v>
      </c>
      <c r="B20" s="3" t="n">
        <v>7.25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11</v>
      </c>
    </row>
    <row r="23" customFormat="false" ht="15" hidden="false" customHeight="false" outlineLevel="0" collapsed="false">
      <c r="A23" s="0" t="s">
        <v>116</v>
      </c>
      <c r="B23" s="3" t="n">
        <v>1</v>
      </c>
    </row>
    <row r="24" customFormat="false" ht="15" hidden="false" customHeight="false" outlineLevel="0" collapsed="false">
      <c r="A24" s="0" t="s">
        <v>117</v>
      </c>
      <c r="B24" s="3" t="n">
        <v>0.3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6</v>
      </c>
      <c r="D27" s="3" t="n">
        <v>5</v>
      </c>
      <c r="E27" s="3" t="n">
        <v>4.5</v>
      </c>
      <c r="F27" s="3" t="n">
        <v>4</v>
      </c>
      <c r="G27" s="3" t="n">
        <v>4</v>
      </c>
      <c r="H27" s="3" t="n">
        <v>3.5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4.55</v>
      </c>
      <c r="D28" s="3" t="n">
        <v>4.75</v>
      </c>
      <c r="E28" s="3" t="n">
        <v>4.9</v>
      </c>
      <c r="F28" s="3" t="n">
        <v>5</v>
      </c>
      <c r="G28" s="3" t="n">
        <v>5</v>
      </c>
      <c r="H28" s="3" t="n">
        <v>5</v>
      </c>
      <c r="I28" s="3" t="n">
        <v>5</v>
      </c>
      <c r="J28" s="3" t="n">
        <v>5</v>
      </c>
      <c r="K28" s="3" t="n">
        <v>5</v>
      </c>
      <c r="L28" s="3" t="n">
        <v>5</v>
      </c>
    </row>
    <row r="29" customFormat="false" ht="15" hidden="false" customHeight="false" outlineLevel="0" collapsed="false">
      <c r="A29" s="0" t="s">
        <v>108</v>
      </c>
      <c r="C29" s="3" t="n">
        <v>0.2</v>
      </c>
      <c r="D29" s="3" t="n">
        <v>0.2</v>
      </c>
      <c r="E29" s="3" t="n">
        <v>0.2</v>
      </c>
      <c r="F29" s="3" t="n">
        <v>0.19</v>
      </c>
      <c r="G29" s="3" t="n">
        <v>0.19</v>
      </c>
      <c r="H29" s="3" t="n">
        <v>0.18</v>
      </c>
      <c r="I29" s="3" t="n">
        <v>0.18</v>
      </c>
      <c r="J29" s="3" t="n">
        <v>0.18</v>
      </c>
      <c r="K29" s="3" t="n">
        <v>0.18</v>
      </c>
      <c r="L29" s="3" t="n">
        <v>0.18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1.1</v>
      </c>
      <c r="D31" s="3" t="n">
        <v>1.07</v>
      </c>
      <c r="E31" s="3" t="n">
        <v>1.04</v>
      </c>
      <c r="F31" s="3" t="n">
        <v>1.01</v>
      </c>
      <c r="G31" s="3" t="n">
        <v>0.98</v>
      </c>
      <c r="H31" s="3" t="n">
        <v>0.95</v>
      </c>
      <c r="I31" s="3" t="n">
        <v>0.92</v>
      </c>
      <c r="J31" s="3" t="n">
        <v>0.9</v>
      </c>
      <c r="K31" s="3" t="n">
        <v>0.88</v>
      </c>
      <c r="L31" s="3" t="n">
        <v>0.85</v>
      </c>
    </row>
    <row r="32" customFormat="false" ht="15" hidden="false" customHeight="false" outlineLevel="0" collapsed="false">
      <c r="A32" s="0" t="s">
        <v>111</v>
      </c>
      <c r="C32" s="3" t="n">
        <v>0.7</v>
      </c>
      <c r="D32" s="3" t="n">
        <v>0.7</v>
      </c>
      <c r="E32" s="3" t="n">
        <v>0.7</v>
      </c>
      <c r="F32" s="3" t="n">
        <v>0.7</v>
      </c>
      <c r="G32" s="3" t="n">
        <v>0.7</v>
      </c>
      <c r="H32" s="3" t="n">
        <v>0.7</v>
      </c>
      <c r="I32" s="3" t="n">
        <v>0.7</v>
      </c>
      <c r="J32" s="3" t="n">
        <v>0.7</v>
      </c>
      <c r="K32" s="3" t="n">
        <v>0.7</v>
      </c>
      <c r="L32" s="3" t="n">
        <v>0.7</v>
      </c>
    </row>
    <row r="33" customFormat="false" ht="15" hidden="false" customHeight="false" outlineLevel="0" collapsed="false">
      <c r="A33" s="0" t="s">
        <v>112</v>
      </c>
      <c r="C33" s="3" t="n">
        <v>26</v>
      </c>
      <c r="D33" s="3" t="n">
        <v>26</v>
      </c>
      <c r="E33" s="3" t="n">
        <v>26</v>
      </c>
      <c r="F33" s="3" t="n">
        <v>26</v>
      </c>
      <c r="G33" s="3" t="n">
        <v>26</v>
      </c>
      <c r="H33" s="3" t="n">
        <v>26</v>
      </c>
      <c r="I33" s="3" t="n">
        <v>26</v>
      </c>
      <c r="J33" s="3" t="n">
        <v>26</v>
      </c>
      <c r="K33" s="3" t="n">
        <v>26</v>
      </c>
      <c r="L33" s="3" t="n">
        <v>26</v>
      </c>
    </row>
    <row r="34" customFormat="false" ht="15" hidden="false" customHeight="false" outlineLevel="0" collapsed="false">
      <c r="A34" s="0" t="s">
        <v>113</v>
      </c>
      <c r="B34" s="3" t="n">
        <v>7.25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13</v>
      </c>
    </row>
    <row r="37" customFormat="false" ht="15" hidden="false" customHeight="false" outlineLevel="0" collapsed="false">
      <c r="A37" s="0" t="s">
        <v>116</v>
      </c>
      <c r="B37" s="3" t="n">
        <v>1.5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6.5</v>
      </c>
      <c r="D41" s="3" t="n">
        <v>6</v>
      </c>
      <c r="E41" s="3" t="n">
        <v>5.5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4.6</v>
      </c>
      <c r="D42" s="3" t="n">
        <v>5</v>
      </c>
      <c r="E42" s="3" t="n">
        <v>5.3</v>
      </c>
      <c r="F42" s="3" t="n">
        <v>5.5</v>
      </c>
      <c r="G42" s="3" t="n">
        <v>5.6</v>
      </c>
      <c r="H42" s="3" t="n">
        <v>5.6</v>
      </c>
      <c r="I42" s="3" t="n">
        <v>5.6</v>
      </c>
      <c r="J42" s="3" t="n">
        <v>5.6</v>
      </c>
      <c r="K42" s="3" t="n">
        <v>5.6</v>
      </c>
      <c r="L42" s="3" t="n">
        <v>5.6</v>
      </c>
    </row>
    <row r="43" customFormat="false" ht="15" hidden="false" customHeight="false" outlineLevel="0" collapsed="false">
      <c r="A43" s="0" t="s">
        <v>108</v>
      </c>
      <c r="C43" s="3" t="n">
        <v>0.2</v>
      </c>
      <c r="D43" s="3" t="n">
        <v>0.2</v>
      </c>
      <c r="E43" s="3" t="n">
        <v>0.2</v>
      </c>
      <c r="F43" s="3" t="n">
        <v>0.19</v>
      </c>
      <c r="G43" s="3" t="n">
        <v>0.19</v>
      </c>
      <c r="H43" s="3" t="n">
        <v>0.18</v>
      </c>
      <c r="I43" s="3" t="n">
        <v>0.18</v>
      </c>
      <c r="J43" s="3" t="n">
        <v>0.18</v>
      </c>
      <c r="K43" s="3" t="n">
        <v>0.18</v>
      </c>
      <c r="L43" s="3" t="n">
        <v>0.18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1.1</v>
      </c>
      <c r="D45" s="3" t="n">
        <v>1.07</v>
      </c>
      <c r="E45" s="3" t="n">
        <v>1.04</v>
      </c>
      <c r="F45" s="3" t="n">
        <v>1.01</v>
      </c>
      <c r="G45" s="3" t="n">
        <v>0.98</v>
      </c>
      <c r="H45" s="3" t="n">
        <v>0.95</v>
      </c>
      <c r="I45" s="3" t="n">
        <v>0.92</v>
      </c>
      <c r="J45" s="3" t="n">
        <v>0.9</v>
      </c>
      <c r="K45" s="3" t="n">
        <v>0.88</v>
      </c>
      <c r="L45" s="3" t="n">
        <v>0.85</v>
      </c>
    </row>
    <row r="46" customFormat="false" ht="15" hidden="false" customHeight="false" outlineLevel="0" collapsed="false">
      <c r="A46" s="0" t="s">
        <v>111</v>
      </c>
      <c r="C46" s="3" t="n">
        <v>0.7</v>
      </c>
      <c r="D46" s="3" t="n">
        <v>0.7</v>
      </c>
      <c r="E46" s="3" t="n">
        <v>0.7</v>
      </c>
      <c r="F46" s="3" t="n">
        <v>0.7</v>
      </c>
      <c r="G46" s="3" t="n">
        <v>0.7</v>
      </c>
      <c r="H46" s="3" t="n">
        <v>0.7</v>
      </c>
      <c r="I46" s="3" t="n">
        <v>0.7</v>
      </c>
      <c r="J46" s="3" t="n">
        <v>0.7</v>
      </c>
      <c r="K46" s="3" t="n">
        <v>0.7</v>
      </c>
      <c r="L46" s="3" t="n">
        <v>0.7</v>
      </c>
    </row>
    <row r="47" customFormat="false" ht="15" hidden="false" customHeight="false" outlineLevel="0" collapsed="false">
      <c r="A47" s="0" t="s">
        <v>112</v>
      </c>
      <c r="C47" s="3" t="n">
        <v>26</v>
      </c>
      <c r="D47" s="3" t="n">
        <v>26</v>
      </c>
      <c r="E47" s="3" t="n">
        <v>26</v>
      </c>
      <c r="F47" s="3" t="n">
        <v>26</v>
      </c>
      <c r="G47" s="3" t="n">
        <v>26</v>
      </c>
      <c r="H47" s="3" t="n">
        <v>26</v>
      </c>
      <c r="I47" s="3" t="n">
        <v>26</v>
      </c>
      <c r="J47" s="3" t="n">
        <v>26</v>
      </c>
      <c r="K47" s="3" t="n">
        <v>26</v>
      </c>
      <c r="L47" s="3" t="n">
        <v>26</v>
      </c>
    </row>
    <row r="48" customFormat="false" ht="15" hidden="false" customHeight="false" outlineLevel="0" collapsed="false">
      <c r="A48" s="0" t="s">
        <v>113</v>
      </c>
      <c r="B48" s="3" t="n">
        <v>7.25</v>
      </c>
    </row>
    <row r="49" customFormat="false" ht="15" hidden="false" customHeight="false" outlineLevel="0" collapsed="false">
      <c r="A49" s="0" t="s">
        <v>114</v>
      </c>
      <c r="B49" s="3" t="n">
        <v>2.5</v>
      </c>
    </row>
    <row r="50" customFormat="false" ht="15" hidden="false" customHeight="false" outlineLevel="0" collapsed="false">
      <c r="A50" s="0" t="s">
        <v>115</v>
      </c>
      <c r="B50" s="3" t="n">
        <v>13</v>
      </c>
    </row>
    <row r="51" customFormat="false" ht="15" hidden="false" customHeight="false" outlineLevel="0" collapsed="false">
      <c r="A51" s="0" t="s">
        <v>116</v>
      </c>
      <c r="B51" s="3" t="n">
        <v>1.5</v>
      </c>
    </row>
    <row r="52" customFormat="false" ht="15" hidden="false" customHeight="false" outlineLevel="0" collapsed="false">
      <c r="A52" s="0" t="s">
        <v>117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5.5</v>
      </c>
      <c r="D5" s="4" t="n">
        <f aca="false">Assumptions!D13</f>
        <v>3.5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402067</v>
      </c>
      <c r="C6" s="0" t="n">
        <f aca="false">B6*(1+C5/100)</f>
        <v>424180.685</v>
      </c>
      <c r="D6" s="0" t="n">
        <f aca="false">C6*(1+D5/100)</f>
        <v>439027.008975</v>
      </c>
      <c r="E6" s="0" t="n">
        <f aca="false">D6*(1+E5/100)</f>
        <v>452197.81924425</v>
      </c>
      <c r="F6" s="0" t="n">
        <f aca="false">E6*(1+F5/100)</f>
        <v>465763.753821577</v>
      </c>
      <c r="G6" s="0" t="n">
        <f aca="false">F6*(1+G5/100)</f>
        <v>477407.847667117</v>
      </c>
      <c r="H6" s="0" t="n">
        <f aca="false">G6*(1+H5/100)</f>
        <v>489343.043858795</v>
      </c>
      <c r="I6" s="0" t="n">
        <f aca="false">H6*(1+I5/100)</f>
        <v>501576.619955265</v>
      </c>
      <c r="J6" s="0" t="n">
        <f aca="false">I6*(1+J5/100)</f>
        <v>511608.15235437</v>
      </c>
      <c r="K6" s="0" t="n">
        <f aca="false">J6*(1+K5/100)</f>
        <v>521840.315401457</v>
      </c>
      <c r="L6" s="0" t="n">
        <f aca="false">K6*(1+L5/100)</f>
        <v>532277.121709486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4.4</v>
      </c>
      <c r="D7" s="4" t="n">
        <f aca="false">Assumptions!D14</f>
        <v>4.3</v>
      </c>
      <c r="E7" s="4" t="n">
        <f aca="false">Assumptions!E14</f>
        <v>4.2</v>
      </c>
      <c r="F7" s="4" t="n">
        <f aca="false">Assumptions!F14</f>
        <v>4.1</v>
      </c>
      <c r="G7" s="4" t="n">
        <f aca="false">Assumptions!G14</f>
        <v>4</v>
      </c>
      <c r="H7" s="4" t="n">
        <f aca="false">Assumptions!H14</f>
        <v>3.9</v>
      </c>
      <c r="I7" s="4" t="n">
        <f aca="false">Assumptions!I14</f>
        <v>3.9</v>
      </c>
      <c r="J7" s="4" t="n">
        <f aca="false">Assumptions!J14</f>
        <v>3.9</v>
      </c>
      <c r="K7" s="4" t="n">
        <f aca="false">Assumptions!K14</f>
        <v>3.9</v>
      </c>
      <c r="L7" s="4" t="n">
        <f aca="false">Assumptions!L14</f>
        <v>3.9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18663.95014</v>
      </c>
      <c r="D8" s="0" t="n">
        <f aca="false">D6*D7/100</f>
        <v>18878.161385925</v>
      </c>
      <c r="E8" s="0" t="n">
        <f aca="false">E6*E7/100</f>
        <v>18992.3084082585</v>
      </c>
      <c r="F8" s="0" t="n">
        <f aca="false">F6*F7/100</f>
        <v>19096.3139066847</v>
      </c>
      <c r="G8" s="0" t="n">
        <f aca="false">G6*G7/100</f>
        <v>19096.3139066847</v>
      </c>
      <c r="H8" s="0" t="n">
        <f aca="false">H6*H7/100</f>
        <v>19084.378710493</v>
      </c>
      <c r="I8" s="0" t="n">
        <f aca="false">I6*I7/100</f>
        <v>19561.4881782553</v>
      </c>
      <c r="J8" s="0" t="n">
        <f aca="false">J6*J7/100</f>
        <v>19952.7179418204</v>
      </c>
      <c r="K8" s="0" t="n">
        <f aca="false">K6*K7/100</f>
        <v>20351.7723006568</v>
      </c>
      <c r="L8" s="0" t="n">
        <f aca="false">L6*L7/100</f>
        <v>20758.80774667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0.2</v>
      </c>
      <c r="D9" s="4" t="n">
        <f aca="false">Assumptions!D15</f>
        <v>0.2</v>
      </c>
      <c r="E9" s="4" t="n">
        <f aca="false">Assumptions!E15</f>
        <v>0.2</v>
      </c>
      <c r="F9" s="4" t="n">
        <f aca="false">Assumptions!F15</f>
        <v>0.2</v>
      </c>
      <c r="G9" s="4" t="n">
        <f aca="false">Assumptions!G15</f>
        <v>0.2</v>
      </c>
      <c r="H9" s="4" t="n">
        <f aca="false">Assumptions!H15</f>
        <v>0.2</v>
      </c>
      <c r="I9" s="4" t="n">
        <f aca="false">Assumptions!I15</f>
        <v>0.2</v>
      </c>
      <c r="J9" s="4" t="n">
        <f aca="false">Assumptions!J15</f>
        <v>0.2</v>
      </c>
      <c r="K9" s="4" t="n">
        <f aca="false">Assumptions!K15</f>
        <v>0.2</v>
      </c>
      <c r="L9" s="4" t="n">
        <f aca="false">Assumptions!L15</f>
        <v>0.2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-848.36137</v>
      </c>
      <c r="D10" s="0" t="n">
        <f aca="false">-D6*D9/100</f>
        <v>-878.05401795</v>
      </c>
      <c r="E10" s="0" t="n">
        <f aca="false">-E6*E9/100</f>
        <v>-904.3956384885</v>
      </c>
      <c r="F10" s="0" t="n">
        <f aca="false">-F6*F9/100</f>
        <v>-931.527507643155</v>
      </c>
      <c r="G10" s="0" t="n">
        <f aca="false">-G6*G9/100</f>
        <v>-954.815695334234</v>
      </c>
      <c r="H10" s="0" t="n">
        <f aca="false">-H6*H9/100</f>
        <v>-978.68608771759</v>
      </c>
      <c r="I10" s="0" t="n">
        <f aca="false">-I6*I9/100</f>
        <v>-1003.15323991053</v>
      </c>
      <c r="J10" s="0" t="n">
        <f aca="false">-J6*J9/100</f>
        <v>-1023.21630470874</v>
      </c>
      <c r="K10" s="0" t="n">
        <f aca="false">-K6*K9/100</f>
        <v>-1043.68063080291</v>
      </c>
      <c r="L10" s="0" t="n">
        <f aca="false">-L6*L9/100</f>
        <v>-1064.55424341897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17815.58877</v>
      </c>
      <c r="D11" s="0" t="n">
        <f aca="false">D8+D10+D24</f>
        <v>18000.107367975</v>
      </c>
      <c r="E11" s="0" t="n">
        <f aca="false">E8+E10+E24</f>
        <v>18087.91276977</v>
      </c>
      <c r="F11" s="0" t="n">
        <f aca="false">F8+F10+F24</f>
        <v>18164.7863990415</v>
      </c>
      <c r="G11" s="0" t="n">
        <f aca="false">G8+G10+G24</f>
        <v>18141.4982113504</v>
      </c>
      <c r="H11" s="0" t="n">
        <f aca="false">H8+H10+H24</f>
        <v>18105.6926227754</v>
      </c>
      <c r="I11" s="0" t="n">
        <f aca="false">I8+I10+I24</f>
        <v>18558.3349383448</v>
      </c>
      <c r="J11" s="0" t="n">
        <f aca="false">J8+J10+J24</f>
        <v>18929.5016371117</v>
      </c>
      <c r="K11" s="0" t="n">
        <f aca="false">K8+K10+K24</f>
        <v>19308.0916698539</v>
      </c>
      <c r="L11" s="0" t="n">
        <f aca="false">L8+L10+L24</f>
        <v>19694.253503251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-4665.987535</v>
      </c>
      <c r="D12" s="4" t="n">
        <f aca="false">-D6*Assumptions!D17/100</f>
        <v>-4741.49169693</v>
      </c>
      <c r="E12" s="4" t="n">
        <f aca="false">-E6*Assumptions!E17/100</f>
        <v>-4793.29688398905</v>
      </c>
      <c r="F12" s="4" t="n">
        <f aca="false">-F6*Assumptions!F17/100</f>
        <v>-4843.94303974441</v>
      </c>
      <c r="G12" s="4" t="n">
        <f aca="false">-G6*Assumptions!G17/100</f>
        <v>-4869.56004620459</v>
      </c>
      <c r="H12" s="4" t="n">
        <f aca="false">-H6*Assumptions!H17/100</f>
        <v>-4893.43043858795</v>
      </c>
      <c r="I12" s="4" t="n">
        <f aca="false">-I6*Assumptions!I17/100</f>
        <v>-4915.45087556159</v>
      </c>
      <c r="J12" s="4" t="n">
        <f aca="false">-J6*Assumptions!J17/100</f>
        <v>-4911.43826260195</v>
      </c>
      <c r="K12" s="4" t="n">
        <f aca="false">-K6*Assumptions!K17/100</f>
        <v>-4905.2989647737</v>
      </c>
      <c r="L12" s="4" t="n">
        <f aca="false">-L6*Assumptions!L17/100</f>
        <v>-4896.94951972727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13149.601235</v>
      </c>
      <c r="D13" s="0" t="n">
        <f aca="false">D11+D12</f>
        <v>13258.615671045</v>
      </c>
      <c r="E13" s="0" t="n">
        <f aca="false">E11+E12</f>
        <v>13294.615885781</v>
      </c>
      <c r="F13" s="0" t="n">
        <f aca="false">F11+F12</f>
        <v>13320.8433592971</v>
      </c>
      <c r="G13" s="0" t="n">
        <f aca="false">G11+G12</f>
        <v>13271.9381651459</v>
      </c>
      <c r="H13" s="0" t="n">
        <f aca="false">H11+H12</f>
        <v>13212.2621841875</v>
      </c>
      <c r="I13" s="0" t="n">
        <f aca="false">I11+I12</f>
        <v>13642.8840627832</v>
      </c>
      <c r="J13" s="0" t="n">
        <f aca="false">J11+J12</f>
        <v>14018.0633745097</v>
      </c>
      <c r="K13" s="0" t="n">
        <f aca="false">K11+K12</f>
        <v>14402.7927050802</v>
      </c>
      <c r="L13" s="0" t="n">
        <f aca="false">L11+L12</f>
        <v>14797.3039835237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26</v>
      </c>
      <c r="D14" s="4" t="n">
        <f aca="false">Assumptions!D19</f>
        <v>26</v>
      </c>
      <c r="E14" s="4" t="n">
        <f aca="false">Assumptions!E19</f>
        <v>26</v>
      </c>
      <c r="F14" s="4" t="n">
        <f aca="false">Assumptions!F19</f>
        <v>26</v>
      </c>
      <c r="G14" s="4" t="n">
        <f aca="false">Assumptions!G19</f>
        <v>26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9730.7049139</v>
      </c>
      <c r="D15" s="0" t="n">
        <f aca="false">D13-MAX(0,D13)*D14/100</f>
        <v>9811.3755965733</v>
      </c>
      <c r="E15" s="0" t="n">
        <f aca="false">E13-MAX(0,E13)*E14/100</f>
        <v>9838.0157554779</v>
      </c>
      <c r="F15" s="0" t="n">
        <f aca="false">F13-MAX(0,F13)*F14/100</f>
        <v>9857.42408587987</v>
      </c>
      <c r="G15" s="0" t="n">
        <f aca="false">G13-MAX(0,G13)*G14/100</f>
        <v>9821.23424220793</v>
      </c>
      <c r="H15" s="0" t="n">
        <f aca="false">H13-MAX(0,H13)*H14/100</f>
        <v>9777.07401629872</v>
      </c>
      <c r="I15" s="0" t="n">
        <f aca="false">I13-MAX(0,I13)*I14/100</f>
        <v>10095.7342064596</v>
      </c>
      <c r="J15" s="0" t="n">
        <f aca="false">J13-MAX(0,J13)*J14/100</f>
        <v>10373.3668971372</v>
      </c>
      <c r="K15" s="0" t="n">
        <f aca="false">K13-MAX(0,K13)*K14/100</f>
        <v>10658.0666017594</v>
      </c>
      <c r="L15" s="0" t="n">
        <f aca="false">L13-MAX(0,L13)*L14/100</f>
        <v>10950.0049478076</v>
      </c>
    </row>
    <row r="16" customFormat="false" ht="15" hidden="false" customHeight="false" outlineLevel="0" collapsed="false">
      <c r="A16" s="0" t="s">
        <v>128</v>
      </c>
      <c r="C16" s="0" t="n">
        <f aca="false">-C12</f>
        <v>4665.987535</v>
      </c>
      <c r="D16" s="0" t="n">
        <f aca="false">-D12</f>
        <v>4741.49169693</v>
      </c>
      <c r="E16" s="0" t="n">
        <f aca="false">-E12</f>
        <v>4793.29688398905</v>
      </c>
      <c r="F16" s="0" t="n">
        <f aca="false">-F12</f>
        <v>4843.94303974441</v>
      </c>
      <c r="G16" s="0" t="n">
        <f aca="false">-G12</f>
        <v>4869.56004620459</v>
      </c>
      <c r="H16" s="0" t="n">
        <f aca="false">-H12</f>
        <v>4893.43043858795</v>
      </c>
      <c r="I16" s="0" t="n">
        <f aca="false">-I12</f>
        <v>4915.45087556159</v>
      </c>
      <c r="J16" s="0" t="n">
        <f aca="false">-J12</f>
        <v>4911.43826260195</v>
      </c>
      <c r="K16" s="0" t="n">
        <f aca="false">-K12</f>
        <v>4905.2989647737</v>
      </c>
      <c r="L16" s="0" t="n">
        <f aca="false">-L12</f>
        <v>4896.94951972727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-2969.264795</v>
      </c>
      <c r="D17" s="4" t="n">
        <f aca="false">-D6*Assumptions!D18/100</f>
        <v>-3073.189062825</v>
      </c>
      <c r="E17" s="4" t="n">
        <f aca="false">-E6*Assumptions!E18/100</f>
        <v>-3165.38473470975</v>
      </c>
      <c r="F17" s="4" t="n">
        <f aca="false">-F6*Assumptions!F18/100</f>
        <v>-3260.34627675104</v>
      </c>
      <c r="G17" s="4" t="n">
        <f aca="false">-G6*Assumptions!G18/100</f>
        <v>-3341.85493366982</v>
      </c>
      <c r="H17" s="4" t="n">
        <f aca="false">-H6*Assumptions!H18/100</f>
        <v>-3425.40130701156</v>
      </c>
      <c r="I17" s="4" t="n">
        <f aca="false">-I6*Assumptions!I18/100</f>
        <v>-3511.03633968685</v>
      </c>
      <c r="J17" s="4" t="n">
        <f aca="false">-J6*Assumptions!J18/100</f>
        <v>-3581.25706648059</v>
      </c>
      <c r="K17" s="4" t="n">
        <f aca="false">-K6*Assumptions!K18/100</f>
        <v>-3652.8822078102</v>
      </c>
      <c r="L17" s="4" t="n">
        <f aca="false">-L6*Assumptions!L18/100</f>
        <v>-3725.9398519664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221.13685</v>
      </c>
      <c r="D18" s="4" t="n">
        <f aca="false">(D6-C6)*Assumptions!$B$23/100</f>
        <v>148.463239749999</v>
      </c>
      <c r="E18" s="4" t="n">
        <f aca="false">(E6-D6)*Assumptions!$B$23/100</f>
        <v>131.7081026925</v>
      </c>
      <c r="F18" s="4" t="n">
        <f aca="false">(F6-E6)*Assumptions!$B$23/100</f>
        <v>135.659345773275</v>
      </c>
      <c r="G18" s="4" t="n">
        <f aca="false">(G6-F6)*Assumptions!$B$23/100</f>
        <v>116.440938455394</v>
      </c>
      <c r="H18" s="4" t="n">
        <f aca="false">(H6-G6)*Assumptions!$B$23/100</f>
        <v>119.351961916779</v>
      </c>
      <c r="I18" s="4" t="n">
        <f aca="false">(I6-H6)*Assumptions!$B$23/100</f>
        <v>122.335760964698</v>
      </c>
      <c r="J18" s="4" t="n">
        <f aca="false">(J6-I6)*Assumptions!$B$23/100</f>
        <v>100.315323991053</v>
      </c>
      <c r="K18" s="4" t="n">
        <f aca="false">(K6-J6)*Assumptions!$B$23/100</f>
        <v>102.321630470874</v>
      </c>
      <c r="L18" s="4" t="n">
        <f aca="false">(L6-K6)*Assumptions!$B$23/100</f>
        <v>104.368063080291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11648.5645039</v>
      </c>
      <c r="D19" s="0" t="n">
        <f aca="false">D15+D16+D17+D18</f>
        <v>11628.1414704283</v>
      </c>
      <c r="E19" s="0" t="n">
        <f aca="false">E15+E16+E17+E18</f>
        <v>11597.6360074497</v>
      </c>
      <c r="F19" s="0" t="n">
        <f aca="false">F15+F16+F17+F18</f>
        <v>11576.6801946465</v>
      </c>
      <c r="G19" s="0" t="n">
        <f aca="false">G15+G16+G17+G18</f>
        <v>11465.3802931981</v>
      </c>
      <c r="H19" s="0" t="n">
        <f aca="false">H15+H16+H17+H18</f>
        <v>11364.4551097919</v>
      </c>
      <c r="I19" s="0" t="n">
        <f aca="false">I15+I16+I17+I18</f>
        <v>11622.484503299</v>
      </c>
      <c r="J19" s="0" t="n">
        <f aca="false">J15+J16+J17+J18</f>
        <v>11803.8634172496</v>
      </c>
      <c r="K19" s="0" t="n">
        <f aca="false">K15+K16+K17+K18</f>
        <v>12012.8049891937</v>
      </c>
      <c r="L19" s="0" t="n">
        <f aca="false">L15+L16+L17+L18</f>
        <v>12225.3826786487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0.932400932400932</v>
      </c>
      <c r="D20" s="0" t="n">
        <f aca="false">1/(1+$B$27/100)^D4</f>
        <v>0.869371498742128</v>
      </c>
      <c r="E20" s="0" t="n">
        <f aca="false">1/(1+$B$27/100)^E4</f>
        <v>0.810602796029956</v>
      </c>
      <c r="F20" s="0" t="n">
        <f aca="false">1/(1+$B$27/100)^F4</f>
        <v>0.755806802825134</v>
      </c>
      <c r="G20" s="0" t="n">
        <f aca="false">1/(1+$B$27/100)^G4</f>
        <v>0.704714967669123</v>
      </c>
      <c r="H20" s="0" t="n">
        <f aca="false">1/(1+$B$27/100)^H4</f>
        <v>0.657076892931583</v>
      </c>
      <c r="I20" s="0" t="n">
        <f aca="false">1/(1+$B$27/100)^I4</f>
        <v>0.612659107628516</v>
      </c>
      <c r="J20" s="0" t="n">
        <f aca="false">1/(1+$B$27/100)^J4</f>
        <v>0.571243923196751</v>
      </c>
      <c r="K20" s="0" t="n">
        <f aca="false">1/(1+$B$27/100)^K4</f>
        <v>0.532628366617017</v>
      </c>
      <c r="L20" s="0" t="n">
        <f aca="false">1/(1+$B$27/100)^L4</f>
        <v>0.496623185656893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10861.1324045688</v>
      </c>
      <c r="D21" s="0" t="n">
        <f aca="false">D19*D20</f>
        <v>10109.1747777317</v>
      </c>
      <c r="E21" s="0" t="n">
        <f aca="false">E19*E20</f>
        <v>9401.07617497643</v>
      </c>
      <c r="F21" s="0" t="n">
        <f aca="false">F19*F20</f>
        <v>8749.73364524482</v>
      </c>
      <c r="G21" s="0" t="n">
        <f aca="false">G19*G20</f>
        <v>8079.82510263529</v>
      </c>
      <c r="H21" s="0" t="n">
        <f aca="false">H19*H20</f>
        <v>7467.3208534025</v>
      </c>
      <c r="I21" s="0" t="n">
        <f aca="false">I19*I20</f>
        <v>7120.62098421742</v>
      </c>
      <c r="J21" s="0" t="n">
        <f aca="false">J19*J20</f>
        <v>6742.88524734828</v>
      </c>
      <c r="K21" s="0" t="n">
        <f aca="false">K19*K20</f>
        <v>6398.36069988301</v>
      </c>
      <c r="L21" s="0" t="n">
        <f aca="false">L19*L20</f>
        <v>6071.40849174512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7.25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81001.5383817534</v>
      </c>
    </row>
    <row r="31" customFormat="false" ht="15" hidden="false" customHeight="false" outlineLevel="0" collapsed="false">
      <c r="A31" s="0" t="s">
        <v>137</v>
      </c>
      <c r="B31" s="0" t="n">
        <f aca="false">L19</f>
        <v>12225.3826786487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237521.720613746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134479.209465136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134479.209465136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66785.4934091963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147787.03179095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94206.0317909497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73.0279316208912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-0.180658233805775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6591.14675035907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10271.5422107566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86.0997835287328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95922.2333247822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22.1504730840883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6</v>
      </c>
      <c r="D5" s="4" t="n">
        <f aca="false">Assumptions!D27</f>
        <v>5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402067</v>
      </c>
      <c r="C6" s="0" t="n">
        <f aca="false">B6*(1+C5/100)</f>
        <v>426191.02</v>
      </c>
      <c r="D6" s="0" t="n">
        <f aca="false">C6*(1+D5/100)</f>
        <v>447500.571</v>
      </c>
      <c r="E6" s="0" t="n">
        <f aca="false">D6*(1+E5/100)</f>
        <v>467638.096695</v>
      </c>
      <c r="F6" s="0" t="n">
        <f aca="false">E6*(1+F5/100)</f>
        <v>486343.6205628</v>
      </c>
      <c r="G6" s="0" t="n">
        <f aca="false">F6*(1+G5/100)</f>
        <v>505797.365385312</v>
      </c>
      <c r="H6" s="0" t="n">
        <f aca="false">G6*(1+H5/100)</f>
        <v>523500.273173798</v>
      </c>
      <c r="I6" s="0" t="n">
        <f aca="false">H6*(1+I5/100)</f>
        <v>541822.782734881</v>
      </c>
      <c r="J6" s="0" t="n">
        <f aca="false">I6*(1+J5/100)</f>
        <v>558077.466216927</v>
      </c>
      <c r="K6" s="0" t="n">
        <f aca="false">J6*(1+K5/100)</f>
        <v>574819.790203435</v>
      </c>
      <c r="L6" s="0" t="n">
        <f aca="false">K6*(1+L5/100)</f>
        <v>592064.383909538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4.55</v>
      </c>
      <c r="D7" s="4" t="n">
        <f aca="false">Assumptions!D28</f>
        <v>4.75</v>
      </c>
      <c r="E7" s="4" t="n">
        <f aca="false">Assumptions!E28</f>
        <v>4.9</v>
      </c>
      <c r="F7" s="4" t="n">
        <f aca="false">Assumptions!F28</f>
        <v>5</v>
      </c>
      <c r="G7" s="4" t="n">
        <f aca="false">Assumptions!G28</f>
        <v>5</v>
      </c>
      <c r="H7" s="4" t="n">
        <f aca="false">Assumptions!H28</f>
        <v>5</v>
      </c>
      <c r="I7" s="4" t="n">
        <f aca="false">Assumptions!I28</f>
        <v>5</v>
      </c>
      <c r="J7" s="4" t="n">
        <f aca="false">Assumptions!J28</f>
        <v>5</v>
      </c>
      <c r="K7" s="4" t="n">
        <f aca="false">Assumptions!K28</f>
        <v>5</v>
      </c>
      <c r="L7" s="4" t="n">
        <f aca="false">Assumptions!L28</f>
        <v>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19391.69141</v>
      </c>
      <c r="D8" s="0" t="n">
        <f aca="false">D6*D7/100</f>
        <v>21256.2771225</v>
      </c>
      <c r="E8" s="0" t="n">
        <f aca="false">E6*E7/100</f>
        <v>22914.266738055</v>
      </c>
      <c r="F8" s="0" t="n">
        <f aca="false">F6*F7/100</f>
        <v>24317.18102814</v>
      </c>
      <c r="G8" s="0" t="n">
        <f aca="false">G6*G7/100</f>
        <v>25289.8682692656</v>
      </c>
      <c r="H8" s="0" t="n">
        <f aca="false">H6*H7/100</f>
        <v>26175.0136586899</v>
      </c>
      <c r="I8" s="0" t="n">
        <f aca="false">I6*I7/100</f>
        <v>27091.139136744</v>
      </c>
      <c r="J8" s="0" t="n">
        <f aca="false">J6*J7/100</f>
        <v>27903.8733108464</v>
      </c>
      <c r="K8" s="0" t="n">
        <f aca="false">K6*K7/100</f>
        <v>28740.9895101718</v>
      </c>
      <c r="L8" s="0" t="n">
        <f aca="false">L6*L7/100</f>
        <v>29603.2191954769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0.2</v>
      </c>
      <c r="D9" s="4" t="n">
        <f aca="false">Assumptions!D29</f>
        <v>0.2</v>
      </c>
      <c r="E9" s="4" t="n">
        <f aca="false">Assumptions!E29</f>
        <v>0.2</v>
      </c>
      <c r="F9" s="4" t="n">
        <f aca="false">Assumptions!F29</f>
        <v>0.19</v>
      </c>
      <c r="G9" s="4" t="n">
        <f aca="false">Assumptions!G29</f>
        <v>0.19</v>
      </c>
      <c r="H9" s="4" t="n">
        <f aca="false">Assumptions!H29</f>
        <v>0.18</v>
      </c>
      <c r="I9" s="4" t="n">
        <f aca="false">Assumptions!I29</f>
        <v>0.18</v>
      </c>
      <c r="J9" s="4" t="n">
        <f aca="false">Assumptions!J29</f>
        <v>0.18</v>
      </c>
      <c r="K9" s="4" t="n">
        <f aca="false">Assumptions!K29</f>
        <v>0.18</v>
      </c>
      <c r="L9" s="4" t="n">
        <f aca="false">Assumptions!L29</f>
        <v>0.18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-852.38204</v>
      </c>
      <c r="D10" s="0" t="n">
        <f aca="false">-D6*D9/100</f>
        <v>-895.001142</v>
      </c>
      <c r="E10" s="0" t="n">
        <f aca="false">-E6*E9/100</f>
        <v>-935.27619339</v>
      </c>
      <c r="F10" s="0" t="n">
        <f aca="false">-F6*F9/100</f>
        <v>-924.05287906932</v>
      </c>
      <c r="G10" s="0" t="n">
        <f aca="false">-G6*G9/100</f>
        <v>-961.014994232093</v>
      </c>
      <c r="H10" s="0" t="n">
        <f aca="false">-H6*H9/100</f>
        <v>-942.300491712836</v>
      </c>
      <c r="I10" s="0" t="n">
        <f aca="false">-I6*I9/100</f>
        <v>-975.281008922785</v>
      </c>
      <c r="J10" s="0" t="n">
        <f aca="false">-J6*J9/100</f>
        <v>-1004.53943919047</v>
      </c>
      <c r="K10" s="0" t="n">
        <f aca="false">-K6*K9/100</f>
        <v>-1034.67562236618</v>
      </c>
      <c r="L10" s="0" t="n">
        <f aca="false">-L6*L9/100</f>
        <v>-1065.71589103717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18539.30937</v>
      </c>
      <c r="D11" s="0" t="n">
        <f aca="false">D8+D10+D24</f>
        <v>20361.2759805</v>
      </c>
      <c r="E11" s="0" t="n">
        <f aca="false">E8+E10+E24</f>
        <v>21978.990544665</v>
      </c>
      <c r="F11" s="0" t="n">
        <f aca="false">F8+F10+F24</f>
        <v>23393.1281490707</v>
      </c>
      <c r="G11" s="0" t="n">
        <f aca="false">G8+G10+G24</f>
        <v>24328.8532750335</v>
      </c>
      <c r="H11" s="0" t="n">
        <f aca="false">H8+H10+H24</f>
        <v>25232.7131669771</v>
      </c>
      <c r="I11" s="0" t="n">
        <f aca="false">I8+I10+I24</f>
        <v>26115.8581278213</v>
      </c>
      <c r="J11" s="0" t="n">
        <f aca="false">J8+J10+J24</f>
        <v>26899.3338716559</v>
      </c>
      <c r="K11" s="0" t="n">
        <f aca="false">K8+K10+K24</f>
        <v>27706.3138878056</v>
      </c>
      <c r="L11" s="0" t="n">
        <f aca="false">L8+L10+L24</f>
        <v>28537.5033044397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-4688.10122</v>
      </c>
      <c r="D12" s="4" t="n">
        <f aca="false">-D6*Assumptions!D31/100</f>
        <v>-4788.2561097</v>
      </c>
      <c r="E12" s="4" t="n">
        <f aca="false">-E6*Assumptions!E31/100</f>
        <v>-4863.436205628</v>
      </c>
      <c r="F12" s="4" t="n">
        <f aca="false">-F6*Assumptions!F31/100</f>
        <v>-4912.07056768428</v>
      </c>
      <c r="G12" s="4" t="n">
        <f aca="false">-G6*Assumptions!G31/100</f>
        <v>-4956.81418077606</v>
      </c>
      <c r="H12" s="4" t="n">
        <f aca="false">-H6*Assumptions!H31/100</f>
        <v>-4973.25259515108</v>
      </c>
      <c r="I12" s="4" t="n">
        <f aca="false">-I6*Assumptions!I31/100</f>
        <v>-4984.7696011609</v>
      </c>
      <c r="J12" s="4" t="n">
        <f aca="false">-J6*Assumptions!J31/100</f>
        <v>-5022.69719595235</v>
      </c>
      <c r="K12" s="4" t="n">
        <f aca="false">-K6*Assumptions!K31/100</f>
        <v>-5058.41415379023</v>
      </c>
      <c r="L12" s="4" t="n">
        <f aca="false">-L6*Assumptions!L31/100</f>
        <v>-5032.54726323107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13851.20815</v>
      </c>
      <c r="D13" s="0" t="n">
        <f aca="false">D11+D12</f>
        <v>15573.0198708</v>
      </c>
      <c r="E13" s="0" t="n">
        <f aca="false">E11+E12</f>
        <v>17115.554339037</v>
      </c>
      <c r="F13" s="0" t="n">
        <f aca="false">F11+F12</f>
        <v>18481.0575813864</v>
      </c>
      <c r="G13" s="0" t="n">
        <f aca="false">G11+G12</f>
        <v>19372.0390942575</v>
      </c>
      <c r="H13" s="0" t="n">
        <f aca="false">H11+H12</f>
        <v>20259.460571826</v>
      </c>
      <c r="I13" s="0" t="n">
        <f aca="false">I11+I12</f>
        <v>21131.0885266603</v>
      </c>
      <c r="J13" s="0" t="n">
        <f aca="false">J11+J12</f>
        <v>21876.6366757036</v>
      </c>
      <c r="K13" s="0" t="n">
        <f aca="false">K11+K12</f>
        <v>22647.8997340153</v>
      </c>
      <c r="L13" s="0" t="n">
        <f aca="false">L11+L12</f>
        <v>23504.9560412087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26</v>
      </c>
      <c r="D14" s="4" t="n">
        <f aca="false">Assumptions!D33</f>
        <v>26</v>
      </c>
      <c r="E14" s="4" t="n">
        <f aca="false">Assumptions!E33</f>
        <v>26</v>
      </c>
      <c r="F14" s="4" t="n">
        <f aca="false">Assumptions!F33</f>
        <v>26</v>
      </c>
      <c r="G14" s="4" t="n">
        <f aca="false">Assumptions!G33</f>
        <v>26</v>
      </c>
      <c r="H14" s="4" t="n">
        <f aca="false">Assumptions!H33</f>
        <v>26</v>
      </c>
      <c r="I14" s="4" t="n">
        <f aca="false">Assumptions!I33</f>
        <v>26</v>
      </c>
      <c r="J14" s="4" t="n">
        <f aca="false">Assumptions!J33</f>
        <v>26</v>
      </c>
      <c r="K14" s="4" t="n">
        <f aca="false">Assumptions!K33</f>
        <v>26</v>
      </c>
      <c r="L14" s="4" t="n">
        <f aca="false">Assumptions!L33</f>
        <v>26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10249.894031</v>
      </c>
      <c r="D15" s="0" t="n">
        <f aca="false">D13-MAX(0,D13)*D14/100</f>
        <v>11524.034704392</v>
      </c>
      <c r="E15" s="0" t="n">
        <f aca="false">E13-MAX(0,E13)*E14/100</f>
        <v>12665.5102108874</v>
      </c>
      <c r="F15" s="0" t="n">
        <f aca="false">F13-MAX(0,F13)*F14/100</f>
        <v>13675.9826102259</v>
      </c>
      <c r="G15" s="0" t="n">
        <f aca="false">G13-MAX(0,G13)*G14/100</f>
        <v>14335.3089297505</v>
      </c>
      <c r="H15" s="0" t="n">
        <f aca="false">H13-MAX(0,H13)*H14/100</f>
        <v>14992.0008231512</v>
      </c>
      <c r="I15" s="0" t="n">
        <f aca="false">I13-MAX(0,I13)*I14/100</f>
        <v>15637.0055097287</v>
      </c>
      <c r="J15" s="0" t="n">
        <f aca="false">J13-MAX(0,J13)*J14/100</f>
        <v>16188.7111400206</v>
      </c>
      <c r="K15" s="0" t="n">
        <f aca="false">K13-MAX(0,K13)*K14/100</f>
        <v>16759.4458031714</v>
      </c>
      <c r="L15" s="0" t="n">
        <f aca="false">L13-MAX(0,L13)*L14/100</f>
        <v>17393.6674704944</v>
      </c>
    </row>
    <row r="16" customFormat="false" ht="15" hidden="false" customHeight="false" outlineLevel="0" collapsed="false">
      <c r="A16" s="0" t="s">
        <v>128</v>
      </c>
      <c r="C16" s="0" t="n">
        <f aca="false">-C12</f>
        <v>4688.10122</v>
      </c>
      <c r="D16" s="0" t="n">
        <f aca="false">-D12</f>
        <v>4788.2561097</v>
      </c>
      <c r="E16" s="0" t="n">
        <f aca="false">-E12</f>
        <v>4863.436205628</v>
      </c>
      <c r="F16" s="0" t="n">
        <f aca="false">-F12</f>
        <v>4912.07056768428</v>
      </c>
      <c r="G16" s="0" t="n">
        <f aca="false">-G12</f>
        <v>4956.81418077606</v>
      </c>
      <c r="H16" s="0" t="n">
        <f aca="false">-H12</f>
        <v>4973.25259515108</v>
      </c>
      <c r="I16" s="0" t="n">
        <f aca="false">-I12</f>
        <v>4984.7696011609</v>
      </c>
      <c r="J16" s="0" t="n">
        <f aca="false">-J12</f>
        <v>5022.69719595235</v>
      </c>
      <c r="K16" s="0" t="n">
        <f aca="false">-K12</f>
        <v>5058.41415379023</v>
      </c>
      <c r="L16" s="0" t="n">
        <f aca="false">-L12</f>
        <v>5032.54726323107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-2983.33714</v>
      </c>
      <c r="D17" s="4" t="n">
        <f aca="false">-D6*Assumptions!D32/100</f>
        <v>-3132.503997</v>
      </c>
      <c r="E17" s="4" t="n">
        <f aca="false">-E6*Assumptions!E32/100</f>
        <v>-3273.466676865</v>
      </c>
      <c r="F17" s="4" t="n">
        <f aca="false">-F6*Assumptions!F32/100</f>
        <v>-3404.4053439396</v>
      </c>
      <c r="G17" s="4" t="n">
        <f aca="false">-G6*Assumptions!G32/100</f>
        <v>-3540.58155769718</v>
      </c>
      <c r="H17" s="4" t="n">
        <f aca="false">-H6*Assumptions!H32/100</f>
        <v>-3664.50191221659</v>
      </c>
      <c r="I17" s="4" t="n">
        <f aca="false">-I6*Assumptions!I32/100</f>
        <v>-3792.75947914417</v>
      </c>
      <c r="J17" s="4" t="n">
        <f aca="false">-J6*Assumptions!J32/100</f>
        <v>-3906.54226351849</v>
      </c>
      <c r="K17" s="4" t="n">
        <f aca="false">-K6*Assumptions!K32/100</f>
        <v>-4023.73853142405</v>
      </c>
      <c r="L17" s="4" t="n">
        <f aca="false">-L6*Assumptions!L32/100</f>
        <v>-4144.45068736677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361.8603</v>
      </c>
      <c r="D18" s="4" t="n">
        <f aca="false">(D6-C6)*Assumptions!$B$37/100</f>
        <v>319.643265000001</v>
      </c>
      <c r="E18" s="4" t="n">
        <f aca="false">(E6-D6)*Assumptions!$B$37/100</f>
        <v>302.062885424999</v>
      </c>
      <c r="F18" s="4" t="n">
        <f aca="false">(F6-E6)*Assumptions!$B$37/100</f>
        <v>280.582858017</v>
      </c>
      <c r="G18" s="4" t="n">
        <f aca="false">(G6-F6)*Assumptions!$B$37/100</f>
        <v>291.806172337681</v>
      </c>
      <c r="H18" s="4" t="n">
        <f aca="false">(H6-G6)*Assumptions!$B$37/100</f>
        <v>265.543616827288</v>
      </c>
      <c r="I18" s="4" t="n">
        <f aca="false">(I6-H6)*Assumptions!$B$37/100</f>
        <v>274.837643416243</v>
      </c>
      <c r="J18" s="4" t="n">
        <f aca="false">(J6-I6)*Assumptions!$B$37/100</f>
        <v>243.820252230697</v>
      </c>
      <c r="K18" s="4" t="n">
        <f aca="false">(K6-J6)*Assumptions!$B$37/100</f>
        <v>251.134859797618</v>
      </c>
      <c r="L18" s="4" t="n">
        <f aca="false">(L6-K6)*Assumptions!$B$37/100</f>
        <v>258.668905591546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12316.518411</v>
      </c>
      <c r="D19" s="0" t="n">
        <f aca="false">D15+D16+D17+D18</f>
        <v>13499.430082092</v>
      </c>
      <c r="E19" s="0" t="n">
        <f aca="false">E15+E16+E17+E18</f>
        <v>14557.5426250754</v>
      </c>
      <c r="F19" s="0" t="n">
        <f aca="false">F15+F16+F17+F18</f>
        <v>15464.2306919876</v>
      </c>
      <c r="G19" s="0" t="n">
        <f aca="false">G15+G16+G17+G18</f>
        <v>16043.3477251671</v>
      </c>
      <c r="H19" s="0" t="n">
        <f aca="false">H15+H16+H17+H18</f>
        <v>16566.295122913</v>
      </c>
      <c r="I19" s="0" t="n">
        <f aca="false">I15+I16+I17+I18</f>
        <v>17103.8532751616</v>
      </c>
      <c r="J19" s="0" t="n">
        <f aca="false">J15+J16+J17+J18</f>
        <v>17548.6863246852</v>
      </c>
      <c r="K19" s="0" t="n">
        <f aca="false">K15+K16+K17+K18</f>
        <v>18045.2562853352</v>
      </c>
      <c r="L19" s="0" t="n">
        <f aca="false">L15+L16+L17+L18</f>
        <v>18540.4329519503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0.932400932400932</v>
      </c>
      <c r="D20" s="0" t="n">
        <f aca="false">1/(1+$B$27/100)^D4</f>
        <v>0.869371498742128</v>
      </c>
      <c r="E20" s="0" t="n">
        <f aca="false">1/(1+$B$27/100)^E4</f>
        <v>0.810602796029956</v>
      </c>
      <c r="F20" s="0" t="n">
        <f aca="false">1/(1+$B$27/100)^F4</f>
        <v>0.755806802825134</v>
      </c>
      <c r="G20" s="0" t="n">
        <f aca="false">1/(1+$B$27/100)^G4</f>
        <v>0.704714967669123</v>
      </c>
      <c r="H20" s="0" t="n">
        <f aca="false">1/(1+$B$27/100)^H4</f>
        <v>0.657076892931583</v>
      </c>
      <c r="I20" s="0" t="n">
        <f aca="false">1/(1+$B$27/100)^I4</f>
        <v>0.612659107628516</v>
      </c>
      <c r="J20" s="0" t="n">
        <f aca="false">1/(1+$B$27/100)^J4</f>
        <v>0.571243923196751</v>
      </c>
      <c r="K20" s="0" t="n">
        <f aca="false">1/(1+$B$27/100)^K4</f>
        <v>0.532628366617017</v>
      </c>
      <c r="L20" s="0" t="n">
        <f aca="false">1/(1+$B$27/100)^L4</f>
        <v>0.496623185656893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11483.9332503497</v>
      </c>
      <c r="D21" s="0" t="n">
        <f aca="false">D19*D20</f>
        <v>11736.0197626329</v>
      </c>
      <c r="E21" s="0" t="n">
        <f aca="false">E19*E20</f>
        <v>11800.3847552114</v>
      </c>
      <c r="F21" s="0" t="n">
        <f aca="false">F19*F20</f>
        <v>11687.9707574615</v>
      </c>
      <c r="G21" s="0" t="n">
        <f aca="false">G19*G20</f>
        <v>11305.9872734456</v>
      </c>
      <c r="H21" s="0" t="n">
        <f aca="false">H19*H20</f>
        <v>10885.3297267513</v>
      </c>
      <c r="I21" s="0" t="n">
        <f aca="false">I19*I20</f>
        <v>10478.8314845696</v>
      </c>
      <c r="J21" s="0" t="n">
        <f aca="false">J19*J20</f>
        <v>10024.5804230623</v>
      </c>
      <c r="K21" s="0" t="n">
        <f aca="false">K19*K20</f>
        <v>9611.41538044353</v>
      </c>
      <c r="L21" s="0" t="n">
        <f aca="false">L19*L20</f>
        <v>9207.60887605557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7.25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108222.061689983</v>
      </c>
    </row>
    <row r="31" customFormat="false" ht="15" hidden="false" customHeight="false" outlineLevel="0" collapsed="false">
      <c r="A31" s="0" t="s">
        <v>137</v>
      </c>
      <c r="B31" s="0" t="n">
        <f aca="false">L19</f>
        <v>18540.4329519503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400083.026857874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241025.628375354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241025.628375354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119698.915388722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227920.977078706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174339.977078706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135.14726905326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0.516293829835748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6577.50742293368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11420.8568701548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149.099489435499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152031.550205992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46.7810521728949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6.5</v>
      </c>
      <c r="D5" s="4" t="n">
        <f aca="false">Assumptions!D41</f>
        <v>6</v>
      </c>
      <c r="E5" s="4" t="n">
        <f aca="false">Assumptions!E41</f>
        <v>5.5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402067</v>
      </c>
      <c r="C6" s="0" t="n">
        <f aca="false">B6*(1+C5/100)</f>
        <v>428201.355</v>
      </c>
      <c r="D6" s="0" t="n">
        <f aca="false">C6*(1+D5/100)</f>
        <v>453893.4363</v>
      </c>
      <c r="E6" s="0" t="n">
        <f aca="false">D6*(1+E5/100)</f>
        <v>478857.5752965</v>
      </c>
      <c r="F6" s="0" t="n">
        <f aca="false">E6*(1+F5/100)</f>
        <v>502800.454061325</v>
      </c>
      <c r="G6" s="0" t="n">
        <f aca="false">F6*(1+G5/100)</f>
        <v>525426.474494085</v>
      </c>
      <c r="H6" s="0" t="n">
        <f aca="false">G6*(1+H5/100)</f>
        <v>546443.533473848</v>
      </c>
      <c r="I6" s="0" t="n">
        <f aca="false">H6*(1+I5/100)</f>
        <v>565569.057145433</v>
      </c>
      <c r="J6" s="0" t="n">
        <f aca="false">I6*(1+J5/100)</f>
        <v>585363.974145523</v>
      </c>
      <c r="K6" s="0" t="n">
        <f aca="false">J6*(1+K5/100)</f>
        <v>602924.893369889</v>
      </c>
      <c r="L6" s="0" t="n">
        <f aca="false">K6*(1+L5/100)</f>
        <v>621012.640170985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4.6</v>
      </c>
      <c r="D7" s="4" t="n">
        <f aca="false">Assumptions!D42</f>
        <v>5</v>
      </c>
      <c r="E7" s="4" t="n">
        <f aca="false">Assumptions!E42</f>
        <v>5.3</v>
      </c>
      <c r="F7" s="4" t="n">
        <f aca="false">Assumptions!F42</f>
        <v>5.5</v>
      </c>
      <c r="G7" s="4" t="n">
        <f aca="false">Assumptions!G42</f>
        <v>5.6</v>
      </c>
      <c r="H7" s="4" t="n">
        <f aca="false">Assumptions!H42</f>
        <v>5.6</v>
      </c>
      <c r="I7" s="4" t="n">
        <f aca="false">Assumptions!I42</f>
        <v>5.6</v>
      </c>
      <c r="J7" s="4" t="n">
        <f aca="false">Assumptions!J42</f>
        <v>5.6</v>
      </c>
      <c r="K7" s="4" t="n">
        <f aca="false">Assumptions!K42</f>
        <v>5.6</v>
      </c>
      <c r="L7" s="4" t="n">
        <f aca="false">Assumptions!L42</f>
        <v>5.6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19697.26233</v>
      </c>
      <c r="D8" s="0" t="n">
        <f aca="false">D6*D7/100</f>
        <v>22694.671815</v>
      </c>
      <c r="E8" s="0" t="n">
        <f aca="false">E6*E7/100</f>
        <v>25379.4514907145</v>
      </c>
      <c r="F8" s="0" t="n">
        <f aca="false">F6*F7/100</f>
        <v>27654.0249733729</v>
      </c>
      <c r="G8" s="0" t="n">
        <f aca="false">G6*G7/100</f>
        <v>29423.8825716687</v>
      </c>
      <c r="H8" s="0" t="n">
        <f aca="false">H6*H7/100</f>
        <v>30600.8378745355</v>
      </c>
      <c r="I8" s="0" t="n">
        <f aca="false">I6*I7/100</f>
        <v>31671.8672001442</v>
      </c>
      <c r="J8" s="0" t="n">
        <f aca="false">J6*J7/100</f>
        <v>32780.3825521493</v>
      </c>
      <c r="K8" s="0" t="n">
        <f aca="false">K6*K7/100</f>
        <v>33763.7940287138</v>
      </c>
      <c r="L8" s="0" t="n">
        <f aca="false">L6*L7/100</f>
        <v>34776.7078495752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0.2</v>
      </c>
      <c r="D9" s="4" t="n">
        <f aca="false">Assumptions!D43</f>
        <v>0.2</v>
      </c>
      <c r="E9" s="4" t="n">
        <f aca="false">Assumptions!E43</f>
        <v>0.2</v>
      </c>
      <c r="F9" s="4" t="n">
        <f aca="false">Assumptions!F43</f>
        <v>0.19</v>
      </c>
      <c r="G9" s="4" t="n">
        <f aca="false">Assumptions!G43</f>
        <v>0.19</v>
      </c>
      <c r="H9" s="4" t="n">
        <f aca="false">Assumptions!H43</f>
        <v>0.18</v>
      </c>
      <c r="I9" s="4" t="n">
        <f aca="false">Assumptions!I43</f>
        <v>0.18</v>
      </c>
      <c r="J9" s="4" t="n">
        <f aca="false">Assumptions!J43</f>
        <v>0.18</v>
      </c>
      <c r="K9" s="4" t="n">
        <f aca="false">Assumptions!K43</f>
        <v>0.18</v>
      </c>
      <c r="L9" s="4" t="n">
        <f aca="false">Assumptions!L43</f>
        <v>0.18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-856.40271</v>
      </c>
      <c r="D10" s="0" t="n">
        <f aca="false">-D6*D9/100</f>
        <v>-907.7868726</v>
      </c>
      <c r="E10" s="0" t="n">
        <f aca="false">-E6*E9/100</f>
        <v>-957.715150593</v>
      </c>
      <c r="F10" s="0" t="n">
        <f aca="false">-F6*F9/100</f>
        <v>-955.320862716518</v>
      </c>
      <c r="G10" s="0" t="n">
        <f aca="false">-G6*G9/100</f>
        <v>-998.310301538761</v>
      </c>
      <c r="H10" s="0" t="n">
        <f aca="false">-H6*H9/100</f>
        <v>-983.598360252926</v>
      </c>
      <c r="I10" s="0" t="n">
        <f aca="false">-I6*I9/100</f>
        <v>-1018.02430286178</v>
      </c>
      <c r="J10" s="0" t="n">
        <f aca="false">-J6*J9/100</f>
        <v>-1053.65515346194</v>
      </c>
      <c r="K10" s="0" t="n">
        <f aca="false">-K6*K9/100</f>
        <v>-1085.2648080658</v>
      </c>
      <c r="L10" s="0" t="n">
        <f aca="false">-L6*L9/100</f>
        <v>-1117.82275230777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18840.85962</v>
      </c>
      <c r="D11" s="0" t="n">
        <f aca="false">D8+D10+D24</f>
        <v>21786.8849424</v>
      </c>
      <c r="E11" s="0" t="n">
        <f aca="false">E8+E10+E24</f>
        <v>24421.7363401215</v>
      </c>
      <c r="F11" s="0" t="n">
        <f aca="false">F8+F10+F24</f>
        <v>26698.7041106564</v>
      </c>
      <c r="G11" s="0" t="n">
        <f aca="false">G8+G10+G24</f>
        <v>28425.57227013</v>
      </c>
      <c r="H11" s="0" t="n">
        <f aca="false">H8+H10+H24</f>
        <v>29617.2395142826</v>
      </c>
      <c r="I11" s="0" t="n">
        <f aca="false">I8+I10+I24</f>
        <v>30653.8428972824</v>
      </c>
      <c r="J11" s="0" t="n">
        <f aca="false">J8+J10+J24</f>
        <v>31726.7273986873</v>
      </c>
      <c r="K11" s="0" t="n">
        <f aca="false">K8+K10+K24</f>
        <v>32678.529220648</v>
      </c>
      <c r="L11" s="0" t="n">
        <f aca="false">L8+L10+L24</f>
        <v>33658.8850972674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-4710.214905</v>
      </c>
      <c r="D12" s="4" t="n">
        <f aca="false">-D6*Assumptions!D45/100</f>
        <v>-4856.65976841</v>
      </c>
      <c r="E12" s="4" t="n">
        <f aca="false">-E6*Assumptions!E45/100</f>
        <v>-4980.1187830836</v>
      </c>
      <c r="F12" s="4" t="n">
        <f aca="false">-F6*Assumptions!F45/100</f>
        <v>-5078.28458601938</v>
      </c>
      <c r="G12" s="4" t="n">
        <f aca="false">-G6*Assumptions!G45/100</f>
        <v>-5149.17945004203</v>
      </c>
      <c r="H12" s="4" t="n">
        <f aca="false">-H6*Assumptions!H45/100</f>
        <v>-5191.21356800156</v>
      </c>
      <c r="I12" s="4" t="n">
        <f aca="false">-I6*Assumptions!I45/100</f>
        <v>-5203.23532573798</v>
      </c>
      <c r="J12" s="4" t="n">
        <f aca="false">-J6*Assumptions!J45/100</f>
        <v>-5268.27576730971</v>
      </c>
      <c r="K12" s="4" t="n">
        <f aca="false">-K6*Assumptions!K45/100</f>
        <v>-5305.73906165502</v>
      </c>
      <c r="L12" s="4" t="n">
        <f aca="false">-L6*Assumptions!L45/100</f>
        <v>-5278.60744145338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14130.644715</v>
      </c>
      <c r="D13" s="0" t="n">
        <f aca="false">D11+D12</f>
        <v>16930.22517399</v>
      </c>
      <c r="E13" s="0" t="n">
        <f aca="false">E11+E12</f>
        <v>19441.6175570379</v>
      </c>
      <c r="F13" s="0" t="n">
        <f aca="false">F11+F12</f>
        <v>21620.419524637</v>
      </c>
      <c r="G13" s="0" t="n">
        <f aca="false">G11+G12</f>
        <v>23276.3928200879</v>
      </c>
      <c r="H13" s="0" t="n">
        <f aca="false">H11+H12</f>
        <v>24426.025946281</v>
      </c>
      <c r="I13" s="0" t="n">
        <f aca="false">I11+I12</f>
        <v>25450.6075715445</v>
      </c>
      <c r="J13" s="0" t="n">
        <f aca="false">J11+J12</f>
        <v>26458.4516313776</v>
      </c>
      <c r="K13" s="0" t="n">
        <f aca="false">K11+K12</f>
        <v>27372.7901589929</v>
      </c>
      <c r="L13" s="0" t="n">
        <f aca="false">L11+L12</f>
        <v>28380.277655814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26</v>
      </c>
      <c r="D14" s="4" t="n">
        <f aca="false">Assumptions!D47</f>
        <v>26</v>
      </c>
      <c r="E14" s="4" t="n">
        <f aca="false">Assumptions!E47</f>
        <v>26</v>
      </c>
      <c r="F14" s="4" t="n">
        <f aca="false">Assumptions!F47</f>
        <v>26</v>
      </c>
      <c r="G14" s="4" t="n">
        <f aca="false">Assumptions!G47</f>
        <v>26</v>
      </c>
      <c r="H14" s="4" t="n">
        <f aca="false">Assumptions!H47</f>
        <v>26</v>
      </c>
      <c r="I14" s="4" t="n">
        <f aca="false">Assumptions!I47</f>
        <v>26</v>
      </c>
      <c r="J14" s="4" t="n">
        <f aca="false">Assumptions!J47</f>
        <v>26</v>
      </c>
      <c r="K14" s="4" t="n">
        <f aca="false">Assumptions!K47</f>
        <v>26</v>
      </c>
      <c r="L14" s="4" t="n">
        <f aca="false">Assumptions!L47</f>
        <v>26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10456.6770891</v>
      </c>
      <c r="D15" s="0" t="n">
        <f aca="false">D13-MAX(0,D13)*D14/100</f>
        <v>12528.3666287526</v>
      </c>
      <c r="E15" s="0" t="n">
        <f aca="false">E13-MAX(0,E13)*E14/100</f>
        <v>14386.796992208</v>
      </c>
      <c r="F15" s="0" t="n">
        <f aca="false">F13-MAX(0,F13)*F14/100</f>
        <v>15999.1104482314</v>
      </c>
      <c r="G15" s="0" t="n">
        <f aca="false">G13-MAX(0,G13)*G14/100</f>
        <v>17224.5306868651</v>
      </c>
      <c r="H15" s="0" t="n">
        <f aca="false">H13-MAX(0,H13)*H14/100</f>
        <v>18075.2592002479</v>
      </c>
      <c r="I15" s="0" t="n">
        <f aca="false">I13-MAX(0,I13)*I14/100</f>
        <v>18833.4496029429</v>
      </c>
      <c r="J15" s="0" t="n">
        <f aca="false">J13-MAX(0,J13)*J14/100</f>
        <v>19579.2542072194</v>
      </c>
      <c r="K15" s="0" t="n">
        <f aca="false">K13-MAX(0,K13)*K14/100</f>
        <v>20255.8647176548</v>
      </c>
      <c r="L15" s="0" t="n">
        <f aca="false">L13-MAX(0,L13)*L14/100</f>
        <v>21001.4054653024</v>
      </c>
    </row>
    <row r="16" customFormat="false" ht="15" hidden="false" customHeight="false" outlineLevel="0" collapsed="false">
      <c r="A16" s="0" t="s">
        <v>128</v>
      </c>
      <c r="C16" s="0" t="n">
        <f aca="false">-C12</f>
        <v>4710.214905</v>
      </c>
      <c r="D16" s="0" t="n">
        <f aca="false">-D12</f>
        <v>4856.65976841</v>
      </c>
      <c r="E16" s="0" t="n">
        <f aca="false">-E12</f>
        <v>4980.1187830836</v>
      </c>
      <c r="F16" s="0" t="n">
        <f aca="false">-F12</f>
        <v>5078.28458601938</v>
      </c>
      <c r="G16" s="0" t="n">
        <f aca="false">-G12</f>
        <v>5149.17945004203</v>
      </c>
      <c r="H16" s="0" t="n">
        <f aca="false">-H12</f>
        <v>5191.21356800156</v>
      </c>
      <c r="I16" s="0" t="n">
        <f aca="false">-I12</f>
        <v>5203.23532573798</v>
      </c>
      <c r="J16" s="0" t="n">
        <f aca="false">-J12</f>
        <v>5268.27576730971</v>
      </c>
      <c r="K16" s="0" t="n">
        <f aca="false">-K12</f>
        <v>5305.73906165502</v>
      </c>
      <c r="L16" s="0" t="n">
        <f aca="false">-L12</f>
        <v>5278.60744145338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-2997.409485</v>
      </c>
      <c r="D17" s="4" t="n">
        <f aca="false">-D6*Assumptions!D46/100</f>
        <v>-3177.2540541</v>
      </c>
      <c r="E17" s="4" t="n">
        <f aca="false">-E6*Assumptions!E46/100</f>
        <v>-3352.0030270755</v>
      </c>
      <c r="F17" s="4" t="n">
        <f aca="false">-F6*Assumptions!F46/100</f>
        <v>-3519.60317842927</v>
      </c>
      <c r="G17" s="4" t="n">
        <f aca="false">-G6*Assumptions!G46/100</f>
        <v>-3677.98532145859</v>
      </c>
      <c r="H17" s="4" t="n">
        <f aca="false">-H6*Assumptions!H46/100</f>
        <v>-3825.10473431694</v>
      </c>
      <c r="I17" s="4" t="n">
        <f aca="false">-I6*Assumptions!I46/100</f>
        <v>-3958.98340001803</v>
      </c>
      <c r="J17" s="4" t="n">
        <f aca="false">-J6*Assumptions!J46/100</f>
        <v>-4097.54781901866</v>
      </c>
      <c r="K17" s="4" t="n">
        <f aca="false">-K6*Assumptions!K46/100</f>
        <v>-4220.47425358922</v>
      </c>
      <c r="L17" s="4" t="n">
        <f aca="false">-L6*Assumptions!L46/100</f>
        <v>-4347.0884811969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392.015325</v>
      </c>
      <c r="D18" s="4" t="n">
        <f aca="false">(D6-C6)*Assumptions!$B$51/100</f>
        <v>385.3812195</v>
      </c>
      <c r="E18" s="4" t="n">
        <f aca="false">(E6-D6)*Assumptions!$B$51/100</f>
        <v>374.4620849475</v>
      </c>
      <c r="F18" s="4" t="n">
        <f aca="false">(F6-E6)*Assumptions!$B$51/100</f>
        <v>359.143181472375</v>
      </c>
      <c r="G18" s="4" t="n">
        <f aca="false">(G6-F6)*Assumptions!$B$51/100</f>
        <v>339.390306491394</v>
      </c>
      <c r="H18" s="4" t="n">
        <f aca="false">(H6-G6)*Assumptions!$B$51/100</f>
        <v>315.255884696451</v>
      </c>
      <c r="I18" s="4" t="n">
        <f aca="false">(I6-H6)*Assumptions!$B$51/100</f>
        <v>286.88285507377</v>
      </c>
      <c r="J18" s="4" t="n">
        <f aca="false">(J6-I6)*Assumptions!$B$51/100</f>
        <v>296.923755001352</v>
      </c>
      <c r="K18" s="4" t="n">
        <f aca="false">(K6-J6)*Assumptions!$B$51/100</f>
        <v>263.413788365486</v>
      </c>
      <c r="L18" s="4" t="n">
        <f aca="false">(L6-K6)*Assumptions!$B$51/100</f>
        <v>271.316202016451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12561.4978341</v>
      </c>
      <c r="D19" s="0" t="n">
        <f aca="false">D15+D16+D17+D18</f>
        <v>14593.1535625626</v>
      </c>
      <c r="E19" s="0" t="n">
        <f aca="false">E15+E16+E17+E18</f>
        <v>16389.3748331636</v>
      </c>
      <c r="F19" s="0" t="n">
        <f aca="false">F15+F16+F17+F18</f>
        <v>17916.9350372938</v>
      </c>
      <c r="G19" s="0" t="n">
        <f aca="false">G15+G16+G17+G18</f>
        <v>19035.1151219399</v>
      </c>
      <c r="H19" s="0" t="n">
        <f aca="false">H15+H16+H17+H18</f>
        <v>19756.623918629</v>
      </c>
      <c r="I19" s="0" t="n">
        <f aca="false">I15+I16+I17+I18</f>
        <v>20364.5843837366</v>
      </c>
      <c r="J19" s="0" t="n">
        <f aca="false">J15+J16+J17+J18</f>
        <v>21046.9059105118</v>
      </c>
      <c r="K19" s="0" t="n">
        <f aca="false">K15+K16+K17+K18</f>
        <v>21604.5433140861</v>
      </c>
      <c r="L19" s="0" t="n">
        <f aca="false">L15+L16+L17+L18</f>
        <v>22204.2406275753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0.932400932400932</v>
      </c>
      <c r="D20" s="0" t="n">
        <f aca="false">1/(1+$B$27/100)^D4</f>
        <v>0.869371498742128</v>
      </c>
      <c r="E20" s="0" t="n">
        <f aca="false">1/(1+$B$27/100)^E4</f>
        <v>0.810602796029956</v>
      </c>
      <c r="F20" s="0" t="n">
        <f aca="false">1/(1+$B$27/100)^F4</f>
        <v>0.755806802825134</v>
      </c>
      <c r="G20" s="0" t="n">
        <f aca="false">1/(1+$B$27/100)^G4</f>
        <v>0.704714967669123</v>
      </c>
      <c r="H20" s="0" t="n">
        <f aca="false">1/(1+$B$27/100)^H4</f>
        <v>0.657076892931583</v>
      </c>
      <c r="I20" s="0" t="n">
        <f aca="false">1/(1+$B$27/100)^I4</f>
        <v>0.612659107628516</v>
      </c>
      <c r="J20" s="0" t="n">
        <f aca="false">1/(1+$B$27/100)^J4</f>
        <v>0.571243923196751</v>
      </c>
      <c r="K20" s="0" t="n">
        <f aca="false">1/(1+$B$27/100)^K4</f>
        <v>0.532628366617017</v>
      </c>
      <c r="L20" s="0" t="n">
        <f aca="false">1/(1+$B$27/100)^L4</f>
        <v>0.496623185656893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11712.3522928671</v>
      </c>
      <c r="D21" s="0" t="n">
        <f aca="false">D19*D20</f>
        <v>12686.8717840591</v>
      </c>
      <c r="E21" s="0" t="n">
        <f aca="false">E19*E20</f>
        <v>13285.2730649454</v>
      </c>
      <c r="F21" s="0" t="n">
        <f aca="false">F19*F20</f>
        <v>13541.7413869627</v>
      </c>
      <c r="G21" s="0" t="n">
        <f aca="false">G19*G20</f>
        <v>13414.3305377359</v>
      </c>
      <c r="H21" s="0" t="n">
        <f aca="false">H19*H20</f>
        <v>12981.6210592705</v>
      </c>
      <c r="I21" s="0" t="n">
        <f aca="false">I19*I20</f>
        <v>12476.5480957657</v>
      </c>
      <c r="J21" s="0" t="n">
        <f aca="false">J19*J20</f>
        <v>12022.9171034737</v>
      </c>
      <c r="K21" s="0" t="n">
        <f aca="false">K19*K20</f>
        <v>11507.1926168883</v>
      </c>
      <c r="L21" s="0" t="n">
        <f aca="false">L19*L20</f>
        <v>11027.1407155586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7.25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124655.988657527</v>
      </c>
    </row>
    <row r="31" customFormat="false" ht="15" hidden="false" customHeight="false" outlineLevel="0" collapsed="false">
      <c r="A31" s="0" t="s">
        <v>137</v>
      </c>
      <c r="B31" s="0" t="n">
        <f aca="false">L19</f>
        <v>22204.2406275753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479144.139858204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288655.128158479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288655.128158479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143352.829302262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268008.81795979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214427.817959789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166.223114697511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0.864951359783588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6794.67875421184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11979.2655506761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180.776559895099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182074.773146118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60.91018460542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73.0279316208912</v>
      </c>
      <c r="C4" s="0" t="n">
        <f aca="false">B4/Assumptions!$B$2-1</f>
        <v>-0.180658233805775</v>
      </c>
      <c r="D4" s="4" t="n">
        <f aca="false">Assumptions!$B$24</f>
        <v>0.3</v>
      </c>
      <c r="E4" s="4" t="n">
        <f aca="false">DCF_Bear!$B$43</f>
        <v>86.0997835287328</v>
      </c>
      <c r="F4" s="4" t="n">
        <f aca="false">DCF_Bear!$B$47</f>
        <v>22.1504730840883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135.14726905326</v>
      </c>
      <c r="C5" s="0" t="n">
        <f aca="false">B5/Assumptions!$B$2-1</f>
        <v>0.516293829835748</v>
      </c>
      <c r="D5" s="4" t="n">
        <f aca="false">Assumptions!$B$38</f>
        <v>0.5</v>
      </c>
      <c r="E5" s="4" t="n">
        <f aca="false">DCF_Base!$B$43</f>
        <v>149.099489435499</v>
      </c>
      <c r="F5" s="4" t="n">
        <f aca="false">DCF_Base!$B$47</f>
        <v>46.7810521728949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166.223114697511</v>
      </c>
      <c r="C6" s="0" t="n">
        <f aca="false">B6/Assumptions!$B$2-1</f>
        <v>0.864951359783588</v>
      </c>
      <c r="D6" s="4" t="n">
        <f aca="false">Assumptions!$B$52</f>
        <v>0.2</v>
      </c>
      <c r="E6" s="4" t="n">
        <f aca="false">DCF_Bull!$B$43</f>
        <v>180.776559895099</v>
      </c>
      <c r="F6" s="4" t="n">
        <f aca="false">DCF_Bull!$B$47</f>
        <v>60.91018460542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122.7266369524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136.534991755389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0.273751793308167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-243.306588161582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42.217704932758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135.14726905326</v>
      </c>
      <c r="C15" s="3" t="n">
        <v>7.25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114.49430466644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104.089409427319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89.8119838211265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75.6379245673748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46.7810521728949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5.25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163.259389403266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163.259389403266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163.259389403266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163.259389403266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163.259389403266</v>
      </c>
    </row>
    <row r="25" customFormat="false" ht="15" hidden="false" customHeight="false" outlineLevel="0" collapsed="false">
      <c r="A25" s="3" t="n">
        <v>6.25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148.542037461503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148.542037461503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148.542037461503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148.542037461503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148.542037461503</v>
      </c>
    </row>
    <row r="26" customFormat="false" ht="15" hidden="false" customHeight="false" outlineLevel="0" collapsed="false">
      <c r="A26" s="3" t="n">
        <v>7.25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135.14726905326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135.14726905326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135.14726905326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135.14726905326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135.14726905326</v>
      </c>
    </row>
    <row r="27" customFormat="false" ht="15" hidden="false" customHeight="false" outlineLevel="0" collapsed="false">
      <c r="A27" s="3" t="n">
        <v>8.25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122.941096767994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122.941096767994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122.941096767994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122.941096767994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122.941096767994</v>
      </c>
    </row>
    <row r="28" customFormat="false" ht="15" hidden="false" customHeight="false" outlineLevel="0" collapsed="false">
      <c r="A28" s="3" t="n">
        <v>9.25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111.804376924211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111.804376924211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111.804376924211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111.804376924211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111.804376924211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2026-09-26T01:22:58Z</dcterms:created>
  <dc:creator>openpyxl</dc:creator>
  <dc:description/>
  <dc:language>en-NZ</dc:language>
  <cp:lastModifiedBy/>
  <dcterms:modified xsi:type="dcterms:W3CDTF">2026-09-26T01:22:58Z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