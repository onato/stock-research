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<sst xmlns="http://schemas.openxmlformats.org/spreadsheetml/2006/main" count="366" uniqueCount="167">
  <si>
    <t xml:space="preserve">Ticker</t>
  </si>
  <si>
    <t xml:space="preserve">NVS</t>
  </si>
  <si>
    <t xml:space="preserve">Company</t>
  </si>
  <si>
    <t xml:space="preserve">Novartis AG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</si>
  <si>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</si>
  <si>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</si>
  <si>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</si>
  <si>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</si>
  <si>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(Yahoo chart API; Friday close, latest regular session before the 2026-10-04 valuation date)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</si>
  <si>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</si>
  <si>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</si>
  <si>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</si>
  <si>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</si>
  <si>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</si>
  <si>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</si>
  <si>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</si>
  <si>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</si>
  <si>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</si>
  <si>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</si>
  <si>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</si>
  <si>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</si>
  <si>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2026-10-04T00:09:17Z</t>
  </si>
  <si>
    <t xml:space="preserve">Drivers file</t>
  </si>
  <si>
    <t xml:space="preserve">NVS_Drivers.json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</si>
  <si>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</si>
  <si>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</si>
  <si>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</si>
  <si>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an unlevered cash-EBITDA build, charging SBC once (expensed, flat count), in-licensing and a recurring BD/M&amp;A allowance as capex, and leases plus NCI in the bridge. The central question is whether Novartis's growth brands and bought-in pipeline outrun the 2025-27 patent cliff and 2028 US price negotiation; the scenarios span that tension rather than extrapolating the FY2023-25 Entresto-peak growth.
key_risks_to_valuation: Entresto EU exclusivity loss (Nov-2026) and the pace of 2027 erosion; Pipeline execution after the Sept-2026 pelacarsen and del-desiran Phase III failures; value of the USD 12bn Avidity acquisition; Medicare negotiated prices on Cosentyx, Kisqali and Xolair from 2028; MFN-style US pricing commitments; BD/M&amp;A intensity: the model charges 3% of sales base; a return to ~USD 10bn+ annual deal spend without matching growth is value-destructive; Net debt of ~USD 41bn (incl. leases) after Avidity: leverage is modest (~1.8x EBITDA) but the buyback and dividend are now partly debt-funded; Terminal value capped at 15x FCF in base; the cap binds, so the value is sensitive to the cap rather than to terminal growth</t>
  </si>
  <si>
    <t xml:space="preserve">Data sources</t>
  </si>
  <si>
    <t xml:space="preserve">price: Yahoo Finance chart API at inputs.price_as_of; 52-week range 121.57-170.46
financials: NVS_Metrics.csv (core_metrics from 20-F/Annual Reports FY2014-FY2025 and interims); FY2025 Annual Report cash flow statement and changes in equity (SBC, equity-award taxes, provisions payments, intangible purchases); H1 2026 Condensed Interim Financial Report and Q2 2026 Financial Report (SEC 6-K filed 2026-07-21, accession 0001114448-26-000012) for net debt, lease liabilities, NCI, shares outstanding and reaffirmed FY2026 guidance
qualitative: NVS_Analysis.json (2026-10 analysis: patent cliff, pipeline failures Sept-2026, Avidity acquisition, US pricing, medium-term guidance)</t>
  </si>
  <si>
    <t xml:space="preserve">Scenario narrative: bear</t>
  </si>
  <si>
    <t xml:space="preserve">Two Phase III failures in one month, one of them the lead asset of the just-closed USD 12bn Avidity deal, turn out to be a pattern: acquired pipeline under-delivers and replacing it costs more (BD 5% of sales). EU Entresto generics bite hard in 2027, Medicare negotiated prices from 2028 hit Kisqali and Cosentyx, and US MFN-style pricing compresses the growth brands. Sales are flat in FY2027 and grow ~2% thereafter, cash margins fall to ~36.5%, and the market pays a no-growth-pharma 12x FCF.</t>
  </si>
  <si>
    <t xml:space="preserve">Scenario narrative: base</t>
  </si>
  <si>
    <t xml:space="preserve">Novartis grows through the largest patent expiry in its history, but below its own +5-6% cc 2025-30 algorithm (~4.4% USD here). Entresto (US generics since Jul-2025, EU exclusivity lapsing Nov-2026), Promacta and Tasigna erode on schedule and are absorbed by Kisqali, Kesimpta, Pluvicto, Scemblix, Leqvio, Fabhalta and Rhapsido (all growing 30-90% cc in Q2 2026). Cash margins dip ~1.4pp in FY2026 in line with the guided core-operating-income decline, and recover to the FY2025 level by FY2029; the 2028 IRA negotiation on Cosentyx/Kisqali/Xolair and the Dec-2025 US pricing agreement stop them going higher. The Sept-2026 Phase III failures are treated as a haircut to the growth rate and a standing ~3% of sales BD/M&amp;A charge to keep the pipeline full, not as a thesis break.</t>
  </si>
  <si>
    <t xml:space="preserve">Scenario narrative: bull</t>
  </si>
  <si>
    <t xml:space="preserve">Management's medium-term guidance is met and then some: Kisqali's six-year eBC overall-survival data and pediatric exclusivity extend its run, Pluvicto moves earlier in prostate cancer, Scemblix takes first-line CML, Fabhalta's IgAN approval broadens its renal franchise, and remibrutinib adds MS to CSU/CIndU. Sales compound ~6.5% USD through 2030, mix lifts cash margins to ~43.5%, and less of the growth has to be bought (BD 2% of sales).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</si>
  <si>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</si>
  <si>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</si>
  <si>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</si>
  <si>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</si>
  <si>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</si>
  <si>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</si>
  <si>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</si>
  <si>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</si>
  <si>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</si>
  <si>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</si>
  <si>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</si>
  <si>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</si>
  <si>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</si>
  <si>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</si>
  <si>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</si>
  <si>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</si>
  <si>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</si>
  <si>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</si>
  <si>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</si>
  <si>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</si>
  <si>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</si>
  <si>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</si>
  <si>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</si>
  <si>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</si>
  <si>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</si>
  <si>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</si>
  <si>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</si>
  <si>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</si>
  <si>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</si>
  <si>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</si>
  <si>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</si>
  <si>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</si>
  <si>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</si>
  <si>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</si>
  <si>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</si>
  <si>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</si>
  <si>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</si>
  <si>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</si>
  <si>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</si>
  <si>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</si>
  <si>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</si>
  <si>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</si>
  <si>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</si>
  <si>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</si>
  <si>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</si>
  <si>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</si>
  <si>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</si>
  <si>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</si>
  <si>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</si>
  <si>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</si>
  <si>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</si>
  <si>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</si>
  <si>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</si>
  <si>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</si>
  <si>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</si>
  <si>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</si>
  <si>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</si>
  <si>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</si>
  <si>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</si>
  <si>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</si>
  <si>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</si>
  <si>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</si>
  <si>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</si>
  <si>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</si>
  <si>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</si>
  <si>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</si>
  <si>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</si>
  <si>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</si>
  <si>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</si>
  <si>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</si>
  <si>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</si>
  <si>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</si>
  <si>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</si>
  <si>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</si>
  <si>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</si>
  <si>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</si>
  <si>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NVS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</si>
  <si>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</si>
  <si>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</si>
  <si>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</si>
  <si>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</si>
  <si>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</si>
  <si>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</si>
  <si>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</si>
  <si>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</si>
  <si>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</si>
  <si>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</si>
  <si>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</si>
  <si>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</si>
  <si>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</si>
  <si>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</si>
  <si>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</si>
  <si>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</si>
  <si>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</si>
  <si>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</si>
  <si>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</si>
  <si>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</si>
  <si>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</si>
  <si>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</si>
  <si>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</si>
  <si>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</si>
  <si>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</si>
  <si>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</si>
  <si>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</si>
  <si>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</si>
  <si>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</si>
  <si>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</si>
  <si>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NVS owner-FCF component DCF: base case (millions, USD)</t>
  </si>
  <si>
    <t xml:space="preserve">NVS owner-FCF component DCF: bull case (millions, USD)</t>
  </si>
  <si>
    <t xml:space="preserve">NVS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</si>
  <si>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</si>
  <si>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</si>
  <si>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</si>
  <si>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</si>
  <si>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</si>
  <si>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</si>
  <si>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</si>
  <si>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</si>
  <si>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</si>
  <si>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</si>
  <si>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</si>
  <si>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</si>
  <si>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</si>
  <si>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</si>
  <si>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7.25%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</si>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</sst>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52180</v>
      </c>
      <c r="C2" s="0" t="n">
        <v>17345</v>
      </c>
      <c r="D2" s="0" t="n">
        <v>36289</v>
      </c>
      <c r="E2" s="0" t="n">
        <v>69.5</v>
      </c>
      <c r="F2" s="0" t="n">
        <v>11089</v>
      </c>
      <c r="G2" s="0" t="n">
        <v>21.3</v>
      </c>
      <c r="H2" s="0" t="n">
        <v>15840</v>
      </c>
      <c r="I2" s="0" t="n">
        <v>10210</v>
      </c>
      <c r="J2" s="0" t="n">
        <v>19.6</v>
      </c>
      <c r="K2" s="0" t="n">
        <v>4.13</v>
      </c>
      <c r="L2" s="0" t="n">
        <v>13898</v>
      </c>
      <c r="M2" s="0" t="n">
        <v>2624</v>
      </c>
      <c r="N2" s="0" t="n">
        <v>11274</v>
      </c>
      <c r="O2" s="0" t="n">
        <v>70766</v>
      </c>
      <c r="P2" s="0" t="n">
        <v>125387</v>
      </c>
      <c r="Q2" s="0" t="n">
        <v>54543</v>
      </c>
      <c r="R2" s="0" t="n">
        <v>20411</v>
      </c>
      <c r="S2" s="0" t="n">
        <v>13023</v>
      </c>
      <c r="T2" s="0" t="n">
        <v>2470</v>
      </c>
      <c r="U2" s="0" t="n">
        <v>744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49414</v>
      </c>
      <c r="C3" s="0" t="n">
        <v>17404</v>
      </c>
      <c r="D3" s="0" t="n">
        <v>32983</v>
      </c>
      <c r="E3" s="0" t="n">
        <v>66.7</v>
      </c>
      <c r="F3" s="0" t="n">
        <v>8977</v>
      </c>
      <c r="G3" s="0" t="n">
        <v>18.2</v>
      </c>
      <c r="H3" s="0" t="n">
        <v>14552</v>
      </c>
      <c r="I3" s="0" t="n">
        <v>17783</v>
      </c>
      <c r="J3" s="0" t="n">
        <v>36</v>
      </c>
      <c r="K3" s="0" t="n">
        <v>7.29</v>
      </c>
      <c r="L3" s="0" t="n">
        <v>12085</v>
      </c>
      <c r="M3" s="0" t="n">
        <v>2367</v>
      </c>
      <c r="N3" s="0" t="n">
        <v>9718</v>
      </c>
      <c r="O3" s="0" t="n">
        <v>77046</v>
      </c>
      <c r="P3" s="0" t="n">
        <v>131556</v>
      </c>
      <c r="Q3" s="0" t="n">
        <v>54434</v>
      </c>
      <c r="R3" s="0" t="n">
        <v>21931</v>
      </c>
      <c r="S3" s="0" t="n">
        <v>4674</v>
      </c>
      <c r="T3" s="0" t="n">
        <v>2438</v>
      </c>
      <c r="U3" s="0" t="n">
        <v>773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48518</v>
      </c>
      <c r="C4" s="0" t="n">
        <v>17520</v>
      </c>
      <c r="D4" s="0" t="n">
        <v>31916</v>
      </c>
      <c r="E4" s="0" t="n">
        <v>65.8</v>
      </c>
      <c r="F4" s="0" t="n">
        <v>8268</v>
      </c>
      <c r="G4" s="0" t="n">
        <v>17</v>
      </c>
      <c r="H4" s="0" t="n">
        <v>14443</v>
      </c>
      <c r="I4" s="0" t="n">
        <v>6712</v>
      </c>
      <c r="J4" s="0" t="n">
        <v>13.8</v>
      </c>
      <c r="K4" s="0" t="n">
        <v>2.8</v>
      </c>
      <c r="L4" s="0" t="n">
        <v>11475</v>
      </c>
      <c r="M4" s="0" t="n">
        <v>1862</v>
      </c>
      <c r="N4" s="0" t="n">
        <v>9613</v>
      </c>
      <c r="O4" s="0" t="n">
        <v>74891</v>
      </c>
      <c r="P4" s="0" t="n">
        <v>130124</v>
      </c>
      <c r="Q4" s="0" t="n">
        <v>55233</v>
      </c>
      <c r="R4" s="0" t="n">
        <v>23802</v>
      </c>
      <c r="S4" s="0" t="n">
        <v>7007</v>
      </c>
      <c r="T4" s="0" t="n">
        <v>2400</v>
      </c>
      <c r="U4" s="0" t="n">
        <v>671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49109</v>
      </c>
      <c r="C5" s="0" t="n">
        <v>17175</v>
      </c>
      <c r="D5" s="0" t="n">
        <v>32960</v>
      </c>
      <c r="E5" s="0" t="n">
        <v>67.1</v>
      </c>
      <c r="F5" s="0" t="n">
        <v>8629</v>
      </c>
      <c r="G5" s="0" t="n">
        <v>17.6</v>
      </c>
      <c r="H5" s="0" t="n">
        <v>14961</v>
      </c>
      <c r="I5" s="0" t="n">
        <v>7703</v>
      </c>
      <c r="J5" s="0" t="n">
        <v>15.7</v>
      </c>
      <c r="K5" s="0" t="n">
        <v>3.25</v>
      </c>
      <c r="L5" s="0" t="n">
        <v>12621</v>
      </c>
      <c r="M5" s="0" t="n">
        <v>1696</v>
      </c>
      <c r="N5" s="0" t="n">
        <v>10925</v>
      </c>
      <c r="O5" s="0" t="n">
        <v>74168</v>
      </c>
      <c r="P5" s="0" t="n">
        <v>133079</v>
      </c>
      <c r="Q5" s="0" t="n">
        <v>58852</v>
      </c>
      <c r="R5" s="0" t="n">
        <v>28532</v>
      </c>
      <c r="S5" s="0" t="n">
        <v>8860</v>
      </c>
      <c r="T5" s="0" t="n">
        <v>2371</v>
      </c>
      <c r="U5" s="0" t="n">
        <v>683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51900</v>
      </c>
      <c r="C6" s="0" t="n">
        <v>18407</v>
      </c>
      <c r="D6" s="0" t="n">
        <v>34759</v>
      </c>
      <c r="E6" s="0" t="n">
        <v>67</v>
      </c>
      <c r="F6" s="0" t="n">
        <v>8169</v>
      </c>
      <c r="G6" s="0" t="n">
        <v>15.7</v>
      </c>
      <c r="H6" s="0" t="n">
        <v>15050</v>
      </c>
      <c r="I6" s="0" t="n">
        <v>12611</v>
      </c>
      <c r="J6" s="0" t="n">
        <v>24.3</v>
      </c>
      <c r="K6" s="0" t="n">
        <v>5.38</v>
      </c>
      <c r="L6" s="0" t="n">
        <v>14272</v>
      </c>
      <c r="M6" s="0" t="n">
        <v>1773</v>
      </c>
      <c r="N6" s="0" t="n">
        <v>12499</v>
      </c>
      <c r="O6" s="0" t="n">
        <v>78614</v>
      </c>
      <c r="P6" s="0" t="n">
        <v>145563</v>
      </c>
      <c r="Q6" s="0" t="n">
        <v>66871</v>
      </c>
      <c r="R6" s="0" t="n">
        <v>32148</v>
      </c>
      <c r="S6" s="0" t="n">
        <v>13271</v>
      </c>
      <c r="T6" s="0" t="n">
        <v>2344</v>
      </c>
      <c r="U6" s="0" t="n">
        <v>759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47445</v>
      </c>
      <c r="C7" s="0" t="n">
        <v>14425</v>
      </c>
      <c r="D7" s="0" t="n">
        <v>34252</v>
      </c>
      <c r="E7" s="0" t="n">
        <v>72.2</v>
      </c>
      <c r="F7" s="0" t="n">
        <v>9086</v>
      </c>
      <c r="G7" s="0" t="n">
        <v>19.2</v>
      </c>
      <c r="H7" s="0" t="n">
        <v>14874</v>
      </c>
      <c r="I7" s="0" t="n">
        <v>11732</v>
      </c>
      <c r="J7" s="0" t="n">
        <v>24.7</v>
      </c>
      <c r="K7" s="0" t="n">
        <v>5.06</v>
      </c>
      <c r="L7" s="0" t="n">
        <v>13547</v>
      </c>
      <c r="M7" s="0" t="n">
        <v>1379</v>
      </c>
      <c r="N7" s="0" t="n">
        <v>12168</v>
      </c>
      <c r="O7" s="0" t="n">
        <v>55474</v>
      </c>
      <c r="P7" s="0" t="n">
        <v>118370</v>
      </c>
      <c r="Q7" s="0" t="n">
        <v>62819</v>
      </c>
      <c r="R7" s="0" t="n">
        <v>27384</v>
      </c>
      <c r="S7" s="0" t="n">
        <v>11112</v>
      </c>
      <c r="T7" s="0" t="n">
        <v>2319</v>
      </c>
      <c r="U7" s="0" t="n">
        <v>758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48659</v>
      </c>
      <c r="C8" s="0" t="n">
        <v>15121</v>
      </c>
      <c r="D8" s="0" t="n">
        <v>34777</v>
      </c>
      <c r="E8" s="0" t="n">
        <v>71.5</v>
      </c>
      <c r="F8" s="0" t="n">
        <v>10152</v>
      </c>
      <c r="G8" s="0" t="n">
        <v>20.9</v>
      </c>
      <c r="H8" s="0" t="n">
        <v>16281</v>
      </c>
      <c r="I8" s="0" t="n">
        <v>8072</v>
      </c>
      <c r="J8" s="0" t="n">
        <v>16.6</v>
      </c>
      <c r="K8" s="0" t="n">
        <v>3.52</v>
      </c>
      <c r="L8" s="0" t="n">
        <v>13650</v>
      </c>
      <c r="M8" s="0" t="n">
        <v>1275</v>
      </c>
      <c r="N8" s="0" t="n">
        <v>12375</v>
      </c>
      <c r="O8" s="0" t="n">
        <v>56598</v>
      </c>
      <c r="P8" s="0" t="n">
        <v>132059</v>
      </c>
      <c r="Q8" s="0" t="n">
        <v>75393</v>
      </c>
      <c r="R8" s="0" t="n">
        <v>36044</v>
      </c>
      <c r="S8" s="0" t="n">
        <v>9658</v>
      </c>
      <c r="T8" s="0" t="n">
        <v>2296</v>
      </c>
      <c r="U8" s="0" t="n">
        <v>738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51626</v>
      </c>
      <c r="C9" s="0" t="n">
        <v>15867</v>
      </c>
      <c r="D9" s="0" t="n">
        <v>37010</v>
      </c>
      <c r="E9" s="0" t="n">
        <v>71.7</v>
      </c>
      <c r="F9" s="0" t="n">
        <v>11689</v>
      </c>
      <c r="G9" s="0" t="n">
        <v>22.6</v>
      </c>
      <c r="H9" s="0" t="n">
        <v>17764</v>
      </c>
      <c r="I9" s="0" t="n">
        <v>24021</v>
      </c>
      <c r="J9" s="0" t="n">
        <v>46.5</v>
      </c>
      <c r="K9" s="0" t="n">
        <v>10.63</v>
      </c>
      <c r="L9" s="0" t="n">
        <v>15071</v>
      </c>
      <c r="M9" s="0" t="n">
        <v>1378</v>
      </c>
      <c r="N9" s="0" t="n">
        <v>13693</v>
      </c>
      <c r="O9" s="0" t="n">
        <v>67655</v>
      </c>
      <c r="P9" s="0" t="n">
        <v>131795</v>
      </c>
      <c r="Q9" s="0" t="n">
        <v>63973</v>
      </c>
      <c r="R9" s="0" t="n">
        <v>29197</v>
      </c>
      <c r="S9" s="0" t="n">
        <v>12407</v>
      </c>
      <c r="T9" s="0" t="n">
        <v>2260</v>
      </c>
      <c r="U9" s="0" t="n">
        <v>736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50545</v>
      </c>
      <c r="C10" s="0" t="n">
        <v>15486</v>
      </c>
      <c r="D10" s="0" t="n">
        <v>36342</v>
      </c>
      <c r="E10" s="0" t="n">
        <v>71.9</v>
      </c>
      <c r="F10" s="0" t="n">
        <v>9197</v>
      </c>
      <c r="G10" s="0" t="n">
        <v>18.2</v>
      </c>
      <c r="H10" s="0" t="n">
        <v>16638</v>
      </c>
      <c r="I10" s="0" t="n">
        <v>6955</v>
      </c>
      <c r="J10" s="0" t="n">
        <v>13.8</v>
      </c>
      <c r="K10" s="0" t="n">
        <v>3.17</v>
      </c>
      <c r="L10" s="0" t="n">
        <v>14236</v>
      </c>
      <c r="M10" s="0" t="n">
        <v>1198</v>
      </c>
      <c r="N10" s="0" t="n">
        <v>13038</v>
      </c>
      <c r="O10" s="0" t="n">
        <v>59342</v>
      </c>
      <c r="P10" s="0" t="n">
        <v>117453</v>
      </c>
      <c r="Q10" s="0" t="n">
        <v>58030</v>
      </c>
      <c r="R10" s="0" t="n">
        <v>26175</v>
      </c>
      <c r="S10" s="0" t="n">
        <v>7517</v>
      </c>
      <c r="T10" s="0" t="n">
        <v>2197</v>
      </c>
      <c r="U10" s="0" t="n">
        <v>823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45440</v>
      </c>
      <c r="C11" s="0" t="n">
        <v>12472</v>
      </c>
      <c r="D11" s="0" t="n">
        <v>34188</v>
      </c>
      <c r="E11" s="0" t="n">
        <v>75.2</v>
      </c>
      <c r="F11" s="0" t="n">
        <v>9769</v>
      </c>
      <c r="G11" s="0" t="n">
        <v>21.5</v>
      </c>
      <c r="H11" s="0" t="n">
        <v>18152</v>
      </c>
      <c r="I11" s="0" t="n">
        <v>14850</v>
      </c>
      <c r="J11" s="0" t="n">
        <v>32.7</v>
      </c>
      <c r="K11" s="0" t="n">
        <v>7.1</v>
      </c>
      <c r="L11" s="0" t="n">
        <v>14220</v>
      </c>
      <c r="M11" s="0" t="n">
        <v>1060</v>
      </c>
      <c r="N11" s="0" t="n">
        <v>13160</v>
      </c>
      <c r="O11" s="0" t="n">
        <v>46667</v>
      </c>
      <c r="P11" s="0" t="n">
        <v>99945</v>
      </c>
      <c r="Q11" s="0" t="n">
        <v>53195</v>
      </c>
      <c r="R11" s="0" t="n">
        <v>24611</v>
      </c>
      <c r="S11" s="0" t="n">
        <v>13393</v>
      </c>
      <c r="T11" s="0" t="n">
        <v>2092</v>
      </c>
      <c r="U11" s="0" t="n">
        <v>865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50317</v>
      </c>
      <c r="C12" s="0" t="n">
        <v>12827</v>
      </c>
      <c r="D12" s="0" t="n">
        <v>38895</v>
      </c>
      <c r="E12" s="0" t="n">
        <v>77.3</v>
      </c>
      <c r="F12" s="0" t="n">
        <v>14544</v>
      </c>
      <c r="G12" s="0" t="n">
        <v>28.9</v>
      </c>
      <c r="H12" s="0" t="n">
        <v>20658</v>
      </c>
      <c r="I12" s="0" t="n">
        <v>11941</v>
      </c>
      <c r="J12" s="0" t="n">
        <v>23.7</v>
      </c>
      <c r="K12" s="0" t="n">
        <v>5.87</v>
      </c>
      <c r="L12" s="0" t="n">
        <v>17619</v>
      </c>
      <c r="M12" s="0" t="n">
        <v>1366</v>
      </c>
      <c r="N12" s="0" t="n">
        <v>16253</v>
      </c>
      <c r="O12" s="0" t="n">
        <v>44046</v>
      </c>
      <c r="P12" s="0" t="n">
        <v>102246</v>
      </c>
      <c r="Q12" s="0" t="n">
        <v>58120</v>
      </c>
      <c r="R12" s="0" t="n">
        <v>29598</v>
      </c>
      <c r="S12" s="0" t="n">
        <v>11459</v>
      </c>
      <c r="T12" s="0" t="n">
        <v>2035</v>
      </c>
      <c r="U12" s="0" t="n">
        <v>1044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54532</v>
      </c>
      <c r="C13" s="0" t="n">
        <v>13699</v>
      </c>
      <c r="D13" s="0" t="n">
        <v>42975</v>
      </c>
      <c r="E13" s="0" t="n">
        <v>78.8</v>
      </c>
      <c r="F13" s="0" t="n">
        <v>17644</v>
      </c>
      <c r="G13" s="0" t="n">
        <v>32.4</v>
      </c>
      <c r="H13" s="0" t="n">
        <v>22919</v>
      </c>
      <c r="I13" s="0" t="n">
        <v>13984</v>
      </c>
      <c r="J13" s="0" t="n">
        <v>25.6</v>
      </c>
      <c r="K13" s="0" t="n">
        <v>7.15</v>
      </c>
      <c r="L13" s="0" t="n">
        <v>19144</v>
      </c>
      <c r="M13" s="0" t="n">
        <v>1548</v>
      </c>
      <c r="N13" s="0" t="n">
        <v>17596</v>
      </c>
      <c r="O13" s="0" t="n">
        <v>46130</v>
      </c>
      <c r="P13" s="0" t="n">
        <v>110949</v>
      </c>
      <c r="Q13" s="0" t="n">
        <v>64400</v>
      </c>
      <c r="R13" s="0" t="n">
        <v>33537</v>
      </c>
      <c r="S13" s="0" t="n">
        <v>11435</v>
      </c>
      <c r="T13" s="0" t="n">
        <v>1955</v>
      </c>
      <c r="U13" s="0" t="n">
        <v>1096</v>
      </c>
      <c r="AA13" s="0" t="s">
        <v>17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141</v>
      </c>
    </row>
    <row r="3" customFormat="false" ht="15" hidden="false" customHeight="false" outlineLevel="0" collapsed="false">
      <c r="A3" s="0" t="s">
        <v>78</v>
      </c>
      <c r="B3" s="3" t="n">
        <v>1909.7</v>
      </c>
    </row>
    <row r="4" customFormat="false" ht="15" hidden="false" customHeight="false" outlineLevel="0" collapsed="false">
      <c r="A4" s="0" t="s">
        <v>79</v>
      </c>
      <c r="B4" s="3" t="n">
        <v>41324</v>
      </c>
    </row>
    <row r="5" customFormat="false" ht="15" hidden="false" customHeight="false" outlineLevel="0" collapsed="false">
      <c r="A5" s="0" t="s">
        <v>80</v>
      </c>
      <c r="B5" s="3" t="n">
        <v>-404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54532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1.5</v>
      </c>
      <c r="D13" s="3" t="n">
        <v>0</v>
      </c>
      <c r="E13" s="3" t="n">
        <v>1.5</v>
      </c>
      <c r="F13" s="3" t="n">
        <v>2.5</v>
      </c>
      <c r="G13" s="3" t="n">
        <v>3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39</v>
      </c>
      <c r="D14" s="3" t="n">
        <v>38</v>
      </c>
      <c r="E14" s="3" t="n">
        <v>37</v>
      </c>
      <c r="F14" s="3" t="n">
        <v>36.5</v>
      </c>
      <c r="G14" s="3" t="n">
        <v>36.5</v>
      </c>
      <c r="H14" s="3" t="n">
        <v>36.5</v>
      </c>
      <c r="I14" s="3" t="n">
        <v>36.5</v>
      </c>
      <c r="J14" s="3" t="n">
        <v>36.5</v>
      </c>
      <c r="K14" s="3" t="n">
        <v>36.5</v>
      </c>
      <c r="L14" s="3" t="n">
        <v>36.5</v>
      </c>
    </row>
    <row r="15" customFormat="false" ht="15" hidden="false" customHeight="false" outlineLevel="0" collapsed="false">
      <c r="A15" s="0" t="s">
        <v>100</v>
      </c>
      <c r="C15" s="3" t="n">
        <v>2.2</v>
      </c>
      <c r="D15" s="3" t="n">
        <v>2.2</v>
      </c>
      <c r="E15" s="3" t="n">
        <v>2.2</v>
      </c>
      <c r="F15" s="3" t="n">
        <v>2.2</v>
      </c>
      <c r="G15" s="3" t="n">
        <v>2.2</v>
      </c>
      <c r="H15" s="3" t="n">
        <v>2.2</v>
      </c>
      <c r="I15" s="3" t="n">
        <v>2.2</v>
      </c>
      <c r="J15" s="3" t="n">
        <v>2.2</v>
      </c>
      <c r="K15" s="3" t="n">
        <v>2.2</v>
      </c>
      <c r="L15" s="3" t="n">
        <v>2.2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8</v>
      </c>
      <c r="D17" s="3" t="n">
        <v>8</v>
      </c>
      <c r="E17" s="3" t="n">
        <v>8</v>
      </c>
      <c r="F17" s="3" t="n">
        <v>8</v>
      </c>
      <c r="G17" s="3" t="n">
        <v>8</v>
      </c>
      <c r="H17" s="3" t="n">
        <v>8</v>
      </c>
      <c r="I17" s="3" t="n">
        <v>8</v>
      </c>
      <c r="J17" s="3" t="n">
        <v>8</v>
      </c>
      <c r="K17" s="3" t="n">
        <v>8</v>
      </c>
      <c r="L17" s="3" t="n">
        <v>8</v>
      </c>
    </row>
    <row r="18" customFormat="false" ht="15" hidden="false" customHeight="false" outlineLevel="0" collapsed="false">
      <c r="A18" s="0" t="s">
        <v>103</v>
      </c>
      <c r="C18" s="3" t="n">
        <v>12.2</v>
      </c>
      <c r="D18" s="3" t="n">
        <v>12.2</v>
      </c>
      <c r="E18" s="3" t="n">
        <v>12.2</v>
      </c>
      <c r="F18" s="3" t="n">
        <v>12.2</v>
      </c>
      <c r="G18" s="3" t="n">
        <v>12.2</v>
      </c>
      <c r="H18" s="3" t="n">
        <v>12.2</v>
      </c>
      <c r="I18" s="3" t="n">
        <v>12.2</v>
      </c>
      <c r="J18" s="3" t="n">
        <v>12.2</v>
      </c>
      <c r="K18" s="3" t="n">
        <v>12.2</v>
      </c>
      <c r="L18" s="3" t="n">
        <v>12.2</v>
      </c>
    </row>
    <row r="19" customFormat="false" ht="15" hidden="false" customHeight="false" outlineLevel="0" collapsed="false">
      <c r="A19" s="0" t="s">
        <v>104</v>
      </c>
      <c r="C19" s="3" t="n">
        <v>16</v>
      </c>
      <c r="D19" s="3" t="n">
        <v>17</v>
      </c>
      <c r="E19" s="3" t="n">
        <v>17.5</v>
      </c>
      <c r="F19" s="3" t="n">
        <v>17.5</v>
      </c>
      <c r="G19" s="3" t="n">
        <v>17.5</v>
      </c>
      <c r="H19" s="3" t="n">
        <v>17.5</v>
      </c>
      <c r="I19" s="3" t="n">
        <v>17.5</v>
      </c>
      <c r="J19" s="3" t="n">
        <v>17.5</v>
      </c>
      <c r="K19" s="3" t="n">
        <v>17.5</v>
      </c>
      <c r="L19" s="3" t="n">
        <v>17.5</v>
      </c>
    </row>
    <row r="20" customFormat="false" ht="15" hidden="false" customHeight="false" outlineLevel="0" collapsed="false">
      <c r="A20" s="0" t="s">
        <v>105</v>
      </c>
      <c r="B20" s="3" t="n">
        <v>7.25</v>
      </c>
    </row>
    <row r="21" customFormat="false" ht="15" hidden="false" customHeight="false" outlineLevel="0" collapsed="false">
      <c r="A21" s="0" t="s">
        <v>106</v>
      </c>
      <c r="B21" s="3" t="n">
        <v>1.5</v>
      </c>
    </row>
    <row r="22" customFormat="false" ht="15" hidden="false" customHeight="false" outlineLevel="0" collapsed="false">
      <c r="A22" s="0" t="s">
        <v>107</v>
      </c>
      <c r="B22" s="3" t="n">
        <v>12</v>
      </c>
    </row>
    <row r="23" customFormat="false" ht="15" hidden="false" customHeight="false" outlineLevel="0" collapsed="false">
      <c r="A23" s="0" t="s">
        <v>108</v>
      </c>
      <c r="B23" s="3" t="n">
        <v>-16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2.5</v>
      </c>
      <c r="D27" s="3" t="n">
        <v>4</v>
      </c>
      <c r="E27" s="3" t="n">
        <v>5</v>
      </c>
      <c r="F27" s="3" t="n">
        <v>5</v>
      </c>
      <c r="G27" s="3" t="n">
        <v>5</v>
      </c>
      <c r="H27" s="3" t="n">
        <v>4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99</v>
      </c>
      <c r="C28" s="3" t="n">
        <v>39.7</v>
      </c>
      <c r="D28" s="3" t="n">
        <v>40</v>
      </c>
      <c r="E28" s="3" t="n">
        <v>40.5</v>
      </c>
      <c r="F28" s="3" t="n">
        <v>41</v>
      </c>
      <c r="G28" s="3" t="n">
        <v>41</v>
      </c>
      <c r="H28" s="3" t="n">
        <v>41</v>
      </c>
      <c r="I28" s="3" t="n">
        <v>41</v>
      </c>
      <c r="J28" s="3" t="n">
        <v>41</v>
      </c>
      <c r="K28" s="3" t="n">
        <v>41</v>
      </c>
      <c r="L28" s="3" t="n">
        <v>41</v>
      </c>
    </row>
    <row r="29" customFormat="false" ht="15" hidden="false" customHeight="false" outlineLevel="0" collapsed="false">
      <c r="A29" s="0" t="s">
        <v>100</v>
      </c>
      <c r="C29" s="3" t="n">
        <v>2.1</v>
      </c>
      <c r="D29" s="3" t="n">
        <v>2.1</v>
      </c>
      <c r="E29" s="3" t="n">
        <v>2.1</v>
      </c>
      <c r="F29" s="3" t="n">
        <v>2.1</v>
      </c>
      <c r="G29" s="3" t="n">
        <v>2</v>
      </c>
      <c r="H29" s="3" t="n">
        <v>2</v>
      </c>
      <c r="I29" s="3" t="n">
        <v>2</v>
      </c>
      <c r="J29" s="3" t="n">
        <v>2</v>
      </c>
      <c r="K29" s="3" t="n">
        <v>2</v>
      </c>
      <c r="L29" s="3" t="n">
        <v>2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8</v>
      </c>
      <c r="D31" s="3" t="n">
        <v>8</v>
      </c>
      <c r="E31" s="3" t="n">
        <v>8</v>
      </c>
      <c r="F31" s="3" t="n">
        <v>8</v>
      </c>
      <c r="G31" s="3" t="n">
        <v>8</v>
      </c>
      <c r="H31" s="3" t="n">
        <v>8</v>
      </c>
      <c r="I31" s="3" t="n">
        <v>8</v>
      </c>
      <c r="J31" s="3" t="n">
        <v>8</v>
      </c>
      <c r="K31" s="3" t="n">
        <v>8</v>
      </c>
      <c r="L31" s="3" t="n">
        <v>8</v>
      </c>
    </row>
    <row r="32" customFormat="false" ht="15" hidden="false" customHeight="false" outlineLevel="0" collapsed="false">
      <c r="A32" s="0" t="s">
        <v>103</v>
      </c>
      <c r="C32" s="3" t="n">
        <v>10.2</v>
      </c>
      <c r="D32" s="3" t="n">
        <v>10.2</v>
      </c>
      <c r="E32" s="3" t="n">
        <v>10.2</v>
      </c>
      <c r="F32" s="3" t="n">
        <v>10.2</v>
      </c>
      <c r="G32" s="3" t="n">
        <v>10.2</v>
      </c>
      <c r="H32" s="3" t="n">
        <v>10.2</v>
      </c>
      <c r="I32" s="3" t="n">
        <v>10.2</v>
      </c>
      <c r="J32" s="3" t="n">
        <v>10.2</v>
      </c>
      <c r="K32" s="3" t="n">
        <v>10.2</v>
      </c>
      <c r="L32" s="3" t="n">
        <v>10.2</v>
      </c>
    </row>
    <row r="33" customFormat="false" ht="15" hidden="false" customHeight="false" outlineLevel="0" collapsed="false">
      <c r="A33" s="0" t="s">
        <v>104</v>
      </c>
      <c r="C33" s="3" t="n">
        <v>15.5</v>
      </c>
      <c r="D33" s="3" t="n">
        <v>16</v>
      </c>
      <c r="E33" s="3" t="n">
        <v>16.5</v>
      </c>
      <c r="F33" s="3" t="n">
        <v>16.5</v>
      </c>
      <c r="G33" s="3" t="n">
        <v>16.5</v>
      </c>
      <c r="H33" s="3" t="n">
        <v>16.5</v>
      </c>
      <c r="I33" s="3" t="n">
        <v>16.5</v>
      </c>
      <c r="J33" s="3" t="n">
        <v>16.5</v>
      </c>
      <c r="K33" s="3" t="n">
        <v>16.5</v>
      </c>
      <c r="L33" s="3" t="n">
        <v>16.5</v>
      </c>
    </row>
    <row r="34" customFormat="false" ht="15" hidden="false" customHeight="false" outlineLevel="0" collapsed="false">
      <c r="A34" s="0" t="s">
        <v>105</v>
      </c>
      <c r="B34" s="3" t="n">
        <v>7.25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-16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3</v>
      </c>
      <c r="D41" s="3" t="n">
        <v>6</v>
      </c>
      <c r="E41" s="3" t="n">
        <v>7</v>
      </c>
      <c r="F41" s="3" t="n">
        <v>7</v>
      </c>
      <c r="G41" s="3" t="n">
        <v>6.5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40</v>
      </c>
      <c r="D42" s="3" t="n">
        <v>41</v>
      </c>
      <c r="E42" s="3" t="n">
        <v>42</v>
      </c>
      <c r="F42" s="3" t="n">
        <v>42.5</v>
      </c>
      <c r="G42" s="3" t="n">
        <v>43</v>
      </c>
      <c r="H42" s="3" t="n">
        <v>43.5</v>
      </c>
      <c r="I42" s="3" t="n">
        <v>43.5</v>
      </c>
      <c r="J42" s="3" t="n">
        <v>43.5</v>
      </c>
      <c r="K42" s="3" t="n">
        <v>43.5</v>
      </c>
      <c r="L42" s="3" t="n">
        <v>43.5</v>
      </c>
    </row>
    <row r="43" customFormat="false" ht="15" hidden="false" customHeight="false" outlineLevel="0" collapsed="false">
      <c r="A43" s="0" t="s">
        <v>100</v>
      </c>
      <c r="C43" s="3" t="n">
        <v>2.1</v>
      </c>
      <c r="D43" s="3" t="n">
        <v>2.1</v>
      </c>
      <c r="E43" s="3" t="n">
        <v>2</v>
      </c>
      <c r="F43" s="3" t="n">
        <v>2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8</v>
      </c>
      <c r="D45" s="3" t="n">
        <v>8</v>
      </c>
      <c r="E45" s="3" t="n">
        <v>8</v>
      </c>
      <c r="F45" s="3" t="n">
        <v>8</v>
      </c>
      <c r="G45" s="3" t="n">
        <v>8</v>
      </c>
      <c r="H45" s="3" t="n">
        <v>8</v>
      </c>
      <c r="I45" s="3" t="n">
        <v>8</v>
      </c>
      <c r="J45" s="3" t="n">
        <v>8</v>
      </c>
      <c r="K45" s="3" t="n">
        <v>8</v>
      </c>
      <c r="L45" s="3" t="n">
        <v>8</v>
      </c>
    </row>
    <row r="46" customFormat="false" ht="15" hidden="false" customHeight="false" outlineLevel="0" collapsed="false">
      <c r="A46" s="0" t="s">
        <v>103</v>
      </c>
      <c r="C46" s="3" t="n">
        <v>9.2</v>
      </c>
      <c r="D46" s="3" t="n">
        <v>9.2</v>
      </c>
      <c r="E46" s="3" t="n">
        <v>9.2</v>
      </c>
      <c r="F46" s="3" t="n">
        <v>9.2</v>
      </c>
      <c r="G46" s="3" t="n">
        <v>9.2</v>
      </c>
      <c r="H46" s="3" t="n">
        <v>9.2</v>
      </c>
      <c r="I46" s="3" t="n">
        <v>9.2</v>
      </c>
      <c r="J46" s="3" t="n">
        <v>9.2</v>
      </c>
      <c r="K46" s="3" t="n">
        <v>9.2</v>
      </c>
      <c r="L46" s="3" t="n">
        <v>9.2</v>
      </c>
    </row>
    <row r="47" customFormat="false" ht="15" hidden="false" customHeight="false" outlineLevel="0" collapsed="false">
      <c r="A47" s="0" t="s">
        <v>104</v>
      </c>
      <c r="C47" s="3" t="n">
        <v>15.5</v>
      </c>
      <c r="D47" s="3" t="n">
        <v>16</v>
      </c>
      <c r="E47" s="3" t="n">
        <v>16</v>
      </c>
      <c r="F47" s="3" t="n">
        <v>16</v>
      </c>
      <c r="G47" s="3" t="n">
        <v>16</v>
      </c>
      <c r="H47" s="3" t="n">
        <v>16</v>
      </c>
      <c r="I47" s="3" t="n">
        <v>16</v>
      </c>
      <c r="J47" s="3" t="n">
        <v>16</v>
      </c>
      <c r="K47" s="3" t="n">
        <v>16</v>
      </c>
      <c r="L47" s="3" t="n">
        <v>16</v>
      </c>
    </row>
    <row r="48" customFormat="false" ht="15" hidden="false" customHeight="false" outlineLevel="0" collapsed="false">
      <c r="A48" s="0" t="s">
        <v>105</v>
      </c>
      <c r="B48" s="3" t="n">
        <v>7.25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17</v>
      </c>
    </row>
    <row r="51" customFormat="false" ht="15" hidden="false" customHeight="false" outlineLevel="0" collapsed="false">
      <c r="A51" s="0" t="s">
        <v>108</v>
      </c>
      <c r="B51" s="3" t="n">
        <v>-16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1.5</v>
      </c>
      <c r="D5" s="4" t="n">
        <f aca="false">Assumptions!D13</f>
        <v>0</v>
      </c>
      <c r="E5" s="4" t="n">
        <f aca="false">Assumptions!E13</f>
        <v>1.5</v>
      </c>
      <c r="F5" s="4" t="n">
        <f aca="false">Assumptions!F13</f>
        <v>2.5</v>
      </c>
      <c r="G5" s="4" t="n">
        <f aca="false">Assumptions!G13</f>
        <v>3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54532</v>
      </c>
      <c r="C6" s="0" t="n">
        <f aca="false">B6*(1+C5/100)</f>
        <v>55349.98</v>
      </c>
      <c r="D6" s="0" t="n">
        <f aca="false">C6*(1+D5/100)</f>
        <v>55349.98</v>
      </c>
      <c r="E6" s="0" t="n">
        <f aca="false">D6*(1+E5/100)</f>
        <v>56180.2297</v>
      </c>
      <c r="F6" s="0" t="n">
        <f aca="false">E6*(1+F5/100)</f>
        <v>57584.7354425</v>
      </c>
      <c r="G6" s="0" t="n">
        <f aca="false">F6*(1+G5/100)</f>
        <v>59312.277505775</v>
      </c>
      <c r="H6" s="0" t="n">
        <f aca="false">G6*(1+H5/100)</f>
        <v>60498.5230558905</v>
      </c>
      <c r="I6" s="0" t="n">
        <f aca="false">H6*(1+I5/100)</f>
        <v>61708.4935170083</v>
      </c>
      <c r="J6" s="0" t="n">
        <f aca="false">I6*(1+J5/100)</f>
        <v>62942.6633873485</v>
      </c>
      <c r="K6" s="0" t="n">
        <f aca="false">J6*(1+K5/100)</f>
        <v>64201.5166550954</v>
      </c>
      <c r="L6" s="0" t="n">
        <f aca="false">K6*(1+L5/100)</f>
        <v>65485.5469881973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39</v>
      </c>
      <c r="D7" s="4" t="n">
        <f aca="false">Assumptions!D14</f>
        <v>38</v>
      </c>
      <c r="E7" s="4" t="n">
        <f aca="false">Assumptions!E14</f>
        <v>37</v>
      </c>
      <c r="F7" s="4" t="n">
        <f aca="false">Assumptions!F14</f>
        <v>36.5</v>
      </c>
      <c r="G7" s="4" t="n">
        <f aca="false">Assumptions!G14</f>
        <v>36.5</v>
      </c>
      <c r="H7" s="4" t="n">
        <f aca="false">Assumptions!H14</f>
        <v>36.5</v>
      </c>
      <c r="I7" s="4" t="n">
        <f aca="false">Assumptions!I14</f>
        <v>36.5</v>
      </c>
      <c r="J7" s="4" t="n">
        <f aca="false">Assumptions!J14</f>
        <v>36.5</v>
      </c>
      <c r="K7" s="4" t="n">
        <f aca="false">Assumptions!K14</f>
        <v>36.5</v>
      </c>
      <c r="L7" s="4" t="n">
        <f aca="false">Assumptions!L14</f>
        <v>36.5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21586.4922</v>
      </c>
      <c r="D8" s="0" t="n">
        <f aca="false">D6*D7/100</f>
        <v>21032.9924</v>
      </c>
      <c r="E8" s="0" t="n">
        <f aca="false">E6*E7/100</f>
        <v>20786.684989</v>
      </c>
      <c r="F8" s="0" t="n">
        <f aca="false">F6*F7/100</f>
        <v>21018.4284365125</v>
      </c>
      <c r="G8" s="0" t="n">
        <f aca="false">G6*G7/100</f>
        <v>21648.9812896079</v>
      </c>
      <c r="H8" s="0" t="n">
        <f aca="false">H6*H7/100</f>
        <v>22081.9609154</v>
      </c>
      <c r="I8" s="0" t="n">
        <f aca="false">I6*I7/100</f>
        <v>22523.600133708</v>
      </c>
      <c r="J8" s="0" t="n">
        <f aca="false">J6*J7/100</f>
        <v>22974.0721363822</v>
      </c>
      <c r="K8" s="0" t="n">
        <f aca="false">K6*K7/100</f>
        <v>23433.5535791098</v>
      </c>
      <c r="L8" s="0" t="n">
        <f aca="false">L6*L7/100</f>
        <v>23902.224650692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2.2</v>
      </c>
      <c r="D9" s="4" t="n">
        <f aca="false">Assumptions!D15</f>
        <v>2.2</v>
      </c>
      <c r="E9" s="4" t="n">
        <f aca="false">Assumptions!E15</f>
        <v>2.2</v>
      </c>
      <c r="F9" s="4" t="n">
        <f aca="false">Assumptions!F15</f>
        <v>2.2</v>
      </c>
      <c r="G9" s="4" t="n">
        <f aca="false">Assumptions!G15</f>
        <v>2.2</v>
      </c>
      <c r="H9" s="4" t="n">
        <f aca="false">Assumptions!H15</f>
        <v>2.2</v>
      </c>
      <c r="I9" s="4" t="n">
        <f aca="false">Assumptions!I15</f>
        <v>2.2</v>
      </c>
      <c r="J9" s="4" t="n">
        <f aca="false">Assumptions!J15</f>
        <v>2.2</v>
      </c>
      <c r="K9" s="4" t="n">
        <f aca="false">Assumptions!K15</f>
        <v>2.2</v>
      </c>
      <c r="L9" s="4" t="n">
        <f aca="false">Assumptions!L15</f>
        <v>2.2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-1217.69956</v>
      </c>
      <c r="D10" s="0" t="n">
        <f aca="false">-D6*D9/100</f>
        <v>-1217.69956</v>
      </c>
      <c r="E10" s="0" t="n">
        <f aca="false">-E6*E9/100</f>
        <v>-1235.9650534</v>
      </c>
      <c r="F10" s="0" t="n">
        <f aca="false">-F6*F9/100</f>
        <v>-1266.864179735</v>
      </c>
      <c r="G10" s="0" t="n">
        <f aca="false">-G6*G9/100</f>
        <v>-1304.87010512705</v>
      </c>
      <c r="H10" s="0" t="n">
        <f aca="false">-H6*H9/100</f>
        <v>-1330.96750722959</v>
      </c>
      <c r="I10" s="0" t="n">
        <f aca="false">-I6*I9/100</f>
        <v>-1357.58685737418</v>
      </c>
      <c r="J10" s="0" t="n">
        <f aca="false">-J6*J9/100</f>
        <v>-1384.73859452167</v>
      </c>
      <c r="K10" s="0" t="n">
        <f aca="false">-K6*K9/100</f>
        <v>-1412.4333664121</v>
      </c>
      <c r="L10" s="0" t="n">
        <f aca="false">-L6*L9/100</f>
        <v>-1440.68203374034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20368.79264</v>
      </c>
      <c r="D11" s="0" t="n">
        <f aca="false">D8+D10+D24</f>
        <v>19815.29284</v>
      </c>
      <c r="E11" s="0" t="n">
        <f aca="false">E8+E10+E24</f>
        <v>19550.7199356</v>
      </c>
      <c r="F11" s="0" t="n">
        <f aca="false">F8+F10+F24</f>
        <v>19751.5642567775</v>
      </c>
      <c r="G11" s="0" t="n">
        <f aca="false">G8+G10+G24</f>
        <v>20344.1111844808</v>
      </c>
      <c r="H11" s="0" t="n">
        <f aca="false">H8+H10+H24</f>
        <v>20750.9934081704</v>
      </c>
      <c r="I11" s="0" t="n">
        <f aca="false">I8+I10+I24</f>
        <v>21166.0132763338</v>
      </c>
      <c r="J11" s="0" t="n">
        <f aca="false">J8+J10+J24</f>
        <v>21589.3335418605</v>
      </c>
      <c r="K11" s="0" t="n">
        <f aca="false">K8+K10+K24</f>
        <v>22021.1202126977</v>
      </c>
      <c r="L11" s="0" t="n">
        <f aca="false">L8+L10+L24</f>
        <v>22461.5426169517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-4427.9984</v>
      </c>
      <c r="D12" s="4" t="n">
        <f aca="false">-D6*Assumptions!D17/100</f>
        <v>-4427.9984</v>
      </c>
      <c r="E12" s="4" t="n">
        <f aca="false">-E6*Assumptions!E17/100</f>
        <v>-4494.418376</v>
      </c>
      <c r="F12" s="4" t="n">
        <f aca="false">-F6*Assumptions!F17/100</f>
        <v>-4606.7788354</v>
      </c>
      <c r="G12" s="4" t="n">
        <f aca="false">-G6*Assumptions!G17/100</f>
        <v>-4744.982200462</v>
      </c>
      <c r="H12" s="4" t="n">
        <f aca="false">-H6*Assumptions!H17/100</f>
        <v>-4839.88184447124</v>
      </c>
      <c r="I12" s="4" t="n">
        <f aca="false">-I6*Assumptions!I17/100</f>
        <v>-4936.67948136066</v>
      </c>
      <c r="J12" s="4" t="n">
        <f aca="false">-J6*Assumptions!J17/100</f>
        <v>-5035.41307098788</v>
      </c>
      <c r="K12" s="4" t="n">
        <f aca="false">-K6*Assumptions!K17/100</f>
        <v>-5136.12133240763</v>
      </c>
      <c r="L12" s="4" t="n">
        <f aca="false">-L6*Assumptions!L17/100</f>
        <v>-5238.84375905579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15940.79424</v>
      </c>
      <c r="D13" s="0" t="n">
        <f aca="false">D11+D12</f>
        <v>15387.29444</v>
      </c>
      <c r="E13" s="0" t="n">
        <f aca="false">E11+E12</f>
        <v>15056.3015596</v>
      </c>
      <c r="F13" s="0" t="n">
        <f aca="false">F11+F12</f>
        <v>15144.7854213775</v>
      </c>
      <c r="G13" s="0" t="n">
        <f aca="false">G11+G12</f>
        <v>15599.1289840188</v>
      </c>
      <c r="H13" s="0" t="n">
        <f aca="false">H11+H12</f>
        <v>15911.1115636992</v>
      </c>
      <c r="I13" s="0" t="n">
        <f aca="false">I11+I12</f>
        <v>16229.3337949732</v>
      </c>
      <c r="J13" s="0" t="n">
        <f aca="false">J11+J12</f>
        <v>16553.9204708726</v>
      </c>
      <c r="K13" s="0" t="n">
        <f aca="false">K11+K12</f>
        <v>16884.9988802901</v>
      </c>
      <c r="L13" s="0" t="n">
        <f aca="false">L11+L12</f>
        <v>17222.6988578959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16</v>
      </c>
      <c r="D14" s="4" t="n">
        <f aca="false">Assumptions!D19</f>
        <v>17</v>
      </c>
      <c r="E14" s="4" t="n">
        <f aca="false">Assumptions!E19</f>
        <v>17.5</v>
      </c>
      <c r="F14" s="4" t="n">
        <f aca="false">Assumptions!F19</f>
        <v>17.5</v>
      </c>
      <c r="G14" s="4" t="n">
        <f aca="false">Assumptions!G19</f>
        <v>17.5</v>
      </c>
      <c r="H14" s="4" t="n">
        <f aca="false">Assumptions!H19</f>
        <v>17.5</v>
      </c>
      <c r="I14" s="4" t="n">
        <f aca="false">Assumptions!I19</f>
        <v>17.5</v>
      </c>
      <c r="J14" s="4" t="n">
        <f aca="false">Assumptions!J19</f>
        <v>17.5</v>
      </c>
      <c r="K14" s="4" t="n">
        <f aca="false">Assumptions!K19</f>
        <v>17.5</v>
      </c>
      <c r="L14" s="4" t="n">
        <f aca="false">Assumptions!L19</f>
        <v>17.5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13390.2671616</v>
      </c>
      <c r="D15" s="0" t="n">
        <f aca="false">D13-MAX(0,D13)*D14/100</f>
        <v>12771.4543852</v>
      </c>
      <c r="E15" s="0" t="n">
        <f aca="false">E13-MAX(0,E13)*E14/100</f>
        <v>12421.44878667</v>
      </c>
      <c r="F15" s="0" t="n">
        <f aca="false">F13-MAX(0,F13)*F14/100</f>
        <v>12494.4479726364</v>
      </c>
      <c r="G15" s="0" t="n">
        <f aca="false">G13-MAX(0,G13)*G14/100</f>
        <v>12869.2814118155</v>
      </c>
      <c r="H15" s="0" t="n">
        <f aca="false">H13-MAX(0,H13)*H14/100</f>
        <v>13126.6670400518</v>
      </c>
      <c r="I15" s="0" t="n">
        <f aca="false">I13-MAX(0,I13)*I14/100</f>
        <v>13389.2003808529</v>
      </c>
      <c r="J15" s="0" t="n">
        <f aca="false">J13-MAX(0,J13)*J14/100</f>
        <v>13656.9843884699</v>
      </c>
      <c r="K15" s="0" t="n">
        <f aca="false">K13-MAX(0,K13)*K14/100</f>
        <v>13930.1240762393</v>
      </c>
      <c r="L15" s="0" t="n">
        <f aca="false">L13-MAX(0,L13)*L14/100</f>
        <v>14208.7265577641</v>
      </c>
    </row>
    <row r="16" customFormat="false" ht="15" hidden="false" customHeight="false" outlineLevel="0" collapsed="false">
      <c r="A16" s="0" t="s">
        <v>120</v>
      </c>
      <c r="C16" s="0" t="n">
        <f aca="false">-C12</f>
        <v>4427.9984</v>
      </c>
      <c r="D16" s="0" t="n">
        <f aca="false">-D12</f>
        <v>4427.9984</v>
      </c>
      <c r="E16" s="0" t="n">
        <f aca="false">-E12</f>
        <v>4494.418376</v>
      </c>
      <c r="F16" s="0" t="n">
        <f aca="false">-F12</f>
        <v>4606.7788354</v>
      </c>
      <c r="G16" s="0" t="n">
        <f aca="false">-G12</f>
        <v>4744.982200462</v>
      </c>
      <c r="H16" s="0" t="n">
        <f aca="false">-H12</f>
        <v>4839.88184447124</v>
      </c>
      <c r="I16" s="0" t="n">
        <f aca="false">-I12</f>
        <v>4936.67948136066</v>
      </c>
      <c r="J16" s="0" t="n">
        <f aca="false">-J12</f>
        <v>5035.41307098788</v>
      </c>
      <c r="K16" s="0" t="n">
        <f aca="false">-K12</f>
        <v>5136.12133240763</v>
      </c>
      <c r="L16" s="0" t="n">
        <f aca="false">-L12</f>
        <v>5238.84375905579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-6752.69756</v>
      </c>
      <c r="D17" s="4" t="n">
        <f aca="false">-D6*Assumptions!D18/100</f>
        <v>-6752.69756</v>
      </c>
      <c r="E17" s="4" t="n">
        <f aca="false">-E6*Assumptions!E18/100</f>
        <v>-6853.9880234</v>
      </c>
      <c r="F17" s="4" t="n">
        <f aca="false">-F6*Assumptions!F18/100</f>
        <v>-7025.337723985</v>
      </c>
      <c r="G17" s="4" t="n">
        <f aca="false">-G6*Assumptions!G18/100</f>
        <v>-7236.09785570455</v>
      </c>
      <c r="H17" s="4" t="n">
        <f aca="false">-H6*Assumptions!H18/100</f>
        <v>-7380.81981281864</v>
      </c>
      <c r="I17" s="4" t="n">
        <f aca="false">-I6*Assumptions!I18/100</f>
        <v>-7528.43620907501</v>
      </c>
      <c r="J17" s="4" t="n">
        <f aca="false">-J6*Assumptions!J18/100</f>
        <v>-7679.00493325651</v>
      </c>
      <c r="K17" s="4" t="n">
        <f aca="false">-K6*Assumptions!K18/100</f>
        <v>-7832.58503192164</v>
      </c>
      <c r="L17" s="4" t="n">
        <f aca="false">-L6*Assumptions!L18/100</f>
        <v>-7989.23673256008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-130.876799999999</v>
      </c>
      <c r="D18" s="4" t="n">
        <f aca="false">(D6-C6)*Assumptions!$B$23/100</f>
        <v>-0</v>
      </c>
      <c r="E18" s="4" t="n">
        <f aca="false">(E6-D6)*Assumptions!$B$23/100</f>
        <v>-132.839951999999</v>
      </c>
      <c r="F18" s="4" t="n">
        <f aca="false">(F6-E6)*Assumptions!$B$23/100</f>
        <v>-224.7209188</v>
      </c>
      <c r="G18" s="4" t="n">
        <f aca="false">(G6-F6)*Assumptions!$B$23/100</f>
        <v>-276.406730124</v>
      </c>
      <c r="H18" s="4" t="n">
        <f aca="false">(H6-G6)*Assumptions!$B$23/100</f>
        <v>-189.79928801848</v>
      </c>
      <c r="I18" s="4" t="n">
        <f aca="false">(I6-H6)*Assumptions!$B$23/100</f>
        <v>-193.59527377885</v>
      </c>
      <c r="J18" s="4" t="n">
        <f aca="false">(J6-I6)*Assumptions!$B$23/100</f>
        <v>-197.467179254426</v>
      </c>
      <c r="K18" s="4" t="n">
        <f aca="false">(K6-J6)*Assumptions!$B$23/100</f>
        <v>-201.416522839515</v>
      </c>
      <c r="L18" s="4" t="n">
        <f aca="false">(L6-K6)*Assumptions!$B$23/100</f>
        <v>-205.444853296306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10934.6912016</v>
      </c>
      <c r="D19" s="0" t="n">
        <f aca="false">D15+D16+D17+D18</f>
        <v>10446.7552252</v>
      </c>
      <c r="E19" s="0" t="n">
        <f aca="false">E15+E16+E17+E18</f>
        <v>9929.03918727</v>
      </c>
      <c r="F19" s="0" t="n">
        <f aca="false">F15+F16+F17+F18</f>
        <v>9851.16816525144</v>
      </c>
      <c r="G19" s="0" t="n">
        <f aca="false">G15+G16+G17+G18</f>
        <v>10101.759026449</v>
      </c>
      <c r="H19" s="0" t="n">
        <f aca="false">H15+H16+H17+H18</f>
        <v>10395.929783686</v>
      </c>
      <c r="I19" s="0" t="n">
        <f aca="false">I15+I16+I17+I18</f>
        <v>10603.8483793597</v>
      </c>
      <c r="J19" s="0" t="n">
        <f aca="false">J15+J16+J17+J18</f>
        <v>10815.9253469469</v>
      </c>
      <c r="K19" s="0" t="n">
        <f aca="false">K15+K16+K17+K18</f>
        <v>11032.2438538858</v>
      </c>
      <c r="L19" s="0" t="n">
        <f aca="false">L15+L16+L17+L18</f>
        <v>11252.8887309635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10195.5162718881</v>
      </c>
      <c r="D21" s="0" t="n">
        <f aca="false">D19*D20</f>
        <v>9082.11124712428</v>
      </c>
      <c r="E21" s="0" t="n">
        <f aca="false">E19*E20</f>
        <v>8048.50692709207</v>
      </c>
      <c r="F21" s="0" t="n">
        <f aca="false">F19*F20</f>
        <v>7445.57991507143</v>
      </c>
      <c r="G21" s="0" t="n">
        <f aca="false">G19*G20</f>
        <v>7118.86078572526</v>
      </c>
      <c r="H21" s="0" t="n">
        <f aca="false">H19*H20</f>
        <v>6830.92524139927</v>
      </c>
      <c r="I21" s="0" t="n">
        <f aca="false">I19*I20</f>
        <v>6496.54428552658</v>
      </c>
      <c r="J21" s="0" t="n">
        <f aca="false">J19*J20</f>
        <v>6178.53162819311</v>
      </c>
      <c r="K21" s="0" t="n">
        <f aca="false">K19*K20</f>
        <v>5876.08602401583</v>
      </c>
      <c r="L21" s="0" t="n">
        <f aca="false">L19*L20</f>
        <v>5588.44544941365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7.25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72861.1077754496</v>
      </c>
    </row>
    <row r="31" customFormat="false" ht="15" hidden="false" customHeight="false" outlineLevel="0" collapsed="false">
      <c r="A31" s="0" t="s">
        <v>129</v>
      </c>
      <c r="B31" s="0" t="n">
        <f aca="false">L19</f>
        <v>11252.8887309635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198637.948903095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135034.664771562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135034.664771562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67061.3453929638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139922.453168413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98194.4531684134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51.4187847140459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-0.63532776798549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9038.04791611972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12629.7085675044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62.7649419553006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84605.0523105776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16.6048161700535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2.5</v>
      </c>
      <c r="D5" s="4" t="n">
        <f aca="false">Assumptions!D27</f>
        <v>4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5</v>
      </c>
      <c r="H5" s="4" t="n">
        <f aca="false">Assumptions!H27</f>
        <v>4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54532</v>
      </c>
      <c r="C6" s="0" t="n">
        <f aca="false">B6*(1+C5/100)</f>
        <v>55895.3</v>
      </c>
      <c r="D6" s="0" t="n">
        <f aca="false">C6*(1+D5/100)</f>
        <v>58131.112</v>
      </c>
      <c r="E6" s="0" t="n">
        <f aca="false">D6*(1+E5/100)</f>
        <v>61037.6676</v>
      </c>
      <c r="F6" s="0" t="n">
        <f aca="false">E6*(1+F5/100)</f>
        <v>64089.55098</v>
      </c>
      <c r="G6" s="0" t="n">
        <f aca="false">F6*(1+G5/100)</f>
        <v>67294.028529</v>
      </c>
      <c r="H6" s="0" t="n">
        <f aca="false">G6*(1+H5/100)</f>
        <v>69985.78967016</v>
      </c>
      <c r="I6" s="0" t="n">
        <f aca="false">H6*(1+I5/100)</f>
        <v>72085.3633602648</v>
      </c>
      <c r="J6" s="0" t="n">
        <f aca="false">I6*(1+J5/100)</f>
        <v>74247.9242610728</v>
      </c>
      <c r="K6" s="0" t="n">
        <f aca="false">J6*(1+K5/100)</f>
        <v>76475.361988905</v>
      </c>
      <c r="L6" s="0" t="n">
        <f aca="false">K6*(1+L5/100)</f>
        <v>78769.6228485721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39.7</v>
      </c>
      <c r="D7" s="4" t="n">
        <f aca="false">Assumptions!D28</f>
        <v>40</v>
      </c>
      <c r="E7" s="4" t="n">
        <f aca="false">Assumptions!E28</f>
        <v>40.5</v>
      </c>
      <c r="F7" s="4" t="n">
        <f aca="false">Assumptions!F28</f>
        <v>41</v>
      </c>
      <c r="G7" s="4" t="n">
        <f aca="false">Assumptions!G28</f>
        <v>41</v>
      </c>
      <c r="H7" s="4" t="n">
        <f aca="false">Assumptions!H28</f>
        <v>41</v>
      </c>
      <c r="I7" s="4" t="n">
        <f aca="false">Assumptions!I28</f>
        <v>41</v>
      </c>
      <c r="J7" s="4" t="n">
        <f aca="false">Assumptions!J28</f>
        <v>41</v>
      </c>
      <c r="K7" s="4" t="n">
        <f aca="false">Assumptions!K28</f>
        <v>41</v>
      </c>
      <c r="L7" s="4" t="n">
        <f aca="false">Assumptions!L28</f>
        <v>41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22190.4341</v>
      </c>
      <c r="D8" s="0" t="n">
        <f aca="false">D6*D7/100</f>
        <v>23252.4448</v>
      </c>
      <c r="E8" s="0" t="n">
        <f aca="false">E6*E7/100</f>
        <v>24720.255378</v>
      </c>
      <c r="F8" s="0" t="n">
        <f aca="false">F6*F7/100</f>
        <v>26276.7159018</v>
      </c>
      <c r="G8" s="0" t="n">
        <f aca="false">G6*G7/100</f>
        <v>27590.55169689</v>
      </c>
      <c r="H8" s="0" t="n">
        <f aca="false">H6*H7/100</f>
        <v>28694.1737647656</v>
      </c>
      <c r="I8" s="0" t="n">
        <f aca="false">I6*I7/100</f>
        <v>29554.9989777086</v>
      </c>
      <c r="J8" s="0" t="n">
        <f aca="false">J6*J7/100</f>
        <v>30441.6489470398</v>
      </c>
      <c r="K8" s="0" t="n">
        <f aca="false">K6*K7/100</f>
        <v>31354.898415451</v>
      </c>
      <c r="L8" s="0" t="n">
        <f aca="false">L6*L7/100</f>
        <v>32295.5453679146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2.1</v>
      </c>
      <c r="D9" s="4" t="n">
        <f aca="false">Assumptions!D29</f>
        <v>2.1</v>
      </c>
      <c r="E9" s="4" t="n">
        <f aca="false">Assumptions!E29</f>
        <v>2.1</v>
      </c>
      <c r="F9" s="4" t="n">
        <f aca="false">Assumptions!F29</f>
        <v>2.1</v>
      </c>
      <c r="G9" s="4" t="n">
        <f aca="false">Assumptions!G29</f>
        <v>2</v>
      </c>
      <c r="H9" s="4" t="n">
        <f aca="false">Assumptions!H29</f>
        <v>2</v>
      </c>
      <c r="I9" s="4" t="n">
        <f aca="false">Assumptions!I29</f>
        <v>2</v>
      </c>
      <c r="J9" s="4" t="n">
        <f aca="false">Assumptions!J29</f>
        <v>2</v>
      </c>
      <c r="K9" s="4" t="n">
        <f aca="false">Assumptions!K29</f>
        <v>2</v>
      </c>
      <c r="L9" s="4" t="n">
        <f aca="false">Assumptions!L29</f>
        <v>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-1173.8013</v>
      </c>
      <c r="D10" s="0" t="n">
        <f aca="false">-D6*D9/100</f>
        <v>-1220.753352</v>
      </c>
      <c r="E10" s="0" t="n">
        <f aca="false">-E6*E9/100</f>
        <v>-1281.7910196</v>
      </c>
      <c r="F10" s="0" t="n">
        <f aca="false">-F6*F9/100</f>
        <v>-1345.88057058</v>
      </c>
      <c r="G10" s="0" t="n">
        <f aca="false">-G6*G9/100</f>
        <v>-1345.88057058</v>
      </c>
      <c r="H10" s="0" t="n">
        <f aca="false">-H6*H9/100</f>
        <v>-1399.7157934032</v>
      </c>
      <c r="I10" s="0" t="n">
        <f aca="false">-I6*I9/100</f>
        <v>-1441.7072672053</v>
      </c>
      <c r="J10" s="0" t="n">
        <f aca="false">-J6*J9/100</f>
        <v>-1484.95848522146</v>
      </c>
      <c r="K10" s="0" t="n">
        <f aca="false">-K6*K9/100</f>
        <v>-1529.5072397781</v>
      </c>
      <c r="L10" s="0" t="n">
        <f aca="false">-L6*L9/100</f>
        <v>-1575.39245697144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21016.6328</v>
      </c>
      <c r="D11" s="0" t="n">
        <f aca="false">D8+D10+D24</f>
        <v>22031.691448</v>
      </c>
      <c r="E11" s="0" t="n">
        <f aca="false">E8+E10+E24</f>
        <v>23438.4643584</v>
      </c>
      <c r="F11" s="0" t="n">
        <f aca="false">F8+F10+F24</f>
        <v>24930.83533122</v>
      </c>
      <c r="G11" s="0" t="n">
        <f aca="false">G8+G10+G24</f>
        <v>26244.67112631</v>
      </c>
      <c r="H11" s="0" t="n">
        <f aca="false">H8+H10+H24</f>
        <v>27294.4579713624</v>
      </c>
      <c r="I11" s="0" t="n">
        <f aca="false">I8+I10+I24</f>
        <v>28113.2917105033</v>
      </c>
      <c r="J11" s="0" t="n">
        <f aca="false">J8+J10+J24</f>
        <v>28956.6904618184</v>
      </c>
      <c r="K11" s="0" t="n">
        <f aca="false">K8+K10+K24</f>
        <v>29825.3911756729</v>
      </c>
      <c r="L11" s="0" t="n">
        <f aca="false">L8+L10+L24</f>
        <v>30720.1529109431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-4471.624</v>
      </c>
      <c r="D12" s="4" t="n">
        <f aca="false">-D6*Assumptions!D31/100</f>
        <v>-4650.48896</v>
      </c>
      <c r="E12" s="4" t="n">
        <f aca="false">-E6*Assumptions!E31/100</f>
        <v>-4883.013408</v>
      </c>
      <c r="F12" s="4" t="n">
        <f aca="false">-F6*Assumptions!F31/100</f>
        <v>-5127.1640784</v>
      </c>
      <c r="G12" s="4" t="n">
        <f aca="false">-G6*Assumptions!G31/100</f>
        <v>-5383.52228232</v>
      </c>
      <c r="H12" s="4" t="n">
        <f aca="false">-H6*Assumptions!H31/100</f>
        <v>-5598.8631736128</v>
      </c>
      <c r="I12" s="4" t="n">
        <f aca="false">-I6*Assumptions!I31/100</f>
        <v>-5766.82906882119</v>
      </c>
      <c r="J12" s="4" t="n">
        <f aca="false">-J6*Assumptions!J31/100</f>
        <v>-5939.83394088582</v>
      </c>
      <c r="K12" s="4" t="n">
        <f aca="false">-K6*Assumptions!K31/100</f>
        <v>-6118.0289591124</v>
      </c>
      <c r="L12" s="4" t="n">
        <f aca="false">-L6*Assumptions!L31/100</f>
        <v>-6301.56982788577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16545.0088</v>
      </c>
      <c r="D13" s="0" t="n">
        <f aca="false">D11+D12</f>
        <v>17381.202488</v>
      </c>
      <c r="E13" s="0" t="n">
        <f aca="false">E11+E12</f>
        <v>18555.4509504</v>
      </c>
      <c r="F13" s="0" t="n">
        <f aca="false">F11+F12</f>
        <v>19803.67125282</v>
      </c>
      <c r="G13" s="0" t="n">
        <f aca="false">G11+G12</f>
        <v>20861.14884399</v>
      </c>
      <c r="H13" s="0" t="n">
        <f aca="false">H11+H12</f>
        <v>21695.5947977496</v>
      </c>
      <c r="I13" s="0" t="n">
        <f aca="false">I11+I12</f>
        <v>22346.4626416821</v>
      </c>
      <c r="J13" s="0" t="n">
        <f aca="false">J11+J12</f>
        <v>23016.8565209326</v>
      </c>
      <c r="K13" s="0" t="n">
        <f aca="false">K11+K12</f>
        <v>23707.3622165605</v>
      </c>
      <c r="L13" s="0" t="n">
        <f aca="false">L11+L12</f>
        <v>24418.5830830574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15.5</v>
      </c>
      <c r="D14" s="4" t="n">
        <f aca="false">Assumptions!D33</f>
        <v>16</v>
      </c>
      <c r="E14" s="4" t="n">
        <f aca="false">Assumptions!E33</f>
        <v>16.5</v>
      </c>
      <c r="F14" s="4" t="n">
        <f aca="false">Assumptions!F33</f>
        <v>16.5</v>
      </c>
      <c r="G14" s="4" t="n">
        <f aca="false">Assumptions!G33</f>
        <v>16.5</v>
      </c>
      <c r="H14" s="4" t="n">
        <f aca="false">Assumptions!H33</f>
        <v>16.5</v>
      </c>
      <c r="I14" s="4" t="n">
        <f aca="false">Assumptions!I33</f>
        <v>16.5</v>
      </c>
      <c r="J14" s="4" t="n">
        <f aca="false">Assumptions!J33</f>
        <v>16.5</v>
      </c>
      <c r="K14" s="4" t="n">
        <f aca="false">Assumptions!K33</f>
        <v>16.5</v>
      </c>
      <c r="L14" s="4" t="n">
        <f aca="false">Assumptions!L33</f>
        <v>16.5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13980.532436</v>
      </c>
      <c r="D15" s="0" t="n">
        <f aca="false">D13-MAX(0,D13)*D14/100</f>
        <v>14600.21008992</v>
      </c>
      <c r="E15" s="0" t="n">
        <f aca="false">E13-MAX(0,E13)*E14/100</f>
        <v>15493.801543584</v>
      </c>
      <c r="F15" s="0" t="n">
        <f aca="false">F13-MAX(0,F13)*F14/100</f>
        <v>16536.0654961047</v>
      </c>
      <c r="G15" s="0" t="n">
        <f aca="false">G13-MAX(0,G13)*G14/100</f>
        <v>17419.0592847317</v>
      </c>
      <c r="H15" s="0" t="n">
        <f aca="false">H13-MAX(0,H13)*H14/100</f>
        <v>18115.8216561209</v>
      </c>
      <c r="I15" s="0" t="n">
        <f aca="false">I13-MAX(0,I13)*I14/100</f>
        <v>18659.2963058046</v>
      </c>
      <c r="J15" s="0" t="n">
        <f aca="false">J13-MAX(0,J13)*J14/100</f>
        <v>19219.0751949787</v>
      </c>
      <c r="K15" s="0" t="n">
        <f aca="false">K13-MAX(0,K13)*K14/100</f>
        <v>19795.647450828</v>
      </c>
      <c r="L15" s="0" t="n">
        <f aca="false">L13-MAX(0,L13)*L14/100</f>
        <v>20389.5168743529</v>
      </c>
    </row>
    <row r="16" customFormat="false" ht="15" hidden="false" customHeight="false" outlineLevel="0" collapsed="false">
      <c r="A16" s="0" t="s">
        <v>120</v>
      </c>
      <c r="C16" s="0" t="n">
        <f aca="false">-C12</f>
        <v>4471.624</v>
      </c>
      <c r="D16" s="0" t="n">
        <f aca="false">-D12</f>
        <v>4650.48896</v>
      </c>
      <c r="E16" s="0" t="n">
        <f aca="false">-E12</f>
        <v>4883.013408</v>
      </c>
      <c r="F16" s="0" t="n">
        <f aca="false">-F12</f>
        <v>5127.1640784</v>
      </c>
      <c r="G16" s="0" t="n">
        <f aca="false">-G12</f>
        <v>5383.52228232</v>
      </c>
      <c r="H16" s="0" t="n">
        <f aca="false">-H12</f>
        <v>5598.8631736128</v>
      </c>
      <c r="I16" s="0" t="n">
        <f aca="false">-I12</f>
        <v>5766.82906882119</v>
      </c>
      <c r="J16" s="0" t="n">
        <f aca="false">-J12</f>
        <v>5939.83394088582</v>
      </c>
      <c r="K16" s="0" t="n">
        <f aca="false">-K12</f>
        <v>6118.0289591124</v>
      </c>
      <c r="L16" s="0" t="n">
        <f aca="false">-L12</f>
        <v>6301.56982788577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-5701.3206</v>
      </c>
      <c r="D17" s="4" t="n">
        <f aca="false">-D6*Assumptions!D32/100</f>
        <v>-5929.373424</v>
      </c>
      <c r="E17" s="4" t="n">
        <f aca="false">-E6*Assumptions!E32/100</f>
        <v>-6225.8420952</v>
      </c>
      <c r="F17" s="4" t="n">
        <f aca="false">-F6*Assumptions!F32/100</f>
        <v>-6537.13419996</v>
      </c>
      <c r="G17" s="4" t="n">
        <f aca="false">-G6*Assumptions!G32/100</f>
        <v>-6863.990909958</v>
      </c>
      <c r="H17" s="4" t="n">
        <f aca="false">-H6*Assumptions!H32/100</f>
        <v>-7138.55054635632</v>
      </c>
      <c r="I17" s="4" t="n">
        <f aca="false">-I6*Assumptions!I32/100</f>
        <v>-7352.70706274701</v>
      </c>
      <c r="J17" s="4" t="n">
        <f aca="false">-J6*Assumptions!J32/100</f>
        <v>-7573.28827462942</v>
      </c>
      <c r="K17" s="4" t="n">
        <f aca="false">-K6*Assumptions!K32/100</f>
        <v>-7800.48692286831</v>
      </c>
      <c r="L17" s="4" t="n">
        <f aca="false">-L6*Assumptions!L32/100</f>
        <v>-8034.50153055435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-218.127999999999</v>
      </c>
      <c r="D18" s="4" t="n">
        <f aca="false">(D6-C6)*Assumptions!$B$37/100</f>
        <v>-357.729920000001</v>
      </c>
      <c r="E18" s="4" t="n">
        <f aca="false">(E6-D6)*Assumptions!$B$37/100</f>
        <v>-465.048896</v>
      </c>
      <c r="F18" s="4" t="n">
        <f aca="false">(F6-E6)*Assumptions!$B$37/100</f>
        <v>-488.3013408</v>
      </c>
      <c r="G18" s="4" t="n">
        <f aca="false">(G6-F6)*Assumptions!$B$37/100</f>
        <v>-512.71640784</v>
      </c>
      <c r="H18" s="4" t="n">
        <f aca="false">(H6-G6)*Assumptions!$B$37/100</f>
        <v>-430.681782585601</v>
      </c>
      <c r="I18" s="4" t="n">
        <f aca="false">(I6-H6)*Assumptions!$B$37/100</f>
        <v>-335.931790416769</v>
      </c>
      <c r="J18" s="4" t="n">
        <f aca="false">(J6-I6)*Assumptions!$B$37/100</f>
        <v>-346.009744129272</v>
      </c>
      <c r="K18" s="4" t="n">
        <f aca="false">(K6-J6)*Assumptions!$B$37/100</f>
        <v>-356.390036453151</v>
      </c>
      <c r="L18" s="4" t="n">
        <f aca="false">(L6-K6)*Assumptions!$B$37/100</f>
        <v>-367.081737546744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12532.707836</v>
      </c>
      <c r="D19" s="0" t="n">
        <f aca="false">D15+D16+D17+D18</f>
        <v>12963.59570592</v>
      </c>
      <c r="E19" s="0" t="n">
        <f aca="false">E15+E16+E17+E18</f>
        <v>13685.923960384</v>
      </c>
      <c r="F19" s="0" t="n">
        <f aca="false">F15+F16+F17+F18</f>
        <v>14637.7940337447</v>
      </c>
      <c r="G19" s="0" t="n">
        <f aca="false">G15+G16+G17+G18</f>
        <v>15425.8742492537</v>
      </c>
      <c r="H19" s="0" t="n">
        <f aca="false">H15+H16+H17+H18</f>
        <v>16145.4525007918</v>
      </c>
      <c r="I19" s="0" t="n">
        <f aca="false">I15+I16+I17+I18</f>
        <v>16737.486521462</v>
      </c>
      <c r="J19" s="0" t="n">
        <f aca="false">J15+J16+J17+J18</f>
        <v>17239.6111171058</v>
      </c>
      <c r="K19" s="0" t="n">
        <f aca="false">K15+K16+K17+K18</f>
        <v>17756.799450619</v>
      </c>
      <c r="L19" s="0" t="n">
        <f aca="false">L15+L16+L17+L18</f>
        <v>18289.5034341376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11685.5084717949</v>
      </c>
      <c r="D21" s="0" t="n">
        <f aca="false">D19*D20</f>
        <v>11270.1806279427</v>
      </c>
      <c r="E21" s="0" t="n">
        <f aca="false">E19*E20</f>
        <v>11093.8482285406</v>
      </c>
      <c r="F21" s="0" t="n">
        <f aca="false">F19*F20</f>
        <v>11063.3443090574</v>
      </c>
      <c r="G21" s="0" t="n">
        <f aca="false">G19*G20</f>
        <v>10870.8444728307</v>
      </c>
      <c r="H21" s="0" t="n">
        <f aca="false">H19*H20</f>
        <v>10608.8037641947</v>
      </c>
      <c r="I21" s="0" t="n">
        <f aca="false">I19*I20</f>
        <v>10254.3735561832</v>
      </c>
      <c r="J21" s="0" t="n">
        <f aca="false">J19*J20</f>
        <v>9848.02308892185</v>
      </c>
      <c r="K21" s="0" t="n">
        <f aca="false">K19*K20</f>
        <v>9457.77508772914</v>
      </c>
      <c r="L21" s="0" t="n">
        <f aca="false">L19*L20</f>
        <v>9082.99145954407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7.25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105235.693066739</v>
      </c>
    </row>
    <row r="31" customFormat="false" ht="15" hidden="false" customHeight="false" outlineLevel="0" collapsed="false">
      <c r="A31" s="0" t="s">
        <v>129</v>
      </c>
      <c r="B31" s="0" t="n">
        <f aca="false">L19</f>
        <v>18289.5034341376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355338.923863244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274342.551512063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274342.551512063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136244.871893161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241480.5649599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199752.5649599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104.598923893753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-0.258163660327992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9408.75772270661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15200.4561724536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117.485353120941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143502.257714002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35.5855483320392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3</v>
      </c>
      <c r="D5" s="4" t="n">
        <f aca="false">Assumptions!D41</f>
        <v>6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54532</v>
      </c>
      <c r="C6" s="0" t="n">
        <f aca="false">B6*(1+C5/100)</f>
        <v>56167.96</v>
      </c>
      <c r="D6" s="0" t="n">
        <f aca="false">C6*(1+D5/100)</f>
        <v>59538.0376</v>
      </c>
      <c r="E6" s="0" t="n">
        <f aca="false">D6*(1+E5/100)</f>
        <v>63705.700232</v>
      </c>
      <c r="F6" s="0" t="n">
        <f aca="false">E6*(1+F5/100)</f>
        <v>68165.09924824</v>
      </c>
      <c r="G6" s="0" t="n">
        <f aca="false">F6*(1+G5/100)</f>
        <v>72595.8306993756</v>
      </c>
      <c r="H6" s="0" t="n">
        <f aca="false">G6*(1+H5/100)</f>
        <v>76225.6222343444</v>
      </c>
      <c r="I6" s="0" t="n">
        <f aca="false">H6*(1+I5/100)</f>
        <v>79655.7752348899</v>
      </c>
      <c r="J6" s="0" t="n">
        <f aca="false">I6*(1+J5/100)</f>
        <v>82842.0062442855</v>
      </c>
      <c r="K6" s="0" t="n">
        <f aca="false">J6*(1+K5/100)</f>
        <v>85741.4764628355</v>
      </c>
      <c r="L6" s="0" t="n">
        <f aca="false">K6*(1+L5/100)</f>
        <v>88313.7207567206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40</v>
      </c>
      <c r="D7" s="4" t="n">
        <f aca="false">Assumptions!D42</f>
        <v>41</v>
      </c>
      <c r="E7" s="4" t="n">
        <f aca="false">Assumptions!E42</f>
        <v>42</v>
      </c>
      <c r="F7" s="4" t="n">
        <f aca="false">Assumptions!F42</f>
        <v>42.5</v>
      </c>
      <c r="G7" s="4" t="n">
        <f aca="false">Assumptions!G42</f>
        <v>43</v>
      </c>
      <c r="H7" s="4" t="n">
        <f aca="false">Assumptions!H42</f>
        <v>43.5</v>
      </c>
      <c r="I7" s="4" t="n">
        <f aca="false">Assumptions!I42</f>
        <v>43.5</v>
      </c>
      <c r="J7" s="4" t="n">
        <f aca="false">Assumptions!J42</f>
        <v>43.5</v>
      </c>
      <c r="K7" s="4" t="n">
        <f aca="false">Assumptions!K42</f>
        <v>43.5</v>
      </c>
      <c r="L7" s="4" t="n">
        <f aca="false">Assumptions!L42</f>
        <v>43.5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22467.184</v>
      </c>
      <c r="D8" s="0" t="n">
        <f aca="false">D6*D7/100</f>
        <v>24410.595416</v>
      </c>
      <c r="E8" s="0" t="n">
        <f aca="false">E6*E7/100</f>
        <v>26756.39409744</v>
      </c>
      <c r="F8" s="0" t="n">
        <f aca="false">F6*F7/100</f>
        <v>28970.167180502</v>
      </c>
      <c r="G8" s="0" t="n">
        <f aca="false">G6*G7/100</f>
        <v>31216.2072007315</v>
      </c>
      <c r="H8" s="0" t="n">
        <f aca="false">H6*H7/100</f>
        <v>33158.1456719398</v>
      </c>
      <c r="I8" s="0" t="n">
        <f aca="false">I6*I7/100</f>
        <v>34650.2622271771</v>
      </c>
      <c r="J8" s="0" t="n">
        <f aca="false">J6*J7/100</f>
        <v>36036.2727162642</v>
      </c>
      <c r="K8" s="0" t="n">
        <f aca="false">K6*K7/100</f>
        <v>37297.5422613334</v>
      </c>
      <c r="L8" s="0" t="n">
        <f aca="false">L6*L7/100</f>
        <v>38416.4685291734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2.1</v>
      </c>
      <c r="D9" s="4" t="n">
        <f aca="false">Assumptions!D43</f>
        <v>2.1</v>
      </c>
      <c r="E9" s="4" t="n">
        <f aca="false">Assumptions!E43</f>
        <v>2</v>
      </c>
      <c r="F9" s="4" t="n">
        <f aca="false">Assumptions!F43</f>
        <v>2</v>
      </c>
      <c r="G9" s="4" t="n">
        <f aca="false">Assumptions!G43</f>
        <v>2</v>
      </c>
      <c r="H9" s="4" t="n">
        <f aca="false">Assumptions!H43</f>
        <v>2</v>
      </c>
      <c r="I9" s="4" t="n">
        <f aca="false">Assumptions!I43</f>
        <v>2</v>
      </c>
      <c r="J9" s="4" t="n">
        <f aca="false">Assumptions!J43</f>
        <v>2</v>
      </c>
      <c r="K9" s="4" t="n">
        <f aca="false">Assumptions!K43</f>
        <v>2</v>
      </c>
      <c r="L9" s="4" t="n">
        <f aca="false">Assumptions!L43</f>
        <v>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-1179.52716</v>
      </c>
      <c r="D10" s="0" t="n">
        <f aca="false">-D6*D9/100</f>
        <v>-1250.2987896</v>
      </c>
      <c r="E10" s="0" t="n">
        <f aca="false">-E6*E9/100</f>
        <v>-1274.11400464</v>
      </c>
      <c r="F10" s="0" t="n">
        <f aca="false">-F6*F9/100</f>
        <v>-1363.3019849648</v>
      </c>
      <c r="G10" s="0" t="n">
        <f aca="false">-G6*G9/100</f>
        <v>-1451.91661398751</v>
      </c>
      <c r="H10" s="0" t="n">
        <f aca="false">-H6*H9/100</f>
        <v>-1524.51244468689</v>
      </c>
      <c r="I10" s="0" t="n">
        <f aca="false">-I6*I9/100</f>
        <v>-1593.1155046978</v>
      </c>
      <c r="J10" s="0" t="n">
        <f aca="false">-J6*J9/100</f>
        <v>-1656.84012488571</v>
      </c>
      <c r="K10" s="0" t="n">
        <f aca="false">-K6*K9/100</f>
        <v>-1714.82952925671</v>
      </c>
      <c r="L10" s="0" t="n">
        <f aca="false">-L6*L9/100</f>
        <v>-1766.27441513441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21287.65684</v>
      </c>
      <c r="D11" s="0" t="n">
        <f aca="false">D8+D10+D24</f>
        <v>23160.2966264</v>
      </c>
      <c r="E11" s="0" t="n">
        <f aca="false">E8+E10+E24</f>
        <v>25482.2800928</v>
      </c>
      <c r="F11" s="0" t="n">
        <f aca="false">F8+F10+F24</f>
        <v>27606.8651955372</v>
      </c>
      <c r="G11" s="0" t="n">
        <f aca="false">G8+G10+G24</f>
        <v>29764.290586744</v>
      </c>
      <c r="H11" s="0" t="n">
        <f aca="false">H8+H10+H24</f>
        <v>31633.6332272529</v>
      </c>
      <c r="I11" s="0" t="n">
        <f aca="false">I8+I10+I24</f>
        <v>33057.1467224793</v>
      </c>
      <c r="J11" s="0" t="n">
        <f aca="false">J8+J10+J24</f>
        <v>34379.4325913785</v>
      </c>
      <c r="K11" s="0" t="n">
        <f aca="false">K8+K10+K24</f>
        <v>35582.7127320767</v>
      </c>
      <c r="L11" s="0" t="n">
        <f aca="false">L8+L10+L24</f>
        <v>36650.194114039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-4493.4368</v>
      </c>
      <c r="D12" s="4" t="n">
        <f aca="false">-D6*Assumptions!D45/100</f>
        <v>-4763.043008</v>
      </c>
      <c r="E12" s="4" t="n">
        <f aca="false">-E6*Assumptions!E45/100</f>
        <v>-5096.45601856</v>
      </c>
      <c r="F12" s="4" t="n">
        <f aca="false">-F6*Assumptions!F45/100</f>
        <v>-5453.2079398592</v>
      </c>
      <c r="G12" s="4" t="n">
        <f aca="false">-G6*Assumptions!G45/100</f>
        <v>-5807.66645595005</v>
      </c>
      <c r="H12" s="4" t="n">
        <f aca="false">-H6*Assumptions!H45/100</f>
        <v>-6098.04977874755</v>
      </c>
      <c r="I12" s="4" t="n">
        <f aca="false">-I6*Assumptions!I45/100</f>
        <v>-6372.46201879119</v>
      </c>
      <c r="J12" s="4" t="n">
        <f aca="false">-J6*Assumptions!J45/100</f>
        <v>-6627.36049954284</v>
      </c>
      <c r="K12" s="4" t="n">
        <f aca="false">-K6*Assumptions!K45/100</f>
        <v>-6859.31811702684</v>
      </c>
      <c r="L12" s="4" t="n">
        <f aca="false">-L6*Assumptions!L45/100</f>
        <v>-7065.09766053765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16794.22004</v>
      </c>
      <c r="D13" s="0" t="n">
        <f aca="false">D11+D12</f>
        <v>18397.2536184</v>
      </c>
      <c r="E13" s="0" t="n">
        <f aca="false">E11+E12</f>
        <v>20385.82407424</v>
      </c>
      <c r="F13" s="0" t="n">
        <f aca="false">F11+F12</f>
        <v>22153.657255678</v>
      </c>
      <c r="G13" s="0" t="n">
        <f aca="false">G11+G12</f>
        <v>23956.624130794</v>
      </c>
      <c r="H13" s="0" t="n">
        <f aca="false">H11+H12</f>
        <v>25535.5834485054</v>
      </c>
      <c r="I13" s="0" t="n">
        <f aca="false">I11+I12</f>
        <v>26684.6847036881</v>
      </c>
      <c r="J13" s="0" t="n">
        <f aca="false">J11+J12</f>
        <v>27752.0720918356</v>
      </c>
      <c r="K13" s="0" t="n">
        <f aca="false">K11+K12</f>
        <v>28723.3946150499</v>
      </c>
      <c r="L13" s="0" t="n">
        <f aca="false">L11+L12</f>
        <v>29585.0964535014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15.5</v>
      </c>
      <c r="D14" s="4" t="n">
        <f aca="false">Assumptions!D47</f>
        <v>16</v>
      </c>
      <c r="E14" s="4" t="n">
        <f aca="false">Assumptions!E47</f>
        <v>16</v>
      </c>
      <c r="F14" s="4" t="n">
        <f aca="false">Assumptions!F47</f>
        <v>16</v>
      </c>
      <c r="G14" s="4" t="n">
        <f aca="false">Assumptions!G47</f>
        <v>16</v>
      </c>
      <c r="H14" s="4" t="n">
        <f aca="false">Assumptions!H47</f>
        <v>16</v>
      </c>
      <c r="I14" s="4" t="n">
        <f aca="false">Assumptions!I47</f>
        <v>16</v>
      </c>
      <c r="J14" s="4" t="n">
        <f aca="false">Assumptions!J47</f>
        <v>16</v>
      </c>
      <c r="K14" s="4" t="n">
        <f aca="false">Assumptions!K47</f>
        <v>16</v>
      </c>
      <c r="L14" s="4" t="n">
        <f aca="false">Assumptions!L47</f>
        <v>16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14191.1159338</v>
      </c>
      <c r="D15" s="0" t="n">
        <f aca="false">D13-MAX(0,D13)*D14/100</f>
        <v>15453.693039456</v>
      </c>
      <c r="E15" s="0" t="n">
        <f aca="false">E13-MAX(0,E13)*E14/100</f>
        <v>17124.0922223616</v>
      </c>
      <c r="F15" s="0" t="n">
        <f aca="false">F13-MAX(0,F13)*F14/100</f>
        <v>18609.0720947695</v>
      </c>
      <c r="G15" s="0" t="n">
        <f aca="false">G13-MAX(0,G13)*G14/100</f>
        <v>20123.5642698669</v>
      </c>
      <c r="H15" s="0" t="n">
        <f aca="false">H13-MAX(0,H13)*H14/100</f>
        <v>21449.8900967445</v>
      </c>
      <c r="I15" s="0" t="n">
        <f aca="false">I13-MAX(0,I13)*I14/100</f>
        <v>22415.135151098</v>
      </c>
      <c r="J15" s="0" t="n">
        <f aca="false">J13-MAX(0,J13)*J14/100</f>
        <v>23311.7405571419</v>
      </c>
      <c r="K15" s="0" t="n">
        <f aca="false">K13-MAX(0,K13)*K14/100</f>
        <v>24127.6514766419</v>
      </c>
      <c r="L15" s="0" t="n">
        <f aca="false">L13-MAX(0,L13)*L14/100</f>
        <v>24851.4810209412</v>
      </c>
    </row>
    <row r="16" customFormat="false" ht="15" hidden="false" customHeight="false" outlineLevel="0" collapsed="false">
      <c r="A16" s="0" t="s">
        <v>120</v>
      </c>
      <c r="C16" s="0" t="n">
        <f aca="false">-C12</f>
        <v>4493.4368</v>
      </c>
      <c r="D16" s="0" t="n">
        <f aca="false">-D12</f>
        <v>4763.043008</v>
      </c>
      <c r="E16" s="0" t="n">
        <f aca="false">-E12</f>
        <v>5096.45601856</v>
      </c>
      <c r="F16" s="0" t="n">
        <f aca="false">-F12</f>
        <v>5453.2079398592</v>
      </c>
      <c r="G16" s="0" t="n">
        <f aca="false">-G12</f>
        <v>5807.66645595005</v>
      </c>
      <c r="H16" s="0" t="n">
        <f aca="false">-H12</f>
        <v>6098.04977874755</v>
      </c>
      <c r="I16" s="0" t="n">
        <f aca="false">-I12</f>
        <v>6372.46201879119</v>
      </c>
      <c r="J16" s="0" t="n">
        <f aca="false">-J12</f>
        <v>6627.36049954284</v>
      </c>
      <c r="K16" s="0" t="n">
        <f aca="false">-K12</f>
        <v>6859.31811702684</v>
      </c>
      <c r="L16" s="0" t="n">
        <f aca="false">-L12</f>
        <v>7065.09766053765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-5167.45232</v>
      </c>
      <c r="D17" s="4" t="n">
        <f aca="false">-D6*Assumptions!D46/100</f>
        <v>-5477.4994592</v>
      </c>
      <c r="E17" s="4" t="n">
        <f aca="false">-E6*Assumptions!E46/100</f>
        <v>-5860.924421344</v>
      </c>
      <c r="F17" s="4" t="n">
        <f aca="false">-F6*Assumptions!F46/100</f>
        <v>-6271.18913083808</v>
      </c>
      <c r="G17" s="4" t="n">
        <f aca="false">-G6*Assumptions!G46/100</f>
        <v>-6678.81642434256</v>
      </c>
      <c r="H17" s="4" t="n">
        <f aca="false">-H6*Assumptions!H46/100</f>
        <v>-7012.75724555969</v>
      </c>
      <c r="I17" s="4" t="n">
        <f aca="false">-I6*Assumptions!I46/100</f>
        <v>-7328.33132160987</v>
      </c>
      <c r="J17" s="4" t="n">
        <f aca="false">-J6*Assumptions!J46/100</f>
        <v>-7621.46457447427</v>
      </c>
      <c r="K17" s="4" t="n">
        <f aca="false">-K6*Assumptions!K46/100</f>
        <v>-7888.21583458087</v>
      </c>
      <c r="L17" s="4" t="n">
        <f aca="false">-L6*Assumptions!L46/100</f>
        <v>-8124.86230961829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-261.7536</v>
      </c>
      <c r="D18" s="4" t="n">
        <f aca="false">(D6-C6)*Assumptions!$B$51/100</f>
        <v>-539.212416000001</v>
      </c>
      <c r="E18" s="4" t="n">
        <f aca="false">(E6-D6)*Assumptions!$B$51/100</f>
        <v>-666.826021120001</v>
      </c>
      <c r="F18" s="4" t="n">
        <f aca="false">(F6-E6)*Assumptions!$B$51/100</f>
        <v>-713.503842598401</v>
      </c>
      <c r="G18" s="4" t="n">
        <f aca="false">(G6-F6)*Assumptions!$B$51/100</f>
        <v>-708.917032181695</v>
      </c>
      <c r="H18" s="4" t="n">
        <f aca="false">(H6-G6)*Assumptions!$B$51/100</f>
        <v>-580.766645595005</v>
      </c>
      <c r="I18" s="4" t="n">
        <f aca="false">(I6-H6)*Assumptions!$B$51/100</f>
        <v>-548.82448008728</v>
      </c>
      <c r="J18" s="4" t="n">
        <f aca="false">(J6-I6)*Assumptions!$B$51/100</f>
        <v>-509.796961503297</v>
      </c>
      <c r="K18" s="4" t="n">
        <f aca="false">(K6-J6)*Assumptions!$B$51/100</f>
        <v>-463.915234967999</v>
      </c>
      <c r="L18" s="4" t="n">
        <f aca="false">(L6-K6)*Assumptions!$B$51/100</f>
        <v>-411.559087021612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13255.3468138</v>
      </c>
      <c r="D19" s="0" t="n">
        <f aca="false">D15+D16+D17+D18</f>
        <v>14200.024172256</v>
      </c>
      <c r="E19" s="0" t="n">
        <f aca="false">E15+E16+E17+E18</f>
        <v>15692.7977984576</v>
      </c>
      <c r="F19" s="0" t="n">
        <f aca="false">F15+F16+F17+F18</f>
        <v>17077.5870611922</v>
      </c>
      <c r="G19" s="0" t="n">
        <f aca="false">G15+G16+G17+G18</f>
        <v>18543.4972692927</v>
      </c>
      <c r="H19" s="0" t="n">
        <f aca="false">H15+H16+H17+H18</f>
        <v>19954.4159843374</v>
      </c>
      <c r="I19" s="0" t="n">
        <f aca="false">I15+I16+I17+I18</f>
        <v>20910.4413681921</v>
      </c>
      <c r="J19" s="0" t="n">
        <f aca="false">J15+J16+J17+J18</f>
        <v>21807.8395207072</v>
      </c>
      <c r="K19" s="0" t="n">
        <f aca="false">K15+K16+K17+K18</f>
        <v>22634.8385241199</v>
      </c>
      <c r="L19" s="0" t="n">
        <f aca="false">L15+L16+L17+L18</f>
        <v>23380.1572848389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12359.2977284848</v>
      </c>
      <c r="D21" s="0" t="n">
        <f aca="false">D19*D20</f>
        <v>12345.0962968086</v>
      </c>
      <c r="E21" s="0" t="n">
        <f aca="false">E19*E20</f>
        <v>12720.6257729625</v>
      </c>
      <c r="F21" s="0" t="n">
        <f aca="false">F19*F20</f>
        <v>12907.3564766876</v>
      </c>
      <c r="G21" s="0" t="n">
        <f aca="false">G19*G20</f>
        <v>13067.8800786021</v>
      </c>
      <c r="H21" s="0" t="n">
        <f aca="false">H19*H20</f>
        <v>13111.5856552527</v>
      </c>
      <c r="I21" s="0" t="n">
        <f aca="false">I19*I20</f>
        <v>12810.9723487549</v>
      </c>
      <c r="J21" s="0" t="n">
        <f aca="false">J19*J20</f>
        <v>12457.595804254</v>
      </c>
      <c r="K21" s="0" t="n">
        <f aca="false">K19*K20</f>
        <v>12055.9570717419</v>
      </c>
      <c r="L21" s="0" t="n">
        <f aca="false">L19*L20</f>
        <v>11611.1281919559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7.25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125447.495425505</v>
      </c>
    </row>
    <row r="31" customFormat="false" ht="15" hidden="false" customHeight="false" outlineLevel="0" collapsed="false">
      <c r="A31" s="0" t="s">
        <v>129</v>
      </c>
      <c r="B31" s="0" t="n">
        <f aca="false">L19</f>
        <v>23380.1572848389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504519.183514945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397462.673842262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397462.673842262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197389.17926325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322836.674688755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281108.674688755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147.200437078471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0.0439747310529834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9987.90517009438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18928.4662622742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162.342276860828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191717.289735679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48.7287982423854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51.4187847140459</v>
      </c>
      <c r="C4" s="0" t="n">
        <f aca="false">B4/Assumptions!$B$2-1</f>
        <v>-0.63532776798549</v>
      </c>
      <c r="D4" s="4" t="n">
        <f aca="false">Assumptions!$B$24</f>
        <v>0.25</v>
      </c>
      <c r="E4" s="4" t="n">
        <f aca="false">DCF_Bear!$B$43</f>
        <v>62.7649419553006</v>
      </c>
      <c r="F4" s="4" t="n">
        <f aca="false">DCF_Bear!$B$47</f>
        <v>16.6048161700535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104.598923893753</v>
      </c>
      <c r="C5" s="0" t="n">
        <f aca="false">B5/Assumptions!$B$2-1</f>
        <v>-0.258163660327992</v>
      </c>
      <c r="D5" s="4" t="n">
        <f aca="false">Assumptions!$B$38</f>
        <v>0.5</v>
      </c>
      <c r="E5" s="4" t="n">
        <f aca="false">DCF_Base!$B$43</f>
        <v>117.485353120941</v>
      </c>
      <c r="F5" s="4" t="n">
        <f aca="false">DCF_Base!$B$47</f>
        <v>35.5855483320392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147.200437078471</v>
      </c>
      <c r="C6" s="0" t="n">
        <f aca="false">B6/Assumptions!$B$2-1</f>
        <v>0.0439747310529834</v>
      </c>
      <c r="D6" s="4" t="n">
        <f aca="false">Assumptions!$B$52</f>
        <v>0.25</v>
      </c>
      <c r="E6" s="4" t="n">
        <f aca="false">DCF_Bull!$B$43</f>
        <v>162.342276860828</v>
      </c>
      <c r="F6" s="4" t="n">
        <f aca="false">DCF_Bull!$B$47</f>
        <v>48.7287982423854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101.954267395006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115.019481264503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-0.382973009395652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298.852609647313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34.1261777691293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104.598923893753</v>
      </c>
      <c r="C15" s="3" t="n">
        <v>7.25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87.739071689556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73.556034910346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62.5473563832035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53.7593629499276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35.5855483320392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5.25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125.22900864373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125.22900864373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125.22900864373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125.22900864373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125.22900864373</v>
      </c>
    </row>
    <row r="25" customFormat="false" ht="15" hidden="false" customHeight="false" outlineLevel="0" collapsed="false">
      <c r="A25" s="3" t="n">
        <v>6.25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114.423344688267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114.423344688267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114.423344688267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114.423344688267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114.423344688267</v>
      </c>
    </row>
    <row r="26" customFormat="false" ht="15" hidden="false" customHeight="false" outlineLevel="0" collapsed="false">
      <c r="A26" s="3" t="n">
        <v>7.25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104.598923893753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104.598923893753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104.598923893753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104.598923893753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104.598923893753</v>
      </c>
    </row>
    <row r="27" customFormat="false" ht="15" hidden="false" customHeight="false" outlineLevel="0" collapsed="false">
      <c r="A27" s="3" t="n">
        <v>8.25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91.022123578679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95.6557542188169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95.6557542188169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95.6557542188169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95.6557542188169</v>
      </c>
    </row>
    <row r="28" customFormat="false" ht="15" hidden="false" customHeight="false" outlineLevel="0" collapsed="false">
      <c r="A28" s="3" t="n">
        <v>9.25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76.6018682642422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79.9798563136925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83.8237737492738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87.5049624146989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87.5049624146989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2026-10-04T00:09:17Z</dcterms:created>
  <dc:creator>openpyxl</dc:creator>
  <dc:description/>
  <dc:language>en-NZ</dc:language>
  <cp:lastModifiedBy/>
  <dcterms:modified xsi:type="dcterms:W3CDTF">2026-10-04T00:09:18Z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