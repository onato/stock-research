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<sst xmlns="http://schemas.openxmlformats.org/spreadsheetml/2006/main" count="343" uniqueCount="163">
  <si>
    <t xml:space="preserve">Ticker</t>
  </si>
  <si>
    <t xml:space="preserve">3750.HK</t>
  </si>
  <si>
    <t xml:space="preserve">Company</t>
  </si>
  <si>
    <t xml:space="preserve">Contemporary Amperex Technology Co., Limited (CATL)</t>
  </si>
  <si>
    <t xml:space="preserve">Valuation date</t>
  </si>
  <si>
    <t xml:space="preserve">2026-10-23</t>
  </si>
  <si>
    <t xml:space="preserve">Current price</t>
  </si>
  <si>
    <t xml:space="preserve">Price as of</t>
  </si>
  <si>
    <t xml:space="preserve">2026-10-22T08:08:34Z</t>
  </si>
  <si>
    <t xml:space="preserve">Balance sheet date</t>
  </si>
  <si>
    <t xml:space="preserve">2026-09-30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</si>
  <si>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</si>
  <si>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</si>
  <si>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</si>
  <si>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</si>
  <si>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</si>
  <si>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</si>
  <si>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</si>
  <si>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</si>
  <si>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</si>
  <si>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</si>
  <si>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</si>
  <si>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2026-10-22T12:45:13Z</t>
  </si>
  <si>
    <t xml:space="preserve">Drivers file</t>
  </si>
  <si>
    <t xml:space="preserve">3750.HK_Drivers.json</t>
  </si>
  <si>
    <t xml:space="preserve">Convention</t>
  </si>
  <si>
    <t xml:space="preserve">Percents stored as percents; formulas divide by 100. Blue = input, green = link, black = formula.</t>
  </si>
  <si>
    <t xml:space="preserve">Methodology</t>
  </si>
  <si>
    <t xml:space="preserve">summary: CATL is valued as a scaled, net-cash, cyclical manufacturer whose 2026 margin re-basing is taken as the new normal rather than reversed. The value lives in volume growth at a 20-21% EBITDA margin with capex intensity falling as the capacity build completes; the FY2025 25.6% margin and the FY2025 RMB 33bn working-capital windfall are explicitly not carried forward. Risk is charged in the scenario flows and the 25% bear weight, once, at a single CNY-built 9.5% discount rate. Terminal value is capped at 15x owner FCF (cyclical), and the 10-year horizon is needed because capex intensity and D&amp;A are still converging in year 5.
key_risks_to_valuation: Margin path: every 1pp of terminal EBITDA margin is worth roughly 6-7% of base-case value; the bear's 16.5% versus the base's 21% is the dominant spread; Growth after FY2026 is a volume-versus-price judgment: 2026 revenue is inflated by raw-material pass-through, and a 2027 reversal (cost deflation passed back to OEMs) could make reported revenue growth near zero while GWh still grow 20%; Working-capital sign: FY2025 released RMB 33bn, 9M FY2026 consumed RMB 25bn; the base takes zero credit but a sustained reversal of supplier financing would cut interim FCF materially; Regulatory binaries: US 1260H escalation to Entity List/OFAC, EU local-content thresholds that do not recognise Hungary/Germany production, and lapsing Chinese NEV trade-in subsidies; Bridge items: RMB 63bn trading financial assets added at carrying value; RMB 72.8bn equity investments excluded (their income stays in EBITDA); NCI charged via a 6% leakage, not at book -- each is a stated choice a reader may reverse; Quote basis: the H-share trades at a ~31% premium to the A-share; HKD per-share values are CNY values x 1.1735, so the same intrinsic value implies very different upside on the two listings</t>
  </si>
  <si>
    <t xml:space="preserve">Data sources</t>
  </si>
  <si>
    <t xml:space="preserve">price: Yahoo Finance chart API (3750.HK) at inputs.price_as_of; 52-week range HKD 336.0-794.5. FX: Yahoo CNYHKD=X at 2026-10-22T12:38Z. A-share parity: Yahoo 300750.SZ at 2026-10-22T07:04Z.
financials: research/3750.HK/Reports/3750.HK_Metrics.csv (CNY millions, derived from core_metrics); FY2025 Annual Report (3750.HK_Annual_FY2025.txt: income statement 6040-6110, OCF reconciliation 12705-12739, SBC note 14284-14331, five-year highlights 15207-15261); Q3 FY2026 quarterly report (3750.HK_Quarterly_Q3-2026.txt: balance sheet 470-600, cash flow 770-841); H1 FY2026 interim (SBC 11010).
qualitative: research/3750.HK/Reports/3750.HK_Analysis.json (2026-10-23)</t>
  </si>
  <si>
    <t xml:space="preserve">Scenario narrative: bear</t>
  </si>
  <si>
    <t xml:space="preserve">The compression is structural: Chinese cell overcapacity (BYD, EVE, CALB, Gotion) turns into a sustained price war, ESS pricing keeps falling faster than costs, and EBITDA margin settles at 16.5% -- roughly where a commodity-ish cell maker with CATL's scale lands (below FY2022's 20% GM trough). After the pass-through-inflated FY2026, revenue growth collapses to 3-5%: domestic NEV volumes plateau as trade-in subsidies lapse, the EU 'Made in Europe' thresholds disadvantage Chinese-owned cells even from Hungary, and the US designation escalates (UFLPA/Entity List), closing US-exposed OEM programmes (Ford licensing). Working capital turns into a drag (-5% of revenue growth) as receivables and inventory outgrow supplier financing, as they did in 9M FY2026. Capex cannot fall as fast as growth because overseas plants are committed. The business remains solidly profitable and net cash -- this is a margin-and-growth bear, not a solvency bear.</t>
  </si>
  <si>
    <t xml:space="preserve">Scenario narrative: base</t>
  </si>
  <si>
    <t xml:space="preserve">The 2026 margin step-down (gross margin 26.3% -&gt; 20.7% by Q3) is a re-basing, not a blip, but it stops around the Q3 level: the raw-material pass-through lag and the fixed-price ESS backlog signed before input costs rose work through by FY2027-28, and EBITDA margin settles at 20.5-21% -- the low end of the FY2022-25 range -- with the overseas mix shift (Hungary, Spain, Indonesia; overseas GM 31% vs 24% domestic) offsetting continued domestic price competition. Volume keeps growing: global share holds ~40% in EV and #1 in ESS, where shipments nearly doubled in H1 FY2026 and data-centre demand adds a vector uncorrelated with the auto cycle. Revenue growth decelerates from +47% (FY2026, mostly pass-through) to +15% then single digits as China NEV penetration (~55%) saturates. Capex eases from 9.5% to 7% of revenue as the 321 GWh under construction completes. US market access stays closed (1260H) but the EU local-content rules treat the Debrecen and Arnstadt plants as European. Net cash of RMB 147.5bn plus RMB 63bn of trading assets is added once; interest income is stripped from the flows.</t>
  </si>
  <si>
    <t xml:space="preserve">Scenario narrative: bull</t>
  </si>
  <si>
    <t xml:space="preserve">Unit profit per Wh stabilises at ~RMB 0.11 while non-lithium input costs ease, so percentage margins recover toward 23-23.5% EBITDA by FY2029 as overseas revenue passes 40% of the mix at premium pricing, sodium-ion (Naxtra) and Shenxing fast-charge products carry a technology premium, and ESS pricing firms once the 2025-vintage fixed-price contracts roll off. Volume growth stays 20%+ through FY2028 on ESS (+AI data-centre power), European OEM design-wins on the Hungary ramp, and battery-swap network scale. Supplier-financed working capital resumes releasing cash (8% of the revenue increase). Global share drifts above 40%. The EU local-content regime lands favourably and the US overhang does not escalate to Entity List/OFAC.</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</si>
  <si>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</si>
  <si>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</si>
  <si>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</si>
  <si>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</si>
  <si>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</si>
  <si>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</si>
  <si>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</si>
  <si>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</si>
  <si>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</si>
  <si>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</si>
  <si>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</si>
  <si>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</si>
  <si>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</si>
  <si>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</si>
  <si>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</si>
  <si>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</si>
  <si>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</si>
  <si>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</si>
  <si>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</si>
  <si>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</si>
  <si>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</si>
  <si>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</si>
  <si>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</si>
  <si>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</si>
  <si>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</si>
  <si>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</si>
  <si>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</si>
  <si>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</si>
  <si>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RnDExpense</t>
  </si>
  <si>
    <t xml:space="preserve">SalesVolume</t>
  </si>
  <si>
    <t xml:space="preserve">TotalEquityInclNCI</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</si>
  <si>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</si>
  <si>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</si>
  <si>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</si>
  <si>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</si>
  <si>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</si>
  <si>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</si>
  <si>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</si>
  <si>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</si>
  <si>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</si>
  <si>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</si>
  <si>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</si>
  <si>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</si>
  <si>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</si>
  <si>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</si>
  <si>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</si>
  <si>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</si>
  <si>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</si>
  <si>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</si>
  <si>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</si>
  <si>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</si>
  <si>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</si>
  <si>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</si>
  <si>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</si>
  <si>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</si>
  <si>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</si>
  <si>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</si>
  <si>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</si>
  <si>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</si>
  <si>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</si>
  <si>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</si>
  <si>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</si>
  <si>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</si>
  <si>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</si>
  <si>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</si>
  <si>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</si>
  <si>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</si>
  <si>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</si>
  <si>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</si>
  <si>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</si>
  <si>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</si>
  <si>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3750.HK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</si>
  <si>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</si>
  <si>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</si>
  <si>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</si>
  <si>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</si>
  <si>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</si>
  <si>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</si>
  <si>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</si>
  <si>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</si>
  <si>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</si>
  <si>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</si>
  <si>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</si>
  <si>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</si>
  <si>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</si>
  <si>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</si>
  <si>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</si>
  <si>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</si>
  <si>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</si>
  <si>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</si>
  <si>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</si>
  <si>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</si>
  <si>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</si>
  <si>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</si>
  <si>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</si>
  <si>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</si>
  <si>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</si>
  <si>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</si>
  <si>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</si>
  <si>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</si>
  <si>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</si>
  <si>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</si>
  <si>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3750.HK owner-FCF component DCF: base case (millions, CNY)</t>
  </si>
  <si>
    <t xml:space="preserve">3750.HK owner-FCF component DCF: bull case (millions, CNY)</t>
  </si>
  <si>
    <t xml:space="preserve">3750.HK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</si>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</sst>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338.4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400917</v>
      </c>
      <c r="I2" s="0" t="n">
        <v>44121.2</v>
      </c>
      <c r="J2" s="0" t="n">
        <v>11</v>
      </c>
      <c r="K2" s="0" t="n">
        <v>10.05</v>
      </c>
      <c r="L2" s="0" t="n">
        <v>92826.1</v>
      </c>
      <c r="O2" s="0" t="n">
        <v>197708.1</v>
      </c>
      <c r="P2" s="0" t="n">
        <v>717168</v>
      </c>
      <c r="Q2" s="0" t="n">
        <v>497284.9</v>
      </c>
      <c r="S2" s="0" t="n">
        <v>238165.5</v>
      </c>
      <c r="T2" s="0" t="n">
        <v>4390.2</v>
      </c>
      <c r="AA2" s="0" t="s">
        <v>18</v>
      </c>
      <c r="AB2" s="0" t="s">
        <v>14</v>
      </c>
    </row>
    <row r="3" customFormat="false" ht="15" hidden="false" customHeight="false" outlineLevel="0" collapsed="false">
      <c r="A3" s="0" t="s">
        <v>69</v>
      </c>
      <c r="B3" s="0" t="n">
        <v>362012.6</v>
      </c>
      <c r="C3" s="0" t="n">
        <v>273519</v>
      </c>
      <c r="D3" s="0" t="n">
        <v>88493.6</v>
      </c>
      <c r="E3" s="0" t="n">
        <v>24.4</v>
      </c>
      <c r="F3" s="0" t="n">
        <v>64051.8</v>
      </c>
      <c r="G3" s="0" t="n">
        <v>17.7</v>
      </c>
      <c r="H3" s="0" t="n">
        <v>82496.1</v>
      </c>
      <c r="I3" s="0" t="n">
        <v>50744.7</v>
      </c>
      <c r="J3" s="0" t="n">
        <v>14</v>
      </c>
      <c r="K3" s="0" t="n">
        <v>11.58</v>
      </c>
      <c r="L3" s="0" t="n">
        <v>96990.3</v>
      </c>
      <c r="M3" s="0" t="n">
        <v>31179.9</v>
      </c>
      <c r="N3" s="0" t="n">
        <v>65810.4</v>
      </c>
      <c r="O3" s="0" t="n">
        <v>246930</v>
      </c>
      <c r="P3" s="0" t="n">
        <v>786658.1</v>
      </c>
      <c r="Q3" s="0" t="n">
        <v>513201.9</v>
      </c>
      <c r="R3" s="0" t="n">
        <v>135738.8</v>
      </c>
      <c r="S3" s="0" t="n">
        <v>270159.7</v>
      </c>
      <c r="T3" s="0" t="n">
        <v>4382.1</v>
      </c>
      <c r="AA3" s="0" t="s">
        <v>18</v>
      </c>
      <c r="AB3" s="0" t="s">
        <v>14</v>
      </c>
      <c r="AC3" s="0" t="n">
        <v>54006.8</v>
      </c>
      <c r="AD3" s="0" t="n">
        <v>18606.8</v>
      </c>
      <c r="AF3" s="0" t="n">
        <v>273456.2</v>
      </c>
    </row>
    <row r="4" customFormat="false" ht="15" hidden="false" customHeight="false" outlineLevel="0" collapsed="false">
      <c r="A4" s="0" t="s">
        <v>70</v>
      </c>
      <c r="B4" s="0" t="n">
        <v>423701.8</v>
      </c>
      <c r="C4" s="0" t="n">
        <v>312383.3</v>
      </c>
      <c r="D4" s="0" t="n">
        <v>111318.5</v>
      </c>
      <c r="E4" s="0" t="n">
        <v>26.3</v>
      </c>
      <c r="F4" s="0" t="n">
        <v>89518.6</v>
      </c>
      <c r="G4" s="0" t="n">
        <v>21.1</v>
      </c>
      <c r="H4" s="0" t="n">
        <v>108602.5</v>
      </c>
      <c r="I4" s="0" t="n">
        <v>72201.3</v>
      </c>
      <c r="J4" s="0" t="n">
        <v>17</v>
      </c>
      <c r="K4" s="0" t="n">
        <v>16.14</v>
      </c>
      <c r="L4" s="0" t="n">
        <v>133220</v>
      </c>
      <c r="M4" s="0" t="n">
        <v>42344.6</v>
      </c>
      <c r="N4" s="0" t="n">
        <v>90875.4</v>
      </c>
      <c r="O4" s="0" t="n">
        <v>337107.7</v>
      </c>
      <c r="P4" s="0" t="n">
        <v>974827.5</v>
      </c>
      <c r="Q4" s="0" t="n">
        <v>603801.2</v>
      </c>
      <c r="R4" s="0" t="n">
        <v>116851.3</v>
      </c>
      <c r="S4" s="0" t="n">
        <v>299929.7</v>
      </c>
      <c r="T4" s="0" t="n">
        <v>4473.4</v>
      </c>
      <c r="AA4" s="0" t="s">
        <v>18</v>
      </c>
      <c r="AB4" s="0" t="s">
        <v>14</v>
      </c>
      <c r="AC4" s="0" t="n">
        <v>76786.3</v>
      </c>
      <c r="AD4" s="0" t="n">
        <v>22146.6</v>
      </c>
      <c r="AE4" s="0" t="n">
        <v>661</v>
      </c>
      <c r="AF4" s="0" t="n">
        <v>371026.3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338.4</v>
      </c>
    </row>
    <row r="3" customFormat="false" ht="15" hidden="false" customHeight="false" outlineLevel="0" collapsed="false">
      <c r="A3" s="0" t="s">
        <v>74</v>
      </c>
      <c r="B3" s="3" t="n">
        <v>4627.25</v>
      </c>
    </row>
    <row r="4" customFormat="false" ht="15" hidden="false" customHeight="false" outlineLevel="0" collapsed="false">
      <c r="A4" s="0" t="s">
        <v>75</v>
      </c>
      <c r="B4" s="3" t="n">
        <v>-147536.4</v>
      </c>
    </row>
    <row r="5" customFormat="false" ht="15" hidden="false" customHeight="false" outlineLevel="0" collapsed="false">
      <c r="A5" s="0" t="s">
        <v>76</v>
      </c>
      <c r="B5" s="3" t="n">
        <v>58236</v>
      </c>
    </row>
    <row r="6" customFormat="false" ht="15" hidden="false" customHeight="false" outlineLevel="0" collapsed="false">
      <c r="A6" s="0" t="s">
        <v>77</v>
      </c>
      <c r="B6" s="3" t="n">
        <v>15</v>
      </c>
    </row>
    <row r="7" customFormat="false" ht="15" hidden="false" customHeight="false" outlineLevel="0" collapsed="false">
      <c r="A7" s="0" t="s">
        <v>78</v>
      </c>
      <c r="B7" s="3" t="n">
        <v>423701.8</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1.1735</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44</v>
      </c>
      <c r="D13" s="3" t="n">
        <v>5</v>
      </c>
      <c r="E13" s="3" t="n">
        <v>3</v>
      </c>
      <c r="F13" s="3" t="n">
        <v>3</v>
      </c>
      <c r="G13" s="3" t="n">
        <v>3</v>
      </c>
      <c r="H13" s="3" t="n">
        <v>3</v>
      </c>
      <c r="I13" s="3" t="n">
        <v>3</v>
      </c>
      <c r="J13" s="3" t="n">
        <v>2.5</v>
      </c>
      <c r="K13" s="3" t="n">
        <v>2.5</v>
      </c>
      <c r="L13" s="3" t="n">
        <v>2.5</v>
      </c>
    </row>
    <row r="14" customFormat="false" ht="15" hidden="false" customHeight="false" outlineLevel="0" collapsed="false">
      <c r="A14" s="0" t="s">
        <v>95</v>
      </c>
      <c r="C14" s="3" t="n">
        <v>21</v>
      </c>
      <c r="D14" s="3" t="n">
        <v>17.5</v>
      </c>
      <c r="E14" s="3" t="n">
        <v>16.5</v>
      </c>
      <c r="F14" s="3" t="n">
        <v>16.5</v>
      </c>
      <c r="G14" s="3" t="n">
        <v>16.5</v>
      </c>
      <c r="H14" s="3" t="n">
        <v>16.5</v>
      </c>
      <c r="I14" s="3" t="n">
        <v>16.5</v>
      </c>
      <c r="J14" s="3" t="n">
        <v>16.5</v>
      </c>
      <c r="K14" s="3" t="n">
        <v>16.5</v>
      </c>
      <c r="L14" s="3" t="n">
        <v>16.5</v>
      </c>
    </row>
    <row r="15" customFormat="false" ht="15" hidden="false" customHeight="false" outlineLevel="0" collapsed="false">
      <c r="A15" s="0" t="s">
        <v>96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98</v>
      </c>
      <c r="C17" s="3" t="n">
        <v>5.5</v>
      </c>
      <c r="D17" s="3" t="n">
        <v>5.8</v>
      </c>
      <c r="E17" s="3" t="n">
        <v>6</v>
      </c>
      <c r="F17" s="3" t="n">
        <v>6.2</v>
      </c>
      <c r="G17" s="3" t="n">
        <v>6.3</v>
      </c>
      <c r="H17" s="3" t="n">
        <v>6.3</v>
      </c>
      <c r="I17" s="3" t="n">
        <v>6.3</v>
      </c>
      <c r="J17" s="3" t="n">
        <v>6.3</v>
      </c>
      <c r="K17" s="3" t="n">
        <v>6.3</v>
      </c>
      <c r="L17" s="3" t="n">
        <v>6.3</v>
      </c>
    </row>
    <row r="18" customFormat="false" ht="15" hidden="false" customHeight="false" outlineLevel="0" collapsed="false">
      <c r="A18" s="0" t="s">
        <v>99</v>
      </c>
      <c r="C18" s="3" t="n">
        <v>9.5</v>
      </c>
      <c r="D18" s="3" t="n">
        <v>9</v>
      </c>
      <c r="E18" s="3" t="n">
        <v>8</v>
      </c>
      <c r="F18" s="3" t="n">
        <v>7.5</v>
      </c>
      <c r="G18" s="3" t="n">
        <v>7</v>
      </c>
      <c r="H18" s="3" t="n">
        <v>7</v>
      </c>
      <c r="I18" s="3" t="n">
        <v>6.5</v>
      </c>
      <c r="J18" s="3" t="n">
        <v>6.5</v>
      </c>
      <c r="K18" s="3" t="n">
        <v>6.5</v>
      </c>
      <c r="L18" s="3" t="n">
        <v>6.5</v>
      </c>
    </row>
    <row r="19" customFormat="false" ht="15" hidden="false" customHeight="false" outlineLevel="0" collapsed="false">
      <c r="A19" s="0" t="s">
        <v>100</v>
      </c>
      <c r="C19" s="3" t="n">
        <v>20</v>
      </c>
      <c r="D19" s="3" t="n">
        <v>20</v>
      </c>
      <c r="E19" s="3" t="n">
        <v>20</v>
      </c>
      <c r="F19" s="3" t="n">
        <v>20</v>
      </c>
      <c r="G19" s="3" t="n">
        <v>20.5</v>
      </c>
      <c r="H19" s="3" t="n">
        <v>21</v>
      </c>
      <c r="I19" s="3" t="n">
        <v>21</v>
      </c>
      <c r="J19" s="3" t="n">
        <v>21</v>
      </c>
      <c r="K19" s="3" t="n">
        <v>21</v>
      </c>
      <c r="L19" s="3" t="n">
        <v>21</v>
      </c>
    </row>
    <row r="20" customFormat="false" ht="15" hidden="false" customHeight="false" outlineLevel="0" collapsed="false">
      <c r="A20" s="0" t="s">
        <v>101</v>
      </c>
      <c r="B20" s="3" t="n">
        <v>9.5</v>
      </c>
    </row>
    <row r="21" customFormat="false" ht="15" hidden="false" customHeight="false" outlineLevel="0" collapsed="false">
      <c r="A21" s="0" t="s">
        <v>102</v>
      </c>
      <c r="B21" s="3" t="n">
        <v>2.5</v>
      </c>
    </row>
    <row r="22" customFormat="false" ht="15" hidden="false" customHeight="false" outlineLevel="0" collapsed="false">
      <c r="A22" s="0" t="s">
        <v>103</v>
      </c>
      <c r="B22" s="3" t="n">
        <v>15</v>
      </c>
    </row>
    <row r="23" customFormat="false" ht="15" hidden="false" customHeight="false" outlineLevel="0" collapsed="false">
      <c r="A23" s="0" t="s">
        <v>104</v>
      </c>
      <c r="B23" s="3" t="n">
        <v>-5</v>
      </c>
    </row>
    <row r="24" customFormat="false" ht="15" hidden="false" customHeight="false" outlineLevel="0" collapsed="false">
      <c r="A24" s="0" t="s">
        <v>105</v>
      </c>
      <c r="B24" s="3" t="n">
        <v>0.25</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47</v>
      </c>
      <c r="D27" s="3" t="n">
        <v>15</v>
      </c>
      <c r="E27" s="3" t="n">
        <v>12</v>
      </c>
      <c r="F27" s="3" t="n">
        <v>10</v>
      </c>
      <c r="G27" s="3" t="n">
        <v>8</v>
      </c>
      <c r="H27" s="3" t="n">
        <v>7</v>
      </c>
      <c r="I27" s="3" t="n">
        <v>6</v>
      </c>
      <c r="J27" s="3" t="n">
        <v>5</v>
      </c>
      <c r="K27" s="3" t="n">
        <v>4</v>
      </c>
      <c r="L27" s="3" t="n">
        <v>3</v>
      </c>
    </row>
    <row r="28" customFormat="false" ht="15" hidden="false" customHeight="false" outlineLevel="0" collapsed="false">
      <c r="A28" s="0" t="s">
        <v>95</v>
      </c>
      <c r="C28" s="3" t="n">
        <v>21.8</v>
      </c>
      <c r="D28" s="3" t="n">
        <v>20.5</v>
      </c>
      <c r="E28" s="3" t="n">
        <v>20.5</v>
      </c>
      <c r="F28" s="3" t="n">
        <v>20.8</v>
      </c>
      <c r="G28" s="3" t="n">
        <v>21</v>
      </c>
      <c r="H28" s="3" t="n">
        <v>21</v>
      </c>
      <c r="I28" s="3" t="n">
        <v>21</v>
      </c>
      <c r="J28" s="3" t="n">
        <v>21</v>
      </c>
      <c r="K28" s="3" t="n">
        <v>21</v>
      </c>
      <c r="L28" s="3" t="n">
        <v>21</v>
      </c>
    </row>
    <row r="29" customFormat="false" ht="15" hidden="false" customHeight="false" outlineLevel="0" collapsed="false">
      <c r="A29" s="0" t="s">
        <v>96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98</v>
      </c>
      <c r="C31" s="3" t="n">
        <v>5.5</v>
      </c>
      <c r="D31" s="3" t="n">
        <v>5.8</v>
      </c>
      <c r="E31" s="3" t="n">
        <v>6</v>
      </c>
      <c r="F31" s="3" t="n">
        <v>6.2</v>
      </c>
      <c r="G31" s="3" t="n">
        <v>6.4</v>
      </c>
      <c r="H31" s="3" t="n">
        <v>6.5</v>
      </c>
      <c r="I31" s="3" t="n">
        <v>6.5</v>
      </c>
      <c r="J31" s="3" t="n">
        <v>6.5</v>
      </c>
      <c r="K31" s="3" t="n">
        <v>6.5</v>
      </c>
      <c r="L31" s="3" t="n">
        <v>6.5</v>
      </c>
    </row>
    <row r="32" customFormat="false" ht="15" hidden="false" customHeight="false" outlineLevel="0" collapsed="false">
      <c r="A32" s="0" t="s">
        <v>99</v>
      </c>
      <c r="C32" s="3" t="n">
        <v>9.5</v>
      </c>
      <c r="D32" s="3" t="n">
        <v>9</v>
      </c>
      <c r="E32" s="3" t="n">
        <v>8.5</v>
      </c>
      <c r="F32" s="3" t="n">
        <v>8</v>
      </c>
      <c r="G32" s="3" t="n">
        <v>8</v>
      </c>
      <c r="H32" s="3" t="n">
        <v>7.5</v>
      </c>
      <c r="I32" s="3" t="n">
        <v>7.5</v>
      </c>
      <c r="J32" s="3" t="n">
        <v>7</v>
      </c>
      <c r="K32" s="3" t="n">
        <v>7</v>
      </c>
      <c r="L32" s="3" t="n">
        <v>7</v>
      </c>
    </row>
    <row r="33" customFormat="false" ht="15" hidden="false" customHeight="false" outlineLevel="0" collapsed="false">
      <c r="A33" s="0" t="s">
        <v>100</v>
      </c>
      <c r="C33" s="3" t="n">
        <v>20</v>
      </c>
      <c r="D33" s="3" t="n">
        <v>20</v>
      </c>
      <c r="E33" s="3" t="n">
        <v>20</v>
      </c>
      <c r="F33" s="3" t="n">
        <v>20</v>
      </c>
      <c r="G33" s="3" t="n">
        <v>20.5</v>
      </c>
      <c r="H33" s="3" t="n">
        <v>21</v>
      </c>
      <c r="I33" s="3" t="n">
        <v>21</v>
      </c>
      <c r="J33" s="3" t="n">
        <v>21</v>
      </c>
      <c r="K33" s="3" t="n">
        <v>21</v>
      </c>
      <c r="L33" s="3" t="n">
        <v>21</v>
      </c>
    </row>
    <row r="34" customFormat="false" ht="15" hidden="false" customHeight="false" outlineLevel="0" collapsed="false">
      <c r="A34" s="0" t="s">
        <v>101</v>
      </c>
      <c r="B34" s="3" t="n">
        <v>9.5</v>
      </c>
    </row>
    <row r="35" customFormat="false" ht="15" hidden="false" customHeight="false" outlineLevel="0" collapsed="false">
      <c r="A35" s="0" t="s">
        <v>102</v>
      </c>
      <c r="B35" s="3" t="n">
        <v>2.5</v>
      </c>
    </row>
    <row r="36" customFormat="false" ht="15" hidden="false" customHeight="false" outlineLevel="0" collapsed="false">
      <c r="A36" s="0" t="s">
        <v>103</v>
      </c>
      <c r="B36" s="3" t="n">
        <v>15</v>
      </c>
    </row>
    <row r="37" customFormat="false" ht="15" hidden="false" customHeight="false" outlineLevel="0" collapsed="false">
      <c r="A37" s="0" t="s">
        <v>104</v>
      </c>
      <c r="B37" s="3" t="n">
        <v>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50</v>
      </c>
      <c r="D41" s="3" t="n">
        <v>20</v>
      </c>
      <c r="E41" s="3" t="n">
        <v>16</v>
      </c>
      <c r="F41" s="3" t="n">
        <v>13</v>
      </c>
      <c r="G41" s="3" t="n">
        <v>10</v>
      </c>
      <c r="H41" s="3" t="n">
        <v>8</v>
      </c>
      <c r="I41" s="3" t="n">
        <v>7</v>
      </c>
      <c r="J41" s="3" t="n">
        <v>6</v>
      </c>
      <c r="K41" s="3" t="n">
        <v>5</v>
      </c>
      <c r="L41" s="3" t="n">
        <v>4</v>
      </c>
    </row>
    <row r="42" customFormat="false" ht="15" hidden="false" customHeight="false" outlineLevel="0" collapsed="false">
      <c r="A42" s="0" t="s">
        <v>95</v>
      </c>
      <c r="C42" s="3" t="n">
        <v>22.5</v>
      </c>
      <c r="D42" s="3" t="n">
        <v>22</v>
      </c>
      <c r="E42" s="3" t="n">
        <v>22.5</v>
      </c>
      <c r="F42" s="3" t="n">
        <v>23</v>
      </c>
      <c r="G42" s="3" t="n">
        <v>23.5</v>
      </c>
      <c r="H42" s="3" t="n">
        <v>23.5</v>
      </c>
      <c r="I42" s="3" t="n">
        <v>23.5</v>
      </c>
      <c r="J42" s="3" t="n">
        <v>23.5</v>
      </c>
      <c r="K42" s="3" t="n">
        <v>23.5</v>
      </c>
      <c r="L42" s="3" t="n">
        <v>23.5</v>
      </c>
    </row>
    <row r="43" customFormat="false" ht="15" hidden="false" customHeight="false" outlineLevel="0" collapsed="false">
      <c r="A43" s="0" t="s">
        <v>96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98</v>
      </c>
      <c r="C45" s="3" t="n">
        <v>5.5</v>
      </c>
      <c r="D45" s="3" t="n">
        <v>5.8</v>
      </c>
      <c r="E45" s="3" t="n">
        <v>6</v>
      </c>
      <c r="F45" s="3" t="n">
        <v>6.2</v>
      </c>
      <c r="G45" s="3" t="n">
        <v>6.4</v>
      </c>
      <c r="H45" s="3" t="n">
        <v>6.5</v>
      </c>
      <c r="I45" s="3" t="n">
        <v>6.5</v>
      </c>
      <c r="J45" s="3" t="n">
        <v>6.5</v>
      </c>
      <c r="K45" s="3" t="n">
        <v>6.5</v>
      </c>
      <c r="L45" s="3" t="n">
        <v>6.5</v>
      </c>
    </row>
    <row r="46" customFormat="false" ht="15" hidden="false" customHeight="false" outlineLevel="0" collapsed="false">
      <c r="A46" s="0" t="s">
        <v>99</v>
      </c>
      <c r="C46" s="3" t="n">
        <v>9.5</v>
      </c>
      <c r="D46" s="3" t="n">
        <v>9</v>
      </c>
      <c r="E46" s="3" t="n">
        <v>8.5</v>
      </c>
      <c r="F46" s="3" t="n">
        <v>8.5</v>
      </c>
      <c r="G46" s="3" t="n">
        <v>8</v>
      </c>
      <c r="H46" s="3" t="n">
        <v>8</v>
      </c>
      <c r="I46" s="3" t="n">
        <v>7.5</v>
      </c>
      <c r="J46" s="3" t="n">
        <v>7.5</v>
      </c>
      <c r="K46" s="3" t="n">
        <v>7</v>
      </c>
      <c r="L46" s="3" t="n">
        <v>7</v>
      </c>
    </row>
    <row r="47" customFormat="false" ht="15" hidden="false" customHeight="false" outlineLevel="0" collapsed="false">
      <c r="A47" s="0" t="s">
        <v>100</v>
      </c>
      <c r="C47" s="3" t="n">
        <v>20</v>
      </c>
      <c r="D47" s="3" t="n">
        <v>20</v>
      </c>
      <c r="E47" s="3" t="n">
        <v>20</v>
      </c>
      <c r="F47" s="3" t="n">
        <v>20</v>
      </c>
      <c r="G47" s="3" t="n">
        <v>20.5</v>
      </c>
      <c r="H47" s="3" t="n">
        <v>21</v>
      </c>
      <c r="I47" s="3" t="n">
        <v>21</v>
      </c>
      <c r="J47" s="3" t="n">
        <v>21</v>
      </c>
      <c r="K47" s="3" t="n">
        <v>21</v>
      </c>
      <c r="L47" s="3" t="n">
        <v>21</v>
      </c>
    </row>
    <row r="48" customFormat="false" ht="15" hidden="false" customHeight="false" outlineLevel="0" collapsed="false">
      <c r="A48" s="0" t="s">
        <v>101</v>
      </c>
      <c r="B48" s="3" t="n">
        <v>9.5</v>
      </c>
    </row>
    <row r="49" customFormat="false" ht="15" hidden="false" customHeight="false" outlineLevel="0" collapsed="false">
      <c r="A49" s="0" t="s">
        <v>102</v>
      </c>
      <c r="B49" s="3" t="n">
        <v>2.5</v>
      </c>
    </row>
    <row r="50" customFormat="false" ht="15" hidden="false" customHeight="false" outlineLevel="0" collapsed="false">
      <c r="A50" s="0" t="s">
        <v>103</v>
      </c>
      <c r="B50" s="3" t="n">
        <v>15</v>
      </c>
    </row>
    <row r="51" customFormat="false" ht="15" hidden="false" customHeight="false" outlineLevel="0" collapsed="false">
      <c r="A51" s="0" t="s">
        <v>104</v>
      </c>
      <c r="B51" s="3" t="n">
        <v>8</v>
      </c>
    </row>
    <row r="52" customFormat="false" ht="15" hidden="false" customHeight="false" outlineLevel="0" collapsed="false">
      <c r="A52" s="0" t="s">
        <v>105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44</v>
      </c>
      <c r="D5" s="4" t="n">
        <f aca="false">Assumptions!D13</f>
        <v>5</v>
      </c>
      <c r="E5" s="4" t="n">
        <f aca="false">Assumptions!E13</f>
        <v>3</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423701.8</v>
      </c>
      <c r="C6" s="0" t="n">
        <f aca="false">B6*(1+C5/100)</f>
        <v>610130.592</v>
      </c>
      <c r="D6" s="0" t="n">
        <f aca="false">C6*(1+D5/100)</f>
        <v>640637.1216</v>
      </c>
      <c r="E6" s="0" t="n">
        <f aca="false">D6*(1+E5/100)</f>
        <v>659856.235248</v>
      </c>
      <c r="F6" s="0" t="n">
        <f aca="false">E6*(1+F5/100)</f>
        <v>679651.92230544</v>
      </c>
      <c r="G6" s="0" t="n">
        <f aca="false">F6*(1+G5/100)</f>
        <v>700041.479974603</v>
      </c>
      <c r="H6" s="0" t="n">
        <f aca="false">G6*(1+H5/100)</f>
        <v>721042.724373841</v>
      </c>
      <c r="I6" s="0" t="n">
        <f aca="false">H6*(1+I5/100)</f>
        <v>742674.006105057</v>
      </c>
      <c r="J6" s="0" t="n">
        <f aca="false">I6*(1+J5/100)</f>
        <v>761240.856257683</v>
      </c>
      <c r="K6" s="0" t="n">
        <f aca="false">J6*(1+K5/100)</f>
        <v>780271.877664125</v>
      </c>
      <c r="L6" s="0" t="n">
        <f aca="false">K6*(1+L5/100)</f>
        <v>799778.674605728</v>
      </c>
    </row>
    <row r="7" customFormat="false" ht="15" hidden="false" customHeight="false" outlineLevel="0" collapsed="false">
      <c r="A7" s="0" t="s">
        <v>95</v>
      </c>
      <c r="C7" s="4" t="n">
        <f aca="false">Assumptions!C14</f>
        <v>21</v>
      </c>
      <c r="D7" s="4" t="n">
        <f aca="false">Assumptions!D14</f>
        <v>17.5</v>
      </c>
      <c r="E7" s="4" t="n">
        <f aca="false">Assumptions!E14</f>
        <v>16.5</v>
      </c>
      <c r="F7" s="4" t="n">
        <f aca="false">Assumptions!F14</f>
        <v>16.5</v>
      </c>
      <c r="G7" s="4" t="n">
        <f aca="false">Assumptions!G14</f>
        <v>16.5</v>
      </c>
      <c r="H7" s="4" t="n">
        <f aca="false">Assumptions!H14</f>
        <v>16.5</v>
      </c>
      <c r="I7" s="4" t="n">
        <f aca="false">Assumptions!I14</f>
        <v>16.5</v>
      </c>
      <c r="J7" s="4" t="n">
        <f aca="false">Assumptions!J14</f>
        <v>16.5</v>
      </c>
      <c r="K7" s="4" t="n">
        <f aca="false">Assumptions!K14</f>
        <v>16.5</v>
      </c>
      <c r="L7" s="4" t="n">
        <f aca="false">Assumptions!L14</f>
        <v>16.5</v>
      </c>
    </row>
    <row r="8" customFormat="false" ht="15" hidden="false" customHeight="false" outlineLevel="0" collapsed="false">
      <c r="A8" s="0" t="s">
        <v>44</v>
      </c>
      <c r="C8" s="0" t="n">
        <f aca="false">C6*C7/100</f>
        <v>128127.42432</v>
      </c>
      <c r="D8" s="0" t="n">
        <f aca="false">D6*D7/100</f>
        <v>112111.49628</v>
      </c>
      <c r="E8" s="0" t="n">
        <f aca="false">E6*E7/100</f>
        <v>108876.27881592</v>
      </c>
      <c r="F8" s="0" t="n">
        <f aca="false">F6*F7/100</f>
        <v>112142.567180398</v>
      </c>
      <c r="G8" s="0" t="n">
        <f aca="false">G6*G7/100</f>
        <v>115506.84419581</v>
      </c>
      <c r="H8" s="0" t="n">
        <f aca="false">H6*H7/100</f>
        <v>118972.049521684</v>
      </c>
      <c r="I8" s="0" t="n">
        <f aca="false">I6*I7/100</f>
        <v>122541.211007334</v>
      </c>
      <c r="J8" s="0" t="n">
        <f aca="false">J6*J7/100</f>
        <v>125604.741282518</v>
      </c>
      <c r="K8" s="0" t="n">
        <f aca="false">K6*K7/100</f>
        <v>128744.859814581</v>
      </c>
      <c r="L8" s="0" t="n">
        <f aca="false">L6*L7/100</f>
        <v>131963.481309945</v>
      </c>
    </row>
    <row r="9" customFormat="false" ht="15" hidden="false" customHeight="false" outlineLevel="0" collapsed="false">
      <c r="A9" s="0" t="s">
        <v>96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128127.42432</v>
      </c>
      <c r="D11" s="0" t="n">
        <f aca="false">D8+D10+D24</f>
        <v>112111.49628</v>
      </c>
      <c r="E11" s="0" t="n">
        <f aca="false">E8+E10+E24</f>
        <v>108876.27881592</v>
      </c>
      <c r="F11" s="0" t="n">
        <f aca="false">F8+F10+F24</f>
        <v>112142.567180398</v>
      </c>
      <c r="G11" s="0" t="n">
        <f aca="false">G8+G10+G24</f>
        <v>115506.84419581</v>
      </c>
      <c r="H11" s="0" t="n">
        <f aca="false">H8+H10+H24</f>
        <v>118972.049521684</v>
      </c>
      <c r="I11" s="0" t="n">
        <f aca="false">I8+I10+I24</f>
        <v>122541.211007334</v>
      </c>
      <c r="J11" s="0" t="n">
        <f aca="false">J8+J10+J24</f>
        <v>125604.741282518</v>
      </c>
      <c r="K11" s="0" t="n">
        <f aca="false">K8+K10+K24</f>
        <v>128744.859814581</v>
      </c>
      <c r="L11" s="0" t="n">
        <f aca="false">L8+L10+L24</f>
        <v>131963.481309945</v>
      </c>
    </row>
    <row r="12" customFormat="false" ht="15" hidden="false" customHeight="false" outlineLevel="0" collapsed="false">
      <c r="A12" s="0" t="s">
        <v>113</v>
      </c>
      <c r="C12" s="4" t="n">
        <f aca="false">-C6*Assumptions!C17/100</f>
        <v>-33557.18256</v>
      </c>
      <c r="D12" s="4" t="n">
        <f aca="false">-D6*Assumptions!D17/100</f>
        <v>-37156.9530528</v>
      </c>
      <c r="E12" s="4" t="n">
        <f aca="false">-E6*Assumptions!E17/100</f>
        <v>-39591.37411488</v>
      </c>
      <c r="F12" s="4" t="n">
        <f aca="false">-F6*Assumptions!F17/100</f>
        <v>-42138.4191829373</v>
      </c>
      <c r="G12" s="4" t="n">
        <f aca="false">-G6*Assumptions!G17/100</f>
        <v>-44102.6132384</v>
      </c>
      <c r="H12" s="4" t="n">
        <f aca="false">-H6*Assumptions!H17/100</f>
        <v>-45425.691635552</v>
      </c>
      <c r="I12" s="4" t="n">
        <f aca="false">-I6*Assumptions!I17/100</f>
        <v>-46788.4623846186</v>
      </c>
      <c r="J12" s="4" t="n">
        <f aca="false">-J6*Assumptions!J17/100</f>
        <v>-47958.173944234</v>
      </c>
      <c r="K12" s="4" t="n">
        <f aca="false">-K6*Assumptions!K17/100</f>
        <v>-49157.1282928399</v>
      </c>
      <c r="L12" s="4" t="n">
        <f aca="false">-L6*Assumptions!L17/100</f>
        <v>-50386.0565001609</v>
      </c>
    </row>
    <row r="13" customFormat="false" ht="15" hidden="false" customHeight="false" outlineLevel="0" collapsed="false">
      <c r="A13" s="0" t="s">
        <v>114</v>
      </c>
      <c r="C13" s="0" t="n">
        <f aca="false">C11+C12</f>
        <v>94570.24176</v>
      </c>
      <c r="D13" s="0" t="n">
        <f aca="false">D11+D12</f>
        <v>74954.5432272</v>
      </c>
      <c r="E13" s="0" t="n">
        <f aca="false">E11+E12</f>
        <v>69284.90470104</v>
      </c>
      <c r="F13" s="0" t="n">
        <f aca="false">F11+F12</f>
        <v>70004.1479974603</v>
      </c>
      <c r="G13" s="0" t="n">
        <f aca="false">G11+G12</f>
        <v>71404.2309574095</v>
      </c>
      <c r="H13" s="0" t="n">
        <f aca="false">H11+H12</f>
        <v>73546.3578861318</v>
      </c>
      <c r="I13" s="0" t="n">
        <f aca="false">I11+I12</f>
        <v>75752.7486227158</v>
      </c>
      <c r="J13" s="0" t="n">
        <f aca="false">J11+J12</f>
        <v>77646.5673382837</v>
      </c>
      <c r="K13" s="0" t="n">
        <f aca="false">K11+K12</f>
        <v>79587.7315217408</v>
      </c>
      <c r="L13" s="0" t="n">
        <f aca="false">L11+L12</f>
        <v>81577.4248097843</v>
      </c>
    </row>
    <row r="14" customFormat="false" ht="15" hidden="false" customHeight="false" outlineLevel="0" collapsed="false">
      <c r="A14" s="0" t="s">
        <v>100</v>
      </c>
      <c r="C14" s="4" t="n">
        <f aca="false">Assumptions!C19</f>
        <v>20</v>
      </c>
      <c r="D14" s="4" t="n">
        <f aca="false">Assumptions!D19</f>
        <v>20</v>
      </c>
      <c r="E14" s="4" t="n">
        <f aca="false">Assumptions!E19</f>
        <v>20</v>
      </c>
      <c r="F14" s="4" t="n">
        <f aca="false">Assumptions!F19</f>
        <v>20</v>
      </c>
      <c r="G14" s="4" t="n">
        <f aca="false">Assumptions!G19</f>
        <v>20.5</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115</v>
      </c>
      <c r="C15" s="0" t="n">
        <f aca="false">C13-MAX(0,C13)*C14/100</f>
        <v>75656.193408</v>
      </c>
      <c r="D15" s="0" t="n">
        <f aca="false">D13-MAX(0,D13)*D14/100</f>
        <v>59963.63458176</v>
      </c>
      <c r="E15" s="0" t="n">
        <f aca="false">E13-MAX(0,E13)*E14/100</f>
        <v>55427.923760832</v>
      </c>
      <c r="F15" s="0" t="n">
        <f aca="false">F13-MAX(0,F13)*F14/100</f>
        <v>56003.3183979683</v>
      </c>
      <c r="G15" s="0" t="n">
        <f aca="false">G13-MAX(0,G13)*G14/100</f>
        <v>56766.3636111406</v>
      </c>
      <c r="H15" s="0" t="n">
        <f aca="false">H13-MAX(0,H13)*H14/100</f>
        <v>58101.6227300441</v>
      </c>
      <c r="I15" s="0" t="n">
        <f aca="false">I13-MAX(0,I13)*I14/100</f>
        <v>59844.6714119455</v>
      </c>
      <c r="J15" s="0" t="n">
        <f aca="false">J13-MAX(0,J13)*J14/100</f>
        <v>61340.7881972441</v>
      </c>
      <c r="K15" s="0" t="n">
        <f aca="false">K13-MAX(0,K13)*K14/100</f>
        <v>62874.3079021752</v>
      </c>
      <c r="L15" s="0" t="n">
        <f aca="false">L13-MAX(0,L13)*L14/100</f>
        <v>64446.1655997296</v>
      </c>
    </row>
    <row r="16" customFormat="false" ht="15" hidden="false" customHeight="false" outlineLevel="0" collapsed="false">
      <c r="A16" s="0" t="s">
        <v>116</v>
      </c>
      <c r="C16" s="0" t="n">
        <f aca="false">-C12</f>
        <v>33557.18256</v>
      </c>
      <c r="D16" s="0" t="n">
        <f aca="false">-D12</f>
        <v>37156.9530528</v>
      </c>
      <c r="E16" s="0" t="n">
        <f aca="false">-E12</f>
        <v>39591.37411488</v>
      </c>
      <c r="F16" s="0" t="n">
        <f aca="false">-F12</f>
        <v>42138.4191829373</v>
      </c>
      <c r="G16" s="0" t="n">
        <f aca="false">-G12</f>
        <v>44102.6132384</v>
      </c>
      <c r="H16" s="0" t="n">
        <f aca="false">-H12</f>
        <v>45425.691635552</v>
      </c>
      <c r="I16" s="0" t="n">
        <f aca="false">-I12</f>
        <v>46788.4623846186</v>
      </c>
      <c r="J16" s="0" t="n">
        <f aca="false">-J12</f>
        <v>47958.173944234</v>
      </c>
      <c r="K16" s="0" t="n">
        <f aca="false">-K12</f>
        <v>49157.1282928399</v>
      </c>
      <c r="L16" s="0" t="n">
        <f aca="false">-L12</f>
        <v>50386.0565001609</v>
      </c>
    </row>
    <row r="17" customFormat="false" ht="15" hidden="false" customHeight="false" outlineLevel="0" collapsed="false">
      <c r="A17" s="0" t="s">
        <v>117</v>
      </c>
      <c r="C17" s="4" t="n">
        <f aca="false">-C6*Assumptions!C18/100</f>
        <v>-57962.40624</v>
      </c>
      <c r="D17" s="4" t="n">
        <f aca="false">-D6*Assumptions!D18/100</f>
        <v>-57657.340944</v>
      </c>
      <c r="E17" s="4" t="n">
        <f aca="false">-E6*Assumptions!E18/100</f>
        <v>-52788.49881984</v>
      </c>
      <c r="F17" s="4" t="n">
        <f aca="false">-F6*Assumptions!F18/100</f>
        <v>-50973.894172908</v>
      </c>
      <c r="G17" s="4" t="n">
        <f aca="false">-G6*Assumptions!G18/100</f>
        <v>-49002.9035982222</v>
      </c>
      <c r="H17" s="4" t="n">
        <f aca="false">-H6*Assumptions!H18/100</f>
        <v>-50472.9907061689</v>
      </c>
      <c r="I17" s="4" t="n">
        <f aca="false">-I6*Assumptions!I18/100</f>
        <v>-48273.8103968287</v>
      </c>
      <c r="J17" s="4" t="n">
        <f aca="false">-J6*Assumptions!J18/100</f>
        <v>-49480.6556567494</v>
      </c>
      <c r="K17" s="4" t="n">
        <f aca="false">-K6*Assumptions!K18/100</f>
        <v>-50717.6720481681</v>
      </c>
      <c r="L17" s="4" t="n">
        <f aca="false">-L6*Assumptions!L18/100</f>
        <v>-51985.6138493723</v>
      </c>
    </row>
    <row r="18" customFormat="false" ht="15" hidden="false" customHeight="false" outlineLevel="0" collapsed="false">
      <c r="A18" s="0" t="s">
        <v>118</v>
      </c>
      <c r="C18" s="4" t="n">
        <f aca="false">(C6-B6)*Assumptions!$B$23/100</f>
        <v>-9321.4396</v>
      </c>
      <c r="D18" s="4" t="n">
        <f aca="false">(D6-C6)*Assumptions!$B$23/100</f>
        <v>-1525.32648</v>
      </c>
      <c r="E18" s="4" t="n">
        <f aca="false">(E6-D6)*Assumptions!$B$23/100</f>
        <v>-960.955682400003</v>
      </c>
      <c r="F18" s="4" t="n">
        <f aca="false">(F6-E6)*Assumptions!$B$23/100</f>
        <v>-989.784352872003</v>
      </c>
      <c r="G18" s="4" t="n">
        <f aca="false">(G6-F6)*Assumptions!$B$23/100</f>
        <v>-1019.47788345816</v>
      </c>
      <c r="H18" s="4" t="n">
        <f aca="false">(H6-G6)*Assumptions!$B$23/100</f>
        <v>-1050.06221996191</v>
      </c>
      <c r="I18" s="4" t="n">
        <f aca="false">(I6-H6)*Assumptions!$B$23/100</f>
        <v>-1081.56408656077</v>
      </c>
      <c r="J18" s="4" t="n">
        <f aca="false">(J6-I6)*Assumptions!$B$23/100</f>
        <v>-928.34250763132</v>
      </c>
      <c r="K18" s="4" t="n">
        <f aca="false">(K6-J6)*Assumptions!$B$23/100</f>
        <v>-951.551070322102</v>
      </c>
      <c r="L18" s="4" t="n">
        <f aca="false">(L6-K6)*Assumptions!$B$23/100</f>
        <v>-975.339847080153</v>
      </c>
    </row>
    <row r="19" customFormat="false" ht="15" hidden="false" customHeight="false" outlineLevel="0" collapsed="false">
      <c r="A19" s="0" t="s">
        <v>119</v>
      </c>
      <c r="C19" s="0" t="n">
        <f aca="false">C15+C16+C17+C18</f>
        <v>41929.530128</v>
      </c>
      <c r="D19" s="0" t="n">
        <f aca="false">D15+D16+D17+D18</f>
        <v>37937.92021056</v>
      </c>
      <c r="E19" s="0" t="n">
        <f aca="false">E15+E16+E17+E18</f>
        <v>41269.843373472</v>
      </c>
      <c r="F19" s="0" t="n">
        <f aca="false">F15+F16+F17+F18</f>
        <v>46178.0590551255</v>
      </c>
      <c r="G19" s="0" t="n">
        <f aca="false">G15+G16+G17+G18</f>
        <v>50846.5953678602</v>
      </c>
      <c r="H19" s="0" t="n">
        <f aca="false">H15+H16+H17+H18</f>
        <v>52004.2614394653</v>
      </c>
      <c r="I19" s="0" t="n">
        <f aca="false">I15+I16+I17+I18</f>
        <v>57277.7593131746</v>
      </c>
      <c r="J19" s="0" t="n">
        <f aca="false">J15+J16+J17+J18</f>
        <v>58889.9639770974</v>
      </c>
      <c r="K19" s="0" t="n">
        <f aca="false">K15+K16+K17+K18</f>
        <v>60362.2130765249</v>
      </c>
      <c r="L19" s="0" t="n">
        <f aca="false">L15+L16+L17+L18</f>
        <v>61871.268403438</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38291.808336073</v>
      </c>
      <c r="D21" s="0" t="n">
        <f aca="false">D19*D20</f>
        <v>31640.6415300431</v>
      </c>
      <c r="E21" s="0" t="n">
        <f aca="false">E19*E20</f>
        <v>31433.3351506181</v>
      </c>
      <c r="F21" s="0" t="n">
        <f aca="false">F19*F20</f>
        <v>32120.2708017147</v>
      </c>
      <c r="G21" s="0" t="n">
        <f aca="false">G19*G20</f>
        <v>32299.1640630574</v>
      </c>
      <c r="H21" s="0" t="n">
        <f aca="false">H19*H20</f>
        <v>30168.5347752503</v>
      </c>
      <c r="I21" s="0" t="n">
        <f aca="false">I19*I20</f>
        <v>30345.0030825748</v>
      </c>
      <c r="J21" s="0" t="n">
        <f aca="false">J19*J20</f>
        <v>28492.3542430771</v>
      </c>
      <c r="K21" s="0" t="n">
        <f aca="false">K19*K20</f>
        <v>26670.9252047069</v>
      </c>
      <c r="L21" s="0" t="n">
        <f aca="false">L19*L20</f>
        <v>24965.9345523512</v>
      </c>
    </row>
    <row r="23" customFormat="false" ht="15" hidden="false" customHeight="false" outlineLevel="0" collapsed="false">
      <c r="A23" s="0" t="s">
        <v>97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Assumptions!$B$20</f>
        <v>9.5</v>
      </c>
    </row>
    <row r="28" customFormat="false" ht="15" hidden="false" customHeight="false" outlineLevel="0" collapsed="false">
      <c r="A28" s="0" t="s">
        <v>102</v>
      </c>
      <c r="B28" s="4" t="n">
        <f aca="false">Assumptions!$B$21</f>
        <v>2.5</v>
      </c>
    </row>
    <row r="29" customFormat="false" ht="15" hidden="false" customHeight="false" outlineLevel="0" collapsed="false">
      <c r="A29" s="0" t="s">
        <v>103</v>
      </c>
      <c r="B29" s="4" t="n">
        <f aca="false">Assumptions!$B$22</f>
        <v>15</v>
      </c>
    </row>
    <row r="30" customFormat="false" ht="15" hidden="false" customHeight="false" outlineLevel="0" collapsed="false">
      <c r="A30" s="0" t="s">
        <v>124</v>
      </c>
      <c r="B30" s="0" t="n">
        <f aca="false">SUM(C21:L21)</f>
        <v>306427.971739467</v>
      </c>
    </row>
    <row r="31" customFormat="false" ht="15" hidden="false" customHeight="false" outlineLevel="0" collapsed="false">
      <c r="A31" s="0" t="s">
        <v>125</v>
      </c>
      <c r="B31" s="0" t="n">
        <f aca="false">L19</f>
        <v>61871.268403438</v>
      </c>
    </row>
    <row r="32" customFormat="false" ht="15" hidden="false" customHeight="false" outlineLevel="0" collapsed="false">
      <c r="A32" s="0" t="s">
        <v>126</v>
      </c>
      <c r="B32" s="0" t="n">
        <f aca="false">IF(B27&gt;B28,B31*(1+B28/100)/((B27-B28)/100),B31*B29)</f>
        <v>905972.144478913</v>
      </c>
    </row>
    <row r="33" customFormat="false" ht="15" hidden="false" customHeight="false" outlineLevel="0" collapsed="false">
      <c r="A33" s="0" t="s">
        <v>127</v>
      </c>
      <c r="B33" s="0" t="n">
        <f aca="false">B31*B29</f>
        <v>928069.02605157</v>
      </c>
    </row>
    <row r="34" customFormat="false" ht="15" hidden="false" customHeight="false" outlineLevel="0" collapsed="false">
      <c r="A34" s="0" t="s">
        <v>128</v>
      </c>
      <c r="B34" s="0" t="n">
        <f aca="false">MAX(0,MIN(B32,B33))</f>
        <v>905972.144478913</v>
      </c>
    </row>
    <row r="35" customFormat="false" ht="15" hidden="false" customHeight="false" outlineLevel="0" collapsed="false">
      <c r="A35" s="0" t="s">
        <v>129</v>
      </c>
      <c r="B35" s="0" t="n">
        <f aca="false">B34/(1+B27/100)^L4</f>
        <v>365572.613087999</v>
      </c>
    </row>
    <row r="36" customFormat="false" ht="15" hidden="false" customHeight="false" outlineLevel="0" collapsed="false">
      <c r="A36" s="0" t="s">
        <v>130</v>
      </c>
      <c r="B36" s="0" t="n">
        <f aca="false">B30+B35</f>
        <v>672000.584827466</v>
      </c>
    </row>
    <row r="37" customFormat="false" ht="15" hidden="false" customHeight="false" outlineLevel="0" collapsed="false">
      <c r="A37" s="0" t="s">
        <v>131</v>
      </c>
      <c r="B37" s="0" t="n">
        <f aca="false">B36+Assumptions!$B$5-Assumptions!$B$4</f>
        <v>877772.984827466</v>
      </c>
    </row>
    <row r="38" customFormat="false" ht="15" hidden="false" customHeight="false" outlineLevel="0" collapsed="false">
      <c r="A38" s="0" t="s">
        <v>132</v>
      </c>
      <c r="B38" s="0" t="n">
        <f aca="false">B37/Assumptions!$B$3*Assumptions!$B$10</f>
        <v>222.608806028425</v>
      </c>
    </row>
    <row r="39" customFormat="false" ht="15" hidden="false" customHeight="false" outlineLevel="0" collapsed="false">
      <c r="A39" s="0" t="s">
        <v>133</v>
      </c>
      <c r="B39" s="4" t="n">
        <f aca="false">B38/Assumptions!$B$2-1</f>
        <v>-0.342172559017656</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222.608806028425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507344.400908191</v>
      </c>
    </row>
    <row r="47" customFormat="false" ht="15" hidden="false" customHeight="false" outlineLevel="0" collapsed="false">
      <c r="A47" s="0" t="s">
        <v>138</v>
      </c>
      <c r="B47" s="0" t="n">
        <f aca="false">(SUMPRODUCT(C19:L19/(1+B45/100)^C4:L4)+B46/(1+B45/100)^L4+Assumptions!$B$5-Assumptions!$B$4)/Assumptions!$B$3*Assumptions!$B$10</f>
        <v>144.774795549133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47</v>
      </c>
      <c r="D5" s="4" t="n">
        <f aca="false">Assumptions!D27</f>
        <v>15</v>
      </c>
      <c r="E5" s="4" t="n">
        <f aca="false">Assumptions!E27</f>
        <v>12</v>
      </c>
      <c r="F5" s="4" t="n">
        <f aca="false">Assumptions!F27</f>
        <v>10</v>
      </c>
      <c r="G5" s="4" t="n">
        <f aca="false">Assumptions!G27</f>
        <v>8</v>
      </c>
      <c r="H5" s="4" t="n">
        <f aca="false">Assumptions!H27</f>
        <v>7</v>
      </c>
      <c r="I5" s="4" t="n">
        <f aca="false">Assumptions!I27</f>
        <v>6</v>
      </c>
      <c r="J5" s="4" t="n">
        <f aca="false">Assumptions!J27</f>
        <v>5</v>
      </c>
      <c r="K5" s="4" t="n">
        <f aca="false">Assumptions!K27</f>
        <v>4</v>
      </c>
      <c r="L5" s="4" t="n">
        <f aca="false">Assumptions!L27</f>
        <v>3</v>
      </c>
    </row>
    <row r="6" customFormat="false" ht="15" hidden="false" customHeight="false" outlineLevel="0" collapsed="false">
      <c r="A6" s="0" t="s">
        <v>38</v>
      </c>
      <c r="B6" s="3" t="n">
        <v>423701.8</v>
      </c>
      <c r="C6" s="0" t="n">
        <f aca="false">B6*(1+C5/100)</f>
        <v>622841.646</v>
      </c>
      <c r="D6" s="0" t="n">
        <f aca="false">C6*(1+D5/100)</f>
        <v>716267.8929</v>
      </c>
      <c r="E6" s="0" t="n">
        <f aca="false">D6*(1+E5/100)</f>
        <v>802220.040048</v>
      </c>
      <c r="F6" s="0" t="n">
        <f aca="false">E6*(1+F5/100)</f>
        <v>882442.0440528</v>
      </c>
      <c r="G6" s="0" t="n">
        <f aca="false">F6*(1+G5/100)</f>
        <v>953037.407577024</v>
      </c>
      <c r="H6" s="0" t="n">
        <f aca="false">G6*(1+H5/100)</f>
        <v>1019750.02610742</v>
      </c>
      <c r="I6" s="0" t="n">
        <f aca="false">H6*(1+I5/100)</f>
        <v>1080935.02767386</v>
      </c>
      <c r="J6" s="0" t="n">
        <f aca="false">I6*(1+J5/100)</f>
        <v>1134981.77905755</v>
      </c>
      <c r="K6" s="0" t="n">
        <f aca="false">J6*(1+K5/100)</f>
        <v>1180381.05021986</v>
      </c>
      <c r="L6" s="0" t="n">
        <f aca="false">K6*(1+L5/100)</f>
        <v>1215792.48172645</v>
      </c>
    </row>
    <row r="7" customFormat="false" ht="15" hidden="false" customHeight="false" outlineLevel="0" collapsed="false">
      <c r="A7" s="0" t="s">
        <v>95</v>
      </c>
      <c r="C7" s="4" t="n">
        <f aca="false">Assumptions!C28</f>
        <v>21.8</v>
      </c>
      <c r="D7" s="4" t="n">
        <f aca="false">Assumptions!D28</f>
        <v>20.5</v>
      </c>
      <c r="E7" s="4" t="n">
        <f aca="false">Assumptions!E28</f>
        <v>20.5</v>
      </c>
      <c r="F7" s="4" t="n">
        <f aca="false">Assumptions!F28</f>
        <v>20.8</v>
      </c>
      <c r="G7" s="4" t="n">
        <f aca="false">Assumptions!G28</f>
        <v>21</v>
      </c>
      <c r="H7" s="4" t="n">
        <f aca="false">Assumptions!H28</f>
        <v>21</v>
      </c>
      <c r="I7" s="4" t="n">
        <f aca="false">Assumptions!I28</f>
        <v>21</v>
      </c>
      <c r="J7" s="4" t="n">
        <f aca="false">Assumptions!J28</f>
        <v>21</v>
      </c>
      <c r="K7" s="4" t="n">
        <f aca="false">Assumptions!K28</f>
        <v>21</v>
      </c>
      <c r="L7" s="4" t="n">
        <f aca="false">Assumptions!L28</f>
        <v>21</v>
      </c>
    </row>
    <row r="8" customFormat="false" ht="15" hidden="false" customHeight="false" outlineLevel="0" collapsed="false">
      <c r="A8" s="0" t="s">
        <v>44</v>
      </c>
      <c r="C8" s="0" t="n">
        <f aca="false">C6*C7/100</f>
        <v>135779.478828</v>
      </c>
      <c r="D8" s="0" t="n">
        <f aca="false">D6*D7/100</f>
        <v>146834.9180445</v>
      </c>
      <c r="E8" s="0" t="n">
        <f aca="false">E6*E7/100</f>
        <v>164455.10820984</v>
      </c>
      <c r="F8" s="0" t="n">
        <f aca="false">F6*F7/100</f>
        <v>183547.945162982</v>
      </c>
      <c r="G8" s="0" t="n">
        <f aca="false">G6*G7/100</f>
        <v>200137.855591175</v>
      </c>
      <c r="H8" s="0" t="n">
        <f aca="false">H6*H7/100</f>
        <v>214147.505482557</v>
      </c>
      <c r="I8" s="0" t="n">
        <f aca="false">I6*I7/100</f>
        <v>226996.355811511</v>
      </c>
      <c r="J8" s="0" t="n">
        <f aca="false">J6*J7/100</f>
        <v>238346.173602086</v>
      </c>
      <c r="K8" s="0" t="n">
        <f aca="false">K6*K7/100</f>
        <v>247880.02054617</v>
      </c>
      <c r="L8" s="0" t="n">
        <f aca="false">L6*L7/100</f>
        <v>255316.421162555</v>
      </c>
    </row>
    <row r="9" customFormat="false" ht="15" hidden="false" customHeight="false" outlineLevel="0" collapsed="false">
      <c r="A9" s="0" t="s">
        <v>96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135779.478828</v>
      </c>
      <c r="D11" s="0" t="n">
        <f aca="false">D8+D10+D24</f>
        <v>146834.9180445</v>
      </c>
      <c r="E11" s="0" t="n">
        <f aca="false">E8+E10+E24</f>
        <v>164455.10820984</v>
      </c>
      <c r="F11" s="0" t="n">
        <f aca="false">F8+F10+F24</f>
        <v>183547.945162982</v>
      </c>
      <c r="G11" s="0" t="n">
        <f aca="false">G8+G10+G24</f>
        <v>200137.855591175</v>
      </c>
      <c r="H11" s="0" t="n">
        <f aca="false">H8+H10+H24</f>
        <v>214147.505482557</v>
      </c>
      <c r="I11" s="0" t="n">
        <f aca="false">I8+I10+I24</f>
        <v>226996.355811511</v>
      </c>
      <c r="J11" s="0" t="n">
        <f aca="false">J8+J10+J24</f>
        <v>238346.173602086</v>
      </c>
      <c r="K11" s="0" t="n">
        <f aca="false">K8+K10+K24</f>
        <v>247880.02054617</v>
      </c>
      <c r="L11" s="0" t="n">
        <f aca="false">L8+L10+L24</f>
        <v>255316.421162555</v>
      </c>
    </row>
    <row r="12" customFormat="false" ht="15" hidden="false" customHeight="false" outlineLevel="0" collapsed="false">
      <c r="A12" s="0" t="s">
        <v>113</v>
      </c>
      <c r="C12" s="4" t="n">
        <f aca="false">-C6*Assumptions!C31/100</f>
        <v>-34256.29053</v>
      </c>
      <c r="D12" s="4" t="n">
        <f aca="false">-D6*Assumptions!D31/100</f>
        <v>-41543.5377882</v>
      </c>
      <c r="E12" s="4" t="n">
        <f aca="false">-E6*Assumptions!E31/100</f>
        <v>-48133.20240288</v>
      </c>
      <c r="F12" s="4" t="n">
        <f aca="false">-F6*Assumptions!F31/100</f>
        <v>-54711.4067312736</v>
      </c>
      <c r="G12" s="4" t="n">
        <f aca="false">-G6*Assumptions!G31/100</f>
        <v>-60994.3940849296</v>
      </c>
      <c r="H12" s="4" t="n">
        <f aca="false">-H6*Assumptions!H31/100</f>
        <v>-66283.751696982</v>
      </c>
      <c r="I12" s="4" t="n">
        <f aca="false">-I6*Assumptions!I31/100</f>
        <v>-70260.7767988009</v>
      </c>
      <c r="J12" s="4" t="n">
        <f aca="false">-J6*Assumptions!J31/100</f>
        <v>-73773.815638741</v>
      </c>
      <c r="K12" s="4" t="n">
        <f aca="false">-K6*Assumptions!K31/100</f>
        <v>-76724.7682642907</v>
      </c>
      <c r="L12" s="4" t="n">
        <f aca="false">-L6*Assumptions!L31/100</f>
        <v>-79026.5113122194</v>
      </c>
    </row>
    <row r="13" customFormat="false" ht="15" hidden="false" customHeight="false" outlineLevel="0" collapsed="false">
      <c r="A13" s="0" t="s">
        <v>114</v>
      </c>
      <c r="C13" s="0" t="n">
        <f aca="false">C11+C12</f>
        <v>101523.188298</v>
      </c>
      <c r="D13" s="0" t="n">
        <f aca="false">D11+D12</f>
        <v>105291.3802563</v>
      </c>
      <c r="E13" s="0" t="n">
        <f aca="false">E11+E12</f>
        <v>116321.90580696</v>
      </c>
      <c r="F13" s="0" t="n">
        <f aca="false">F11+F12</f>
        <v>128836.538431709</v>
      </c>
      <c r="G13" s="0" t="n">
        <f aca="false">G11+G12</f>
        <v>139143.461506246</v>
      </c>
      <c r="H13" s="0" t="n">
        <f aca="false">H11+H12</f>
        <v>147863.753785575</v>
      </c>
      <c r="I13" s="0" t="n">
        <f aca="false">I11+I12</f>
        <v>156735.57901271</v>
      </c>
      <c r="J13" s="0" t="n">
        <f aca="false">J11+J12</f>
        <v>164572.357963345</v>
      </c>
      <c r="K13" s="0" t="n">
        <f aca="false">K11+K12</f>
        <v>171155.252281879</v>
      </c>
      <c r="L13" s="0" t="n">
        <f aca="false">L11+L12</f>
        <v>176289.909850336</v>
      </c>
    </row>
    <row r="14" customFormat="false" ht="15" hidden="false" customHeight="false" outlineLevel="0" collapsed="false">
      <c r="A14" s="0" t="s">
        <v>100</v>
      </c>
      <c r="C14" s="4" t="n">
        <f aca="false">Assumptions!C33</f>
        <v>20</v>
      </c>
      <c r="D14" s="4" t="n">
        <f aca="false">Assumptions!D33</f>
        <v>20</v>
      </c>
      <c r="E14" s="4" t="n">
        <f aca="false">Assumptions!E33</f>
        <v>20</v>
      </c>
      <c r="F14" s="4" t="n">
        <f aca="false">Assumptions!F33</f>
        <v>20</v>
      </c>
      <c r="G14" s="4" t="n">
        <f aca="false">Assumptions!G33</f>
        <v>20.5</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115</v>
      </c>
      <c r="C15" s="0" t="n">
        <f aca="false">C13-MAX(0,C13)*C14/100</f>
        <v>81218.5506384</v>
      </c>
      <c r="D15" s="0" t="n">
        <f aca="false">D13-MAX(0,D13)*D14/100</f>
        <v>84233.10420504</v>
      </c>
      <c r="E15" s="0" t="n">
        <f aca="false">E13-MAX(0,E13)*E14/100</f>
        <v>93057.524645568</v>
      </c>
      <c r="F15" s="0" t="n">
        <f aca="false">F13-MAX(0,F13)*F14/100</f>
        <v>103069.230745367</v>
      </c>
      <c r="G15" s="0" t="n">
        <f aca="false">G13-MAX(0,G13)*G14/100</f>
        <v>110619.051897465</v>
      </c>
      <c r="H15" s="0" t="n">
        <f aca="false">H13-MAX(0,H13)*H14/100</f>
        <v>116812.365490604</v>
      </c>
      <c r="I15" s="0" t="n">
        <f aca="false">I13-MAX(0,I13)*I14/100</f>
        <v>123821.107420041</v>
      </c>
      <c r="J15" s="0" t="n">
        <f aca="false">J13-MAX(0,J13)*J14/100</f>
        <v>130012.162791043</v>
      </c>
      <c r="K15" s="0" t="n">
        <f aca="false">K13-MAX(0,K13)*K14/100</f>
        <v>135212.649302685</v>
      </c>
      <c r="L15" s="0" t="n">
        <f aca="false">L13-MAX(0,L13)*L14/100</f>
        <v>139269.028781765</v>
      </c>
    </row>
    <row r="16" customFormat="false" ht="15" hidden="false" customHeight="false" outlineLevel="0" collapsed="false">
      <c r="A16" s="0" t="s">
        <v>116</v>
      </c>
      <c r="C16" s="0" t="n">
        <f aca="false">-C12</f>
        <v>34256.29053</v>
      </c>
      <c r="D16" s="0" t="n">
        <f aca="false">-D12</f>
        <v>41543.5377882</v>
      </c>
      <c r="E16" s="0" t="n">
        <f aca="false">-E12</f>
        <v>48133.20240288</v>
      </c>
      <c r="F16" s="0" t="n">
        <f aca="false">-F12</f>
        <v>54711.4067312736</v>
      </c>
      <c r="G16" s="0" t="n">
        <f aca="false">-G12</f>
        <v>60994.3940849296</v>
      </c>
      <c r="H16" s="0" t="n">
        <f aca="false">-H12</f>
        <v>66283.751696982</v>
      </c>
      <c r="I16" s="0" t="n">
        <f aca="false">-I12</f>
        <v>70260.7767988009</v>
      </c>
      <c r="J16" s="0" t="n">
        <f aca="false">-J12</f>
        <v>73773.815638741</v>
      </c>
      <c r="K16" s="0" t="n">
        <f aca="false">-K12</f>
        <v>76724.7682642907</v>
      </c>
      <c r="L16" s="0" t="n">
        <f aca="false">-L12</f>
        <v>79026.5113122194</v>
      </c>
    </row>
    <row r="17" customFormat="false" ht="15" hidden="false" customHeight="false" outlineLevel="0" collapsed="false">
      <c r="A17" s="0" t="s">
        <v>117</v>
      </c>
      <c r="C17" s="4" t="n">
        <f aca="false">-C6*Assumptions!C32/100</f>
        <v>-59169.95637</v>
      </c>
      <c r="D17" s="4" t="n">
        <f aca="false">-D6*Assumptions!D32/100</f>
        <v>-64464.110361</v>
      </c>
      <c r="E17" s="4" t="n">
        <f aca="false">-E6*Assumptions!E32/100</f>
        <v>-68188.70340408</v>
      </c>
      <c r="F17" s="4" t="n">
        <f aca="false">-F6*Assumptions!F32/100</f>
        <v>-70595.363524224</v>
      </c>
      <c r="G17" s="4" t="n">
        <f aca="false">-G6*Assumptions!G32/100</f>
        <v>-76242.9926061619</v>
      </c>
      <c r="H17" s="4" t="n">
        <f aca="false">-H6*Assumptions!H32/100</f>
        <v>-76481.2519580562</v>
      </c>
      <c r="I17" s="4" t="n">
        <f aca="false">-I6*Assumptions!I32/100</f>
        <v>-81070.1270755396</v>
      </c>
      <c r="J17" s="4" t="n">
        <f aca="false">-J6*Assumptions!J32/100</f>
        <v>-79448.7245340288</v>
      </c>
      <c r="K17" s="4" t="n">
        <f aca="false">-K6*Assumptions!K32/100</f>
        <v>-82626.6735153899</v>
      </c>
      <c r="L17" s="4" t="n">
        <f aca="false">-L6*Assumptions!L32/100</f>
        <v>-85105.4737208516</v>
      </c>
    </row>
    <row r="18" customFormat="false" ht="15" hidden="false" customHeight="false" outlineLevel="0" collapsed="false">
      <c r="A18" s="0" t="s">
        <v>118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119</v>
      </c>
      <c r="C19" s="0" t="n">
        <f aca="false">C15+C16+C17+C18</f>
        <v>56304.8847984</v>
      </c>
      <c r="D19" s="0" t="n">
        <f aca="false">D15+D16+D17+D18</f>
        <v>61312.53163224</v>
      </c>
      <c r="E19" s="0" t="n">
        <f aca="false">E15+E16+E17+E18</f>
        <v>73002.023644368</v>
      </c>
      <c r="F19" s="0" t="n">
        <f aca="false">F15+F16+F17+F18</f>
        <v>87185.2739524167</v>
      </c>
      <c r="G19" s="0" t="n">
        <f aca="false">G15+G16+G17+G18</f>
        <v>95370.4533762328</v>
      </c>
      <c r="H19" s="0" t="n">
        <f aca="false">H15+H16+H17+H18</f>
        <v>106614.86522953</v>
      </c>
      <c r="I19" s="0" t="n">
        <f aca="false">I15+I16+I17+I18</f>
        <v>113011.757143302</v>
      </c>
      <c r="J19" s="0" t="n">
        <f aca="false">J15+J16+J17+J18</f>
        <v>124337.253895755</v>
      </c>
      <c r="K19" s="0" t="n">
        <f aca="false">K15+K16+K17+K18</f>
        <v>129310.744051585</v>
      </c>
      <c r="L19" s="0" t="n">
        <f aca="false">L15+L16+L17+L18</f>
        <v>133190.066373133</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51419.9861172603</v>
      </c>
      <c r="D21" s="0" t="n">
        <f aca="false">D19*D20</f>
        <v>51135.3238107963</v>
      </c>
      <c r="E21" s="0" t="n">
        <f aca="false">E19*E20</f>
        <v>55602.2724661413</v>
      </c>
      <c r="F21" s="0" t="n">
        <f aca="false">F19*F20</f>
        <v>60643.8353316297</v>
      </c>
      <c r="G21" s="0" t="n">
        <f aca="false">G19*G20</f>
        <v>60581.950435057</v>
      </c>
      <c r="H21" s="0" t="n">
        <f aca="false">H19*H20</f>
        <v>61849.0519854748</v>
      </c>
      <c r="I21" s="0" t="n">
        <f aca="false">I19*I20</f>
        <v>59872.1416480395</v>
      </c>
      <c r="J21" s="0" t="n">
        <f aca="false">J19*J20</f>
        <v>60157.2975148537</v>
      </c>
      <c r="K21" s="0" t="n">
        <f aca="false">K19*K20</f>
        <v>57135.6980962994</v>
      </c>
      <c r="L21" s="0" t="n">
        <f aca="false">L19*L20</f>
        <v>53744.0813143273</v>
      </c>
    </row>
    <row r="23" customFormat="false" ht="15" hidden="false" customHeight="false" outlineLevel="0" collapsed="false">
      <c r="A23" s="0" t="s">
        <v>97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Assumptions!$B$34</f>
        <v>9.5</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15</v>
      </c>
    </row>
    <row r="30" customFormat="false" ht="15" hidden="false" customHeight="false" outlineLevel="0" collapsed="false">
      <c r="A30" s="0" t="s">
        <v>124</v>
      </c>
      <c r="B30" s="0" t="n">
        <f aca="false">SUM(C21:L21)</f>
        <v>572141.638719879</v>
      </c>
    </row>
    <row r="31" customFormat="false" ht="15" hidden="false" customHeight="false" outlineLevel="0" collapsed="false">
      <c r="A31" s="0" t="s">
        <v>125</v>
      </c>
      <c r="B31" s="0" t="n">
        <f aca="false">L19</f>
        <v>133190.066373133</v>
      </c>
    </row>
    <row r="32" customFormat="false" ht="15" hidden="false" customHeight="false" outlineLevel="0" collapsed="false">
      <c r="A32" s="0" t="s">
        <v>126</v>
      </c>
      <c r="B32" s="0" t="n">
        <f aca="false">IF(B27&gt;B28,B31*(1+B28/100)/((B27-B28)/100),B31*B29)</f>
        <v>1950283.11474944</v>
      </c>
    </row>
    <row r="33" customFormat="false" ht="15" hidden="false" customHeight="false" outlineLevel="0" collapsed="false">
      <c r="A33" s="0" t="s">
        <v>127</v>
      </c>
      <c r="B33" s="0" t="n">
        <f aca="false">B31*B29</f>
        <v>1997850.99559699</v>
      </c>
    </row>
    <row r="34" customFormat="false" ht="15" hidden="false" customHeight="false" outlineLevel="0" collapsed="false">
      <c r="A34" s="0" t="s">
        <v>128</v>
      </c>
      <c r="B34" s="0" t="n">
        <f aca="false">MAX(0,MIN(B32,B33))</f>
        <v>1950283.11474944</v>
      </c>
    </row>
    <row r="35" customFormat="false" ht="15" hidden="false" customHeight="false" outlineLevel="0" collapsed="false">
      <c r="A35" s="0" t="s">
        <v>129</v>
      </c>
      <c r="B35" s="0" t="n">
        <f aca="false">B34/(1+B27/100)^L4</f>
        <v>786966.904959793</v>
      </c>
    </row>
    <row r="36" customFormat="false" ht="15" hidden="false" customHeight="false" outlineLevel="0" collapsed="false">
      <c r="A36" s="0" t="s">
        <v>130</v>
      </c>
      <c r="B36" s="0" t="n">
        <f aca="false">B30+B35</f>
        <v>1359108.54367967</v>
      </c>
    </row>
    <row r="37" customFormat="false" ht="15" hidden="false" customHeight="false" outlineLevel="0" collapsed="false">
      <c r="A37" s="0" t="s">
        <v>131</v>
      </c>
      <c r="B37" s="0" t="n">
        <f aca="false">B36+Assumptions!$B$5-Assumptions!$B$4</f>
        <v>1564880.94367967</v>
      </c>
    </row>
    <row r="38" customFormat="false" ht="15" hidden="false" customHeight="false" outlineLevel="0" collapsed="false">
      <c r="A38" s="0" t="s">
        <v>132</v>
      </c>
      <c r="B38" s="0" t="n">
        <f aca="false">B37/Assumptions!$B$3*Assumptions!$B$10</f>
        <v>396.863750047673</v>
      </c>
    </row>
    <row r="39" customFormat="false" ht="15" hidden="false" customHeight="false" outlineLevel="0" collapsed="false">
      <c r="A39" s="0" t="s">
        <v>133</v>
      </c>
      <c r="B39" s="4" t="n">
        <f aca="false">B38/Assumptions!$B$2-1</f>
        <v>0.172765218817001</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396.863750047673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1092158.54425969</v>
      </c>
    </row>
    <row r="47" customFormat="false" ht="15" hidden="false" customHeight="false" outlineLevel="0" collapsed="false">
      <c r="A47" s="0" t="s">
        <v>138</v>
      </c>
      <c r="B47" s="0" t="n">
        <f aca="false">(SUMPRODUCT(C19:L19/(1+B45/100)^C4:L4)+B46/(1+B45/100)^L4+Assumptions!$B$5-Assumptions!$B$4)/Assumptions!$B$3*Assumptions!$B$10</f>
        <v>232.107697825732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50</v>
      </c>
      <c r="D5" s="4" t="n">
        <f aca="false">Assumptions!D41</f>
        <v>20</v>
      </c>
      <c r="E5" s="4" t="n">
        <f aca="false">Assumptions!E41</f>
        <v>16</v>
      </c>
      <c r="F5" s="4" t="n">
        <f aca="false">Assumptions!F41</f>
        <v>13</v>
      </c>
      <c r="G5" s="4" t="n">
        <f aca="false">Assumptions!G41</f>
        <v>10</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423701.8</v>
      </c>
      <c r="C6" s="0" t="n">
        <f aca="false">B6*(1+C5/100)</f>
        <v>635552.7</v>
      </c>
      <c r="D6" s="0" t="n">
        <f aca="false">C6*(1+D5/100)</f>
        <v>762663.24</v>
      </c>
      <c r="E6" s="0" t="n">
        <f aca="false">D6*(1+E5/100)</f>
        <v>884689.3584</v>
      </c>
      <c r="F6" s="0" t="n">
        <f aca="false">E6*(1+F5/100)</f>
        <v>999698.974992</v>
      </c>
      <c r="G6" s="0" t="n">
        <f aca="false">F6*(1+G5/100)</f>
        <v>1099668.8724912</v>
      </c>
      <c r="H6" s="0" t="n">
        <f aca="false">G6*(1+H5/100)</f>
        <v>1187642.3822905</v>
      </c>
      <c r="I6" s="0" t="n">
        <f aca="false">H6*(1+I5/100)</f>
        <v>1270777.34905083</v>
      </c>
      <c r="J6" s="0" t="n">
        <f aca="false">I6*(1+J5/100)</f>
        <v>1347023.98999388</v>
      </c>
      <c r="K6" s="0" t="n">
        <f aca="false">J6*(1+K5/100)</f>
        <v>1414375.18949357</v>
      </c>
      <c r="L6" s="0" t="n">
        <f aca="false">K6*(1+L5/100)</f>
        <v>1470950.19707332</v>
      </c>
    </row>
    <row r="7" customFormat="false" ht="15" hidden="false" customHeight="false" outlineLevel="0" collapsed="false">
      <c r="A7" s="0" t="s">
        <v>95</v>
      </c>
      <c r="C7" s="4" t="n">
        <f aca="false">Assumptions!C42</f>
        <v>22.5</v>
      </c>
      <c r="D7" s="4" t="n">
        <f aca="false">Assumptions!D42</f>
        <v>22</v>
      </c>
      <c r="E7" s="4" t="n">
        <f aca="false">Assumptions!E42</f>
        <v>22.5</v>
      </c>
      <c r="F7" s="4" t="n">
        <f aca="false">Assumptions!F42</f>
        <v>23</v>
      </c>
      <c r="G7" s="4" t="n">
        <f aca="false">Assumptions!G42</f>
        <v>23.5</v>
      </c>
      <c r="H7" s="4" t="n">
        <f aca="false">Assumptions!H42</f>
        <v>23.5</v>
      </c>
      <c r="I7" s="4" t="n">
        <f aca="false">Assumptions!I42</f>
        <v>23.5</v>
      </c>
      <c r="J7" s="4" t="n">
        <f aca="false">Assumptions!J42</f>
        <v>23.5</v>
      </c>
      <c r="K7" s="4" t="n">
        <f aca="false">Assumptions!K42</f>
        <v>23.5</v>
      </c>
      <c r="L7" s="4" t="n">
        <f aca="false">Assumptions!L42</f>
        <v>23.5</v>
      </c>
    </row>
    <row r="8" customFormat="false" ht="15" hidden="false" customHeight="false" outlineLevel="0" collapsed="false">
      <c r="A8" s="0" t="s">
        <v>44</v>
      </c>
      <c r="C8" s="0" t="n">
        <f aca="false">C6*C7/100</f>
        <v>142999.3575</v>
      </c>
      <c r="D8" s="0" t="n">
        <f aca="false">D6*D7/100</f>
        <v>167785.9128</v>
      </c>
      <c r="E8" s="0" t="n">
        <f aca="false">E6*E7/100</f>
        <v>199055.10564</v>
      </c>
      <c r="F8" s="0" t="n">
        <f aca="false">F6*F7/100</f>
        <v>229930.76424816</v>
      </c>
      <c r="G8" s="0" t="n">
        <f aca="false">G6*G7/100</f>
        <v>258422.185035432</v>
      </c>
      <c r="H8" s="0" t="n">
        <f aca="false">H6*H7/100</f>
        <v>279095.959838267</v>
      </c>
      <c r="I8" s="0" t="n">
        <f aca="false">I6*I7/100</f>
        <v>298632.677026945</v>
      </c>
      <c r="J8" s="0" t="n">
        <f aca="false">J6*J7/100</f>
        <v>316550.637648562</v>
      </c>
      <c r="K8" s="0" t="n">
        <f aca="false">K6*K7/100</f>
        <v>332378.16953099</v>
      </c>
      <c r="L8" s="0" t="n">
        <f aca="false">L6*L7/100</f>
        <v>345673.29631223</v>
      </c>
    </row>
    <row r="9" customFormat="false" ht="15" hidden="false" customHeight="false" outlineLevel="0" collapsed="false">
      <c r="A9" s="0" t="s">
        <v>96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142999.3575</v>
      </c>
      <c r="D11" s="0" t="n">
        <f aca="false">D8+D10+D24</f>
        <v>167785.9128</v>
      </c>
      <c r="E11" s="0" t="n">
        <f aca="false">E8+E10+E24</f>
        <v>199055.10564</v>
      </c>
      <c r="F11" s="0" t="n">
        <f aca="false">F8+F10+F24</f>
        <v>229930.76424816</v>
      </c>
      <c r="G11" s="0" t="n">
        <f aca="false">G8+G10+G24</f>
        <v>258422.185035432</v>
      </c>
      <c r="H11" s="0" t="n">
        <f aca="false">H8+H10+H24</f>
        <v>279095.959838267</v>
      </c>
      <c r="I11" s="0" t="n">
        <f aca="false">I8+I10+I24</f>
        <v>298632.677026945</v>
      </c>
      <c r="J11" s="0" t="n">
        <f aca="false">J8+J10+J24</f>
        <v>316550.637648562</v>
      </c>
      <c r="K11" s="0" t="n">
        <f aca="false">K8+K10+K24</f>
        <v>332378.16953099</v>
      </c>
      <c r="L11" s="0" t="n">
        <f aca="false">L8+L10+L24</f>
        <v>345673.29631223</v>
      </c>
    </row>
    <row r="12" customFormat="false" ht="15" hidden="false" customHeight="false" outlineLevel="0" collapsed="false">
      <c r="A12" s="0" t="s">
        <v>113</v>
      </c>
      <c r="C12" s="4" t="n">
        <f aca="false">-C6*Assumptions!C45/100</f>
        <v>-34955.3985</v>
      </c>
      <c r="D12" s="4" t="n">
        <f aca="false">-D6*Assumptions!D45/100</f>
        <v>-44234.46792</v>
      </c>
      <c r="E12" s="4" t="n">
        <f aca="false">-E6*Assumptions!E45/100</f>
        <v>-53081.361504</v>
      </c>
      <c r="F12" s="4" t="n">
        <f aca="false">-F6*Assumptions!F45/100</f>
        <v>-61981.336449504</v>
      </c>
      <c r="G12" s="4" t="n">
        <f aca="false">-G6*Assumptions!G45/100</f>
        <v>-70378.8078394368</v>
      </c>
      <c r="H12" s="4" t="n">
        <f aca="false">-H6*Assumptions!H45/100</f>
        <v>-77196.7548488822</v>
      </c>
      <c r="I12" s="4" t="n">
        <f aca="false">-I6*Assumptions!I45/100</f>
        <v>-82600.527688304</v>
      </c>
      <c r="J12" s="4" t="n">
        <f aca="false">-J6*Assumptions!J45/100</f>
        <v>-87556.5593496022</v>
      </c>
      <c r="K12" s="4" t="n">
        <f aca="false">-K6*Assumptions!K45/100</f>
        <v>-91934.3873170824</v>
      </c>
      <c r="L12" s="4" t="n">
        <f aca="false">-L6*Assumptions!L45/100</f>
        <v>-95611.7628097656</v>
      </c>
    </row>
    <row r="13" customFormat="false" ht="15" hidden="false" customHeight="false" outlineLevel="0" collapsed="false">
      <c r="A13" s="0" t="s">
        <v>114</v>
      </c>
      <c r="C13" s="0" t="n">
        <f aca="false">C11+C12</f>
        <v>108043.959</v>
      </c>
      <c r="D13" s="0" t="n">
        <f aca="false">D11+D12</f>
        <v>123551.44488</v>
      </c>
      <c r="E13" s="0" t="n">
        <f aca="false">E11+E12</f>
        <v>145973.744136</v>
      </c>
      <c r="F13" s="0" t="n">
        <f aca="false">F11+F12</f>
        <v>167949.427798656</v>
      </c>
      <c r="G13" s="0" t="n">
        <f aca="false">G11+G12</f>
        <v>188043.377195995</v>
      </c>
      <c r="H13" s="0" t="n">
        <f aca="false">H11+H12</f>
        <v>201899.204989384</v>
      </c>
      <c r="I13" s="0" t="n">
        <f aca="false">I11+I12</f>
        <v>216032.149338641</v>
      </c>
      <c r="J13" s="0" t="n">
        <f aca="false">J11+J12</f>
        <v>228994.07829896</v>
      </c>
      <c r="K13" s="0" t="n">
        <f aca="false">K11+K12</f>
        <v>240443.782213908</v>
      </c>
      <c r="L13" s="0" t="n">
        <f aca="false">L11+L12</f>
        <v>250061.533502464</v>
      </c>
    </row>
    <row r="14" customFormat="false" ht="15" hidden="false" customHeight="false" outlineLevel="0" collapsed="false">
      <c r="A14" s="0" t="s">
        <v>100</v>
      </c>
      <c r="C14" s="4" t="n">
        <f aca="false">Assumptions!C47</f>
        <v>20</v>
      </c>
      <c r="D14" s="4" t="n">
        <f aca="false">Assumptions!D47</f>
        <v>20</v>
      </c>
      <c r="E14" s="4" t="n">
        <f aca="false">Assumptions!E47</f>
        <v>20</v>
      </c>
      <c r="F14" s="4" t="n">
        <f aca="false">Assumptions!F47</f>
        <v>20</v>
      </c>
      <c r="G14" s="4" t="n">
        <f aca="false">Assumptions!G47</f>
        <v>20.5</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115</v>
      </c>
      <c r="C15" s="0" t="n">
        <f aca="false">C13-MAX(0,C13)*C14/100</f>
        <v>86435.1672</v>
      </c>
      <c r="D15" s="0" t="n">
        <f aca="false">D13-MAX(0,D13)*D14/100</f>
        <v>98841.155904</v>
      </c>
      <c r="E15" s="0" t="n">
        <f aca="false">E13-MAX(0,E13)*E14/100</f>
        <v>116778.9953088</v>
      </c>
      <c r="F15" s="0" t="n">
        <f aca="false">F13-MAX(0,F13)*F14/100</f>
        <v>134359.542238925</v>
      </c>
      <c r="G15" s="0" t="n">
        <f aca="false">G13-MAX(0,G13)*G14/100</f>
        <v>149494.484870816</v>
      </c>
      <c r="H15" s="0" t="n">
        <f aca="false">H13-MAX(0,H13)*H14/100</f>
        <v>159500.371941614</v>
      </c>
      <c r="I15" s="0" t="n">
        <f aca="false">I13-MAX(0,I13)*I14/100</f>
        <v>170665.397977527</v>
      </c>
      <c r="J15" s="0" t="n">
        <f aca="false">J13-MAX(0,J13)*J14/100</f>
        <v>180905.321856178</v>
      </c>
      <c r="K15" s="0" t="n">
        <f aca="false">K13-MAX(0,K13)*K14/100</f>
        <v>189950.587948987</v>
      </c>
      <c r="L15" s="0" t="n">
        <f aca="false">L13-MAX(0,L13)*L14/100</f>
        <v>197548.611466947</v>
      </c>
    </row>
    <row r="16" customFormat="false" ht="15" hidden="false" customHeight="false" outlineLevel="0" collapsed="false">
      <c r="A16" s="0" t="s">
        <v>116</v>
      </c>
      <c r="C16" s="0" t="n">
        <f aca="false">-C12</f>
        <v>34955.3985</v>
      </c>
      <c r="D16" s="0" t="n">
        <f aca="false">-D12</f>
        <v>44234.46792</v>
      </c>
      <c r="E16" s="0" t="n">
        <f aca="false">-E12</f>
        <v>53081.361504</v>
      </c>
      <c r="F16" s="0" t="n">
        <f aca="false">-F12</f>
        <v>61981.336449504</v>
      </c>
      <c r="G16" s="0" t="n">
        <f aca="false">-G12</f>
        <v>70378.8078394368</v>
      </c>
      <c r="H16" s="0" t="n">
        <f aca="false">-H12</f>
        <v>77196.7548488822</v>
      </c>
      <c r="I16" s="0" t="n">
        <f aca="false">-I12</f>
        <v>82600.527688304</v>
      </c>
      <c r="J16" s="0" t="n">
        <f aca="false">-J12</f>
        <v>87556.5593496022</v>
      </c>
      <c r="K16" s="0" t="n">
        <f aca="false">-K12</f>
        <v>91934.3873170824</v>
      </c>
      <c r="L16" s="0" t="n">
        <f aca="false">-L12</f>
        <v>95611.7628097656</v>
      </c>
    </row>
    <row r="17" customFormat="false" ht="15" hidden="false" customHeight="false" outlineLevel="0" collapsed="false">
      <c r="A17" s="0" t="s">
        <v>117</v>
      </c>
      <c r="C17" s="4" t="n">
        <f aca="false">-C6*Assumptions!C46/100</f>
        <v>-60377.5065</v>
      </c>
      <c r="D17" s="4" t="n">
        <f aca="false">-D6*Assumptions!D46/100</f>
        <v>-68639.6916</v>
      </c>
      <c r="E17" s="4" t="n">
        <f aca="false">-E6*Assumptions!E46/100</f>
        <v>-75198.595464</v>
      </c>
      <c r="F17" s="4" t="n">
        <f aca="false">-F6*Assumptions!F46/100</f>
        <v>-84974.41287432</v>
      </c>
      <c r="G17" s="4" t="n">
        <f aca="false">-G6*Assumptions!G46/100</f>
        <v>-87973.509799296</v>
      </c>
      <c r="H17" s="4" t="n">
        <f aca="false">-H6*Assumptions!H46/100</f>
        <v>-95011.3905832397</v>
      </c>
      <c r="I17" s="4" t="n">
        <f aca="false">-I6*Assumptions!I46/100</f>
        <v>-95308.3011788123</v>
      </c>
      <c r="J17" s="4" t="n">
        <f aca="false">-J6*Assumptions!J46/100</f>
        <v>-101026.799249541</v>
      </c>
      <c r="K17" s="4" t="n">
        <f aca="false">-K6*Assumptions!K46/100</f>
        <v>-99006.2632645502</v>
      </c>
      <c r="L17" s="4" t="n">
        <f aca="false">-L6*Assumptions!L46/100</f>
        <v>-102966.513795132</v>
      </c>
    </row>
    <row r="18" customFormat="false" ht="15" hidden="false" customHeight="false" outlineLevel="0" collapsed="false">
      <c r="A18" s="0" t="s">
        <v>118</v>
      </c>
      <c r="C18" s="4" t="n">
        <f aca="false">(C6-B6)*Assumptions!$B$51/100</f>
        <v>16948.072</v>
      </c>
      <c r="D18" s="4" t="n">
        <f aca="false">(D6-C6)*Assumptions!$B$51/100</f>
        <v>10168.8432</v>
      </c>
      <c r="E18" s="4" t="n">
        <f aca="false">(E6-D6)*Assumptions!$B$51/100</f>
        <v>9762.08947199999</v>
      </c>
      <c r="F18" s="4" t="n">
        <f aca="false">(F6-E6)*Assumptions!$B$51/100</f>
        <v>9200.76932735999</v>
      </c>
      <c r="G18" s="4" t="n">
        <f aca="false">(G6-F6)*Assumptions!$B$51/100</f>
        <v>7997.59179993601</v>
      </c>
      <c r="H18" s="4" t="n">
        <f aca="false">(H6-G6)*Assumptions!$B$51/100</f>
        <v>7037.88078394368</v>
      </c>
      <c r="I18" s="4" t="n">
        <f aca="false">(I6-H6)*Assumptions!$B$51/100</f>
        <v>6650.79734082678</v>
      </c>
      <c r="J18" s="4" t="n">
        <f aca="false">(J6-I6)*Assumptions!$B$51/100</f>
        <v>6099.73127544399</v>
      </c>
      <c r="K18" s="4" t="n">
        <f aca="false">(K6-J6)*Assumptions!$B$51/100</f>
        <v>5388.09595997553</v>
      </c>
      <c r="L18" s="4" t="n">
        <f aca="false">(L6-K6)*Assumptions!$B$51/100</f>
        <v>4526.00060637943</v>
      </c>
    </row>
    <row r="19" customFormat="false" ht="15" hidden="false" customHeight="false" outlineLevel="0" collapsed="false">
      <c r="A19" s="0" t="s">
        <v>119</v>
      </c>
      <c r="C19" s="0" t="n">
        <f aca="false">C15+C16+C17+C18</f>
        <v>77961.1312</v>
      </c>
      <c r="D19" s="0" t="n">
        <f aca="false">D15+D16+D17+D18</f>
        <v>84604.775424</v>
      </c>
      <c r="E19" s="0" t="n">
        <f aca="false">E15+E16+E17+E18</f>
        <v>104423.8508208</v>
      </c>
      <c r="F19" s="0" t="n">
        <f aca="false">F15+F16+F17+F18</f>
        <v>120567.235141469</v>
      </c>
      <c r="G19" s="0" t="n">
        <f aca="false">G15+G16+G17+G18</f>
        <v>139897.374710893</v>
      </c>
      <c r="H19" s="0" t="n">
        <f aca="false">H15+H16+H17+H18</f>
        <v>148723.6169912</v>
      </c>
      <c r="I19" s="0" t="n">
        <f aca="false">I15+I16+I17+I18</f>
        <v>164608.421827845</v>
      </c>
      <c r="J19" s="0" t="n">
        <f aca="false">J15+J16+J17+J18</f>
        <v>173534.813231683</v>
      </c>
      <c r="K19" s="0" t="n">
        <f aca="false">K15+K16+K17+K18</f>
        <v>188266.807961495</v>
      </c>
      <c r="L19" s="0" t="n">
        <f aca="false">L15+L16+L17+L18</f>
        <v>194719.861087959</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71197.3800913242</v>
      </c>
      <c r="D21" s="0" t="n">
        <f aca="false">D19*D20</f>
        <v>70561.3105848502</v>
      </c>
      <c r="E21" s="0" t="n">
        <f aca="false">E19*E20</f>
        <v>79534.8281519831</v>
      </c>
      <c r="F21" s="0" t="n">
        <f aca="false">F19*F20</f>
        <v>83863.4694008028</v>
      </c>
      <c r="G21" s="0" t="n">
        <f aca="false">G19*G20</f>
        <v>88866.6827166623</v>
      </c>
      <c r="H21" s="0" t="n">
        <f aca="false">H19*H20</f>
        <v>86277.0374370719</v>
      </c>
      <c r="I21" s="0" t="n">
        <f aca="false">I19*I20</f>
        <v>87207.3755621724</v>
      </c>
      <c r="J21" s="0" t="n">
        <f aca="false">J19*J20</f>
        <v>83960.2376735406</v>
      </c>
      <c r="K21" s="0" t="n">
        <f aca="false">K19*K20</f>
        <v>83185.319055552</v>
      </c>
      <c r="L21" s="0" t="n">
        <f aca="false">L19*L20</f>
        <v>78572.2263889256</v>
      </c>
    </row>
    <row r="23" customFormat="false" ht="15" hidden="false" customHeight="false" outlineLevel="0" collapsed="false">
      <c r="A23" s="0" t="s">
        <v>97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123</v>
      </c>
    </row>
    <row r="27" customFormat="false" ht="15" hidden="false" customHeight="false" outlineLevel="0" collapsed="false">
      <c r="A27" s="0" t="s">
        <v>101</v>
      </c>
      <c r="B27" s="4" t="n">
        <f aca="false">Assumptions!$B$48</f>
        <v>9.5</v>
      </c>
    </row>
    <row r="28" customFormat="false" ht="15" hidden="false" customHeight="false" outlineLevel="0" collapsed="false">
      <c r="A28" s="0" t="s">
        <v>102</v>
      </c>
      <c r="B28" s="4" t="n">
        <f aca="false">Assumptions!$B$49</f>
        <v>2.5</v>
      </c>
    </row>
    <row r="29" customFormat="false" ht="15" hidden="false" customHeight="false" outlineLevel="0" collapsed="false">
      <c r="A29" s="0" t="s">
        <v>103</v>
      </c>
      <c r="B29" s="4" t="n">
        <f aca="false">Assumptions!$B$50</f>
        <v>15</v>
      </c>
    </row>
    <row r="30" customFormat="false" ht="15" hidden="false" customHeight="false" outlineLevel="0" collapsed="false">
      <c r="A30" s="0" t="s">
        <v>124</v>
      </c>
      <c r="B30" s="0" t="n">
        <f aca="false">SUM(C21:L21)</f>
        <v>813225.867062885</v>
      </c>
    </row>
    <row r="31" customFormat="false" ht="15" hidden="false" customHeight="false" outlineLevel="0" collapsed="false">
      <c r="A31" s="0" t="s">
        <v>125</v>
      </c>
      <c r="B31" s="0" t="n">
        <f aca="false">L19</f>
        <v>194719.861087959</v>
      </c>
    </row>
    <row r="32" customFormat="false" ht="15" hidden="false" customHeight="false" outlineLevel="0" collapsed="false">
      <c r="A32" s="0" t="s">
        <v>126</v>
      </c>
      <c r="B32" s="0" t="n">
        <f aca="false">IF(B27&gt;B28,B31*(1+B28/100)/((B27-B28)/100),B31*B29)</f>
        <v>2851255.10878798</v>
      </c>
    </row>
    <row r="33" customFormat="false" ht="15" hidden="false" customHeight="false" outlineLevel="0" collapsed="false">
      <c r="A33" s="0" t="s">
        <v>127</v>
      </c>
      <c r="B33" s="0" t="n">
        <f aca="false">B31*B29</f>
        <v>2920797.91631939</v>
      </c>
    </row>
    <row r="34" customFormat="false" ht="15" hidden="false" customHeight="false" outlineLevel="0" collapsed="false">
      <c r="A34" s="0" t="s">
        <v>128</v>
      </c>
      <c r="B34" s="0" t="n">
        <f aca="false">MAX(0,MIN(B32,B33))</f>
        <v>2851255.10878798</v>
      </c>
    </row>
    <row r="35" customFormat="false" ht="15" hidden="false" customHeight="false" outlineLevel="0" collapsed="false">
      <c r="A35" s="0" t="s">
        <v>129</v>
      </c>
      <c r="B35" s="0" t="n">
        <f aca="false">B34/(1+B27/100)^L4</f>
        <v>1150521.88640927</v>
      </c>
    </row>
    <row r="36" customFormat="false" ht="15" hidden="false" customHeight="false" outlineLevel="0" collapsed="false">
      <c r="A36" s="0" t="s">
        <v>130</v>
      </c>
      <c r="B36" s="0" t="n">
        <f aca="false">B30+B35</f>
        <v>1963747.75347215</v>
      </c>
    </row>
    <row r="37" customFormat="false" ht="15" hidden="false" customHeight="false" outlineLevel="0" collapsed="false">
      <c r="A37" s="0" t="s">
        <v>131</v>
      </c>
      <c r="B37" s="0" t="n">
        <f aca="false">B36+Assumptions!$B$5-Assumptions!$B$4</f>
        <v>2169520.15347215</v>
      </c>
    </row>
    <row r="38" customFormat="false" ht="15" hidden="false" customHeight="false" outlineLevel="0" collapsed="false">
      <c r="A38" s="0" t="s">
        <v>132</v>
      </c>
      <c r="B38" s="0" t="n">
        <f aca="false">B37/Assumptions!$B$3*Assumptions!$B$10</f>
        <v>550.204095326505</v>
      </c>
    </row>
    <row r="39" customFormat="false" ht="15" hidden="false" customHeight="false" outlineLevel="0" collapsed="false">
      <c r="A39" s="0" t="s">
        <v>133</v>
      </c>
      <c r="B39" s="4" t="n">
        <f aca="false">B38/Assumptions!$B$2-1</f>
        <v>0.625898626851374</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550.204095326505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1596702.86092127</v>
      </c>
    </row>
    <row r="47" customFormat="false" ht="15" hidden="false" customHeight="false" outlineLevel="0" collapsed="false">
      <c r="A47" s="0" t="s">
        <v>138</v>
      </c>
      <c r="B47" s="0" t="n">
        <f aca="false">(SUMPRODUCT(C19:L19/(1+B45/100)^C4:L4)+B46/(1+B45/100)^L4+Assumptions!$B$5-Assumptions!$B$4)/Assumptions!$B$3*Assumptions!$B$10</f>
        <v>310.395130819637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222.608806028425</v>
      </c>
      <c r="C4" s="0" t="n">
        <f aca="false">B4/Assumptions!$B$2-1</f>
        <v>-0.342172559017656</v>
      </c>
      <c r="D4" s="4" t="n">
        <f aca="false">Assumptions!$B$24</f>
        <v>0.25</v>
      </c>
      <c r="E4" s="4" t="n">
        <f aca="false">DCF_Bear!$B$43</f>
        <v>222.608806028425</v>
      </c>
      <c r="F4" s="4" t="n">
        <f aca="false">DCF_Bear!$B$47</f>
        <v>144.774795549133</v>
      </c>
    </row>
    <row r="5" customFormat="false" ht="15" hidden="false" customHeight="false" outlineLevel="0" collapsed="false">
      <c r="A5" s="0" t="s">
        <v>147</v>
      </c>
      <c r="B5" s="4" t="n">
        <f aca="false">DCF_Base!$B$38</f>
        <v>396.863750047673</v>
      </c>
      <c r="C5" s="0" t="n">
        <f aca="false">B5/Assumptions!$B$2-1</f>
        <v>0.172765218817001</v>
      </c>
      <c r="D5" s="4" t="n">
        <f aca="false">Assumptions!$B$38</f>
        <v>0.5</v>
      </c>
      <c r="E5" s="4" t="n">
        <f aca="false">DCF_Base!$B$43</f>
        <v>396.863750047673</v>
      </c>
      <c r="F5" s="4" t="n">
        <f aca="false">DCF_Base!$B$47</f>
        <v>232.107697825732</v>
      </c>
    </row>
    <row r="6" customFormat="false" ht="15" hidden="false" customHeight="false" outlineLevel="0" collapsed="false">
      <c r="A6" s="0" t="s">
        <v>148</v>
      </c>
      <c r="B6" s="4" t="n">
        <f aca="false">DCF_Bull!$B$38</f>
        <v>550.204095326505</v>
      </c>
      <c r="C6" s="0" t="n">
        <f aca="false">B6/Assumptions!$B$2-1</f>
        <v>0.625898626851374</v>
      </c>
      <c r="D6" s="4" t="n">
        <f aca="false">Assumptions!$B$52</f>
        <v>0.25</v>
      </c>
      <c r="E6" s="4" t="n">
        <f aca="false">DCF_Bull!$B$43</f>
        <v>550.204095326505</v>
      </c>
      <c r="F6" s="4" t="n">
        <f aca="false">DCF_Bull!$B$47</f>
        <v>310.395130819637</v>
      </c>
    </row>
    <row r="8" customFormat="false" ht="15" hidden="false" customHeight="false" outlineLevel="0" collapsed="false">
      <c r="A8" s="0" t="s">
        <v>149</v>
      </c>
      <c r="B8" s="0" t="n">
        <f aca="false">SUMPRODUCT(B4:B6,D4:D6)</f>
        <v>391.635100362569</v>
      </c>
    </row>
    <row r="9" customFormat="false" ht="15" hidden="false" customHeight="false" outlineLevel="0" collapsed="false">
      <c r="A9" s="0" t="s">
        <v>150</v>
      </c>
      <c r="B9" s="0" t="n">
        <f aca="false">SUMPRODUCT(E4:E6,D4:D6)</f>
        <v>391.635100362569</v>
      </c>
    </row>
    <row r="10" customFormat="false" ht="15" hidden="false" customHeight="false" outlineLevel="0" collapsed="false">
      <c r="A10" s="0" t="s">
        <v>151</v>
      </c>
      <c r="B10" s="0" t="n">
        <f aca="false">1-Assumptions!$B$2/B8</f>
        <v>0.135930360463822</v>
      </c>
    </row>
    <row r="11" customFormat="false" ht="15" hidden="false" customHeight="false" outlineLevel="0" collapsed="false">
      <c r="A11" s="0" t="s">
        <v>152</v>
      </c>
      <c r="B11" s="0" t="str">
        <f aca="false">IF(ABS(B9-B8)&gt;0.01*ABS(B8),(Assumptions!$B$2-B8)/(B9-B8)*100,"n/a")</f>
        <v>n/a</v>
      </c>
    </row>
    <row r="12" customFormat="false" ht="15" hidden="false" customHeight="false" outlineLevel="0" collapsed="false">
      <c r="A12" s="0" t="s">
        <v>153</v>
      </c>
      <c r="B12" s="0" t="n">
        <f aca="false">SUMPRODUCT(F4:F6,D4:D6)</f>
        <v>229.846330505059</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415.06717515087</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396.863750047673</v>
      </c>
      <c r="C16" s="3" t="n">
        <v>9.5</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371.63575844052</v>
      </c>
      <c r="C17" s="3" t="n">
        <v>10</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330.236585433478</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297.725425165992</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232.107697825732</v>
      </c>
      <c r="C20" s="3" t="n">
        <v>15</v>
      </c>
    </row>
    <row r="22" customFormat="false" ht="15" hidden="false" customHeight="false" outlineLevel="0" collapsed="false">
      <c r="A22" s="2" t="s">
        <v>162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459.031415867211</v>
      </c>
      <c r="C24" s="0" t="n">
        <f aca="false">(SUMPRODUCT(DCF_Base!$C$19:$L$19/(1+$A$24/100)^DCF_Base!$C$4:$L$4)+MAX(0,MIN(IF($A$24&gt;$C$23,DCF_Base!$L$19*(1+$C$23/100)/(($A$24-$C$23)/100),DCF_Base!$L$19*DCF_Base!$B$29),DCF_Base!$L$19*DCF_Base!$B$29))/(1+$A$24/100)^DCF_Base!$L$4+Assumptions!$B$5-Assumptions!$B$4)/Assumptions!$B$3*Assumptions!$B$10</f>
        <v>459.031415867211</v>
      </c>
      <c r="D24" s="0" t="n">
        <f aca="false">(SUMPRODUCT(DCF_Base!$C$19:$L$19/(1+$A$24/100)^DCF_Base!$C$4:$L$4)+MAX(0,MIN(IF($A$24&gt;$D$23,DCF_Base!$L$19*(1+$D$23/100)/(($A$24-$D$23)/100),DCF_Base!$L$19*DCF_Base!$B$29),DCF_Base!$L$19*DCF_Base!$B$29))/(1+$A$24/100)^DCF_Base!$L$4+Assumptions!$B$5-Assumptions!$B$4)/Assumptions!$B$3*Assumptions!$B$10</f>
        <v>459.031415867211</v>
      </c>
      <c r="E24" s="0" t="n">
        <f aca="false">(SUMPRODUCT(DCF_Base!$C$19:$L$19/(1+$A$24/100)^DCF_Base!$C$4:$L$4)+MAX(0,MIN(IF($A$24&gt;$E$23,DCF_Base!$L$19*(1+$E$23/100)/(($A$24-$E$23)/100),DCF_Base!$L$19*DCF_Base!$B$29),DCF_Base!$L$19*DCF_Base!$B$29))/(1+$A$24/100)^DCF_Base!$L$4+Assumptions!$B$5-Assumptions!$B$4)/Assumptions!$B$3*Assumptions!$B$10</f>
        <v>459.031415867211</v>
      </c>
      <c r="F24" s="0" t="n">
        <f aca="false">(SUMPRODUCT(DCF_Base!$C$19:$L$19/(1+$A$24/100)^DCF_Base!$C$4:$L$4)+MAX(0,MIN(IF($A$24&gt;$F$23,DCF_Base!$L$19*(1+$F$23/100)/(($A$24-$F$23)/100),DCF_Base!$L$19*DCF_Base!$B$29),DCF_Base!$L$19*DCF_Base!$B$29))/(1+$A$24/100)^DCF_Base!$L$4+Assumptions!$B$5-Assumptions!$B$4)/Assumptions!$B$3*Assumptions!$B$10</f>
        <v>459.031415867211</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421.5692638598</v>
      </c>
      <c r="C25" s="0" t="n">
        <f aca="false">(SUMPRODUCT(DCF_Base!$C$19:$L$19/(1+$A$25/100)^DCF_Base!$C$4:$L$4)+MAX(0,MIN(IF($A$25&gt;$C$23,DCF_Base!$L$19*(1+$C$23/100)/(($A$25-$C$23)/100),DCF_Base!$L$19*DCF_Base!$B$29),DCF_Base!$L$19*DCF_Base!$B$29))/(1+$A$25/100)^DCF_Base!$L$4+Assumptions!$B$5-Assumptions!$B$4)/Assumptions!$B$3*Assumptions!$B$10</f>
        <v>429.038988416639</v>
      </c>
      <c r="D25" s="0" t="n">
        <f aca="false">(SUMPRODUCT(DCF_Base!$C$19:$L$19/(1+$A$25/100)^DCF_Base!$C$4:$L$4)+MAX(0,MIN(IF($A$25&gt;$D$23,DCF_Base!$L$19*(1+$D$23/100)/(($A$25-$D$23)/100),DCF_Base!$L$19*DCF_Base!$B$29),DCF_Base!$L$19*DCF_Base!$B$29))/(1+$A$25/100)^DCF_Base!$L$4+Assumptions!$B$5-Assumptions!$B$4)/Assumptions!$B$3*Assumptions!$B$10</f>
        <v>429.038988416639</v>
      </c>
      <c r="E25" s="0" t="n">
        <f aca="false">(SUMPRODUCT(DCF_Base!$C$19:$L$19/(1+$A$25/100)^DCF_Base!$C$4:$L$4)+MAX(0,MIN(IF($A$25&gt;$E$23,DCF_Base!$L$19*(1+$E$23/100)/(($A$25-$E$23)/100),DCF_Base!$L$19*DCF_Base!$B$29),DCF_Base!$L$19*DCF_Base!$B$29))/(1+$A$25/100)^DCF_Base!$L$4+Assumptions!$B$5-Assumptions!$B$4)/Assumptions!$B$3*Assumptions!$B$10</f>
        <v>429.038988416639</v>
      </c>
      <c r="F25" s="0" t="n">
        <f aca="false">(SUMPRODUCT(DCF_Base!$C$19:$L$19/(1+$A$25/100)^DCF_Base!$C$4:$L$4)+MAX(0,MIN(IF($A$25&gt;$F$23,DCF_Base!$L$19*(1+$F$23/100)/(($A$25-$F$23)/100),DCF_Base!$L$19*DCF_Base!$B$29),DCF_Base!$L$19*DCF_Base!$B$29))/(1+$A$25/100)^DCF_Base!$L$4+Assumptions!$B$5-Assumptions!$B$4)/Assumptions!$B$3*Assumptions!$B$10</f>
        <v>429.038988416639</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370.212544083205</v>
      </c>
      <c r="C26" s="0" t="n">
        <f aca="false">(SUMPRODUCT(DCF_Base!$C$19:$L$19/(1+$A$26/100)^DCF_Base!$C$4:$L$4)+MAX(0,MIN(IF($A$26&gt;$C$23,DCF_Base!$L$19*(1+$C$23/100)/(($A$26-$C$23)/100),DCF_Base!$L$19*DCF_Base!$B$29),DCF_Base!$L$19*DCF_Base!$B$29))/(1+$A$26/100)^DCF_Base!$L$4+Assumptions!$B$5-Assumptions!$B$4)/Assumptions!$B$3*Assumptions!$B$10</f>
        <v>382.64977353329</v>
      </c>
      <c r="D26" s="0" t="n">
        <f aca="false">(SUMPRODUCT(DCF_Base!$C$19:$L$19/(1+$A$26/100)^DCF_Base!$C$4:$L$4)+MAX(0,MIN(IF($A$26&gt;$D$23,DCF_Base!$L$19*(1+$D$23/100)/(($A$26-$D$23)/100),DCF_Base!$L$19*DCF_Base!$B$29),DCF_Base!$L$19*DCF_Base!$B$29))/(1+$A$26/100)^DCF_Base!$L$4+Assumptions!$B$5-Assumptions!$B$4)/Assumptions!$B$3*Assumptions!$B$10</f>
        <v>396.863750047673</v>
      </c>
      <c r="E26" s="0" t="n">
        <f aca="false">(SUMPRODUCT(DCF_Base!$C$19:$L$19/(1+$A$26/100)^DCF_Base!$C$4:$L$4)+MAX(0,MIN(IF($A$26&gt;$E$23,DCF_Base!$L$19*(1+$E$23/100)/(($A$26-$E$23)/100),DCF_Base!$L$19*DCF_Base!$B$29),DCF_Base!$L$19*DCF_Base!$B$29))/(1+$A$26/100)^DCF_Base!$L$4+Assumptions!$B$5-Assumptions!$B$4)/Assumptions!$B$3*Assumptions!$B$10</f>
        <v>401.731550223832</v>
      </c>
      <c r="F26" s="0" t="n">
        <f aca="false">(SUMPRODUCT(DCF_Base!$C$19:$L$19/(1+$A$26/100)^DCF_Base!$C$4:$L$4)+MAX(0,MIN(IF($A$26&gt;$F$23,DCF_Base!$L$19*(1+$F$23/100)/(($A$26-$F$23)/100),DCF_Base!$L$19*DCF_Base!$B$29),DCF_Base!$L$19*DCF_Base!$B$29))/(1+$A$26/100)^DCF_Base!$L$4+Assumptions!$B$5-Assumptions!$B$4)/Assumptions!$B$3*Assumptions!$B$10</f>
        <v>401.731550223832</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330.515746837117</v>
      </c>
      <c r="C27" s="0" t="n">
        <f aca="false">(SUMPRODUCT(DCF_Base!$C$19:$L$19/(1+$A$27/100)^DCF_Base!$C$4:$L$4)+MAX(0,MIN(IF($A$27&gt;$C$23,DCF_Base!$L$19*(1+$C$23/100)/(($A$27-$C$23)/100),DCF_Base!$L$19*DCF_Base!$B$29),DCF_Base!$L$19*DCF_Base!$B$29))/(1+$A$27/100)^DCF_Base!$L$4+Assumptions!$B$5-Assumptions!$B$4)/Assumptions!$B$3*Assumptions!$B$10</f>
        <v>339.50409801634</v>
      </c>
      <c r="D27" s="0" t="n">
        <f aca="false">(SUMPRODUCT(DCF_Base!$C$19:$L$19/(1+$A$27/100)^DCF_Base!$C$4:$L$4)+MAX(0,MIN(IF($A$27&gt;$D$23,DCF_Base!$L$19*(1+$D$23/100)/(($A$27-$D$23)/100),DCF_Base!$L$19*DCF_Base!$B$29),DCF_Base!$L$19*DCF_Base!$B$29))/(1+$A$27/100)^DCF_Base!$L$4+Assumptions!$B$5-Assumptions!$B$4)/Assumptions!$B$3*Assumptions!$B$10</f>
        <v>349.615993092966</v>
      </c>
      <c r="E27" s="0" t="n">
        <f aca="false">(SUMPRODUCT(DCF_Base!$C$19:$L$19/(1+$A$27/100)^DCF_Base!$C$4:$L$4)+MAX(0,MIN(IF($A$27&gt;$E$23,DCF_Base!$L$19*(1+$E$23/100)/(($A$27-$E$23)/100),DCF_Base!$L$19*DCF_Base!$B$29),DCF_Base!$L$19*DCF_Base!$B$29))/(1+$A$27/100)^DCF_Base!$L$4+Assumptions!$B$5-Assumptions!$B$4)/Assumptions!$B$3*Assumptions!$B$10</f>
        <v>361.076140846475</v>
      </c>
      <c r="F27" s="0" t="n">
        <f aca="false">(SUMPRODUCT(DCF_Base!$C$19:$L$19/(1+$A$27/100)^DCF_Base!$C$4:$L$4)+MAX(0,MIN(IF($A$27&gt;$F$23,DCF_Base!$L$19*(1+$F$23/100)/(($A$27-$F$23)/100),DCF_Base!$L$19*DCF_Base!$B$29),DCF_Base!$L$19*DCF_Base!$B$29))/(1+$A$27/100)^DCF_Base!$L$4+Assumptions!$B$5-Assumptions!$B$4)/Assumptions!$B$3*Assumptions!$B$10</f>
        <v>374.173452564772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298.965772729746</v>
      </c>
      <c r="C28" s="0" t="n">
        <f aca="false">(SUMPRODUCT(DCF_Base!$C$19:$L$19/(1+$A$28/100)^DCF_Base!$C$4:$L$4)+MAX(0,MIN(IF($A$28&gt;$C$23,DCF_Base!$L$19*(1+$C$23/100)/(($A$28-$C$23)/100),DCF_Base!$L$19*DCF_Base!$B$29),DCF_Base!$L$19*DCF_Base!$B$29))/(1+$A$28/100)^DCF_Base!$L$4+Assumptions!$B$5-Assumptions!$B$4)/Assumptions!$B$3*Assumptions!$B$10</f>
        <v>305.640054812257</v>
      </c>
      <c r="D28" s="0" t="n">
        <f aca="false">(SUMPRODUCT(DCF_Base!$C$19:$L$19/(1+$A$28/100)^DCF_Base!$C$4:$L$4)+MAX(0,MIN(IF($A$28&gt;$D$23,DCF_Base!$L$19*(1+$D$23/100)/(($A$28-$D$23)/100),DCF_Base!$L$19*DCF_Base!$B$29),DCF_Base!$L$19*DCF_Base!$B$29))/(1+$A$28/100)^DCF_Base!$L$4+Assumptions!$B$5-Assumptions!$B$4)/Assumptions!$B$3*Assumptions!$B$10</f>
        <v>313.055923792824</v>
      </c>
      <c r="E28" s="0" t="n">
        <f aca="false">(SUMPRODUCT(DCF_Base!$C$19:$L$19/(1+$A$28/100)^DCF_Base!$C$4:$L$4)+MAX(0,MIN(IF($A$28&gt;$E$23,DCF_Base!$L$19*(1+$E$23/100)/(($A$28-$E$23)/100),DCF_Base!$L$19*DCF_Base!$B$29),DCF_Base!$L$19*DCF_Base!$B$29))/(1+$A$28/100)^DCF_Base!$L$4+Assumptions!$B$5-Assumptions!$B$4)/Assumptions!$B$3*Assumptions!$B$10</f>
        <v>321.344247947576</v>
      </c>
      <c r="F28" s="0" t="n">
        <f aca="false">(SUMPRODUCT(DCF_Base!$C$19:$L$19/(1+$A$28/100)^DCF_Base!$C$4:$L$4)+MAX(0,MIN(IF($A$28&gt;$F$23,DCF_Base!$L$19*(1+$F$23/100)/(($A$28-$F$23)/100),DCF_Base!$L$19*DCF_Base!$B$29),DCF_Base!$L$19*DCF_Base!$B$29))/(1+$A$28/100)^DCF_Base!$L$4+Assumptions!$B$5-Assumptions!$B$4)/Assumptions!$B$3*Assumptions!$B$10</f>
        <v>330.668612621672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2026-10-22T12:45:13Z</dcterms:created>
  <dc:creator>openpyxl</dc:creator>
  <dc:description/>
  <dc:language>en-NZ</dc:language>
  <cp:lastModifiedBy/>
  <dcterms:modified xsi:type="dcterms:W3CDTF">2026-10-22T12:45:13Z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