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<sst xmlns="http://schemas.openxmlformats.org/spreadsheetml/2006/main" count="366" uniqueCount="170">
  <si>
    <t xml:space="preserve">Ticker</t>
  </si>
  <si>
    <t xml:space="preserve">PRU.AX</t>
  </si>
  <si>
    <t xml:space="preserve">Company</t>
  </si>
  <si>
    <t xml:space="preserve">Perseus Mining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</si>
  <si>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</si>
  <si>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</si>
  <si>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</si>
  <si>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</si>
  <si>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2026-09-25T04:11:25Z ASX mid-session (regular trading, not after-hours); 52-week range 4.42-6.96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</si>
  <si>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</si>
  <si>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</si>
  <si>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</si>
  <si>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</si>
  <si>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</si>
  <si>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</si>
  <si>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</si>
  <si>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</si>
  <si>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</si>
  <si>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</si>
  <si>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</si>
  <si>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</si>
  <si>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</si>
  <si>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2026-09-25T04:41:44Z</t>
  </si>
  <si>
    <t xml:space="preserve">Drivers file</t>
  </si>
  <si>
    <t xml:space="preserve">PRU.AX_Drivers.json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</si>
  <si>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</si>
  <si>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</si>
  <si>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</si>
  <si>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gold miner on mid-cycle owner cash flow, not on the price the metal happens to trade at today. FY26's record profit was a gold-price event (realized US$3,693 vs 2,543, +45%) on falling grades and rising costs; FY27 is a guided transitional year in which ~US$530m of growth capex absorbs nearly all cash flow. The base case therefore pays for the guided volume step-up to ~525koz at a US$3,000/oz gold price and a US$1,470-1,500 AISC, charges government free-carries and tax together, adds the US$0.92bn net cash and the US$0.23bn listed equity portfolio, deducts the declared-but-unpaid final dividend, and caps the terminal at 10x because reserves are finite. The bull case is what the stock is currently priced for; the gap between the base and the price is the premium the market pays for spot gold persisting.
key_risks_to_valuation: Gold price: every US$100/oz on the mid-cycle deck moves base owner FCF by ~US$35-40m/yr (roughly A$0.30-0.35/share of value at 10x); the base US$3,000 deck is a judgment, not a forecast; Nyanzaga execution: 67% complete at 30 June 2026 against a US$523m budget with first gold January 2027 -- a six-month slip or 20% overrun shifts ~US$100m of FCF and delays the 525koz plateau by a year; Royalty and tax regimes: Ghana and Cote d'Ivoire lifted royalties in FY26; the combined 35% tax + free-carry leakage assumed from FY30 could rise under new mining codes (Tanzania's 20% free-carry is already the highest); Reserve depletion and grade: Yaoure head grade fell from 2.10 to 1.39 g/t and Edikan from 0.97 to 0.77 g/t in FY26; the 10x terminal cap and 485koz taper assume reserves are replaced at roughly the current pace; Capital allocation: the failed A$2.1bn Predictive Discovery bid shows appetite for large scrip M&amp;A; a dilutive deal is not in any scenario; FX: the AUD quote moves with AUDUSD (0.7016 used); a 5c move in AUDUSD shifts the AUD value by ~7% with no change in the USD valuation</t>
  </si>
  <si>
    <t xml:space="preserve">Data sources</t>
  </si>
  <si>
    <t xml:space="preserve">price: Yahoo Finance chart API at inputs.price_as_of (ASX regular session); FX from Yahoo AUDUSD=X and CADUSD=X at the same time; TSX parity from PRU.TO
financials: PRU.AX_Metrics.csv / core_metrics (FY2016-FY2026, AUD to FY2022 then USD); FY2026 Annual Report (30 June 2026) for the balance sheet, issued capital note 13, equity investments note 16, per-mine production and AISC tables, FY27 outlook and subsequent events; KPIs table for cash taxes, interest income, D&amp;A, dividends and buybacks
qualitative: PRU.AX_Analysis.json (2026-09-25): FY27 guidance, five-year outlook, Nyanzaga status, Meyas Sand divestment, Predictive Discovery bid withdrawal, CEO succession; gold spot from Yahoo GC=F</t>
  </si>
  <si>
    <t xml:space="preserve">Scenario narrative: bear</t>
  </si>
  <si>
    <t xml:space="preserve">The 2012-15 gold cycle repeated onto a higher-cost, more-taxed asset base. Gold falls 44% to US$2,400 by FY30; Perseus is unhedged so it takes the full hit. Nyanzaga is late and over budget (FY27 capex US$640m), the group plateaus at 490koz, and AISC stays ~US$1,700 because Ghanaian and Ivorian royalty regimes that rose in FY26 do not fall back and Edikan/Yaoure grades keep declining. Margins compress to ~30% and owner FCF to ~US$120-130m/yr; the US$0.92bn net cash and US$0.23bn equity portfolio then carry most of the value. A coup, a mining-code rewrite or a Tanzanian free-carry increase would sit inside this case.</t>
  </si>
  <si>
    <t xml:space="preserve">Scenario narrative: base</t>
  </si>
  <si>
    <t xml:space="preserve">The company's own plan at a normalized gold price. FY27 is the transitional year management guided: 420-480koz at AISC US$1,835-2,070 with ~US$530m growth capex (Nyanzaga ~230, CMA ~80, Edikan cutbacks ~140), so owner FCF is near zero despite a US$4,000 realized price. From FY28 Nyanzaga (first gold January 2027, 4.1Moz reserve, 16-year life) and CMA Underground lift the group to the guided 515-535koz, and AISC falls toward -- but not all the way to -- the guided US$1,400-1,500. The valuation's single biggest axis is the gold price: the base does not pay for today's US$4,305 spot, it normalizes to US$3,000 by FY30, which is where the mid-cycle owner FCF of ~US$370-410m/yr comes from. Government free-carries (10-20%) and cash tax are charged together at 30% rising to 35% of EBIT. The terminal is capped at 10x FY36 FCF because reserves support ~13 years at the plateau.</t>
  </si>
  <si>
    <t xml:space="preserve">Scenario narrative: bull</t>
  </si>
  <si>
    <t xml:space="preserve">Gold stays where it is. Spot US$4,300 holds through FY29 and then inflates 2%/yr, Nyanzaga and CMA deliver at the top of their plans (550koz group from FY29), and AISC reaches management's US$1,400 as Nyanzaga's lower-cost ounces dilute Yaoure's rising strip ratio. On those inputs the FY29+ EBITDA margin is ~68% and owner FCF ~US$0.9-1.0bn/yr; even at a 10x cap this more than doubles the base value. Everything in this case is 'spot holds and the plan works' -- no re-rating and no M&amp;A is assumed.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</si>
  <si>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</si>
  <si>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</si>
  <si>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</si>
  <si>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</si>
  <si>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</si>
  <si>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</si>
  <si>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</si>
  <si>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</si>
  <si>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</si>
  <si>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</si>
  <si>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</si>
  <si>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</si>
  <si>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</si>
  <si>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</si>
  <si>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</si>
  <si>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</si>
  <si>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</si>
  <si>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</si>
  <si>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</si>
  <si>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</si>
  <si>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</si>
  <si>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</si>
  <si>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</si>
  <si>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</si>
  <si>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</si>
  <si>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</si>
  <si>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</si>
  <si>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</si>
  <si>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CashTaxRate</t>
  </si>
  <si>
    <t xml:space="preserve">GoldPriceAchieved</t>
  </si>
  <si>
    <t xml:space="preserve">GoldProduction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</si>
  <si>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</si>
  <si>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</si>
  <si>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</si>
  <si>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</si>
  <si>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</si>
  <si>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</si>
  <si>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</si>
  <si>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</si>
  <si>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</si>
  <si>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</si>
  <si>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</si>
  <si>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</si>
  <si>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</si>
  <si>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</si>
  <si>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</si>
  <si>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</si>
  <si>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</si>
  <si>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</si>
  <si>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</si>
  <si>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</si>
  <si>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</si>
  <si>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</si>
  <si>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</si>
  <si>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</si>
  <si>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</si>
  <si>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</si>
  <si>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</si>
  <si>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</si>
  <si>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</si>
  <si>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</si>
  <si>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</si>
  <si>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</si>
  <si>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</si>
  <si>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</si>
  <si>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</si>
  <si>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</si>
  <si>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</si>
  <si>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</si>
  <si>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</si>
  <si>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</si>
  <si>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</si>
  <si>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</si>
  <si>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</si>
  <si>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</si>
  <si>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</si>
  <si>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</si>
  <si>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</si>
  <si>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</si>
  <si>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PRU.AX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</si>
  <si>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</si>
  <si>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</si>
  <si>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</si>
  <si>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</si>
  <si>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</si>
  <si>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</si>
  <si>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</si>
  <si>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</si>
  <si>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</si>
  <si>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</si>
  <si>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</si>
  <si>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</si>
  <si>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</si>
  <si>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</si>
  <si>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</si>
  <si>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</si>
  <si>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</si>
  <si>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</si>
  <si>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</si>
  <si>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</si>
  <si>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</si>
  <si>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</si>
  <si>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</si>
  <si>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</si>
  <si>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</si>
  <si>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</si>
  <si>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</si>
  <si>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</si>
  <si>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</si>
  <si>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</si>
  <si>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PRU.AX owner-FCF component DCF: base case (millions, USD)</t>
  </si>
  <si>
    <t xml:space="preserve">PRU.AX owner-FCF component DCF: bull case (millions, USD)</t>
  </si>
  <si>
    <t xml:space="preserve">PRU.AX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</si>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</sst>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252.203</v>
      </c>
      <c r="F2" s="0" t="n">
        <v>-43.992</v>
      </c>
      <c r="G2" s="0" t="n">
        <v>-17.4</v>
      </c>
      <c r="H2" s="0" t="n">
        <v>4.064</v>
      </c>
      <c r="I2" s="0" t="n">
        <v>-35.64</v>
      </c>
      <c r="J2" s="0" t="n">
        <v>-14.1</v>
      </c>
      <c r="K2" s="0" t="n">
        <v>-0.0574</v>
      </c>
      <c r="L2" s="0" t="n">
        <v>30.395</v>
      </c>
      <c r="M2" s="0" t="n">
        <v>74.168</v>
      </c>
      <c r="N2" s="0" t="n">
        <v>-43.773</v>
      </c>
      <c r="O2" s="0" t="n">
        <v>761.146</v>
      </c>
      <c r="P2" s="0" t="n">
        <v>943.075</v>
      </c>
      <c r="Q2" s="0" t="n">
        <v>173.737</v>
      </c>
      <c r="R2" s="0" t="n">
        <v>0</v>
      </c>
      <c r="S2" s="0" t="n">
        <v>151.257</v>
      </c>
      <c r="T2" s="0" t="n">
        <v>621.364</v>
      </c>
      <c r="U2" s="0" t="n">
        <v>0.729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69</v>
      </c>
      <c r="B3" s="0" t="n">
        <v>282.648</v>
      </c>
      <c r="F3" s="0" t="n">
        <v>-94.188</v>
      </c>
      <c r="G3" s="0" t="n">
        <v>-33.3</v>
      </c>
      <c r="H3" s="0" t="n">
        <v>-38.017</v>
      </c>
      <c r="I3" s="0" t="n">
        <v>-76.18</v>
      </c>
      <c r="J3" s="0" t="n">
        <v>-27</v>
      </c>
      <c r="K3" s="0" t="n">
        <v>-0.0741</v>
      </c>
      <c r="L3" s="0" t="n">
        <v>0.86</v>
      </c>
      <c r="M3" s="0" t="n">
        <v>159.593</v>
      </c>
      <c r="N3" s="0" t="n">
        <v>-158.733</v>
      </c>
      <c r="O3" s="0" t="n">
        <v>708.925</v>
      </c>
      <c r="P3" s="0" t="n">
        <v>864.799</v>
      </c>
      <c r="Q3" s="0" t="n">
        <v>149.5</v>
      </c>
      <c r="R3" s="0" t="n">
        <v>18.158</v>
      </c>
      <c r="S3" s="0" t="n">
        <v>24.027</v>
      </c>
      <c r="T3" s="0" t="n">
        <v>1027.96</v>
      </c>
      <c r="U3" s="0" t="n">
        <v>3.043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70</v>
      </c>
      <c r="B4" s="0" t="n">
        <v>378.076</v>
      </c>
      <c r="C4" s="0" t="n">
        <v>359.745</v>
      </c>
      <c r="D4" s="0" t="n">
        <v>18.331</v>
      </c>
      <c r="E4" s="0" t="n">
        <v>4.8</v>
      </c>
      <c r="F4" s="0" t="n">
        <v>-16.02</v>
      </c>
      <c r="G4" s="0" t="n">
        <v>-4.2</v>
      </c>
      <c r="H4" s="0" t="n">
        <v>103.564</v>
      </c>
      <c r="I4" s="0" t="n">
        <v>-25.853</v>
      </c>
      <c r="J4" s="0" t="n">
        <v>-6.8</v>
      </c>
      <c r="K4" s="0" t="n">
        <v>-0.025</v>
      </c>
      <c r="L4" s="0" t="n">
        <v>68.291</v>
      </c>
      <c r="M4" s="0" t="n">
        <v>119.678</v>
      </c>
      <c r="N4" s="0" t="n">
        <v>-51.387</v>
      </c>
      <c r="O4" s="0" t="n">
        <v>706.861</v>
      </c>
      <c r="P4" s="0" t="n">
        <v>963.188</v>
      </c>
      <c r="Q4" s="0" t="n">
        <v>248.874</v>
      </c>
      <c r="R4" s="0" t="n">
        <v>85.015</v>
      </c>
      <c r="S4" s="0" t="n">
        <v>31.166</v>
      </c>
      <c r="T4" s="0" t="n">
        <v>1034.12</v>
      </c>
      <c r="U4" s="0" t="n">
        <v>1.835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71</v>
      </c>
      <c r="B5" s="0" t="n">
        <v>508.646</v>
      </c>
      <c r="C5" s="0" t="n">
        <v>497.602</v>
      </c>
      <c r="D5" s="0" t="n">
        <v>11.044</v>
      </c>
      <c r="E5" s="0" t="n">
        <v>2.2</v>
      </c>
      <c r="F5" s="0" t="n">
        <v>11.791</v>
      </c>
      <c r="G5" s="0" t="n">
        <v>2.3</v>
      </c>
      <c r="H5" s="0" t="n">
        <v>165.048</v>
      </c>
      <c r="I5" s="0" t="n">
        <v>6.991</v>
      </c>
      <c r="J5" s="0" t="n">
        <v>1.4</v>
      </c>
      <c r="K5" s="0" t="n">
        <v>0.0059</v>
      </c>
      <c r="L5" s="0" t="n">
        <v>146.224</v>
      </c>
      <c r="M5" s="0" t="n">
        <v>65.22</v>
      </c>
      <c r="N5" s="0" t="n">
        <v>81.004</v>
      </c>
      <c r="O5" s="0" t="n">
        <v>776.216</v>
      </c>
      <c r="P5" s="0" t="n">
        <v>969.283</v>
      </c>
      <c r="Q5" s="0" t="n">
        <v>185.771</v>
      </c>
      <c r="R5" s="0" t="n">
        <v>44.827</v>
      </c>
      <c r="S5" s="0" t="n">
        <v>125.406</v>
      </c>
      <c r="T5" s="0" t="n">
        <v>1184.92</v>
      </c>
      <c r="U5" s="0" t="n">
        <v>2.4</v>
      </c>
      <c r="AA5" s="0" t="s">
        <v>18</v>
      </c>
      <c r="AB5" s="0" t="s">
        <v>16</v>
      </c>
      <c r="AD5" s="0" t="n">
        <v>0</v>
      </c>
    </row>
    <row r="6" customFormat="false" ht="15" hidden="false" customHeight="false" outlineLevel="0" collapsed="false">
      <c r="A6" s="0" t="s">
        <v>72</v>
      </c>
      <c r="B6" s="0" t="n">
        <v>591.238</v>
      </c>
      <c r="C6" s="0" t="n">
        <v>450.78</v>
      </c>
      <c r="D6" s="0" t="n">
        <v>140.458</v>
      </c>
      <c r="E6" s="0" t="n">
        <v>23.8</v>
      </c>
      <c r="F6" s="0" t="n">
        <v>130.752</v>
      </c>
      <c r="G6" s="0" t="n">
        <v>22.1</v>
      </c>
      <c r="H6" s="0" t="n">
        <v>264.809</v>
      </c>
      <c r="I6" s="0" t="n">
        <v>94.356</v>
      </c>
      <c r="J6" s="0" t="n">
        <v>16</v>
      </c>
      <c r="K6" s="0" t="n">
        <v>0.0788</v>
      </c>
      <c r="L6" s="0" t="n">
        <v>212.791</v>
      </c>
      <c r="M6" s="0" t="n">
        <v>273.193</v>
      </c>
      <c r="N6" s="0" t="n">
        <v>-60.402</v>
      </c>
      <c r="O6" s="0" t="n">
        <v>866.807</v>
      </c>
      <c r="P6" s="0" t="n">
        <v>1295.715</v>
      </c>
      <c r="Q6" s="0" t="n">
        <v>420.163</v>
      </c>
      <c r="R6" s="0" t="n">
        <v>219.456</v>
      </c>
      <c r="S6" s="0" t="n">
        <v>218.166</v>
      </c>
      <c r="T6" s="0" t="n">
        <v>1197.59</v>
      </c>
      <c r="U6" s="0" t="n">
        <v>4.525</v>
      </c>
      <c r="AA6" s="0" t="s">
        <v>18</v>
      </c>
      <c r="AB6" s="0" t="s">
        <v>16</v>
      </c>
      <c r="AD6" s="0" t="n">
        <v>20.9</v>
      </c>
    </row>
    <row r="7" customFormat="false" ht="15" hidden="false" customHeight="false" outlineLevel="0" collapsed="false">
      <c r="A7" s="0" t="s">
        <v>73</v>
      </c>
      <c r="B7" s="0" t="n">
        <v>679.731</v>
      </c>
      <c r="C7" s="0" t="n">
        <v>480.297</v>
      </c>
      <c r="D7" s="0" t="n">
        <v>199.434</v>
      </c>
      <c r="E7" s="0" t="n">
        <v>29.3</v>
      </c>
      <c r="F7" s="0" t="n">
        <v>168.304</v>
      </c>
      <c r="G7" s="0" t="n">
        <v>24.8</v>
      </c>
      <c r="H7" s="0" t="n">
        <v>273.128</v>
      </c>
      <c r="I7" s="0" t="n">
        <v>116.221</v>
      </c>
      <c r="J7" s="0" t="n">
        <v>17.1</v>
      </c>
      <c r="K7" s="0" t="n">
        <v>0.0937</v>
      </c>
      <c r="L7" s="0" t="n">
        <v>302.018</v>
      </c>
      <c r="M7" s="0" t="n">
        <v>249.488</v>
      </c>
      <c r="N7" s="0" t="n">
        <v>52.53</v>
      </c>
      <c r="O7" s="0" t="n">
        <v>1031.42</v>
      </c>
      <c r="P7" s="0" t="n">
        <v>1409.598</v>
      </c>
      <c r="Q7" s="0" t="n">
        <v>350.499</v>
      </c>
      <c r="R7" s="0" t="n">
        <v>137.403</v>
      </c>
      <c r="S7" s="0" t="n">
        <v>181.545</v>
      </c>
      <c r="T7" s="0" t="n">
        <v>1239.93</v>
      </c>
      <c r="U7" s="0" t="n">
        <v>4.471</v>
      </c>
      <c r="AA7" s="0" t="s">
        <v>18</v>
      </c>
      <c r="AB7" s="0" t="s">
        <v>16</v>
      </c>
      <c r="AD7" s="0" t="n">
        <v>12.8</v>
      </c>
    </row>
    <row r="8" customFormat="false" ht="15" hidden="false" customHeight="false" outlineLevel="0" collapsed="false">
      <c r="A8" s="0" t="s">
        <v>74</v>
      </c>
      <c r="B8" s="0" t="n">
        <v>1125.547</v>
      </c>
      <c r="C8" s="0" t="n">
        <v>775.649</v>
      </c>
      <c r="D8" s="0" t="n">
        <v>349.898</v>
      </c>
      <c r="E8" s="0" t="n">
        <v>31.1</v>
      </c>
      <c r="F8" s="0" t="n">
        <v>289.392</v>
      </c>
      <c r="G8" s="0" t="n">
        <v>25.7</v>
      </c>
      <c r="H8" s="0" t="n">
        <v>504.395</v>
      </c>
      <c r="I8" s="0" t="n">
        <v>233.595</v>
      </c>
      <c r="J8" s="0" t="n">
        <v>20.8</v>
      </c>
      <c r="K8" s="0" t="n">
        <v>0.1843</v>
      </c>
      <c r="L8" s="0" t="n">
        <v>522.908</v>
      </c>
      <c r="M8" s="0" t="n">
        <v>139.874</v>
      </c>
      <c r="N8" s="0" t="n">
        <v>383.034</v>
      </c>
      <c r="O8" s="0" t="n">
        <v>1466.257</v>
      </c>
      <c r="P8" s="0" t="n">
        <v>1988.688</v>
      </c>
      <c r="Q8" s="0" t="n">
        <v>346.531</v>
      </c>
      <c r="R8" s="0" t="n">
        <v>86.543</v>
      </c>
      <c r="S8" s="0" t="n">
        <v>426.846</v>
      </c>
      <c r="T8" s="0" t="n">
        <v>1267.78</v>
      </c>
      <c r="U8" s="0" t="n">
        <v>4.575</v>
      </c>
      <c r="AA8" s="0" t="s">
        <v>18</v>
      </c>
      <c r="AB8" s="0" t="s">
        <v>16</v>
      </c>
      <c r="AD8" s="0" t="n">
        <v>0.8</v>
      </c>
    </row>
    <row r="9" customFormat="false" ht="15" hidden="false" customHeight="false" outlineLevel="0" collapsed="false">
      <c r="A9" s="0" t="s">
        <v>75</v>
      </c>
      <c r="B9" s="0" t="n">
        <v>960.447</v>
      </c>
      <c r="C9" s="0" t="n">
        <v>554.728</v>
      </c>
      <c r="D9" s="0" t="n">
        <v>405.719</v>
      </c>
      <c r="E9" s="0" t="n">
        <v>42.2</v>
      </c>
      <c r="F9" s="0" t="n">
        <v>387.494</v>
      </c>
      <c r="G9" s="0" t="n">
        <v>40.3</v>
      </c>
      <c r="H9" s="0" t="n">
        <v>535.29</v>
      </c>
      <c r="I9" s="0" t="n">
        <v>287.756</v>
      </c>
      <c r="J9" s="0" t="n">
        <v>30</v>
      </c>
      <c r="K9" s="0" t="n">
        <v>0.2086</v>
      </c>
      <c r="L9" s="0" t="n">
        <v>426.643</v>
      </c>
      <c r="M9" s="0" t="n">
        <v>133.961</v>
      </c>
      <c r="N9" s="0" t="n">
        <v>292.682</v>
      </c>
      <c r="O9" s="0" t="n">
        <v>1281.902</v>
      </c>
      <c r="P9" s="0" t="n">
        <v>1609.061</v>
      </c>
      <c r="Q9" s="0" t="n">
        <v>179.891</v>
      </c>
      <c r="R9" s="0" t="n">
        <v>2.6</v>
      </c>
      <c r="S9" s="0" t="n">
        <v>484.494</v>
      </c>
      <c r="T9" s="0" t="n">
        <v>1379.46</v>
      </c>
      <c r="U9" s="0" t="n">
        <v>2.571</v>
      </c>
      <c r="AA9" s="0" t="s">
        <v>18</v>
      </c>
      <c r="AB9" s="0" t="s">
        <v>14</v>
      </c>
      <c r="AD9" s="0" t="n">
        <v>17.9</v>
      </c>
    </row>
    <row r="10" customFormat="false" ht="15" hidden="false" customHeight="false" outlineLevel="0" collapsed="false">
      <c r="A10" s="0" t="s">
        <v>76</v>
      </c>
      <c r="B10" s="0" t="n">
        <v>1025.799</v>
      </c>
      <c r="C10" s="0" t="n">
        <v>542.27</v>
      </c>
      <c r="D10" s="0" t="n">
        <v>483.529</v>
      </c>
      <c r="E10" s="0" t="n">
        <v>47.1</v>
      </c>
      <c r="F10" s="0" t="n">
        <v>473.631</v>
      </c>
      <c r="G10" s="0" t="n">
        <v>46.2</v>
      </c>
      <c r="H10" s="0" t="n">
        <v>616.013</v>
      </c>
      <c r="I10" s="0" t="n">
        <v>324.281</v>
      </c>
      <c r="J10" s="0" t="n">
        <v>31.6</v>
      </c>
      <c r="K10" s="0" t="n">
        <v>0.2345</v>
      </c>
      <c r="L10" s="0" t="n">
        <v>429.178</v>
      </c>
      <c r="M10" s="0" t="n">
        <v>121.283</v>
      </c>
      <c r="N10" s="0" t="n">
        <v>307.895</v>
      </c>
      <c r="O10" s="0" t="n">
        <v>1580.278</v>
      </c>
      <c r="P10" s="0" t="n">
        <v>1985.786</v>
      </c>
      <c r="Q10" s="0" t="n">
        <v>205.81</v>
      </c>
      <c r="R10" s="0" t="n">
        <v>3.22</v>
      </c>
      <c r="S10" s="0" t="n">
        <v>536.914</v>
      </c>
      <c r="T10" s="0" t="n">
        <v>1382.99</v>
      </c>
      <c r="U10" s="0" t="n">
        <v>2.436</v>
      </c>
      <c r="AA10" s="0" t="s">
        <v>18</v>
      </c>
      <c r="AB10" s="0" t="s">
        <v>14</v>
      </c>
      <c r="AD10" s="0" t="n">
        <v>23.5</v>
      </c>
    </row>
    <row r="11" customFormat="false" ht="15" hidden="false" customHeight="false" outlineLevel="0" collapsed="false">
      <c r="A11" s="0" t="s">
        <v>77</v>
      </c>
      <c r="B11" s="0" t="n">
        <v>1248.082</v>
      </c>
      <c r="C11" s="0" t="n">
        <v>660.543</v>
      </c>
      <c r="D11" s="0" t="n">
        <v>587.539</v>
      </c>
      <c r="E11" s="0" t="n">
        <v>47.1</v>
      </c>
      <c r="F11" s="0" t="n">
        <v>573.135</v>
      </c>
      <c r="G11" s="0" t="n">
        <v>45.9</v>
      </c>
      <c r="H11" s="0" t="n">
        <v>726.94</v>
      </c>
      <c r="I11" s="0" t="n">
        <v>370.867</v>
      </c>
      <c r="J11" s="0" t="n">
        <v>29.7</v>
      </c>
      <c r="K11" s="0" t="n">
        <v>0.2684</v>
      </c>
      <c r="L11" s="0" t="n">
        <v>536.659</v>
      </c>
      <c r="M11" s="0" t="n">
        <v>207.121</v>
      </c>
      <c r="N11" s="0" t="n">
        <v>329.538</v>
      </c>
      <c r="O11" s="0" t="n">
        <v>1999.789</v>
      </c>
      <c r="P11" s="0" t="n">
        <v>2480.511</v>
      </c>
      <c r="Q11" s="0" t="n">
        <v>270.944</v>
      </c>
      <c r="R11" s="0" t="n">
        <v>2.754</v>
      </c>
      <c r="S11" s="0" t="n">
        <v>751.829</v>
      </c>
      <c r="T11" s="0" t="n">
        <v>1381.52</v>
      </c>
      <c r="U11" s="0" t="n">
        <v>3.394</v>
      </c>
      <c r="AA11" s="0" t="s">
        <v>18</v>
      </c>
      <c r="AB11" s="0" t="s">
        <v>14</v>
      </c>
      <c r="AD11" s="0" t="n">
        <v>23.2</v>
      </c>
    </row>
    <row r="12" customFormat="false" ht="15" hidden="false" customHeight="false" outlineLevel="0" collapsed="false">
      <c r="A12" s="0" t="s">
        <v>78</v>
      </c>
      <c r="B12" s="0" t="n">
        <v>1483.908</v>
      </c>
      <c r="C12" s="0" t="n">
        <v>739.562</v>
      </c>
      <c r="D12" s="0" t="n">
        <v>744.346</v>
      </c>
      <c r="E12" s="0" t="n">
        <v>50.2</v>
      </c>
      <c r="F12" s="0" t="n">
        <v>727.792</v>
      </c>
      <c r="G12" s="0" t="n">
        <v>49</v>
      </c>
      <c r="H12" s="0" t="n">
        <v>844.675</v>
      </c>
      <c r="I12" s="0" t="n">
        <v>428.243</v>
      </c>
      <c r="J12" s="0" t="n">
        <v>28.9</v>
      </c>
      <c r="K12" s="0" t="n">
        <v>0.3153</v>
      </c>
      <c r="L12" s="0" t="n">
        <v>666.42</v>
      </c>
      <c r="M12" s="0" t="n">
        <v>469.094</v>
      </c>
      <c r="N12" s="0" t="n">
        <v>197.326</v>
      </c>
      <c r="O12" s="0" t="n">
        <v>2298.567</v>
      </c>
      <c r="P12" s="0" t="n">
        <v>2926.704</v>
      </c>
      <c r="Q12" s="0" t="n">
        <v>464.451</v>
      </c>
      <c r="R12" s="0" t="n">
        <v>2.11</v>
      </c>
      <c r="S12" s="0" t="n">
        <v>924.057</v>
      </c>
      <c r="T12" s="0" t="n">
        <v>1358.16</v>
      </c>
      <c r="U12" s="0" t="n">
        <v>2.805</v>
      </c>
      <c r="AA12" s="0" t="s">
        <v>18</v>
      </c>
      <c r="AB12" s="0" t="s">
        <v>14</v>
      </c>
      <c r="AC12" s="0" t="n">
        <v>1750</v>
      </c>
      <c r="AD12" s="0" t="n">
        <v>22.7</v>
      </c>
      <c r="AE12" s="0" t="n">
        <v>3693</v>
      </c>
      <c r="AF12" s="0" t="n">
        <v>404998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6.65</v>
      </c>
    </row>
    <row r="3" customFormat="false" ht="15" hidden="false" customHeight="false" outlineLevel="0" collapsed="false">
      <c r="A3" s="0" t="s">
        <v>82</v>
      </c>
      <c r="B3" s="3" t="n">
        <v>1333</v>
      </c>
    </row>
    <row r="4" customFormat="false" ht="15" hidden="false" customHeight="false" outlineLevel="0" collapsed="false">
      <c r="A4" s="0" t="s">
        <v>83</v>
      </c>
      <c r="B4" s="3" t="n">
        <v>-921.947</v>
      </c>
    </row>
    <row r="5" customFormat="false" ht="15" hidden="false" customHeight="false" outlineLevel="0" collapsed="false">
      <c r="A5" s="0" t="s">
        <v>84</v>
      </c>
      <c r="B5" s="3" t="n">
        <v>149.421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1483.908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1.4253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3.11</v>
      </c>
      <c r="D13" s="3" t="n">
        <v>-7.84</v>
      </c>
      <c r="E13" s="3" t="n">
        <v>-9.65</v>
      </c>
      <c r="F13" s="3" t="n">
        <v>-7.69</v>
      </c>
      <c r="G13" s="3" t="n">
        <v>1.5</v>
      </c>
      <c r="H13" s="3" t="n">
        <v>0.48</v>
      </c>
      <c r="I13" s="3" t="n">
        <v>-0.6</v>
      </c>
      <c r="J13" s="3" t="n">
        <v>-0.66</v>
      </c>
      <c r="K13" s="3" t="n">
        <v>-0.69</v>
      </c>
      <c r="L13" s="3" t="n">
        <v>-0.72</v>
      </c>
    </row>
    <row r="14" customFormat="false" ht="15" hidden="false" customHeight="false" outlineLevel="0" collapsed="false">
      <c r="A14" s="0" t="s">
        <v>103</v>
      </c>
      <c r="C14" s="3" t="n">
        <v>42.66</v>
      </c>
      <c r="D14" s="3" t="n">
        <v>40.41</v>
      </c>
      <c r="E14" s="3" t="n">
        <v>35.13</v>
      </c>
      <c r="F14" s="3" t="n">
        <v>30.45</v>
      </c>
      <c r="G14" s="3" t="n">
        <v>29.97</v>
      </c>
      <c r="H14" s="3" t="n">
        <v>29.49</v>
      </c>
      <c r="I14" s="3" t="n">
        <v>28.94</v>
      </c>
      <c r="J14" s="3" t="n">
        <v>28.36</v>
      </c>
      <c r="K14" s="3" t="n">
        <v>27.8</v>
      </c>
      <c r="L14" s="3" t="n">
        <v>27.24</v>
      </c>
    </row>
    <row r="15" customFormat="false" ht="15" hidden="false" customHeight="false" outlineLevel="0" collapsed="false">
      <c r="A15" s="0" t="s">
        <v>104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9.15</v>
      </c>
      <c r="D17" s="3" t="n">
        <v>14.18</v>
      </c>
      <c r="E17" s="3" t="n">
        <v>16.48</v>
      </c>
      <c r="F17" s="3" t="n">
        <v>18.2</v>
      </c>
      <c r="G17" s="3" t="n">
        <v>18.26</v>
      </c>
      <c r="H17" s="3" t="n">
        <v>18.51</v>
      </c>
      <c r="I17" s="3" t="n">
        <v>18.96</v>
      </c>
      <c r="J17" s="3" t="n">
        <v>19.42</v>
      </c>
      <c r="K17" s="3" t="n">
        <v>19.98</v>
      </c>
      <c r="L17" s="3" t="n">
        <v>20.55</v>
      </c>
    </row>
    <row r="18" customFormat="false" ht="15" hidden="false" customHeight="false" outlineLevel="0" collapsed="false">
      <c r="A18" s="0" t="s">
        <v>107</v>
      </c>
      <c r="C18" s="3" t="n">
        <v>41.83</v>
      </c>
      <c r="D18" s="3" t="n">
        <v>16.31</v>
      </c>
      <c r="E18" s="3" t="n">
        <v>14.91</v>
      </c>
      <c r="F18" s="3" t="n">
        <v>15.31</v>
      </c>
      <c r="G18" s="3" t="n">
        <v>15.08</v>
      </c>
      <c r="H18" s="3" t="n">
        <v>15.42</v>
      </c>
      <c r="I18" s="3" t="n">
        <v>15.94</v>
      </c>
      <c r="J18" s="3" t="n">
        <v>16.46</v>
      </c>
      <c r="K18" s="3" t="n">
        <v>17</v>
      </c>
      <c r="L18" s="3" t="n">
        <v>17.56</v>
      </c>
    </row>
    <row r="19" customFormat="false" ht="15" hidden="false" customHeight="false" outlineLevel="0" collapsed="false">
      <c r="A19" s="0" t="s">
        <v>108</v>
      </c>
      <c r="C19" s="3" t="n">
        <v>30</v>
      </c>
      <c r="D19" s="3" t="n">
        <v>31</v>
      </c>
      <c r="E19" s="3" t="n">
        <v>33</v>
      </c>
      <c r="F19" s="3" t="n">
        <v>35</v>
      </c>
      <c r="G19" s="3" t="n">
        <v>35</v>
      </c>
      <c r="H19" s="3" t="n">
        <v>35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109</v>
      </c>
      <c r="B20" s="3" t="n">
        <v>10</v>
      </c>
    </row>
    <row r="21" customFormat="false" ht="15" hidden="false" customHeight="false" outlineLevel="0" collapsed="false">
      <c r="A21" s="0" t="s">
        <v>110</v>
      </c>
      <c r="B21" s="3" t="n">
        <v>1</v>
      </c>
    </row>
    <row r="22" customFormat="false" ht="15" hidden="false" customHeight="false" outlineLevel="0" collapsed="false">
      <c r="A22" s="0" t="s">
        <v>111</v>
      </c>
      <c r="B22" s="3" t="n">
        <v>10</v>
      </c>
    </row>
    <row r="23" customFormat="false" ht="15" hidden="false" customHeight="false" outlineLevel="0" collapsed="false">
      <c r="A23" s="0" t="s">
        <v>112</v>
      </c>
      <c r="B23" s="3" t="n">
        <v>-3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21.3</v>
      </c>
      <c r="D27" s="3" t="n">
        <v>4</v>
      </c>
      <c r="E27" s="3" t="n">
        <v>-7.45</v>
      </c>
      <c r="F27" s="3" t="n">
        <v>-9.09</v>
      </c>
      <c r="G27" s="3" t="n">
        <v>1.5</v>
      </c>
      <c r="H27" s="3" t="n">
        <v>1.48</v>
      </c>
      <c r="I27" s="3" t="n">
        <v>-0.44</v>
      </c>
      <c r="J27" s="3" t="n">
        <v>-0.47</v>
      </c>
      <c r="K27" s="3" t="n">
        <v>-0.5</v>
      </c>
      <c r="L27" s="3" t="n">
        <v>-0.56</v>
      </c>
    </row>
    <row r="28" customFormat="false" ht="15" hidden="false" customHeight="false" outlineLevel="0" collapsed="false">
      <c r="A28" s="0" t="s">
        <v>103</v>
      </c>
      <c r="C28" s="3" t="n">
        <v>51.53</v>
      </c>
      <c r="D28" s="3" t="n">
        <v>55.58</v>
      </c>
      <c r="E28" s="3" t="n">
        <v>55.13</v>
      </c>
      <c r="F28" s="3" t="n">
        <v>51.56</v>
      </c>
      <c r="G28" s="3" t="n">
        <v>51.21</v>
      </c>
      <c r="H28" s="3" t="n">
        <v>50.86</v>
      </c>
      <c r="I28" s="3" t="n">
        <v>50.49</v>
      </c>
      <c r="J28" s="3" t="n">
        <v>50.13</v>
      </c>
      <c r="K28" s="3" t="n">
        <v>49.79</v>
      </c>
      <c r="L28" s="3" t="n">
        <v>49.45</v>
      </c>
    </row>
    <row r="29" customFormat="false" ht="15" hidden="false" customHeight="false" outlineLevel="0" collapsed="false">
      <c r="A29" s="0" t="s">
        <v>104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7.78</v>
      </c>
      <c r="D31" s="3" t="n">
        <v>10.68</v>
      </c>
      <c r="E31" s="3" t="n">
        <v>12.12</v>
      </c>
      <c r="F31" s="3" t="n">
        <v>13.59</v>
      </c>
      <c r="G31" s="3" t="n">
        <v>13.64</v>
      </c>
      <c r="H31" s="3" t="n">
        <v>13.68</v>
      </c>
      <c r="I31" s="3" t="n">
        <v>13.99</v>
      </c>
      <c r="J31" s="3" t="n">
        <v>14.31</v>
      </c>
      <c r="K31" s="3" t="n">
        <v>14.69</v>
      </c>
      <c r="L31" s="3" t="n">
        <v>15.09</v>
      </c>
    </row>
    <row r="32" customFormat="false" ht="15" hidden="false" customHeight="false" outlineLevel="0" collapsed="false">
      <c r="A32" s="0" t="s">
        <v>107</v>
      </c>
      <c r="C32" s="3" t="n">
        <v>34.17</v>
      </c>
      <c r="D32" s="3" t="n">
        <v>11.22</v>
      </c>
      <c r="E32" s="3" t="n">
        <v>10.97</v>
      </c>
      <c r="F32" s="3" t="n">
        <v>12.06</v>
      </c>
      <c r="G32" s="3" t="n">
        <v>12.2</v>
      </c>
      <c r="H32" s="3" t="n">
        <v>12.33</v>
      </c>
      <c r="I32" s="3" t="n">
        <v>12.69</v>
      </c>
      <c r="J32" s="3" t="n">
        <v>13.06</v>
      </c>
      <c r="K32" s="3" t="n">
        <v>13.44</v>
      </c>
      <c r="L32" s="3" t="n">
        <v>13.83</v>
      </c>
    </row>
    <row r="33" customFormat="false" ht="15" hidden="false" customHeight="false" outlineLevel="0" collapsed="false">
      <c r="A33" s="0" t="s">
        <v>108</v>
      </c>
      <c r="C33" s="3" t="n">
        <v>30</v>
      </c>
      <c r="D33" s="3" t="n">
        <v>31</v>
      </c>
      <c r="E33" s="3" t="n">
        <v>33</v>
      </c>
      <c r="F33" s="3" t="n">
        <v>35</v>
      </c>
      <c r="G33" s="3" t="n">
        <v>35</v>
      </c>
      <c r="H33" s="3" t="n">
        <v>35</v>
      </c>
      <c r="I33" s="3" t="n">
        <v>35</v>
      </c>
      <c r="J33" s="3" t="n">
        <v>35</v>
      </c>
      <c r="K33" s="3" t="n">
        <v>35</v>
      </c>
      <c r="L33" s="3" t="n">
        <v>35</v>
      </c>
    </row>
    <row r="34" customFormat="false" ht="15" hidden="false" customHeight="false" outlineLevel="0" collapsed="false">
      <c r="A34" s="0" t="s">
        <v>109</v>
      </c>
      <c r="B34" s="3" t="n">
        <v>10</v>
      </c>
    </row>
    <row r="35" customFormat="false" ht="15" hidden="false" customHeight="false" outlineLevel="0" collapsed="false">
      <c r="A35" s="0" t="s">
        <v>110</v>
      </c>
      <c r="B35" s="3" t="n">
        <v>1</v>
      </c>
    </row>
    <row r="36" customFormat="false" ht="15" hidden="false" customHeight="false" outlineLevel="0" collapsed="false">
      <c r="A36" s="0" t="s">
        <v>111</v>
      </c>
      <c r="B36" s="3" t="n">
        <v>10</v>
      </c>
    </row>
    <row r="37" customFormat="false" ht="15" hidden="false" customHeight="false" outlineLevel="0" collapsed="false">
      <c r="A37" s="0" t="s">
        <v>112</v>
      </c>
      <c r="B37" s="3" t="n">
        <v>-3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36.19</v>
      </c>
      <c r="D41" s="3" t="n">
        <v>14.89</v>
      </c>
      <c r="E41" s="3" t="n">
        <v>1.85</v>
      </c>
      <c r="F41" s="3" t="n">
        <v>2</v>
      </c>
      <c r="G41" s="3" t="n">
        <v>2.01</v>
      </c>
      <c r="H41" s="3" t="n">
        <v>1.99</v>
      </c>
      <c r="I41" s="3" t="n">
        <v>1.07</v>
      </c>
      <c r="J41" s="3" t="n">
        <v>1.06</v>
      </c>
      <c r="K41" s="3" t="n">
        <v>1.06</v>
      </c>
      <c r="L41" s="3" t="n">
        <v>1.05</v>
      </c>
    </row>
    <row r="42" customFormat="false" ht="15" hidden="false" customHeight="false" outlineLevel="0" collapsed="false">
      <c r="A42" s="0" t="s">
        <v>103</v>
      </c>
      <c r="C42" s="3" t="n">
        <v>57.32</v>
      </c>
      <c r="D42" s="3" t="n">
        <v>65.67</v>
      </c>
      <c r="E42" s="3" t="n">
        <v>67.97</v>
      </c>
      <c r="F42" s="3" t="n">
        <v>68.55</v>
      </c>
      <c r="G42" s="3" t="n">
        <v>68.49</v>
      </c>
      <c r="H42" s="3" t="n">
        <v>68.41</v>
      </c>
      <c r="I42" s="3" t="n">
        <v>68.34</v>
      </c>
      <c r="J42" s="3" t="n">
        <v>68.25</v>
      </c>
      <c r="K42" s="3" t="n">
        <v>68.18</v>
      </c>
      <c r="L42" s="3" t="n">
        <v>68.1</v>
      </c>
    </row>
    <row r="43" customFormat="false" ht="15" hidden="false" customHeight="false" outlineLevel="0" collapsed="false">
      <c r="A43" s="0" t="s">
        <v>104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6.93</v>
      </c>
      <c r="D45" s="3" t="n">
        <v>8.61</v>
      </c>
      <c r="E45" s="3" t="n">
        <v>8.88</v>
      </c>
      <c r="F45" s="3" t="n">
        <v>8.87</v>
      </c>
      <c r="G45" s="3" t="n">
        <v>8.86</v>
      </c>
      <c r="H45" s="3" t="n">
        <v>8.85</v>
      </c>
      <c r="I45" s="3" t="n">
        <v>8.91</v>
      </c>
      <c r="J45" s="3" t="n">
        <v>8.97</v>
      </c>
      <c r="K45" s="3" t="n">
        <v>9.07</v>
      </c>
      <c r="L45" s="3" t="n">
        <v>9.17</v>
      </c>
    </row>
    <row r="46" customFormat="false" ht="15" hidden="false" customHeight="false" outlineLevel="0" collapsed="false">
      <c r="A46" s="0" t="s">
        <v>107</v>
      </c>
      <c r="C46" s="3" t="n">
        <v>29.69</v>
      </c>
      <c r="D46" s="3" t="n">
        <v>8.61</v>
      </c>
      <c r="E46" s="3" t="n">
        <v>7.61</v>
      </c>
      <c r="F46" s="3" t="n">
        <v>7.46</v>
      </c>
      <c r="G46" s="3" t="n">
        <v>7.52</v>
      </c>
      <c r="H46" s="3" t="n">
        <v>7.57</v>
      </c>
      <c r="I46" s="3" t="n">
        <v>7.69</v>
      </c>
      <c r="J46" s="3" t="n">
        <v>7.8</v>
      </c>
      <c r="K46" s="3" t="n">
        <v>7.91</v>
      </c>
      <c r="L46" s="3" t="n">
        <v>8.02</v>
      </c>
    </row>
    <row r="47" customFormat="false" ht="15" hidden="false" customHeight="false" outlineLevel="0" collapsed="false">
      <c r="A47" s="0" t="s">
        <v>108</v>
      </c>
      <c r="C47" s="3" t="n">
        <v>30</v>
      </c>
      <c r="D47" s="3" t="n">
        <v>31</v>
      </c>
      <c r="E47" s="3" t="n">
        <v>33</v>
      </c>
      <c r="F47" s="3" t="n">
        <v>35</v>
      </c>
      <c r="G47" s="3" t="n">
        <v>35</v>
      </c>
      <c r="H47" s="3" t="n">
        <v>35</v>
      </c>
      <c r="I47" s="3" t="n">
        <v>35</v>
      </c>
      <c r="J47" s="3" t="n">
        <v>35</v>
      </c>
      <c r="K47" s="3" t="n">
        <v>35</v>
      </c>
      <c r="L47" s="3" t="n">
        <v>35</v>
      </c>
    </row>
    <row r="48" customFormat="false" ht="15" hidden="false" customHeight="false" outlineLevel="0" collapsed="false">
      <c r="A48" s="0" t="s">
        <v>109</v>
      </c>
      <c r="B48" s="3" t="n">
        <v>10</v>
      </c>
    </row>
    <row r="49" customFormat="false" ht="15" hidden="false" customHeight="false" outlineLevel="0" collapsed="false">
      <c r="A49" s="0" t="s">
        <v>110</v>
      </c>
      <c r="B49" s="3" t="n">
        <v>1</v>
      </c>
    </row>
    <row r="50" customFormat="false" ht="15" hidden="false" customHeight="false" outlineLevel="0" collapsed="false">
      <c r="A50" s="0" t="s">
        <v>111</v>
      </c>
      <c r="B50" s="3" t="n">
        <v>10</v>
      </c>
    </row>
    <row r="51" customFormat="false" ht="15" hidden="false" customHeight="false" outlineLevel="0" collapsed="false">
      <c r="A51" s="0" t="s">
        <v>112</v>
      </c>
      <c r="B51" s="3" t="n">
        <v>-3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3.11</v>
      </c>
      <c r="D5" s="4" t="n">
        <f aca="false">Assumptions!D13</f>
        <v>-7.84</v>
      </c>
      <c r="E5" s="4" t="n">
        <f aca="false">Assumptions!E13</f>
        <v>-9.65</v>
      </c>
      <c r="F5" s="4" t="n">
        <f aca="false">Assumptions!F13</f>
        <v>-7.69</v>
      </c>
      <c r="G5" s="4" t="n">
        <f aca="false">Assumptions!G13</f>
        <v>1.5</v>
      </c>
      <c r="H5" s="4" t="n">
        <f aca="false">Assumptions!H13</f>
        <v>0.48</v>
      </c>
      <c r="I5" s="4" t="n">
        <f aca="false">Assumptions!I13</f>
        <v>-0.6</v>
      </c>
      <c r="J5" s="4" t="n">
        <f aca="false">Assumptions!J13</f>
        <v>-0.66</v>
      </c>
      <c r="K5" s="4" t="n">
        <f aca="false">Assumptions!K13</f>
        <v>-0.69</v>
      </c>
      <c r="L5" s="4" t="n">
        <f aca="false">Assumptions!L13</f>
        <v>-0.72</v>
      </c>
    </row>
    <row r="6" customFormat="false" ht="15" hidden="false" customHeight="false" outlineLevel="0" collapsed="false">
      <c r="A6" s="0" t="s">
        <v>38</v>
      </c>
      <c r="B6" s="3" t="n">
        <v>1483.908</v>
      </c>
      <c r="C6" s="0" t="n">
        <f aca="false">B6*(1+C5/100)</f>
        <v>1530.0575388</v>
      </c>
      <c r="D6" s="0" t="n">
        <f aca="false">C6*(1+D5/100)</f>
        <v>1410.10102775808</v>
      </c>
      <c r="E6" s="0" t="n">
        <f aca="false">D6*(1+E5/100)</f>
        <v>1274.02627857943</v>
      </c>
      <c r="F6" s="0" t="n">
        <f aca="false">E6*(1+F5/100)</f>
        <v>1176.05365775667</v>
      </c>
      <c r="G6" s="0" t="n">
        <f aca="false">F6*(1+G5/100)</f>
        <v>1193.69446262302</v>
      </c>
      <c r="H6" s="0" t="n">
        <f aca="false">G6*(1+H5/100)</f>
        <v>1199.42419604361</v>
      </c>
      <c r="I6" s="0" t="n">
        <f aca="false">H6*(1+I5/100)</f>
        <v>1192.22765086735</v>
      </c>
      <c r="J6" s="0" t="n">
        <f aca="false">I6*(1+J5/100)</f>
        <v>1184.35894837162</v>
      </c>
      <c r="K6" s="0" t="n">
        <f aca="false">J6*(1+K5/100)</f>
        <v>1176.18687162786</v>
      </c>
      <c r="L6" s="0" t="n">
        <f aca="false">K6*(1+L5/100)</f>
        <v>1167.71832615214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42.66</v>
      </c>
      <c r="D7" s="4" t="n">
        <f aca="false">Assumptions!D14</f>
        <v>40.41</v>
      </c>
      <c r="E7" s="4" t="n">
        <f aca="false">Assumptions!E14</f>
        <v>35.13</v>
      </c>
      <c r="F7" s="4" t="n">
        <f aca="false">Assumptions!F14</f>
        <v>30.45</v>
      </c>
      <c r="G7" s="4" t="n">
        <f aca="false">Assumptions!G14</f>
        <v>29.97</v>
      </c>
      <c r="H7" s="4" t="n">
        <f aca="false">Assumptions!H14</f>
        <v>29.49</v>
      </c>
      <c r="I7" s="4" t="n">
        <f aca="false">Assumptions!I14</f>
        <v>28.94</v>
      </c>
      <c r="J7" s="4" t="n">
        <f aca="false">Assumptions!J14</f>
        <v>28.36</v>
      </c>
      <c r="K7" s="4" t="n">
        <f aca="false">Assumptions!K14</f>
        <v>27.8</v>
      </c>
      <c r="L7" s="4" t="n">
        <f aca="false">Assumptions!L14</f>
        <v>27.24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652.72254605208</v>
      </c>
      <c r="D8" s="0" t="n">
        <f aca="false">D6*D7/100</f>
        <v>569.82182531704</v>
      </c>
      <c r="E8" s="0" t="n">
        <f aca="false">E6*E7/100</f>
        <v>447.565431664952</v>
      </c>
      <c r="F8" s="0" t="n">
        <f aca="false">F6*F7/100</f>
        <v>358.108338786905</v>
      </c>
      <c r="G8" s="0" t="n">
        <f aca="false">G6*G7/100</f>
        <v>357.750230448118</v>
      </c>
      <c r="H8" s="0" t="n">
        <f aca="false">H6*H7/100</f>
        <v>353.71019541326</v>
      </c>
      <c r="I8" s="0" t="n">
        <f aca="false">I6*I7/100</f>
        <v>345.03068216101</v>
      </c>
      <c r="J8" s="0" t="n">
        <f aca="false">J6*J7/100</f>
        <v>335.884197758192</v>
      </c>
      <c r="K8" s="0" t="n">
        <f aca="false">K6*K7/100</f>
        <v>326.979950312544</v>
      </c>
      <c r="L8" s="0" t="n">
        <f aca="false">L6*L7/100</f>
        <v>318.086472043842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-3.0601150776</v>
      </c>
      <c r="D10" s="0" t="n">
        <f aca="false">-D6*D9/100</f>
        <v>-2.82020205551616</v>
      </c>
      <c r="E10" s="0" t="n">
        <f aca="false">-E6*E9/100</f>
        <v>-2.54805255715885</v>
      </c>
      <c r="F10" s="0" t="n">
        <f aca="false">-F6*F9/100</f>
        <v>-2.35210731551333</v>
      </c>
      <c r="G10" s="0" t="n">
        <f aca="false">-G6*G9/100</f>
        <v>-2.38738892524603</v>
      </c>
      <c r="H10" s="0" t="n">
        <f aca="false">-H6*H9/100</f>
        <v>-2.39884839208722</v>
      </c>
      <c r="I10" s="0" t="n">
        <f aca="false">-I6*I9/100</f>
        <v>-2.38445530173469</v>
      </c>
      <c r="J10" s="0" t="n">
        <f aca="false">-J6*J9/100</f>
        <v>-2.36871789674324</v>
      </c>
      <c r="K10" s="0" t="n">
        <f aca="false">-K6*K9/100</f>
        <v>-2.35237374325572</v>
      </c>
      <c r="L10" s="0" t="n">
        <f aca="false">-L6*L9/100</f>
        <v>-2.33543665230427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649.66243097448</v>
      </c>
      <c r="D11" s="0" t="n">
        <f aca="false">D8+D10+D24</f>
        <v>567.001623261524</v>
      </c>
      <c r="E11" s="0" t="n">
        <f aca="false">E8+E10+E24</f>
        <v>445.017379107793</v>
      </c>
      <c r="F11" s="0" t="n">
        <f aca="false">F8+F10+F24</f>
        <v>355.756231471392</v>
      </c>
      <c r="G11" s="0" t="n">
        <f aca="false">G8+G10+G24</f>
        <v>355.362841522872</v>
      </c>
      <c r="H11" s="0" t="n">
        <f aca="false">H8+H10+H24</f>
        <v>351.311347021173</v>
      </c>
      <c r="I11" s="0" t="n">
        <f aca="false">I8+I10+I24</f>
        <v>342.646226859275</v>
      </c>
      <c r="J11" s="0" t="n">
        <f aca="false">J8+J10+J24</f>
        <v>333.515479861449</v>
      </c>
      <c r="K11" s="0" t="n">
        <f aca="false">K8+K10+K24</f>
        <v>324.627576569289</v>
      </c>
      <c r="L11" s="0" t="n">
        <f aca="false">L8+L10+L24</f>
        <v>315.751035391538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-140.0002648002</v>
      </c>
      <c r="D12" s="4" t="n">
        <f aca="false">-D6*Assumptions!D17/100</f>
        <v>-199.952325736096</v>
      </c>
      <c r="E12" s="4" t="n">
        <f aca="false">-E6*Assumptions!E17/100</f>
        <v>-209.959530709889</v>
      </c>
      <c r="F12" s="4" t="n">
        <f aca="false">-F6*Assumptions!F17/100</f>
        <v>-214.041765711713</v>
      </c>
      <c r="G12" s="4" t="n">
        <f aca="false">-G6*Assumptions!G17/100</f>
        <v>-217.968608874963</v>
      </c>
      <c r="H12" s="4" t="n">
        <f aca="false">-H6*Assumptions!H17/100</f>
        <v>-222.013418687672</v>
      </c>
      <c r="I12" s="4" t="n">
        <f aca="false">-I6*Assumptions!I17/100</f>
        <v>-226.046362604449</v>
      </c>
      <c r="J12" s="4" t="n">
        <f aca="false">-J6*Assumptions!J17/100</f>
        <v>-230.002507773769</v>
      </c>
      <c r="K12" s="4" t="n">
        <f aca="false">-K6*Assumptions!K17/100</f>
        <v>-235.002136951246</v>
      </c>
      <c r="L12" s="4" t="n">
        <f aca="false">-L6*Assumptions!L17/100</f>
        <v>-239.966116024264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509.66216617428</v>
      </c>
      <c r="D13" s="0" t="n">
        <f aca="false">D11+D12</f>
        <v>367.049297525428</v>
      </c>
      <c r="E13" s="0" t="n">
        <f aca="false">E11+E12</f>
        <v>235.057848397904</v>
      </c>
      <c r="F13" s="0" t="n">
        <f aca="false">F11+F12</f>
        <v>141.714465759678</v>
      </c>
      <c r="G13" s="0" t="n">
        <f aca="false">G11+G12</f>
        <v>137.394232647909</v>
      </c>
      <c r="H13" s="0" t="n">
        <f aca="false">H11+H12</f>
        <v>129.297928333501</v>
      </c>
      <c r="I13" s="0" t="n">
        <f aca="false">I11+I12</f>
        <v>116.599864254826</v>
      </c>
      <c r="J13" s="0" t="n">
        <f aca="false">J11+J12</f>
        <v>103.51297208768</v>
      </c>
      <c r="K13" s="0" t="n">
        <f aca="false">K11+K12</f>
        <v>89.6254396180427</v>
      </c>
      <c r="L13" s="0" t="n">
        <f aca="false">L11+L12</f>
        <v>75.7849193672736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30</v>
      </c>
      <c r="D14" s="4" t="n">
        <f aca="false">Assumptions!D19</f>
        <v>31</v>
      </c>
      <c r="E14" s="4" t="n">
        <f aca="false">Assumptions!E19</f>
        <v>33</v>
      </c>
      <c r="F14" s="4" t="n">
        <f aca="false">Assumptions!F19</f>
        <v>35</v>
      </c>
      <c r="G14" s="4" t="n">
        <f aca="false">Assumptions!G19</f>
        <v>35</v>
      </c>
      <c r="H14" s="4" t="n">
        <f aca="false">Assumptions!H19</f>
        <v>35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356.763516321996</v>
      </c>
      <c r="D15" s="0" t="n">
        <f aca="false">D13-MAX(0,D13)*D14/100</f>
        <v>253.264015292545</v>
      </c>
      <c r="E15" s="0" t="n">
        <f aca="false">E13-MAX(0,E13)*E14/100</f>
        <v>157.488758426596</v>
      </c>
      <c r="F15" s="0" t="n">
        <f aca="false">F13-MAX(0,F13)*F14/100</f>
        <v>92.114402743791</v>
      </c>
      <c r="G15" s="0" t="n">
        <f aca="false">G13-MAX(0,G13)*G14/100</f>
        <v>89.306251221141</v>
      </c>
      <c r="H15" s="0" t="n">
        <f aca="false">H13-MAX(0,H13)*H14/100</f>
        <v>84.0436534167756</v>
      </c>
      <c r="I15" s="0" t="n">
        <f aca="false">I13-MAX(0,I13)*I14/100</f>
        <v>75.7899117656372</v>
      </c>
      <c r="J15" s="0" t="n">
        <f aca="false">J13-MAX(0,J13)*J14/100</f>
        <v>67.2834318569918</v>
      </c>
      <c r="K15" s="0" t="n">
        <f aca="false">K13-MAX(0,K13)*K14/100</f>
        <v>58.2565357517278</v>
      </c>
      <c r="L15" s="0" t="n">
        <f aca="false">L13-MAX(0,L13)*L14/100</f>
        <v>49.2601975887279</v>
      </c>
    </row>
    <row r="16" customFormat="false" ht="15" hidden="false" customHeight="false" outlineLevel="0" collapsed="false">
      <c r="A16" s="0" t="s">
        <v>124</v>
      </c>
      <c r="C16" s="0" t="n">
        <f aca="false">-C12</f>
        <v>140.0002648002</v>
      </c>
      <c r="D16" s="0" t="n">
        <f aca="false">-D12</f>
        <v>199.952325736096</v>
      </c>
      <c r="E16" s="0" t="n">
        <f aca="false">-E12</f>
        <v>209.959530709889</v>
      </c>
      <c r="F16" s="0" t="n">
        <f aca="false">-F12</f>
        <v>214.041765711713</v>
      </c>
      <c r="G16" s="0" t="n">
        <f aca="false">-G12</f>
        <v>217.968608874963</v>
      </c>
      <c r="H16" s="0" t="n">
        <f aca="false">-H12</f>
        <v>222.013418687672</v>
      </c>
      <c r="I16" s="0" t="n">
        <f aca="false">-I12</f>
        <v>226.046362604449</v>
      </c>
      <c r="J16" s="0" t="n">
        <f aca="false">-J12</f>
        <v>230.002507773769</v>
      </c>
      <c r="K16" s="0" t="n">
        <f aca="false">-K12</f>
        <v>235.002136951246</v>
      </c>
      <c r="L16" s="0" t="n">
        <f aca="false">-L12</f>
        <v>239.966116024264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-640.02306848004</v>
      </c>
      <c r="D17" s="4" t="n">
        <f aca="false">-D6*Assumptions!D18/100</f>
        <v>-229.987477627343</v>
      </c>
      <c r="E17" s="4" t="n">
        <f aca="false">-E6*Assumptions!E18/100</f>
        <v>-189.957318136192</v>
      </c>
      <c r="F17" s="4" t="n">
        <f aca="false">-F6*Assumptions!F18/100</f>
        <v>-180.053815002546</v>
      </c>
      <c r="G17" s="4" t="n">
        <f aca="false">-G6*Assumptions!G18/100</f>
        <v>-180.009124963551</v>
      </c>
      <c r="H17" s="4" t="n">
        <f aca="false">-H6*Assumptions!H18/100</f>
        <v>-184.951211029924</v>
      </c>
      <c r="I17" s="4" t="n">
        <f aca="false">-I6*Assumptions!I18/100</f>
        <v>-190.041087548255</v>
      </c>
      <c r="J17" s="4" t="n">
        <f aca="false">-J6*Assumptions!J18/100</f>
        <v>-194.945482901969</v>
      </c>
      <c r="K17" s="4" t="n">
        <f aca="false">-K6*Assumptions!K18/100</f>
        <v>-199.951768176736</v>
      </c>
      <c r="L17" s="4" t="n">
        <f aca="false">-L6*Assumptions!L18/100</f>
        <v>-205.051338072315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-1.384486164</v>
      </c>
      <c r="D18" s="4" t="n">
        <f aca="false">(D6-C6)*Assumptions!$B$23/100</f>
        <v>3.5986953312576</v>
      </c>
      <c r="E18" s="4" t="n">
        <f aca="false">(E6-D6)*Assumptions!$B$23/100</f>
        <v>4.08224247535964</v>
      </c>
      <c r="F18" s="4" t="n">
        <f aca="false">(F6-E6)*Assumptions!$B$23/100</f>
        <v>2.93917862468273</v>
      </c>
      <c r="G18" s="4" t="n">
        <f aca="false">(G6-F6)*Assumptions!$B$23/100</f>
        <v>-0.529224145990499</v>
      </c>
      <c r="H18" s="4" t="n">
        <f aca="false">(H6-G6)*Assumptions!$B$23/100</f>
        <v>-0.171892002617715</v>
      </c>
      <c r="I18" s="4" t="n">
        <f aca="false">(I6-H6)*Assumptions!$B$23/100</f>
        <v>0.21589635528785</v>
      </c>
      <c r="J18" s="4" t="n">
        <f aca="false">(J6-I6)*Assumptions!$B$23/100</f>
        <v>0.236061074871739</v>
      </c>
      <c r="K18" s="4" t="n">
        <f aca="false">(K6-J6)*Assumptions!$B$23/100</f>
        <v>0.245162302312924</v>
      </c>
      <c r="L18" s="4" t="n">
        <f aca="false">(L6-K6)*Assumptions!$B$23/100</f>
        <v>0.254056364271614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-144.643773521844</v>
      </c>
      <c r="D19" s="0" t="n">
        <f aca="false">D15+D16+D17+D18</f>
        <v>226.827558732556</v>
      </c>
      <c r="E19" s="0" t="n">
        <f aca="false">E15+E16+E17+E18</f>
        <v>181.573213475652</v>
      </c>
      <c r="F19" s="0" t="n">
        <f aca="false">F15+F16+F17+F18</f>
        <v>129.041532077641</v>
      </c>
      <c r="G19" s="0" t="n">
        <f aca="false">G15+G16+G17+G18</f>
        <v>126.736510986562</v>
      </c>
      <c r="H19" s="0" t="n">
        <f aca="false">H15+H16+H17+H18</f>
        <v>120.933969071905</v>
      </c>
      <c r="I19" s="0" t="n">
        <f aca="false">I15+I16+I17+I18</f>
        <v>112.011083177119</v>
      </c>
      <c r="J19" s="0" t="n">
        <f aca="false">J15+J16+J17+J18</f>
        <v>102.576517803664</v>
      </c>
      <c r="K19" s="0" t="n">
        <f aca="false">K15+K16+K17+K18</f>
        <v>93.5520668285508</v>
      </c>
      <c r="L19" s="0" t="n">
        <f aca="false">L15+L16+L17+L18</f>
        <v>84.4290319049484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-131.494339565313</v>
      </c>
      <c r="D21" s="0" t="n">
        <f aca="false">D19*D20</f>
        <v>187.460792340955</v>
      </c>
      <c r="E21" s="0" t="n">
        <f aca="false">E19*E20</f>
        <v>136.418642731519</v>
      </c>
      <c r="F21" s="0" t="n">
        <f aca="false">F19*F20</f>
        <v>88.1371027099524</v>
      </c>
      <c r="G21" s="0" t="n">
        <f aca="false">G19*G20</f>
        <v>78.6934020816775</v>
      </c>
      <c r="H21" s="0" t="n">
        <f aca="false">H19*H20</f>
        <v>68.2640727990203</v>
      </c>
      <c r="I21" s="0" t="n">
        <f aca="false">I19*I20</f>
        <v>57.4793966641535</v>
      </c>
      <c r="J21" s="0" t="n">
        <f aca="false">J19*J20</f>
        <v>47.8527025916241</v>
      </c>
      <c r="K21" s="0" t="n">
        <f aca="false">K19*K20</f>
        <v>39.6752087358119</v>
      </c>
      <c r="L21" s="0" t="n">
        <f aca="false">L19*L20</f>
        <v>32.5510466839847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605.038027773386</v>
      </c>
    </row>
    <row r="31" customFormat="false" ht="15" hidden="false" customHeight="false" outlineLevel="0" collapsed="false">
      <c r="A31" s="0" t="s">
        <v>133</v>
      </c>
      <c r="B31" s="0" t="n">
        <f aca="false">L19</f>
        <v>84.4290319049484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947.481358044421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844.290319049484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844.290319049484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325.510466839847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930.548494613233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2001.91649461323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2.14053381828375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-0.678115215295676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15.6967219198061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10.1046227608391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2.1681217076861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609.095158742842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1.81688784661352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21.3</v>
      </c>
      <c r="D5" s="4" t="n">
        <f aca="false">Assumptions!D27</f>
        <v>4</v>
      </c>
      <c r="E5" s="4" t="n">
        <f aca="false">Assumptions!E27</f>
        <v>-7.45</v>
      </c>
      <c r="F5" s="4" t="n">
        <f aca="false">Assumptions!F27</f>
        <v>-9.09</v>
      </c>
      <c r="G5" s="4" t="n">
        <f aca="false">Assumptions!G27</f>
        <v>1.5</v>
      </c>
      <c r="H5" s="4" t="n">
        <f aca="false">Assumptions!H27</f>
        <v>1.48</v>
      </c>
      <c r="I5" s="4" t="n">
        <f aca="false">Assumptions!I27</f>
        <v>-0.44</v>
      </c>
      <c r="J5" s="4" t="n">
        <f aca="false">Assumptions!J27</f>
        <v>-0.47</v>
      </c>
      <c r="K5" s="4" t="n">
        <f aca="false">Assumptions!K27</f>
        <v>-0.5</v>
      </c>
      <c r="L5" s="4" t="n">
        <f aca="false">Assumptions!L27</f>
        <v>-0.56</v>
      </c>
    </row>
    <row r="6" customFormat="false" ht="15" hidden="false" customHeight="false" outlineLevel="0" collapsed="false">
      <c r="A6" s="0" t="s">
        <v>38</v>
      </c>
      <c r="B6" s="3" t="n">
        <v>1483.908</v>
      </c>
      <c r="C6" s="0" t="n">
        <f aca="false">B6*(1+C5/100)</f>
        <v>1799.980404</v>
      </c>
      <c r="D6" s="0" t="n">
        <f aca="false">C6*(1+D5/100)</f>
        <v>1871.97962016</v>
      </c>
      <c r="E6" s="0" t="n">
        <f aca="false">D6*(1+E5/100)</f>
        <v>1732.51713845808</v>
      </c>
      <c r="F6" s="0" t="n">
        <f aca="false">E6*(1+F5/100)</f>
        <v>1575.03133057224</v>
      </c>
      <c r="G6" s="0" t="n">
        <f aca="false">F6*(1+G5/100)</f>
        <v>1598.65680053082</v>
      </c>
      <c r="H6" s="0" t="n">
        <f aca="false">G6*(1+H5/100)</f>
        <v>1622.31692117868</v>
      </c>
      <c r="I6" s="0" t="n">
        <f aca="false">H6*(1+I5/100)</f>
        <v>1615.17872672549</v>
      </c>
      <c r="J6" s="0" t="n">
        <f aca="false">I6*(1+J5/100)</f>
        <v>1607.58738670988</v>
      </c>
      <c r="K6" s="0" t="n">
        <f aca="false">J6*(1+K5/100)</f>
        <v>1599.54944977633</v>
      </c>
      <c r="L6" s="0" t="n">
        <f aca="false">K6*(1+L5/100)</f>
        <v>1590.59197285759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51.53</v>
      </c>
      <c r="D7" s="4" t="n">
        <f aca="false">Assumptions!D28</f>
        <v>55.58</v>
      </c>
      <c r="E7" s="4" t="n">
        <f aca="false">Assumptions!E28</f>
        <v>55.13</v>
      </c>
      <c r="F7" s="4" t="n">
        <f aca="false">Assumptions!F28</f>
        <v>51.56</v>
      </c>
      <c r="G7" s="4" t="n">
        <f aca="false">Assumptions!G28</f>
        <v>51.21</v>
      </c>
      <c r="H7" s="4" t="n">
        <f aca="false">Assumptions!H28</f>
        <v>50.86</v>
      </c>
      <c r="I7" s="4" t="n">
        <f aca="false">Assumptions!I28</f>
        <v>50.49</v>
      </c>
      <c r="J7" s="4" t="n">
        <f aca="false">Assumptions!J28</f>
        <v>50.13</v>
      </c>
      <c r="K7" s="4" t="n">
        <f aca="false">Assumptions!K28</f>
        <v>49.79</v>
      </c>
      <c r="L7" s="4" t="n">
        <f aca="false">Assumptions!L28</f>
        <v>49.45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927.5299021812</v>
      </c>
      <c r="D8" s="0" t="n">
        <f aca="false">D6*D7/100</f>
        <v>1040.44627288493</v>
      </c>
      <c r="E8" s="0" t="n">
        <f aca="false">E6*E7/100</f>
        <v>955.136698431939</v>
      </c>
      <c r="F8" s="0" t="n">
        <f aca="false">F6*F7/100</f>
        <v>812.086154043047</v>
      </c>
      <c r="G8" s="0" t="n">
        <f aca="false">G6*G7/100</f>
        <v>818.672147551835</v>
      </c>
      <c r="H8" s="0" t="n">
        <f aca="false">H6*H7/100</f>
        <v>825.110386111477</v>
      </c>
      <c r="I8" s="0" t="n">
        <f aca="false">I6*I7/100</f>
        <v>815.503739123702</v>
      </c>
      <c r="J8" s="0" t="n">
        <f aca="false">J6*J7/100</f>
        <v>805.883556957665</v>
      </c>
      <c r="K8" s="0" t="n">
        <f aca="false">K6*K7/100</f>
        <v>796.415671043637</v>
      </c>
      <c r="L8" s="0" t="n">
        <f aca="false">L6*L7/100</f>
        <v>786.547730578077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-3.599960808</v>
      </c>
      <c r="D10" s="0" t="n">
        <f aca="false">-D6*D9/100</f>
        <v>-3.74395924032</v>
      </c>
      <c r="E10" s="0" t="n">
        <f aca="false">-E6*E9/100</f>
        <v>-3.46503427691616</v>
      </c>
      <c r="F10" s="0" t="n">
        <f aca="false">-F6*F9/100</f>
        <v>-3.15006266114448</v>
      </c>
      <c r="G10" s="0" t="n">
        <f aca="false">-G6*G9/100</f>
        <v>-3.19731360106165</v>
      </c>
      <c r="H10" s="0" t="n">
        <f aca="false">-H6*H9/100</f>
        <v>-3.24463384235736</v>
      </c>
      <c r="I10" s="0" t="n">
        <f aca="false">-I6*I9/100</f>
        <v>-3.23035745345099</v>
      </c>
      <c r="J10" s="0" t="n">
        <f aca="false">-J6*J9/100</f>
        <v>-3.21517477341977</v>
      </c>
      <c r="K10" s="0" t="n">
        <f aca="false">-K6*K9/100</f>
        <v>-3.19909889955267</v>
      </c>
      <c r="L10" s="0" t="n">
        <f aca="false">-L6*L9/100</f>
        <v>-3.18118394571517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923.9299413732</v>
      </c>
      <c r="D11" s="0" t="n">
        <f aca="false">D8+D10+D24</f>
        <v>1036.70231364461</v>
      </c>
      <c r="E11" s="0" t="n">
        <f aca="false">E8+E10+E24</f>
        <v>951.671664155023</v>
      </c>
      <c r="F11" s="0" t="n">
        <f aca="false">F8+F10+F24</f>
        <v>808.936091381903</v>
      </c>
      <c r="G11" s="0" t="n">
        <f aca="false">G8+G10+G24</f>
        <v>815.474833950773</v>
      </c>
      <c r="H11" s="0" t="n">
        <f aca="false">H8+H10+H24</f>
        <v>821.865752269119</v>
      </c>
      <c r="I11" s="0" t="n">
        <f aca="false">I8+I10+I24</f>
        <v>812.273381670251</v>
      </c>
      <c r="J11" s="0" t="n">
        <f aca="false">J8+J10+J24</f>
        <v>802.668382184245</v>
      </c>
      <c r="K11" s="0" t="n">
        <f aca="false">K8+K10+K24</f>
        <v>793.216572144084</v>
      </c>
      <c r="L11" s="0" t="n">
        <f aca="false">L8+L10+L24</f>
        <v>783.366546632362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-140.0384754312</v>
      </c>
      <c r="D12" s="4" t="n">
        <f aca="false">-D6*Assumptions!D31/100</f>
        <v>-199.927423433088</v>
      </c>
      <c r="E12" s="4" t="n">
        <f aca="false">-E6*Assumptions!E31/100</f>
        <v>-209.981077181119</v>
      </c>
      <c r="F12" s="4" t="n">
        <f aca="false">-F6*Assumptions!F31/100</f>
        <v>-214.046757824768</v>
      </c>
      <c r="G12" s="4" t="n">
        <f aca="false">-G6*Assumptions!G31/100</f>
        <v>-218.056787592404</v>
      </c>
      <c r="H12" s="4" t="n">
        <f aca="false">-H6*Assumptions!H31/100</f>
        <v>-221.932954817243</v>
      </c>
      <c r="I12" s="4" t="n">
        <f aca="false">-I6*Assumptions!I31/100</f>
        <v>-225.963503868897</v>
      </c>
      <c r="J12" s="4" t="n">
        <f aca="false">-J6*Assumptions!J31/100</f>
        <v>-230.045755038184</v>
      </c>
      <c r="K12" s="4" t="n">
        <f aca="false">-K6*Assumptions!K31/100</f>
        <v>-234.973814172144</v>
      </c>
      <c r="L12" s="4" t="n">
        <f aca="false">-L6*Assumptions!L31/100</f>
        <v>-240.02032870421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783.891465942</v>
      </c>
      <c r="D13" s="0" t="n">
        <f aca="false">D11+D12</f>
        <v>836.77489021152</v>
      </c>
      <c r="E13" s="0" t="n">
        <f aca="false">E11+E12</f>
        <v>741.690586973904</v>
      </c>
      <c r="F13" s="0" t="n">
        <f aca="false">F11+F12</f>
        <v>594.889333557135</v>
      </c>
      <c r="G13" s="0" t="n">
        <f aca="false">G11+G12</f>
        <v>597.418046358369</v>
      </c>
      <c r="H13" s="0" t="n">
        <f aca="false">H11+H12</f>
        <v>599.932797451876</v>
      </c>
      <c r="I13" s="0" t="n">
        <f aca="false">I11+I12</f>
        <v>586.309877801354</v>
      </c>
      <c r="J13" s="0" t="n">
        <f aca="false">J11+J12</f>
        <v>572.622627146061</v>
      </c>
      <c r="K13" s="0" t="n">
        <f aca="false">K11+K12</f>
        <v>558.242757971941</v>
      </c>
      <c r="L13" s="0" t="n">
        <f aca="false">L11+L12</f>
        <v>543.346217928152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30</v>
      </c>
      <c r="D14" s="4" t="n">
        <f aca="false">Assumptions!D33</f>
        <v>31</v>
      </c>
      <c r="E14" s="4" t="n">
        <f aca="false">Assumptions!E33</f>
        <v>33</v>
      </c>
      <c r="F14" s="4" t="n">
        <f aca="false">Assumptions!F33</f>
        <v>35</v>
      </c>
      <c r="G14" s="4" t="n">
        <f aca="false">Assumptions!G33</f>
        <v>35</v>
      </c>
      <c r="H14" s="4" t="n">
        <f aca="false">Assumptions!H33</f>
        <v>35</v>
      </c>
      <c r="I14" s="4" t="n">
        <f aca="false">Assumptions!I33</f>
        <v>35</v>
      </c>
      <c r="J14" s="4" t="n">
        <f aca="false">Assumptions!J33</f>
        <v>35</v>
      </c>
      <c r="K14" s="4" t="n">
        <f aca="false">Assumptions!K33</f>
        <v>35</v>
      </c>
      <c r="L14" s="4" t="n">
        <f aca="false">Assumptions!L33</f>
        <v>35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548.7240261594</v>
      </c>
      <c r="D15" s="0" t="n">
        <f aca="false">D13-MAX(0,D13)*D14/100</f>
        <v>577.374674245949</v>
      </c>
      <c r="E15" s="0" t="n">
        <f aca="false">E13-MAX(0,E13)*E14/100</f>
        <v>496.932693272516</v>
      </c>
      <c r="F15" s="0" t="n">
        <f aca="false">F13-MAX(0,F13)*F14/100</f>
        <v>386.678066812138</v>
      </c>
      <c r="G15" s="0" t="n">
        <f aca="false">G13-MAX(0,G13)*G14/100</f>
        <v>388.32173013294</v>
      </c>
      <c r="H15" s="0" t="n">
        <f aca="false">H13-MAX(0,H13)*H14/100</f>
        <v>389.956318343719</v>
      </c>
      <c r="I15" s="0" t="n">
        <f aca="false">I13-MAX(0,I13)*I14/100</f>
        <v>381.10142057088</v>
      </c>
      <c r="J15" s="0" t="n">
        <f aca="false">J13-MAX(0,J13)*J14/100</f>
        <v>372.204707644939</v>
      </c>
      <c r="K15" s="0" t="n">
        <f aca="false">K13-MAX(0,K13)*K14/100</f>
        <v>362.857792681761</v>
      </c>
      <c r="L15" s="0" t="n">
        <f aca="false">L13-MAX(0,L13)*L14/100</f>
        <v>353.175041653299</v>
      </c>
    </row>
    <row r="16" customFormat="false" ht="15" hidden="false" customHeight="false" outlineLevel="0" collapsed="false">
      <c r="A16" s="0" t="s">
        <v>124</v>
      </c>
      <c r="C16" s="0" t="n">
        <f aca="false">-C12</f>
        <v>140.0384754312</v>
      </c>
      <c r="D16" s="0" t="n">
        <f aca="false">-D12</f>
        <v>199.927423433088</v>
      </c>
      <c r="E16" s="0" t="n">
        <f aca="false">-E12</f>
        <v>209.981077181119</v>
      </c>
      <c r="F16" s="0" t="n">
        <f aca="false">-F12</f>
        <v>214.046757824768</v>
      </c>
      <c r="G16" s="0" t="n">
        <f aca="false">-G12</f>
        <v>218.056787592404</v>
      </c>
      <c r="H16" s="0" t="n">
        <f aca="false">-H12</f>
        <v>221.932954817243</v>
      </c>
      <c r="I16" s="0" t="n">
        <f aca="false">-I12</f>
        <v>225.963503868897</v>
      </c>
      <c r="J16" s="0" t="n">
        <f aca="false">-J12</f>
        <v>230.045755038184</v>
      </c>
      <c r="K16" s="0" t="n">
        <f aca="false">-K12</f>
        <v>234.973814172144</v>
      </c>
      <c r="L16" s="0" t="n">
        <f aca="false">-L12</f>
        <v>240.02032870421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-615.0533040468</v>
      </c>
      <c r="D17" s="4" t="n">
        <f aca="false">-D6*Assumptions!D32/100</f>
        <v>-210.036113381952</v>
      </c>
      <c r="E17" s="4" t="n">
        <f aca="false">-E6*Assumptions!E32/100</f>
        <v>-190.057130088851</v>
      </c>
      <c r="F17" s="4" t="n">
        <f aca="false">-F6*Assumptions!F32/100</f>
        <v>-189.948778467012</v>
      </c>
      <c r="G17" s="4" t="n">
        <f aca="false">-G6*Assumptions!G32/100</f>
        <v>-195.036129664761</v>
      </c>
      <c r="H17" s="4" t="n">
        <f aca="false">-H6*Assumptions!H32/100</f>
        <v>-200.031676381331</v>
      </c>
      <c r="I17" s="4" t="n">
        <f aca="false">-I6*Assumptions!I32/100</f>
        <v>-204.966180421465</v>
      </c>
      <c r="J17" s="4" t="n">
        <f aca="false">-J6*Assumptions!J32/100</f>
        <v>-209.950912704311</v>
      </c>
      <c r="K17" s="4" t="n">
        <f aca="false">-K6*Assumptions!K32/100</f>
        <v>-214.979446049939</v>
      </c>
      <c r="L17" s="4" t="n">
        <f aca="false">-L6*Assumptions!L32/100</f>
        <v>-219.978869846204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-9.48217212</v>
      </c>
      <c r="D18" s="4" t="n">
        <f aca="false">(D6-C6)*Assumptions!$B$37/100</f>
        <v>-2.1599764848</v>
      </c>
      <c r="E18" s="4" t="n">
        <f aca="false">(E6-D6)*Assumptions!$B$37/100</f>
        <v>4.1838744510576</v>
      </c>
      <c r="F18" s="4" t="n">
        <f aca="false">(F6-E6)*Assumptions!$B$37/100</f>
        <v>4.72457423657518</v>
      </c>
      <c r="G18" s="4" t="n">
        <f aca="false">(G6-F6)*Assumptions!$B$37/100</f>
        <v>-0.708764098757502</v>
      </c>
      <c r="H18" s="4" t="n">
        <f aca="false">(H6-G6)*Assumptions!$B$37/100</f>
        <v>-0.709803619435681</v>
      </c>
      <c r="I18" s="4" t="n">
        <f aca="false">(I6-H6)*Assumptions!$B$37/100</f>
        <v>0.214145833595583</v>
      </c>
      <c r="J18" s="4" t="n">
        <f aca="false">(J6-I6)*Assumptions!$B$37/100</f>
        <v>0.227740200468295</v>
      </c>
      <c r="K18" s="4" t="n">
        <f aca="false">(K6-J6)*Assumptions!$B$37/100</f>
        <v>0.241138108006483</v>
      </c>
      <c r="L18" s="4" t="n">
        <f aca="false">(L6-K6)*Assumptions!$B$37/100</f>
        <v>0.268724307562425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64.2270254238</v>
      </c>
      <c r="D19" s="0" t="n">
        <f aca="false">D15+D16+D17+D18</f>
        <v>565.106007812285</v>
      </c>
      <c r="E19" s="0" t="n">
        <f aca="false">E15+E16+E17+E18</f>
        <v>521.040514815841</v>
      </c>
      <c r="F19" s="0" t="n">
        <f aca="false">F15+F16+F17+F18</f>
        <v>415.500620406468</v>
      </c>
      <c r="G19" s="0" t="n">
        <f aca="false">G15+G16+G17+G18</f>
        <v>410.633623961826</v>
      </c>
      <c r="H19" s="0" t="n">
        <f aca="false">H15+H16+H17+H18</f>
        <v>411.147793160196</v>
      </c>
      <c r="I19" s="0" t="n">
        <f aca="false">I15+I16+I17+I18</f>
        <v>402.312889851907</v>
      </c>
      <c r="J19" s="0" t="n">
        <f aca="false">J15+J16+J17+J18</f>
        <v>392.527290179281</v>
      </c>
      <c r="K19" s="0" t="n">
        <f aca="false">K15+K16+K17+K18</f>
        <v>383.093298911972</v>
      </c>
      <c r="L19" s="0" t="n">
        <f aca="false">L15+L16+L17+L18</f>
        <v>373.485224818867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58.3882049307273</v>
      </c>
      <c r="D21" s="0" t="n">
        <f aca="false">D19*D20</f>
        <v>467.029758522549</v>
      </c>
      <c r="E21" s="0" t="n">
        <f aca="false">E19*E20</f>
        <v>391.465450650519</v>
      </c>
      <c r="F21" s="0" t="n">
        <f aca="false">F19*F20</f>
        <v>283.792514450153</v>
      </c>
      <c r="G21" s="0" t="n">
        <f aca="false">G19*G20</f>
        <v>254.971173082953</v>
      </c>
      <c r="H21" s="0" t="n">
        <f aca="false">H19*H20</f>
        <v>232.082210638073</v>
      </c>
      <c r="I21" s="0" t="n">
        <f aca="false">I19*I20</f>
        <v>206.450125496362</v>
      </c>
      <c r="J21" s="0" t="n">
        <f aca="false">J19*J20</f>
        <v>183.116877802362</v>
      </c>
      <c r="K21" s="0" t="n">
        <f aca="false">K19*K20</f>
        <v>162.468955683026</v>
      </c>
      <c r="L21" s="0" t="n">
        <f aca="false">L19*L20</f>
        <v>143.994722129994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2383.75999338672</v>
      </c>
    </row>
    <row r="31" customFormat="false" ht="15" hidden="false" customHeight="false" outlineLevel="0" collapsed="false">
      <c r="A31" s="0" t="s">
        <v>133</v>
      </c>
      <c r="B31" s="0" t="n">
        <f aca="false">L19</f>
        <v>373.485224818867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4191.33418963395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3734.85224818867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3734.85224818867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1439.94722129994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3823.70721468666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4895.07521468666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5.23402153300292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-0.212929092781516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20.6793322220935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13.7638773770951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5.27084967001847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2694.42912190754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3.91704739490341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36.19</v>
      </c>
      <c r="D5" s="4" t="n">
        <f aca="false">Assumptions!D41</f>
        <v>14.89</v>
      </c>
      <c r="E5" s="4" t="n">
        <f aca="false">Assumptions!E41</f>
        <v>1.85</v>
      </c>
      <c r="F5" s="4" t="n">
        <f aca="false">Assumptions!F41</f>
        <v>2</v>
      </c>
      <c r="G5" s="4" t="n">
        <f aca="false">Assumptions!G41</f>
        <v>2.01</v>
      </c>
      <c r="H5" s="4" t="n">
        <f aca="false">Assumptions!H41</f>
        <v>1.99</v>
      </c>
      <c r="I5" s="4" t="n">
        <f aca="false">Assumptions!I41</f>
        <v>1.07</v>
      </c>
      <c r="J5" s="4" t="n">
        <f aca="false">Assumptions!J41</f>
        <v>1.06</v>
      </c>
      <c r="K5" s="4" t="n">
        <f aca="false">Assumptions!K41</f>
        <v>1.06</v>
      </c>
      <c r="L5" s="4" t="n">
        <f aca="false">Assumptions!L41</f>
        <v>1.05</v>
      </c>
    </row>
    <row r="6" customFormat="false" ht="15" hidden="false" customHeight="false" outlineLevel="0" collapsed="false">
      <c r="A6" s="0" t="s">
        <v>38</v>
      </c>
      <c r="B6" s="3" t="n">
        <v>1483.908</v>
      </c>
      <c r="C6" s="0" t="n">
        <f aca="false">B6*(1+C5/100)</f>
        <v>2020.9343052</v>
      </c>
      <c r="D6" s="0" t="n">
        <f aca="false">C6*(1+D5/100)</f>
        <v>2321.85142324428</v>
      </c>
      <c r="E6" s="0" t="n">
        <f aca="false">D6*(1+E5/100)</f>
        <v>2364.8056745743</v>
      </c>
      <c r="F6" s="0" t="n">
        <f aca="false">E6*(1+F5/100)</f>
        <v>2412.10178806578</v>
      </c>
      <c r="G6" s="0" t="n">
        <f aca="false">F6*(1+G5/100)</f>
        <v>2460.58503400591</v>
      </c>
      <c r="H6" s="0" t="n">
        <f aca="false">G6*(1+H5/100)</f>
        <v>2509.55067618262</v>
      </c>
      <c r="I6" s="0" t="n">
        <f aca="false">H6*(1+I5/100)</f>
        <v>2536.40286841778</v>
      </c>
      <c r="J6" s="0" t="n">
        <f aca="false">I6*(1+J5/100)</f>
        <v>2563.28873882301</v>
      </c>
      <c r="K6" s="0" t="n">
        <f aca="false">J6*(1+K5/100)</f>
        <v>2590.45959945453</v>
      </c>
      <c r="L6" s="0" t="n">
        <f aca="false">K6*(1+L5/100)</f>
        <v>2617.6594252488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57.32</v>
      </c>
      <c r="D7" s="4" t="n">
        <f aca="false">Assumptions!D42</f>
        <v>65.67</v>
      </c>
      <c r="E7" s="4" t="n">
        <f aca="false">Assumptions!E42</f>
        <v>67.97</v>
      </c>
      <c r="F7" s="4" t="n">
        <f aca="false">Assumptions!F42</f>
        <v>68.55</v>
      </c>
      <c r="G7" s="4" t="n">
        <f aca="false">Assumptions!G42</f>
        <v>68.49</v>
      </c>
      <c r="H7" s="4" t="n">
        <f aca="false">Assumptions!H42</f>
        <v>68.41</v>
      </c>
      <c r="I7" s="4" t="n">
        <f aca="false">Assumptions!I42</f>
        <v>68.34</v>
      </c>
      <c r="J7" s="4" t="n">
        <f aca="false">Assumptions!J42</f>
        <v>68.25</v>
      </c>
      <c r="K7" s="4" t="n">
        <f aca="false">Assumptions!K42</f>
        <v>68.18</v>
      </c>
      <c r="L7" s="4" t="n">
        <f aca="false">Assumptions!L42</f>
        <v>68.1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1158.39954374064</v>
      </c>
      <c r="D8" s="0" t="n">
        <f aca="false">D6*D7/100</f>
        <v>1524.75982964452</v>
      </c>
      <c r="E8" s="0" t="n">
        <f aca="false">E6*E7/100</f>
        <v>1607.35841700815</v>
      </c>
      <c r="F8" s="0" t="n">
        <f aca="false">F6*F7/100</f>
        <v>1653.4957757191</v>
      </c>
      <c r="G8" s="0" t="n">
        <f aca="false">G6*G7/100</f>
        <v>1685.25468979065</v>
      </c>
      <c r="H8" s="0" t="n">
        <f aca="false">H6*H7/100</f>
        <v>1716.78361757653</v>
      </c>
      <c r="I8" s="0" t="n">
        <f aca="false">I6*I7/100</f>
        <v>1733.37772027671</v>
      </c>
      <c r="J8" s="0" t="n">
        <f aca="false">J6*J7/100</f>
        <v>1749.4445642467</v>
      </c>
      <c r="K8" s="0" t="n">
        <f aca="false">K6*K7/100</f>
        <v>1766.1753549081</v>
      </c>
      <c r="L8" s="0" t="n">
        <f aca="false">L6*L7/100</f>
        <v>1782.62606859443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-4.0418686104</v>
      </c>
      <c r="D10" s="0" t="n">
        <f aca="false">-D6*D9/100</f>
        <v>-4.64370284648856</v>
      </c>
      <c r="E10" s="0" t="n">
        <f aca="false">-E6*E9/100</f>
        <v>-4.7296113491486</v>
      </c>
      <c r="F10" s="0" t="n">
        <f aca="false">-F6*F9/100</f>
        <v>-4.82420357613157</v>
      </c>
      <c r="G10" s="0" t="n">
        <f aca="false">-G6*G9/100</f>
        <v>-4.92117006801181</v>
      </c>
      <c r="H10" s="0" t="n">
        <f aca="false">-H6*H9/100</f>
        <v>-5.01910135236525</v>
      </c>
      <c r="I10" s="0" t="n">
        <f aca="false">-I6*I9/100</f>
        <v>-5.07280573683556</v>
      </c>
      <c r="J10" s="0" t="n">
        <f aca="false">-J6*J9/100</f>
        <v>-5.12657747764601</v>
      </c>
      <c r="K10" s="0" t="n">
        <f aca="false">-K6*K9/100</f>
        <v>-5.18091919890906</v>
      </c>
      <c r="L10" s="0" t="n">
        <f aca="false">-L6*L9/100</f>
        <v>-5.23531885049761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1154.35767513024</v>
      </c>
      <c r="D11" s="0" t="n">
        <f aca="false">D8+D10+D24</f>
        <v>1520.11612679803</v>
      </c>
      <c r="E11" s="0" t="n">
        <f aca="false">E8+E10+E24</f>
        <v>1602.628805659</v>
      </c>
      <c r="F11" s="0" t="n">
        <f aca="false">F8+F10+F24</f>
        <v>1648.67157214296</v>
      </c>
      <c r="G11" s="0" t="n">
        <f aca="false">G8+G10+G24</f>
        <v>1680.33351972263</v>
      </c>
      <c r="H11" s="0" t="n">
        <f aca="false">H8+H10+H24</f>
        <v>1711.76451622417</v>
      </c>
      <c r="I11" s="0" t="n">
        <f aca="false">I8+I10+I24</f>
        <v>1728.30491453987</v>
      </c>
      <c r="J11" s="0" t="n">
        <f aca="false">J8+J10+J24</f>
        <v>1744.31798676906</v>
      </c>
      <c r="K11" s="0" t="n">
        <f aca="false">K8+K10+K24</f>
        <v>1760.99443570919</v>
      </c>
      <c r="L11" s="0" t="n">
        <f aca="false">L8+L10+L24</f>
        <v>1777.39074974394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-140.05074735036</v>
      </c>
      <c r="D12" s="4" t="n">
        <f aca="false">-D6*Assumptions!D45/100</f>
        <v>-199.911407541333</v>
      </c>
      <c r="E12" s="4" t="n">
        <f aca="false">-E6*Assumptions!E45/100</f>
        <v>-209.994743902198</v>
      </c>
      <c r="F12" s="4" t="n">
        <f aca="false">-F6*Assumptions!F45/100</f>
        <v>-213.953428601435</v>
      </c>
      <c r="G12" s="4" t="n">
        <f aca="false">-G6*Assumptions!G45/100</f>
        <v>-218.007834012923</v>
      </c>
      <c r="H12" s="4" t="n">
        <f aca="false">-H6*Assumptions!H45/100</f>
        <v>-222.095234842162</v>
      </c>
      <c r="I12" s="4" t="n">
        <f aca="false">-I6*Assumptions!I45/100</f>
        <v>-225.993495576024</v>
      </c>
      <c r="J12" s="4" t="n">
        <f aca="false">-J6*Assumptions!J45/100</f>
        <v>-229.926999872424</v>
      </c>
      <c r="K12" s="4" t="n">
        <f aca="false">-K6*Assumptions!K45/100</f>
        <v>-234.954685670526</v>
      </c>
      <c r="L12" s="4" t="n">
        <f aca="false">-L6*Assumptions!L45/100</f>
        <v>-240.039369295315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1014.30692777988</v>
      </c>
      <c r="D13" s="0" t="n">
        <f aca="false">D11+D12</f>
        <v>1320.2047192567</v>
      </c>
      <c r="E13" s="0" t="n">
        <f aca="false">E11+E12</f>
        <v>1392.6340617568</v>
      </c>
      <c r="F13" s="0" t="n">
        <f aca="false">F11+F12</f>
        <v>1434.71814354153</v>
      </c>
      <c r="G13" s="0" t="n">
        <f aca="false">G11+G12</f>
        <v>1462.32568570971</v>
      </c>
      <c r="H13" s="0" t="n">
        <f aca="false">H11+H12</f>
        <v>1489.66928138201</v>
      </c>
      <c r="I13" s="0" t="n">
        <f aca="false">I11+I12</f>
        <v>1502.31141896385</v>
      </c>
      <c r="J13" s="0" t="n">
        <f aca="false">J11+J12</f>
        <v>1514.39098689663</v>
      </c>
      <c r="K13" s="0" t="n">
        <f aca="false">K11+K12</f>
        <v>1526.03975003866</v>
      </c>
      <c r="L13" s="0" t="n">
        <f aca="false">L11+L12</f>
        <v>1537.35138044862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30</v>
      </c>
      <c r="D14" s="4" t="n">
        <f aca="false">Assumptions!D47</f>
        <v>31</v>
      </c>
      <c r="E14" s="4" t="n">
        <f aca="false">Assumptions!E47</f>
        <v>33</v>
      </c>
      <c r="F14" s="4" t="n">
        <f aca="false">Assumptions!F47</f>
        <v>35</v>
      </c>
      <c r="G14" s="4" t="n">
        <f aca="false">Assumptions!G47</f>
        <v>35</v>
      </c>
      <c r="H14" s="4" t="n">
        <f aca="false">Assumptions!H47</f>
        <v>35</v>
      </c>
      <c r="I14" s="4" t="n">
        <f aca="false">Assumptions!I47</f>
        <v>35</v>
      </c>
      <c r="J14" s="4" t="n">
        <f aca="false">Assumptions!J47</f>
        <v>35</v>
      </c>
      <c r="K14" s="4" t="n">
        <f aca="false">Assumptions!K47</f>
        <v>35</v>
      </c>
      <c r="L14" s="4" t="n">
        <f aca="false">Assumptions!L47</f>
        <v>35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710.014849445916</v>
      </c>
      <c r="D15" s="0" t="n">
        <f aca="false">D13-MAX(0,D13)*D14/100</f>
        <v>910.941256287121</v>
      </c>
      <c r="E15" s="0" t="n">
        <f aca="false">E13-MAX(0,E13)*E14/100</f>
        <v>933.064821377059</v>
      </c>
      <c r="F15" s="0" t="n">
        <f aca="false">F13-MAX(0,F13)*F14/100</f>
        <v>932.566793301994</v>
      </c>
      <c r="G15" s="0" t="n">
        <f aca="false">G13-MAX(0,G13)*G14/100</f>
        <v>950.511695711312</v>
      </c>
      <c r="H15" s="0" t="n">
        <f aca="false">H13-MAX(0,H13)*H14/100</f>
        <v>968.285032898304</v>
      </c>
      <c r="I15" s="0" t="n">
        <f aca="false">I13-MAX(0,I13)*I14/100</f>
        <v>976.502422326503</v>
      </c>
      <c r="J15" s="0" t="n">
        <f aca="false">J13-MAX(0,J13)*J14/100</f>
        <v>984.354141482811</v>
      </c>
      <c r="K15" s="0" t="n">
        <f aca="false">K13-MAX(0,K13)*K14/100</f>
        <v>991.925837525132</v>
      </c>
      <c r="L15" s="0" t="n">
        <f aca="false">L13-MAX(0,L13)*L14/100</f>
        <v>999.278397291604</v>
      </c>
    </row>
    <row r="16" customFormat="false" ht="15" hidden="false" customHeight="false" outlineLevel="0" collapsed="false">
      <c r="A16" s="0" t="s">
        <v>124</v>
      </c>
      <c r="C16" s="0" t="n">
        <f aca="false">-C12</f>
        <v>140.05074735036</v>
      </c>
      <c r="D16" s="0" t="n">
        <f aca="false">-D12</f>
        <v>199.911407541333</v>
      </c>
      <c r="E16" s="0" t="n">
        <f aca="false">-E12</f>
        <v>209.994743902198</v>
      </c>
      <c r="F16" s="0" t="n">
        <f aca="false">-F12</f>
        <v>213.953428601435</v>
      </c>
      <c r="G16" s="0" t="n">
        <f aca="false">-G12</f>
        <v>218.007834012923</v>
      </c>
      <c r="H16" s="0" t="n">
        <f aca="false">-H12</f>
        <v>222.095234842162</v>
      </c>
      <c r="I16" s="0" t="n">
        <f aca="false">-I12</f>
        <v>225.993495576024</v>
      </c>
      <c r="J16" s="0" t="n">
        <f aca="false">-J12</f>
        <v>229.926999872424</v>
      </c>
      <c r="K16" s="0" t="n">
        <f aca="false">-K12</f>
        <v>234.954685670526</v>
      </c>
      <c r="L16" s="0" t="n">
        <f aca="false">-L12</f>
        <v>240.039369295315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-600.01539521388</v>
      </c>
      <c r="D17" s="4" t="n">
        <f aca="false">-D6*Assumptions!D46/100</f>
        <v>-199.911407541333</v>
      </c>
      <c r="E17" s="4" t="n">
        <f aca="false">-E6*Assumptions!E46/100</f>
        <v>-179.961711835104</v>
      </c>
      <c r="F17" s="4" t="n">
        <f aca="false">-F6*Assumptions!F46/100</f>
        <v>-179.942793389708</v>
      </c>
      <c r="G17" s="4" t="n">
        <f aca="false">-G6*Assumptions!G46/100</f>
        <v>-185.035994557244</v>
      </c>
      <c r="H17" s="4" t="n">
        <f aca="false">-H6*Assumptions!H46/100</f>
        <v>-189.972986187025</v>
      </c>
      <c r="I17" s="4" t="n">
        <f aca="false">-I6*Assumptions!I46/100</f>
        <v>-195.049380581327</v>
      </c>
      <c r="J17" s="4" t="n">
        <f aca="false">-J6*Assumptions!J46/100</f>
        <v>-199.936521628195</v>
      </c>
      <c r="K17" s="4" t="n">
        <f aca="false">-K6*Assumptions!K46/100</f>
        <v>-204.905354316853</v>
      </c>
      <c r="L17" s="4" t="n">
        <f aca="false">-L6*Assumptions!L46/100</f>
        <v>-209.936285904954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-16.110789156</v>
      </c>
      <c r="D18" s="4" t="n">
        <f aca="false">(D6-C6)*Assumptions!$B$51/100</f>
        <v>-9.02751354132841</v>
      </c>
      <c r="E18" s="4" t="n">
        <f aca="false">(E6-D6)*Assumptions!$B$51/100</f>
        <v>-1.28862753990057</v>
      </c>
      <c r="F18" s="4" t="n">
        <f aca="false">(F6-E6)*Assumptions!$B$51/100</f>
        <v>-1.41888340474457</v>
      </c>
      <c r="G18" s="4" t="n">
        <f aca="false">(G6-F6)*Assumptions!$B$51/100</f>
        <v>-1.45449737820367</v>
      </c>
      <c r="H18" s="4" t="n">
        <f aca="false">(H6-G6)*Assumptions!$B$51/100</f>
        <v>-1.46896926530153</v>
      </c>
      <c r="I18" s="4" t="n">
        <f aca="false">(I6-H6)*Assumptions!$B$51/100</f>
        <v>-0.805565767054613</v>
      </c>
      <c r="J18" s="4" t="n">
        <f aca="false">(J6-I6)*Assumptions!$B$51/100</f>
        <v>-0.806576112156845</v>
      </c>
      <c r="K18" s="4" t="n">
        <f aca="false">(K6-J6)*Assumptions!$B$51/100</f>
        <v>-0.815125818945712</v>
      </c>
      <c r="L18" s="4" t="n">
        <f aca="false">(L6-K6)*Assumptions!$B$51/100</f>
        <v>-0.81599477382817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233.939412426396</v>
      </c>
      <c r="D19" s="0" t="n">
        <f aca="false">D15+D16+D17+D18</f>
        <v>901.913742745793</v>
      </c>
      <c r="E19" s="0" t="n">
        <f aca="false">E15+E16+E17+E18</f>
        <v>961.809225904252</v>
      </c>
      <c r="F19" s="0" t="n">
        <f aca="false">F15+F16+F17+F18</f>
        <v>965.158545108977</v>
      </c>
      <c r="G19" s="0" t="n">
        <f aca="false">G15+G16+G17+G18</f>
        <v>982.029037788787</v>
      </c>
      <c r="H19" s="0" t="n">
        <f aca="false">H15+H16+H17+H18</f>
        <v>998.93831228814</v>
      </c>
      <c r="I19" s="0" t="n">
        <f aca="false">I15+I16+I17+I18</f>
        <v>1006.64097155414</v>
      </c>
      <c r="J19" s="0" t="n">
        <f aca="false">J15+J16+J17+J18</f>
        <v>1013.53804361488</v>
      </c>
      <c r="K19" s="0" t="n">
        <f aca="false">K15+K16+K17+K18</f>
        <v>1021.16004305986</v>
      </c>
      <c r="L19" s="0" t="n">
        <f aca="false">L15+L16+L17+L18</f>
        <v>1028.56548590814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212.672193114905</v>
      </c>
      <c r="D21" s="0" t="n">
        <f aca="false">D19*D20</f>
        <v>745.383258467597</v>
      </c>
      <c r="E21" s="0" t="n">
        <f aca="false">E19*E20</f>
        <v>722.621507065554</v>
      </c>
      <c r="F21" s="0" t="n">
        <f aca="false">F19*F20</f>
        <v>659.216272870006</v>
      </c>
      <c r="G21" s="0" t="n">
        <f aca="false">G19*G20</f>
        <v>609.762769426323</v>
      </c>
      <c r="H21" s="0" t="n">
        <f aca="false">H19*H20</f>
        <v>563.874635018574</v>
      </c>
      <c r="I21" s="0" t="n">
        <f aca="false">I19*I20</f>
        <v>516.565986696655</v>
      </c>
      <c r="J21" s="0" t="n">
        <f aca="false">J19*J20</f>
        <v>472.822977469678</v>
      </c>
      <c r="K21" s="0" t="n">
        <f aca="false">K19*K20</f>
        <v>433.07154223883</v>
      </c>
      <c r="L21" s="0" t="n">
        <f aca="false">L19*L20</f>
        <v>396.556520830708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5332.54766319883</v>
      </c>
    </row>
    <row r="31" customFormat="false" ht="15" hidden="false" customHeight="false" outlineLevel="0" collapsed="false">
      <c r="A31" s="0" t="s">
        <v>133</v>
      </c>
      <c r="B31" s="0" t="n">
        <f aca="false">L19</f>
        <v>1028.56548590814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11542.7904529691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10285.6548590814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10285.6548590814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3965.56520830708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9298.1128715059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10369.4808715059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11.0874876865397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0.667291381434535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29.4598264340224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22.651405237129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11.1432072202988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7420.36529119442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7.64465818089508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2.14053381828375</v>
      </c>
      <c r="C4" s="0" t="n">
        <f aca="false">B4/Assumptions!$B$2-1</f>
        <v>-0.678115215295676</v>
      </c>
      <c r="D4" s="4" t="n">
        <f aca="false">Assumptions!$B$24</f>
        <v>0.25</v>
      </c>
      <c r="E4" s="4" t="n">
        <f aca="false">DCF_Bear!$B$43</f>
        <v>2.1681217076861</v>
      </c>
      <c r="F4" s="4" t="n">
        <f aca="false">DCF_Bear!$B$47</f>
        <v>1.81688784661352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5.23402153300292</v>
      </c>
      <c r="C5" s="0" t="n">
        <f aca="false">B5/Assumptions!$B$2-1</f>
        <v>-0.212929092781516</v>
      </c>
      <c r="D5" s="4" t="n">
        <f aca="false">Assumptions!$B$38</f>
        <v>0.5</v>
      </c>
      <c r="E5" s="4" t="n">
        <f aca="false">DCF_Base!$B$43</f>
        <v>5.27084967001847</v>
      </c>
      <c r="F5" s="4" t="n">
        <f aca="false">DCF_Base!$B$47</f>
        <v>3.91704739490341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11.0874876865397</v>
      </c>
      <c r="C6" s="0" t="n">
        <f aca="false">B6/Assumptions!$B$2-1</f>
        <v>0.667291381434535</v>
      </c>
      <c r="D6" s="4" t="n">
        <f aca="false">Assumptions!$B$52</f>
        <v>0.25</v>
      </c>
      <c r="E6" s="4" t="n">
        <f aca="false">DCF_Bull!$B$43</f>
        <v>11.1432072202988</v>
      </c>
      <c r="F6" s="4" t="n">
        <f aca="false">DCF_Bull!$B$47</f>
        <v>7.64465818089508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5.92401614270731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5.96325706700545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-0.12254927059684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4.32391020432885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5.49967567689485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5.23402153300292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4.98997483010945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4.66028921974773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3.91704739490341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0</v>
      </c>
      <c r="C22" s="3" t="n">
        <v>0.5</v>
      </c>
      <c r="D22" s="3" t="n">
        <v>1</v>
      </c>
      <c r="E22" s="3" t="n">
        <v>1.5</v>
      </c>
      <c r="F22" s="3" t="n">
        <v>2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5.78922567393589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5.78922567393589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5.78922567393589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5.78922567393589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5.78922567393589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5.49967567689485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5.49967567689485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5.49967567689485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5.49967567689485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5.49967567689485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5.23402153300292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5.23402153300292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5.23402153300292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5.23402153300292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5.23402153300292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4.86211707104479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4.92969902940754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4.98997483010945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4.98997483010945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4.98997483010945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4.55119206454175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4.60336896485765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4.66028921974773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4.722630451294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4.76549004798207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2026-09-25T04:41:44Z</dcterms:created>
  <dc:creator>openpyxl</dc:creator>
  <dc:description/>
  <dc:language>en-NZ</dc:language>
  <cp:lastModifiedBy/>
  <dcterms:modified xsi:type="dcterms:W3CDTF">2026-09-25T04:41:44Z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