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<sst xmlns="http://schemas.openxmlformats.org/spreadsheetml/2006/main" count="360" uniqueCount="165">
  <si>
    <t xml:space="preserve">Ticker</t>
  </si>
  <si>
    <t xml:space="preserve">0001.HK</t>
  </si>
  <si>
    <t xml:space="preserve">Company</t>
  </si>
  <si>
    <t xml:space="preserve">CK Hutchison Holdings Limited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</si>
  <si>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</si>
  <si>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</si>
  <si>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</si>
  <si>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</si>
  <si>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2026-09-25T08:08:12Z regular close (Yahoo Finance chart API, HKD)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</si>
  <si>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</si>
  <si>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</si>
  <si>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</si>
  <si>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</si>
  <si>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</si>
  <si>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</si>
  <si>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</si>
  <si>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</si>
  <si>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</si>
  <si>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</si>
  <si>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</si>
  <si>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</si>
  <si>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2026-09-25T16:19:37Z</t>
  </si>
  <si>
    <t xml:space="preserve">Drivers file</t>
  </si>
  <si>
    <t xml:space="preserve">0001.HK_Drivers.json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</si>
  <si>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</si>
  <si>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</si>
  <si>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</si>
  <si>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CK Hutchison is valued as a going, cash-generative diversified conglomerate on its consolidated owner-FCF, not as a pure listed-investment holdco (no NAV/exit-discount model) and not as a pure look-through JV stake (unlike IGO.AX). The Consolidated Statement of Cash Flows already nets in cash dividends actually received from equity-accounted associates/JVs (ports/infrastructure/telecom stakes held that way) while excluding their non-cash equity-pickup profit share, so building the DCF on reported consolidated FCF captures the whole portfolio's real cash contribution without double-counting. SBC is genuinely zero (no share scheme exists). Leases are treated as debt (treatment A): lease principal already sits outside OCF/FCF (financing activities), so lease liabilities are added to net debt in the equity bridge rather than charged again through the flows. The Panama ports concession loss (Feb-2026) is already excluded from the base-year anchors; the pending arbitration claim is a memo-only, uncapitalized contingent upside. Net debt is anchored to the LATEST (30-Jun-2026) balance sheet, which is materially lower than 31-Dec-2025 following the GBP10.5bn UK Power Networks disposal completing 7-May-2026 -- a real, durable balance-sheet improvement, not a flow item projected forward.
key_risks_to_valuation: Further concession/regulatory losses beyond Panama (ports and telecom are increasingly treated as critical national-security assets globally); The non-Panama global ports consortium sale (BlackRock/MSC/COSCO, ~US$22.8bn) stays stalled indefinitely or falls through, removing an expected value-crystallisation event; A.S. Watson's dual-listing IPO (targeted ~US$30bn) slips further (already flagged to 2027) or prices materially below target; Structural retail margin compression (A.S. Watson ~9% EBITDA margin segment, 41% of segment revenue) drags the consolidated blended margin below the ~27% base assumption; European telecom remains a low-return, capital-intensive, price-competitive industry despite VodafoneThree in-market consolidation; Complex proportionate-consolidation/equity-accounting structure makes the true look-through economics harder to verify than a simple consolidated peer -- the FCF-based approach here relies on the dividends-received line remaining a reasonable proxy for the JV/associate cash contribution over the forecast horizon</t>
  </si>
  <si>
    <t xml:space="preserve">Data sources</t>
  </si>
  <si>
    <t xml:space="preserve">price: Yahoo Finance chart API at inputs.price_as_of; 52-week range 49.64-74.40 HKD
financials: research/0001.HK/Reports/0001.HK_Metrics.csv (core_metrics, FY2016-FY2025 + H1 FY2023/24/25/26); research/0001.HK/Extracted/0001.HK_Annual_FY2025.txt and 0001.HK_HalfYear_H1-2026.txt consolidated statements and notes (cash flow note 34, net-debt note 4/10, segment note, ten-year summary)
qualitative: research/0001.HK/Reports/0001.HK_Analysis.json (Panama ports dispute, UK Power Networks disposal, A.S. Watson IPO plans, ports consortium sale, VodafoneThree merger)</t>
  </si>
  <si>
    <t xml:space="preserve">Scenario narrative: bear</t>
  </si>
  <si>
    <t xml:space="preserve">Geopolitical/national-security risk to ports and telecom concessions resurfaces beyond Panama, the ports consortium sale stays stalled, European telecom stays low-return, and the A.S. Watson IPO catalyst slips or disappoints -- growth stalls and margin compresses on structural retail mix shift.</t>
  </si>
  <si>
    <t xml:space="preserve">Scenario narrative: base</t>
  </si>
  <si>
    <t xml:space="preserve">Flat-to-low-single-digit organic growth across a diversified five-segment portfolio, margin held near the current ~27% level (no assumed recovery to the pre-2022 ~35-38% mix), cash tax drifting to ~21%. The Panama concession loss is already excluded from the base (occurred Feb-2026, prior to this valuation). Balance sheet materially de-levered by the UK Power Networks disposal (net debt down from HK$113.7bn at FY2025 to HK$67.5bn at H1 FY2026) -- captured in the anchor, not projected as a repeatable FCF driver.</t>
  </si>
  <si>
    <t xml:space="preserve">Scenario narrative: bull</t>
  </si>
  <si>
    <t xml:space="preserve">A.S. Watson IPO crystallises retail value on schedule, VodafoneThree and Cenovus outperform, the stalled global ports consortium sale eventually completes at full value.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</si>
  <si>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</si>
  <si>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</si>
  <si>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</si>
  <si>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</si>
  <si>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</si>
  <si>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</si>
  <si>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</si>
  <si>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</si>
  <si>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</si>
  <si>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</si>
  <si>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</si>
  <si>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</si>
  <si>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</si>
  <si>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</si>
  <si>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</si>
  <si>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</si>
  <si>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</si>
  <si>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</si>
  <si>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</si>
  <si>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</si>
  <si>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</si>
  <si>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</si>
  <si>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</si>
  <si>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</si>
  <si>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</si>
  <si>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</si>
  <si>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</si>
  <si>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</si>
  <si>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</si>
  <si>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</si>
  <si>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</si>
  <si>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</si>
  <si>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</si>
  <si>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</si>
  <si>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</si>
  <si>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</si>
  <si>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</si>
  <si>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</si>
  <si>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</si>
  <si>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</si>
  <si>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</si>
  <si>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</si>
  <si>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</si>
  <si>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</si>
  <si>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</si>
  <si>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</si>
  <si>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</si>
  <si>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</si>
  <si>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</si>
  <si>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</si>
  <si>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</si>
  <si>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</si>
  <si>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</si>
  <si>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</si>
  <si>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</si>
  <si>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</si>
  <si>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</si>
  <si>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</si>
  <si>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</si>
  <si>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</si>
  <si>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</si>
  <si>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</si>
  <si>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</si>
  <si>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</si>
  <si>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</si>
  <si>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</si>
  <si>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</si>
  <si>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</si>
  <si>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</si>
  <si>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</si>
  <si>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</si>
  <si>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</si>
  <si>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</si>
  <si>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</si>
  <si>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0001.HK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</si>
  <si>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</si>
  <si>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</si>
  <si>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</si>
  <si>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</si>
  <si>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</si>
  <si>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</si>
  <si>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</si>
  <si>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</si>
  <si>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</si>
  <si>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</si>
  <si>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</si>
  <si>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</si>
  <si>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</si>
  <si>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</si>
  <si>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</si>
  <si>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</si>
  <si>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</si>
  <si>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</si>
  <si>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</si>
  <si>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</si>
  <si>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</si>
  <si>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</si>
  <si>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</si>
  <si>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</si>
  <si>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</si>
  <si>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</si>
  <si>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</si>
  <si>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</si>
  <si>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</si>
  <si>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</si>
  <si>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0001.HK owner-FCF component DCF: base case (millions, HKD)</t>
  </si>
  <si>
    <t xml:space="preserve">0001.HK owner-FCF component DCF: bull case (millions, HKD)</t>
  </si>
  <si>
    <t xml:space="preserve">0001.HK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</si>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</sst>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67.95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259842</v>
      </c>
      <c r="I2" s="0" t="n">
        <v>33008</v>
      </c>
      <c r="J2" s="0" t="n">
        <v>12.7</v>
      </c>
      <c r="K2" s="0" t="n">
        <v>8.55</v>
      </c>
      <c r="O2" s="0" t="n">
        <v>544190</v>
      </c>
      <c r="P2" s="0" t="n">
        <v>1013465</v>
      </c>
      <c r="Q2" s="0" t="n">
        <v>469275</v>
      </c>
      <c r="R2" s="0" t="n">
        <v>235543</v>
      </c>
      <c r="T2" s="0" t="n">
        <v>3857.7</v>
      </c>
      <c r="V2" s="0" t="n">
        <v>2.68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248515</v>
      </c>
      <c r="F3" s="0" t="n">
        <v>54692</v>
      </c>
      <c r="G3" s="0" t="n">
        <v>22</v>
      </c>
      <c r="H3" s="0" t="n">
        <v>71797</v>
      </c>
      <c r="I3" s="0" t="n">
        <v>35100</v>
      </c>
      <c r="J3" s="0" t="n">
        <v>14.1</v>
      </c>
      <c r="K3" s="0" t="n">
        <v>9.1</v>
      </c>
      <c r="L3" s="0" t="n">
        <v>53596</v>
      </c>
      <c r="M3" s="0" t="n">
        <v>-23521</v>
      </c>
      <c r="N3" s="0" t="n">
        <v>30075</v>
      </c>
      <c r="O3" s="0" t="n">
        <v>591547</v>
      </c>
      <c r="P3" s="0" t="n">
        <v>1100255</v>
      </c>
      <c r="Q3" s="0" t="n">
        <v>508708</v>
      </c>
      <c r="R3" s="0" t="n">
        <v>335262</v>
      </c>
      <c r="S3" s="0" t="n">
        <v>160470</v>
      </c>
      <c r="T3" s="0" t="n">
        <v>3857.7</v>
      </c>
      <c r="V3" s="0" t="n">
        <v>2.85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277129</v>
      </c>
      <c r="F4" s="0" t="n">
        <v>58995</v>
      </c>
      <c r="G4" s="0" t="n">
        <v>21.3</v>
      </c>
      <c r="H4" s="0" t="n">
        <v>78734</v>
      </c>
      <c r="I4" s="0" t="n">
        <v>39000</v>
      </c>
      <c r="J4" s="0" t="n">
        <v>14.1</v>
      </c>
      <c r="K4" s="0" t="n">
        <v>10.11</v>
      </c>
      <c r="L4" s="0" t="n">
        <v>55734</v>
      </c>
      <c r="M4" s="0" t="n">
        <v>-27540</v>
      </c>
      <c r="N4" s="0" t="n">
        <v>28194</v>
      </c>
      <c r="O4" s="0" t="n">
        <v>590823</v>
      </c>
      <c r="P4" s="0" t="n">
        <v>1232244</v>
      </c>
      <c r="Q4" s="0" t="n">
        <v>641421</v>
      </c>
      <c r="R4" s="0" t="n">
        <v>351556</v>
      </c>
      <c r="S4" s="0" t="n">
        <v>135411</v>
      </c>
      <c r="T4" s="0" t="n">
        <v>3856.2</v>
      </c>
      <c r="V4" s="0" t="n">
        <v>3.17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299021</v>
      </c>
      <c r="F5" s="0" t="n">
        <v>68102</v>
      </c>
      <c r="G5" s="0" t="n">
        <v>22.8</v>
      </c>
      <c r="H5" s="0" t="n">
        <v>106231</v>
      </c>
      <c r="I5" s="0" t="n">
        <v>39830</v>
      </c>
      <c r="J5" s="0" t="n">
        <v>13.3</v>
      </c>
      <c r="K5" s="0" t="n">
        <v>10.33</v>
      </c>
      <c r="L5" s="0" t="n">
        <v>69270</v>
      </c>
      <c r="M5" s="0" t="n">
        <v>-32190</v>
      </c>
      <c r="N5" s="0" t="n">
        <v>37080</v>
      </c>
      <c r="O5" s="0" t="n">
        <v>596963</v>
      </c>
      <c r="P5" s="0" t="n">
        <v>1210976</v>
      </c>
      <c r="Q5" s="0" t="n">
        <v>614013</v>
      </c>
      <c r="R5" s="0" t="n">
        <v>438248</v>
      </c>
      <c r="S5" s="0" t="n">
        <v>137127</v>
      </c>
      <c r="T5" s="0" t="n">
        <v>3856.2</v>
      </c>
      <c r="V5" s="0" t="n">
        <v>3.17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266396</v>
      </c>
      <c r="F6" s="0" t="n">
        <v>52549</v>
      </c>
      <c r="G6" s="0" t="n">
        <v>19.7</v>
      </c>
      <c r="H6" s="0" t="n">
        <v>94207</v>
      </c>
      <c r="I6" s="0" t="n">
        <v>29143</v>
      </c>
      <c r="J6" s="0" t="n">
        <v>10.9</v>
      </c>
      <c r="K6" s="0" t="n">
        <v>7.56</v>
      </c>
      <c r="L6" s="0" t="n">
        <v>73171</v>
      </c>
      <c r="M6" s="0" t="n">
        <v>-27104</v>
      </c>
      <c r="N6" s="0" t="n">
        <v>46067</v>
      </c>
      <c r="O6" s="0" t="n">
        <v>630063</v>
      </c>
      <c r="P6" s="0" t="n">
        <v>1254596</v>
      </c>
      <c r="Q6" s="0" t="n">
        <v>624533</v>
      </c>
      <c r="R6" s="0" t="n">
        <v>443336</v>
      </c>
      <c r="S6" s="0" t="n">
        <v>155951</v>
      </c>
      <c r="T6" s="0" t="n">
        <v>3856.2</v>
      </c>
      <c r="V6" s="0" t="n">
        <v>2.314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280847</v>
      </c>
      <c r="F7" s="0" t="n">
        <v>53310</v>
      </c>
      <c r="G7" s="0" t="n">
        <v>19</v>
      </c>
      <c r="H7" s="0" t="n">
        <v>98566</v>
      </c>
      <c r="I7" s="0" t="n">
        <v>33484</v>
      </c>
      <c r="J7" s="0" t="n">
        <v>11.9</v>
      </c>
      <c r="K7" s="0" t="n">
        <v>8.7</v>
      </c>
      <c r="L7" s="0" t="n">
        <v>52184</v>
      </c>
      <c r="M7" s="0" t="n">
        <v>-27056</v>
      </c>
      <c r="N7" s="0" t="n">
        <v>25128</v>
      </c>
      <c r="O7" s="0" t="n">
        <v>644255</v>
      </c>
      <c r="P7" s="0" t="n">
        <v>1213526</v>
      </c>
      <c r="Q7" s="0" t="n">
        <v>569271</v>
      </c>
      <c r="R7" s="0" t="n">
        <v>410878</v>
      </c>
      <c r="S7" s="0" t="n">
        <v>153133</v>
      </c>
      <c r="T7" s="0" t="n">
        <v>3834.6</v>
      </c>
      <c r="V7" s="0" t="n">
        <v>2.66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262497</v>
      </c>
      <c r="F8" s="0" t="n">
        <v>60985</v>
      </c>
      <c r="G8" s="0" t="n">
        <v>23.2</v>
      </c>
      <c r="H8" s="0" t="n">
        <v>100773</v>
      </c>
      <c r="I8" s="0" t="n">
        <v>36680</v>
      </c>
      <c r="J8" s="0" t="n">
        <v>14</v>
      </c>
      <c r="K8" s="0" t="n">
        <v>9.57</v>
      </c>
      <c r="L8" s="0" t="n">
        <v>56714</v>
      </c>
      <c r="M8" s="0" t="n">
        <v>-23885</v>
      </c>
      <c r="N8" s="0" t="n">
        <v>32829</v>
      </c>
      <c r="O8" s="0" t="n">
        <v>647309</v>
      </c>
      <c r="P8" s="0" t="n">
        <v>1148437</v>
      </c>
      <c r="Q8" s="0" t="n">
        <v>501128</v>
      </c>
      <c r="R8" s="0" t="n">
        <v>350385</v>
      </c>
      <c r="S8" s="0" t="n">
        <v>138085</v>
      </c>
      <c r="T8" s="0" t="n">
        <v>3830</v>
      </c>
      <c r="V8" s="0" t="n">
        <v>2.926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275575</v>
      </c>
      <c r="F9" s="0" t="n">
        <v>45781</v>
      </c>
      <c r="G9" s="0" t="n">
        <v>16.6</v>
      </c>
      <c r="H9" s="0" t="n">
        <v>85864</v>
      </c>
      <c r="I9" s="0" t="n">
        <v>23839</v>
      </c>
      <c r="J9" s="0" t="n">
        <v>8.7</v>
      </c>
      <c r="K9" s="0" t="n">
        <v>6.22</v>
      </c>
      <c r="L9" s="0" t="n">
        <v>51437</v>
      </c>
      <c r="M9" s="0" t="n">
        <v>-21670</v>
      </c>
      <c r="N9" s="0" t="n">
        <v>29767</v>
      </c>
      <c r="O9" s="0" t="n">
        <v>670549</v>
      </c>
      <c r="P9" s="0" t="n">
        <v>1158903</v>
      </c>
      <c r="Q9" s="0" t="n">
        <v>488354</v>
      </c>
      <c r="R9" s="0" t="n">
        <v>339845</v>
      </c>
      <c r="S9" s="0" t="n">
        <v>127323</v>
      </c>
      <c r="T9" s="0" t="n">
        <v>3830</v>
      </c>
      <c r="V9" s="0" t="n">
        <v>2.531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281351</v>
      </c>
      <c r="F10" s="0" t="n">
        <v>41962</v>
      </c>
      <c r="G10" s="0" t="n">
        <v>14.9</v>
      </c>
      <c r="H10" s="0" t="n">
        <v>82422</v>
      </c>
      <c r="I10" s="0" t="n">
        <v>17088</v>
      </c>
      <c r="J10" s="0" t="n">
        <v>6.1</v>
      </c>
      <c r="K10" s="0" t="n">
        <v>4.46</v>
      </c>
      <c r="L10" s="0" t="n">
        <v>54228</v>
      </c>
      <c r="M10" s="0" t="n">
        <v>-20365</v>
      </c>
      <c r="N10" s="0" t="n">
        <v>33863</v>
      </c>
      <c r="O10" s="0" t="n">
        <v>652592</v>
      </c>
      <c r="P10" s="0" t="n">
        <v>1112542</v>
      </c>
      <c r="Q10" s="0" t="n">
        <v>459950</v>
      </c>
      <c r="R10" s="0" t="n">
        <v>320911</v>
      </c>
      <c r="S10" s="0" t="n">
        <v>121303</v>
      </c>
      <c r="T10" s="0" t="n">
        <v>3830</v>
      </c>
      <c r="V10" s="0" t="n">
        <v>2.202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280036</v>
      </c>
      <c r="F11" s="0" t="n">
        <v>38934</v>
      </c>
      <c r="G11" s="0" t="n">
        <v>13.9</v>
      </c>
      <c r="H11" s="0" t="n">
        <v>77325</v>
      </c>
      <c r="I11" s="0" t="n">
        <v>11841</v>
      </c>
      <c r="J11" s="0" t="n">
        <v>4.2</v>
      </c>
      <c r="K11" s="0" t="n">
        <v>3.09</v>
      </c>
      <c r="L11" s="0" t="n">
        <v>62567</v>
      </c>
      <c r="M11" s="0" t="n">
        <v>-18743</v>
      </c>
      <c r="N11" s="0" t="n">
        <v>43824</v>
      </c>
      <c r="O11" s="0" t="n">
        <v>688392</v>
      </c>
      <c r="P11" s="0" t="n">
        <v>1155673</v>
      </c>
      <c r="Q11" s="0" t="n">
        <v>467281</v>
      </c>
      <c r="R11" s="0" t="n">
        <v>330089</v>
      </c>
      <c r="S11" s="0" t="n">
        <v>143748</v>
      </c>
      <c r="T11" s="0" t="n">
        <v>3830</v>
      </c>
      <c r="V11" s="0" t="n">
        <v>2.312</v>
      </c>
      <c r="AA11" s="0" t="s">
        <v>17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67.95</v>
      </c>
    </row>
    <row r="3" customFormat="false" ht="15" hidden="false" customHeight="false" outlineLevel="0" collapsed="false">
      <c r="A3" s="0" t="s">
        <v>76</v>
      </c>
      <c r="B3" s="3" t="n">
        <v>3830</v>
      </c>
    </row>
    <row r="4" customFormat="false" ht="15" hidden="false" customHeight="false" outlineLevel="0" collapsed="false">
      <c r="A4" s="0" t="s">
        <v>77</v>
      </c>
      <c r="B4" s="3" t="n">
        <v>67510</v>
      </c>
    </row>
    <row r="5" customFormat="false" ht="15" hidden="false" customHeight="false" outlineLevel="0" collapsed="false">
      <c r="A5" s="0" t="s">
        <v>78</v>
      </c>
      <c r="B5" s="3" t="n">
        <v>-67424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280036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-1</v>
      </c>
      <c r="D13" s="3" t="n">
        <v>0</v>
      </c>
      <c r="E13" s="3" t="n">
        <v>0.5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97</v>
      </c>
      <c r="C14" s="3" t="n">
        <v>26</v>
      </c>
      <c r="D14" s="3" t="n">
        <v>25</v>
      </c>
      <c r="E14" s="3" t="n">
        <v>24.5</v>
      </c>
      <c r="F14" s="3" t="n">
        <v>24.5</v>
      </c>
      <c r="G14" s="3" t="n">
        <v>24.5</v>
      </c>
      <c r="H14" s="3" t="n">
        <v>24.5</v>
      </c>
      <c r="I14" s="3" t="n">
        <v>24.5</v>
      </c>
      <c r="J14" s="3" t="n">
        <v>24.5</v>
      </c>
      <c r="K14" s="3" t="n">
        <v>24.5</v>
      </c>
      <c r="L14" s="3" t="n">
        <v>24.5</v>
      </c>
    </row>
    <row r="15" customFormat="false" ht="15" hidden="false" customHeight="false" outlineLevel="0" collapsed="false">
      <c r="A15" s="0" t="s">
        <v>98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14.2</v>
      </c>
      <c r="D17" s="3" t="n">
        <v>14.3</v>
      </c>
      <c r="E17" s="3" t="n">
        <v>14.3</v>
      </c>
      <c r="F17" s="3" t="n">
        <v>14.3</v>
      </c>
      <c r="G17" s="3" t="n">
        <v>14.3</v>
      </c>
      <c r="H17" s="3" t="n">
        <v>14.3</v>
      </c>
      <c r="I17" s="3" t="n">
        <v>14.3</v>
      </c>
      <c r="J17" s="3" t="n">
        <v>14.3</v>
      </c>
      <c r="K17" s="3" t="n">
        <v>14.3</v>
      </c>
      <c r="L17" s="3" t="n">
        <v>14.3</v>
      </c>
    </row>
    <row r="18" customFormat="false" ht="15" hidden="false" customHeight="false" outlineLevel="0" collapsed="false">
      <c r="A18" s="0" t="s">
        <v>101</v>
      </c>
      <c r="C18" s="3" t="n">
        <v>7.5</v>
      </c>
      <c r="D18" s="3" t="n">
        <v>7.5</v>
      </c>
      <c r="E18" s="3" t="n">
        <v>7.5</v>
      </c>
      <c r="F18" s="3" t="n">
        <v>7.5</v>
      </c>
      <c r="G18" s="3" t="n">
        <v>7.5</v>
      </c>
      <c r="H18" s="3" t="n">
        <v>7.5</v>
      </c>
      <c r="I18" s="3" t="n">
        <v>7.5</v>
      </c>
      <c r="J18" s="3" t="n">
        <v>7.5</v>
      </c>
      <c r="K18" s="3" t="n">
        <v>7.5</v>
      </c>
      <c r="L18" s="3" t="n">
        <v>7.5</v>
      </c>
    </row>
    <row r="19" customFormat="false" ht="15" hidden="false" customHeight="false" outlineLevel="0" collapsed="false">
      <c r="A19" s="0" t="s">
        <v>102</v>
      </c>
      <c r="C19" s="3" t="n">
        <v>21.5</v>
      </c>
      <c r="D19" s="3" t="n">
        <v>22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103</v>
      </c>
      <c r="B20" s="3" t="n">
        <v>8.5</v>
      </c>
    </row>
    <row r="21" customFormat="false" ht="15" hidden="false" customHeight="false" outlineLevel="0" collapsed="false">
      <c r="A21" s="0" t="s">
        <v>104</v>
      </c>
      <c r="B21" s="3" t="n">
        <v>1.5</v>
      </c>
    </row>
    <row r="22" customFormat="false" ht="15" hidden="false" customHeight="false" outlineLevel="0" collapsed="false">
      <c r="A22" s="0" t="s">
        <v>105</v>
      </c>
      <c r="B22" s="3" t="n">
        <v>10</v>
      </c>
    </row>
    <row r="23" customFormat="false" ht="15" hidden="false" customHeight="false" outlineLevel="0" collapsed="false">
      <c r="A23" s="0" t="s">
        <v>106</v>
      </c>
      <c r="B23" s="3" t="n">
        <v>0</v>
      </c>
    </row>
    <row r="24" customFormat="false" ht="15" hidden="false" customHeight="false" outlineLevel="0" collapsed="false">
      <c r="A24" s="0" t="s">
        <v>107</v>
      </c>
      <c r="B24" s="3" t="n">
        <v>0.3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1.5</v>
      </c>
      <c r="D27" s="3" t="n">
        <v>1.5</v>
      </c>
      <c r="E27" s="3" t="n">
        <v>2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97</v>
      </c>
      <c r="C28" s="3" t="n">
        <v>27.5</v>
      </c>
      <c r="D28" s="3" t="n">
        <v>27.3</v>
      </c>
      <c r="E28" s="3" t="n">
        <v>27.2</v>
      </c>
      <c r="F28" s="3" t="n">
        <v>27</v>
      </c>
      <c r="G28" s="3" t="n">
        <v>27</v>
      </c>
      <c r="H28" s="3" t="n">
        <v>27</v>
      </c>
      <c r="I28" s="3" t="n">
        <v>27</v>
      </c>
      <c r="J28" s="3" t="n">
        <v>27</v>
      </c>
      <c r="K28" s="3" t="n">
        <v>27</v>
      </c>
      <c r="L28" s="3" t="n">
        <v>27</v>
      </c>
    </row>
    <row r="29" customFormat="false" ht="15" hidden="false" customHeight="false" outlineLevel="0" collapsed="false">
      <c r="A29" s="0" t="s">
        <v>98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13.7</v>
      </c>
      <c r="D31" s="3" t="n">
        <v>13.6</v>
      </c>
      <c r="E31" s="3" t="n">
        <v>13.5</v>
      </c>
      <c r="F31" s="3" t="n">
        <v>13.5</v>
      </c>
      <c r="G31" s="3" t="n">
        <v>13.4</v>
      </c>
      <c r="H31" s="3" t="n">
        <v>13.4</v>
      </c>
      <c r="I31" s="3" t="n">
        <v>13.3</v>
      </c>
      <c r="J31" s="3" t="n">
        <v>13.3</v>
      </c>
      <c r="K31" s="3" t="n">
        <v>13.3</v>
      </c>
      <c r="L31" s="3" t="n">
        <v>13.3</v>
      </c>
    </row>
    <row r="32" customFormat="false" ht="15" hidden="false" customHeight="false" outlineLevel="0" collapsed="false">
      <c r="A32" s="0" t="s">
        <v>101</v>
      </c>
      <c r="C32" s="3" t="n">
        <v>7</v>
      </c>
      <c r="D32" s="3" t="n">
        <v>7</v>
      </c>
      <c r="E32" s="3" t="n">
        <v>7</v>
      </c>
      <c r="F32" s="3" t="n">
        <v>7</v>
      </c>
      <c r="G32" s="3" t="n">
        <v>7</v>
      </c>
      <c r="H32" s="3" t="n">
        <v>7</v>
      </c>
      <c r="I32" s="3" t="n">
        <v>7</v>
      </c>
      <c r="J32" s="3" t="n">
        <v>7</v>
      </c>
      <c r="K32" s="3" t="n">
        <v>7</v>
      </c>
      <c r="L32" s="3" t="n">
        <v>7</v>
      </c>
    </row>
    <row r="33" customFormat="false" ht="15" hidden="false" customHeight="false" outlineLevel="0" collapsed="false">
      <c r="A33" s="0" t="s">
        <v>102</v>
      </c>
      <c r="C33" s="3" t="n">
        <v>20.5</v>
      </c>
      <c r="D33" s="3" t="n">
        <v>20.5</v>
      </c>
      <c r="E33" s="3" t="n">
        <v>20.7</v>
      </c>
      <c r="F33" s="3" t="n">
        <v>20.9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103</v>
      </c>
      <c r="B34" s="3" t="n">
        <v>8.5</v>
      </c>
    </row>
    <row r="35" customFormat="false" ht="15" hidden="false" customHeight="false" outlineLevel="0" collapsed="false">
      <c r="A35" s="0" t="s">
        <v>104</v>
      </c>
      <c r="B35" s="3" t="n">
        <v>2</v>
      </c>
    </row>
    <row r="36" customFormat="false" ht="15" hidden="false" customHeight="false" outlineLevel="0" collapsed="false">
      <c r="A36" s="0" t="s">
        <v>105</v>
      </c>
      <c r="B36" s="3" t="n">
        <v>12</v>
      </c>
    </row>
    <row r="37" customFormat="false" ht="15" hidden="false" customHeight="false" outlineLevel="0" collapsed="false">
      <c r="A37" s="0" t="s">
        <v>106</v>
      </c>
      <c r="B37" s="3" t="n">
        <v>0</v>
      </c>
    </row>
    <row r="38" customFormat="false" ht="15" hidden="false" customHeight="false" outlineLevel="0" collapsed="false">
      <c r="A38" s="0" t="s">
        <v>107</v>
      </c>
      <c r="B38" s="3" t="n">
        <v>0.45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3</v>
      </c>
      <c r="D41" s="3" t="n">
        <v>3.5</v>
      </c>
      <c r="E41" s="3" t="n">
        <v>4</v>
      </c>
      <c r="F41" s="3" t="n">
        <v>4</v>
      </c>
      <c r="G41" s="3" t="n">
        <v>4</v>
      </c>
      <c r="H41" s="3" t="n">
        <v>3.5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28</v>
      </c>
      <c r="D42" s="3" t="n">
        <v>28.5</v>
      </c>
      <c r="E42" s="3" t="n">
        <v>29</v>
      </c>
      <c r="F42" s="3" t="n">
        <v>29.5</v>
      </c>
      <c r="G42" s="3" t="n">
        <v>30</v>
      </c>
      <c r="H42" s="3" t="n">
        <v>30</v>
      </c>
      <c r="I42" s="3" t="n">
        <v>30</v>
      </c>
      <c r="J42" s="3" t="n">
        <v>30</v>
      </c>
      <c r="K42" s="3" t="n">
        <v>30</v>
      </c>
      <c r="L42" s="3" t="n">
        <v>30</v>
      </c>
    </row>
    <row r="43" customFormat="false" ht="15" hidden="false" customHeight="false" outlineLevel="0" collapsed="false">
      <c r="A43" s="0" t="s">
        <v>98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13.5</v>
      </c>
      <c r="D45" s="3" t="n">
        <v>13.3</v>
      </c>
      <c r="E45" s="3" t="n">
        <v>13.2</v>
      </c>
      <c r="F45" s="3" t="n">
        <v>13</v>
      </c>
      <c r="G45" s="3" t="n">
        <v>13</v>
      </c>
      <c r="H45" s="3" t="n">
        <v>12.8</v>
      </c>
      <c r="I45" s="3" t="n">
        <v>12.8</v>
      </c>
      <c r="J45" s="3" t="n">
        <v>12.7</v>
      </c>
      <c r="K45" s="3" t="n">
        <v>12.7</v>
      </c>
      <c r="L45" s="3" t="n">
        <v>12.7</v>
      </c>
    </row>
    <row r="46" customFormat="false" ht="15" hidden="false" customHeight="false" outlineLevel="0" collapsed="false">
      <c r="A46" s="0" t="s">
        <v>101</v>
      </c>
      <c r="C46" s="3" t="n">
        <v>6.8</v>
      </c>
      <c r="D46" s="3" t="n">
        <v>6.8</v>
      </c>
      <c r="E46" s="3" t="n">
        <v>6.8</v>
      </c>
      <c r="F46" s="3" t="n">
        <v>6.8</v>
      </c>
      <c r="G46" s="3" t="n">
        <v>6.8</v>
      </c>
      <c r="H46" s="3" t="n">
        <v>6.8</v>
      </c>
      <c r="I46" s="3" t="n">
        <v>6.8</v>
      </c>
      <c r="J46" s="3" t="n">
        <v>6.8</v>
      </c>
      <c r="K46" s="3" t="n">
        <v>6.8</v>
      </c>
      <c r="L46" s="3" t="n">
        <v>6.8</v>
      </c>
    </row>
    <row r="47" customFormat="false" ht="15" hidden="false" customHeight="false" outlineLevel="0" collapsed="false">
      <c r="A47" s="0" t="s">
        <v>102</v>
      </c>
      <c r="C47" s="3" t="n">
        <v>20</v>
      </c>
      <c r="D47" s="3" t="n">
        <v>20</v>
      </c>
      <c r="E47" s="3" t="n">
        <v>20</v>
      </c>
      <c r="F47" s="3" t="n">
        <v>20</v>
      </c>
      <c r="G47" s="3" t="n">
        <v>20.5</v>
      </c>
      <c r="H47" s="3" t="n">
        <v>20.5</v>
      </c>
      <c r="I47" s="3" t="n">
        <v>20.5</v>
      </c>
      <c r="J47" s="3" t="n">
        <v>20.5</v>
      </c>
      <c r="K47" s="3" t="n">
        <v>20.5</v>
      </c>
      <c r="L47" s="3" t="n">
        <v>20.5</v>
      </c>
    </row>
    <row r="48" customFormat="false" ht="15" hidden="false" customHeight="false" outlineLevel="0" collapsed="false">
      <c r="A48" s="0" t="s">
        <v>103</v>
      </c>
      <c r="B48" s="3" t="n">
        <v>8</v>
      </c>
    </row>
    <row r="49" customFormat="false" ht="15" hidden="false" customHeight="false" outlineLevel="0" collapsed="false">
      <c r="A49" s="0" t="s">
        <v>104</v>
      </c>
      <c r="B49" s="3" t="n">
        <v>2.5</v>
      </c>
    </row>
    <row r="50" customFormat="false" ht="15" hidden="false" customHeight="false" outlineLevel="0" collapsed="false">
      <c r="A50" s="0" t="s">
        <v>105</v>
      </c>
      <c r="B50" s="3" t="n">
        <v>13</v>
      </c>
    </row>
    <row r="51" customFormat="false" ht="15" hidden="false" customHeight="false" outlineLevel="0" collapsed="false">
      <c r="A51" s="0" t="s">
        <v>106</v>
      </c>
      <c r="B51" s="3" t="n">
        <v>0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-1</v>
      </c>
      <c r="D5" s="4" t="n">
        <f aca="false">Assumptions!D13</f>
        <v>0</v>
      </c>
      <c r="E5" s="4" t="n">
        <f aca="false">Assumptions!E13</f>
        <v>0.5</v>
      </c>
      <c r="F5" s="4" t="n">
        <f aca="false">Assumptions!F13</f>
        <v>1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280036</v>
      </c>
      <c r="C6" s="0" t="n">
        <f aca="false">B6*(1+C5/100)</f>
        <v>277235.64</v>
      </c>
      <c r="D6" s="0" t="n">
        <f aca="false">C6*(1+D5/100)</f>
        <v>277235.64</v>
      </c>
      <c r="E6" s="0" t="n">
        <f aca="false">D6*(1+E5/100)</f>
        <v>278621.8182</v>
      </c>
      <c r="F6" s="0" t="n">
        <f aca="false">E6*(1+F5/100)</f>
        <v>281408.036382</v>
      </c>
      <c r="G6" s="0" t="n">
        <f aca="false">F6*(1+G5/100)</f>
        <v>284222.11674582</v>
      </c>
      <c r="H6" s="0" t="n">
        <f aca="false">G6*(1+H5/100)</f>
        <v>287064.337913278</v>
      </c>
      <c r="I6" s="0" t="n">
        <f aca="false">H6*(1+I5/100)</f>
        <v>289934.981292411</v>
      </c>
      <c r="J6" s="0" t="n">
        <f aca="false">I6*(1+J5/100)</f>
        <v>292834.331105335</v>
      </c>
      <c r="K6" s="0" t="n">
        <f aca="false">J6*(1+K5/100)</f>
        <v>295762.674416388</v>
      </c>
      <c r="L6" s="0" t="n">
        <f aca="false">K6*(1+L5/100)</f>
        <v>298720.301160552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26</v>
      </c>
      <c r="D7" s="4" t="n">
        <f aca="false">Assumptions!D14</f>
        <v>25</v>
      </c>
      <c r="E7" s="4" t="n">
        <f aca="false">Assumptions!E14</f>
        <v>24.5</v>
      </c>
      <c r="F7" s="4" t="n">
        <f aca="false">Assumptions!F14</f>
        <v>24.5</v>
      </c>
      <c r="G7" s="4" t="n">
        <f aca="false">Assumptions!G14</f>
        <v>24.5</v>
      </c>
      <c r="H7" s="4" t="n">
        <f aca="false">Assumptions!H14</f>
        <v>24.5</v>
      </c>
      <c r="I7" s="4" t="n">
        <f aca="false">Assumptions!I14</f>
        <v>24.5</v>
      </c>
      <c r="J7" s="4" t="n">
        <f aca="false">Assumptions!J14</f>
        <v>24.5</v>
      </c>
      <c r="K7" s="4" t="n">
        <f aca="false">Assumptions!K14</f>
        <v>24.5</v>
      </c>
      <c r="L7" s="4" t="n">
        <f aca="false">Assumptions!L14</f>
        <v>24.5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72081.2664</v>
      </c>
      <c r="D8" s="0" t="n">
        <f aca="false">D6*D7/100</f>
        <v>69308.91</v>
      </c>
      <c r="E8" s="0" t="n">
        <f aca="false">E6*E7/100</f>
        <v>68262.345459</v>
      </c>
      <c r="F8" s="0" t="n">
        <f aca="false">F6*F7/100</f>
        <v>68944.96891359</v>
      </c>
      <c r="G8" s="0" t="n">
        <f aca="false">G6*G7/100</f>
        <v>69634.4186027259</v>
      </c>
      <c r="H8" s="0" t="n">
        <f aca="false">H6*H7/100</f>
        <v>70330.7627887532</v>
      </c>
      <c r="I8" s="0" t="n">
        <f aca="false">I6*I7/100</f>
        <v>71034.0704166407</v>
      </c>
      <c r="J8" s="0" t="n">
        <f aca="false">J6*J7/100</f>
        <v>71744.4111208071</v>
      </c>
      <c r="K8" s="0" t="n">
        <f aca="false">K6*K7/100</f>
        <v>72461.8552320152</v>
      </c>
      <c r="L8" s="0" t="n">
        <f aca="false">L6*L7/100</f>
        <v>73186.4737843353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72081.2664</v>
      </c>
      <c r="D11" s="0" t="n">
        <f aca="false">D8+D10+D24</f>
        <v>69308.91</v>
      </c>
      <c r="E11" s="0" t="n">
        <f aca="false">E8+E10+E24</f>
        <v>68262.345459</v>
      </c>
      <c r="F11" s="0" t="n">
        <f aca="false">F8+F10+F24</f>
        <v>68944.96891359</v>
      </c>
      <c r="G11" s="0" t="n">
        <f aca="false">G8+G10+G24</f>
        <v>69634.4186027259</v>
      </c>
      <c r="H11" s="0" t="n">
        <f aca="false">H8+H10+H24</f>
        <v>70330.7627887532</v>
      </c>
      <c r="I11" s="0" t="n">
        <f aca="false">I8+I10+I24</f>
        <v>71034.0704166407</v>
      </c>
      <c r="J11" s="0" t="n">
        <f aca="false">J8+J10+J24</f>
        <v>71744.4111208071</v>
      </c>
      <c r="K11" s="0" t="n">
        <f aca="false">K8+K10+K24</f>
        <v>72461.8552320152</v>
      </c>
      <c r="L11" s="0" t="n">
        <f aca="false">L8+L10+L24</f>
        <v>73186.4737843353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-39367.46088</v>
      </c>
      <c r="D12" s="4" t="n">
        <f aca="false">-D6*Assumptions!D17/100</f>
        <v>-39644.69652</v>
      </c>
      <c r="E12" s="4" t="n">
        <f aca="false">-E6*Assumptions!E17/100</f>
        <v>-39842.9200026</v>
      </c>
      <c r="F12" s="4" t="n">
        <f aca="false">-F6*Assumptions!F17/100</f>
        <v>-40241.349202626</v>
      </c>
      <c r="G12" s="4" t="n">
        <f aca="false">-G6*Assumptions!G17/100</f>
        <v>-40643.7626946523</v>
      </c>
      <c r="H12" s="4" t="n">
        <f aca="false">-H6*Assumptions!H17/100</f>
        <v>-41050.2003215988</v>
      </c>
      <c r="I12" s="4" t="n">
        <f aca="false">-I6*Assumptions!I17/100</f>
        <v>-41460.7023248148</v>
      </c>
      <c r="J12" s="4" t="n">
        <f aca="false">-J6*Assumptions!J17/100</f>
        <v>-41875.3093480629</v>
      </c>
      <c r="K12" s="4" t="n">
        <f aca="false">-K6*Assumptions!K17/100</f>
        <v>-42294.0624415435</v>
      </c>
      <c r="L12" s="4" t="n">
        <f aca="false">-L6*Assumptions!L17/100</f>
        <v>-42717.003065959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32713.80552</v>
      </c>
      <c r="D13" s="0" t="n">
        <f aca="false">D11+D12</f>
        <v>29664.21348</v>
      </c>
      <c r="E13" s="0" t="n">
        <f aca="false">E11+E12</f>
        <v>28419.4254564</v>
      </c>
      <c r="F13" s="0" t="n">
        <f aca="false">F11+F12</f>
        <v>28703.619710964</v>
      </c>
      <c r="G13" s="0" t="n">
        <f aca="false">G11+G12</f>
        <v>28990.6559080736</v>
      </c>
      <c r="H13" s="0" t="n">
        <f aca="false">H11+H12</f>
        <v>29280.5624671544</v>
      </c>
      <c r="I13" s="0" t="n">
        <f aca="false">I11+I12</f>
        <v>29573.3680918259</v>
      </c>
      <c r="J13" s="0" t="n">
        <f aca="false">J11+J12</f>
        <v>29869.1017727442</v>
      </c>
      <c r="K13" s="0" t="n">
        <f aca="false">K11+K12</f>
        <v>30167.7927904716</v>
      </c>
      <c r="L13" s="0" t="n">
        <f aca="false">L11+L12</f>
        <v>30469.4707183763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21.5</v>
      </c>
      <c r="D14" s="4" t="n">
        <f aca="false">Assumptions!D19</f>
        <v>22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25680.3373332</v>
      </c>
      <c r="D15" s="0" t="n">
        <f aca="false">D13-MAX(0,D13)*D14/100</f>
        <v>23138.0865144</v>
      </c>
      <c r="E15" s="0" t="n">
        <f aca="false">E13-MAX(0,E13)*E14/100</f>
        <v>22167.151855992</v>
      </c>
      <c r="F15" s="0" t="n">
        <f aca="false">F13-MAX(0,F13)*F14/100</f>
        <v>22388.8233745519</v>
      </c>
      <c r="G15" s="0" t="n">
        <f aca="false">G13-MAX(0,G13)*G14/100</f>
        <v>22612.7116082974</v>
      </c>
      <c r="H15" s="0" t="n">
        <f aca="false">H13-MAX(0,H13)*H14/100</f>
        <v>22838.8387243804</v>
      </c>
      <c r="I15" s="0" t="n">
        <f aca="false">I13-MAX(0,I13)*I14/100</f>
        <v>23067.2271116242</v>
      </c>
      <c r="J15" s="0" t="n">
        <f aca="false">J13-MAX(0,J13)*J14/100</f>
        <v>23297.8993827405</v>
      </c>
      <c r="K15" s="0" t="n">
        <f aca="false">K13-MAX(0,K13)*K14/100</f>
        <v>23530.8783765679</v>
      </c>
      <c r="L15" s="0" t="n">
        <f aca="false">L13-MAX(0,L13)*L14/100</f>
        <v>23766.1871603335</v>
      </c>
    </row>
    <row r="16" customFormat="false" ht="15" hidden="false" customHeight="false" outlineLevel="0" collapsed="false">
      <c r="A16" s="0" t="s">
        <v>118</v>
      </c>
      <c r="C16" s="0" t="n">
        <f aca="false">-C12</f>
        <v>39367.46088</v>
      </c>
      <c r="D16" s="0" t="n">
        <f aca="false">-D12</f>
        <v>39644.69652</v>
      </c>
      <c r="E16" s="0" t="n">
        <f aca="false">-E12</f>
        <v>39842.9200026</v>
      </c>
      <c r="F16" s="0" t="n">
        <f aca="false">-F12</f>
        <v>40241.349202626</v>
      </c>
      <c r="G16" s="0" t="n">
        <f aca="false">-G12</f>
        <v>40643.7626946523</v>
      </c>
      <c r="H16" s="0" t="n">
        <f aca="false">-H12</f>
        <v>41050.2003215988</v>
      </c>
      <c r="I16" s="0" t="n">
        <f aca="false">-I12</f>
        <v>41460.7023248148</v>
      </c>
      <c r="J16" s="0" t="n">
        <f aca="false">-J12</f>
        <v>41875.3093480629</v>
      </c>
      <c r="K16" s="0" t="n">
        <f aca="false">-K12</f>
        <v>42294.0624415435</v>
      </c>
      <c r="L16" s="0" t="n">
        <f aca="false">-L12</f>
        <v>42717.003065959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-20792.673</v>
      </c>
      <c r="D17" s="4" t="n">
        <f aca="false">-D6*Assumptions!D18/100</f>
        <v>-20792.673</v>
      </c>
      <c r="E17" s="4" t="n">
        <f aca="false">-E6*Assumptions!E18/100</f>
        <v>-20896.636365</v>
      </c>
      <c r="F17" s="4" t="n">
        <f aca="false">-F6*Assumptions!F18/100</f>
        <v>-21105.60272865</v>
      </c>
      <c r="G17" s="4" t="n">
        <f aca="false">-G6*Assumptions!G18/100</f>
        <v>-21316.6587559365</v>
      </c>
      <c r="H17" s="4" t="n">
        <f aca="false">-H6*Assumptions!H18/100</f>
        <v>-21529.8253434959</v>
      </c>
      <c r="I17" s="4" t="n">
        <f aca="false">-I6*Assumptions!I18/100</f>
        <v>-21745.1235969308</v>
      </c>
      <c r="J17" s="4" t="n">
        <f aca="false">-J6*Assumptions!J18/100</f>
        <v>-21962.5748329001</v>
      </c>
      <c r="K17" s="4" t="n">
        <f aca="false">-K6*Assumptions!K18/100</f>
        <v>-22182.2005812291</v>
      </c>
      <c r="L17" s="4" t="n">
        <f aca="false">-L6*Assumptions!L18/100</f>
        <v>-22404.0225870414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44255.1252132</v>
      </c>
      <c r="D19" s="0" t="n">
        <f aca="false">D15+D16+D17+D18</f>
        <v>41990.1100344</v>
      </c>
      <c r="E19" s="0" t="n">
        <f aca="false">E15+E16+E17+E18</f>
        <v>41113.435493592</v>
      </c>
      <c r="F19" s="0" t="n">
        <f aca="false">F15+F16+F17+F18</f>
        <v>41524.5698485279</v>
      </c>
      <c r="G19" s="0" t="n">
        <f aca="false">G15+G16+G17+G18</f>
        <v>41939.8155470132</v>
      </c>
      <c r="H19" s="0" t="n">
        <f aca="false">H15+H16+H17+H18</f>
        <v>42359.2137024833</v>
      </c>
      <c r="I19" s="0" t="n">
        <f aca="false">I15+I16+I17+I18</f>
        <v>42782.8058395082</v>
      </c>
      <c r="J19" s="0" t="n">
        <f aca="false">J15+J16+J17+J18</f>
        <v>43210.6338979032</v>
      </c>
      <c r="K19" s="0" t="n">
        <f aca="false">K15+K16+K17+K18</f>
        <v>43642.7402368823</v>
      </c>
      <c r="L19" s="0" t="n">
        <f aca="false">L15+L16+L17+L18</f>
        <v>44079.1676392511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40788.1338370507</v>
      </c>
      <c r="D21" s="0" t="n">
        <f aca="false">D19*D20</f>
        <v>35668.7209619232</v>
      </c>
      <c r="E21" s="0" t="n">
        <f aca="false">E19*E20</f>
        <v>32188.0416022426</v>
      </c>
      <c r="F21" s="0" t="n">
        <f aca="false">F19*F20</f>
        <v>29963.0617679862</v>
      </c>
      <c r="G21" s="0" t="n">
        <f aca="false">G19*G20</f>
        <v>27891.8823831023</v>
      </c>
      <c r="H21" s="0" t="n">
        <f aca="false">H19*H20</f>
        <v>25963.8720801229</v>
      </c>
      <c r="I21" s="0" t="n">
        <f aca="false">I19*I20</f>
        <v>24169.1343787319</v>
      </c>
      <c r="J21" s="0" t="n">
        <f aca="false">J19*J20</f>
        <v>22498.4568871145</v>
      </c>
      <c r="K21" s="0" t="n">
        <f aca="false">K19*K20</f>
        <v>20943.2640147333</v>
      </c>
      <c r="L21" s="0" t="n">
        <f aca="false">L19*L20</f>
        <v>19495.5729538071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279570.140866815</v>
      </c>
    </row>
    <row r="31" customFormat="false" ht="15" hidden="false" customHeight="false" outlineLevel="0" collapsed="false">
      <c r="A31" s="0" t="s">
        <v>127</v>
      </c>
      <c r="B31" s="0" t="n">
        <f aca="false">L19</f>
        <v>44079.1676392511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639147.930769141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440791.676392511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440791.676392511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194955.729538071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474525.870404885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339591.870404885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88.6662847010144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0.304875418705142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88.6662847010144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331410.038176592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41.9500897161777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1.5</v>
      </c>
      <c r="D5" s="4" t="n">
        <f aca="false">Assumptions!D27</f>
        <v>1.5</v>
      </c>
      <c r="E5" s="4" t="n">
        <f aca="false">Assumptions!E27</f>
        <v>2</v>
      </c>
      <c r="F5" s="4" t="n">
        <f aca="false">Assumptions!F27</f>
        <v>2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280036</v>
      </c>
      <c r="C6" s="0" t="n">
        <f aca="false">B6*(1+C5/100)</f>
        <v>284236.54</v>
      </c>
      <c r="D6" s="0" t="n">
        <f aca="false">C6*(1+D5/100)</f>
        <v>288500.0881</v>
      </c>
      <c r="E6" s="0" t="n">
        <f aca="false">D6*(1+E5/100)</f>
        <v>294270.089862</v>
      </c>
      <c r="F6" s="0" t="n">
        <f aca="false">E6*(1+F5/100)</f>
        <v>300155.49165924</v>
      </c>
      <c r="G6" s="0" t="n">
        <f aca="false">F6*(1+G5/100)</f>
        <v>306158.601492425</v>
      </c>
      <c r="H6" s="0" t="n">
        <f aca="false">G6*(1+H5/100)</f>
        <v>312281.773522273</v>
      </c>
      <c r="I6" s="0" t="n">
        <f aca="false">H6*(1+I5/100)</f>
        <v>318527.408992719</v>
      </c>
      <c r="J6" s="0" t="n">
        <f aca="false">I6*(1+J5/100)</f>
        <v>324897.957172573</v>
      </c>
      <c r="K6" s="0" t="n">
        <f aca="false">J6*(1+K5/100)</f>
        <v>331395.916316025</v>
      </c>
      <c r="L6" s="0" t="n">
        <f aca="false">K6*(1+L5/100)</f>
        <v>338023.834642345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27.5</v>
      </c>
      <c r="D7" s="4" t="n">
        <f aca="false">Assumptions!D28</f>
        <v>27.3</v>
      </c>
      <c r="E7" s="4" t="n">
        <f aca="false">Assumptions!E28</f>
        <v>27.2</v>
      </c>
      <c r="F7" s="4" t="n">
        <f aca="false">Assumptions!F28</f>
        <v>27</v>
      </c>
      <c r="G7" s="4" t="n">
        <f aca="false">Assumptions!G28</f>
        <v>27</v>
      </c>
      <c r="H7" s="4" t="n">
        <f aca="false">Assumptions!H28</f>
        <v>27</v>
      </c>
      <c r="I7" s="4" t="n">
        <f aca="false">Assumptions!I28</f>
        <v>27</v>
      </c>
      <c r="J7" s="4" t="n">
        <f aca="false">Assumptions!J28</f>
        <v>27</v>
      </c>
      <c r="K7" s="4" t="n">
        <f aca="false">Assumptions!K28</f>
        <v>27</v>
      </c>
      <c r="L7" s="4" t="n">
        <f aca="false">Assumptions!L28</f>
        <v>27</v>
      </c>
    </row>
    <row r="8" customFormat="false" ht="15" hidden="false" customHeight="false" outlineLevel="0" collapsed="false">
      <c r="A8" s="0" t="s">
        <v>43</v>
      </c>
      <c r="C8" s="0" t="n">
        <f aca="false">C6*C7/100</f>
        <v>78165.0485</v>
      </c>
      <c r="D8" s="0" t="n">
        <f aca="false">D6*D7/100</f>
        <v>78760.5240513</v>
      </c>
      <c r="E8" s="0" t="n">
        <f aca="false">E6*E7/100</f>
        <v>80041.464442464</v>
      </c>
      <c r="F8" s="0" t="n">
        <f aca="false">F6*F7/100</f>
        <v>81041.9827479948</v>
      </c>
      <c r="G8" s="0" t="n">
        <f aca="false">G6*G7/100</f>
        <v>82662.8224029547</v>
      </c>
      <c r="H8" s="0" t="n">
        <f aca="false">H6*H7/100</f>
        <v>84316.0788510138</v>
      </c>
      <c r="I8" s="0" t="n">
        <f aca="false">I6*I7/100</f>
        <v>86002.4004280341</v>
      </c>
      <c r="J8" s="0" t="n">
        <f aca="false">J6*J7/100</f>
        <v>87722.4484365948</v>
      </c>
      <c r="K8" s="0" t="n">
        <f aca="false">K6*K7/100</f>
        <v>89476.8974053266</v>
      </c>
      <c r="L8" s="0" t="n">
        <f aca="false">L6*L7/100</f>
        <v>91266.4353534332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78165.0485</v>
      </c>
      <c r="D11" s="0" t="n">
        <f aca="false">D8+D10+D24</f>
        <v>78760.5240513</v>
      </c>
      <c r="E11" s="0" t="n">
        <f aca="false">E8+E10+E24</f>
        <v>80041.464442464</v>
      </c>
      <c r="F11" s="0" t="n">
        <f aca="false">F8+F10+F24</f>
        <v>81041.9827479948</v>
      </c>
      <c r="G11" s="0" t="n">
        <f aca="false">G8+G10+G24</f>
        <v>82662.8224029547</v>
      </c>
      <c r="H11" s="0" t="n">
        <f aca="false">H8+H10+H24</f>
        <v>84316.0788510138</v>
      </c>
      <c r="I11" s="0" t="n">
        <f aca="false">I8+I10+I24</f>
        <v>86002.4004280341</v>
      </c>
      <c r="J11" s="0" t="n">
        <f aca="false">J8+J10+J24</f>
        <v>87722.4484365948</v>
      </c>
      <c r="K11" s="0" t="n">
        <f aca="false">K8+K10+K24</f>
        <v>89476.8974053266</v>
      </c>
      <c r="L11" s="0" t="n">
        <f aca="false">L8+L10+L24</f>
        <v>91266.4353534332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-38940.40598</v>
      </c>
      <c r="D12" s="4" t="n">
        <f aca="false">-D6*Assumptions!D31/100</f>
        <v>-39236.0119816</v>
      </c>
      <c r="E12" s="4" t="n">
        <f aca="false">-E6*Assumptions!E31/100</f>
        <v>-39726.46213137</v>
      </c>
      <c r="F12" s="4" t="n">
        <f aca="false">-F6*Assumptions!F31/100</f>
        <v>-40520.9913739974</v>
      </c>
      <c r="G12" s="4" t="n">
        <f aca="false">-G6*Assumptions!G31/100</f>
        <v>-41025.2525999849</v>
      </c>
      <c r="H12" s="4" t="n">
        <f aca="false">-H6*Assumptions!H31/100</f>
        <v>-41845.7576519846</v>
      </c>
      <c r="I12" s="4" t="n">
        <f aca="false">-I6*Assumptions!I31/100</f>
        <v>-42364.1453960316</v>
      </c>
      <c r="J12" s="4" t="n">
        <f aca="false">-J6*Assumptions!J31/100</f>
        <v>-43211.4283039522</v>
      </c>
      <c r="K12" s="4" t="n">
        <f aca="false">-K6*Assumptions!K31/100</f>
        <v>-44075.6568700313</v>
      </c>
      <c r="L12" s="4" t="n">
        <f aca="false">-L6*Assumptions!L31/100</f>
        <v>-44957.1700074319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39224.64252</v>
      </c>
      <c r="D13" s="0" t="n">
        <f aca="false">D11+D12</f>
        <v>39524.5120697</v>
      </c>
      <c r="E13" s="0" t="n">
        <f aca="false">E11+E12</f>
        <v>40315.002311094</v>
      </c>
      <c r="F13" s="0" t="n">
        <f aca="false">F11+F12</f>
        <v>40520.9913739974</v>
      </c>
      <c r="G13" s="0" t="n">
        <f aca="false">G11+G12</f>
        <v>41637.5698029698</v>
      </c>
      <c r="H13" s="0" t="n">
        <f aca="false">H11+H12</f>
        <v>42470.3211990292</v>
      </c>
      <c r="I13" s="0" t="n">
        <f aca="false">I11+I12</f>
        <v>43638.2550320024</v>
      </c>
      <c r="J13" s="0" t="n">
        <f aca="false">J11+J12</f>
        <v>44511.0201326425</v>
      </c>
      <c r="K13" s="0" t="n">
        <f aca="false">K11+K12</f>
        <v>45401.2405352954</v>
      </c>
      <c r="L13" s="0" t="n">
        <f aca="false">L11+L12</f>
        <v>46309.2653460013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20.5</v>
      </c>
      <c r="D14" s="4" t="n">
        <f aca="false">Assumptions!D33</f>
        <v>20.5</v>
      </c>
      <c r="E14" s="4" t="n">
        <f aca="false">Assumptions!E33</f>
        <v>20.7</v>
      </c>
      <c r="F14" s="4" t="n">
        <f aca="false">Assumptions!F33</f>
        <v>20.9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31183.5908034</v>
      </c>
      <c r="D15" s="0" t="n">
        <f aca="false">D13-MAX(0,D13)*D14/100</f>
        <v>31421.9870954115</v>
      </c>
      <c r="E15" s="0" t="n">
        <f aca="false">E13-MAX(0,E13)*E14/100</f>
        <v>31969.7968326975</v>
      </c>
      <c r="F15" s="0" t="n">
        <f aca="false">F13-MAX(0,F13)*F14/100</f>
        <v>32052.1041768319</v>
      </c>
      <c r="G15" s="0" t="n">
        <f aca="false">G13-MAX(0,G13)*G14/100</f>
        <v>32893.6801443461</v>
      </c>
      <c r="H15" s="0" t="n">
        <f aca="false">H13-MAX(0,H13)*H14/100</f>
        <v>33551.553747233</v>
      </c>
      <c r="I15" s="0" t="n">
        <f aca="false">I13-MAX(0,I13)*I14/100</f>
        <v>34474.2214752819</v>
      </c>
      <c r="J15" s="0" t="n">
        <f aca="false">J13-MAX(0,J13)*J14/100</f>
        <v>35163.7059047876</v>
      </c>
      <c r="K15" s="0" t="n">
        <f aca="false">K13-MAX(0,K13)*K14/100</f>
        <v>35866.9800228833</v>
      </c>
      <c r="L15" s="0" t="n">
        <f aca="false">L13-MAX(0,L13)*L14/100</f>
        <v>36584.319623341</v>
      </c>
    </row>
    <row r="16" customFormat="false" ht="15" hidden="false" customHeight="false" outlineLevel="0" collapsed="false">
      <c r="A16" s="0" t="s">
        <v>118</v>
      </c>
      <c r="C16" s="0" t="n">
        <f aca="false">-C12</f>
        <v>38940.40598</v>
      </c>
      <c r="D16" s="0" t="n">
        <f aca="false">-D12</f>
        <v>39236.0119816</v>
      </c>
      <c r="E16" s="0" t="n">
        <f aca="false">-E12</f>
        <v>39726.46213137</v>
      </c>
      <c r="F16" s="0" t="n">
        <f aca="false">-F12</f>
        <v>40520.9913739974</v>
      </c>
      <c r="G16" s="0" t="n">
        <f aca="false">-G12</f>
        <v>41025.2525999849</v>
      </c>
      <c r="H16" s="0" t="n">
        <f aca="false">-H12</f>
        <v>41845.7576519846</v>
      </c>
      <c r="I16" s="0" t="n">
        <f aca="false">-I12</f>
        <v>42364.1453960316</v>
      </c>
      <c r="J16" s="0" t="n">
        <f aca="false">-J12</f>
        <v>43211.4283039522</v>
      </c>
      <c r="K16" s="0" t="n">
        <f aca="false">-K12</f>
        <v>44075.6568700313</v>
      </c>
      <c r="L16" s="0" t="n">
        <f aca="false">-L12</f>
        <v>44957.1700074319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-19896.5578</v>
      </c>
      <c r="D17" s="4" t="n">
        <f aca="false">-D6*Assumptions!D32/100</f>
        <v>-20195.006167</v>
      </c>
      <c r="E17" s="4" t="n">
        <f aca="false">-E6*Assumptions!E32/100</f>
        <v>-20598.90629034</v>
      </c>
      <c r="F17" s="4" t="n">
        <f aca="false">-F6*Assumptions!F32/100</f>
        <v>-21010.8844161468</v>
      </c>
      <c r="G17" s="4" t="n">
        <f aca="false">-G6*Assumptions!G32/100</f>
        <v>-21431.1021044697</v>
      </c>
      <c r="H17" s="4" t="n">
        <f aca="false">-H6*Assumptions!H32/100</f>
        <v>-21859.7241465591</v>
      </c>
      <c r="I17" s="4" t="n">
        <f aca="false">-I6*Assumptions!I32/100</f>
        <v>-22296.9186294903</v>
      </c>
      <c r="J17" s="4" t="n">
        <f aca="false">-J6*Assumptions!J32/100</f>
        <v>-22742.8570020801</v>
      </c>
      <c r="K17" s="4" t="n">
        <f aca="false">-K6*Assumptions!K32/100</f>
        <v>-23197.7141421217</v>
      </c>
      <c r="L17" s="4" t="n">
        <f aca="false">-L6*Assumptions!L32/100</f>
        <v>-23661.6684249642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50227.4389834</v>
      </c>
      <c r="D19" s="0" t="n">
        <f aca="false">D15+D16+D17+D18</f>
        <v>50462.9929100115</v>
      </c>
      <c r="E19" s="0" t="n">
        <f aca="false">E15+E16+E17+E18</f>
        <v>51097.3526737275</v>
      </c>
      <c r="F19" s="0" t="n">
        <f aca="false">F15+F16+F17+F18</f>
        <v>51562.2111346825</v>
      </c>
      <c r="G19" s="0" t="n">
        <f aca="false">G15+G16+G17+G18</f>
        <v>52487.8306398613</v>
      </c>
      <c r="H19" s="0" t="n">
        <f aca="false">H15+H16+H17+H18</f>
        <v>53537.5872526585</v>
      </c>
      <c r="I19" s="0" t="n">
        <f aca="false">I15+I16+I17+I18</f>
        <v>54541.4482418232</v>
      </c>
      <c r="J19" s="0" t="n">
        <f aca="false">J15+J16+J17+J18</f>
        <v>55632.2772066597</v>
      </c>
      <c r="K19" s="0" t="n">
        <f aca="false">K15+K16+K17+K18</f>
        <v>56744.9227507929</v>
      </c>
      <c r="L19" s="0" t="n">
        <f aca="false">L15+L16+L17+L18</f>
        <v>57879.8212058088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46292.5704916129</v>
      </c>
      <c r="D21" s="0" t="n">
        <f aca="false">D19*D20</f>
        <v>42866.056115026</v>
      </c>
      <c r="E21" s="0" t="n">
        <f aca="false">E19*E20</f>
        <v>40004.5312166324</v>
      </c>
      <c r="F21" s="0" t="n">
        <f aca="false">F19*F20</f>
        <v>37205.9655947817</v>
      </c>
      <c r="G21" s="0" t="n">
        <f aca="false">G19*G20</f>
        <v>34906.7915453783</v>
      </c>
      <c r="H21" s="0" t="n">
        <f aca="false">H19*H20</f>
        <v>32815.6012684662</v>
      </c>
      <c r="I21" s="0" t="n">
        <f aca="false">I19*I20</f>
        <v>30811.9013211134</v>
      </c>
      <c r="J21" s="0" t="n">
        <f aca="false">J19*J20</f>
        <v>28966.0270484199</v>
      </c>
      <c r="K21" s="0" t="n">
        <f aca="false">K19*K20</f>
        <v>27230.735105427</v>
      </c>
      <c r="L21" s="0" t="n">
        <f aca="false">L19*L20</f>
        <v>25599.4007442724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346699.58045113</v>
      </c>
    </row>
    <row r="31" customFormat="false" ht="15" hidden="false" customHeight="false" outlineLevel="0" collapsed="false">
      <c r="A31" s="0" t="s">
        <v>127</v>
      </c>
      <c r="B31" s="0" t="n">
        <f aca="false">L19</f>
        <v>57879.8212058088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908267.963537307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694557.854469705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694557.854469705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307192.808931269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653892.389382399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518958.389382399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135.498273990183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0.994087917441981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135.498273990183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454133.981768653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62.8203347806703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3</v>
      </c>
      <c r="D5" s="4" t="n">
        <f aca="false">Assumptions!D41</f>
        <v>3.5</v>
      </c>
      <c r="E5" s="4" t="n">
        <f aca="false">Assumptions!E41</f>
        <v>4</v>
      </c>
      <c r="F5" s="4" t="n">
        <f aca="false">Assumptions!F41</f>
        <v>4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280036</v>
      </c>
      <c r="C6" s="0" t="n">
        <f aca="false">B6*(1+C5/100)</f>
        <v>288437.08</v>
      </c>
      <c r="D6" s="0" t="n">
        <f aca="false">C6*(1+D5/100)</f>
        <v>298532.3778</v>
      </c>
      <c r="E6" s="0" t="n">
        <f aca="false">D6*(1+E5/100)</f>
        <v>310473.672912</v>
      </c>
      <c r="F6" s="0" t="n">
        <f aca="false">E6*(1+F5/100)</f>
        <v>322892.61982848</v>
      </c>
      <c r="G6" s="0" t="n">
        <f aca="false">F6*(1+G5/100)</f>
        <v>335808.324621619</v>
      </c>
      <c r="H6" s="0" t="n">
        <f aca="false">G6*(1+H5/100)</f>
        <v>347561.615983376</v>
      </c>
      <c r="I6" s="0" t="n">
        <f aca="false">H6*(1+I5/100)</f>
        <v>359726.272542794</v>
      </c>
      <c r="J6" s="0" t="n">
        <f aca="false">I6*(1+J5/100)</f>
        <v>370518.060719078</v>
      </c>
      <c r="K6" s="0" t="n">
        <f aca="false">J6*(1+K5/100)</f>
        <v>381633.60254065</v>
      </c>
      <c r="L6" s="0" t="n">
        <f aca="false">K6*(1+L5/100)</f>
        <v>393082.61061687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28</v>
      </c>
      <c r="D7" s="4" t="n">
        <f aca="false">Assumptions!D42</f>
        <v>28.5</v>
      </c>
      <c r="E7" s="4" t="n">
        <f aca="false">Assumptions!E42</f>
        <v>29</v>
      </c>
      <c r="F7" s="4" t="n">
        <f aca="false">Assumptions!F42</f>
        <v>29.5</v>
      </c>
      <c r="G7" s="4" t="n">
        <f aca="false">Assumptions!G42</f>
        <v>30</v>
      </c>
      <c r="H7" s="4" t="n">
        <f aca="false">Assumptions!H42</f>
        <v>30</v>
      </c>
      <c r="I7" s="4" t="n">
        <f aca="false">Assumptions!I42</f>
        <v>30</v>
      </c>
      <c r="J7" s="4" t="n">
        <f aca="false">Assumptions!J42</f>
        <v>30</v>
      </c>
      <c r="K7" s="4" t="n">
        <f aca="false">Assumptions!K42</f>
        <v>30</v>
      </c>
      <c r="L7" s="4" t="n">
        <f aca="false">Assumptions!L42</f>
        <v>30</v>
      </c>
    </row>
    <row r="8" customFormat="false" ht="15" hidden="false" customHeight="false" outlineLevel="0" collapsed="false">
      <c r="A8" s="0" t="s">
        <v>43</v>
      </c>
      <c r="C8" s="0" t="n">
        <f aca="false">C6*C7/100</f>
        <v>80762.3824</v>
      </c>
      <c r="D8" s="0" t="n">
        <f aca="false">D6*D7/100</f>
        <v>85081.727673</v>
      </c>
      <c r="E8" s="0" t="n">
        <f aca="false">E6*E7/100</f>
        <v>90037.36514448</v>
      </c>
      <c r="F8" s="0" t="n">
        <f aca="false">F6*F7/100</f>
        <v>95253.3228494016</v>
      </c>
      <c r="G8" s="0" t="n">
        <f aca="false">G6*G7/100</f>
        <v>100742.497386486</v>
      </c>
      <c r="H8" s="0" t="n">
        <f aca="false">H6*H7/100</f>
        <v>104268.484795013</v>
      </c>
      <c r="I8" s="0" t="n">
        <f aca="false">I6*I7/100</f>
        <v>107917.881762838</v>
      </c>
      <c r="J8" s="0" t="n">
        <f aca="false">J6*J7/100</f>
        <v>111155.418215723</v>
      </c>
      <c r="K8" s="0" t="n">
        <f aca="false">K6*K7/100</f>
        <v>114490.080762195</v>
      </c>
      <c r="L8" s="0" t="n">
        <f aca="false">L6*L7/100</f>
        <v>117924.783185061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80762.3824</v>
      </c>
      <c r="D11" s="0" t="n">
        <f aca="false">D8+D10+D24</f>
        <v>85081.727673</v>
      </c>
      <c r="E11" s="0" t="n">
        <f aca="false">E8+E10+E24</f>
        <v>90037.36514448</v>
      </c>
      <c r="F11" s="0" t="n">
        <f aca="false">F8+F10+F24</f>
        <v>95253.3228494016</v>
      </c>
      <c r="G11" s="0" t="n">
        <f aca="false">G8+G10+G24</f>
        <v>100742.497386486</v>
      </c>
      <c r="H11" s="0" t="n">
        <f aca="false">H8+H10+H24</f>
        <v>104268.484795013</v>
      </c>
      <c r="I11" s="0" t="n">
        <f aca="false">I8+I10+I24</f>
        <v>107917.881762838</v>
      </c>
      <c r="J11" s="0" t="n">
        <f aca="false">J8+J10+J24</f>
        <v>111155.418215723</v>
      </c>
      <c r="K11" s="0" t="n">
        <f aca="false">K8+K10+K24</f>
        <v>114490.080762195</v>
      </c>
      <c r="L11" s="0" t="n">
        <f aca="false">L8+L10+L24</f>
        <v>117924.783185061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-38939.0058</v>
      </c>
      <c r="D12" s="4" t="n">
        <f aca="false">-D6*Assumptions!D45/100</f>
        <v>-39704.8062474</v>
      </c>
      <c r="E12" s="4" t="n">
        <f aca="false">-E6*Assumptions!E45/100</f>
        <v>-40982.524824384</v>
      </c>
      <c r="F12" s="4" t="n">
        <f aca="false">-F6*Assumptions!F45/100</f>
        <v>-41976.0405777024</v>
      </c>
      <c r="G12" s="4" t="n">
        <f aca="false">-G6*Assumptions!G45/100</f>
        <v>-43655.0822008105</v>
      </c>
      <c r="H12" s="4" t="n">
        <f aca="false">-H6*Assumptions!H45/100</f>
        <v>-44487.8868458721</v>
      </c>
      <c r="I12" s="4" t="n">
        <f aca="false">-I6*Assumptions!I45/100</f>
        <v>-46044.9628854776</v>
      </c>
      <c r="J12" s="4" t="n">
        <f aca="false">-J6*Assumptions!J45/100</f>
        <v>-47055.7937113229</v>
      </c>
      <c r="K12" s="4" t="n">
        <f aca="false">-K6*Assumptions!K45/100</f>
        <v>-48467.4675226626</v>
      </c>
      <c r="L12" s="4" t="n">
        <f aca="false">-L6*Assumptions!L45/100</f>
        <v>-49921.4915483425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41823.3766</v>
      </c>
      <c r="D13" s="0" t="n">
        <f aca="false">D11+D12</f>
        <v>45376.9214256</v>
      </c>
      <c r="E13" s="0" t="n">
        <f aca="false">E11+E12</f>
        <v>49054.840320096</v>
      </c>
      <c r="F13" s="0" t="n">
        <f aca="false">F11+F12</f>
        <v>53277.2822716992</v>
      </c>
      <c r="G13" s="0" t="n">
        <f aca="false">G11+G12</f>
        <v>57087.4151856753</v>
      </c>
      <c r="H13" s="0" t="n">
        <f aca="false">H11+H12</f>
        <v>59780.5979491407</v>
      </c>
      <c r="I13" s="0" t="n">
        <f aca="false">I11+I12</f>
        <v>61872.9188773606</v>
      </c>
      <c r="J13" s="0" t="n">
        <f aca="false">J11+J12</f>
        <v>64099.6245044005</v>
      </c>
      <c r="K13" s="0" t="n">
        <f aca="false">K11+K12</f>
        <v>66022.6132395325</v>
      </c>
      <c r="L13" s="0" t="n">
        <f aca="false">L11+L12</f>
        <v>68003.2916367185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20</v>
      </c>
      <c r="D14" s="4" t="n">
        <f aca="false">Assumptions!D47</f>
        <v>20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20.5</v>
      </c>
      <c r="H14" s="4" t="n">
        <f aca="false">Assumptions!H47</f>
        <v>20.5</v>
      </c>
      <c r="I14" s="4" t="n">
        <f aca="false">Assumptions!I47</f>
        <v>20.5</v>
      </c>
      <c r="J14" s="4" t="n">
        <f aca="false">Assumptions!J47</f>
        <v>20.5</v>
      </c>
      <c r="K14" s="4" t="n">
        <f aca="false">Assumptions!K47</f>
        <v>20.5</v>
      </c>
      <c r="L14" s="4" t="n">
        <f aca="false">Assumptions!L47</f>
        <v>20.5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33458.70128</v>
      </c>
      <c r="D15" s="0" t="n">
        <f aca="false">D13-MAX(0,D13)*D14/100</f>
        <v>36301.53714048</v>
      </c>
      <c r="E15" s="0" t="n">
        <f aca="false">E13-MAX(0,E13)*E14/100</f>
        <v>39243.8722560768</v>
      </c>
      <c r="F15" s="0" t="n">
        <f aca="false">F13-MAX(0,F13)*F14/100</f>
        <v>42621.8258173594</v>
      </c>
      <c r="G15" s="0" t="n">
        <f aca="false">G13-MAX(0,G13)*G14/100</f>
        <v>45384.4950726118</v>
      </c>
      <c r="H15" s="0" t="n">
        <f aca="false">H13-MAX(0,H13)*H14/100</f>
        <v>47525.5753695668</v>
      </c>
      <c r="I15" s="0" t="n">
        <f aca="false">I13-MAX(0,I13)*I14/100</f>
        <v>49188.9705075016</v>
      </c>
      <c r="J15" s="0" t="n">
        <f aca="false">J13-MAX(0,J13)*J14/100</f>
        <v>50959.2014809984</v>
      </c>
      <c r="K15" s="0" t="n">
        <f aca="false">K13-MAX(0,K13)*K14/100</f>
        <v>52487.9775254283</v>
      </c>
      <c r="L15" s="0" t="n">
        <f aca="false">L13-MAX(0,L13)*L14/100</f>
        <v>54062.6168511912</v>
      </c>
    </row>
    <row r="16" customFormat="false" ht="15" hidden="false" customHeight="false" outlineLevel="0" collapsed="false">
      <c r="A16" s="0" t="s">
        <v>118</v>
      </c>
      <c r="C16" s="0" t="n">
        <f aca="false">-C12</f>
        <v>38939.0058</v>
      </c>
      <c r="D16" s="0" t="n">
        <f aca="false">-D12</f>
        <v>39704.8062474</v>
      </c>
      <c r="E16" s="0" t="n">
        <f aca="false">-E12</f>
        <v>40982.524824384</v>
      </c>
      <c r="F16" s="0" t="n">
        <f aca="false">-F12</f>
        <v>41976.0405777024</v>
      </c>
      <c r="G16" s="0" t="n">
        <f aca="false">-G12</f>
        <v>43655.0822008105</v>
      </c>
      <c r="H16" s="0" t="n">
        <f aca="false">-H12</f>
        <v>44487.8868458721</v>
      </c>
      <c r="I16" s="0" t="n">
        <f aca="false">-I12</f>
        <v>46044.9628854776</v>
      </c>
      <c r="J16" s="0" t="n">
        <f aca="false">-J12</f>
        <v>47055.7937113229</v>
      </c>
      <c r="K16" s="0" t="n">
        <f aca="false">-K12</f>
        <v>48467.4675226626</v>
      </c>
      <c r="L16" s="0" t="n">
        <f aca="false">-L12</f>
        <v>49921.4915483425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-19613.72144</v>
      </c>
      <c r="D17" s="4" t="n">
        <f aca="false">-D6*Assumptions!D46/100</f>
        <v>-20300.2016904</v>
      </c>
      <c r="E17" s="4" t="n">
        <f aca="false">-E6*Assumptions!E46/100</f>
        <v>-21112.209758016</v>
      </c>
      <c r="F17" s="4" t="n">
        <f aca="false">-F6*Assumptions!F46/100</f>
        <v>-21956.6981483366</v>
      </c>
      <c r="G17" s="4" t="n">
        <f aca="false">-G6*Assumptions!G46/100</f>
        <v>-22834.9660742701</v>
      </c>
      <c r="H17" s="4" t="n">
        <f aca="false">-H6*Assumptions!H46/100</f>
        <v>-23634.1898868696</v>
      </c>
      <c r="I17" s="4" t="n">
        <f aca="false">-I6*Assumptions!I46/100</f>
        <v>-24461.38653291</v>
      </c>
      <c r="J17" s="4" t="n">
        <f aca="false">-J6*Assumptions!J46/100</f>
        <v>-25195.2281288973</v>
      </c>
      <c r="K17" s="4" t="n">
        <f aca="false">-K6*Assumptions!K46/100</f>
        <v>-25951.0849727642</v>
      </c>
      <c r="L17" s="4" t="n">
        <f aca="false">-L6*Assumptions!L46/100</f>
        <v>-26729.6175219471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52783.98564</v>
      </c>
      <c r="D19" s="0" t="n">
        <f aca="false">D15+D16+D17+D18</f>
        <v>55706.14169748</v>
      </c>
      <c r="E19" s="0" t="n">
        <f aca="false">E15+E16+E17+E18</f>
        <v>59114.1873224448</v>
      </c>
      <c r="F19" s="0" t="n">
        <f aca="false">F15+F16+F17+F18</f>
        <v>62641.1682467251</v>
      </c>
      <c r="G19" s="0" t="n">
        <f aca="false">G15+G16+G17+G18</f>
        <v>66204.6111991522</v>
      </c>
      <c r="H19" s="0" t="n">
        <f aca="false">H15+H16+H17+H18</f>
        <v>68379.2723285694</v>
      </c>
      <c r="I19" s="0" t="n">
        <f aca="false">I15+I16+I17+I18</f>
        <v>70772.5468600693</v>
      </c>
      <c r="J19" s="0" t="n">
        <f aca="false">J15+J16+J17+J18</f>
        <v>72819.767063424</v>
      </c>
      <c r="K19" s="0" t="n">
        <f aca="false">K15+K16+K17+K18</f>
        <v>75004.3600753267</v>
      </c>
      <c r="L19" s="0" t="n">
        <f aca="false">L15+L16+L17+L18</f>
        <v>77254.4908775865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48874.0607777778</v>
      </c>
      <c r="D21" s="0" t="n">
        <f aca="false">D19*D20</f>
        <v>47759.0378064815</v>
      </c>
      <c r="E21" s="0" t="n">
        <f aca="false">E19*E20</f>
        <v>46926.7477982625</v>
      </c>
      <c r="F21" s="0" t="n">
        <f aca="false">F19*F20</f>
        <v>46043.1286753882</v>
      </c>
      <c r="G21" s="0" t="n">
        <f aca="false">G19*G20</f>
        <v>45057.7459482956</v>
      </c>
      <c r="H21" s="0" t="n">
        <f aca="false">H19*H20</f>
        <v>43090.5405298328</v>
      </c>
      <c r="I21" s="0" t="n">
        <f aca="false">I19*I20</f>
        <v>41295.1013410897</v>
      </c>
      <c r="J21" s="0" t="n">
        <f aca="false">J19*J20</f>
        <v>39342.2543210498</v>
      </c>
      <c r="K21" s="0" t="n">
        <f aca="false">K19*K20</f>
        <v>37520.8536580382</v>
      </c>
      <c r="L21" s="0" t="n">
        <f aca="false">L19*L20</f>
        <v>35783.7770997957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431693.247956012</v>
      </c>
    </row>
    <row r="31" customFormat="false" ht="15" hidden="false" customHeight="false" outlineLevel="0" collapsed="false">
      <c r="A31" s="0" t="s">
        <v>127</v>
      </c>
      <c r="B31" s="0" t="n">
        <f aca="false">L19</f>
        <v>77254.4908775865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1439742.78453684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1004308.38140862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1004308.38140862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465189.102297344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896882.350253356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761948.350253356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198.942128003487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1.92777230321541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198.942128003487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633486.825196209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88.1630988327231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88.6662847010144</v>
      </c>
      <c r="C4" s="0" t="n">
        <f aca="false">B4/Assumptions!$B$2-1</f>
        <v>0.304875418705142</v>
      </c>
      <c r="D4" s="4" t="n">
        <f aca="false">Assumptions!$B$24</f>
        <v>0.3</v>
      </c>
      <c r="E4" s="4" t="n">
        <f aca="false">DCF_Bear!$B$43</f>
        <v>88.6662847010144</v>
      </c>
      <c r="F4" s="4" t="n">
        <f aca="false">DCF_Bear!$B$47</f>
        <v>41.9500897161777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135.498273990183</v>
      </c>
      <c r="C5" s="0" t="n">
        <f aca="false">B5/Assumptions!$B$2-1</f>
        <v>0.994087917441981</v>
      </c>
      <c r="D5" s="4" t="n">
        <f aca="false">Assumptions!$B$38</f>
        <v>0.45</v>
      </c>
      <c r="E5" s="4" t="n">
        <f aca="false">DCF_Base!$B$43</f>
        <v>135.498273990183</v>
      </c>
      <c r="F5" s="4" t="n">
        <f aca="false">DCF_Base!$B$47</f>
        <v>62.8203347806703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198.942128003487</v>
      </c>
      <c r="C6" s="0" t="n">
        <f aca="false">B6/Assumptions!$B$2-1</f>
        <v>1.92777230321541</v>
      </c>
      <c r="D6" s="4" t="n">
        <f aca="false">Assumptions!$B$52</f>
        <v>0.25</v>
      </c>
      <c r="E6" s="4" t="n">
        <f aca="false">DCF_Bull!$B$43</f>
        <v>198.942128003487</v>
      </c>
      <c r="F6" s="4" t="n">
        <f aca="false">DCF_Bull!$B$47</f>
        <v>88.1630988327231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137.309640706758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137.309640706758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0.505133072592364</v>
      </c>
    </row>
    <row r="11" customFormat="false" ht="15" hidden="false" customHeight="false" outlineLevel="0" collapsed="false">
      <c r="A11" s="0" t="s">
        <v>154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62.8949522743357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135.498273990183</v>
      </c>
      <c r="C15" s="3" t="n">
        <v>8.5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129.859363894052</v>
      </c>
      <c r="C16" s="3" t="n">
        <v>9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119.309521112422</v>
      </c>
      <c r="C17" s="3" t="n">
        <v>10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106.102797564247</v>
      </c>
      <c r="C18" s="3" t="n">
        <v>11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92.0392385467758</v>
      </c>
      <c r="C19" s="3" t="n">
        <v>12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62.8203347806703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160.796747986881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160.796747986881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160.796747986881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160.796747986881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160.796747986881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147.569832469915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147.569832469915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147.569832469915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147.569832469915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147.569832469915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135.498273990183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135.498273990183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135.498273990183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135.498273990183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135.498273990183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123.749837879198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124.467249305476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124.467249305476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124.467249305476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124.467249305476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106.754978627594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110.353066739181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114.374459334484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114.374459334484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114.374459334484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2026-09-25T16:19:37Z</dcterms:created>
  <dc:creator>openpyxl</dc:creator>
  <dc:description/>
  <dc:language>en-NZ</dc:language>
  <cp:lastModifiedBy/>
  <dcterms:modified xsi:type="dcterms:W3CDTF">2026-09-25T16:19:37Z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