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Model_Info" sheetId="1" state="visible" r:id="rId3"/>
    <sheet name="Actuals" sheetId="2" state="visible" r:id="rId4"/>
    <sheet name="Assumptions" sheetId="3" state="visible" r:id="rId5"/>
    <sheet name="DCF_Bear" sheetId="4" state="visible" r:id="rId6"/>
    <sheet name="DCF_Base" sheetId="5" state="visible" r:id="rId7"/>
    <sheet name="DCF_Bull" sheetId="6" state="visible" r:id="rId8"/>
    <sheet name="Valuation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<sst xmlns="http://schemas.openxmlformats.org/spreadsheetml/2006/main" count="356" uniqueCount="163">
  <si>
    <t xml:space="preserve">Ticker</t>
  </si>
  <si>
    <t xml:space="preserve">0636.HK</t>
  </si>
  <si>
    <t xml:space="preserve">Company</t>
  </si>
  <si>
    <t xml:space="preserve">KLN Logistics Group Limited (formerly Kerry Logistics Network)</t>
  </si>
  <si>
    <t xml:space="preserve">Valuation date</t>
  </si>
  <si>
    <t xml:space="preserve">2026-10-11</t>
  </si>
  <si>
    <t xml:space="preserve">Current price</t>
  </si>
  <si>
    <t xml:space="preserve">Price as of</t>
  </si>
  <si>
    <t xml:space="preserve">2026-10-09T08:08:06Z (Yahoo regularMarketTime, Friday HKEX regular close; 52-week range 5.45-7.45)</t>
  </si>
  <si>
    <t xml:space="preserve">Balance sheet date</t>
  </si>
  <si>
    <t xml:space="preserve">2026-06-30</t>
  </si>
  <si>
    <t xml:space="preserve">Model</t>
  </si>
  <si>
    <t xml:space="preserve">owner_fcf_dcf_component</t>
  </si>
  <si>
    <t xml:space="preserve">Currency (model)</t>
  </si>
  <si>
    <t xml:space="preserve">HKD</t>
  </si>
  <si>
    <t xml:space="preserve">Currency (quote)</t>
  </si>
  <si>
    <t xml:space="preserve">Units</t>
  </si>
  <si>
    <t xml:space="preserve">millions</t>
  </si>
  <si>
    <t xml:space="preserve">Engine</t>
  </si>
  <si>
    <t xml:space="preserve">dcf_engine v1</t>
  </si>
  <si>
    <t xml:space="preserve">Built at</t>
  </si>
  <si>
    <t xml:space="preserve">2026-10-11T02:57:53Z</t>
  </si>
  <si>
    <t xml:space="preserve">Drivers file</t>
  </si>
  <si>
    <t xml:space="preserve">0636.HK_Drivers.json</t>
  </si>
  <si>
    <t xml:space="preserve">Convention</t>
  </si>
  <si>
    <t xml:space="preserve">Percents stored as percents; formulas divide by 100. Blue = input, green = link, black = formula.</t>
  </si>
  <si>
    <t xml:space="preserve">Methodology</t>
  </si>
  <si>
    <t xml:space="preserve">summary: Unlevered owner-FCF DCF on core (underlying) continuing-operations profit, leases charged as an operating cost (treatment B, lease liabilities excluded from net debt), NCI leakage folded into the cash-tax driver so the flows are attributable-only, associates and FVOCI assets added at book in the bridge. Cyclical business: terminal value capped at 12x terminal FCF, and risk carried in the scenarios and weights rather than in the discount rate.
key_risks_to_valuation: Freight-rate cyclicality: IFF is ~75% of revenue and a pass-through business; a down-cycle can cut revenue sharply and compress NVOCC margins; Continuing core margin compression (core OP -4% FY2025, -8% H1 FY2026) despite revenue growth; US tariff policy and Trans-Pacific volume whiplash (KLN is the No.1 Asia-US NVOCC); Controlling shareholder S.F. Holding: related-party business and financing (perpetual convertibles, GSA), minority-shareholder treatment; NCI leakage (~17% of profit) and recurring cash buyouts of minorities (HK$378-417m/yr) that the model treats as capital allocation; Hong Kong IL structural decline and China consumption weakness; Floating-rate bank debt (HK$8.8bn, 38% due within one year) and unhedged multi-currency exposure</t>
  </si>
  <si>
    <t xml:space="preserve">Data sources</t>
  </si>
  <si>
    <t xml:space="preserve">price: Yahoo Finance chart API at inputs.price_as_of; 52-week range 5.45-7.45
financials: 0636.HK_Metrics.csv (FY2017-FY2025, H1 FY2023-FY2026); FY2025 Annual Report (income statement, balance sheet, cash flow statement, note 6 other income, note 15 leases, note 34 financing reconciliation, segment note core operating profit 2,626.7); H1 FY2026 Interim Report (balance sheet 30-Jun-2026, note 9 EPS/diluted shares, note 13 bank loans, outlook)
qualitative: 0636.HK_Analysis.json (2026-10-11)</t>
  </si>
  <si>
    <t xml:space="preserve">Scenario narrative: bear</t>
  </si>
  <si>
    <t xml:space="preserve">The freight cycle turns. The Middle East-driven rate and routing premium of 2026 unwinds, US tariff escalation and inventory digestion cut Trans-Pacific volumes, and revenue falls 6% in FY2027 (FY2023 showed a -45% revenue year is possible after a boom). Forwarders fight for share, NVOCC margins compress further, HK consumption keeps shrinking IL, and S.F.-related-party business proves a mixed blessing. Core EBITDA settles at 6.5% (core operating margin ~3.7%) and growth stalls at 2%.</t>
  </si>
  <si>
    <t xml:space="preserve">Scenario narrative: base</t>
  </si>
  <si>
    <t xml:space="preserve">KLN keeps growing volume but not margin. FY2026 is built from the H1 interim (revenue +10%, core operating profit -8%) with a flat-to-slightly-better H2: revenue +7%, core EBITDA 7.0% (FY2025 7.7%). Thereafter revenue grows 4% a year - Asia/China+1 trade growth, Southeast Asia IL (+23% segment profit in FY2025) and project/EPC logistics - fading to 3%. Core EBITDA recovers only to 7.4% by FY2030: KLN 2.0 automation and warehouse optimisation are offset by persistent IFF price competition, incomplete fuel pass-through and a structurally weak Hong Kong IL business. Leases ~1.9% of revenue, capex slightly above ex-RoU depreciation, growth consumes working capital (receivables exceed payables).</t>
  </si>
  <si>
    <t xml:space="preserve">Scenario narrative: bull</t>
  </si>
  <si>
    <t xml:space="preserve">KLN 2.0 works: management's ambition to double scale and become a top-10 global forwarder gains traction through S.F. Holding cross-selling, the Ezhou Airport ground-handling JV, the S.F. Airlines GSA, overseas IL expansion (US, Europe, Australia) and Hainan FTP duty-free logistics. AI-infrastructure freight on the Asia-US lane and China+1 relocation keep the Trans-Pacific NVOCC franchise full. Revenue grows 7% a year for three years, decelerating to 3%; the mix shift toward contract logistics and automation lifts core EBITDA to 8.3% (above the FY2024-25 level), i.e. core operating margin back above 5%.</t>
  </si>
  <si>
    <t xml:space="preserve">Period</t>
  </si>
  <si>
    <t xml:space="preserve">Revenue</t>
  </si>
  <si>
    <t xml:space="preserve">CostOfRevenue</t>
  </si>
  <si>
    <t xml:space="preserve">GrossProfit</t>
  </si>
  <si>
    <t xml:space="preserve">GrossMargin</t>
  </si>
  <si>
    <t xml:space="preserve">OperatingIncome</t>
  </si>
  <si>
    <t xml:space="preserve">OperatingMargin</t>
  </si>
  <si>
    <t xml:space="preserve">EBITDA</t>
  </si>
  <si>
    <t xml:space="preserve">NetIncome</t>
  </si>
  <si>
    <t xml:space="preserve">NetMargin</t>
  </si>
  <si>
    <t xml:space="preserve">EPS</t>
  </si>
  <si>
    <t xml:space="preserve">OperatingCashFlow</t>
  </si>
  <si>
    <t xml:space="preserve">CapEx</t>
  </si>
  <si>
    <t xml:space="preserve">FreeCashFlow</t>
  </si>
  <si>
    <t xml:space="preserve">ShareholdersEquity</t>
  </si>
  <si>
    <t xml:space="preserve">TotalAssets</t>
  </si>
  <si>
    <t xml:space="preserve">TotalLiabilities</t>
  </si>
  <si>
    <t xml:space="preserve">TotalDebt</t>
  </si>
  <si>
    <t xml:space="preserve">CashAndEquivalents</t>
  </si>
  <si>
    <t xml:space="preserve">SharesOutstanding</t>
  </si>
  <si>
    <t xml:space="preserve">StockBasedComp</t>
  </si>
  <si>
    <t xml:space="preserve">DividendPerShare</t>
  </si>
  <si>
    <t xml:space="preserve">EBITDABeforeSignificant</t>
  </si>
  <si>
    <t xml:space="preserve">RevenueContinuing</t>
  </si>
  <si>
    <t xml:space="preserve">EBITDAContinuingBeforeSignificant</t>
  </si>
  <si>
    <t xml:space="preserve">EBITContinuingBeforeSignificant</t>
  </si>
  <si>
    <t xml:space="preserve">Currency</t>
  </si>
  <si>
    <t xml:space="preserve">FY2017</t>
  </si>
  <si>
    <t xml:space="preserve">FY2018</t>
  </si>
  <si>
    <t xml:space="preserve">FY2019</t>
  </si>
  <si>
    <t xml:space="preserve">FY2020</t>
  </si>
  <si>
    <t xml:space="preserve">FY2021</t>
  </si>
  <si>
    <t xml:space="preserve">FY2022</t>
  </si>
  <si>
    <t xml:space="preserve">FY2023</t>
  </si>
  <si>
    <t xml:space="preserve">FY2024</t>
  </si>
  <si>
    <t xml:space="preserve">FY2025</t>
  </si>
  <si>
    <t xml:space="preserve">Input</t>
  </si>
  <si>
    <t xml:space="preserve">Value</t>
  </si>
  <si>
    <t xml:space="preserve">Current price (quote currency)</t>
  </si>
  <si>
    <t xml:space="preserve">Shares, final projected (m)</t>
  </si>
  <si>
    <t xml:space="preserve">Net debt (m, model currency)</t>
  </si>
  <si>
    <t xml:space="preserve">Equity bridge total (m, + adds)</t>
  </si>
  <si>
    <t xml:space="preserve">Hurdle rate (%)</t>
  </si>
  <si>
    <t xml:space="preserve">Base revenue FY0 (m)</t>
  </si>
  <si>
    <t xml:space="preserve">FY0</t>
  </si>
  <si>
    <t xml:space="preserve">Currency / units</t>
  </si>
  <si>
    <t xml:space="preserve">HKD millions</t>
  </si>
  <si>
    <t xml:space="preserve">FX rate (model -&gt; quote)</t>
  </si>
  <si>
    <t xml:space="preserve">BEAR</t>
  </si>
  <si>
    <t xml:space="preserve">FY2026</t>
  </si>
  <si>
    <t xml:space="preserve">FY2027</t>
  </si>
  <si>
    <t xml:space="preserve">FY2028</t>
  </si>
  <si>
    <t xml:space="preserve">FY2029</t>
  </si>
  <si>
    <t xml:space="preserve">FY2030</t>
  </si>
  <si>
    <t xml:space="preserve">FY2031</t>
  </si>
  <si>
    <t xml:space="preserve">FY2032</t>
  </si>
  <si>
    <t xml:space="preserve">FY2033</t>
  </si>
  <si>
    <t xml:space="preserve">FY2034</t>
  </si>
  <si>
    <t xml:space="preserve">FY2035</t>
  </si>
  <si>
    <t xml:space="preserve">Revenue growth (%)</t>
  </si>
  <si>
    <t xml:space="preserve">EBITDA margin (%)</t>
  </si>
  <si>
    <t xml:space="preserve">SBC (% of revenue)</t>
  </si>
  <si>
    <t xml:space="preserve">Lease cost (% of revenue)</t>
  </si>
  <si>
    <t xml:space="preserve">D&amp;A (% of revenue)</t>
  </si>
  <si>
    <t xml:space="preserve">Capex (% of revenue)</t>
  </si>
  <si>
    <t xml:space="preserve">Cash tax rate (%)</t>
  </si>
  <si>
    <t xml:space="preserve">WACC (%)</t>
  </si>
  <si>
    <t xml:space="preserve">Terminal growth (%)</t>
  </si>
  <si>
    <t xml:space="preserve">Terminal cap multiple (x FCF)</t>
  </si>
  <si>
    <t xml:space="preserve">Working-capital capture (% of revenue change)</t>
  </si>
  <si>
    <t xml:space="preserve">Scenario weight</t>
  </si>
  <si>
    <t xml:space="preserve">BASE</t>
  </si>
  <si>
    <t xml:space="preserve">BULL</t>
  </si>
  <si>
    <t xml:space="preserve">0636.HK owner-FCF component DCF: bear case (millions, HKD)</t>
  </si>
  <si>
    <t xml:space="preserve">Line</t>
  </si>
  <si>
    <t xml:space="preserve">Year index (discount exponent)</t>
  </si>
  <si>
    <t xml:space="preserve">SBC charge</t>
  </si>
  <si>
    <t xml:space="preserve">Owner EBITDA (after SBC and leases)</t>
  </si>
  <si>
    <t xml:space="preserve">D&amp;A</t>
  </si>
  <si>
    <t xml:space="preserve">EBIT</t>
  </si>
  <si>
    <t xml:space="preserve">NOPAT</t>
  </si>
  <si>
    <t xml:space="preserve">D&amp;A add-back</t>
  </si>
  <si>
    <t xml:space="preserve">Capex</t>
  </si>
  <si>
    <t xml:space="preserve">Working capital</t>
  </si>
  <si>
    <t xml:space="preserve">Unlevered owner FCF</t>
  </si>
  <si>
    <t xml:space="preserve">Discount factor</t>
  </si>
  <si>
    <t xml:space="preserve">PV of FCF</t>
  </si>
  <si>
    <t xml:space="preserve">Lease cost</t>
  </si>
  <si>
    <t xml:space="preserve">Valuation</t>
  </si>
  <si>
    <t xml:space="preserve">Sum of PV of FCF</t>
  </si>
  <si>
    <t xml:space="preserve">Terminal-year FCF</t>
  </si>
  <si>
    <t xml:space="preserve">Gordon terminal value</t>
  </si>
  <si>
    <t xml:space="preserve">Cap terminal value</t>
  </si>
  <si>
    <t xml:space="preserve">Terminal value used: MAX(0,MIN(Gordon,cap))</t>
  </si>
  <si>
    <t xml:space="preserve">PV of terminal value</t>
  </si>
  <si>
    <t xml:space="preserve">Enterprise value</t>
  </si>
  <si>
    <t xml:space="preserve">Equity value (EV + bridge - net debt)</t>
  </si>
  <si>
    <t xml:space="preserve">Value per share (quote currency)</t>
  </si>
  <si>
    <t xml:space="preserve">Upside vs price</t>
  </si>
  <si>
    <t xml:space="preserve">Street memo: PV of explicit-period SBC</t>
  </si>
  <si>
    <t xml:space="preserve">Street memo: PV of terminal SBC (Gordon)</t>
  </si>
  <si>
    <t xml:space="preserve">Street value per share</t>
  </si>
  <si>
    <t xml:space="preserve">Terminal value at hurdle: MAX(0,MIN(Gordon@hurdle,cap))</t>
  </si>
  <si>
    <t xml:space="preserve">Hurdle entry price (quote currency)</t>
  </si>
  <si>
    <t xml:space="preserve">0636.HK owner-FCF component DCF: base case (millions, HKD)</t>
  </si>
  <si>
    <t xml:space="preserve">0636.HK owner-FCF component DCF: bull case (millions, HKD)</t>
  </si>
  <si>
    <t xml:space="preserve">0636.HK valuation summary</t>
  </si>
  <si>
    <t xml:space="preserve">Scenario</t>
  </si>
  <si>
    <t xml:space="preserve">Value per share</t>
  </si>
  <si>
    <t xml:space="preserve">Weight</t>
  </si>
  <si>
    <t xml:space="preserve">Hurdle entry price</t>
  </si>
  <si>
    <t xml:space="preserve">Bear</t>
  </si>
  <si>
    <t xml:space="preserve">Base</t>
  </si>
  <si>
    <t xml:space="preserve">Bull</t>
  </si>
  <si>
    <t xml:space="preserve">Probability-weighted value per share</t>
  </si>
  <si>
    <t xml:space="preserve">Street weighted value per share</t>
  </si>
  <si>
    <t xml:space="preserve">Margin of safety (1 - price/weighted)</t>
  </si>
  <si>
    <t xml:space="preserve">Band position (%; 0 = house, 100 = street)</t>
  </si>
  <si>
    <t xml:space="preserve">Weighted 15% hurdle entry price</t>
  </si>
  <si>
    <t xml:space="preserve">Required-return table (base case; each row rebuilds its own terminal value)</t>
  </si>
  <si>
    <t xml:space="preserve">Rate (%)</t>
  </si>
  <si>
    <t xml:space="preserve">Value per share at 9% (WACC)</t>
  </si>
  <si>
    <t xml:space="preserve">Value per share at 10%</t>
  </si>
  <si>
    <t xml:space="preserve">Value per share at 11%</t>
  </si>
  <si>
    <t xml:space="preserve">Value per share at 12%</t>
  </si>
  <si>
    <t xml:space="preserve">Value per share at 15%</t>
  </si>
  <si>
    <t xml:space="preserve">Sensitivity: value per share, rows WACC (%) x columns terminal growth (%)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</si>
</sst>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8000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0"/>
  </cols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0" t="s">
        <v>2</v>
      </c>
      <c r="B2" s="0" t="s">
        <v>3</v>
      </c>
    </row>
    <row r="3" customFormat="false" ht="15" hidden="false" customHeight="false" outlineLevel="0" collapsed="false">
      <c r="A3" s="0" t="s">
        <v>4</v>
      </c>
      <c r="B3" s="0" t="s">
        <v>5</v>
      </c>
    </row>
    <row r="4" customFormat="false" ht="15" hidden="false" customHeight="false" outlineLevel="0" collapsed="false">
      <c r="A4" s="0" t="s">
        <v>6</v>
      </c>
      <c r="B4" s="0" t="n">
        <v>5.875</v>
      </c>
    </row>
    <row r="5" customFormat="false" ht="15" hidden="false" customHeight="false" outlineLevel="0" collapsed="false">
      <c r="A5" s="0" t="s">
        <v>7</v>
      </c>
      <c r="B5" s="0" t="s">
        <v>8</v>
      </c>
    </row>
    <row r="6" customFormat="false" ht="15" hidden="false" customHeight="false" outlineLevel="0" collapsed="false">
      <c r="A6" s="0" t="s">
        <v>9</v>
      </c>
      <c r="B6" s="0" t="s">
        <v>10</v>
      </c>
    </row>
    <row r="7" customFormat="false" ht="15" hidden="false" customHeight="false" outlineLevel="0" collapsed="false">
      <c r="A7" s="0" t="s">
        <v>11</v>
      </c>
      <c r="B7" s="0" t="s">
        <v>12</v>
      </c>
    </row>
    <row r="8" customFormat="false" ht="15" hidden="false" customHeight="false" outlineLevel="0" collapsed="false">
      <c r="A8" s="0" t="s">
        <v>13</v>
      </c>
      <c r="B8" s="0" t="s">
        <v>14</v>
      </c>
    </row>
    <row r="9" customFormat="false" ht="15" hidden="false" customHeight="false" outlineLevel="0" collapsed="false">
      <c r="A9" s="0" t="s">
        <v>15</v>
      </c>
      <c r="B9" s="0" t="s">
        <v>14</v>
      </c>
    </row>
    <row r="10" customFormat="false" ht="15" hidden="false" customHeight="false" outlineLevel="0" collapsed="false">
      <c r="A10" s="0" t="s">
        <v>16</v>
      </c>
      <c r="B10" s="0" t="s">
        <v>17</v>
      </c>
    </row>
    <row r="11" customFormat="false" ht="15" hidden="false" customHeight="false" outlineLevel="0" collapsed="false">
      <c r="A11" s="0" t="s">
        <v>18</v>
      </c>
      <c r="B11" s="0" t="s">
        <v>19</v>
      </c>
    </row>
    <row r="12" customFormat="false" ht="15" hidden="false" customHeight="false" outlineLevel="0" collapsed="false">
      <c r="A12" s="0" t="s">
        <v>20</v>
      </c>
      <c r="B12" s="0" t="s">
        <v>21</v>
      </c>
    </row>
    <row r="13" customFormat="false" ht="15" hidden="false" customHeight="false" outlineLevel="0" collapsed="false">
      <c r="A13" s="0" t="s">
        <v>22</v>
      </c>
      <c r="B13" s="0" t="s">
        <v>23</v>
      </c>
    </row>
    <row r="14" customFormat="false" ht="15" hidden="false" customHeight="false" outlineLevel="0" collapsed="false">
      <c r="A14" s="0" t="s">
        <v>24</v>
      </c>
      <c r="B14" s="0" t="s">
        <v>25</v>
      </c>
    </row>
    <row r="15" customFormat="false" ht="23.85" hidden="false" customHeight="false" outlineLevel="0" collapsed="false">
      <c r="A15" s="0" t="s">
        <v>26</v>
      </c>
      <c r="B15" s="1" t="s">
        <v>27</v>
      </c>
    </row>
    <row r="16" customFormat="false" ht="35.05" hidden="false" customHeight="false" outlineLevel="0" collapsed="false">
      <c r="A16" s="0" t="s">
        <v>28</v>
      </c>
      <c r="B16" s="1" t="s">
        <v>29</v>
      </c>
    </row>
    <row r="17" customFormat="false" ht="15" hidden="false" customHeight="false" outlineLevel="0" collapsed="false">
      <c r="A17" s="0" t="s">
        <v>30</v>
      </c>
      <c r="B17" s="0" t="s">
        <v>31</v>
      </c>
    </row>
    <row r="18" customFormat="false" ht="15" hidden="false" customHeight="false" outlineLevel="0" collapsed="false">
      <c r="A18" s="0" t="s">
        <v>32</v>
      </c>
      <c r="B18" s="0" t="s">
        <v>33</v>
      </c>
    </row>
    <row r="19" customFormat="false" ht="15" hidden="false" customHeight="false" outlineLevel="0" collapsed="false">
      <c r="A19" s="0" t="s">
        <v>34</v>
      </c>
      <c r="B19" s="0" t="s">
        <v>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2" t="s">
        <v>36</v>
      </c>
      <c r="B1" s="2" t="s">
        <v>37</v>
      </c>
      <c r="C1" s="2" t="s">
        <v>38</v>
      </c>
      <c r="D1" s="2" t="s">
        <v>39</v>
      </c>
      <c r="E1" s="2" t="s">
        <v>40</v>
      </c>
      <c r="F1" s="2" t="s">
        <v>41</v>
      </c>
      <c r="G1" s="2" t="s">
        <v>42</v>
      </c>
      <c r="H1" s="2" t="s">
        <v>43</v>
      </c>
      <c r="I1" s="2" t="s">
        <v>44</v>
      </c>
      <c r="J1" s="2" t="s">
        <v>45</v>
      </c>
      <c r="K1" s="2" t="s">
        <v>46</v>
      </c>
      <c r="L1" s="2" t="s">
        <v>47</v>
      </c>
      <c r="M1" s="2" t="s">
        <v>48</v>
      </c>
      <c r="N1" s="2" t="s">
        <v>49</v>
      </c>
      <c r="O1" s="2" t="s">
        <v>50</v>
      </c>
      <c r="P1" s="2" t="s">
        <v>51</v>
      </c>
      <c r="Q1" s="2" t="s">
        <v>52</v>
      </c>
      <c r="R1" s="2" t="s">
        <v>53</v>
      </c>
      <c r="S1" s="2" t="s">
        <v>54</v>
      </c>
      <c r="T1" s="2" t="s">
        <v>55</v>
      </c>
      <c r="U1" s="2" t="s">
        <v>56</v>
      </c>
      <c r="V1" s="2" t="s">
        <v>57</v>
      </c>
      <c r="W1" s="2" t="s">
        <v>58</v>
      </c>
      <c r="X1" s="2" t="s">
        <v>59</v>
      </c>
      <c r="Y1" s="2" t="s">
        <v>60</v>
      </c>
      <c r="Z1" s="2" t="s">
        <v>61</v>
      </c>
      <c r="AA1" s="2" t="s">
        <v>16</v>
      </c>
      <c r="AB1" s="2" t="s">
        <v>62</v>
      </c>
    </row>
    <row r="2" customFormat="false" ht="15" hidden="false" customHeight="false" outlineLevel="0" collapsed="false">
      <c r="A2" s="0" t="s">
        <v>63</v>
      </c>
      <c r="B2" s="0" t="n">
        <v>30787.654</v>
      </c>
      <c r="C2" s="0" t="n">
        <v>26606.662</v>
      </c>
      <c r="D2" s="0" t="n">
        <v>4180.992</v>
      </c>
      <c r="E2" s="0" t="n">
        <v>13.6</v>
      </c>
      <c r="F2" s="0" t="n">
        <v>3063.853</v>
      </c>
      <c r="G2" s="0" t="n">
        <v>10</v>
      </c>
      <c r="I2" s="0" t="n">
        <v>2115.897</v>
      </c>
      <c r="J2" s="0" t="n">
        <v>6.9</v>
      </c>
      <c r="K2" s="0" t="n">
        <v>1.25</v>
      </c>
      <c r="L2" s="0" t="n">
        <v>1664.946</v>
      </c>
      <c r="M2" s="0" t="n">
        <v>1589.768</v>
      </c>
      <c r="N2" s="0" t="n">
        <v>75.178</v>
      </c>
      <c r="O2" s="0" t="n">
        <v>17823.661</v>
      </c>
      <c r="P2" s="0" t="n">
        <v>37650.321</v>
      </c>
      <c r="Q2" s="0" t="n">
        <v>16383.443</v>
      </c>
      <c r="R2" s="0" t="n">
        <v>8372.312</v>
      </c>
      <c r="S2" s="0" t="n">
        <v>3569.626</v>
      </c>
      <c r="T2" s="0" t="n">
        <v>1695.78</v>
      </c>
      <c r="AA2" s="0" t="s">
        <v>17</v>
      </c>
      <c r="AB2" s="0" t="s">
        <v>14</v>
      </c>
    </row>
    <row r="3" customFormat="false" ht="15" hidden="false" customHeight="false" outlineLevel="0" collapsed="false">
      <c r="A3" s="0" t="s">
        <v>64</v>
      </c>
      <c r="B3" s="0" t="n">
        <v>38138.528</v>
      </c>
      <c r="C3" s="0" t="n">
        <v>33382.961</v>
      </c>
      <c r="D3" s="0" t="n">
        <v>4755.567</v>
      </c>
      <c r="E3" s="0" t="n">
        <v>12.5</v>
      </c>
      <c r="F3" s="0" t="n">
        <v>3491.694</v>
      </c>
      <c r="G3" s="0" t="n">
        <v>9.2</v>
      </c>
      <c r="I3" s="0" t="n">
        <v>2439.775</v>
      </c>
      <c r="J3" s="0" t="n">
        <v>6.4</v>
      </c>
      <c r="K3" s="0" t="n">
        <v>1.43</v>
      </c>
      <c r="L3" s="0" t="n">
        <v>1662.388</v>
      </c>
      <c r="M3" s="0" t="n">
        <v>1905.388</v>
      </c>
      <c r="N3" s="0" t="n">
        <v>-243</v>
      </c>
      <c r="O3" s="0" t="n">
        <v>20043.273</v>
      </c>
      <c r="P3" s="0" t="n">
        <v>43032.68</v>
      </c>
      <c r="Q3" s="0" t="n">
        <v>19365.132</v>
      </c>
      <c r="R3" s="0" t="n">
        <v>9877.375</v>
      </c>
      <c r="S3" s="0" t="n">
        <v>4305.949</v>
      </c>
      <c r="T3" s="0" t="n">
        <v>1698.72</v>
      </c>
      <c r="AA3" s="0" t="s">
        <v>17</v>
      </c>
      <c r="AB3" s="0" t="s">
        <v>14</v>
      </c>
    </row>
    <row r="4" customFormat="false" ht="15" hidden="false" customHeight="false" outlineLevel="0" collapsed="false">
      <c r="A4" s="0" t="s">
        <v>65</v>
      </c>
      <c r="B4" s="0" t="n">
        <v>41139.102</v>
      </c>
      <c r="C4" s="0" t="n">
        <v>35736.601</v>
      </c>
      <c r="D4" s="0" t="n">
        <v>5402.501</v>
      </c>
      <c r="E4" s="0" t="n">
        <v>13.1</v>
      </c>
      <c r="F4" s="0" t="n">
        <v>5200.992</v>
      </c>
      <c r="G4" s="0" t="n">
        <v>12.6</v>
      </c>
      <c r="I4" s="0" t="n">
        <v>3788.323</v>
      </c>
      <c r="J4" s="0" t="n">
        <v>9.2</v>
      </c>
      <c r="K4" s="0" t="n">
        <v>2.21</v>
      </c>
      <c r="L4" s="0" t="n">
        <v>3203.734</v>
      </c>
      <c r="M4" s="0" t="n">
        <v>1713.815</v>
      </c>
      <c r="N4" s="0" t="n">
        <v>1489.919</v>
      </c>
      <c r="O4" s="0" t="n">
        <v>23013.349</v>
      </c>
      <c r="P4" s="0" t="n">
        <v>49203.969</v>
      </c>
      <c r="Q4" s="0" t="n">
        <v>22129.474</v>
      </c>
      <c r="R4" s="0" t="n">
        <v>8579.165</v>
      </c>
      <c r="S4" s="0" t="n">
        <v>5825.246</v>
      </c>
      <c r="T4" s="0" t="n">
        <v>1711.92</v>
      </c>
      <c r="AA4" s="0" t="s">
        <v>17</v>
      </c>
      <c r="AB4" s="0" t="s">
        <v>14</v>
      </c>
    </row>
    <row r="5" customFormat="false" ht="15" hidden="false" customHeight="false" outlineLevel="0" collapsed="false">
      <c r="A5" s="0" t="s">
        <v>66</v>
      </c>
      <c r="B5" s="0" t="n">
        <v>53360.54</v>
      </c>
      <c r="C5" s="0" t="n">
        <v>47187.538</v>
      </c>
      <c r="D5" s="0" t="n">
        <v>6173.002</v>
      </c>
      <c r="E5" s="0" t="n">
        <v>11.6</v>
      </c>
      <c r="F5" s="0" t="n">
        <v>4427.196</v>
      </c>
      <c r="G5" s="0" t="n">
        <v>8.3</v>
      </c>
      <c r="I5" s="0" t="n">
        <v>2895.757</v>
      </c>
      <c r="J5" s="0" t="n">
        <v>5.4</v>
      </c>
      <c r="K5" s="0" t="n">
        <v>1.63</v>
      </c>
      <c r="L5" s="0" t="n">
        <v>4326.184</v>
      </c>
      <c r="M5" s="0" t="n">
        <v>1339.596</v>
      </c>
      <c r="N5" s="0" t="n">
        <v>2986.588</v>
      </c>
      <c r="O5" s="0" t="n">
        <v>27482.899</v>
      </c>
      <c r="P5" s="0" t="n">
        <v>56900.047</v>
      </c>
      <c r="Q5" s="0" t="n">
        <v>24420.112</v>
      </c>
      <c r="R5" s="0" t="n">
        <v>9465.793</v>
      </c>
      <c r="S5" s="0" t="n">
        <v>8470.843</v>
      </c>
      <c r="T5" s="0" t="n">
        <v>1775.28</v>
      </c>
      <c r="AA5" s="0" t="s">
        <v>17</v>
      </c>
      <c r="AB5" s="0" t="s">
        <v>14</v>
      </c>
    </row>
    <row r="6" customFormat="false" ht="15" hidden="false" customHeight="false" outlineLevel="0" collapsed="false">
      <c r="A6" s="0" t="s">
        <v>67</v>
      </c>
      <c r="B6" s="0" t="n">
        <v>78954.724</v>
      </c>
      <c r="C6" s="0" t="n">
        <v>69950.781</v>
      </c>
      <c r="D6" s="0" t="n">
        <v>9003.943</v>
      </c>
      <c r="E6" s="0" t="n">
        <v>11.4</v>
      </c>
      <c r="F6" s="0" t="n">
        <v>5657.055</v>
      </c>
      <c r="G6" s="0" t="n">
        <v>7.2</v>
      </c>
      <c r="I6" s="0" t="n">
        <v>7938.653</v>
      </c>
      <c r="J6" s="0" t="n">
        <v>10.1</v>
      </c>
      <c r="K6" s="0" t="n">
        <v>4.39</v>
      </c>
      <c r="L6" s="0" t="n">
        <v>5772.99</v>
      </c>
      <c r="M6" s="0" t="n">
        <v>1736.284</v>
      </c>
      <c r="N6" s="0" t="n">
        <v>4036.706</v>
      </c>
      <c r="O6" s="0" t="n">
        <v>21043.887</v>
      </c>
      <c r="P6" s="0" t="n">
        <v>48162.376</v>
      </c>
      <c r="Q6" s="0" t="n">
        <v>23325.66</v>
      </c>
      <c r="R6" s="0" t="n">
        <v>6343.008</v>
      </c>
      <c r="S6" s="0" t="n">
        <v>9084.105</v>
      </c>
      <c r="T6" s="0" t="n">
        <v>1803.15</v>
      </c>
      <c r="AA6" s="0" t="s">
        <v>17</v>
      </c>
      <c r="AB6" s="0" t="s">
        <v>14</v>
      </c>
    </row>
    <row r="7" customFormat="false" ht="15" hidden="false" customHeight="false" outlineLevel="0" collapsed="false">
      <c r="A7" s="0" t="s">
        <v>68</v>
      </c>
      <c r="B7" s="0" t="n">
        <v>86649.463</v>
      </c>
      <c r="C7" s="0" t="n">
        <v>78297.812</v>
      </c>
      <c r="D7" s="0" t="n">
        <v>8351.651</v>
      </c>
      <c r="E7" s="0" t="n">
        <v>9.6</v>
      </c>
      <c r="F7" s="0" t="n">
        <v>5301.919</v>
      </c>
      <c r="G7" s="0" t="n">
        <v>6.1</v>
      </c>
      <c r="I7" s="0" t="n">
        <v>3579.191</v>
      </c>
      <c r="J7" s="0" t="n">
        <v>4.1</v>
      </c>
      <c r="K7" s="0" t="n">
        <v>1.98</v>
      </c>
      <c r="L7" s="0" t="n">
        <v>5383.912</v>
      </c>
      <c r="M7" s="0" t="n">
        <v>1618.433</v>
      </c>
      <c r="N7" s="0" t="n">
        <v>3765.479</v>
      </c>
      <c r="O7" s="0" t="n">
        <v>18429.094</v>
      </c>
      <c r="P7" s="0" t="n">
        <v>45334.073</v>
      </c>
      <c r="Q7" s="0" t="n">
        <v>24084.368</v>
      </c>
      <c r="R7" s="0" t="n">
        <v>9112.656</v>
      </c>
      <c r="S7" s="0" t="n">
        <v>9240.365</v>
      </c>
      <c r="T7" s="0" t="n">
        <v>1807.38</v>
      </c>
      <c r="AA7" s="0" t="s">
        <v>17</v>
      </c>
      <c r="AB7" s="0" t="s">
        <v>14</v>
      </c>
    </row>
    <row r="8" customFormat="false" ht="15" hidden="false" customHeight="false" outlineLevel="0" collapsed="false">
      <c r="A8" s="0" t="s">
        <v>69</v>
      </c>
      <c r="B8" s="0" t="n">
        <v>47407.559</v>
      </c>
      <c r="C8" s="0" t="n">
        <v>42506.403</v>
      </c>
      <c r="D8" s="0" t="n">
        <v>4901.156</v>
      </c>
      <c r="E8" s="0" t="n">
        <v>10.3</v>
      </c>
      <c r="F8" s="0" t="n">
        <v>2288.025</v>
      </c>
      <c r="G8" s="0" t="n">
        <v>4.8</v>
      </c>
      <c r="I8" s="0" t="n">
        <v>791.165</v>
      </c>
      <c r="J8" s="0" t="n">
        <v>1.7</v>
      </c>
      <c r="K8" s="0" t="n">
        <v>0.44</v>
      </c>
      <c r="L8" s="0" t="n">
        <v>2946.286</v>
      </c>
      <c r="M8" s="0" t="n">
        <v>834.545</v>
      </c>
      <c r="N8" s="0" t="n">
        <v>2111.741</v>
      </c>
      <c r="O8" s="0" t="n">
        <v>16812.279</v>
      </c>
      <c r="P8" s="0" t="n">
        <v>42120.915</v>
      </c>
      <c r="Q8" s="0" t="n">
        <v>22013.656</v>
      </c>
      <c r="R8" s="0" t="n">
        <v>8831.507</v>
      </c>
      <c r="S8" s="0" t="n">
        <v>6521.438</v>
      </c>
      <c r="T8" s="0" t="n">
        <v>1806.46</v>
      </c>
      <c r="U8" s="0" t="n">
        <v>69.16</v>
      </c>
      <c r="AA8" s="0" t="s">
        <v>17</v>
      </c>
      <c r="AB8" s="0" t="s">
        <v>14</v>
      </c>
    </row>
    <row r="9" customFormat="false" ht="15" hidden="false" customHeight="false" outlineLevel="0" collapsed="false">
      <c r="A9" s="0" t="s">
        <v>70</v>
      </c>
      <c r="B9" s="0" t="n">
        <v>58274.404</v>
      </c>
      <c r="C9" s="0" t="n">
        <v>52627.332</v>
      </c>
      <c r="D9" s="0" t="n">
        <v>5647.072</v>
      </c>
      <c r="E9" s="0" t="n">
        <v>9.7</v>
      </c>
      <c r="F9" s="0" t="n">
        <v>2814.135</v>
      </c>
      <c r="G9" s="0" t="n">
        <v>4.8</v>
      </c>
      <c r="I9" s="0" t="n">
        <v>1541.524</v>
      </c>
      <c r="J9" s="0" t="n">
        <v>2.6</v>
      </c>
      <c r="K9" s="0" t="n">
        <v>0.85</v>
      </c>
      <c r="L9" s="0" t="n">
        <v>2869.933</v>
      </c>
      <c r="M9" s="0" t="n">
        <v>781.328</v>
      </c>
      <c r="N9" s="0" t="n">
        <v>2088.605</v>
      </c>
      <c r="O9" s="0" t="n">
        <v>15981.653</v>
      </c>
      <c r="P9" s="0" t="n">
        <v>42702.485</v>
      </c>
      <c r="Q9" s="0" t="n">
        <v>23623.354</v>
      </c>
      <c r="R9" s="0" t="n">
        <v>9214.847</v>
      </c>
      <c r="S9" s="0" t="n">
        <v>6577.951</v>
      </c>
      <c r="T9" s="0" t="n">
        <v>1804.14</v>
      </c>
      <c r="AA9" s="0" t="s">
        <v>17</v>
      </c>
      <c r="AB9" s="0" t="s">
        <v>14</v>
      </c>
    </row>
    <row r="10" customFormat="false" ht="15" hidden="false" customHeight="false" outlineLevel="0" collapsed="false">
      <c r="A10" s="0" t="s">
        <v>71</v>
      </c>
      <c r="B10" s="0" t="n">
        <v>56335.842</v>
      </c>
      <c r="C10" s="0" t="n">
        <v>50444.966</v>
      </c>
      <c r="D10" s="0" t="n">
        <v>5890.876</v>
      </c>
      <c r="E10" s="0" t="n">
        <v>10.5</v>
      </c>
      <c r="F10" s="0" t="n">
        <v>2794.884</v>
      </c>
      <c r="G10" s="0" t="n">
        <v>5</v>
      </c>
      <c r="I10" s="0" t="n">
        <v>1410.926</v>
      </c>
      <c r="J10" s="0" t="n">
        <v>2.5</v>
      </c>
      <c r="K10" s="0" t="n">
        <v>0.78</v>
      </c>
      <c r="L10" s="0" t="n">
        <v>2919.112</v>
      </c>
      <c r="M10" s="0" t="n">
        <v>641.476</v>
      </c>
      <c r="N10" s="0" t="n">
        <v>2277.636</v>
      </c>
      <c r="O10" s="0" t="n">
        <v>17718.586</v>
      </c>
      <c r="P10" s="0" t="n">
        <v>43790.782</v>
      </c>
      <c r="Q10" s="0" t="n">
        <v>23631.484</v>
      </c>
      <c r="R10" s="0" t="n">
        <v>9041.067</v>
      </c>
      <c r="S10" s="0" t="n">
        <v>6339.675</v>
      </c>
      <c r="T10" s="0" t="n">
        <v>1801.94</v>
      </c>
      <c r="AA10" s="0" t="s">
        <v>17</v>
      </c>
      <c r="AB10" s="0" t="s">
        <v>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</cols>
  <sheetData>
    <row r="1" customFormat="false" ht="15" hidden="false" customHeight="false" outlineLevel="0" collapsed="false">
      <c r="A1" s="2" t="s">
        <v>72</v>
      </c>
      <c r="B1" s="2" t="s">
        <v>73</v>
      </c>
    </row>
    <row r="2" customFormat="false" ht="15" hidden="false" customHeight="false" outlineLevel="0" collapsed="false">
      <c r="A2" s="0" t="s">
        <v>74</v>
      </c>
      <c r="B2" s="3" t="n">
        <v>5.875</v>
      </c>
    </row>
    <row r="3" customFormat="false" ht="15" hidden="false" customHeight="false" outlineLevel="0" collapsed="false">
      <c r="A3" s="0" t="s">
        <v>75</v>
      </c>
      <c r="B3" s="3" t="n">
        <v>1802.128</v>
      </c>
    </row>
    <row r="4" customFormat="false" ht="15" hidden="false" customHeight="false" outlineLevel="0" collapsed="false">
      <c r="A4" s="0" t="s">
        <v>76</v>
      </c>
      <c r="B4" s="3" t="n">
        <v>3060.09</v>
      </c>
    </row>
    <row r="5" customFormat="false" ht="15" hidden="false" customHeight="false" outlineLevel="0" collapsed="false">
      <c r="A5" s="0" t="s">
        <v>77</v>
      </c>
      <c r="B5" s="3" t="n">
        <v>1855.612</v>
      </c>
    </row>
    <row r="6" customFormat="false" ht="15" hidden="false" customHeight="false" outlineLevel="0" collapsed="false">
      <c r="A6" s="0" t="s">
        <v>78</v>
      </c>
      <c r="B6" s="3" t="n">
        <v>15</v>
      </c>
    </row>
    <row r="7" customFormat="false" ht="15" hidden="false" customHeight="false" outlineLevel="0" collapsed="false">
      <c r="A7" s="0" t="s">
        <v>79</v>
      </c>
      <c r="B7" s="3" t="n">
        <v>56335.842</v>
      </c>
    </row>
    <row r="8" customFormat="false" ht="15" hidden="false" customHeight="false" outlineLevel="0" collapsed="false">
      <c r="A8" s="0" t="s">
        <v>80</v>
      </c>
      <c r="B8" s="3" t="s">
        <v>71</v>
      </c>
    </row>
    <row r="9" customFormat="false" ht="15" hidden="false" customHeight="false" outlineLevel="0" collapsed="false">
      <c r="A9" s="0" t="s">
        <v>81</v>
      </c>
      <c r="B9" s="3" t="s">
        <v>82</v>
      </c>
    </row>
    <row r="10" customFormat="false" ht="15" hidden="false" customHeight="false" outlineLevel="0" collapsed="false">
      <c r="A10" s="0" t="s">
        <v>83</v>
      </c>
      <c r="B10" s="3" t="n">
        <v>1</v>
      </c>
    </row>
    <row r="12" customFormat="false" ht="15" hidden="false" customHeight="false" outlineLevel="0" collapsed="false">
      <c r="A12" s="2" t="s">
        <v>84</v>
      </c>
      <c r="C12" s="2" t="s">
        <v>85</v>
      </c>
      <c r="D12" s="2" t="s">
        <v>86</v>
      </c>
      <c r="E12" s="2" t="s">
        <v>87</v>
      </c>
      <c r="F12" s="2" t="s">
        <v>88</v>
      </c>
      <c r="G12" s="2" t="s">
        <v>89</v>
      </c>
      <c r="H12" s="2" t="s">
        <v>90</v>
      </c>
      <c r="I12" s="2" t="s">
        <v>91</v>
      </c>
      <c r="J12" s="2" t="s">
        <v>92</v>
      </c>
      <c r="K12" s="2" t="s">
        <v>93</v>
      </c>
      <c r="L12" s="2" t="s">
        <v>94</v>
      </c>
    </row>
    <row r="13" customFormat="false" ht="15" hidden="false" customHeight="false" outlineLevel="0" collapsed="false">
      <c r="A13" s="0" t="s">
        <v>95</v>
      </c>
      <c r="C13" s="3" t="n">
        <v>4</v>
      </c>
      <c r="D13" s="3" t="n">
        <v>-6</v>
      </c>
      <c r="E13" s="3" t="n">
        <v>1</v>
      </c>
      <c r="F13" s="3" t="n">
        <v>2</v>
      </c>
      <c r="G13" s="3" t="n">
        <v>2.5</v>
      </c>
      <c r="H13" s="3" t="n">
        <v>2.5</v>
      </c>
      <c r="I13" s="3" t="n">
        <v>2</v>
      </c>
      <c r="J13" s="3" t="n">
        <v>2</v>
      </c>
      <c r="K13" s="3" t="n">
        <v>2</v>
      </c>
      <c r="L13" s="3" t="n">
        <v>2</v>
      </c>
    </row>
    <row r="14" customFormat="false" ht="15" hidden="false" customHeight="false" outlineLevel="0" collapsed="false">
      <c r="A14" s="0" t="s">
        <v>96</v>
      </c>
      <c r="C14" s="3" t="n">
        <v>6.8</v>
      </c>
      <c r="D14" s="3" t="n">
        <v>6.3</v>
      </c>
      <c r="E14" s="3" t="n">
        <v>6.4</v>
      </c>
      <c r="F14" s="3" t="n">
        <v>6.5</v>
      </c>
      <c r="G14" s="3" t="n">
        <v>6.5</v>
      </c>
      <c r="H14" s="3" t="n">
        <v>6.5</v>
      </c>
      <c r="I14" s="3" t="n">
        <v>6.5</v>
      </c>
      <c r="J14" s="3" t="n">
        <v>6.5</v>
      </c>
      <c r="K14" s="3" t="n">
        <v>6.5</v>
      </c>
      <c r="L14" s="3" t="n">
        <v>6.5</v>
      </c>
    </row>
    <row r="15" customFormat="false" ht="15" hidden="false" customHeight="false" outlineLevel="0" collapsed="false">
      <c r="A15" s="0" t="s">
        <v>97</v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</row>
    <row r="16" customFormat="false" ht="15" hidden="false" customHeight="false" outlineLevel="0" collapsed="false">
      <c r="A16" s="0" t="s">
        <v>98</v>
      </c>
      <c r="C16" s="3" t="n">
        <v>1.95</v>
      </c>
      <c r="D16" s="3" t="n">
        <v>1.95</v>
      </c>
      <c r="E16" s="3" t="n">
        <v>1.95</v>
      </c>
      <c r="F16" s="3" t="n">
        <v>1.95</v>
      </c>
      <c r="G16" s="3" t="n">
        <v>1.95</v>
      </c>
      <c r="H16" s="3" t="n">
        <v>1.95</v>
      </c>
      <c r="I16" s="3" t="n">
        <v>1.95</v>
      </c>
      <c r="J16" s="3" t="n">
        <v>1.95</v>
      </c>
      <c r="K16" s="3" t="n">
        <v>1.95</v>
      </c>
      <c r="L16" s="3" t="n">
        <v>1.95</v>
      </c>
    </row>
    <row r="17" customFormat="false" ht="15" hidden="false" customHeight="false" outlineLevel="0" collapsed="false">
      <c r="A17" s="0" t="s">
        <v>99</v>
      </c>
      <c r="C17" s="3" t="n">
        <v>1.2</v>
      </c>
      <c r="D17" s="3" t="n">
        <v>1.2</v>
      </c>
      <c r="E17" s="3" t="n">
        <v>1.2</v>
      </c>
      <c r="F17" s="3" t="n">
        <v>1.2</v>
      </c>
      <c r="G17" s="3" t="n">
        <v>1.2</v>
      </c>
      <c r="H17" s="3" t="n">
        <v>1.2</v>
      </c>
      <c r="I17" s="3" t="n">
        <v>1.2</v>
      </c>
      <c r="J17" s="3" t="n">
        <v>1.2</v>
      </c>
      <c r="K17" s="3" t="n">
        <v>1.2</v>
      </c>
      <c r="L17" s="3" t="n">
        <v>1.2</v>
      </c>
    </row>
    <row r="18" customFormat="false" ht="15" hidden="false" customHeight="false" outlineLevel="0" collapsed="false">
      <c r="A18" s="0" t="s">
        <v>100</v>
      </c>
      <c r="C18" s="3" t="n">
        <v>1.25</v>
      </c>
      <c r="D18" s="3" t="n">
        <v>1.25</v>
      </c>
      <c r="E18" s="3" t="n">
        <v>1.25</v>
      </c>
      <c r="F18" s="3" t="n">
        <v>1.25</v>
      </c>
      <c r="G18" s="3" t="n">
        <v>1.25</v>
      </c>
      <c r="H18" s="3" t="n">
        <v>1.25</v>
      </c>
      <c r="I18" s="3" t="n">
        <v>1.25</v>
      </c>
      <c r="J18" s="3" t="n">
        <v>1.25</v>
      </c>
      <c r="K18" s="3" t="n">
        <v>1.25</v>
      </c>
      <c r="L18" s="3" t="n">
        <v>1.25</v>
      </c>
    </row>
    <row r="19" customFormat="false" ht="15" hidden="false" customHeight="false" outlineLevel="0" collapsed="false">
      <c r="A19" s="0" t="s">
        <v>101</v>
      </c>
      <c r="C19" s="3" t="n">
        <v>41</v>
      </c>
      <c r="D19" s="3" t="n">
        <v>41</v>
      </c>
      <c r="E19" s="3" t="n">
        <v>41</v>
      </c>
      <c r="F19" s="3" t="n">
        <v>41</v>
      </c>
      <c r="G19" s="3" t="n">
        <v>41</v>
      </c>
      <c r="H19" s="3" t="n">
        <v>41</v>
      </c>
      <c r="I19" s="3" t="n">
        <v>41</v>
      </c>
      <c r="J19" s="3" t="n">
        <v>41</v>
      </c>
      <c r="K19" s="3" t="n">
        <v>41</v>
      </c>
      <c r="L19" s="3" t="n">
        <v>41</v>
      </c>
    </row>
    <row r="20" customFormat="false" ht="15" hidden="false" customHeight="false" outlineLevel="0" collapsed="false">
      <c r="A20" s="0" t="s">
        <v>102</v>
      </c>
      <c r="B20" s="3" t="n">
        <v>9</v>
      </c>
    </row>
    <row r="21" customFormat="false" ht="15" hidden="false" customHeight="false" outlineLevel="0" collapsed="false">
      <c r="A21" s="0" t="s">
        <v>103</v>
      </c>
      <c r="B21" s="3" t="n">
        <v>2</v>
      </c>
    </row>
    <row r="22" customFormat="false" ht="15" hidden="false" customHeight="false" outlineLevel="0" collapsed="false">
      <c r="A22" s="0" t="s">
        <v>104</v>
      </c>
      <c r="B22" s="3" t="n">
        <v>12</v>
      </c>
    </row>
    <row r="23" customFormat="false" ht="15" hidden="false" customHeight="false" outlineLevel="0" collapsed="false">
      <c r="A23" s="0" t="s">
        <v>105</v>
      </c>
      <c r="B23" s="3" t="n">
        <v>-8</v>
      </c>
    </row>
    <row r="24" customFormat="false" ht="15" hidden="false" customHeight="false" outlineLevel="0" collapsed="false">
      <c r="A24" s="0" t="s">
        <v>106</v>
      </c>
      <c r="B24" s="3" t="n">
        <v>0.25</v>
      </c>
    </row>
    <row r="26" customFormat="false" ht="15" hidden="false" customHeight="false" outlineLevel="0" collapsed="false">
      <c r="A26" s="2" t="s">
        <v>107</v>
      </c>
      <c r="C26" s="2" t="s">
        <v>85</v>
      </c>
      <c r="D26" s="2" t="s">
        <v>86</v>
      </c>
      <c r="E26" s="2" t="s">
        <v>87</v>
      </c>
      <c r="F26" s="2" t="s">
        <v>88</v>
      </c>
      <c r="G26" s="2" t="s">
        <v>89</v>
      </c>
      <c r="H26" s="2" t="s">
        <v>90</v>
      </c>
      <c r="I26" s="2" t="s">
        <v>91</v>
      </c>
      <c r="J26" s="2" t="s">
        <v>92</v>
      </c>
      <c r="K26" s="2" t="s">
        <v>93</v>
      </c>
      <c r="L26" s="2" t="s">
        <v>94</v>
      </c>
    </row>
    <row r="27" customFormat="false" ht="15" hidden="false" customHeight="false" outlineLevel="0" collapsed="false">
      <c r="A27" s="0" t="s">
        <v>95</v>
      </c>
      <c r="C27" s="3" t="n">
        <v>7</v>
      </c>
      <c r="D27" s="3" t="n">
        <v>4</v>
      </c>
      <c r="E27" s="3" t="n">
        <v>4</v>
      </c>
      <c r="F27" s="3" t="n">
        <v>4</v>
      </c>
      <c r="G27" s="3" t="n">
        <v>4</v>
      </c>
      <c r="H27" s="3" t="n">
        <v>3.5</v>
      </c>
      <c r="I27" s="3" t="n">
        <v>3.5</v>
      </c>
      <c r="J27" s="3" t="n">
        <v>3</v>
      </c>
      <c r="K27" s="3" t="n">
        <v>3</v>
      </c>
      <c r="L27" s="3" t="n">
        <v>3</v>
      </c>
    </row>
    <row r="28" customFormat="false" ht="15" hidden="false" customHeight="false" outlineLevel="0" collapsed="false">
      <c r="A28" s="0" t="s">
        <v>96</v>
      </c>
      <c r="C28" s="3" t="n">
        <v>7</v>
      </c>
      <c r="D28" s="3" t="n">
        <v>7.1</v>
      </c>
      <c r="E28" s="3" t="n">
        <v>7.2</v>
      </c>
      <c r="F28" s="3" t="n">
        <v>7.3</v>
      </c>
      <c r="G28" s="3" t="n">
        <v>7.4</v>
      </c>
      <c r="H28" s="3" t="n">
        <v>7.4</v>
      </c>
      <c r="I28" s="3" t="n">
        <v>7.4</v>
      </c>
      <c r="J28" s="3" t="n">
        <v>7.4</v>
      </c>
      <c r="K28" s="3" t="n">
        <v>7.4</v>
      </c>
      <c r="L28" s="3" t="n">
        <v>7.4</v>
      </c>
    </row>
    <row r="29" customFormat="false" ht="15" hidden="false" customHeight="false" outlineLevel="0" collapsed="false">
      <c r="A29" s="0" t="s">
        <v>97</v>
      </c>
      <c r="C29" s="3" t="n">
        <v>0</v>
      </c>
      <c r="D29" s="3" t="n">
        <v>0</v>
      </c>
      <c r="E29" s="3" t="n">
        <v>0</v>
      </c>
      <c r="F29" s="3" t="n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</row>
    <row r="30" customFormat="false" ht="15" hidden="false" customHeight="false" outlineLevel="0" collapsed="false">
      <c r="A30" s="0" t="s">
        <v>98</v>
      </c>
      <c r="C30" s="3" t="n">
        <v>1.9</v>
      </c>
      <c r="D30" s="3" t="n">
        <v>1.9</v>
      </c>
      <c r="E30" s="3" t="n">
        <v>1.9</v>
      </c>
      <c r="F30" s="3" t="n">
        <v>1.9</v>
      </c>
      <c r="G30" s="3" t="n">
        <v>1.9</v>
      </c>
      <c r="H30" s="3" t="n">
        <v>1.9</v>
      </c>
      <c r="I30" s="3" t="n">
        <v>1.9</v>
      </c>
      <c r="J30" s="3" t="n">
        <v>1.9</v>
      </c>
      <c r="K30" s="3" t="n">
        <v>1.9</v>
      </c>
      <c r="L30" s="3" t="n">
        <v>1.9</v>
      </c>
    </row>
    <row r="31" customFormat="false" ht="15" hidden="false" customHeight="false" outlineLevel="0" collapsed="false">
      <c r="A31" s="0" t="s">
        <v>99</v>
      </c>
      <c r="C31" s="3" t="n">
        <v>1.2</v>
      </c>
      <c r="D31" s="3" t="n">
        <v>1.2</v>
      </c>
      <c r="E31" s="3" t="n">
        <v>1.2</v>
      </c>
      <c r="F31" s="3" t="n">
        <v>1.2</v>
      </c>
      <c r="G31" s="3" t="n">
        <v>1.2</v>
      </c>
      <c r="H31" s="3" t="n">
        <v>1.2</v>
      </c>
      <c r="I31" s="3" t="n">
        <v>1.2</v>
      </c>
      <c r="J31" s="3" t="n">
        <v>1.2</v>
      </c>
      <c r="K31" s="3" t="n">
        <v>1.2</v>
      </c>
      <c r="L31" s="3" t="n">
        <v>1.2</v>
      </c>
    </row>
    <row r="32" customFormat="false" ht="15" hidden="false" customHeight="false" outlineLevel="0" collapsed="false">
      <c r="A32" s="0" t="s">
        <v>100</v>
      </c>
      <c r="C32" s="3" t="n">
        <v>1.3</v>
      </c>
      <c r="D32" s="3" t="n">
        <v>1.3</v>
      </c>
      <c r="E32" s="3" t="n">
        <v>1.3</v>
      </c>
      <c r="F32" s="3" t="n">
        <v>1.3</v>
      </c>
      <c r="G32" s="3" t="n">
        <v>1.3</v>
      </c>
      <c r="H32" s="3" t="n">
        <v>1.3</v>
      </c>
      <c r="I32" s="3" t="n">
        <v>1.3</v>
      </c>
      <c r="J32" s="3" t="n">
        <v>1.3</v>
      </c>
      <c r="K32" s="3" t="n">
        <v>1.3</v>
      </c>
      <c r="L32" s="3" t="n">
        <v>1.3</v>
      </c>
    </row>
    <row r="33" customFormat="false" ht="15" hidden="false" customHeight="false" outlineLevel="0" collapsed="false">
      <c r="A33" s="0" t="s">
        <v>101</v>
      </c>
      <c r="C33" s="3" t="n">
        <v>41</v>
      </c>
      <c r="D33" s="3" t="n">
        <v>41</v>
      </c>
      <c r="E33" s="3" t="n">
        <v>41</v>
      </c>
      <c r="F33" s="3" t="n">
        <v>41</v>
      </c>
      <c r="G33" s="3" t="n">
        <v>41</v>
      </c>
      <c r="H33" s="3" t="n">
        <v>41</v>
      </c>
      <c r="I33" s="3" t="n">
        <v>41</v>
      </c>
      <c r="J33" s="3" t="n">
        <v>41</v>
      </c>
      <c r="K33" s="3" t="n">
        <v>41</v>
      </c>
      <c r="L33" s="3" t="n">
        <v>41</v>
      </c>
    </row>
    <row r="34" customFormat="false" ht="15" hidden="false" customHeight="false" outlineLevel="0" collapsed="false">
      <c r="A34" s="0" t="s">
        <v>102</v>
      </c>
      <c r="B34" s="3" t="n">
        <v>9</v>
      </c>
    </row>
    <row r="35" customFormat="false" ht="15" hidden="false" customHeight="false" outlineLevel="0" collapsed="false">
      <c r="A35" s="0" t="s">
        <v>103</v>
      </c>
      <c r="B35" s="3" t="n">
        <v>2.5</v>
      </c>
    </row>
    <row r="36" customFormat="false" ht="15" hidden="false" customHeight="false" outlineLevel="0" collapsed="false">
      <c r="A36" s="0" t="s">
        <v>104</v>
      </c>
      <c r="B36" s="3" t="n">
        <v>12</v>
      </c>
    </row>
    <row r="37" customFormat="false" ht="15" hidden="false" customHeight="false" outlineLevel="0" collapsed="false">
      <c r="A37" s="0" t="s">
        <v>105</v>
      </c>
      <c r="B37" s="3" t="n">
        <v>-8</v>
      </c>
    </row>
    <row r="38" customFormat="false" ht="15" hidden="false" customHeight="false" outlineLevel="0" collapsed="false">
      <c r="A38" s="0" t="s">
        <v>106</v>
      </c>
      <c r="B38" s="3" t="n">
        <v>0.5</v>
      </c>
    </row>
    <row r="40" customFormat="false" ht="15" hidden="false" customHeight="false" outlineLevel="0" collapsed="false">
      <c r="A40" s="2" t="s">
        <v>108</v>
      </c>
      <c r="C40" s="2" t="s">
        <v>85</v>
      </c>
      <c r="D40" s="2" t="s">
        <v>86</v>
      </c>
      <c r="E40" s="2" t="s">
        <v>87</v>
      </c>
      <c r="F40" s="2" t="s">
        <v>88</v>
      </c>
      <c r="G40" s="2" t="s">
        <v>89</v>
      </c>
      <c r="H40" s="2" t="s">
        <v>90</v>
      </c>
      <c r="I40" s="2" t="s">
        <v>91</v>
      </c>
      <c r="J40" s="2" t="s">
        <v>92</v>
      </c>
      <c r="K40" s="2" t="s">
        <v>93</v>
      </c>
      <c r="L40" s="2" t="s">
        <v>94</v>
      </c>
    </row>
    <row r="41" customFormat="false" ht="15" hidden="false" customHeight="false" outlineLevel="0" collapsed="false">
      <c r="A41" s="0" t="s">
        <v>95</v>
      </c>
      <c r="C41" s="3" t="n">
        <v>9</v>
      </c>
      <c r="D41" s="3" t="n">
        <v>7</v>
      </c>
      <c r="E41" s="3" t="n">
        <v>7</v>
      </c>
      <c r="F41" s="3" t="n">
        <v>6</v>
      </c>
      <c r="G41" s="3" t="n">
        <v>6</v>
      </c>
      <c r="H41" s="3" t="n">
        <v>5</v>
      </c>
      <c r="I41" s="3" t="n">
        <v>4</v>
      </c>
      <c r="J41" s="3" t="n">
        <v>3.5</v>
      </c>
      <c r="K41" s="3" t="n">
        <v>3</v>
      </c>
      <c r="L41" s="3" t="n">
        <v>3</v>
      </c>
    </row>
    <row r="42" customFormat="false" ht="15" hidden="false" customHeight="false" outlineLevel="0" collapsed="false">
      <c r="A42" s="0" t="s">
        <v>96</v>
      </c>
      <c r="C42" s="3" t="n">
        <v>7.2</v>
      </c>
      <c r="D42" s="3" t="n">
        <v>7.5</v>
      </c>
      <c r="E42" s="3" t="n">
        <v>7.8</v>
      </c>
      <c r="F42" s="3" t="n">
        <v>8</v>
      </c>
      <c r="G42" s="3" t="n">
        <v>8.2</v>
      </c>
      <c r="H42" s="3" t="n">
        <v>8.3</v>
      </c>
      <c r="I42" s="3" t="n">
        <v>8.3</v>
      </c>
      <c r="J42" s="3" t="n">
        <v>8.3</v>
      </c>
      <c r="K42" s="3" t="n">
        <v>8.3</v>
      </c>
      <c r="L42" s="3" t="n">
        <v>8.3</v>
      </c>
    </row>
    <row r="43" customFormat="false" ht="15" hidden="false" customHeight="false" outlineLevel="0" collapsed="false">
      <c r="A43" s="0" t="s">
        <v>97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</row>
    <row r="44" customFormat="false" ht="15" hidden="false" customHeight="false" outlineLevel="0" collapsed="false">
      <c r="A44" s="0" t="s">
        <v>98</v>
      </c>
      <c r="C44" s="3" t="n">
        <v>1.9</v>
      </c>
      <c r="D44" s="3" t="n">
        <v>1.9</v>
      </c>
      <c r="E44" s="3" t="n">
        <v>1.9</v>
      </c>
      <c r="F44" s="3" t="n">
        <v>1.9</v>
      </c>
      <c r="G44" s="3" t="n">
        <v>1.9</v>
      </c>
      <c r="H44" s="3" t="n">
        <v>1.9</v>
      </c>
      <c r="I44" s="3" t="n">
        <v>1.9</v>
      </c>
      <c r="J44" s="3" t="n">
        <v>1.9</v>
      </c>
      <c r="K44" s="3" t="n">
        <v>1.9</v>
      </c>
      <c r="L44" s="3" t="n">
        <v>1.9</v>
      </c>
    </row>
    <row r="45" customFormat="false" ht="15" hidden="false" customHeight="false" outlineLevel="0" collapsed="false">
      <c r="A45" s="0" t="s">
        <v>99</v>
      </c>
      <c r="C45" s="3" t="n">
        <v>1.2</v>
      </c>
      <c r="D45" s="3" t="n">
        <v>1.2</v>
      </c>
      <c r="E45" s="3" t="n">
        <v>1.2</v>
      </c>
      <c r="F45" s="3" t="n">
        <v>1.2</v>
      </c>
      <c r="G45" s="3" t="n">
        <v>1.2</v>
      </c>
      <c r="H45" s="3" t="n">
        <v>1.2</v>
      </c>
      <c r="I45" s="3" t="n">
        <v>1.2</v>
      </c>
      <c r="J45" s="3" t="n">
        <v>1.2</v>
      </c>
      <c r="K45" s="3" t="n">
        <v>1.2</v>
      </c>
      <c r="L45" s="3" t="n">
        <v>1.2</v>
      </c>
    </row>
    <row r="46" customFormat="false" ht="15" hidden="false" customHeight="false" outlineLevel="0" collapsed="false">
      <c r="A46" s="0" t="s">
        <v>100</v>
      </c>
      <c r="C46" s="3" t="n">
        <v>1.35</v>
      </c>
      <c r="D46" s="3" t="n">
        <v>1.35</v>
      </c>
      <c r="E46" s="3" t="n">
        <v>1.35</v>
      </c>
      <c r="F46" s="3" t="n">
        <v>1.35</v>
      </c>
      <c r="G46" s="3" t="n">
        <v>1.35</v>
      </c>
      <c r="H46" s="3" t="n">
        <v>1.35</v>
      </c>
      <c r="I46" s="3" t="n">
        <v>1.35</v>
      </c>
      <c r="J46" s="3" t="n">
        <v>1.35</v>
      </c>
      <c r="K46" s="3" t="n">
        <v>1.35</v>
      </c>
      <c r="L46" s="3" t="n">
        <v>1.35</v>
      </c>
    </row>
    <row r="47" customFormat="false" ht="15" hidden="false" customHeight="false" outlineLevel="0" collapsed="false">
      <c r="A47" s="0" t="s">
        <v>101</v>
      </c>
      <c r="C47" s="3" t="n">
        <v>41</v>
      </c>
      <c r="D47" s="3" t="n">
        <v>41</v>
      </c>
      <c r="E47" s="3" t="n">
        <v>41</v>
      </c>
      <c r="F47" s="3" t="n">
        <v>41</v>
      </c>
      <c r="G47" s="3" t="n">
        <v>41</v>
      </c>
      <c r="H47" s="3" t="n">
        <v>41</v>
      </c>
      <c r="I47" s="3" t="n">
        <v>41</v>
      </c>
      <c r="J47" s="3" t="n">
        <v>41</v>
      </c>
      <c r="K47" s="3" t="n">
        <v>41</v>
      </c>
      <c r="L47" s="3" t="n">
        <v>41</v>
      </c>
    </row>
    <row r="48" customFormat="false" ht="15" hidden="false" customHeight="false" outlineLevel="0" collapsed="false">
      <c r="A48" s="0" t="s">
        <v>102</v>
      </c>
      <c r="B48" s="3" t="n">
        <v>9</v>
      </c>
    </row>
    <row r="49" customFormat="false" ht="15" hidden="false" customHeight="false" outlineLevel="0" collapsed="false">
      <c r="A49" s="0" t="s">
        <v>103</v>
      </c>
      <c r="B49" s="3" t="n">
        <v>3</v>
      </c>
    </row>
    <row r="50" customFormat="false" ht="15" hidden="false" customHeight="false" outlineLevel="0" collapsed="false">
      <c r="A50" s="0" t="s">
        <v>104</v>
      </c>
      <c r="B50" s="3" t="n">
        <v>12</v>
      </c>
    </row>
    <row r="51" customFormat="false" ht="15" hidden="false" customHeight="false" outlineLevel="0" collapsed="false">
      <c r="A51" s="0" t="s">
        <v>105</v>
      </c>
      <c r="B51" s="3" t="n">
        <v>-8</v>
      </c>
    </row>
    <row r="52" customFormat="false" ht="15" hidden="false" customHeight="false" outlineLevel="0" collapsed="false">
      <c r="A52" s="0" t="s">
        <v>106</v>
      </c>
      <c r="B52" s="3" t="n">
        <v>0.25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109</v>
      </c>
    </row>
    <row r="3" customFormat="false" ht="15" hidden="false" customHeight="false" outlineLevel="0" collapsed="false">
      <c r="A3" s="0" t="s">
        <v>110</v>
      </c>
      <c r="B3" s="0" t="s">
        <v>71</v>
      </c>
      <c r="C3" s="2" t="s">
        <v>85</v>
      </c>
      <c r="D3" s="2" t="s">
        <v>86</v>
      </c>
      <c r="E3" s="2" t="s">
        <v>87</v>
      </c>
      <c r="F3" s="2" t="s">
        <v>88</v>
      </c>
      <c r="G3" s="2" t="s">
        <v>89</v>
      </c>
      <c r="H3" s="2" t="s">
        <v>90</v>
      </c>
      <c r="I3" s="2" t="s">
        <v>91</v>
      </c>
      <c r="J3" s="2" t="s">
        <v>92</v>
      </c>
      <c r="K3" s="2" t="s">
        <v>93</v>
      </c>
      <c r="L3" s="2" t="s">
        <v>94</v>
      </c>
    </row>
    <row r="4" customFormat="false" ht="15" hidden="false" customHeight="false" outlineLevel="0" collapsed="false">
      <c r="A4" s="0" t="s">
        <v>111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95</v>
      </c>
      <c r="C5" s="4" t="n">
        <f aca="false">Assumptions!C13</f>
        <v>4</v>
      </c>
      <c r="D5" s="4" t="n">
        <f aca="false">Assumptions!D13</f>
        <v>-6</v>
      </c>
      <c r="E5" s="4" t="n">
        <f aca="false">Assumptions!E13</f>
        <v>1</v>
      </c>
      <c r="F5" s="4" t="n">
        <f aca="false">Assumptions!F13</f>
        <v>2</v>
      </c>
      <c r="G5" s="4" t="n">
        <f aca="false">Assumptions!G13</f>
        <v>2.5</v>
      </c>
      <c r="H5" s="4" t="n">
        <f aca="false">Assumptions!H13</f>
        <v>2.5</v>
      </c>
      <c r="I5" s="4" t="n">
        <f aca="false">Assumptions!I13</f>
        <v>2</v>
      </c>
      <c r="J5" s="4" t="n">
        <f aca="false">Assumptions!J13</f>
        <v>2</v>
      </c>
      <c r="K5" s="4" t="n">
        <f aca="false">Assumptions!K13</f>
        <v>2</v>
      </c>
      <c r="L5" s="4" t="n">
        <f aca="false">Assumptions!L13</f>
        <v>2</v>
      </c>
    </row>
    <row r="6" customFormat="false" ht="15" hidden="false" customHeight="false" outlineLevel="0" collapsed="false">
      <c r="A6" s="0" t="s">
        <v>37</v>
      </c>
      <c r="B6" s="3" t="n">
        <v>56335.842</v>
      </c>
      <c r="C6" s="0" t="n">
        <f aca="false">B6*(1+C5/100)</f>
        <v>58589.27568</v>
      </c>
      <c r="D6" s="0" t="n">
        <f aca="false">C6*(1+D5/100)</f>
        <v>55073.9191392</v>
      </c>
      <c r="E6" s="0" t="n">
        <f aca="false">D6*(1+E5/100)</f>
        <v>55624.658330592</v>
      </c>
      <c r="F6" s="0" t="n">
        <f aca="false">E6*(1+F5/100)</f>
        <v>56737.1514972038</v>
      </c>
      <c r="G6" s="0" t="n">
        <f aca="false">F6*(1+G5/100)</f>
        <v>58155.5802846339</v>
      </c>
      <c r="H6" s="0" t="n">
        <f aca="false">G6*(1+H5/100)</f>
        <v>59609.4697917498</v>
      </c>
      <c r="I6" s="0" t="n">
        <f aca="false">H6*(1+I5/100)</f>
        <v>60801.6591875848</v>
      </c>
      <c r="J6" s="0" t="n">
        <f aca="false">I6*(1+J5/100)</f>
        <v>62017.6923713365</v>
      </c>
      <c r="K6" s="0" t="n">
        <f aca="false">J6*(1+K5/100)</f>
        <v>63258.0462187632</v>
      </c>
      <c r="L6" s="0" t="n">
        <f aca="false">K6*(1+L5/100)</f>
        <v>64523.2071431385</v>
      </c>
    </row>
    <row r="7" customFormat="false" ht="15" hidden="false" customHeight="false" outlineLevel="0" collapsed="false">
      <c r="A7" s="0" t="s">
        <v>96</v>
      </c>
      <c r="C7" s="4" t="n">
        <f aca="false">Assumptions!C14</f>
        <v>6.8</v>
      </c>
      <c r="D7" s="4" t="n">
        <f aca="false">Assumptions!D14</f>
        <v>6.3</v>
      </c>
      <c r="E7" s="4" t="n">
        <f aca="false">Assumptions!E14</f>
        <v>6.4</v>
      </c>
      <c r="F7" s="4" t="n">
        <f aca="false">Assumptions!F14</f>
        <v>6.5</v>
      </c>
      <c r="G7" s="4" t="n">
        <f aca="false">Assumptions!G14</f>
        <v>6.5</v>
      </c>
      <c r="H7" s="4" t="n">
        <f aca="false">Assumptions!H14</f>
        <v>6.5</v>
      </c>
      <c r="I7" s="4" t="n">
        <f aca="false">Assumptions!I14</f>
        <v>6.5</v>
      </c>
      <c r="J7" s="4" t="n">
        <f aca="false">Assumptions!J14</f>
        <v>6.5</v>
      </c>
      <c r="K7" s="4" t="n">
        <f aca="false">Assumptions!K14</f>
        <v>6.5</v>
      </c>
      <c r="L7" s="4" t="n">
        <f aca="false">Assumptions!L14</f>
        <v>6.5</v>
      </c>
    </row>
    <row r="8" customFormat="false" ht="15" hidden="false" customHeight="false" outlineLevel="0" collapsed="false">
      <c r="A8" s="0" t="s">
        <v>43</v>
      </c>
      <c r="C8" s="0" t="n">
        <f aca="false">C6*C7/100</f>
        <v>3984.07074624</v>
      </c>
      <c r="D8" s="0" t="n">
        <f aca="false">D6*D7/100</f>
        <v>3469.6569057696</v>
      </c>
      <c r="E8" s="0" t="n">
        <f aca="false">E6*E7/100</f>
        <v>3559.97813315789</v>
      </c>
      <c r="F8" s="0" t="n">
        <f aca="false">F6*F7/100</f>
        <v>3687.91484731825</v>
      </c>
      <c r="G8" s="0" t="n">
        <f aca="false">G6*G7/100</f>
        <v>3780.11271850121</v>
      </c>
      <c r="H8" s="0" t="n">
        <f aca="false">H6*H7/100</f>
        <v>3874.61553646374</v>
      </c>
      <c r="I8" s="0" t="n">
        <f aca="false">I6*I7/100</f>
        <v>3952.10784719301</v>
      </c>
      <c r="J8" s="0" t="n">
        <f aca="false">J6*J7/100</f>
        <v>4031.15000413687</v>
      </c>
      <c r="K8" s="0" t="n">
        <f aca="false">K6*K7/100</f>
        <v>4111.77300421961</v>
      </c>
      <c r="L8" s="0" t="n">
        <f aca="false">L6*L7/100</f>
        <v>4194.008464304</v>
      </c>
    </row>
    <row r="9" customFormat="false" ht="15" hidden="false" customHeight="false" outlineLevel="0" collapsed="false">
      <c r="A9" s="0" t="s">
        <v>97</v>
      </c>
      <c r="C9" s="4" t="n">
        <f aca="false">Assumptions!C15</f>
        <v>0</v>
      </c>
      <c r="D9" s="4" t="n">
        <f aca="false">Assumptions!D15</f>
        <v>0</v>
      </c>
      <c r="E9" s="4" t="n">
        <f aca="false">Assumptions!E15</f>
        <v>0</v>
      </c>
      <c r="F9" s="4" t="n">
        <f aca="false">Assumptions!F15</f>
        <v>0</v>
      </c>
      <c r="G9" s="4" t="n">
        <f aca="false">Assumptions!G15</f>
        <v>0</v>
      </c>
      <c r="H9" s="4" t="n">
        <f aca="false">Assumptions!H15</f>
        <v>0</v>
      </c>
      <c r="I9" s="4" t="n">
        <f aca="false">Assumptions!I15</f>
        <v>0</v>
      </c>
      <c r="J9" s="4" t="n">
        <f aca="false">Assumptions!J15</f>
        <v>0</v>
      </c>
      <c r="K9" s="4" t="n">
        <f aca="false">Assumptions!K15</f>
        <v>0</v>
      </c>
      <c r="L9" s="4" t="n">
        <f aca="false">Assumptions!L15</f>
        <v>0</v>
      </c>
    </row>
    <row r="10" customFormat="false" ht="15" hidden="false" customHeight="false" outlineLevel="0" collapsed="false">
      <c r="A10" s="0" t="s">
        <v>112</v>
      </c>
      <c r="C10" s="0" t="n">
        <f aca="false">-C6*C9/100</f>
        <v>-0</v>
      </c>
      <c r="D10" s="0" t="n">
        <f aca="false">-D6*D9/100</f>
        <v>-0</v>
      </c>
      <c r="E10" s="0" t="n">
        <f aca="false">-E6*E9/100</f>
        <v>-0</v>
      </c>
      <c r="F10" s="0" t="n">
        <f aca="false">-F6*F9/100</f>
        <v>-0</v>
      </c>
      <c r="G10" s="0" t="n">
        <f aca="false">-G6*G9/100</f>
        <v>-0</v>
      </c>
      <c r="H10" s="0" t="n">
        <f aca="false">-H6*H9/100</f>
        <v>-0</v>
      </c>
      <c r="I10" s="0" t="n">
        <f aca="false">-I6*I9/100</f>
        <v>-0</v>
      </c>
      <c r="J10" s="0" t="n">
        <f aca="false">-J6*J9/100</f>
        <v>-0</v>
      </c>
      <c r="K10" s="0" t="n">
        <f aca="false">-K6*K9/100</f>
        <v>-0</v>
      </c>
      <c r="L10" s="0" t="n">
        <f aca="false">-L6*L9/100</f>
        <v>-0</v>
      </c>
    </row>
    <row r="11" customFormat="false" ht="15" hidden="false" customHeight="false" outlineLevel="0" collapsed="false">
      <c r="A11" s="0" t="s">
        <v>113</v>
      </c>
      <c r="C11" s="0" t="n">
        <f aca="false">C8+C10+C24</f>
        <v>2841.57987048</v>
      </c>
      <c r="D11" s="0" t="n">
        <f aca="false">D8+D10+D24</f>
        <v>2395.7154825552</v>
      </c>
      <c r="E11" s="0" t="n">
        <f aca="false">E8+E10+E24</f>
        <v>2475.29729571134</v>
      </c>
      <c r="F11" s="0" t="n">
        <f aca="false">F8+F10+F24</f>
        <v>2581.54039312277</v>
      </c>
      <c r="G11" s="0" t="n">
        <f aca="false">G8+G10+G24</f>
        <v>2646.07890295084</v>
      </c>
      <c r="H11" s="0" t="n">
        <f aca="false">H8+H10+H24</f>
        <v>2712.23087552462</v>
      </c>
      <c r="I11" s="0" t="n">
        <f aca="false">I8+I10+I24</f>
        <v>2766.47549303511</v>
      </c>
      <c r="J11" s="0" t="n">
        <f aca="false">J8+J10+J24</f>
        <v>2821.80500289581</v>
      </c>
      <c r="K11" s="0" t="n">
        <f aca="false">K8+K10+K24</f>
        <v>2878.24110295373</v>
      </c>
      <c r="L11" s="0" t="n">
        <f aca="false">L8+L10+L24</f>
        <v>2935.8059250128</v>
      </c>
    </row>
    <row r="12" customFormat="false" ht="15" hidden="false" customHeight="false" outlineLevel="0" collapsed="false">
      <c r="A12" s="0" t="s">
        <v>114</v>
      </c>
      <c r="C12" s="4" t="n">
        <f aca="false">-C6*Assumptions!C17/100</f>
        <v>-703.07130816</v>
      </c>
      <c r="D12" s="4" t="n">
        <f aca="false">-D6*Assumptions!D17/100</f>
        <v>-660.8870296704</v>
      </c>
      <c r="E12" s="4" t="n">
        <f aca="false">-E6*Assumptions!E17/100</f>
        <v>-667.495899967104</v>
      </c>
      <c r="F12" s="4" t="n">
        <f aca="false">-F6*Assumptions!F17/100</f>
        <v>-680.845817966446</v>
      </c>
      <c r="G12" s="4" t="n">
        <f aca="false">-G6*Assumptions!G17/100</f>
        <v>-697.866963415607</v>
      </c>
      <c r="H12" s="4" t="n">
        <f aca="false">-H6*Assumptions!H17/100</f>
        <v>-715.313637500997</v>
      </c>
      <c r="I12" s="4" t="n">
        <f aca="false">-I6*Assumptions!I17/100</f>
        <v>-729.619910251017</v>
      </c>
      <c r="J12" s="4" t="n">
        <f aca="false">-J6*Assumptions!J17/100</f>
        <v>-744.212308456038</v>
      </c>
      <c r="K12" s="4" t="n">
        <f aca="false">-K6*Assumptions!K17/100</f>
        <v>-759.096554625158</v>
      </c>
      <c r="L12" s="4" t="n">
        <f aca="false">-L6*Assumptions!L17/100</f>
        <v>-774.278485717662</v>
      </c>
    </row>
    <row r="13" customFormat="false" ht="15" hidden="false" customHeight="false" outlineLevel="0" collapsed="false">
      <c r="A13" s="0" t="s">
        <v>115</v>
      </c>
      <c r="C13" s="0" t="n">
        <f aca="false">C11+C12</f>
        <v>2138.50856232</v>
      </c>
      <c r="D13" s="0" t="n">
        <f aca="false">D11+D12</f>
        <v>1734.8284528848</v>
      </c>
      <c r="E13" s="0" t="n">
        <f aca="false">E11+E12</f>
        <v>1807.80139574424</v>
      </c>
      <c r="F13" s="0" t="n">
        <f aca="false">F11+F12</f>
        <v>1900.69457515633</v>
      </c>
      <c r="G13" s="0" t="n">
        <f aca="false">G11+G12</f>
        <v>1948.21193953524</v>
      </c>
      <c r="H13" s="0" t="n">
        <f aca="false">H11+H12</f>
        <v>1996.91723802362</v>
      </c>
      <c r="I13" s="0" t="n">
        <f aca="false">I11+I12</f>
        <v>2036.85558278409</v>
      </c>
      <c r="J13" s="0" t="n">
        <f aca="false">J11+J12</f>
        <v>2077.59269443977</v>
      </c>
      <c r="K13" s="0" t="n">
        <f aca="false">K11+K12</f>
        <v>2119.14454832857</v>
      </c>
      <c r="L13" s="0" t="n">
        <f aca="false">L11+L12</f>
        <v>2161.52743929514</v>
      </c>
    </row>
    <row r="14" customFormat="false" ht="15" hidden="false" customHeight="false" outlineLevel="0" collapsed="false">
      <c r="A14" s="0" t="s">
        <v>101</v>
      </c>
      <c r="C14" s="4" t="n">
        <f aca="false">Assumptions!C19</f>
        <v>41</v>
      </c>
      <c r="D14" s="4" t="n">
        <f aca="false">Assumptions!D19</f>
        <v>41</v>
      </c>
      <c r="E14" s="4" t="n">
        <f aca="false">Assumptions!E19</f>
        <v>41</v>
      </c>
      <c r="F14" s="4" t="n">
        <f aca="false">Assumptions!F19</f>
        <v>41</v>
      </c>
      <c r="G14" s="4" t="n">
        <f aca="false">Assumptions!G19</f>
        <v>41</v>
      </c>
      <c r="H14" s="4" t="n">
        <f aca="false">Assumptions!H19</f>
        <v>41</v>
      </c>
      <c r="I14" s="4" t="n">
        <f aca="false">Assumptions!I19</f>
        <v>41</v>
      </c>
      <c r="J14" s="4" t="n">
        <f aca="false">Assumptions!J19</f>
        <v>41</v>
      </c>
      <c r="K14" s="4" t="n">
        <f aca="false">Assumptions!K19</f>
        <v>41</v>
      </c>
      <c r="L14" s="4" t="n">
        <f aca="false">Assumptions!L19</f>
        <v>41</v>
      </c>
    </row>
    <row r="15" customFormat="false" ht="15" hidden="false" customHeight="false" outlineLevel="0" collapsed="false">
      <c r="A15" s="0" t="s">
        <v>116</v>
      </c>
      <c r="C15" s="0" t="n">
        <f aca="false">C13-MAX(0,C13)*C14/100</f>
        <v>1261.7200517688</v>
      </c>
      <c r="D15" s="0" t="n">
        <f aca="false">D13-MAX(0,D13)*D14/100</f>
        <v>1023.54878720203</v>
      </c>
      <c r="E15" s="0" t="n">
        <f aca="false">E13-MAX(0,E13)*E14/100</f>
        <v>1066.6028234891</v>
      </c>
      <c r="F15" s="0" t="n">
        <f aca="false">F13-MAX(0,F13)*F14/100</f>
        <v>1121.40979934223</v>
      </c>
      <c r="G15" s="0" t="n">
        <f aca="false">G13-MAX(0,G13)*G14/100</f>
        <v>1149.44504432579</v>
      </c>
      <c r="H15" s="0" t="n">
        <f aca="false">H13-MAX(0,H13)*H14/100</f>
        <v>1178.18117043393</v>
      </c>
      <c r="I15" s="0" t="n">
        <f aca="false">I13-MAX(0,I13)*I14/100</f>
        <v>1201.74479384261</v>
      </c>
      <c r="J15" s="0" t="n">
        <f aca="false">J13-MAX(0,J13)*J14/100</f>
        <v>1225.77968971947</v>
      </c>
      <c r="K15" s="0" t="n">
        <f aca="false">K13-MAX(0,K13)*K14/100</f>
        <v>1250.29528351385</v>
      </c>
      <c r="L15" s="0" t="n">
        <f aca="false">L13-MAX(0,L13)*L14/100</f>
        <v>1275.30118918413</v>
      </c>
    </row>
    <row r="16" customFormat="false" ht="15" hidden="false" customHeight="false" outlineLevel="0" collapsed="false">
      <c r="A16" s="0" t="s">
        <v>117</v>
      </c>
      <c r="C16" s="0" t="n">
        <f aca="false">-C12</f>
        <v>703.07130816</v>
      </c>
      <c r="D16" s="0" t="n">
        <f aca="false">-D12</f>
        <v>660.8870296704</v>
      </c>
      <c r="E16" s="0" t="n">
        <f aca="false">-E12</f>
        <v>667.495899967104</v>
      </c>
      <c r="F16" s="0" t="n">
        <f aca="false">-F12</f>
        <v>680.845817966446</v>
      </c>
      <c r="G16" s="0" t="n">
        <f aca="false">-G12</f>
        <v>697.866963415607</v>
      </c>
      <c r="H16" s="0" t="n">
        <f aca="false">-H12</f>
        <v>715.313637500997</v>
      </c>
      <c r="I16" s="0" t="n">
        <f aca="false">-I12</f>
        <v>729.619910251017</v>
      </c>
      <c r="J16" s="0" t="n">
        <f aca="false">-J12</f>
        <v>744.212308456038</v>
      </c>
      <c r="K16" s="0" t="n">
        <f aca="false">-K12</f>
        <v>759.096554625158</v>
      </c>
      <c r="L16" s="0" t="n">
        <f aca="false">-L12</f>
        <v>774.278485717662</v>
      </c>
    </row>
    <row r="17" customFormat="false" ht="15" hidden="false" customHeight="false" outlineLevel="0" collapsed="false">
      <c r="A17" s="0" t="s">
        <v>118</v>
      </c>
      <c r="C17" s="4" t="n">
        <f aca="false">-C6*Assumptions!C18/100</f>
        <v>-732.365946</v>
      </c>
      <c r="D17" s="4" t="n">
        <f aca="false">-D6*Assumptions!D18/100</f>
        <v>-688.42398924</v>
      </c>
      <c r="E17" s="4" t="n">
        <f aca="false">-E6*Assumptions!E18/100</f>
        <v>-695.3082291324</v>
      </c>
      <c r="F17" s="4" t="n">
        <f aca="false">-F6*Assumptions!F18/100</f>
        <v>-709.214393715048</v>
      </c>
      <c r="G17" s="4" t="n">
        <f aca="false">-G6*Assumptions!G18/100</f>
        <v>-726.944753557924</v>
      </c>
      <c r="H17" s="4" t="n">
        <f aca="false">-H6*Assumptions!H18/100</f>
        <v>-745.118372396872</v>
      </c>
      <c r="I17" s="4" t="n">
        <f aca="false">-I6*Assumptions!I18/100</f>
        <v>-760.02073984481</v>
      </c>
      <c r="J17" s="4" t="n">
        <f aca="false">-J6*Assumptions!J18/100</f>
        <v>-775.221154641706</v>
      </c>
      <c r="K17" s="4" t="n">
        <f aca="false">-K6*Assumptions!K18/100</f>
        <v>-790.72557773454</v>
      </c>
      <c r="L17" s="4" t="n">
        <f aca="false">-L6*Assumptions!L18/100</f>
        <v>-806.540089289231</v>
      </c>
    </row>
    <row r="18" customFormat="false" ht="15" hidden="false" customHeight="false" outlineLevel="0" collapsed="false">
      <c r="A18" s="0" t="s">
        <v>119</v>
      </c>
      <c r="C18" s="4" t="n">
        <f aca="false">(C6-B6)*Assumptions!$B$23/100</f>
        <v>-180.2746944</v>
      </c>
      <c r="D18" s="4" t="n">
        <f aca="false">(D6-C6)*Assumptions!$B$23/100</f>
        <v>281.228523264</v>
      </c>
      <c r="E18" s="4" t="n">
        <f aca="false">(E6-D6)*Assumptions!$B$23/100</f>
        <v>-44.05913531136</v>
      </c>
      <c r="F18" s="4" t="n">
        <f aca="false">(F6-E6)*Assumptions!$B$23/100</f>
        <v>-88.9994533289474</v>
      </c>
      <c r="G18" s="4" t="n">
        <f aca="false">(G6-F6)*Assumptions!$B$23/100</f>
        <v>-113.474302994407</v>
      </c>
      <c r="H18" s="4" t="n">
        <f aca="false">(H6-G6)*Assumptions!$B$23/100</f>
        <v>-116.311160569267</v>
      </c>
      <c r="I18" s="4" t="n">
        <f aca="false">(I6-H6)*Assumptions!$B$23/100</f>
        <v>-95.3751516667998</v>
      </c>
      <c r="J18" s="4" t="n">
        <f aca="false">(J6-I6)*Assumptions!$B$23/100</f>
        <v>-97.2826547001355</v>
      </c>
      <c r="K18" s="4" t="n">
        <f aca="false">(K6-J6)*Assumptions!$B$23/100</f>
        <v>-99.2283077941387</v>
      </c>
      <c r="L18" s="4" t="n">
        <f aca="false">(L6-K6)*Assumptions!$B$23/100</f>
        <v>-101.212873950021</v>
      </c>
    </row>
    <row r="19" customFormat="false" ht="15" hidden="false" customHeight="false" outlineLevel="0" collapsed="false">
      <c r="A19" s="0" t="s">
        <v>120</v>
      </c>
      <c r="C19" s="0" t="n">
        <f aca="false">C15+C16+C17+C18</f>
        <v>1052.1507195288</v>
      </c>
      <c r="D19" s="0" t="n">
        <f aca="false">D15+D16+D17+D18</f>
        <v>1277.24035089643</v>
      </c>
      <c r="E19" s="0" t="n">
        <f aca="false">E15+E16+E17+E18</f>
        <v>994.731359012445</v>
      </c>
      <c r="F19" s="0" t="n">
        <f aca="false">F15+F16+F17+F18</f>
        <v>1004.04177026468</v>
      </c>
      <c r="G19" s="0" t="n">
        <f aca="false">G15+G16+G17+G18</f>
        <v>1006.89295118907</v>
      </c>
      <c r="H19" s="0" t="n">
        <f aca="false">H15+H16+H17+H18</f>
        <v>1032.06527496879</v>
      </c>
      <c r="I19" s="0" t="n">
        <f aca="false">I15+I16+I17+I18</f>
        <v>1075.96881258202</v>
      </c>
      <c r="J19" s="0" t="n">
        <f aca="false">J15+J16+J17+J18</f>
        <v>1097.48818883366</v>
      </c>
      <c r="K19" s="0" t="n">
        <f aca="false">K15+K16+K17+K18</f>
        <v>1119.43795261033</v>
      </c>
      <c r="L19" s="0" t="n">
        <f aca="false">L15+L16+L17+L18</f>
        <v>1141.82671166254</v>
      </c>
    </row>
    <row r="20" customFormat="false" ht="15" hidden="false" customHeight="false" outlineLevel="0" collapsed="false">
      <c r="A20" s="0" t="s">
        <v>121</v>
      </c>
      <c r="C20" s="0" t="n">
        <f aca="false">1/(1+$B$27/100)^C4</f>
        <v>0.91743119266055</v>
      </c>
      <c r="D20" s="0" t="n">
        <f aca="false">1/(1+$B$27/100)^D4</f>
        <v>0.84167999326656</v>
      </c>
      <c r="E20" s="0" t="n">
        <f aca="false">1/(1+$B$27/100)^E4</f>
        <v>0.772183480061064</v>
      </c>
      <c r="F20" s="0" t="n">
        <f aca="false">1/(1+$B$27/100)^F4</f>
        <v>0.708425211065196</v>
      </c>
      <c r="G20" s="0" t="n">
        <f aca="false">1/(1+$B$27/100)^G4</f>
        <v>0.649931386298345</v>
      </c>
      <c r="H20" s="0" t="n">
        <f aca="false">1/(1+$B$27/100)^H4</f>
        <v>0.596267326879216</v>
      </c>
      <c r="I20" s="0" t="n">
        <f aca="false">1/(1+$B$27/100)^I4</f>
        <v>0.547034244843317</v>
      </c>
      <c r="J20" s="0" t="n">
        <f aca="false">1/(1+$B$27/100)^J4</f>
        <v>0.501866279672768</v>
      </c>
      <c r="K20" s="0" t="n">
        <f aca="false">1/(1+$B$27/100)^K4</f>
        <v>0.460427779516301</v>
      </c>
      <c r="L20" s="0" t="n">
        <f aca="false">1/(1+$B$27/100)^L4</f>
        <v>0.422410806895689</v>
      </c>
    </row>
    <row r="21" customFormat="false" ht="15" hidden="false" customHeight="false" outlineLevel="0" collapsed="false">
      <c r="A21" s="0" t="s">
        <v>122</v>
      </c>
      <c r="C21" s="0" t="n">
        <f aca="false">C19*C20</f>
        <v>965.275889475963</v>
      </c>
      <c r="D21" s="0" t="n">
        <f aca="false">D19*D20</f>
        <v>1075.02764994229</v>
      </c>
      <c r="E21" s="0" t="n">
        <f aca="false">E19*E20</f>
        <v>768.115122528102</v>
      </c>
      <c r="F21" s="0" t="n">
        <f aca="false">F19*F20</f>
        <v>711.288503018032</v>
      </c>
      <c r="G21" s="0" t="n">
        <f aca="false">G19*G20</f>
        <v>654.411331620341</v>
      </c>
      <c r="H21" s="0" t="n">
        <f aca="false">H19*H20</f>
        <v>615.386802670505</v>
      </c>
      <c r="I21" s="0" t="n">
        <f aca="false">I19*I20</f>
        <v>588.591786865766</v>
      </c>
      <c r="J21" s="0" t="n">
        <f aca="false">J19*J20</f>
        <v>550.792314314754</v>
      </c>
      <c r="K21" s="0" t="n">
        <f aca="false">K19*K20</f>
        <v>515.420330826651</v>
      </c>
      <c r="L21" s="0" t="n">
        <f aca="false">L19*L20</f>
        <v>482.319942608425</v>
      </c>
    </row>
    <row r="23" customFormat="false" ht="15" hidden="false" customHeight="false" outlineLevel="0" collapsed="false">
      <c r="A23" s="0" t="s">
        <v>98</v>
      </c>
      <c r="C23" s="4" t="n">
        <f aca="false">Assumptions!C16</f>
        <v>1.95</v>
      </c>
      <c r="D23" s="4" t="n">
        <f aca="false">Assumptions!D16</f>
        <v>1.95</v>
      </c>
      <c r="E23" s="4" t="n">
        <f aca="false">Assumptions!E16</f>
        <v>1.95</v>
      </c>
      <c r="F23" s="4" t="n">
        <f aca="false">Assumptions!F16</f>
        <v>1.95</v>
      </c>
      <c r="G23" s="4" t="n">
        <f aca="false">Assumptions!G16</f>
        <v>1.95</v>
      </c>
      <c r="H23" s="4" t="n">
        <f aca="false">Assumptions!H16</f>
        <v>1.95</v>
      </c>
      <c r="I23" s="4" t="n">
        <f aca="false">Assumptions!I16</f>
        <v>1.95</v>
      </c>
      <c r="J23" s="4" t="n">
        <f aca="false">Assumptions!J16</f>
        <v>1.95</v>
      </c>
      <c r="K23" s="4" t="n">
        <f aca="false">Assumptions!K16</f>
        <v>1.95</v>
      </c>
      <c r="L23" s="4" t="n">
        <f aca="false">Assumptions!L16</f>
        <v>1.95</v>
      </c>
    </row>
    <row r="24" customFormat="false" ht="15" hidden="false" customHeight="false" outlineLevel="0" collapsed="false">
      <c r="A24" s="0" t="s">
        <v>123</v>
      </c>
      <c r="C24" s="0" t="n">
        <f aca="false">-C6*C23/100</f>
        <v>-1142.49087576</v>
      </c>
      <c r="D24" s="0" t="n">
        <f aca="false">-D6*D23/100</f>
        <v>-1073.9414232144</v>
      </c>
      <c r="E24" s="0" t="n">
        <f aca="false">-E6*E23/100</f>
        <v>-1084.68083744654</v>
      </c>
      <c r="F24" s="0" t="n">
        <f aca="false">-F6*F23/100</f>
        <v>-1106.37445419547</v>
      </c>
      <c r="G24" s="0" t="n">
        <f aca="false">-G6*G23/100</f>
        <v>-1134.03381555036</v>
      </c>
      <c r="H24" s="0" t="n">
        <f aca="false">-H6*H23/100</f>
        <v>-1162.38466093912</v>
      </c>
      <c r="I24" s="0" t="n">
        <f aca="false">-I6*I23/100</f>
        <v>-1185.6323541579</v>
      </c>
      <c r="J24" s="0" t="n">
        <f aca="false">-J6*J23/100</f>
        <v>-1209.34500124106</v>
      </c>
      <c r="K24" s="0" t="n">
        <f aca="false">-K6*K23/100</f>
        <v>-1233.53190126588</v>
      </c>
      <c r="L24" s="0" t="n">
        <f aca="false">-L6*L23/100</f>
        <v>-1258.2025392912</v>
      </c>
    </row>
    <row r="26" customFormat="false" ht="15" hidden="false" customHeight="false" outlineLevel="0" collapsed="false">
      <c r="A26" s="2" t="s">
        <v>124</v>
      </c>
    </row>
    <row r="27" customFormat="false" ht="15" hidden="false" customHeight="false" outlineLevel="0" collapsed="false">
      <c r="A27" s="0" t="s">
        <v>102</v>
      </c>
      <c r="B27" s="4" t="n">
        <f aca="false">Assumptions!$B$20</f>
        <v>9</v>
      </c>
    </row>
    <row r="28" customFormat="false" ht="15" hidden="false" customHeight="false" outlineLevel="0" collapsed="false">
      <c r="A28" s="0" t="s">
        <v>103</v>
      </c>
      <c r="B28" s="4" t="n">
        <f aca="false">Assumptions!$B$21</f>
        <v>2</v>
      </c>
    </row>
    <row r="29" customFormat="false" ht="15" hidden="false" customHeight="false" outlineLevel="0" collapsed="false">
      <c r="A29" s="0" t="s">
        <v>104</v>
      </c>
      <c r="B29" s="4" t="n">
        <f aca="false">Assumptions!$B$22</f>
        <v>12</v>
      </c>
    </row>
    <row r="30" customFormat="false" ht="15" hidden="false" customHeight="false" outlineLevel="0" collapsed="false">
      <c r="A30" s="0" t="s">
        <v>125</v>
      </c>
      <c r="B30" s="0" t="n">
        <f aca="false">SUM(C21:L21)</f>
        <v>6926.62967387083</v>
      </c>
    </row>
    <row r="31" customFormat="false" ht="15" hidden="false" customHeight="false" outlineLevel="0" collapsed="false">
      <c r="A31" s="0" t="s">
        <v>126</v>
      </c>
      <c r="B31" s="0" t="n">
        <f aca="false">L19</f>
        <v>1141.82671166254</v>
      </c>
    </row>
    <row r="32" customFormat="false" ht="15" hidden="false" customHeight="false" outlineLevel="0" collapsed="false">
      <c r="A32" s="0" t="s">
        <v>127</v>
      </c>
      <c r="B32" s="0" t="n">
        <f aca="false">IF(B27&gt;B28,B31*(1+B28/100)/((B27-B28)/100),B31*B29)</f>
        <v>16638.0463699399</v>
      </c>
    </row>
    <row r="33" customFormat="false" ht="15" hidden="false" customHeight="false" outlineLevel="0" collapsed="false">
      <c r="A33" s="0" t="s">
        <v>128</v>
      </c>
      <c r="B33" s="0" t="n">
        <f aca="false">B31*B29</f>
        <v>13701.9205399505</v>
      </c>
    </row>
    <row r="34" customFormat="false" ht="15" hidden="false" customHeight="false" outlineLevel="0" collapsed="false">
      <c r="A34" s="0" t="s">
        <v>129</v>
      </c>
      <c r="B34" s="0" t="n">
        <f aca="false">MAX(0,MIN(B32,B33))</f>
        <v>13701.9205399505</v>
      </c>
    </row>
    <row r="35" customFormat="false" ht="15" hidden="false" customHeight="false" outlineLevel="0" collapsed="false">
      <c r="A35" s="0" t="s">
        <v>130</v>
      </c>
      <c r="B35" s="0" t="n">
        <f aca="false">B34/(1+B27/100)^L4</f>
        <v>5787.8393113011</v>
      </c>
    </row>
    <row r="36" customFormat="false" ht="15" hidden="false" customHeight="false" outlineLevel="0" collapsed="false">
      <c r="A36" s="0" t="s">
        <v>131</v>
      </c>
      <c r="B36" s="0" t="n">
        <f aca="false">B30+B35</f>
        <v>12714.4689851719</v>
      </c>
    </row>
    <row r="37" customFormat="false" ht="15" hidden="false" customHeight="false" outlineLevel="0" collapsed="false">
      <c r="A37" s="0" t="s">
        <v>132</v>
      </c>
      <c r="B37" s="0" t="n">
        <f aca="false">B36+Assumptions!$B$5-Assumptions!$B$4</f>
        <v>11509.9909851719</v>
      </c>
    </row>
    <row r="38" customFormat="false" ht="15" hidden="false" customHeight="false" outlineLevel="0" collapsed="false">
      <c r="A38" s="0" t="s">
        <v>133</v>
      </c>
      <c r="B38" s="0" t="n">
        <f aca="false">B37/Assumptions!$B$3*Assumptions!$B$10</f>
        <v>6.38688871443756</v>
      </c>
    </row>
    <row r="39" customFormat="false" ht="15" hidden="false" customHeight="false" outlineLevel="0" collapsed="false">
      <c r="A39" s="0" t="s">
        <v>134</v>
      </c>
      <c r="B39" s="4" t="n">
        <f aca="false">B38/Assumptions!$B$2-1</f>
        <v>0.0871299939468184</v>
      </c>
    </row>
    <row r="41" customFormat="false" ht="15" hidden="false" customHeight="false" outlineLevel="0" collapsed="false">
      <c r="A41" s="0" t="s">
        <v>135</v>
      </c>
      <c r="B41" s="0" t="n">
        <f aca="false">SUMPRODUCT(-C10:L10/(1+$B$27/100)^C4:L4)</f>
        <v>0</v>
      </c>
    </row>
    <row r="42" customFormat="false" ht="15" hidden="false" customHeight="false" outlineLevel="0" collapsed="false">
      <c r="A42" s="0" t="s">
        <v>136</v>
      </c>
      <c r="B42" s="0" t="n">
        <f aca="false">IF(B27&gt;B28,-L10*(1+B28/100)/((B27-B28)/100),-L10*20)/(1+B27/100)^L4</f>
        <v>0</v>
      </c>
    </row>
    <row r="43" customFormat="false" ht="15" hidden="false" customHeight="false" outlineLevel="0" collapsed="false">
      <c r="A43" s="0" t="s">
        <v>137</v>
      </c>
      <c r="B43" s="0" t="n">
        <f aca="false">(B37+B41+B42)/Assumptions!$B$3*Assumptions!$B$10</f>
        <v>6.38688871443756</v>
      </c>
    </row>
    <row r="45" customFormat="false" ht="15" hidden="false" customHeight="false" outlineLevel="0" collapsed="false">
      <c r="A45" s="0" t="s">
        <v>78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138</v>
      </c>
      <c r="B46" s="0" t="n">
        <f aca="false">MAX(0,MIN(IF(B45&gt;B28,B31*(1+B28/100)/((B45-B28)/100),B31*B29),B31*B29))</f>
        <v>8958.94804535225</v>
      </c>
    </row>
    <row r="47" customFormat="false" ht="15" hidden="false" customHeight="false" outlineLevel="0" collapsed="false">
      <c r="A47" s="0" t="s">
        <v>139</v>
      </c>
      <c r="B47" s="0" t="n">
        <f aca="false">(SUMPRODUCT(C19:L19/(1+B45/100)^C4:L4)+B46/(1+B45/100)^L4+Assumptions!$B$5-Assumptions!$B$4)/Assumptions!$B$3*Assumptions!$B$10</f>
        <v>3.5676498098083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140</v>
      </c>
    </row>
    <row r="3" customFormat="false" ht="15" hidden="false" customHeight="false" outlineLevel="0" collapsed="false">
      <c r="A3" s="0" t="s">
        <v>110</v>
      </c>
      <c r="B3" s="0" t="s">
        <v>71</v>
      </c>
      <c r="C3" s="2" t="s">
        <v>85</v>
      </c>
      <c r="D3" s="2" t="s">
        <v>86</v>
      </c>
      <c r="E3" s="2" t="s">
        <v>87</v>
      </c>
      <c r="F3" s="2" t="s">
        <v>88</v>
      </c>
      <c r="G3" s="2" t="s">
        <v>89</v>
      </c>
      <c r="H3" s="2" t="s">
        <v>90</v>
      </c>
      <c r="I3" s="2" t="s">
        <v>91</v>
      </c>
      <c r="J3" s="2" t="s">
        <v>92</v>
      </c>
      <c r="K3" s="2" t="s">
        <v>93</v>
      </c>
      <c r="L3" s="2" t="s">
        <v>94</v>
      </c>
    </row>
    <row r="4" customFormat="false" ht="15" hidden="false" customHeight="false" outlineLevel="0" collapsed="false">
      <c r="A4" s="0" t="s">
        <v>111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95</v>
      </c>
      <c r="C5" s="4" t="n">
        <f aca="false">Assumptions!C27</f>
        <v>7</v>
      </c>
      <c r="D5" s="4" t="n">
        <f aca="false">Assumptions!D27</f>
        <v>4</v>
      </c>
      <c r="E5" s="4" t="n">
        <f aca="false">Assumptions!E27</f>
        <v>4</v>
      </c>
      <c r="F5" s="4" t="n">
        <f aca="false">Assumptions!F27</f>
        <v>4</v>
      </c>
      <c r="G5" s="4" t="n">
        <f aca="false">Assumptions!G27</f>
        <v>4</v>
      </c>
      <c r="H5" s="4" t="n">
        <f aca="false">Assumptions!H27</f>
        <v>3.5</v>
      </c>
      <c r="I5" s="4" t="n">
        <f aca="false">Assumptions!I27</f>
        <v>3.5</v>
      </c>
      <c r="J5" s="4" t="n">
        <f aca="false">Assumptions!J27</f>
        <v>3</v>
      </c>
      <c r="K5" s="4" t="n">
        <f aca="false">Assumptions!K27</f>
        <v>3</v>
      </c>
      <c r="L5" s="4" t="n">
        <f aca="false">Assumptions!L27</f>
        <v>3</v>
      </c>
    </row>
    <row r="6" customFormat="false" ht="15" hidden="false" customHeight="false" outlineLevel="0" collapsed="false">
      <c r="A6" s="0" t="s">
        <v>37</v>
      </c>
      <c r="B6" s="3" t="n">
        <v>56335.842</v>
      </c>
      <c r="C6" s="0" t="n">
        <f aca="false">B6*(1+C5/100)</f>
        <v>60279.35094</v>
      </c>
      <c r="D6" s="0" t="n">
        <f aca="false">C6*(1+D5/100)</f>
        <v>62690.5249776</v>
      </c>
      <c r="E6" s="0" t="n">
        <f aca="false">D6*(1+E5/100)</f>
        <v>65198.145976704</v>
      </c>
      <c r="F6" s="0" t="n">
        <f aca="false">E6*(1+F5/100)</f>
        <v>67806.0718157722</v>
      </c>
      <c r="G6" s="0" t="n">
        <f aca="false">F6*(1+G5/100)</f>
        <v>70518.314688403</v>
      </c>
      <c r="H6" s="0" t="n">
        <f aca="false">G6*(1+H5/100)</f>
        <v>72986.4557024971</v>
      </c>
      <c r="I6" s="0" t="n">
        <f aca="false">H6*(1+I5/100)</f>
        <v>75540.9816520845</v>
      </c>
      <c r="J6" s="0" t="n">
        <f aca="false">I6*(1+J5/100)</f>
        <v>77807.2111016471</v>
      </c>
      <c r="K6" s="0" t="n">
        <f aca="false">J6*(1+K5/100)</f>
        <v>80141.4274346965</v>
      </c>
      <c r="L6" s="0" t="n">
        <f aca="false">K6*(1+L5/100)</f>
        <v>82545.6702577374</v>
      </c>
    </row>
    <row r="7" customFormat="false" ht="15" hidden="false" customHeight="false" outlineLevel="0" collapsed="false">
      <c r="A7" s="0" t="s">
        <v>96</v>
      </c>
      <c r="C7" s="4" t="n">
        <f aca="false">Assumptions!C28</f>
        <v>7</v>
      </c>
      <c r="D7" s="4" t="n">
        <f aca="false">Assumptions!D28</f>
        <v>7.1</v>
      </c>
      <c r="E7" s="4" t="n">
        <f aca="false">Assumptions!E28</f>
        <v>7.2</v>
      </c>
      <c r="F7" s="4" t="n">
        <f aca="false">Assumptions!F28</f>
        <v>7.3</v>
      </c>
      <c r="G7" s="4" t="n">
        <f aca="false">Assumptions!G28</f>
        <v>7.4</v>
      </c>
      <c r="H7" s="4" t="n">
        <f aca="false">Assumptions!H28</f>
        <v>7.4</v>
      </c>
      <c r="I7" s="4" t="n">
        <f aca="false">Assumptions!I28</f>
        <v>7.4</v>
      </c>
      <c r="J7" s="4" t="n">
        <f aca="false">Assumptions!J28</f>
        <v>7.4</v>
      </c>
      <c r="K7" s="4" t="n">
        <f aca="false">Assumptions!K28</f>
        <v>7.4</v>
      </c>
      <c r="L7" s="4" t="n">
        <f aca="false">Assumptions!L28</f>
        <v>7.4</v>
      </c>
    </row>
    <row r="8" customFormat="false" ht="15" hidden="false" customHeight="false" outlineLevel="0" collapsed="false">
      <c r="A8" s="0" t="s">
        <v>43</v>
      </c>
      <c r="C8" s="0" t="n">
        <f aca="false">C6*C7/100</f>
        <v>4219.5545658</v>
      </c>
      <c r="D8" s="0" t="n">
        <f aca="false">D6*D7/100</f>
        <v>4451.0272734096</v>
      </c>
      <c r="E8" s="0" t="n">
        <f aca="false">E6*E7/100</f>
        <v>4694.26651032269</v>
      </c>
      <c r="F8" s="0" t="n">
        <f aca="false">F6*F7/100</f>
        <v>4949.84324255137</v>
      </c>
      <c r="G8" s="0" t="n">
        <f aca="false">G6*G7/100</f>
        <v>5218.35528694183</v>
      </c>
      <c r="H8" s="0" t="n">
        <f aca="false">H6*H7/100</f>
        <v>5400.99772198479</v>
      </c>
      <c r="I8" s="0" t="n">
        <f aca="false">I6*I7/100</f>
        <v>5590.03264225426</v>
      </c>
      <c r="J8" s="0" t="n">
        <f aca="false">J6*J7/100</f>
        <v>5757.73362152188</v>
      </c>
      <c r="K8" s="0" t="n">
        <f aca="false">K6*K7/100</f>
        <v>5930.46563016754</v>
      </c>
      <c r="L8" s="0" t="n">
        <f aca="false">L6*L7/100</f>
        <v>6108.37959907257</v>
      </c>
    </row>
    <row r="9" customFormat="false" ht="15" hidden="false" customHeight="false" outlineLevel="0" collapsed="false">
      <c r="A9" s="0" t="s">
        <v>97</v>
      </c>
      <c r="C9" s="4" t="n">
        <f aca="false">Assumptions!C29</f>
        <v>0</v>
      </c>
      <c r="D9" s="4" t="n">
        <f aca="false">Assumptions!D29</f>
        <v>0</v>
      </c>
      <c r="E9" s="4" t="n">
        <f aca="false">Assumptions!E29</f>
        <v>0</v>
      </c>
      <c r="F9" s="4" t="n">
        <f aca="false">Assumptions!F29</f>
        <v>0</v>
      </c>
      <c r="G9" s="4" t="n">
        <f aca="false">Assumptions!G29</f>
        <v>0</v>
      </c>
      <c r="H9" s="4" t="n">
        <f aca="false">Assumptions!H29</f>
        <v>0</v>
      </c>
      <c r="I9" s="4" t="n">
        <f aca="false">Assumptions!I29</f>
        <v>0</v>
      </c>
      <c r="J9" s="4" t="n">
        <f aca="false">Assumptions!J29</f>
        <v>0</v>
      </c>
      <c r="K9" s="4" t="n">
        <f aca="false">Assumptions!K29</f>
        <v>0</v>
      </c>
      <c r="L9" s="4" t="n">
        <f aca="false">Assumptions!L29</f>
        <v>0</v>
      </c>
    </row>
    <row r="10" customFormat="false" ht="15" hidden="false" customHeight="false" outlineLevel="0" collapsed="false">
      <c r="A10" s="0" t="s">
        <v>112</v>
      </c>
      <c r="C10" s="0" t="n">
        <f aca="false">-C6*C9/100</f>
        <v>-0</v>
      </c>
      <c r="D10" s="0" t="n">
        <f aca="false">-D6*D9/100</f>
        <v>-0</v>
      </c>
      <c r="E10" s="0" t="n">
        <f aca="false">-E6*E9/100</f>
        <v>-0</v>
      </c>
      <c r="F10" s="0" t="n">
        <f aca="false">-F6*F9/100</f>
        <v>-0</v>
      </c>
      <c r="G10" s="0" t="n">
        <f aca="false">-G6*G9/100</f>
        <v>-0</v>
      </c>
      <c r="H10" s="0" t="n">
        <f aca="false">-H6*H9/100</f>
        <v>-0</v>
      </c>
      <c r="I10" s="0" t="n">
        <f aca="false">-I6*I9/100</f>
        <v>-0</v>
      </c>
      <c r="J10" s="0" t="n">
        <f aca="false">-J6*J9/100</f>
        <v>-0</v>
      </c>
      <c r="K10" s="0" t="n">
        <f aca="false">-K6*K9/100</f>
        <v>-0</v>
      </c>
      <c r="L10" s="0" t="n">
        <f aca="false">-L6*L9/100</f>
        <v>-0</v>
      </c>
    </row>
    <row r="11" customFormat="false" ht="15" hidden="false" customHeight="false" outlineLevel="0" collapsed="false">
      <c r="A11" s="0" t="s">
        <v>113</v>
      </c>
      <c r="C11" s="0" t="n">
        <f aca="false">C8+C10+C24</f>
        <v>3074.24689794</v>
      </c>
      <c r="D11" s="0" t="n">
        <f aca="false">D8+D10+D24</f>
        <v>3259.9072988352</v>
      </c>
      <c r="E11" s="0" t="n">
        <f aca="false">E8+E10+E24</f>
        <v>3455.50173676531</v>
      </c>
      <c r="F11" s="0" t="n">
        <f aca="false">F8+F10+F24</f>
        <v>3661.5278780517</v>
      </c>
      <c r="G11" s="0" t="n">
        <f aca="false">G8+G10+G24</f>
        <v>3878.50730786217</v>
      </c>
      <c r="H11" s="0" t="n">
        <f aca="false">H8+H10+H24</f>
        <v>4014.25506363734</v>
      </c>
      <c r="I11" s="0" t="n">
        <f aca="false">I8+I10+I24</f>
        <v>4154.75399086465</v>
      </c>
      <c r="J11" s="0" t="n">
        <f aca="false">J8+J10+J24</f>
        <v>4279.39661059059</v>
      </c>
      <c r="K11" s="0" t="n">
        <f aca="false">K8+K10+K24</f>
        <v>4407.77850890831</v>
      </c>
      <c r="L11" s="0" t="n">
        <f aca="false">L8+L10+L24</f>
        <v>4540.01186417556</v>
      </c>
    </row>
    <row r="12" customFormat="false" ht="15" hidden="false" customHeight="false" outlineLevel="0" collapsed="false">
      <c r="A12" s="0" t="s">
        <v>114</v>
      </c>
      <c r="C12" s="4" t="n">
        <f aca="false">-C6*Assumptions!C31/100</f>
        <v>-723.35221128</v>
      </c>
      <c r="D12" s="4" t="n">
        <f aca="false">-D6*Assumptions!D31/100</f>
        <v>-752.2862997312</v>
      </c>
      <c r="E12" s="4" t="n">
        <f aca="false">-E6*Assumptions!E31/100</f>
        <v>-782.377751720448</v>
      </c>
      <c r="F12" s="4" t="n">
        <f aca="false">-F6*Assumptions!F31/100</f>
        <v>-813.672861789266</v>
      </c>
      <c r="G12" s="4" t="n">
        <f aca="false">-G6*Assumptions!G31/100</f>
        <v>-846.219776260837</v>
      </c>
      <c r="H12" s="4" t="n">
        <f aca="false">-H6*Assumptions!H31/100</f>
        <v>-875.837468429966</v>
      </c>
      <c r="I12" s="4" t="n">
        <f aca="false">-I6*Assumptions!I31/100</f>
        <v>-906.491779825014</v>
      </c>
      <c r="J12" s="4" t="n">
        <f aca="false">-J6*Assumptions!J31/100</f>
        <v>-933.686533219765</v>
      </c>
      <c r="K12" s="4" t="n">
        <f aca="false">-K6*Assumptions!K31/100</f>
        <v>-961.697129216358</v>
      </c>
      <c r="L12" s="4" t="n">
        <f aca="false">-L6*Assumptions!L31/100</f>
        <v>-990.548043092849</v>
      </c>
    </row>
    <row r="13" customFormat="false" ht="15" hidden="false" customHeight="false" outlineLevel="0" collapsed="false">
      <c r="A13" s="0" t="s">
        <v>115</v>
      </c>
      <c r="C13" s="0" t="n">
        <f aca="false">C11+C12</f>
        <v>2350.89468666</v>
      </c>
      <c r="D13" s="0" t="n">
        <f aca="false">D11+D12</f>
        <v>2507.620999104</v>
      </c>
      <c r="E13" s="0" t="n">
        <f aca="false">E11+E12</f>
        <v>2673.12398504486</v>
      </c>
      <c r="F13" s="0" t="n">
        <f aca="false">F11+F12</f>
        <v>2847.85501626243</v>
      </c>
      <c r="G13" s="0" t="n">
        <f aca="false">G11+G12</f>
        <v>3032.28753160133</v>
      </c>
      <c r="H13" s="0" t="n">
        <f aca="false">H11+H12</f>
        <v>3138.41759520738</v>
      </c>
      <c r="I13" s="0" t="n">
        <f aca="false">I11+I12</f>
        <v>3248.26221103964</v>
      </c>
      <c r="J13" s="0" t="n">
        <f aca="false">J11+J12</f>
        <v>3345.71007737082</v>
      </c>
      <c r="K13" s="0" t="n">
        <f aca="false">K11+K12</f>
        <v>3446.08137969195</v>
      </c>
      <c r="L13" s="0" t="n">
        <f aca="false">L11+L12</f>
        <v>3549.46382108271</v>
      </c>
    </row>
    <row r="14" customFormat="false" ht="15" hidden="false" customHeight="false" outlineLevel="0" collapsed="false">
      <c r="A14" s="0" t="s">
        <v>101</v>
      </c>
      <c r="C14" s="4" t="n">
        <f aca="false">Assumptions!C33</f>
        <v>41</v>
      </c>
      <c r="D14" s="4" t="n">
        <f aca="false">Assumptions!D33</f>
        <v>41</v>
      </c>
      <c r="E14" s="4" t="n">
        <f aca="false">Assumptions!E33</f>
        <v>41</v>
      </c>
      <c r="F14" s="4" t="n">
        <f aca="false">Assumptions!F33</f>
        <v>41</v>
      </c>
      <c r="G14" s="4" t="n">
        <f aca="false">Assumptions!G33</f>
        <v>41</v>
      </c>
      <c r="H14" s="4" t="n">
        <f aca="false">Assumptions!H33</f>
        <v>41</v>
      </c>
      <c r="I14" s="4" t="n">
        <f aca="false">Assumptions!I33</f>
        <v>41</v>
      </c>
      <c r="J14" s="4" t="n">
        <f aca="false">Assumptions!J33</f>
        <v>41</v>
      </c>
      <c r="K14" s="4" t="n">
        <f aca="false">Assumptions!K33</f>
        <v>41</v>
      </c>
      <c r="L14" s="4" t="n">
        <f aca="false">Assumptions!L33</f>
        <v>41</v>
      </c>
    </row>
    <row r="15" customFormat="false" ht="15" hidden="false" customHeight="false" outlineLevel="0" collapsed="false">
      <c r="A15" s="0" t="s">
        <v>116</v>
      </c>
      <c r="C15" s="0" t="n">
        <f aca="false">C13-MAX(0,C13)*C14/100</f>
        <v>1387.0278651294</v>
      </c>
      <c r="D15" s="0" t="n">
        <f aca="false">D13-MAX(0,D13)*D14/100</f>
        <v>1479.49638947136</v>
      </c>
      <c r="E15" s="0" t="n">
        <f aca="false">E13-MAX(0,E13)*E14/100</f>
        <v>1577.14315117647</v>
      </c>
      <c r="F15" s="0" t="n">
        <f aca="false">F13-MAX(0,F13)*F14/100</f>
        <v>1680.23445959483</v>
      </c>
      <c r="G15" s="0" t="n">
        <f aca="false">G13-MAX(0,G13)*G14/100</f>
        <v>1789.04964364479</v>
      </c>
      <c r="H15" s="0" t="n">
        <f aca="false">H13-MAX(0,H13)*H14/100</f>
        <v>1851.66638117235</v>
      </c>
      <c r="I15" s="0" t="n">
        <f aca="false">I13-MAX(0,I13)*I14/100</f>
        <v>1916.47470451338</v>
      </c>
      <c r="J15" s="0" t="n">
        <f aca="false">J13-MAX(0,J13)*J14/100</f>
        <v>1973.96894564879</v>
      </c>
      <c r="K15" s="0" t="n">
        <f aca="false">K13-MAX(0,K13)*K14/100</f>
        <v>2033.18801401825</v>
      </c>
      <c r="L15" s="0" t="n">
        <f aca="false">L13-MAX(0,L13)*L14/100</f>
        <v>2094.1836544388</v>
      </c>
    </row>
    <row r="16" customFormat="false" ht="15" hidden="false" customHeight="false" outlineLevel="0" collapsed="false">
      <c r="A16" s="0" t="s">
        <v>117</v>
      </c>
      <c r="C16" s="0" t="n">
        <f aca="false">-C12</f>
        <v>723.35221128</v>
      </c>
      <c r="D16" s="0" t="n">
        <f aca="false">-D12</f>
        <v>752.2862997312</v>
      </c>
      <c r="E16" s="0" t="n">
        <f aca="false">-E12</f>
        <v>782.377751720448</v>
      </c>
      <c r="F16" s="0" t="n">
        <f aca="false">-F12</f>
        <v>813.672861789266</v>
      </c>
      <c r="G16" s="0" t="n">
        <f aca="false">-G12</f>
        <v>846.219776260837</v>
      </c>
      <c r="H16" s="0" t="n">
        <f aca="false">-H12</f>
        <v>875.837468429966</v>
      </c>
      <c r="I16" s="0" t="n">
        <f aca="false">-I12</f>
        <v>906.491779825014</v>
      </c>
      <c r="J16" s="0" t="n">
        <f aca="false">-J12</f>
        <v>933.686533219765</v>
      </c>
      <c r="K16" s="0" t="n">
        <f aca="false">-K12</f>
        <v>961.697129216358</v>
      </c>
      <c r="L16" s="0" t="n">
        <f aca="false">-L12</f>
        <v>990.548043092849</v>
      </c>
    </row>
    <row r="17" customFormat="false" ht="15" hidden="false" customHeight="false" outlineLevel="0" collapsed="false">
      <c r="A17" s="0" t="s">
        <v>118</v>
      </c>
      <c r="C17" s="4" t="n">
        <f aca="false">-C6*Assumptions!C32/100</f>
        <v>-783.63156222</v>
      </c>
      <c r="D17" s="4" t="n">
        <f aca="false">-D6*Assumptions!D32/100</f>
        <v>-814.9768247088</v>
      </c>
      <c r="E17" s="4" t="n">
        <f aca="false">-E6*Assumptions!E32/100</f>
        <v>-847.575897697152</v>
      </c>
      <c r="F17" s="4" t="n">
        <f aca="false">-F6*Assumptions!F32/100</f>
        <v>-881.478933605038</v>
      </c>
      <c r="G17" s="4" t="n">
        <f aca="false">-G6*Assumptions!G32/100</f>
        <v>-916.73809094924</v>
      </c>
      <c r="H17" s="4" t="n">
        <f aca="false">-H6*Assumptions!H32/100</f>
        <v>-948.823924132463</v>
      </c>
      <c r="I17" s="4" t="n">
        <f aca="false">-I6*Assumptions!I32/100</f>
        <v>-982.032761477099</v>
      </c>
      <c r="J17" s="4" t="n">
        <f aca="false">-J6*Assumptions!J32/100</f>
        <v>-1011.49374432141</v>
      </c>
      <c r="K17" s="4" t="n">
        <f aca="false">-K6*Assumptions!K32/100</f>
        <v>-1041.83855665105</v>
      </c>
      <c r="L17" s="4" t="n">
        <f aca="false">-L6*Assumptions!L32/100</f>
        <v>-1073.09371335059</v>
      </c>
    </row>
    <row r="18" customFormat="false" ht="15" hidden="false" customHeight="false" outlineLevel="0" collapsed="false">
      <c r="A18" s="0" t="s">
        <v>119</v>
      </c>
      <c r="C18" s="4" t="n">
        <f aca="false">(C6-B6)*Assumptions!$B$37/100</f>
        <v>-315.4807152</v>
      </c>
      <c r="D18" s="4" t="n">
        <f aca="false">(D6-C6)*Assumptions!$B$37/100</f>
        <v>-192.893923008</v>
      </c>
      <c r="E18" s="4" t="n">
        <f aca="false">(E6-D6)*Assumptions!$B$37/100</f>
        <v>-200.60967992832</v>
      </c>
      <c r="F18" s="4" t="n">
        <f aca="false">(F6-E6)*Assumptions!$B$37/100</f>
        <v>-208.634067125453</v>
      </c>
      <c r="G18" s="4" t="n">
        <f aca="false">(G6-F6)*Assumptions!$B$37/100</f>
        <v>-216.979429810471</v>
      </c>
      <c r="H18" s="4" t="n">
        <f aca="false">(H6-G6)*Assumptions!$B$37/100</f>
        <v>-197.451281127528</v>
      </c>
      <c r="I18" s="4" t="n">
        <f aca="false">(I6-H6)*Assumptions!$B$37/100</f>
        <v>-204.362075966991</v>
      </c>
      <c r="J18" s="4" t="n">
        <f aca="false">(J6-I6)*Assumptions!$B$37/100</f>
        <v>-181.298355965003</v>
      </c>
      <c r="K18" s="4" t="n">
        <f aca="false">(K6-J6)*Assumptions!$B$37/100</f>
        <v>-186.737306643953</v>
      </c>
      <c r="L18" s="4" t="n">
        <f aca="false">(L6-K6)*Assumptions!$B$37/100</f>
        <v>-192.339425843272</v>
      </c>
    </row>
    <row r="19" customFormat="false" ht="15" hidden="false" customHeight="false" outlineLevel="0" collapsed="false">
      <c r="A19" s="0" t="s">
        <v>120</v>
      </c>
      <c r="C19" s="0" t="n">
        <f aca="false">C15+C16+C17+C18</f>
        <v>1011.2677989894</v>
      </c>
      <c r="D19" s="0" t="n">
        <f aca="false">D15+D16+D17+D18</f>
        <v>1223.91194148576</v>
      </c>
      <c r="E19" s="0" t="n">
        <f aca="false">E15+E16+E17+E18</f>
        <v>1311.33532527145</v>
      </c>
      <c r="F19" s="0" t="n">
        <f aca="false">F15+F16+F17+F18</f>
        <v>1403.79432065361</v>
      </c>
      <c r="G19" s="0" t="n">
        <f aca="false">G15+G16+G17+G18</f>
        <v>1501.55189914591</v>
      </c>
      <c r="H19" s="0" t="n">
        <f aca="false">H15+H16+H17+H18</f>
        <v>1581.22864434233</v>
      </c>
      <c r="I19" s="0" t="n">
        <f aca="false">I15+I16+I17+I18</f>
        <v>1636.57164689431</v>
      </c>
      <c r="J19" s="0" t="n">
        <f aca="false">J15+J16+J17+J18</f>
        <v>1714.86337858214</v>
      </c>
      <c r="K19" s="0" t="n">
        <f aca="false">K15+K16+K17+K18</f>
        <v>1766.3092799396</v>
      </c>
      <c r="L19" s="0" t="n">
        <f aca="false">L15+L16+L17+L18</f>
        <v>1819.29855833779</v>
      </c>
    </row>
    <row r="20" customFormat="false" ht="15" hidden="false" customHeight="false" outlineLevel="0" collapsed="false">
      <c r="A20" s="0" t="s">
        <v>121</v>
      </c>
      <c r="C20" s="0" t="n">
        <f aca="false">1/(1+$B$27/100)^C4</f>
        <v>0.91743119266055</v>
      </c>
      <c r="D20" s="0" t="n">
        <f aca="false">1/(1+$B$27/100)^D4</f>
        <v>0.84167999326656</v>
      </c>
      <c r="E20" s="0" t="n">
        <f aca="false">1/(1+$B$27/100)^E4</f>
        <v>0.772183480061064</v>
      </c>
      <c r="F20" s="0" t="n">
        <f aca="false">1/(1+$B$27/100)^F4</f>
        <v>0.708425211065196</v>
      </c>
      <c r="G20" s="0" t="n">
        <f aca="false">1/(1+$B$27/100)^G4</f>
        <v>0.649931386298345</v>
      </c>
      <c r="H20" s="0" t="n">
        <f aca="false">1/(1+$B$27/100)^H4</f>
        <v>0.596267326879216</v>
      </c>
      <c r="I20" s="0" t="n">
        <f aca="false">1/(1+$B$27/100)^I4</f>
        <v>0.547034244843317</v>
      </c>
      <c r="J20" s="0" t="n">
        <f aca="false">1/(1+$B$27/100)^J4</f>
        <v>0.501866279672768</v>
      </c>
      <c r="K20" s="0" t="n">
        <f aca="false">1/(1+$B$27/100)^K4</f>
        <v>0.460427779516301</v>
      </c>
      <c r="L20" s="0" t="n">
        <f aca="false">1/(1+$B$27/100)^L4</f>
        <v>0.422410806895689</v>
      </c>
    </row>
    <row r="21" customFormat="false" ht="15" hidden="false" customHeight="false" outlineLevel="0" collapsed="false">
      <c r="A21" s="0" t="s">
        <v>122</v>
      </c>
      <c r="C21" s="0" t="n">
        <f aca="false">C19*C20</f>
        <v>927.768622926055</v>
      </c>
      <c r="D21" s="0" t="n">
        <f aca="false">D19*D20</f>
        <v>1030.1421946686</v>
      </c>
      <c r="E21" s="0" t="n">
        <f aca="false">E19*E20</f>
        <v>1012.59147499511</v>
      </c>
      <c r="F21" s="0" t="n">
        <f aca="false">F19*F20</f>
        <v>994.483287901157</v>
      </c>
      <c r="G21" s="0" t="n">
        <f aca="false">G19*G20</f>
        <v>975.905707410815</v>
      </c>
      <c r="H21" s="0" t="n">
        <f aca="false">H19*H20</f>
        <v>942.834976946846</v>
      </c>
      <c r="I21" s="0" t="n">
        <f aca="false">I19*I20</f>
        <v>895.260734990812</v>
      </c>
      <c r="J21" s="0" t="n">
        <f aca="false">J19*J20</f>
        <v>860.63210395609</v>
      </c>
      <c r="K21" s="0" t="n">
        <f aca="false">K19*K20</f>
        <v>813.257859701626</v>
      </c>
      <c r="L21" s="0" t="n">
        <f aca="false">L19*L20</f>
        <v>768.491372011629</v>
      </c>
    </row>
    <row r="23" customFormat="false" ht="15" hidden="false" customHeight="false" outlineLevel="0" collapsed="false">
      <c r="A23" s="0" t="s">
        <v>98</v>
      </c>
      <c r="C23" s="4" t="n">
        <f aca="false">Assumptions!C30</f>
        <v>1.9</v>
      </c>
      <c r="D23" s="4" t="n">
        <f aca="false">Assumptions!D30</f>
        <v>1.9</v>
      </c>
      <c r="E23" s="4" t="n">
        <f aca="false">Assumptions!E30</f>
        <v>1.9</v>
      </c>
      <c r="F23" s="4" t="n">
        <f aca="false">Assumptions!F30</f>
        <v>1.9</v>
      </c>
      <c r="G23" s="4" t="n">
        <f aca="false">Assumptions!G30</f>
        <v>1.9</v>
      </c>
      <c r="H23" s="4" t="n">
        <f aca="false">Assumptions!H30</f>
        <v>1.9</v>
      </c>
      <c r="I23" s="4" t="n">
        <f aca="false">Assumptions!I30</f>
        <v>1.9</v>
      </c>
      <c r="J23" s="4" t="n">
        <f aca="false">Assumptions!J30</f>
        <v>1.9</v>
      </c>
      <c r="K23" s="4" t="n">
        <f aca="false">Assumptions!K30</f>
        <v>1.9</v>
      </c>
      <c r="L23" s="4" t="n">
        <f aca="false">Assumptions!L30</f>
        <v>1.9</v>
      </c>
    </row>
    <row r="24" customFormat="false" ht="15" hidden="false" customHeight="false" outlineLevel="0" collapsed="false">
      <c r="A24" s="0" t="s">
        <v>123</v>
      </c>
      <c r="C24" s="0" t="n">
        <f aca="false">-C6*C23/100</f>
        <v>-1145.30766786</v>
      </c>
      <c r="D24" s="0" t="n">
        <f aca="false">-D6*D23/100</f>
        <v>-1191.1199745744</v>
      </c>
      <c r="E24" s="0" t="n">
        <f aca="false">-E6*E23/100</f>
        <v>-1238.76477355738</v>
      </c>
      <c r="F24" s="0" t="n">
        <f aca="false">-F6*F23/100</f>
        <v>-1288.31536449967</v>
      </c>
      <c r="G24" s="0" t="n">
        <f aca="false">-G6*G23/100</f>
        <v>-1339.84797907966</v>
      </c>
      <c r="H24" s="0" t="n">
        <f aca="false">-H6*H23/100</f>
        <v>-1386.74265834745</v>
      </c>
      <c r="I24" s="0" t="n">
        <f aca="false">-I6*I23/100</f>
        <v>-1435.27865138961</v>
      </c>
      <c r="J24" s="0" t="n">
        <f aca="false">-J6*J23/100</f>
        <v>-1478.33701093129</v>
      </c>
      <c r="K24" s="0" t="n">
        <f aca="false">-K6*K23/100</f>
        <v>-1522.68712125923</v>
      </c>
      <c r="L24" s="0" t="n">
        <f aca="false">-L6*L23/100</f>
        <v>-1568.36773489701</v>
      </c>
    </row>
    <row r="26" customFormat="false" ht="15" hidden="false" customHeight="false" outlineLevel="0" collapsed="false">
      <c r="A26" s="2" t="s">
        <v>124</v>
      </c>
    </row>
    <row r="27" customFormat="false" ht="15" hidden="false" customHeight="false" outlineLevel="0" collapsed="false">
      <c r="A27" s="0" t="s">
        <v>102</v>
      </c>
      <c r="B27" s="4" t="n">
        <f aca="false">Assumptions!$B$34</f>
        <v>9</v>
      </c>
    </row>
    <row r="28" customFormat="false" ht="15" hidden="false" customHeight="false" outlineLevel="0" collapsed="false">
      <c r="A28" s="0" t="s">
        <v>103</v>
      </c>
      <c r="B28" s="4" t="n">
        <f aca="false">Assumptions!$B$35</f>
        <v>2.5</v>
      </c>
    </row>
    <row r="29" customFormat="false" ht="15" hidden="false" customHeight="false" outlineLevel="0" collapsed="false">
      <c r="A29" s="0" t="s">
        <v>104</v>
      </c>
      <c r="B29" s="4" t="n">
        <f aca="false">Assumptions!$B$36</f>
        <v>12</v>
      </c>
    </row>
    <row r="30" customFormat="false" ht="15" hidden="false" customHeight="false" outlineLevel="0" collapsed="false">
      <c r="A30" s="0" t="s">
        <v>125</v>
      </c>
      <c r="B30" s="0" t="n">
        <f aca="false">SUM(C21:L21)</f>
        <v>9221.36833550874</v>
      </c>
    </row>
    <row r="31" customFormat="false" ht="15" hidden="false" customHeight="false" outlineLevel="0" collapsed="false">
      <c r="A31" s="0" t="s">
        <v>126</v>
      </c>
      <c r="B31" s="0" t="n">
        <f aca="false">L19</f>
        <v>1819.29855833779</v>
      </c>
    </row>
    <row r="32" customFormat="false" ht="15" hidden="false" customHeight="false" outlineLevel="0" collapsed="false">
      <c r="A32" s="0" t="s">
        <v>127</v>
      </c>
      <c r="B32" s="0" t="n">
        <f aca="false">IF(B27&gt;B28,B31*(1+B28/100)/((B27-B28)/100),B31*B29)</f>
        <v>28688.9388045574</v>
      </c>
    </row>
    <row r="33" customFormat="false" ht="15" hidden="false" customHeight="false" outlineLevel="0" collapsed="false">
      <c r="A33" s="0" t="s">
        <v>128</v>
      </c>
      <c r="B33" s="0" t="n">
        <f aca="false">B31*B29</f>
        <v>21831.5827000535</v>
      </c>
    </row>
    <row r="34" customFormat="false" ht="15" hidden="false" customHeight="false" outlineLevel="0" collapsed="false">
      <c r="A34" s="0" t="s">
        <v>129</v>
      </c>
      <c r="B34" s="0" t="n">
        <f aca="false">MAX(0,MIN(B32,B33))</f>
        <v>21831.5827000535</v>
      </c>
    </row>
    <row r="35" customFormat="false" ht="15" hidden="false" customHeight="false" outlineLevel="0" collapsed="false">
      <c r="A35" s="0" t="s">
        <v>130</v>
      </c>
      <c r="B35" s="0" t="n">
        <f aca="false">B34/(1+B27/100)^L4</f>
        <v>9221.89646413954</v>
      </c>
    </row>
    <row r="36" customFormat="false" ht="15" hidden="false" customHeight="false" outlineLevel="0" collapsed="false">
      <c r="A36" s="0" t="s">
        <v>131</v>
      </c>
      <c r="B36" s="0" t="n">
        <f aca="false">B30+B35</f>
        <v>18443.2647996483</v>
      </c>
    </row>
    <row r="37" customFormat="false" ht="15" hidden="false" customHeight="false" outlineLevel="0" collapsed="false">
      <c r="A37" s="0" t="s">
        <v>132</v>
      </c>
      <c r="B37" s="0" t="n">
        <f aca="false">B36+Assumptions!$B$5-Assumptions!$B$4</f>
        <v>17238.7867996483</v>
      </c>
    </row>
    <row r="38" customFormat="false" ht="15" hidden="false" customHeight="false" outlineLevel="0" collapsed="false">
      <c r="A38" s="0" t="s">
        <v>133</v>
      </c>
      <c r="B38" s="0" t="n">
        <f aca="false">B37/Assumptions!$B$3*Assumptions!$B$10</f>
        <v>9.56579488229931</v>
      </c>
    </row>
    <row r="39" customFormat="false" ht="15" hidden="false" customHeight="false" outlineLevel="0" collapsed="false">
      <c r="A39" s="0" t="s">
        <v>134</v>
      </c>
      <c r="B39" s="4" t="n">
        <f aca="false">B38/Assumptions!$B$2-1</f>
        <v>0.628220405497754</v>
      </c>
    </row>
    <row r="41" customFormat="false" ht="15" hidden="false" customHeight="false" outlineLevel="0" collapsed="false">
      <c r="A41" s="0" t="s">
        <v>135</v>
      </c>
      <c r="B41" s="0" t="n">
        <f aca="false">SUMPRODUCT(-C10:L10/(1+$B$27/100)^C4:L4)</f>
        <v>0</v>
      </c>
    </row>
    <row r="42" customFormat="false" ht="15" hidden="false" customHeight="false" outlineLevel="0" collapsed="false">
      <c r="A42" s="0" t="s">
        <v>136</v>
      </c>
      <c r="B42" s="0" t="n">
        <f aca="false">IF(B27&gt;B28,-L10*(1+B28/100)/((B27-B28)/100),-L10*20)/(1+B27/100)^L4</f>
        <v>0</v>
      </c>
    </row>
    <row r="43" customFormat="false" ht="15" hidden="false" customHeight="false" outlineLevel="0" collapsed="false">
      <c r="A43" s="0" t="s">
        <v>137</v>
      </c>
      <c r="B43" s="0" t="n">
        <f aca="false">(B37+B41+B42)/Assumptions!$B$3*Assumptions!$B$10</f>
        <v>9.56579488229931</v>
      </c>
    </row>
    <row r="45" customFormat="false" ht="15" hidden="false" customHeight="false" outlineLevel="0" collapsed="false">
      <c r="A45" s="0" t="s">
        <v>78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138</v>
      </c>
      <c r="B46" s="0" t="n">
        <f aca="false">MAX(0,MIN(IF(B45&gt;B28,B31*(1+B28/100)/((B45-B28)/100),B31*B29),B31*B29))</f>
        <v>14918.2481783699</v>
      </c>
    </row>
    <row r="47" customFormat="false" ht="15" hidden="false" customHeight="false" outlineLevel="0" collapsed="false">
      <c r="A47" s="0" t="s">
        <v>139</v>
      </c>
      <c r="B47" s="0" t="n">
        <f aca="false">(SUMPRODUCT(C19:L19/(1+B45/100)^C4:L4)+B46/(1+B45/100)^L4+Assumptions!$B$5-Assumptions!$B$4)/Assumptions!$B$3*Assumptions!$B$10</f>
        <v>5.27739035568417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141</v>
      </c>
    </row>
    <row r="3" customFormat="false" ht="15" hidden="false" customHeight="false" outlineLevel="0" collapsed="false">
      <c r="A3" s="0" t="s">
        <v>110</v>
      </c>
      <c r="B3" s="0" t="s">
        <v>71</v>
      </c>
      <c r="C3" s="2" t="s">
        <v>85</v>
      </c>
      <c r="D3" s="2" t="s">
        <v>86</v>
      </c>
      <c r="E3" s="2" t="s">
        <v>87</v>
      </c>
      <c r="F3" s="2" t="s">
        <v>88</v>
      </c>
      <c r="G3" s="2" t="s">
        <v>89</v>
      </c>
      <c r="H3" s="2" t="s">
        <v>90</v>
      </c>
      <c r="I3" s="2" t="s">
        <v>91</v>
      </c>
      <c r="J3" s="2" t="s">
        <v>92</v>
      </c>
      <c r="K3" s="2" t="s">
        <v>93</v>
      </c>
      <c r="L3" s="2" t="s">
        <v>94</v>
      </c>
    </row>
    <row r="4" customFormat="false" ht="15" hidden="false" customHeight="false" outlineLevel="0" collapsed="false">
      <c r="A4" s="0" t="s">
        <v>111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95</v>
      </c>
      <c r="C5" s="4" t="n">
        <f aca="false">Assumptions!C41</f>
        <v>9</v>
      </c>
      <c r="D5" s="4" t="n">
        <f aca="false">Assumptions!D41</f>
        <v>7</v>
      </c>
      <c r="E5" s="4" t="n">
        <f aca="false">Assumptions!E41</f>
        <v>7</v>
      </c>
      <c r="F5" s="4" t="n">
        <f aca="false">Assumptions!F41</f>
        <v>6</v>
      </c>
      <c r="G5" s="4" t="n">
        <f aca="false">Assumptions!G41</f>
        <v>6</v>
      </c>
      <c r="H5" s="4" t="n">
        <f aca="false">Assumptions!H41</f>
        <v>5</v>
      </c>
      <c r="I5" s="4" t="n">
        <f aca="false">Assumptions!I41</f>
        <v>4</v>
      </c>
      <c r="J5" s="4" t="n">
        <f aca="false">Assumptions!J41</f>
        <v>3.5</v>
      </c>
      <c r="K5" s="4" t="n">
        <f aca="false">Assumptions!K41</f>
        <v>3</v>
      </c>
      <c r="L5" s="4" t="n">
        <f aca="false">Assumptions!L41</f>
        <v>3</v>
      </c>
    </row>
    <row r="6" customFormat="false" ht="15" hidden="false" customHeight="false" outlineLevel="0" collapsed="false">
      <c r="A6" s="0" t="s">
        <v>37</v>
      </c>
      <c r="B6" s="3" t="n">
        <v>56335.842</v>
      </c>
      <c r="C6" s="0" t="n">
        <f aca="false">B6*(1+C5/100)</f>
        <v>61406.06778</v>
      </c>
      <c r="D6" s="0" t="n">
        <f aca="false">C6*(1+D5/100)</f>
        <v>65704.4925246</v>
      </c>
      <c r="E6" s="0" t="n">
        <f aca="false">D6*(1+E5/100)</f>
        <v>70303.807001322</v>
      </c>
      <c r="F6" s="0" t="n">
        <f aca="false">E6*(1+F5/100)</f>
        <v>74522.0354214013</v>
      </c>
      <c r="G6" s="0" t="n">
        <f aca="false">F6*(1+G5/100)</f>
        <v>78993.3575466854</v>
      </c>
      <c r="H6" s="0" t="n">
        <f aca="false">G6*(1+H5/100)</f>
        <v>82943.0254240197</v>
      </c>
      <c r="I6" s="0" t="n">
        <f aca="false">H6*(1+I5/100)</f>
        <v>86260.7464409805</v>
      </c>
      <c r="J6" s="0" t="n">
        <f aca="false">I6*(1+J5/100)</f>
        <v>89279.8725664148</v>
      </c>
      <c r="K6" s="0" t="n">
        <f aca="false">J6*(1+K5/100)</f>
        <v>91958.2687434072</v>
      </c>
      <c r="L6" s="0" t="n">
        <f aca="false">K6*(1+L5/100)</f>
        <v>94717.0168057095</v>
      </c>
    </row>
    <row r="7" customFormat="false" ht="15" hidden="false" customHeight="false" outlineLevel="0" collapsed="false">
      <c r="A7" s="0" t="s">
        <v>96</v>
      </c>
      <c r="C7" s="4" t="n">
        <f aca="false">Assumptions!C42</f>
        <v>7.2</v>
      </c>
      <c r="D7" s="4" t="n">
        <f aca="false">Assumptions!D42</f>
        <v>7.5</v>
      </c>
      <c r="E7" s="4" t="n">
        <f aca="false">Assumptions!E42</f>
        <v>7.8</v>
      </c>
      <c r="F7" s="4" t="n">
        <f aca="false">Assumptions!F42</f>
        <v>8</v>
      </c>
      <c r="G7" s="4" t="n">
        <f aca="false">Assumptions!G42</f>
        <v>8.2</v>
      </c>
      <c r="H7" s="4" t="n">
        <f aca="false">Assumptions!H42</f>
        <v>8.3</v>
      </c>
      <c r="I7" s="4" t="n">
        <f aca="false">Assumptions!I42</f>
        <v>8.3</v>
      </c>
      <c r="J7" s="4" t="n">
        <f aca="false">Assumptions!J42</f>
        <v>8.3</v>
      </c>
      <c r="K7" s="4" t="n">
        <f aca="false">Assumptions!K42</f>
        <v>8.3</v>
      </c>
      <c r="L7" s="4" t="n">
        <f aca="false">Assumptions!L42</f>
        <v>8.3</v>
      </c>
    </row>
    <row r="8" customFormat="false" ht="15" hidden="false" customHeight="false" outlineLevel="0" collapsed="false">
      <c r="A8" s="0" t="s">
        <v>43</v>
      </c>
      <c r="C8" s="0" t="n">
        <f aca="false">C6*C7/100</f>
        <v>4421.23688016</v>
      </c>
      <c r="D8" s="0" t="n">
        <f aca="false">D6*D7/100</f>
        <v>4927.836939345</v>
      </c>
      <c r="E8" s="0" t="n">
        <f aca="false">E6*E7/100</f>
        <v>5483.69694610312</v>
      </c>
      <c r="F8" s="0" t="n">
        <f aca="false">F6*F7/100</f>
        <v>5961.76283371211</v>
      </c>
      <c r="G8" s="0" t="n">
        <f aca="false">G6*G7/100</f>
        <v>6477.4553188282</v>
      </c>
      <c r="H8" s="0" t="n">
        <f aca="false">H6*H7/100</f>
        <v>6884.27111019364</v>
      </c>
      <c r="I8" s="0" t="n">
        <f aca="false">I6*I7/100</f>
        <v>7159.64195460138</v>
      </c>
      <c r="J8" s="0" t="n">
        <f aca="false">J6*J7/100</f>
        <v>7410.22942301243</v>
      </c>
      <c r="K8" s="0" t="n">
        <f aca="false">K6*K7/100</f>
        <v>7632.5363057028</v>
      </c>
      <c r="L8" s="0" t="n">
        <f aca="false">L6*L7/100</f>
        <v>7861.51239487389</v>
      </c>
    </row>
    <row r="9" customFormat="false" ht="15" hidden="false" customHeight="false" outlineLevel="0" collapsed="false">
      <c r="A9" s="0" t="s">
        <v>97</v>
      </c>
      <c r="C9" s="4" t="n">
        <f aca="false">Assumptions!C43</f>
        <v>0</v>
      </c>
      <c r="D9" s="4" t="n">
        <f aca="false">Assumptions!D43</f>
        <v>0</v>
      </c>
      <c r="E9" s="4" t="n">
        <f aca="false">Assumptions!E43</f>
        <v>0</v>
      </c>
      <c r="F9" s="4" t="n">
        <f aca="false">Assumptions!F43</f>
        <v>0</v>
      </c>
      <c r="G9" s="4" t="n">
        <f aca="false">Assumptions!G43</f>
        <v>0</v>
      </c>
      <c r="H9" s="4" t="n">
        <f aca="false">Assumptions!H43</f>
        <v>0</v>
      </c>
      <c r="I9" s="4" t="n">
        <f aca="false">Assumptions!I43</f>
        <v>0</v>
      </c>
      <c r="J9" s="4" t="n">
        <f aca="false">Assumptions!J43</f>
        <v>0</v>
      </c>
      <c r="K9" s="4" t="n">
        <f aca="false">Assumptions!K43</f>
        <v>0</v>
      </c>
      <c r="L9" s="4" t="n">
        <f aca="false">Assumptions!L43</f>
        <v>0</v>
      </c>
    </row>
    <row r="10" customFormat="false" ht="15" hidden="false" customHeight="false" outlineLevel="0" collapsed="false">
      <c r="A10" s="0" t="s">
        <v>112</v>
      </c>
      <c r="C10" s="0" t="n">
        <f aca="false">-C6*C9/100</f>
        <v>-0</v>
      </c>
      <c r="D10" s="0" t="n">
        <f aca="false">-D6*D9/100</f>
        <v>-0</v>
      </c>
      <c r="E10" s="0" t="n">
        <f aca="false">-E6*E9/100</f>
        <v>-0</v>
      </c>
      <c r="F10" s="0" t="n">
        <f aca="false">-F6*F9/100</f>
        <v>-0</v>
      </c>
      <c r="G10" s="0" t="n">
        <f aca="false">-G6*G9/100</f>
        <v>-0</v>
      </c>
      <c r="H10" s="0" t="n">
        <f aca="false">-H6*H9/100</f>
        <v>-0</v>
      </c>
      <c r="I10" s="0" t="n">
        <f aca="false">-I6*I9/100</f>
        <v>-0</v>
      </c>
      <c r="J10" s="0" t="n">
        <f aca="false">-J6*J9/100</f>
        <v>-0</v>
      </c>
      <c r="K10" s="0" t="n">
        <f aca="false">-K6*K9/100</f>
        <v>-0</v>
      </c>
      <c r="L10" s="0" t="n">
        <f aca="false">-L6*L9/100</f>
        <v>-0</v>
      </c>
    </row>
    <row r="11" customFormat="false" ht="15" hidden="false" customHeight="false" outlineLevel="0" collapsed="false">
      <c r="A11" s="0" t="s">
        <v>113</v>
      </c>
      <c r="C11" s="0" t="n">
        <f aca="false">C8+C10+C24</f>
        <v>3254.52159234</v>
      </c>
      <c r="D11" s="0" t="n">
        <f aca="false">D8+D10+D24</f>
        <v>3679.4515813776</v>
      </c>
      <c r="E11" s="0" t="n">
        <f aca="false">E8+E10+E24</f>
        <v>4147.924613078</v>
      </c>
      <c r="F11" s="0" t="n">
        <f aca="false">F8+F10+F24</f>
        <v>4545.84416070548</v>
      </c>
      <c r="G11" s="0" t="n">
        <f aca="false">G8+G10+G24</f>
        <v>4976.58152544118</v>
      </c>
      <c r="H11" s="0" t="n">
        <f aca="false">H8+H10+H24</f>
        <v>5308.35362713726</v>
      </c>
      <c r="I11" s="0" t="n">
        <f aca="false">I8+I10+I24</f>
        <v>5520.68777222275</v>
      </c>
      <c r="J11" s="0" t="n">
        <f aca="false">J8+J10+J24</f>
        <v>5713.91184425055</v>
      </c>
      <c r="K11" s="0" t="n">
        <f aca="false">K8+K10+K24</f>
        <v>5885.32919957806</v>
      </c>
      <c r="L11" s="0" t="n">
        <f aca="false">L8+L10+L24</f>
        <v>6061.88907556541</v>
      </c>
    </row>
    <row r="12" customFormat="false" ht="15" hidden="false" customHeight="false" outlineLevel="0" collapsed="false">
      <c r="A12" s="0" t="s">
        <v>114</v>
      </c>
      <c r="C12" s="4" t="n">
        <f aca="false">-C6*Assumptions!C45/100</f>
        <v>-736.87281336</v>
      </c>
      <c r="D12" s="4" t="n">
        <f aca="false">-D6*Assumptions!D45/100</f>
        <v>-788.4539102952</v>
      </c>
      <c r="E12" s="4" t="n">
        <f aca="false">-E6*Assumptions!E45/100</f>
        <v>-843.645684015864</v>
      </c>
      <c r="F12" s="4" t="n">
        <f aca="false">-F6*Assumptions!F45/100</f>
        <v>-894.264425056816</v>
      </c>
      <c r="G12" s="4" t="n">
        <f aca="false">-G6*Assumptions!G45/100</f>
        <v>-947.920290560225</v>
      </c>
      <c r="H12" s="4" t="n">
        <f aca="false">-H6*Assumptions!H45/100</f>
        <v>-995.316305088236</v>
      </c>
      <c r="I12" s="4" t="n">
        <f aca="false">-I6*Assumptions!I45/100</f>
        <v>-1035.12895729177</v>
      </c>
      <c r="J12" s="4" t="n">
        <f aca="false">-J6*Assumptions!J45/100</f>
        <v>-1071.35847079698</v>
      </c>
      <c r="K12" s="4" t="n">
        <f aca="false">-K6*Assumptions!K45/100</f>
        <v>-1103.49922492089</v>
      </c>
      <c r="L12" s="4" t="n">
        <f aca="false">-L6*Assumptions!L45/100</f>
        <v>-1136.60420166851</v>
      </c>
    </row>
    <row r="13" customFormat="false" ht="15" hidden="false" customHeight="false" outlineLevel="0" collapsed="false">
      <c r="A13" s="0" t="s">
        <v>115</v>
      </c>
      <c r="C13" s="0" t="n">
        <f aca="false">C11+C12</f>
        <v>2517.64877898</v>
      </c>
      <c r="D13" s="0" t="n">
        <f aca="false">D11+D12</f>
        <v>2890.9976710824</v>
      </c>
      <c r="E13" s="0" t="n">
        <f aca="false">E11+E12</f>
        <v>3304.27892906213</v>
      </c>
      <c r="F13" s="0" t="n">
        <f aca="false">F11+F12</f>
        <v>3651.57973564867</v>
      </c>
      <c r="G13" s="0" t="n">
        <f aca="false">G11+G12</f>
        <v>4028.66123488096</v>
      </c>
      <c r="H13" s="0" t="n">
        <f aca="false">H11+H12</f>
        <v>4313.03732204902</v>
      </c>
      <c r="I13" s="0" t="n">
        <f aca="false">I11+I12</f>
        <v>4485.55881493099</v>
      </c>
      <c r="J13" s="0" t="n">
        <f aca="false">J11+J12</f>
        <v>4642.55337345357</v>
      </c>
      <c r="K13" s="0" t="n">
        <f aca="false">K11+K12</f>
        <v>4781.82997465718</v>
      </c>
      <c r="L13" s="0" t="n">
        <f aca="false">L11+L12</f>
        <v>4925.28487389689</v>
      </c>
    </row>
    <row r="14" customFormat="false" ht="15" hidden="false" customHeight="false" outlineLevel="0" collapsed="false">
      <c r="A14" s="0" t="s">
        <v>101</v>
      </c>
      <c r="C14" s="4" t="n">
        <f aca="false">Assumptions!C47</f>
        <v>41</v>
      </c>
      <c r="D14" s="4" t="n">
        <f aca="false">Assumptions!D47</f>
        <v>41</v>
      </c>
      <c r="E14" s="4" t="n">
        <f aca="false">Assumptions!E47</f>
        <v>41</v>
      </c>
      <c r="F14" s="4" t="n">
        <f aca="false">Assumptions!F47</f>
        <v>41</v>
      </c>
      <c r="G14" s="4" t="n">
        <f aca="false">Assumptions!G47</f>
        <v>41</v>
      </c>
      <c r="H14" s="4" t="n">
        <f aca="false">Assumptions!H47</f>
        <v>41</v>
      </c>
      <c r="I14" s="4" t="n">
        <f aca="false">Assumptions!I47</f>
        <v>41</v>
      </c>
      <c r="J14" s="4" t="n">
        <f aca="false">Assumptions!J47</f>
        <v>41</v>
      </c>
      <c r="K14" s="4" t="n">
        <f aca="false">Assumptions!K47</f>
        <v>41</v>
      </c>
      <c r="L14" s="4" t="n">
        <f aca="false">Assumptions!L47</f>
        <v>41</v>
      </c>
    </row>
    <row r="15" customFormat="false" ht="15" hidden="false" customHeight="false" outlineLevel="0" collapsed="false">
      <c r="A15" s="0" t="s">
        <v>116</v>
      </c>
      <c r="C15" s="0" t="n">
        <f aca="false">C13-MAX(0,C13)*C14/100</f>
        <v>1485.4127795982</v>
      </c>
      <c r="D15" s="0" t="n">
        <f aca="false">D13-MAX(0,D13)*D14/100</f>
        <v>1705.68862593862</v>
      </c>
      <c r="E15" s="0" t="n">
        <f aca="false">E13-MAX(0,E13)*E14/100</f>
        <v>1949.52456814666</v>
      </c>
      <c r="F15" s="0" t="n">
        <f aca="false">F13-MAX(0,F13)*F14/100</f>
        <v>2154.43204403271</v>
      </c>
      <c r="G15" s="0" t="n">
        <f aca="false">G13-MAX(0,G13)*G14/100</f>
        <v>2376.91012857976</v>
      </c>
      <c r="H15" s="0" t="n">
        <f aca="false">H13-MAX(0,H13)*H14/100</f>
        <v>2544.69202000892</v>
      </c>
      <c r="I15" s="0" t="n">
        <f aca="false">I13-MAX(0,I13)*I14/100</f>
        <v>2646.47970080928</v>
      </c>
      <c r="J15" s="0" t="n">
        <f aca="false">J13-MAX(0,J13)*J14/100</f>
        <v>2739.10649033761</v>
      </c>
      <c r="K15" s="0" t="n">
        <f aca="false">K13-MAX(0,K13)*K14/100</f>
        <v>2821.27968504773</v>
      </c>
      <c r="L15" s="0" t="n">
        <f aca="false">L13-MAX(0,L13)*L14/100</f>
        <v>2905.91807559917</v>
      </c>
    </row>
    <row r="16" customFormat="false" ht="15" hidden="false" customHeight="false" outlineLevel="0" collapsed="false">
      <c r="A16" s="0" t="s">
        <v>117</v>
      </c>
      <c r="C16" s="0" t="n">
        <f aca="false">-C12</f>
        <v>736.87281336</v>
      </c>
      <c r="D16" s="0" t="n">
        <f aca="false">-D12</f>
        <v>788.4539102952</v>
      </c>
      <c r="E16" s="0" t="n">
        <f aca="false">-E12</f>
        <v>843.645684015864</v>
      </c>
      <c r="F16" s="0" t="n">
        <f aca="false">-F12</f>
        <v>894.264425056816</v>
      </c>
      <c r="G16" s="0" t="n">
        <f aca="false">-G12</f>
        <v>947.920290560225</v>
      </c>
      <c r="H16" s="0" t="n">
        <f aca="false">-H12</f>
        <v>995.316305088236</v>
      </c>
      <c r="I16" s="0" t="n">
        <f aca="false">-I12</f>
        <v>1035.12895729177</v>
      </c>
      <c r="J16" s="0" t="n">
        <f aca="false">-J12</f>
        <v>1071.35847079698</v>
      </c>
      <c r="K16" s="0" t="n">
        <f aca="false">-K12</f>
        <v>1103.49922492089</v>
      </c>
      <c r="L16" s="0" t="n">
        <f aca="false">-L12</f>
        <v>1136.60420166851</v>
      </c>
    </row>
    <row r="17" customFormat="false" ht="15" hidden="false" customHeight="false" outlineLevel="0" collapsed="false">
      <c r="A17" s="0" t="s">
        <v>118</v>
      </c>
      <c r="C17" s="4" t="n">
        <f aca="false">-C6*Assumptions!C46/100</f>
        <v>-828.98191503</v>
      </c>
      <c r="D17" s="4" t="n">
        <f aca="false">-D6*Assumptions!D46/100</f>
        <v>-887.0106490821</v>
      </c>
      <c r="E17" s="4" t="n">
        <f aca="false">-E6*Assumptions!E46/100</f>
        <v>-949.101394517847</v>
      </c>
      <c r="F17" s="4" t="n">
        <f aca="false">-F6*Assumptions!F46/100</f>
        <v>-1006.04747818892</v>
      </c>
      <c r="G17" s="4" t="n">
        <f aca="false">-G6*Assumptions!G46/100</f>
        <v>-1066.41032688025</v>
      </c>
      <c r="H17" s="4" t="n">
        <f aca="false">-H6*Assumptions!H46/100</f>
        <v>-1119.73084322427</v>
      </c>
      <c r="I17" s="4" t="n">
        <f aca="false">-I6*Assumptions!I46/100</f>
        <v>-1164.52007695324</v>
      </c>
      <c r="J17" s="4" t="n">
        <f aca="false">-J6*Assumptions!J46/100</f>
        <v>-1205.2782796466</v>
      </c>
      <c r="K17" s="4" t="n">
        <f aca="false">-K6*Assumptions!K46/100</f>
        <v>-1241.436628036</v>
      </c>
      <c r="L17" s="4" t="n">
        <f aca="false">-L6*Assumptions!L46/100</f>
        <v>-1278.67972687708</v>
      </c>
    </row>
    <row r="18" customFormat="false" ht="15" hidden="false" customHeight="false" outlineLevel="0" collapsed="false">
      <c r="A18" s="0" t="s">
        <v>119</v>
      </c>
      <c r="C18" s="4" t="n">
        <f aca="false">(C6-B6)*Assumptions!$B$51/100</f>
        <v>-405.6180624</v>
      </c>
      <c r="D18" s="4" t="n">
        <f aca="false">(D6-C6)*Assumptions!$B$51/100</f>
        <v>-343.873979568001</v>
      </c>
      <c r="E18" s="4" t="n">
        <f aca="false">(E6-D6)*Assumptions!$B$51/100</f>
        <v>-367.945158137761</v>
      </c>
      <c r="F18" s="4" t="n">
        <f aca="false">(F6-E6)*Assumptions!$B$51/100</f>
        <v>-337.458273606346</v>
      </c>
      <c r="G18" s="4" t="n">
        <f aca="false">(G6-F6)*Assumptions!$B$51/100</f>
        <v>-357.705770022727</v>
      </c>
      <c r="H18" s="4" t="n">
        <f aca="false">(H6-G6)*Assumptions!$B$51/100</f>
        <v>-315.973430186742</v>
      </c>
      <c r="I18" s="4" t="n">
        <f aca="false">(I6-H6)*Assumptions!$B$51/100</f>
        <v>-265.417681356863</v>
      </c>
      <c r="J18" s="4" t="n">
        <f aca="false">(J6-I6)*Assumptions!$B$51/100</f>
        <v>-241.530090034745</v>
      </c>
      <c r="K18" s="4" t="n">
        <f aca="false">(K6-J6)*Assumptions!$B$51/100</f>
        <v>-214.271694159396</v>
      </c>
      <c r="L18" s="4" t="n">
        <f aca="false">(L6-K6)*Assumptions!$B$51/100</f>
        <v>-220.699844984177</v>
      </c>
    </row>
    <row r="19" customFormat="false" ht="15" hidden="false" customHeight="false" outlineLevel="0" collapsed="false">
      <c r="A19" s="0" t="s">
        <v>120</v>
      </c>
      <c r="C19" s="0" t="n">
        <f aca="false">C15+C16+C17+C18</f>
        <v>987.6856155282</v>
      </c>
      <c r="D19" s="0" t="n">
        <f aca="false">D15+D16+D17+D18</f>
        <v>1263.25790758372</v>
      </c>
      <c r="E19" s="0" t="n">
        <f aca="false">E15+E16+E17+E18</f>
        <v>1476.12369950692</v>
      </c>
      <c r="F19" s="0" t="n">
        <f aca="false">F15+F16+F17+F18</f>
        <v>1705.19071729426</v>
      </c>
      <c r="G19" s="0" t="n">
        <f aca="false">G15+G16+G17+G18</f>
        <v>1900.71432223701</v>
      </c>
      <c r="H19" s="0" t="n">
        <f aca="false">H15+H16+H17+H18</f>
        <v>2104.30405168615</v>
      </c>
      <c r="I19" s="0" t="n">
        <f aca="false">I15+I16+I17+I18</f>
        <v>2251.67089979095</v>
      </c>
      <c r="J19" s="0" t="n">
        <f aca="false">J15+J16+J17+J18</f>
        <v>2363.65659145324</v>
      </c>
      <c r="K19" s="0" t="n">
        <f aca="false">K15+K16+K17+K18</f>
        <v>2469.07058777323</v>
      </c>
      <c r="L19" s="0" t="n">
        <f aca="false">L15+L16+L17+L18</f>
        <v>2543.14270540643</v>
      </c>
    </row>
    <row r="20" customFormat="false" ht="15" hidden="false" customHeight="false" outlineLevel="0" collapsed="false">
      <c r="A20" s="0" t="s">
        <v>121</v>
      </c>
      <c r="C20" s="0" t="n">
        <f aca="false">1/(1+$B$27/100)^C4</f>
        <v>0.91743119266055</v>
      </c>
      <c r="D20" s="0" t="n">
        <f aca="false">1/(1+$B$27/100)^D4</f>
        <v>0.84167999326656</v>
      </c>
      <c r="E20" s="0" t="n">
        <f aca="false">1/(1+$B$27/100)^E4</f>
        <v>0.772183480061064</v>
      </c>
      <c r="F20" s="0" t="n">
        <f aca="false">1/(1+$B$27/100)^F4</f>
        <v>0.708425211065196</v>
      </c>
      <c r="G20" s="0" t="n">
        <f aca="false">1/(1+$B$27/100)^G4</f>
        <v>0.649931386298345</v>
      </c>
      <c r="H20" s="0" t="n">
        <f aca="false">1/(1+$B$27/100)^H4</f>
        <v>0.596267326879216</v>
      </c>
      <c r="I20" s="0" t="n">
        <f aca="false">1/(1+$B$27/100)^I4</f>
        <v>0.547034244843317</v>
      </c>
      <c r="J20" s="0" t="n">
        <f aca="false">1/(1+$B$27/100)^J4</f>
        <v>0.501866279672768</v>
      </c>
      <c r="K20" s="0" t="n">
        <f aca="false">1/(1+$B$27/100)^K4</f>
        <v>0.460427779516301</v>
      </c>
      <c r="L20" s="0" t="n">
        <f aca="false">1/(1+$B$27/100)^L4</f>
        <v>0.422410806895689</v>
      </c>
    </row>
    <row r="21" customFormat="false" ht="15" hidden="false" customHeight="false" outlineLevel="0" collapsed="false">
      <c r="A21" s="0" t="s">
        <v>122</v>
      </c>
      <c r="C21" s="0" t="n">
        <f aca="false">C19*C20</f>
        <v>906.133592227706</v>
      </c>
      <c r="D21" s="0" t="n">
        <f aca="false">D19*D20</f>
        <v>1063.25890714899</v>
      </c>
      <c r="E21" s="0" t="n">
        <f aca="false">E19*E20</f>
        <v>1139.83833528586</v>
      </c>
      <c r="F21" s="0" t="n">
        <f aca="false">F19*F20</f>
        <v>1208.0000938056</v>
      </c>
      <c r="G21" s="0" t="n">
        <f aca="false">G19*G20</f>
        <v>1235.33389440862</v>
      </c>
      <c r="H21" s="0" t="n">
        <f aca="false">H19*H20</f>
        <v>1254.72775184001</v>
      </c>
      <c r="I21" s="0" t="n">
        <f aca="false">I19*I20</f>
        <v>1231.74109030281</v>
      </c>
      <c r="J21" s="0" t="n">
        <f aca="false">J19*J20</f>
        <v>1186.23953997665</v>
      </c>
      <c r="K21" s="0" t="n">
        <f aca="false">K19*K20</f>
        <v>1136.82868819744</v>
      </c>
      <c r="L21" s="0" t="n">
        <f aca="false">L19*L20</f>
        <v>1074.25096224161</v>
      </c>
    </row>
    <row r="23" customFormat="false" ht="15" hidden="false" customHeight="false" outlineLevel="0" collapsed="false">
      <c r="A23" s="0" t="s">
        <v>98</v>
      </c>
      <c r="C23" s="4" t="n">
        <f aca="false">Assumptions!C44</f>
        <v>1.9</v>
      </c>
      <c r="D23" s="4" t="n">
        <f aca="false">Assumptions!D44</f>
        <v>1.9</v>
      </c>
      <c r="E23" s="4" t="n">
        <f aca="false">Assumptions!E44</f>
        <v>1.9</v>
      </c>
      <c r="F23" s="4" t="n">
        <f aca="false">Assumptions!F44</f>
        <v>1.9</v>
      </c>
      <c r="G23" s="4" t="n">
        <f aca="false">Assumptions!G44</f>
        <v>1.9</v>
      </c>
      <c r="H23" s="4" t="n">
        <f aca="false">Assumptions!H44</f>
        <v>1.9</v>
      </c>
      <c r="I23" s="4" t="n">
        <f aca="false">Assumptions!I44</f>
        <v>1.9</v>
      </c>
      <c r="J23" s="4" t="n">
        <f aca="false">Assumptions!J44</f>
        <v>1.9</v>
      </c>
      <c r="K23" s="4" t="n">
        <f aca="false">Assumptions!K44</f>
        <v>1.9</v>
      </c>
      <c r="L23" s="4" t="n">
        <f aca="false">Assumptions!L44</f>
        <v>1.9</v>
      </c>
    </row>
    <row r="24" customFormat="false" ht="15" hidden="false" customHeight="false" outlineLevel="0" collapsed="false">
      <c r="A24" s="0" t="s">
        <v>123</v>
      </c>
      <c r="C24" s="0" t="n">
        <f aca="false">-C6*C23/100</f>
        <v>-1166.71528782</v>
      </c>
      <c r="D24" s="0" t="n">
        <f aca="false">-D6*D23/100</f>
        <v>-1248.3853579674</v>
      </c>
      <c r="E24" s="0" t="n">
        <f aca="false">-E6*E23/100</f>
        <v>-1335.77233302512</v>
      </c>
      <c r="F24" s="0" t="n">
        <f aca="false">-F6*F23/100</f>
        <v>-1415.91867300663</v>
      </c>
      <c r="G24" s="0" t="n">
        <f aca="false">-G6*G23/100</f>
        <v>-1500.87379338702</v>
      </c>
      <c r="H24" s="0" t="n">
        <f aca="false">-H6*H23/100</f>
        <v>-1575.91748305637</v>
      </c>
      <c r="I24" s="0" t="n">
        <f aca="false">-I6*I23/100</f>
        <v>-1638.95418237863</v>
      </c>
      <c r="J24" s="0" t="n">
        <f aca="false">-J6*J23/100</f>
        <v>-1696.31757876188</v>
      </c>
      <c r="K24" s="0" t="n">
        <f aca="false">-K6*K23/100</f>
        <v>-1747.20710612474</v>
      </c>
      <c r="L24" s="0" t="n">
        <f aca="false">-L6*L23/100</f>
        <v>-1799.62331930848</v>
      </c>
    </row>
    <row r="26" customFormat="false" ht="15" hidden="false" customHeight="false" outlineLevel="0" collapsed="false">
      <c r="A26" s="2" t="s">
        <v>124</v>
      </c>
    </row>
    <row r="27" customFormat="false" ht="15" hidden="false" customHeight="false" outlineLevel="0" collapsed="false">
      <c r="A27" s="0" t="s">
        <v>102</v>
      </c>
      <c r="B27" s="4" t="n">
        <f aca="false">Assumptions!$B$48</f>
        <v>9</v>
      </c>
    </row>
    <row r="28" customFormat="false" ht="15" hidden="false" customHeight="false" outlineLevel="0" collapsed="false">
      <c r="A28" s="0" t="s">
        <v>103</v>
      </c>
      <c r="B28" s="4" t="n">
        <f aca="false">Assumptions!$B$49</f>
        <v>3</v>
      </c>
    </row>
    <row r="29" customFormat="false" ht="15" hidden="false" customHeight="false" outlineLevel="0" collapsed="false">
      <c r="A29" s="0" t="s">
        <v>104</v>
      </c>
      <c r="B29" s="4" t="n">
        <f aca="false">Assumptions!$B$50</f>
        <v>12</v>
      </c>
    </row>
    <row r="30" customFormat="false" ht="15" hidden="false" customHeight="false" outlineLevel="0" collapsed="false">
      <c r="A30" s="0" t="s">
        <v>125</v>
      </c>
      <c r="B30" s="0" t="n">
        <f aca="false">SUM(C21:L21)</f>
        <v>11436.3528554353</v>
      </c>
    </row>
    <row r="31" customFormat="false" ht="15" hidden="false" customHeight="false" outlineLevel="0" collapsed="false">
      <c r="A31" s="0" t="s">
        <v>126</v>
      </c>
      <c r="B31" s="0" t="n">
        <f aca="false">L19</f>
        <v>2543.14270540643</v>
      </c>
    </row>
    <row r="32" customFormat="false" ht="15" hidden="false" customHeight="false" outlineLevel="0" collapsed="false">
      <c r="A32" s="0" t="s">
        <v>127</v>
      </c>
      <c r="B32" s="0" t="n">
        <f aca="false">IF(B27&gt;B28,B31*(1+B28/100)/((B27-B28)/100),B31*B29)</f>
        <v>43657.283109477</v>
      </c>
    </row>
    <row r="33" customFormat="false" ht="15" hidden="false" customHeight="false" outlineLevel="0" collapsed="false">
      <c r="A33" s="0" t="s">
        <v>128</v>
      </c>
      <c r="B33" s="0" t="n">
        <f aca="false">B31*B29</f>
        <v>30517.7124648771</v>
      </c>
    </row>
    <row r="34" customFormat="false" ht="15" hidden="false" customHeight="false" outlineLevel="0" collapsed="false">
      <c r="A34" s="0" t="s">
        <v>129</v>
      </c>
      <c r="B34" s="0" t="n">
        <f aca="false">MAX(0,MIN(B32,B33))</f>
        <v>30517.7124648771</v>
      </c>
    </row>
    <row r="35" customFormat="false" ht="15" hidden="false" customHeight="false" outlineLevel="0" collapsed="false">
      <c r="A35" s="0" t="s">
        <v>130</v>
      </c>
      <c r="B35" s="0" t="n">
        <f aca="false">B34/(1+B27/100)^L4</f>
        <v>12891.0115468994</v>
      </c>
    </row>
    <row r="36" customFormat="false" ht="15" hidden="false" customHeight="false" outlineLevel="0" collapsed="false">
      <c r="A36" s="0" t="s">
        <v>131</v>
      </c>
      <c r="B36" s="0" t="n">
        <f aca="false">B30+B35</f>
        <v>24327.3644023347</v>
      </c>
    </row>
    <row r="37" customFormat="false" ht="15" hidden="false" customHeight="false" outlineLevel="0" collapsed="false">
      <c r="A37" s="0" t="s">
        <v>132</v>
      </c>
      <c r="B37" s="0" t="n">
        <f aca="false">B36+Assumptions!$B$5-Assumptions!$B$4</f>
        <v>23122.8864023347</v>
      </c>
    </row>
    <row r="38" customFormat="false" ht="15" hidden="false" customHeight="false" outlineLevel="0" collapsed="false">
      <c r="A38" s="0" t="s">
        <v>133</v>
      </c>
      <c r="B38" s="0" t="n">
        <f aca="false">B37/Assumptions!$B$3*Assumptions!$B$10</f>
        <v>12.8308790509524</v>
      </c>
    </row>
    <row r="39" customFormat="false" ht="15" hidden="false" customHeight="false" outlineLevel="0" collapsed="false">
      <c r="A39" s="0" t="s">
        <v>134</v>
      </c>
      <c r="B39" s="4" t="n">
        <f aca="false">B38/Assumptions!$B$2-1</f>
        <v>1.18397941292806</v>
      </c>
    </row>
    <row r="41" customFormat="false" ht="15" hidden="false" customHeight="false" outlineLevel="0" collapsed="false">
      <c r="A41" s="0" t="s">
        <v>135</v>
      </c>
      <c r="B41" s="0" t="n">
        <f aca="false">SUMPRODUCT(-C10:L10/(1+$B$27/100)^C4:L4)</f>
        <v>0</v>
      </c>
    </row>
    <row r="42" customFormat="false" ht="15" hidden="false" customHeight="false" outlineLevel="0" collapsed="false">
      <c r="A42" s="0" t="s">
        <v>136</v>
      </c>
      <c r="B42" s="0" t="n">
        <f aca="false">IF(B27&gt;B28,-L10*(1+B28/100)/((B27-B28)/100),-L10*20)/(1+B27/100)^L4</f>
        <v>0</v>
      </c>
    </row>
    <row r="43" customFormat="false" ht="15" hidden="false" customHeight="false" outlineLevel="0" collapsed="false">
      <c r="A43" s="0" t="s">
        <v>137</v>
      </c>
      <c r="B43" s="0" t="n">
        <f aca="false">(B37+B41+B42)/Assumptions!$B$3*Assumptions!$B$10</f>
        <v>12.8308790509524</v>
      </c>
    </row>
    <row r="45" customFormat="false" ht="15" hidden="false" customHeight="false" outlineLevel="0" collapsed="false">
      <c r="A45" s="0" t="s">
        <v>78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138</v>
      </c>
      <c r="B46" s="0" t="n">
        <f aca="false">MAX(0,MIN(IF(B45&gt;B28,B31*(1+B28/100)/((B45-B28)/100),B31*B29),B31*B29))</f>
        <v>21828.6415547385</v>
      </c>
    </row>
    <row r="47" customFormat="false" ht="15" hidden="false" customHeight="false" outlineLevel="0" collapsed="false">
      <c r="A47" s="0" t="s">
        <v>139</v>
      </c>
      <c r="B47" s="0" t="n">
        <f aca="false">(SUMPRODUCT(C19:L19/(1+B45/100)^C4:L4)+B46/(1+B45/100)^L4+Assumptions!$B$5-Assumptions!$B$4)/Assumptions!$B$3*Assumptions!$B$10</f>
        <v>7.0778619020826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0"/>
  </cols>
  <sheetData>
    <row r="1" customFormat="false" ht="15" hidden="false" customHeight="false" outlineLevel="0" collapsed="false">
      <c r="A1" s="2" t="s">
        <v>142</v>
      </c>
    </row>
    <row r="3" customFormat="false" ht="15" hidden="false" customHeight="false" outlineLevel="0" collapsed="false">
      <c r="A3" s="2" t="s">
        <v>143</v>
      </c>
      <c r="B3" s="2" t="s">
        <v>144</v>
      </c>
      <c r="C3" s="2" t="s">
        <v>134</v>
      </c>
      <c r="D3" s="2" t="s">
        <v>145</v>
      </c>
      <c r="E3" s="2" t="s">
        <v>137</v>
      </c>
      <c r="F3" s="2" t="s">
        <v>146</v>
      </c>
    </row>
    <row r="4" customFormat="false" ht="15" hidden="false" customHeight="false" outlineLevel="0" collapsed="false">
      <c r="A4" s="0" t="s">
        <v>147</v>
      </c>
      <c r="B4" s="4" t="n">
        <f aca="false">DCF_Bear!$B$38</f>
        <v>6.38688871443756</v>
      </c>
      <c r="C4" s="0" t="n">
        <f aca="false">B4/Assumptions!$B$2-1</f>
        <v>0.0871299939468184</v>
      </c>
      <c r="D4" s="4" t="n">
        <f aca="false">Assumptions!$B$24</f>
        <v>0.25</v>
      </c>
      <c r="E4" s="4" t="n">
        <f aca="false">DCF_Bear!$B$43</f>
        <v>6.38688871443756</v>
      </c>
      <c r="F4" s="4" t="n">
        <f aca="false">DCF_Bear!$B$47</f>
        <v>3.5676498098083</v>
      </c>
    </row>
    <row r="5" customFormat="false" ht="15" hidden="false" customHeight="false" outlineLevel="0" collapsed="false">
      <c r="A5" s="0" t="s">
        <v>148</v>
      </c>
      <c r="B5" s="4" t="n">
        <f aca="false">DCF_Base!$B$38</f>
        <v>9.56579488229931</v>
      </c>
      <c r="C5" s="0" t="n">
        <f aca="false">B5/Assumptions!$B$2-1</f>
        <v>0.628220405497754</v>
      </c>
      <c r="D5" s="4" t="n">
        <f aca="false">Assumptions!$B$38</f>
        <v>0.5</v>
      </c>
      <c r="E5" s="4" t="n">
        <f aca="false">DCF_Base!$B$43</f>
        <v>9.56579488229931</v>
      </c>
      <c r="F5" s="4" t="n">
        <f aca="false">DCF_Base!$B$47</f>
        <v>5.27739035568417</v>
      </c>
    </row>
    <row r="6" customFormat="false" ht="15" hidden="false" customHeight="false" outlineLevel="0" collapsed="false">
      <c r="A6" s="0" t="s">
        <v>149</v>
      </c>
      <c r="B6" s="4" t="n">
        <f aca="false">DCF_Bull!$B$38</f>
        <v>12.8308790509524</v>
      </c>
      <c r="C6" s="0" t="n">
        <f aca="false">B6/Assumptions!$B$2-1</f>
        <v>1.18397941292806</v>
      </c>
      <c r="D6" s="4" t="n">
        <f aca="false">Assumptions!$B$52</f>
        <v>0.25</v>
      </c>
      <c r="E6" s="4" t="n">
        <f aca="false">DCF_Bull!$B$43</f>
        <v>12.8308790509524</v>
      </c>
      <c r="F6" s="4" t="n">
        <f aca="false">DCF_Bull!$B$47</f>
        <v>7.0778619020826</v>
      </c>
    </row>
    <row r="8" customFormat="false" ht="15" hidden="false" customHeight="false" outlineLevel="0" collapsed="false">
      <c r="A8" s="0" t="s">
        <v>150</v>
      </c>
      <c r="B8" s="0" t="n">
        <f aca="false">SUMPRODUCT(B4:B6,D4:D6)</f>
        <v>9.58733938249713</v>
      </c>
    </row>
    <row r="9" customFormat="false" ht="15" hidden="false" customHeight="false" outlineLevel="0" collapsed="false">
      <c r="A9" s="0" t="s">
        <v>151</v>
      </c>
      <c r="B9" s="0" t="n">
        <f aca="false">SUMPRODUCT(E4:E6,D4:D6)</f>
        <v>9.58733938249713</v>
      </c>
    </row>
    <row r="10" customFormat="false" ht="15" hidden="false" customHeight="false" outlineLevel="0" collapsed="false">
      <c r="A10" s="0" t="s">
        <v>152</v>
      </c>
      <c r="B10" s="0" t="n">
        <f aca="false">1-Assumptions!$B$2/B8</f>
        <v>0.387212680639476</v>
      </c>
    </row>
    <row r="11" customFormat="false" ht="15" hidden="false" customHeight="false" outlineLevel="0" collapsed="false">
      <c r="A11" s="0" t="s">
        <v>153</v>
      </c>
      <c r="B11" s="0" t="str">
        <f aca="false">IF(ABS(B9-B8)&gt;0.01*ABS(B8),(Assumptions!$B$2-B8)/(B9-B8)*100,"n/a")</f>
        <v>n/a</v>
      </c>
    </row>
    <row r="12" customFormat="false" ht="15" hidden="false" customHeight="false" outlineLevel="0" collapsed="false">
      <c r="A12" s="0" t="s">
        <v>154</v>
      </c>
      <c r="B12" s="0" t="n">
        <f aca="false">SUMPRODUCT(F4:F6,D4:D6)</f>
        <v>5.30007310581481</v>
      </c>
    </row>
    <row r="14" customFormat="false" ht="15" hidden="false" customHeight="false" outlineLevel="0" collapsed="false">
      <c r="A14" s="2" t="s">
        <v>155</v>
      </c>
      <c r="C14" s="0" t="s">
        <v>156</v>
      </c>
    </row>
    <row r="15" customFormat="false" ht="15" hidden="false" customHeight="false" outlineLevel="0" collapsed="false">
      <c r="A15" s="0" t="s">
        <v>157</v>
      </c>
      <c r="B15" s="0" t="n">
        <f aca="false">(SUMPRODUCT(DCF_Base!$C$19:$L$19/(1+$C$15/100)^DCF_Base!$C$4:$L$4)+MAX(0,MIN(IF($C$15&gt;DCF_Base!$B$28,DCF_Base!$L$19*(1+DCF_Base!$B$28/100)/(($C$15-DCF_Base!$B$28)/100),DCF_Base!$L$19*DCF_Base!$B$29),DCF_Base!$L$19*DCF_Base!$B$29))/(1+$C$15/100)^DCF_Base!$L$4+Assumptions!$B$5-Assumptions!$B$4)/Assumptions!$B$3*Assumptions!$B$10</f>
        <v>9.56579488229931</v>
      </c>
      <c r="C15" s="3" t="n">
        <v>9</v>
      </c>
    </row>
    <row r="16" customFormat="false" ht="15" hidden="false" customHeight="false" outlineLevel="0" collapsed="false">
      <c r="A16" s="0" t="s">
        <v>158</v>
      </c>
      <c r="B16" s="0" t="n">
        <f aca="false">(SUMPRODUCT(DCF_Base!$C$19:$L$19/(1+$C$16/100)^DCF_Base!$C$4:$L$4)+MAX(0,MIN(IF($C$16&gt;DCF_Base!$B$28,DCF_Base!$L$19*(1+DCF_Base!$B$28/100)/(($C$16-DCF_Base!$B$28)/100),DCF_Base!$L$19*DCF_Base!$B$29),DCF_Base!$L$19*DCF_Base!$B$29))/(1+$C$16/100)^DCF_Base!$L$4+Assumptions!$B$5-Assumptions!$B$4)/Assumptions!$B$3*Assumptions!$B$10</f>
        <v>8.87985780615312</v>
      </c>
      <c r="C16" s="3" t="n">
        <v>10</v>
      </c>
    </row>
    <row r="17" customFormat="false" ht="15" hidden="false" customHeight="false" outlineLevel="0" collapsed="false">
      <c r="A17" s="0" t="s">
        <v>159</v>
      </c>
      <c r="B17" s="0" t="n">
        <f aca="false">(SUMPRODUCT(DCF_Base!$C$19:$L$19/(1+$C$17/100)^DCF_Base!$C$4:$L$4)+MAX(0,MIN(IF($C$17&gt;DCF_Base!$B$28,DCF_Base!$L$19*(1+DCF_Base!$B$28/100)/(($C$17-DCF_Base!$B$28)/100),DCF_Base!$L$19*DCF_Base!$B$29),DCF_Base!$L$19*DCF_Base!$B$29))/(1+$C$17/100)^DCF_Base!$L$4+Assumptions!$B$5-Assumptions!$B$4)/Assumptions!$B$3*Assumptions!$B$10</f>
        <v>8.25265254014435</v>
      </c>
      <c r="C17" s="3" t="n">
        <v>11</v>
      </c>
    </row>
    <row r="18" customFormat="false" ht="15" hidden="false" customHeight="false" outlineLevel="0" collapsed="false">
      <c r="A18" s="0" t="s">
        <v>160</v>
      </c>
      <c r="B18" s="0" t="n">
        <f aca="false">(SUMPRODUCT(DCF_Base!$C$19:$L$19/(1+$C$18/100)^DCF_Base!$C$4:$L$4)+MAX(0,MIN(IF($C$18&gt;DCF_Base!$B$28,DCF_Base!$L$19*(1+DCF_Base!$B$28/100)/(($C$18-DCF_Base!$B$28)/100),DCF_Base!$L$19*DCF_Base!$B$29),DCF_Base!$L$19*DCF_Base!$B$29))/(1+$C$18/100)^DCF_Base!$L$4+Assumptions!$B$5-Assumptions!$B$4)/Assumptions!$B$3*Assumptions!$B$10</f>
        <v>7.2849964826438</v>
      </c>
      <c r="C18" s="3" t="n">
        <v>12</v>
      </c>
    </row>
    <row r="19" customFormat="false" ht="15" hidden="false" customHeight="false" outlineLevel="0" collapsed="false">
      <c r="A19" s="0" t="s">
        <v>161</v>
      </c>
      <c r="B19" s="0" t="n">
        <f aca="false">(SUMPRODUCT(DCF_Base!$C$19:$L$19/(1+$C$19/100)^DCF_Base!$C$4:$L$4)+MAX(0,MIN(IF($C$19&gt;DCF_Base!$B$28,DCF_Base!$L$19*(1+DCF_Base!$B$28/100)/(($C$19-DCF_Base!$B$28)/100),DCF_Base!$L$19*DCF_Base!$B$29),DCF_Base!$L$19*DCF_Base!$B$29))/(1+$C$19/100)^DCF_Base!$L$4+Assumptions!$B$5-Assumptions!$B$4)/Assumptions!$B$3*Assumptions!$B$10</f>
        <v>5.27739035568417</v>
      </c>
      <c r="C19" s="3" t="n">
        <v>15</v>
      </c>
    </row>
    <row r="21" customFormat="false" ht="15" hidden="false" customHeight="false" outlineLevel="0" collapsed="false">
      <c r="A21" s="2" t="s">
        <v>162</v>
      </c>
    </row>
    <row r="22" customFormat="false" ht="15" hidden="false" customHeight="false" outlineLevel="0" collapsed="false">
      <c r="B22" s="3" t="n">
        <v>1.5</v>
      </c>
      <c r="C22" s="3" t="n">
        <v>2</v>
      </c>
      <c r="D22" s="3" t="n">
        <v>2.5</v>
      </c>
      <c r="E22" s="3" t="n">
        <v>3</v>
      </c>
      <c r="F22" s="3" t="n">
        <v>3.5</v>
      </c>
    </row>
    <row r="23" customFormat="false" ht="15" hidden="false" customHeight="false" outlineLevel="0" collapsed="false">
      <c r="A23" s="3" t="n">
        <v>7</v>
      </c>
      <c r="B23" s="0" t="n">
        <f aca="false">(SUMPRODUCT(DCF_Base!$C$19:$L$19/(1+$A$23/100)^DCF_Base!$C$4:$L$4)+MAX(0,MIN(IF($A$23&gt;$B$22,DCF_Base!$L$19*(1+$B$22/100)/(($A$23-$B$22)/100),DCF_Base!$L$19*DCF_Base!$B$29),DCF_Base!$L$19*DCF_Base!$B$29))/(1+$A$23/100)^DCF_Base!$L$4+Assumptions!$B$5-Assumptions!$B$4)/Assumptions!$B$3*Assumptions!$B$10</f>
        <v>11.1402531820744</v>
      </c>
      <c r="C23" s="0" t="n">
        <f aca="false">(SUMPRODUCT(DCF_Base!$C$19:$L$19/(1+$A$23/100)^DCF_Base!$C$4:$L$4)+MAX(0,MIN(IF($A$23&gt;$C$22,DCF_Base!$L$19*(1+$C$22/100)/(($A$23-$C$22)/100),DCF_Base!$L$19*DCF_Base!$B$29),DCF_Base!$L$19*DCF_Base!$B$29))/(1+$A$23/100)^DCF_Base!$L$4+Assumptions!$B$5-Assumptions!$B$4)/Assumptions!$B$3*Assumptions!$B$10</f>
        <v>11.1402531820744</v>
      </c>
      <c r="D23" s="0" t="n">
        <f aca="false">(SUMPRODUCT(DCF_Base!$C$19:$L$19/(1+$A$23/100)^DCF_Base!$C$4:$L$4)+MAX(0,MIN(IF($A$23&gt;$D$22,DCF_Base!$L$19*(1+$D$22/100)/(($A$23-$D$22)/100),DCF_Base!$L$19*DCF_Base!$B$29),DCF_Base!$L$19*DCF_Base!$B$29))/(1+$A$23/100)^DCF_Base!$L$4+Assumptions!$B$5-Assumptions!$B$4)/Assumptions!$B$3*Assumptions!$B$10</f>
        <v>11.1402531820744</v>
      </c>
      <c r="E23" s="0" t="n">
        <f aca="false">(SUMPRODUCT(DCF_Base!$C$19:$L$19/(1+$A$23/100)^DCF_Base!$C$4:$L$4)+MAX(0,MIN(IF($A$23&gt;$E$22,DCF_Base!$L$19*(1+$E$22/100)/(($A$23-$E$22)/100),DCF_Base!$L$19*DCF_Base!$B$29),DCF_Base!$L$19*DCF_Base!$B$29))/(1+$A$23/100)^DCF_Base!$L$4+Assumptions!$B$5-Assumptions!$B$4)/Assumptions!$B$3*Assumptions!$B$10</f>
        <v>11.1402531820744</v>
      </c>
      <c r="F23" s="0" t="n">
        <f aca="false">(SUMPRODUCT(DCF_Base!$C$19:$L$19/(1+$A$23/100)^DCF_Base!$C$4:$L$4)+MAX(0,MIN(IF($A$23&gt;$F$22,DCF_Base!$L$19*(1+$F$22/100)/(($A$23-$F$22)/100),DCF_Base!$L$19*DCF_Base!$B$29),DCF_Base!$L$19*DCF_Base!$B$29))/(1+$A$23/100)^DCF_Base!$L$4+Assumptions!$B$5-Assumptions!$B$4)/Assumptions!$B$3*Assumptions!$B$10</f>
        <v>11.1402531820744</v>
      </c>
    </row>
    <row r="24" customFormat="false" ht="15" hidden="false" customHeight="false" outlineLevel="0" collapsed="false">
      <c r="A24" s="3" t="n">
        <v>8</v>
      </c>
      <c r="B24" s="0" t="n">
        <f aca="false">(SUMPRODUCT(DCF_Base!$C$19:$L$19/(1+$A$24/100)^DCF_Base!$C$4:$L$4)+MAX(0,MIN(IF($A$24&gt;$B$22,DCF_Base!$L$19*(1+$B$22/100)/(($A$24-$B$22)/100),DCF_Base!$L$19*DCF_Base!$B$29),DCF_Base!$L$19*DCF_Base!$B$29))/(1+$A$24/100)^DCF_Base!$L$4+Assumptions!$B$5-Assumptions!$B$4)/Assumptions!$B$3*Assumptions!$B$10</f>
        <v>10.3168655522427</v>
      </c>
      <c r="C24" s="0" t="n">
        <f aca="false">(SUMPRODUCT(DCF_Base!$C$19:$L$19/(1+$A$24/100)^DCF_Base!$C$4:$L$4)+MAX(0,MIN(IF($A$24&gt;$C$22,DCF_Base!$L$19*(1+$C$22/100)/(($A$24-$C$22)/100),DCF_Base!$L$19*DCF_Base!$B$29),DCF_Base!$L$19*DCF_Base!$B$29))/(1+$A$24/100)^DCF_Base!$L$4+Assumptions!$B$5-Assumptions!$B$4)/Assumptions!$B$3*Assumptions!$B$10</f>
        <v>10.3168655522427</v>
      </c>
      <c r="D24" s="0" t="n">
        <f aca="false">(SUMPRODUCT(DCF_Base!$C$19:$L$19/(1+$A$24/100)^DCF_Base!$C$4:$L$4)+MAX(0,MIN(IF($A$24&gt;$D$22,DCF_Base!$L$19*(1+$D$22/100)/(($A$24-$D$22)/100),DCF_Base!$L$19*DCF_Base!$B$29),DCF_Base!$L$19*DCF_Base!$B$29))/(1+$A$24/100)^DCF_Base!$L$4+Assumptions!$B$5-Assumptions!$B$4)/Assumptions!$B$3*Assumptions!$B$10</f>
        <v>10.3168655522427</v>
      </c>
      <c r="E24" s="0" t="n">
        <f aca="false">(SUMPRODUCT(DCF_Base!$C$19:$L$19/(1+$A$24/100)^DCF_Base!$C$4:$L$4)+MAX(0,MIN(IF($A$24&gt;$E$22,DCF_Base!$L$19*(1+$E$22/100)/(($A$24-$E$22)/100),DCF_Base!$L$19*DCF_Base!$B$29),DCF_Base!$L$19*DCF_Base!$B$29))/(1+$A$24/100)^DCF_Base!$L$4+Assumptions!$B$5-Assumptions!$B$4)/Assumptions!$B$3*Assumptions!$B$10</f>
        <v>10.3168655522427</v>
      </c>
      <c r="F24" s="0" t="n">
        <f aca="false">(SUMPRODUCT(DCF_Base!$C$19:$L$19/(1+$A$24/100)^DCF_Base!$C$4:$L$4)+MAX(0,MIN(IF($A$24&gt;$F$22,DCF_Base!$L$19*(1+$F$22/100)/(($A$24-$F$22)/100),DCF_Base!$L$19*DCF_Base!$B$29),DCF_Base!$L$19*DCF_Base!$B$29))/(1+$A$24/100)^DCF_Base!$L$4+Assumptions!$B$5-Assumptions!$B$4)/Assumptions!$B$3*Assumptions!$B$10</f>
        <v>10.3168655522427</v>
      </c>
    </row>
    <row r="25" customFormat="false" ht="15" hidden="false" customHeight="false" outlineLevel="0" collapsed="false">
      <c r="A25" s="3" t="n">
        <v>9</v>
      </c>
      <c r="B25" s="0" t="n">
        <f aca="false">(SUMPRODUCT(DCF_Base!$C$19:$L$19/(1+$A$25/100)^DCF_Base!$C$4:$L$4)+MAX(0,MIN(IF($A$25&gt;$B$22,DCF_Base!$L$19*(1+$B$22/100)/(($A$25-$B$22)/100),DCF_Base!$L$19*DCF_Base!$B$29),DCF_Base!$L$19*DCF_Base!$B$29))/(1+$A$25/100)^DCF_Base!$L$4+Assumptions!$B$5-Assumptions!$B$4)/Assumptions!$B$3*Assumptions!$B$10</f>
        <v>9.56579488229931</v>
      </c>
      <c r="C25" s="0" t="n">
        <f aca="false">(SUMPRODUCT(DCF_Base!$C$19:$L$19/(1+$A$25/100)^DCF_Base!$C$4:$L$4)+MAX(0,MIN(IF($A$25&gt;$C$22,DCF_Base!$L$19*(1+$C$22/100)/(($A$25-$C$22)/100),DCF_Base!$L$19*DCF_Base!$B$29),DCF_Base!$L$19*DCF_Base!$B$29))/(1+$A$25/100)^DCF_Base!$L$4+Assumptions!$B$5-Assumptions!$B$4)/Assumptions!$B$3*Assumptions!$B$10</f>
        <v>9.56579488229931</v>
      </c>
      <c r="D25" s="0" t="n">
        <f aca="false">(SUMPRODUCT(DCF_Base!$C$19:$L$19/(1+$A$25/100)^DCF_Base!$C$4:$L$4)+MAX(0,MIN(IF($A$25&gt;$D$22,DCF_Base!$L$19*(1+$D$22/100)/(($A$25-$D$22)/100),DCF_Base!$L$19*DCF_Base!$B$29),DCF_Base!$L$19*DCF_Base!$B$29))/(1+$A$25/100)^DCF_Base!$L$4+Assumptions!$B$5-Assumptions!$B$4)/Assumptions!$B$3*Assumptions!$B$10</f>
        <v>9.56579488229931</v>
      </c>
      <c r="E25" s="0" t="n">
        <f aca="false">(SUMPRODUCT(DCF_Base!$C$19:$L$19/(1+$A$25/100)^DCF_Base!$C$4:$L$4)+MAX(0,MIN(IF($A$25&gt;$E$22,DCF_Base!$L$19*(1+$E$22/100)/(($A$25-$E$22)/100),DCF_Base!$L$19*DCF_Base!$B$29),DCF_Base!$L$19*DCF_Base!$B$29))/(1+$A$25/100)^DCF_Base!$L$4+Assumptions!$B$5-Assumptions!$B$4)/Assumptions!$B$3*Assumptions!$B$10</f>
        <v>9.56579488229931</v>
      </c>
      <c r="F25" s="0" t="n">
        <f aca="false">(SUMPRODUCT(DCF_Base!$C$19:$L$19/(1+$A$25/100)^DCF_Base!$C$4:$L$4)+MAX(0,MIN(IF($A$25&gt;$F$22,DCF_Base!$L$19*(1+$F$22/100)/(($A$25-$F$22)/100),DCF_Base!$L$19*DCF_Base!$B$29),DCF_Base!$L$19*DCF_Base!$B$29))/(1+$A$25/100)^DCF_Base!$L$4+Assumptions!$B$5-Assumptions!$B$4)/Assumptions!$B$3*Assumptions!$B$10</f>
        <v>9.56579488229931</v>
      </c>
    </row>
    <row r="26" customFormat="false" ht="15" hidden="false" customHeight="false" outlineLevel="0" collapsed="false">
      <c r="A26" s="3" t="n">
        <v>10</v>
      </c>
      <c r="B26" s="0" t="n">
        <f aca="false">(SUMPRODUCT(DCF_Base!$C$19:$L$19/(1+$A$26/100)^DCF_Base!$C$4:$L$4)+MAX(0,MIN(IF($A$26&gt;$B$22,DCF_Base!$L$19*(1+$B$22/100)/(($A$26-$B$22)/100),DCF_Base!$L$19*DCF_Base!$B$29),DCF_Base!$L$19*DCF_Base!$B$29))/(1+$A$26/100)^DCF_Base!$L$4+Assumptions!$B$5-Assumptions!$B$4)/Assumptions!$B$3*Assumptions!$B$10</f>
        <v>8.85696270492913</v>
      </c>
      <c r="C26" s="0" t="n">
        <f aca="false">(SUMPRODUCT(DCF_Base!$C$19:$L$19/(1+$A$26/100)^DCF_Base!$C$4:$L$4)+MAX(0,MIN(IF($A$26&gt;$C$22,DCF_Base!$L$19*(1+$C$22/100)/(($A$26-$C$22)/100),DCF_Base!$L$19*DCF_Base!$B$29),DCF_Base!$L$19*DCF_Base!$B$29))/(1+$A$26/100)^DCF_Base!$L$4+Assumptions!$B$5-Assumptions!$B$4)/Assumptions!$B$3*Assumptions!$B$10</f>
        <v>8.87985780615312</v>
      </c>
      <c r="D26" s="0" t="n">
        <f aca="false">(SUMPRODUCT(DCF_Base!$C$19:$L$19/(1+$A$26/100)^DCF_Base!$C$4:$L$4)+MAX(0,MIN(IF($A$26&gt;$D$22,DCF_Base!$L$19*(1+$D$22/100)/(($A$26-$D$22)/100),DCF_Base!$L$19*DCF_Base!$B$29),DCF_Base!$L$19*DCF_Base!$B$29))/(1+$A$26/100)^DCF_Base!$L$4+Assumptions!$B$5-Assumptions!$B$4)/Assumptions!$B$3*Assumptions!$B$10</f>
        <v>8.87985780615312</v>
      </c>
      <c r="E26" s="0" t="n">
        <f aca="false">(SUMPRODUCT(DCF_Base!$C$19:$L$19/(1+$A$26/100)^DCF_Base!$C$4:$L$4)+MAX(0,MIN(IF($A$26&gt;$E$22,DCF_Base!$L$19*(1+$E$22/100)/(($A$26-$E$22)/100),DCF_Base!$L$19*DCF_Base!$B$29),DCF_Base!$L$19*DCF_Base!$B$29))/(1+$A$26/100)^DCF_Base!$L$4+Assumptions!$B$5-Assumptions!$B$4)/Assumptions!$B$3*Assumptions!$B$10</f>
        <v>8.87985780615312</v>
      </c>
      <c r="F26" s="0" t="n">
        <f aca="false">(SUMPRODUCT(DCF_Base!$C$19:$L$19/(1+$A$26/100)^DCF_Base!$C$4:$L$4)+MAX(0,MIN(IF($A$26&gt;$F$22,DCF_Base!$L$19*(1+$F$22/100)/(($A$26-$F$22)/100),DCF_Base!$L$19*DCF_Base!$B$29),DCF_Base!$L$19*DCF_Base!$B$29))/(1+$A$26/100)^DCF_Base!$L$4+Assumptions!$B$5-Assumptions!$B$4)/Assumptions!$B$3*Assumptions!$B$10</f>
        <v>8.87985780615312</v>
      </c>
    </row>
    <row r="27" customFormat="false" ht="15" hidden="false" customHeight="false" outlineLevel="0" collapsed="false">
      <c r="A27" s="3" t="n">
        <v>11</v>
      </c>
      <c r="B27" s="0" t="n">
        <f aca="false">(SUMPRODUCT(DCF_Base!$C$19:$L$19/(1+$A$27/100)^DCF_Base!$C$4:$L$4)+MAX(0,MIN(IF($A$27&gt;$B$22,DCF_Base!$L$19*(1+$B$22/100)/(($A$27-$B$22)/100),DCF_Base!$L$19*DCF_Base!$B$29),DCF_Base!$L$19*DCF_Base!$B$29))/(1+$A$27/100)^DCF_Base!$L$4+Assumptions!$B$5-Assumptions!$B$4)/Assumptions!$B$3*Assumptions!$B$10</f>
        <v>7.78483665912441</v>
      </c>
      <c r="C27" s="0" t="n">
        <f aca="false">(SUMPRODUCT(DCF_Base!$C$19:$L$19/(1+$A$27/100)^DCF_Base!$C$4:$L$4)+MAX(0,MIN(IF($A$27&gt;$C$22,DCF_Base!$L$19*(1+$C$22/100)/(($A$27-$C$22)/100),DCF_Base!$L$19*DCF_Base!$B$29),DCF_Base!$L$19*DCF_Base!$B$29))/(1+$A$27/100)^DCF_Base!$L$4+Assumptions!$B$5-Assumptions!$B$4)/Assumptions!$B$3*Assumptions!$B$10</f>
        <v>8.01562582709425</v>
      </c>
      <c r="D27" s="0" t="n">
        <f aca="false">(SUMPRODUCT(DCF_Base!$C$19:$L$19/(1+$A$27/100)^DCF_Base!$C$4:$L$4)+MAX(0,MIN(IF($A$27&gt;$D$22,DCF_Base!$L$19*(1+$D$22/100)/(($A$27-$D$22)/100),DCF_Base!$L$19*DCF_Base!$B$29),DCF_Base!$L$19*DCF_Base!$B$29))/(1+$A$27/100)^DCF_Base!$L$4+Assumptions!$B$5-Assumptions!$B$4)/Assumptions!$B$3*Assumptions!$B$10</f>
        <v>8.25265254014435</v>
      </c>
      <c r="E27" s="0" t="n">
        <f aca="false">(SUMPRODUCT(DCF_Base!$C$19:$L$19/(1+$A$27/100)^DCF_Base!$C$4:$L$4)+MAX(0,MIN(IF($A$27&gt;$E$22,DCF_Base!$L$19*(1+$E$22/100)/(($A$27-$E$22)/100),DCF_Base!$L$19*DCF_Base!$B$29),DCF_Base!$L$19*DCF_Base!$B$29))/(1+$A$27/100)^DCF_Base!$L$4+Assumptions!$B$5-Assumptions!$B$4)/Assumptions!$B$3*Assumptions!$B$10</f>
        <v>8.25265254014435</v>
      </c>
      <c r="F27" s="0" t="n">
        <f aca="false">(SUMPRODUCT(DCF_Base!$C$19:$L$19/(1+$A$27/100)^DCF_Base!$C$4:$L$4)+MAX(0,MIN(IF($A$27&gt;$F$22,DCF_Base!$L$19*(1+$F$22/100)/(($A$27-$F$22)/100),DCF_Base!$L$19*DCF_Base!$B$29),DCF_Base!$L$19*DCF_Base!$B$29))/(1+$A$27/100)^DCF_Base!$L$4+Assumptions!$B$5-Assumptions!$B$4)/Assumptions!$B$3*Assumptions!$B$10</f>
        <v>8.25265254014435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2026-10-11T02:57:53Z</dcterms:created>
  <dc:creator>openpyxl</dc:creator>
  <dc:description/>
  <dc:language>en-NZ</dc:language>
  <cp:lastModifiedBy/>
  <dcterms:modified xsi:type="dcterms:W3CDTF">2026-10-11T02:57:53Z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