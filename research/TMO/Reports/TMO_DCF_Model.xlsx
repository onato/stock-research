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<sst xmlns="http://schemas.openxmlformats.org/spreadsheetml/2006/main" count="390" uniqueCount="175">
  <si>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</si>
  <si>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TMO</t>
  </si>
  <si>
    <t xml:space="preserve">Company</t>
  </si>
  <si>
    <t xml:space="preserve">Thermo Fisher Scientific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</si>
  <si>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</si>
  <si>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</si>
  <si>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</si>
  <si>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</si>
  <si>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2026-10-01T20:00:03Z regular close</t>
  </si>
  <si>
    <t xml:space="preserve">Balance sheet date</t>
  </si>
  <si>
    <t xml:space="preserve">2026-06-27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</si>
  <si>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</si>
  <si>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</si>
  <si>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</si>
  <si>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</si>
  <si>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</si>
  <si>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</si>
  <si>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</si>
  <si>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</si>
  <si>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</si>
  <si>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</si>
  <si>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2026-10-02T09:38:01Z</t>
  </si>
  <si>
    <t xml:space="preserve">Drivers file</t>
  </si>
  <si>
    <t xml:space="preserve">TMO_Drivers.json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</si>
  <si>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</si>
  <si>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</si>
  <si>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</si>
  <si>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unlevered component flows with SBC fully expensed and the share count held flat. Growth is organic plus already-closed deals; TMO's historical M&amp;A-driven compounding is deliberately not capitalised because the cash it would cost is not in the flows. The FY2023-24 trough is a revenue/volume trough, not a margin trough, so no mid-cycle uplift is applied.
key_risks_to_valuation: Terminal value is ~60-65% of EV and the 20x cap binds at any WACC at or below 8%: +1pp WACC takes base value from ~$362 to ~$290 (-20%); the price is only reached with an exit multiple well above 20x owner FCF; Excluding future M&amp;A understates value if TMO keeps buying growth at returns above WACC (its record suggests it has), and overstates it if it overpays; Biotech funding / NIH budget cyclicality drives instrument and bioproduction volumes; China (~7.5% of revenue) localisation and tariffs; ~80bp adjusted margin headwind flagged in early 2026; Leverage ~3.3x net debt/EBITDA after Clario limits buybacks if a downturn coincides with refinancing</t>
  </si>
  <si>
    <t xml:space="preserve">Data sources</t>
  </si>
  <si>
    <t xml:space="preserve">price: Yahoo Finance chart API at inputs.price_as_of (regular close); 52-week range 435.27-683.63
financials: TMO_Metrics.csv (SEC XBRL, FY2007-Q2 2026); component lines (depreciation, amortisation, cash taxes, interest, diluted shares, debt split, leases, acquisitions) from SEC XBRL companyfacts CIK 0000097745
qualitative: TMO_Analysis.json (2026-10-02): Q2 2026 results and raised FY2026 guidance, Solventum P&amp;F and Olink acquisitions, China ~7.5%</t>
  </si>
  <si>
    <t xml:space="preserve">Scenario narrative: bear</t>
  </si>
  <si>
    <t xml:space="preserve">The 2026 recovery proves a restocking blip. US NIH appropriations are cut or sequestered, small-biotech funding dries up again, China's localisation policy and US-China tariffs erode the ~7.5% China book and add cost, and competition in bioprocessing and instruments (Danaher/Cytiva, Sartorius, Agilent, Waters) caps pricing. Organic growth runs 2.5-3.5% and margins slip ~70bp; with net debt at ~3.3x EBITDA after Clario, capital that would have gone to buybacks goes to deleveraging. The business remains highly cash-generative -- this is a de-rating case, not a solvency case.</t>
  </si>
  <si>
    <t xml:space="preserve">Scenario narrative: base</t>
  </si>
  <si>
    <t xml:space="preserve">The post-COVID destocking and biotech-funding slump has bottomed: Q2 2026 organic growth of 5% and the raised guide ($47.4-48.1B revenue, ~4% organic) mark the turn. Pharma/biotech grows mid-single digits, academic/government returns to low-single digits as NIH uncertainty resolves, and bioproduction (now including Solventum purification &amp; filtration) normalises. Organic growth settles at 5-5.5% -- respectable for a $48B business but short of the 7-9% the company aspires to -- while PPI and acquisition synergies add ~30bp/yr of margin against a persistent tariff drag. Clario (clinical-trial endpoint data) and Olink add mix but are paid for (Clario's $8.9B sits in net debt).</t>
  </si>
  <si>
    <t xml:space="preserve">Scenario narrative: bull</t>
  </si>
  <si>
    <t xml:space="preserve">The recovery becomes a re-acceleration: biotech funding recovers fully, large-molecule and GLP-1 manufacturing drive bioprocessing consumables and Patheon CDMO capacity, Olink makes proteomics a real platform, and pharma outsourcing lifts the CRO business. Organic growth reaches 7% for several years, scale and bundling hold pricing, and PPI expands EBITDA margin to 27.5%. This is the sell-side ($730-780 targets) story -- it needs bioprocessing, academic funding AND China to cooperate at once.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</si>
  <si>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</si>
  <si>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</si>
  <si>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</si>
  <si>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</si>
  <si>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</si>
  <si>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</si>
  <si>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</si>
  <si>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</si>
  <si>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</si>
  <si>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</si>
  <si>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</si>
  <si>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</si>
  <si>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</si>
  <si>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</si>
  <si>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</si>
  <si>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</si>
  <si>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</si>
  <si>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</si>
  <si>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</si>
  <si>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</si>
  <si>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</si>
  <si>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</si>
  <si>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</si>
  <si>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</si>
  <si>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</si>
  <si>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</si>
  <si>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</si>
  <si>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</si>
  <si>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</si>
  <si>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</si>
  <si>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</si>
  <si>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</si>
  <si>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</si>
  <si>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</si>
  <si>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</si>
  <si>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</si>
  <si>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</si>
  <si>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</si>
  <si>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</si>
  <si>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</si>
  <si>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</si>
  <si>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</si>
  <si>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</si>
  <si>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</si>
  <si>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</si>
  <si>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</si>
  <si>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</si>
  <si>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</si>
  <si>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</si>
  <si>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</si>
  <si>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</si>
  <si>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</si>
  <si>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</si>
  <si>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</si>
  <si>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</si>
  <si>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</si>
  <si>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</si>
  <si>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</si>
  <si>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</si>
  <si>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</si>
  <si>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</si>
  <si>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</si>
  <si>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</si>
  <si>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</si>
  <si>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</si>
  <si>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</si>
  <si>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</si>
  <si>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</si>
  <si>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</si>
  <si>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</si>
  <si>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</si>
  <si>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</si>
  <si>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</si>
  <si>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</si>
  <si>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</si>
  <si>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</si>
  <si>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</si>
  <si>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</si>
  <si>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</si>
  <si>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</si>
  <si>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</si>
  <si>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</si>
  <si>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</si>
  <si>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</si>
  <si>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TMO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</si>
  <si>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</si>
  <si>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</si>
  <si>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</si>
  <si>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</si>
  <si>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</si>
  <si>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</si>
  <si>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</si>
  <si>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</si>
  <si>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</si>
  <si>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</si>
  <si>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</si>
  <si>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</si>
  <si>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</si>
  <si>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</si>
  <si>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</si>
  <si>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</si>
  <si>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</si>
  <si>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</si>
  <si>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</si>
  <si>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</si>
  <si>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</si>
  <si>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</si>
  <si>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</si>
  <si>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</si>
  <si>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</si>
  <si>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</si>
  <si>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</si>
  <si>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</si>
  <si>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</si>
  <si>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</si>
  <si>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TMO owner-FCF component DCF: base case (millions, USD)</t>
  </si>
  <si>
    <t xml:space="preserve">TMO owner-FCF component DCF: bull case (millions, USD)</t>
  </si>
  <si>
    <t xml:space="preserve">TMO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</si>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</sst>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652.51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667.4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9746.4</v>
      </c>
      <c r="F3" s="0" t="n">
        <v>974.4</v>
      </c>
      <c r="G3" s="0" t="n">
        <v>9.99753755232701</v>
      </c>
      <c r="H3" s="0" t="n">
        <v>1731.2</v>
      </c>
      <c r="I3" s="0" t="n">
        <v>748.4</v>
      </c>
      <c r="J3" s="0" t="n">
        <v>7.6787326602643</v>
      </c>
      <c r="K3" s="0" t="n">
        <v>1.77</v>
      </c>
      <c r="L3" s="0" t="n">
        <v>1483.5</v>
      </c>
      <c r="M3" s="0" t="n">
        <v>175.5</v>
      </c>
      <c r="N3" s="0" t="n">
        <v>1308</v>
      </c>
      <c r="O3" s="0" t="n">
        <v>14463.6</v>
      </c>
      <c r="S3" s="0" t="n">
        <v>625.1</v>
      </c>
      <c r="T3" s="0" t="n">
        <v>443.6</v>
      </c>
      <c r="U3" s="0" t="n">
        <v>51.1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10498</v>
      </c>
      <c r="F4" s="0" t="n">
        <v>1229.4</v>
      </c>
      <c r="G4" s="0" t="n">
        <v>11.7108020575348</v>
      </c>
      <c r="H4" s="0" t="n">
        <v>2022.1</v>
      </c>
      <c r="I4" s="0" t="n">
        <v>980.9</v>
      </c>
      <c r="J4" s="0" t="n">
        <v>9.34368451133549</v>
      </c>
      <c r="K4" s="0" t="n">
        <v>2.34</v>
      </c>
      <c r="L4" s="0" t="n">
        <v>1420.2</v>
      </c>
      <c r="M4" s="0" t="n">
        <v>264.4</v>
      </c>
      <c r="N4" s="0" t="n">
        <v>1155.8</v>
      </c>
      <c r="O4" s="0" t="n">
        <v>14926.5</v>
      </c>
      <c r="P4" s="0" t="n">
        <v>21090</v>
      </c>
      <c r="R4" s="0" t="n">
        <v>2018</v>
      </c>
      <c r="S4" s="0" t="n">
        <v>1280.5</v>
      </c>
      <c r="T4" s="0" t="n">
        <v>434.7</v>
      </c>
      <c r="U4" s="0" t="n">
        <v>57.1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9911.6</v>
      </c>
      <c r="F5" s="0" t="n">
        <v>1002.1</v>
      </c>
      <c r="G5" s="0" t="n">
        <v>10.110375721377</v>
      </c>
      <c r="H5" s="0" t="n">
        <v>1765</v>
      </c>
      <c r="I5" s="0" t="n">
        <v>850.3</v>
      </c>
      <c r="J5" s="0" t="n">
        <v>8.57883691835829</v>
      </c>
      <c r="K5" s="0" t="n">
        <v>2.06</v>
      </c>
      <c r="L5" s="0" t="n">
        <v>1659.2</v>
      </c>
      <c r="M5" s="0" t="n">
        <v>200</v>
      </c>
      <c r="N5" s="0" t="n">
        <v>1459.2</v>
      </c>
      <c r="O5" s="0" t="n">
        <v>15430.9</v>
      </c>
      <c r="P5" s="0" t="n">
        <v>21625</v>
      </c>
      <c r="R5" s="0" t="n">
        <v>2181.5</v>
      </c>
      <c r="S5" s="0" t="n">
        <v>1564.1</v>
      </c>
      <c r="T5" s="0" t="n">
        <v>422.8</v>
      </c>
      <c r="U5" s="0" t="n">
        <v>67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10393.1</v>
      </c>
      <c r="F6" s="0" t="n">
        <v>1188.1</v>
      </c>
      <c r="G6" s="0" t="n">
        <v>11.4316229036572</v>
      </c>
      <c r="H6" s="0" t="n">
        <v>1927.8</v>
      </c>
      <c r="I6" s="0" t="n">
        <v>1035.6</v>
      </c>
      <c r="J6" s="0" t="n">
        <v>9.96430323964938</v>
      </c>
      <c r="K6" s="0" t="n">
        <v>2.57</v>
      </c>
      <c r="L6" s="0" t="n">
        <v>1497.8</v>
      </c>
      <c r="M6" s="0" t="n">
        <v>245.4</v>
      </c>
      <c r="N6" s="0" t="n">
        <v>1252.4</v>
      </c>
      <c r="O6" s="0" t="n">
        <v>15361</v>
      </c>
      <c r="P6" s="0" t="n">
        <v>21349.4</v>
      </c>
      <c r="R6" s="0" t="n">
        <v>2137.1</v>
      </c>
      <c r="S6" s="0" t="n">
        <v>917.1</v>
      </c>
      <c r="T6" s="0" t="n">
        <v>409.4</v>
      </c>
      <c r="U6" s="0" t="n">
        <v>81.6</v>
      </c>
      <c r="V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11558.8</v>
      </c>
      <c r="F7" s="0" t="n">
        <v>1250.8</v>
      </c>
      <c r="G7" s="0" t="n">
        <v>10.8211925113334</v>
      </c>
      <c r="H7" s="0" t="n">
        <v>2110.4</v>
      </c>
      <c r="I7" s="0" t="n">
        <v>1329.9</v>
      </c>
      <c r="J7" s="0" t="n">
        <v>11.5055196041112</v>
      </c>
      <c r="K7" s="0" t="n">
        <v>3.49</v>
      </c>
      <c r="L7" s="0" t="n">
        <v>1691</v>
      </c>
      <c r="M7" s="0" t="n">
        <v>260.9</v>
      </c>
      <c r="N7" s="0" t="n">
        <v>1430.1</v>
      </c>
      <c r="O7" s="0" t="n">
        <v>15038.1</v>
      </c>
      <c r="P7" s="0" t="n">
        <v>26833.7</v>
      </c>
      <c r="R7" s="0" t="n">
        <v>7028</v>
      </c>
      <c r="S7" s="0" t="n">
        <v>1016.3</v>
      </c>
      <c r="T7" s="0" t="n">
        <v>384.8</v>
      </c>
      <c r="U7" s="0" t="n">
        <v>80</v>
      </c>
      <c r="V7" s="0" t="n">
        <v>0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12509.9</v>
      </c>
      <c r="F8" s="0" t="n">
        <v>1482.1</v>
      </c>
      <c r="G8" s="0" t="n">
        <v>11.8474168458581</v>
      </c>
      <c r="H8" s="0" t="n">
        <v>2465.8</v>
      </c>
      <c r="I8" s="0" t="n">
        <v>1177.9</v>
      </c>
      <c r="J8" s="0" t="n">
        <v>9.41574273175645</v>
      </c>
      <c r="K8" s="0" t="n">
        <v>3.24</v>
      </c>
      <c r="L8" s="0" t="n">
        <v>2039.5</v>
      </c>
      <c r="M8" s="0" t="n">
        <v>315.1</v>
      </c>
      <c r="N8" s="0" t="n">
        <v>1724.4</v>
      </c>
      <c r="O8" s="0" t="n">
        <v>15464.7</v>
      </c>
      <c r="P8" s="0" t="n">
        <v>27444.6</v>
      </c>
      <c r="R8" s="0" t="n">
        <v>7124.3</v>
      </c>
      <c r="S8" s="0" t="n">
        <v>805.6</v>
      </c>
      <c r="T8" s="0" t="n">
        <v>366.6</v>
      </c>
      <c r="U8" s="0" t="n">
        <v>78.2</v>
      </c>
      <c r="V8" s="0" t="n">
        <v>0.54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13090.3</v>
      </c>
      <c r="F9" s="0" t="n">
        <v>1609.6</v>
      </c>
      <c r="G9" s="0" t="n">
        <v>12.2961276670512</v>
      </c>
      <c r="H9" s="0" t="n">
        <v>2609.5</v>
      </c>
      <c r="I9" s="0" t="n">
        <v>1273.3</v>
      </c>
      <c r="J9" s="0" t="n">
        <v>9.72704980023376</v>
      </c>
      <c r="K9" s="0" t="n">
        <v>3.53</v>
      </c>
      <c r="L9" s="0" t="n">
        <v>2010.7</v>
      </c>
      <c r="M9" s="0" t="n">
        <v>282.4</v>
      </c>
      <c r="N9" s="0" t="n">
        <v>1728.3</v>
      </c>
      <c r="O9" s="0" t="n">
        <v>16856.1</v>
      </c>
      <c r="P9" s="0" t="n">
        <v>31863.4</v>
      </c>
      <c r="R9" s="0" t="n">
        <v>10487.3</v>
      </c>
      <c r="S9" s="0" t="n">
        <v>5826</v>
      </c>
      <c r="T9" s="0" t="n">
        <v>365.8</v>
      </c>
      <c r="U9" s="0" t="n">
        <v>90.9</v>
      </c>
      <c r="V9" s="0" t="n">
        <v>0.6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16889.6</v>
      </c>
      <c r="F10" s="0" t="n">
        <v>2503</v>
      </c>
      <c r="G10" s="0" t="n">
        <v>14.8197707464949</v>
      </c>
      <c r="H10" s="0" t="n">
        <v>4187.8</v>
      </c>
      <c r="I10" s="0" t="n">
        <v>1894.4</v>
      </c>
      <c r="J10" s="0" t="n">
        <v>11.2163698370595</v>
      </c>
      <c r="K10" s="0" t="n">
        <v>4.76</v>
      </c>
      <c r="L10" s="0" t="n">
        <v>2619.6</v>
      </c>
      <c r="M10" s="0" t="n">
        <v>427.6</v>
      </c>
      <c r="N10" s="0" t="n">
        <v>2192</v>
      </c>
      <c r="O10" s="0" t="n">
        <v>20548</v>
      </c>
      <c r="P10" s="0" t="n">
        <v>42852.1</v>
      </c>
      <c r="R10" s="0" t="n">
        <v>14564</v>
      </c>
      <c r="S10" s="0" t="n">
        <v>1343.5</v>
      </c>
      <c r="T10" s="0" t="n">
        <v>402.3</v>
      </c>
      <c r="U10" s="0" t="n">
        <v>117.1</v>
      </c>
      <c r="V10" s="0" t="n">
        <v>0.6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16965</v>
      </c>
      <c r="F11" s="0" t="n">
        <v>2336</v>
      </c>
      <c r="G11" s="0" t="n">
        <v>13.7695254936634</v>
      </c>
      <c r="H11" s="0" t="n">
        <v>4024</v>
      </c>
      <c r="I11" s="0" t="n">
        <v>1975</v>
      </c>
      <c r="J11" s="0" t="n">
        <v>11.641615089891</v>
      </c>
      <c r="K11" s="0" t="n">
        <v>4.96</v>
      </c>
      <c r="L11" s="0" t="n">
        <v>2942</v>
      </c>
      <c r="M11" s="0" t="n">
        <v>423</v>
      </c>
      <c r="N11" s="0" t="n">
        <v>2519</v>
      </c>
      <c r="O11" s="0" t="n">
        <v>21350</v>
      </c>
      <c r="P11" s="0" t="n">
        <v>40834</v>
      </c>
      <c r="R11" s="0" t="n">
        <v>12472</v>
      </c>
      <c r="S11" s="0" t="n">
        <v>452.1</v>
      </c>
      <c r="T11" s="0" t="n">
        <v>402</v>
      </c>
      <c r="U11" s="0" t="n">
        <v>125</v>
      </c>
      <c r="V11" s="0" t="n">
        <v>0.6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18274</v>
      </c>
      <c r="F12" s="0" t="n">
        <v>2458</v>
      </c>
      <c r="G12" s="0" t="n">
        <v>13.4508044215826</v>
      </c>
      <c r="H12" s="0" t="n">
        <v>4216</v>
      </c>
      <c r="I12" s="0" t="n">
        <v>2022</v>
      </c>
      <c r="J12" s="0" t="n">
        <v>11.0649009521725</v>
      </c>
      <c r="K12" s="0" t="n">
        <v>5.12</v>
      </c>
      <c r="L12" s="0" t="n">
        <v>3258</v>
      </c>
      <c r="M12" s="0" t="n">
        <v>444</v>
      </c>
      <c r="N12" s="0" t="n">
        <v>2814</v>
      </c>
      <c r="O12" s="0" t="n">
        <v>21540</v>
      </c>
      <c r="P12" s="0" t="n">
        <v>45908</v>
      </c>
      <c r="R12" s="0" t="n">
        <v>16627</v>
      </c>
      <c r="S12" s="0" t="n">
        <v>786</v>
      </c>
      <c r="T12" s="0" t="n">
        <v>397</v>
      </c>
      <c r="U12" s="0" t="n">
        <v>133</v>
      </c>
      <c r="V12" s="0" t="n">
        <v>0.6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20918</v>
      </c>
      <c r="F13" s="0" t="n">
        <v>2960</v>
      </c>
      <c r="G13" s="0" t="n">
        <v>14.1504923988909</v>
      </c>
      <c r="H13" s="0" t="n">
        <v>4993</v>
      </c>
      <c r="I13" s="0" t="n">
        <v>2225</v>
      </c>
      <c r="J13" s="0" t="n">
        <v>10.6367721579501</v>
      </c>
      <c r="K13" s="0" t="n">
        <v>5.64</v>
      </c>
      <c r="L13" s="0" t="n">
        <v>4005</v>
      </c>
      <c r="M13" s="0" t="n">
        <v>508</v>
      </c>
      <c r="N13" s="0" t="n">
        <v>3497</v>
      </c>
      <c r="O13" s="0" t="n">
        <v>25413</v>
      </c>
      <c r="P13" s="0" t="n">
        <v>56669</v>
      </c>
      <c r="R13" s="0" t="n">
        <v>21008</v>
      </c>
      <c r="S13" s="0" t="n">
        <v>1335</v>
      </c>
      <c r="T13" s="0" t="n">
        <v>398</v>
      </c>
      <c r="U13" s="0" t="n">
        <v>159</v>
      </c>
      <c r="V13" s="0" t="n">
        <v>0.6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24358</v>
      </c>
      <c r="F14" s="0" t="n">
        <v>3783</v>
      </c>
      <c r="G14" s="0" t="n">
        <v>15.5308317595862</v>
      </c>
      <c r="H14" s="0" t="n">
        <v>6050</v>
      </c>
      <c r="I14" s="0" t="n">
        <v>2938</v>
      </c>
      <c r="J14" s="0" t="n">
        <v>12.0617456277199</v>
      </c>
      <c r="K14" s="0" t="n">
        <v>7.31</v>
      </c>
      <c r="L14" s="0" t="n">
        <v>4543</v>
      </c>
      <c r="M14" s="0" t="n">
        <v>758</v>
      </c>
      <c r="N14" s="0" t="n">
        <v>3785</v>
      </c>
      <c r="O14" s="0" t="n">
        <v>27594</v>
      </c>
      <c r="P14" s="0" t="n">
        <v>56232</v>
      </c>
      <c r="R14" s="0" t="n">
        <v>18990</v>
      </c>
      <c r="S14" s="0" t="n">
        <v>2103</v>
      </c>
      <c r="T14" s="0" t="n">
        <v>406</v>
      </c>
      <c r="U14" s="0" t="n">
        <v>181</v>
      </c>
      <c r="V14" s="0" t="n">
        <v>0.68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25542</v>
      </c>
      <c r="F15" s="0" t="n">
        <v>4594</v>
      </c>
      <c r="G15" s="0" t="n">
        <v>17.9860621721087</v>
      </c>
      <c r="I15" s="0" t="n">
        <v>3698</v>
      </c>
      <c r="J15" s="0" t="n">
        <v>14.4781144781145</v>
      </c>
      <c r="K15" s="0" t="n">
        <v>9.24</v>
      </c>
      <c r="L15" s="0" t="n">
        <v>4973</v>
      </c>
      <c r="M15" s="0" t="n">
        <v>926</v>
      </c>
      <c r="N15" s="0" t="n">
        <v>4047</v>
      </c>
      <c r="O15" s="0" t="n">
        <v>29684</v>
      </c>
      <c r="P15" s="0" t="n">
        <v>58381</v>
      </c>
      <c r="R15" s="0" t="n">
        <v>17752</v>
      </c>
      <c r="S15" s="0" t="n">
        <v>2399</v>
      </c>
      <c r="T15" s="0" t="n">
        <v>403</v>
      </c>
      <c r="U15" s="0" t="n">
        <v>181</v>
      </c>
      <c r="V15" s="0" t="n">
        <v>0.76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32218</v>
      </c>
      <c r="F16" s="0" t="n">
        <v>7794</v>
      </c>
      <c r="G16" s="0" t="n">
        <v>24.1914457756534</v>
      </c>
      <c r="I16" s="0" t="n">
        <v>6377</v>
      </c>
      <c r="J16" s="0" t="n">
        <v>19.7932832578062</v>
      </c>
      <c r="K16" s="0" t="n">
        <v>16.09</v>
      </c>
      <c r="L16" s="0" t="n">
        <v>8289</v>
      </c>
      <c r="M16" s="0" t="n">
        <v>1474</v>
      </c>
      <c r="N16" s="0" t="n">
        <v>6815</v>
      </c>
      <c r="O16" s="0" t="n">
        <v>34517</v>
      </c>
      <c r="P16" s="0" t="n">
        <v>69052</v>
      </c>
      <c r="R16" s="0" t="n">
        <v>21735</v>
      </c>
      <c r="S16" s="0" t="n">
        <v>10325</v>
      </c>
      <c r="T16" s="0" t="n">
        <v>399</v>
      </c>
      <c r="U16" s="0" t="n">
        <v>196</v>
      </c>
      <c r="V16" s="0" t="n">
        <v>0.88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39211</v>
      </c>
      <c r="F17" s="0" t="n">
        <v>10028</v>
      </c>
      <c r="G17" s="0" t="n">
        <v>25.5744561475096</v>
      </c>
      <c r="I17" s="0" t="n">
        <v>7728</v>
      </c>
      <c r="J17" s="0" t="n">
        <v>19.708755196246</v>
      </c>
      <c r="K17" s="0" t="n">
        <v>19.62</v>
      </c>
      <c r="L17" s="0" t="n">
        <v>9312</v>
      </c>
      <c r="M17" s="0" t="n">
        <v>2523</v>
      </c>
      <c r="N17" s="0" t="n">
        <v>6789</v>
      </c>
      <c r="O17" s="0" t="n">
        <v>40855</v>
      </c>
      <c r="P17" s="0" t="n">
        <v>95123</v>
      </c>
      <c r="R17" s="0" t="n">
        <v>34870</v>
      </c>
      <c r="S17" s="0" t="n">
        <v>4477</v>
      </c>
      <c r="T17" s="0" t="n">
        <v>397</v>
      </c>
      <c r="U17" s="0" t="n">
        <v>230</v>
      </c>
      <c r="V17" s="0" t="n">
        <v>1.04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44915</v>
      </c>
      <c r="F18" s="0" t="n">
        <v>8393</v>
      </c>
      <c r="G18" s="0" t="n">
        <v>18.6864076589113</v>
      </c>
      <c r="I18" s="0" t="n">
        <v>6960</v>
      </c>
      <c r="J18" s="0" t="n">
        <v>15.4959367694534</v>
      </c>
      <c r="K18" s="0" t="n">
        <v>17.75</v>
      </c>
      <c r="L18" s="0" t="n">
        <v>9154</v>
      </c>
      <c r="M18" s="0" t="n">
        <v>2243</v>
      </c>
      <c r="N18" s="0" t="n">
        <v>6911</v>
      </c>
      <c r="O18" s="0" t="n">
        <v>44032</v>
      </c>
      <c r="P18" s="0" t="n">
        <v>97154</v>
      </c>
      <c r="R18" s="0" t="n">
        <v>34488</v>
      </c>
      <c r="S18" s="0" t="n">
        <v>8524</v>
      </c>
      <c r="T18" s="0" t="n">
        <v>394</v>
      </c>
      <c r="U18" s="0" t="n">
        <v>307</v>
      </c>
      <c r="V18" s="0" t="n">
        <v>1.2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42857</v>
      </c>
      <c r="F19" s="0" t="n">
        <v>6859</v>
      </c>
      <c r="G19" s="0" t="n">
        <v>16.0043866812889</v>
      </c>
      <c r="I19" s="0" t="n">
        <v>5995</v>
      </c>
      <c r="J19" s="0" t="n">
        <v>13.9883799612665</v>
      </c>
      <c r="K19" s="0" t="n">
        <v>15.52</v>
      </c>
      <c r="L19" s="0" t="n">
        <v>8406</v>
      </c>
      <c r="M19" s="0" t="n">
        <v>1479</v>
      </c>
      <c r="N19" s="0" t="n">
        <v>6927</v>
      </c>
      <c r="O19" s="0" t="n">
        <v>46724</v>
      </c>
      <c r="P19" s="0" t="n">
        <v>98726</v>
      </c>
      <c r="R19" s="0" t="n">
        <v>34917</v>
      </c>
      <c r="S19" s="0" t="n">
        <v>8077</v>
      </c>
      <c r="T19" s="0" t="n">
        <v>388</v>
      </c>
      <c r="U19" s="0" t="n">
        <v>278</v>
      </c>
      <c r="V19" s="0" t="n">
        <v>1.4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42879</v>
      </c>
      <c r="F20" s="0" t="n">
        <v>7337</v>
      </c>
      <c r="G20" s="0" t="n">
        <v>17.1109400872222</v>
      </c>
      <c r="I20" s="0" t="n">
        <v>6338</v>
      </c>
      <c r="J20" s="0" t="n">
        <v>14.7811282912381</v>
      </c>
      <c r="K20" s="0" t="n">
        <v>16.58</v>
      </c>
      <c r="L20" s="0" t="n">
        <v>8667</v>
      </c>
      <c r="M20" s="0" t="n">
        <v>1400</v>
      </c>
      <c r="N20" s="0" t="n">
        <v>7267</v>
      </c>
      <c r="O20" s="0" t="n">
        <v>49584</v>
      </c>
      <c r="P20" s="0" t="n">
        <v>97321</v>
      </c>
      <c r="R20" s="0" t="n">
        <v>31275</v>
      </c>
      <c r="S20" s="0" t="n">
        <v>4009</v>
      </c>
      <c r="T20" s="0" t="n">
        <v>383</v>
      </c>
      <c r="U20" s="0" t="n">
        <v>301</v>
      </c>
      <c r="V20" s="0" t="n">
        <v>1.56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44556</v>
      </c>
      <c r="F21" s="0" t="n">
        <v>7746</v>
      </c>
      <c r="G21" s="0" t="n">
        <v>17.3848639913816</v>
      </c>
      <c r="I21" s="0" t="n">
        <v>6721</v>
      </c>
      <c r="J21" s="0" t="n">
        <v>15.084388185654</v>
      </c>
      <c r="K21" s="0" t="n">
        <v>17.77</v>
      </c>
      <c r="L21" s="0" t="n">
        <v>7818</v>
      </c>
      <c r="M21" s="0" t="n">
        <v>1525</v>
      </c>
      <c r="N21" s="0" t="n">
        <v>6293</v>
      </c>
      <c r="O21" s="0" t="n">
        <v>53415</v>
      </c>
      <c r="P21" s="0" t="n">
        <v>110343</v>
      </c>
      <c r="R21" s="0" t="n">
        <v>39385</v>
      </c>
      <c r="S21" s="0" t="n">
        <v>9852</v>
      </c>
      <c r="T21" s="0" t="n">
        <v>378</v>
      </c>
      <c r="U21" s="0" t="n">
        <v>310</v>
      </c>
      <c r="V21" s="0" t="n">
        <v>1.72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652.51</v>
      </c>
    </row>
    <row r="3" customFormat="false" ht="15" hidden="false" customHeight="false" outlineLevel="0" collapsed="false">
      <c r="A3" s="0" t="s">
        <v>86</v>
      </c>
      <c r="B3" s="3" t="n">
        <v>371</v>
      </c>
    </row>
    <row r="4" customFormat="false" ht="15" hidden="false" customHeight="false" outlineLevel="0" collapsed="false">
      <c r="A4" s="0" t="s">
        <v>87</v>
      </c>
      <c r="B4" s="3" t="n">
        <v>38485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44556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6</v>
      </c>
      <c r="D13" s="3" t="n">
        <v>2.5</v>
      </c>
      <c r="E13" s="3" t="n">
        <v>3</v>
      </c>
      <c r="F13" s="3" t="n">
        <v>3.5</v>
      </c>
      <c r="G13" s="3" t="n">
        <v>3.5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24.3</v>
      </c>
      <c r="D14" s="3" t="n">
        <v>24</v>
      </c>
      <c r="E14" s="3" t="n">
        <v>23.8</v>
      </c>
      <c r="F14" s="3" t="n">
        <v>23.8</v>
      </c>
      <c r="G14" s="3" t="n">
        <v>23.8</v>
      </c>
      <c r="H14" s="3" t="n">
        <v>23.8</v>
      </c>
      <c r="I14" s="3" t="n">
        <v>23.8</v>
      </c>
      <c r="J14" s="3" t="n">
        <v>23.8</v>
      </c>
      <c r="K14" s="3" t="n">
        <v>23.8</v>
      </c>
      <c r="L14" s="3" t="n">
        <v>23.8</v>
      </c>
    </row>
    <row r="15" customFormat="false" ht="15" hidden="false" customHeight="false" outlineLevel="0" collapsed="false">
      <c r="A15" s="0" t="s">
        <v>108</v>
      </c>
      <c r="C15" s="3" t="n">
        <v>0.72</v>
      </c>
      <c r="D15" s="3" t="n">
        <v>0.72</v>
      </c>
      <c r="E15" s="3" t="n">
        <v>0.72</v>
      </c>
      <c r="F15" s="3" t="n">
        <v>0.72</v>
      </c>
      <c r="G15" s="3" t="n">
        <v>0.72</v>
      </c>
      <c r="H15" s="3" t="n">
        <v>0.72</v>
      </c>
      <c r="I15" s="3" t="n">
        <v>0.72</v>
      </c>
      <c r="J15" s="3" t="n">
        <v>0.72</v>
      </c>
      <c r="K15" s="3" t="n">
        <v>0.72</v>
      </c>
      <c r="L15" s="3" t="n">
        <v>0.72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6.5</v>
      </c>
      <c r="D17" s="3" t="n">
        <v>6.2</v>
      </c>
      <c r="E17" s="3" t="n">
        <v>5.9</v>
      </c>
      <c r="F17" s="3" t="n">
        <v>5.6</v>
      </c>
      <c r="G17" s="3" t="n">
        <v>5.2</v>
      </c>
      <c r="H17" s="3" t="n">
        <v>4.8</v>
      </c>
      <c r="I17" s="3" t="n">
        <v>4.4</v>
      </c>
      <c r="J17" s="3" t="n">
        <v>4</v>
      </c>
      <c r="K17" s="3" t="n">
        <v>3.8</v>
      </c>
      <c r="L17" s="3" t="n">
        <v>3.6</v>
      </c>
    </row>
    <row r="18" customFormat="false" ht="15" hidden="false" customHeight="false" outlineLevel="0" collapsed="false">
      <c r="A18" s="0" t="s">
        <v>111</v>
      </c>
      <c r="C18" s="3" t="n">
        <v>3.7</v>
      </c>
      <c r="D18" s="3" t="n">
        <v>3.6</v>
      </c>
      <c r="E18" s="3" t="n">
        <v>3.6</v>
      </c>
      <c r="F18" s="3" t="n">
        <v>3.5</v>
      </c>
      <c r="G18" s="3" t="n">
        <v>3.5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112</v>
      </c>
      <c r="C19" s="3" t="n">
        <v>22.5</v>
      </c>
      <c r="D19" s="3" t="n">
        <v>23</v>
      </c>
      <c r="E19" s="3" t="n">
        <v>23</v>
      </c>
      <c r="F19" s="3" t="n">
        <v>23.5</v>
      </c>
      <c r="G19" s="3" t="n">
        <v>23.5</v>
      </c>
      <c r="H19" s="3" t="n">
        <v>23.5</v>
      </c>
      <c r="I19" s="3" t="n">
        <v>23.5</v>
      </c>
      <c r="J19" s="3" t="n">
        <v>23.5</v>
      </c>
      <c r="K19" s="3" t="n">
        <v>23.5</v>
      </c>
      <c r="L19" s="3" t="n">
        <v>23.5</v>
      </c>
    </row>
    <row r="20" customFormat="false" ht="15" hidden="false" customHeight="false" outlineLevel="0" collapsed="false">
      <c r="A20" s="0" t="s">
        <v>113</v>
      </c>
      <c r="B20" s="3" t="n">
        <v>8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18</v>
      </c>
    </row>
    <row r="23" customFormat="false" ht="15" hidden="false" customHeight="false" outlineLevel="0" collapsed="false">
      <c r="A23" s="0" t="s">
        <v>116</v>
      </c>
      <c r="B23" s="3" t="n">
        <v>-10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7.2</v>
      </c>
      <c r="D27" s="3" t="n">
        <v>5</v>
      </c>
      <c r="E27" s="3" t="n">
        <v>5.5</v>
      </c>
      <c r="F27" s="3" t="n">
        <v>5.5</v>
      </c>
      <c r="G27" s="3" t="n">
        <v>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24.6</v>
      </c>
      <c r="D28" s="3" t="n">
        <v>24.9</v>
      </c>
      <c r="E28" s="3" t="n">
        <v>25.2</v>
      </c>
      <c r="F28" s="3" t="n">
        <v>25.5</v>
      </c>
      <c r="G28" s="3" t="n">
        <v>25.8</v>
      </c>
      <c r="H28" s="3" t="n">
        <v>26</v>
      </c>
      <c r="I28" s="3" t="n">
        <v>26</v>
      </c>
      <c r="J28" s="3" t="n">
        <v>26</v>
      </c>
      <c r="K28" s="3" t="n">
        <v>26</v>
      </c>
      <c r="L28" s="3" t="n">
        <v>26</v>
      </c>
    </row>
    <row r="29" customFormat="false" ht="15" hidden="false" customHeight="false" outlineLevel="0" collapsed="false">
      <c r="A29" s="0" t="s">
        <v>108</v>
      </c>
      <c r="C29" s="3" t="n">
        <v>0.72</v>
      </c>
      <c r="D29" s="3" t="n">
        <v>0.72</v>
      </c>
      <c r="E29" s="3" t="n">
        <v>0.72</v>
      </c>
      <c r="F29" s="3" t="n">
        <v>0.72</v>
      </c>
      <c r="G29" s="3" t="n">
        <v>0.72</v>
      </c>
      <c r="H29" s="3" t="n">
        <v>0.72</v>
      </c>
      <c r="I29" s="3" t="n">
        <v>0.72</v>
      </c>
      <c r="J29" s="3" t="n">
        <v>0.72</v>
      </c>
      <c r="K29" s="3" t="n">
        <v>0.72</v>
      </c>
      <c r="L29" s="3" t="n">
        <v>0.72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6.5</v>
      </c>
      <c r="D31" s="3" t="n">
        <v>6.2</v>
      </c>
      <c r="E31" s="3" t="n">
        <v>5.9</v>
      </c>
      <c r="F31" s="3" t="n">
        <v>5.6</v>
      </c>
      <c r="G31" s="3" t="n">
        <v>5.2</v>
      </c>
      <c r="H31" s="3" t="n">
        <v>4.8</v>
      </c>
      <c r="I31" s="3" t="n">
        <v>4.4</v>
      </c>
      <c r="J31" s="3" t="n">
        <v>4</v>
      </c>
      <c r="K31" s="3" t="n">
        <v>3.8</v>
      </c>
      <c r="L31" s="3" t="n">
        <v>3.6</v>
      </c>
    </row>
    <row r="32" customFormat="false" ht="15" hidden="false" customHeight="false" outlineLevel="0" collapsed="false">
      <c r="A32" s="0" t="s">
        <v>111</v>
      </c>
      <c r="C32" s="3" t="n">
        <v>3.7</v>
      </c>
      <c r="D32" s="3" t="n">
        <v>3.6</v>
      </c>
      <c r="E32" s="3" t="n">
        <v>3.6</v>
      </c>
      <c r="F32" s="3" t="n">
        <v>3.5</v>
      </c>
      <c r="G32" s="3" t="n">
        <v>3.5</v>
      </c>
      <c r="H32" s="3" t="n">
        <v>3.5</v>
      </c>
      <c r="I32" s="3" t="n">
        <v>3.5</v>
      </c>
      <c r="J32" s="3" t="n">
        <v>3.5</v>
      </c>
      <c r="K32" s="3" t="n">
        <v>3.5</v>
      </c>
      <c r="L32" s="3" t="n">
        <v>3.5</v>
      </c>
    </row>
    <row r="33" customFormat="false" ht="15" hidden="false" customHeight="false" outlineLevel="0" collapsed="false">
      <c r="A33" s="0" t="s">
        <v>112</v>
      </c>
      <c r="C33" s="3" t="n">
        <v>22.5</v>
      </c>
      <c r="D33" s="3" t="n">
        <v>22.5</v>
      </c>
      <c r="E33" s="3" t="n">
        <v>22.5</v>
      </c>
      <c r="F33" s="3" t="n">
        <v>22.5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113</v>
      </c>
      <c r="B34" s="3" t="n">
        <v>8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-10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7.8</v>
      </c>
      <c r="D41" s="3" t="n">
        <v>7</v>
      </c>
      <c r="E41" s="3" t="n">
        <v>7</v>
      </c>
      <c r="F41" s="3" t="n">
        <v>7</v>
      </c>
      <c r="G41" s="3" t="n">
        <v>6.5</v>
      </c>
      <c r="H41" s="3" t="n">
        <v>6</v>
      </c>
      <c r="I41" s="3" t="n">
        <v>5.5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24.8</v>
      </c>
      <c r="D42" s="3" t="n">
        <v>25.4</v>
      </c>
      <c r="E42" s="3" t="n">
        <v>26</v>
      </c>
      <c r="F42" s="3" t="n">
        <v>26.5</v>
      </c>
      <c r="G42" s="3" t="n">
        <v>27</v>
      </c>
      <c r="H42" s="3" t="n">
        <v>27.3</v>
      </c>
      <c r="I42" s="3" t="n">
        <v>27.5</v>
      </c>
      <c r="J42" s="3" t="n">
        <v>27.5</v>
      </c>
      <c r="K42" s="3" t="n">
        <v>27.5</v>
      </c>
      <c r="L42" s="3" t="n">
        <v>27.5</v>
      </c>
    </row>
    <row r="43" customFormat="false" ht="15" hidden="false" customHeight="false" outlineLevel="0" collapsed="false">
      <c r="A43" s="0" t="s">
        <v>108</v>
      </c>
      <c r="C43" s="3" t="n">
        <v>0.72</v>
      </c>
      <c r="D43" s="3" t="n">
        <v>0.72</v>
      </c>
      <c r="E43" s="3" t="n">
        <v>0.72</v>
      </c>
      <c r="F43" s="3" t="n">
        <v>0.72</v>
      </c>
      <c r="G43" s="3" t="n">
        <v>0.72</v>
      </c>
      <c r="H43" s="3" t="n">
        <v>0.72</v>
      </c>
      <c r="I43" s="3" t="n">
        <v>0.72</v>
      </c>
      <c r="J43" s="3" t="n">
        <v>0.72</v>
      </c>
      <c r="K43" s="3" t="n">
        <v>0.72</v>
      </c>
      <c r="L43" s="3" t="n">
        <v>0.72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6.5</v>
      </c>
      <c r="D45" s="3" t="n">
        <v>6.2</v>
      </c>
      <c r="E45" s="3" t="n">
        <v>5.9</v>
      </c>
      <c r="F45" s="3" t="n">
        <v>5.6</v>
      </c>
      <c r="G45" s="3" t="n">
        <v>5.2</v>
      </c>
      <c r="H45" s="3" t="n">
        <v>4.8</v>
      </c>
      <c r="I45" s="3" t="n">
        <v>4.4</v>
      </c>
      <c r="J45" s="3" t="n">
        <v>4</v>
      </c>
      <c r="K45" s="3" t="n">
        <v>3.8</v>
      </c>
      <c r="L45" s="3" t="n">
        <v>3.6</v>
      </c>
    </row>
    <row r="46" customFormat="false" ht="15" hidden="false" customHeight="false" outlineLevel="0" collapsed="false">
      <c r="A46" s="0" t="s">
        <v>111</v>
      </c>
      <c r="C46" s="3" t="n">
        <v>3.7</v>
      </c>
      <c r="D46" s="3" t="n">
        <v>3.6</v>
      </c>
      <c r="E46" s="3" t="n">
        <v>3.6</v>
      </c>
      <c r="F46" s="3" t="n">
        <v>3.5</v>
      </c>
      <c r="G46" s="3" t="n">
        <v>3.5</v>
      </c>
      <c r="H46" s="3" t="n">
        <v>3.5</v>
      </c>
      <c r="I46" s="3" t="n">
        <v>3.5</v>
      </c>
      <c r="J46" s="3" t="n">
        <v>3.5</v>
      </c>
      <c r="K46" s="3" t="n">
        <v>3.5</v>
      </c>
      <c r="L46" s="3" t="n">
        <v>3.5</v>
      </c>
    </row>
    <row r="47" customFormat="false" ht="15" hidden="false" customHeight="false" outlineLevel="0" collapsed="false">
      <c r="A47" s="0" t="s">
        <v>112</v>
      </c>
      <c r="C47" s="3" t="n">
        <v>22.5</v>
      </c>
      <c r="D47" s="3" t="n">
        <v>22.5</v>
      </c>
      <c r="E47" s="3" t="n">
        <v>22.5</v>
      </c>
      <c r="F47" s="3" t="n">
        <v>22.5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113</v>
      </c>
      <c r="B48" s="3" t="n">
        <v>8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-10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6</v>
      </c>
      <c r="D5" s="4" t="n">
        <f aca="false">Assumptions!D13</f>
        <v>2.5</v>
      </c>
      <c r="E5" s="4" t="n">
        <f aca="false">Assumptions!E13</f>
        <v>3</v>
      </c>
      <c r="F5" s="4" t="n">
        <f aca="false">Assumptions!F13</f>
        <v>3.5</v>
      </c>
      <c r="G5" s="4" t="n">
        <f aca="false">Assumptions!G13</f>
        <v>3.5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44556</v>
      </c>
      <c r="C6" s="0" t="n">
        <f aca="false">B6*(1+C5/100)</f>
        <v>47229.36</v>
      </c>
      <c r="D6" s="0" t="n">
        <f aca="false">C6*(1+D5/100)</f>
        <v>48410.094</v>
      </c>
      <c r="E6" s="0" t="n">
        <f aca="false">D6*(1+E5/100)</f>
        <v>49862.39682</v>
      </c>
      <c r="F6" s="0" t="n">
        <f aca="false">E6*(1+F5/100)</f>
        <v>51607.5807087</v>
      </c>
      <c r="G6" s="0" t="n">
        <f aca="false">F6*(1+G5/100)</f>
        <v>53413.8460335045</v>
      </c>
      <c r="H6" s="0" t="n">
        <f aca="false">G6*(1+H5/100)</f>
        <v>55283.3306446771</v>
      </c>
      <c r="I6" s="0" t="n">
        <f aca="false">H6*(1+I5/100)</f>
        <v>56941.8305640175</v>
      </c>
      <c r="J6" s="0" t="n">
        <f aca="false">I6*(1+J5/100)</f>
        <v>58650.085480938</v>
      </c>
      <c r="K6" s="0" t="n">
        <f aca="false">J6*(1+K5/100)</f>
        <v>60116.3376179614</v>
      </c>
      <c r="L6" s="0" t="n">
        <f aca="false">K6*(1+L5/100)</f>
        <v>61619.2460584105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24.3</v>
      </c>
      <c r="D7" s="4" t="n">
        <f aca="false">Assumptions!D14</f>
        <v>24</v>
      </c>
      <c r="E7" s="4" t="n">
        <f aca="false">Assumptions!E14</f>
        <v>23.8</v>
      </c>
      <c r="F7" s="4" t="n">
        <f aca="false">Assumptions!F14</f>
        <v>23.8</v>
      </c>
      <c r="G7" s="4" t="n">
        <f aca="false">Assumptions!G14</f>
        <v>23.8</v>
      </c>
      <c r="H7" s="4" t="n">
        <f aca="false">Assumptions!H14</f>
        <v>23.8</v>
      </c>
      <c r="I7" s="4" t="n">
        <f aca="false">Assumptions!I14</f>
        <v>23.8</v>
      </c>
      <c r="J7" s="4" t="n">
        <f aca="false">Assumptions!J14</f>
        <v>23.8</v>
      </c>
      <c r="K7" s="4" t="n">
        <f aca="false">Assumptions!K14</f>
        <v>23.8</v>
      </c>
      <c r="L7" s="4" t="n">
        <f aca="false">Assumptions!L14</f>
        <v>23.8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11476.73448</v>
      </c>
      <c r="D8" s="0" t="n">
        <f aca="false">D6*D7/100</f>
        <v>11618.42256</v>
      </c>
      <c r="E8" s="0" t="n">
        <f aca="false">E6*E7/100</f>
        <v>11867.25044316</v>
      </c>
      <c r="F8" s="0" t="n">
        <f aca="false">F6*F7/100</f>
        <v>12282.6042086706</v>
      </c>
      <c r="G8" s="0" t="n">
        <f aca="false">G6*G7/100</f>
        <v>12712.4953559741</v>
      </c>
      <c r="H8" s="0" t="n">
        <f aca="false">H6*H7/100</f>
        <v>13157.4326934332</v>
      </c>
      <c r="I8" s="0" t="n">
        <f aca="false">I6*I7/100</f>
        <v>13552.1556742362</v>
      </c>
      <c r="J8" s="0" t="n">
        <f aca="false">J6*J7/100</f>
        <v>13958.7203444632</v>
      </c>
      <c r="K8" s="0" t="n">
        <f aca="false">K6*K7/100</f>
        <v>14307.6883530748</v>
      </c>
      <c r="L8" s="0" t="n">
        <f aca="false">L6*L7/100</f>
        <v>14665.3805619017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0.72</v>
      </c>
      <c r="D9" s="4" t="n">
        <f aca="false">Assumptions!D15</f>
        <v>0.72</v>
      </c>
      <c r="E9" s="4" t="n">
        <f aca="false">Assumptions!E15</f>
        <v>0.72</v>
      </c>
      <c r="F9" s="4" t="n">
        <f aca="false">Assumptions!F15</f>
        <v>0.72</v>
      </c>
      <c r="G9" s="4" t="n">
        <f aca="false">Assumptions!G15</f>
        <v>0.72</v>
      </c>
      <c r="H9" s="4" t="n">
        <f aca="false">Assumptions!H15</f>
        <v>0.72</v>
      </c>
      <c r="I9" s="4" t="n">
        <f aca="false">Assumptions!I15</f>
        <v>0.72</v>
      </c>
      <c r="J9" s="4" t="n">
        <f aca="false">Assumptions!J15</f>
        <v>0.72</v>
      </c>
      <c r="K9" s="4" t="n">
        <f aca="false">Assumptions!K15</f>
        <v>0.72</v>
      </c>
      <c r="L9" s="4" t="n">
        <f aca="false">Assumptions!L15</f>
        <v>0.72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-340.051392</v>
      </c>
      <c r="D10" s="0" t="n">
        <f aca="false">-D6*D9/100</f>
        <v>-348.5526768</v>
      </c>
      <c r="E10" s="0" t="n">
        <f aca="false">-E6*E9/100</f>
        <v>-359.009257104</v>
      </c>
      <c r="F10" s="0" t="n">
        <f aca="false">-F6*F9/100</f>
        <v>-371.57458110264</v>
      </c>
      <c r="G10" s="0" t="n">
        <f aca="false">-G6*G9/100</f>
        <v>-384.579691441232</v>
      </c>
      <c r="H10" s="0" t="n">
        <f aca="false">-H6*H9/100</f>
        <v>-398.039980641675</v>
      </c>
      <c r="I10" s="0" t="n">
        <f aca="false">-I6*I9/100</f>
        <v>-409.981180060926</v>
      </c>
      <c r="J10" s="0" t="n">
        <f aca="false">-J6*J9/100</f>
        <v>-422.280615462754</v>
      </c>
      <c r="K10" s="0" t="n">
        <f aca="false">-K6*K9/100</f>
        <v>-432.837630849322</v>
      </c>
      <c r="L10" s="0" t="n">
        <f aca="false">-L6*L9/100</f>
        <v>-443.658571620555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11136.683088</v>
      </c>
      <c r="D11" s="0" t="n">
        <f aca="false">D8+D10+D24</f>
        <v>11269.8698832</v>
      </c>
      <c r="E11" s="0" t="n">
        <f aca="false">E8+E10+E24</f>
        <v>11508.241186056</v>
      </c>
      <c r="F11" s="0" t="n">
        <f aca="false">F8+F10+F24</f>
        <v>11911.029627568</v>
      </c>
      <c r="G11" s="0" t="n">
        <f aca="false">G8+G10+G24</f>
        <v>12327.9156645328</v>
      </c>
      <c r="H11" s="0" t="n">
        <f aca="false">H8+H10+H24</f>
        <v>12759.3927127915</v>
      </c>
      <c r="I11" s="0" t="n">
        <f aca="false">I8+I10+I24</f>
        <v>13142.1744941752</v>
      </c>
      <c r="J11" s="0" t="n">
        <f aca="false">J8+J10+J24</f>
        <v>13536.4397290005</v>
      </c>
      <c r="K11" s="0" t="n">
        <f aca="false">K8+K10+K24</f>
        <v>13874.8507222255</v>
      </c>
      <c r="L11" s="0" t="n">
        <f aca="false">L8+L10+L24</f>
        <v>14221.7219902811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-3069.9084</v>
      </c>
      <c r="D12" s="4" t="n">
        <f aca="false">-D6*Assumptions!D17/100</f>
        <v>-3001.425828</v>
      </c>
      <c r="E12" s="4" t="n">
        <f aca="false">-E6*Assumptions!E17/100</f>
        <v>-2941.88141238</v>
      </c>
      <c r="F12" s="4" t="n">
        <f aca="false">-F6*Assumptions!F17/100</f>
        <v>-2890.0245196872</v>
      </c>
      <c r="G12" s="4" t="n">
        <f aca="false">-G6*Assumptions!G17/100</f>
        <v>-2777.51999374223</v>
      </c>
      <c r="H12" s="4" t="n">
        <f aca="false">-H6*Assumptions!H17/100</f>
        <v>-2653.5998709445</v>
      </c>
      <c r="I12" s="4" t="n">
        <f aca="false">-I6*Assumptions!I17/100</f>
        <v>-2505.44054481677</v>
      </c>
      <c r="J12" s="4" t="n">
        <f aca="false">-J6*Assumptions!J17/100</f>
        <v>-2346.00341923752</v>
      </c>
      <c r="K12" s="4" t="n">
        <f aca="false">-K6*Assumptions!K17/100</f>
        <v>-2284.42082948253</v>
      </c>
      <c r="L12" s="4" t="n">
        <f aca="false">-L6*Assumptions!L17/100</f>
        <v>-2218.29285810278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8066.774688</v>
      </c>
      <c r="D13" s="0" t="n">
        <f aca="false">D11+D12</f>
        <v>8268.4440552</v>
      </c>
      <c r="E13" s="0" t="n">
        <f aca="false">E11+E12</f>
        <v>8566.359773676</v>
      </c>
      <c r="F13" s="0" t="n">
        <f aca="false">F11+F12</f>
        <v>9021.00510788076</v>
      </c>
      <c r="G13" s="0" t="n">
        <f aca="false">G11+G12</f>
        <v>9550.3956707906</v>
      </c>
      <c r="H13" s="0" t="n">
        <f aca="false">H11+H12</f>
        <v>10105.792841847</v>
      </c>
      <c r="I13" s="0" t="n">
        <f aca="false">I11+I12</f>
        <v>10636.7339493585</v>
      </c>
      <c r="J13" s="0" t="n">
        <f aca="false">J11+J12</f>
        <v>11190.436309763</v>
      </c>
      <c r="K13" s="0" t="n">
        <f aca="false">K11+K12</f>
        <v>11590.429892743</v>
      </c>
      <c r="L13" s="0" t="n">
        <f aca="false">L11+L12</f>
        <v>12003.4291321784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22.5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23.5</v>
      </c>
      <c r="G14" s="4" t="n">
        <f aca="false">Assumptions!G19</f>
        <v>23.5</v>
      </c>
      <c r="H14" s="4" t="n">
        <f aca="false">Assumptions!H19</f>
        <v>23.5</v>
      </c>
      <c r="I14" s="4" t="n">
        <f aca="false">Assumptions!I19</f>
        <v>23.5</v>
      </c>
      <c r="J14" s="4" t="n">
        <f aca="false">Assumptions!J19</f>
        <v>23.5</v>
      </c>
      <c r="K14" s="4" t="n">
        <f aca="false">Assumptions!K19</f>
        <v>23.5</v>
      </c>
      <c r="L14" s="4" t="n">
        <f aca="false">Assumptions!L19</f>
        <v>23.5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6251.7503832</v>
      </c>
      <c r="D15" s="0" t="n">
        <f aca="false">D13-MAX(0,D13)*D14/100</f>
        <v>6366.701922504</v>
      </c>
      <c r="E15" s="0" t="n">
        <f aca="false">E13-MAX(0,E13)*E14/100</f>
        <v>6596.09702573052</v>
      </c>
      <c r="F15" s="0" t="n">
        <f aca="false">F13-MAX(0,F13)*F14/100</f>
        <v>6901.06890752878</v>
      </c>
      <c r="G15" s="0" t="n">
        <f aca="false">G13-MAX(0,G13)*G14/100</f>
        <v>7306.05268815481</v>
      </c>
      <c r="H15" s="0" t="n">
        <f aca="false">H13-MAX(0,H13)*H14/100</f>
        <v>7730.93152401294</v>
      </c>
      <c r="I15" s="0" t="n">
        <f aca="false">I13-MAX(0,I13)*I14/100</f>
        <v>8137.10147125922</v>
      </c>
      <c r="J15" s="0" t="n">
        <f aca="false">J13-MAX(0,J13)*J14/100</f>
        <v>8560.68377696867</v>
      </c>
      <c r="K15" s="0" t="n">
        <f aca="false">K13-MAX(0,K13)*K14/100</f>
        <v>8866.67886794837</v>
      </c>
      <c r="L15" s="0" t="n">
        <f aca="false">L13-MAX(0,L13)*L14/100</f>
        <v>9182.62328611644</v>
      </c>
    </row>
    <row r="16" customFormat="false" ht="15" hidden="false" customHeight="false" outlineLevel="0" collapsed="false">
      <c r="A16" s="0" t="s">
        <v>128</v>
      </c>
      <c r="C16" s="0" t="n">
        <f aca="false">-C12</f>
        <v>3069.9084</v>
      </c>
      <c r="D16" s="0" t="n">
        <f aca="false">-D12</f>
        <v>3001.425828</v>
      </c>
      <c r="E16" s="0" t="n">
        <f aca="false">-E12</f>
        <v>2941.88141238</v>
      </c>
      <c r="F16" s="0" t="n">
        <f aca="false">-F12</f>
        <v>2890.0245196872</v>
      </c>
      <c r="G16" s="0" t="n">
        <f aca="false">-G12</f>
        <v>2777.51999374223</v>
      </c>
      <c r="H16" s="0" t="n">
        <f aca="false">-H12</f>
        <v>2653.5998709445</v>
      </c>
      <c r="I16" s="0" t="n">
        <f aca="false">-I12</f>
        <v>2505.44054481677</v>
      </c>
      <c r="J16" s="0" t="n">
        <f aca="false">-J12</f>
        <v>2346.00341923752</v>
      </c>
      <c r="K16" s="0" t="n">
        <f aca="false">-K12</f>
        <v>2284.42082948253</v>
      </c>
      <c r="L16" s="0" t="n">
        <f aca="false">-L12</f>
        <v>2218.29285810278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-1747.48632</v>
      </c>
      <c r="D17" s="4" t="n">
        <f aca="false">-D6*Assumptions!D18/100</f>
        <v>-1742.763384</v>
      </c>
      <c r="E17" s="4" t="n">
        <f aca="false">-E6*Assumptions!E18/100</f>
        <v>-1795.04628552</v>
      </c>
      <c r="F17" s="4" t="n">
        <f aca="false">-F6*Assumptions!F18/100</f>
        <v>-1806.2653248045</v>
      </c>
      <c r="G17" s="4" t="n">
        <f aca="false">-G6*Assumptions!G18/100</f>
        <v>-1869.48461117266</v>
      </c>
      <c r="H17" s="4" t="n">
        <f aca="false">-H6*Assumptions!H18/100</f>
        <v>-1934.9165725637</v>
      </c>
      <c r="I17" s="4" t="n">
        <f aca="false">-I6*Assumptions!I18/100</f>
        <v>-1992.96406974061</v>
      </c>
      <c r="J17" s="4" t="n">
        <f aca="false">-J6*Assumptions!J18/100</f>
        <v>-2052.75299183283</v>
      </c>
      <c r="K17" s="4" t="n">
        <f aca="false">-K6*Assumptions!K18/100</f>
        <v>-2104.07181662865</v>
      </c>
      <c r="L17" s="4" t="n">
        <f aca="false">-L6*Assumptions!L18/100</f>
        <v>-2156.67361204437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-267.336</v>
      </c>
      <c r="D18" s="4" t="n">
        <f aca="false">(D6-C6)*Assumptions!$B$23/100</f>
        <v>-118.0734</v>
      </c>
      <c r="E18" s="4" t="n">
        <f aca="false">(E6-D6)*Assumptions!$B$23/100</f>
        <v>-145.230282</v>
      </c>
      <c r="F18" s="4" t="n">
        <f aca="false">(F6-E6)*Assumptions!$B$23/100</f>
        <v>-174.51838887</v>
      </c>
      <c r="G18" s="4" t="n">
        <f aca="false">(G6-F6)*Assumptions!$B$23/100</f>
        <v>-180.62653248045</v>
      </c>
      <c r="H18" s="4" t="n">
        <f aca="false">(H6-G6)*Assumptions!$B$23/100</f>
        <v>-186.948461117265</v>
      </c>
      <c r="I18" s="4" t="n">
        <f aca="false">(I6-H6)*Assumptions!$B$23/100</f>
        <v>-165.849991934031</v>
      </c>
      <c r="J18" s="4" t="n">
        <f aca="false">(J6-I6)*Assumptions!$B$23/100</f>
        <v>-170.825491692052</v>
      </c>
      <c r="K18" s="4" t="n">
        <f aca="false">(K6-J6)*Assumptions!$B$23/100</f>
        <v>-146.625213702345</v>
      </c>
      <c r="L18" s="4" t="n">
        <f aca="false">(L6-K6)*Assumptions!$B$23/100</f>
        <v>-150.290844044903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7306.8364632</v>
      </c>
      <c r="D19" s="0" t="n">
        <f aca="false">D15+D16+D17+D18</f>
        <v>7507.290966504</v>
      </c>
      <c r="E19" s="0" t="n">
        <f aca="false">E15+E16+E17+E18</f>
        <v>7597.70187059052</v>
      </c>
      <c r="F19" s="0" t="n">
        <f aca="false">F15+F16+F17+F18</f>
        <v>7810.30971354148</v>
      </c>
      <c r="G19" s="0" t="n">
        <f aca="false">G15+G16+G17+G18</f>
        <v>8033.46153824394</v>
      </c>
      <c r="H19" s="0" t="n">
        <f aca="false">H15+H16+H17+H18</f>
        <v>8262.66636127648</v>
      </c>
      <c r="I19" s="0" t="n">
        <f aca="false">I15+I16+I17+I18</f>
        <v>8483.72795440135</v>
      </c>
      <c r="J19" s="0" t="n">
        <f aca="false">J15+J16+J17+J18</f>
        <v>8683.10871268131</v>
      </c>
      <c r="K19" s="0" t="n">
        <f aca="false">K15+K16+K17+K18</f>
        <v>8900.40266709991</v>
      </c>
      <c r="L19" s="0" t="n">
        <f aca="false">L15+L16+L17+L18</f>
        <v>9093.95168812995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6765.58931777778</v>
      </c>
      <c r="D21" s="0" t="n">
        <f aca="false">D19*D20</f>
        <v>6436.29198088478</v>
      </c>
      <c r="E21" s="0" t="n">
        <f aca="false">E19*E20</f>
        <v>6031.30070253401</v>
      </c>
      <c r="F21" s="0" t="n">
        <f aca="false">F19*F20</f>
        <v>5740.8107990391</v>
      </c>
      <c r="G21" s="0" t="n">
        <f aca="false">G19*G20</f>
        <v>5467.43893694575</v>
      </c>
      <c r="H21" s="0" t="n">
        <f aca="false">H19*H20</f>
        <v>5206.88137794518</v>
      </c>
      <c r="I21" s="0" t="n">
        <f aca="false">I19*I20</f>
        <v>4950.17377741006</v>
      </c>
      <c r="J21" s="0" t="n">
        <f aca="false">J19*J20</f>
        <v>4691.21345820972</v>
      </c>
      <c r="K21" s="0" t="n">
        <f aca="false">K19*K20</f>
        <v>4452.41724127081</v>
      </c>
      <c r="L21" s="0" t="n">
        <f aca="false">L19*L20</f>
        <v>4212.25920289851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53954.3767949157</v>
      </c>
    </row>
    <row r="31" customFormat="false" ht="15" hidden="false" customHeight="false" outlineLevel="0" collapsed="false">
      <c r="A31" s="0" t="s">
        <v>137</v>
      </c>
      <c r="B31" s="0" t="n">
        <f aca="false">L19</f>
        <v>9093.95168812995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169478.190551513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163691.130386339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163691.130386339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75820.6656521733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129775.042447089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91290.0424470889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246.064804439593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-0.622894967985789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2573.76435244847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3829.76827891425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263.32500021146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74570.4038426656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53.3995761246759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7.2</v>
      </c>
      <c r="D5" s="4" t="n">
        <f aca="false">Assumptions!D27</f>
        <v>5</v>
      </c>
      <c r="E5" s="4" t="n">
        <f aca="false">Assumptions!E27</f>
        <v>5.5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44556</v>
      </c>
      <c r="C6" s="0" t="n">
        <f aca="false">B6*(1+C5/100)</f>
        <v>47764.032</v>
      </c>
      <c r="D6" s="0" t="n">
        <f aca="false">C6*(1+D5/100)</f>
        <v>50152.2336</v>
      </c>
      <c r="E6" s="0" t="n">
        <f aca="false">D6*(1+E5/100)</f>
        <v>52910.606448</v>
      </c>
      <c r="F6" s="0" t="n">
        <f aca="false">E6*(1+F5/100)</f>
        <v>55820.68980264</v>
      </c>
      <c r="G6" s="0" t="n">
        <f aca="false">F6*(1+G5/100)</f>
        <v>58611.724292772</v>
      </c>
      <c r="H6" s="0" t="n">
        <f aca="false">G6*(1+H5/100)</f>
        <v>61542.3105074106</v>
      </c>
      <c r="I6" s="0" t="n">
        <f aca="false">H6*(1+I5/100)</f>
        <v>64311.7144802441</v>
      </c>
      <c r="J6" s="0" t="n">
        <f aca="false">I6*(1+J5/100)</f>
        <v>66884.1830594538</v>
      </c>
      <c r="K6" s="0" t="n">
        <f aca="false">J6*(1+K5/100)</f>
        <v>69225.1294665347</v>
      </c>
      <c r="L6" s="0" t="n">
        <f aca="false">K6*(1+L5/100)</f>
        <v>71301.8833505308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24.6</v>
      </c>
      <c r="D7" s="4" t="n">
        <f aca="false">Assumptions!D28</f>
        <v>24.9</v>
      </c>
      <c r="E7" s="4" t="n">
        <f aca="false">Assumptions!E28</f>
        <v>25.2</v>
      </c>
      <c r="F7" s="4" t="n">
        <f aca="false">Assumptions!F28</f>
        <v>25.5</v>
      </c>
      <c r="G7" s="4" t="n">
        <f aca="false">Assumptions!G28</f>
        <v>25.8</v>
      </c>
      <c r="H7" s="4" t="n">
        <f aca="false">Assumptions!H28</f>
        <v>26</v>
      </c>
      <c r="I7" s="4" t="n">
        <f aca="false">Assumptions!I28</f>
        <v>26</v>
      </c>
      <c r="J7" s="4" t="n">
        <f aca="false">Assumptions!J28</f>
        <v>26</v>
      </c>
      <c r="K7" s="4" t="n">
        <f aca="false">Assumptions!K28</f>
        <v>26</v>
      </c>
      <c r="L7" s="4" t="n">
        <f aca="false">Assumptions!L28</f>
        <v>26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11749.951872</v>
      </c>
      <c r="D8" s="0" t="n">
        <f aca="false">D6*D7/100</f>
        <v>12487.9061664</v>
      </c>
      <c r="E8" s="0" t="n">
        <f aca="false">E6*E7/100</f>
        <v>13333.472824896</v>
      </c>
      <c r="F8" s="0" t="n">
        <f aca="false">F6*F7/100</f>
        <v>14234.2758996732</v>
      </c>
      <c r="G8" s="0" t="n">
        <f aca="false">G6*G7/100</f>
        <v>15121.8248675352</v>
      </c>
      <c r="H8" s="0" t="n">
        <f aca="false">H6*H7/100</f>
        <v>16001.0007319268</v>
      </c>
      <c r="I8" s="0" t="n">
        <f aca="false">I6*I7/100</f>
        <v>16721.0457648635</v>
      </c>
      <c r="J8" s="0" t="n">
        <f aca="false">J6*J7/100</f>
        <v>17389.887595458</v>
      </c>
      <c r="K8" s="0" t="n">
        <f aca="false">K6*K7/100</f>
        <v>17998.533661299</v>
      </c>
      <c r="L8" s="0" t="n">
        <f aca="false">L6*L7/100</f>
        <v>18538.489671138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0.72</v>
      </c>
      <c r="D9" s="4" t="n">
        <f aca="false">Assumptions!D29</f>
        <v>0.72</v>
      </c>
      <c r="E9" s="4" t="n">
        <f aca="false">Assumptions!E29</f>
        <v>0.72</v>
      </c>
      <c r="F9" s="4" t="n">
        <f aca="false">Assumptions!F29</f>
        <v>0.72</v>
      </c>
      <c r="G9" s="4" t="n">
        <f aca="false">Assumptions!G29</f>
        <v>0.72</v>
      </c>
      <c r="H9" s="4" t="n">
        <f aca="false">Assumptions!H29</f>
        <v>0.72</v>
      </c>
      <c r="I9" s="4" t="n">
        <f aca="false">Assumptions!I29</f>
        <v>0.72</v>
      </c>
      <c r="J9" s="4" t="n">
        <f aca="false">Assumptions!J29</f>
        <v>0.72</v>
      </c>
      <c r="K9" s="4" t="n">
        <f aca="false">Assumptions!K29</f>
        <v>0.72</v>
      </c>
      <c r="L9" s="4" t="n">
        <f aca="false">Assumptions!L29</f>
        <v>0.72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-343.9010304</v>
      </c>
      <c r="D10" s="0" t="n">
        <f aca="false">-D6*D9/100</f>
        <v>-361.09608192</v>
      </c>
      <c r="E10" s="0" t="n">
        <f aca="false">-E6*E9/100</f>
        <v>-380.9563664256</v>
      </c>
      <c r="F10" s="0" t="n">
        <f aca="false">-F6*F9/100</f>
        <v>-401.908966579008</v>
      </c>
      <c r="G10" s="0" t="n">
        <f aca="false">-G6*G9/100</f>
        <v>-422.004414907958</v>
      </c>
      <c r="H10" s="0" t="n">
        <f aca="false">-H6*H9/100</f>
        <v>-443.104635653356</v>
      </c>
      <c r="I10" s="0" t="n">
        <f aca="false">-I6*I9/100</f>
        <v>-463.044344257757</v>
      </c>
      <c r="J10" s="0" t="n">
        <f aca="false">-J6*J9/100</f>
        <v>-481.566118028068</v>
      </c>
      <c r="K10" s="0" t="n">
        <f aca="false">-K6*K9/100</f>
        <v>-498.42093215905</v>
      </c>
      <c r="L10" s="0" t="n">
        <f aca="false">-L6*L9/100</f>
        <v>-513.373560123821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11406.0508416</v>
      </c>
      <c r="D11" s="0" t="n">
        <f aca="false">D8+D10+D24</f>
        <v>12126.81008448</v>
      </c>
      <c r="E11" s="0" t="n">
        <f aca="false">E8+E10+E24</f>
        <v>12952.5164584704</v>
      </c>
      <c r="F11" s="0" t="n">
        <f aca="false">F8+F10+F24</f>
        <v>13832.3669330942</v>
      </c>
      <c r="G11" s="0" t="n">
        <f aca="false">G8+G10+G24</f>
        <v>14699.8204526272</v>
      </c>
      <c r="H11" s="0" t="n">
        <f aca="false">H8+H10+H24</f>
        <v>15557.8960962734</v>
      </c>
      <c r="I11" s="0" t="n">
        <f aca="false">I8+I10+I24</f>
        <v>16258.0014206057</v>
      </c>
      <c r="J11" s="0" t="n">
        <f aca="false">J8+J10+J24</f>
        <v>16908.3214774299</v>
      </c>
      <c r="K11" s="0" t="n">
        <f aca="false">K8+K10+K24</f>
        <v>17500.11272914</v>
      </c>
      <c r="L11" s="0" t="n">
        <f aca="false">L8+L10+L24</f>
        <v>18025.1161110142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-3104.66208</v>
      </c>
      <c r="D12" s="4" t="n">
        <f aca="false">-D6*Assumptions!D31/100</f>
        <v>-3109.4384832</v>
      </c>
      <c r="E12" s="4" t="n">
        <f aca="false">-E6*Assumptions!E31/100</f>
        <v>-3121.725780432</v>
      </c>
      <c r="F12" s="4" t="n">
        <f aca="false">-F6*Assumptions!F31/100</f>
        <v>-3125.95862894784</v>
      </c>
      <c r="G12" s="4" t="n">
        <f aca="false">-G6*Assumptions!G31/100</f>
        <v>-3047.80966322414</v>
      </c>
      <c r="H12" s="4" t="n">
        <f aca="false">-H6*Assumptions!H31/100</f>
        <v>-2954.03090435571</v>
      </c>
      <c r="I12" s="4" t="n">
        <f aca="false">-I6*Assumptions!I31/100</f>
        <v>-2829.71543713074</v>
      </c>
      <c r="J12" s="4" t="n">
        <f aca="false">-J6*Assumptions!J31/100</f>
        <v>-2675.36732237815</v>
      </c>
      <c r="K12" s="4" t="n">
        <f aca="false">-K6*Assumptions!K31/100</f>
        <v>-2630.55491972832</v>
      </c>
      <c r="L12" s="4" t="n">
        <f aca="false">-L6*Assumptions!L31/100</f>
        <v>-2566.86780061911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8301.3887616</v>
      </c>
      <c r="D13" s="0" t="n">
        <f aca="false">D11+D12</f>
        <v>9017.37160128</v>
      </c>
      <c r="E13" s="0" t="n">
        <f aca="false">E11+E12</f>
        <v>9830.7906780384</v>
      </c>
      <c r="F13" s="0" t="n">
        <f aca="false">F11+F12</f>
        <v>10706.4083041464</v>
      </c>
      <c r="G13" s="0" t="n">
        <f aca="false">G11+G12</f>
        <v>11652.0107894031</v>
      </c>
      <c r="H13" s="0" t="n">
        <f aca="false">H11+H12</f>
        <v>12603.8651919177</v>
      </c>
      <c r="I13" s="0" t="n">
        <f aca="false">I11+I12</f>
        <v>13428.285983475</v>
      </c>
      <c r="J13" s="0" t="n">
        <f aca="false">J11+J12</f>
        <v>14232.9541550518</v>
      </c>
      <c r="K13" s="0" t="n">
        <f aca="false">K11+K12</f>
        <v>14869.5578094117</v>
      </c>
      <c r="L13" s="0" t="n">
        <f aca="false">L11+L12</f>
        <v>15458.2483103951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22.5</v>
      </c>
      <c r="D14" s="4" t="n">
        <f aca="false">Assumptions!D33</f>
        <v>22.5</v>
      </c>
      <c r="E14" s="4" t="n">
        <f aca="false">Assumptions!E33</f>
        <v>22.5</v>
      </c>
      <c r="F14" s="4" t="n">
        <f aca="false">Assumptions!F33</f>
        <v>22.5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6433.57629024</v>
      </c>
      <c r="D15" s="0" t="n">
        <f aca="false">D13-MAX(0,D13)*D14/100</f>
        <v>6988.462990992</v>
      </c>
      <c r="E15" s="0" t="n">
        <f aca="false">E13-MAX(0,E13)*E14/100</f>
        <v>7618.86277547976</v>
      </c>
      <c r="F15" s="0" t="n">
        <f aca="false">F13-MAX(0,F13)*F14/100</f>
        <v>8297.46643571342</v>
      </c>
      <c r="G15" s="0" t="n">
        <f aca="false">G13-MAX(0,G13)*G14/100</f>
        <v>8972.04830784037</v>
      </c>
      <c r="H15" s="0" t="n">
        <f aca="false">H13-MAX(0,H13)*H14/100</f>
        <v>9704.97619777662</v>
      </c>
      <c r="I15" s="0" t="n">
        <f aca="false">I13-MAX(0,I13)*I14/100</f>
        <v>10339.7802072757</v>
      </c>
      <c r="J15" s="0" t="n">
        <f aca="false">J13-MAX(0,J13)*J14/100</f>
        <v>10959.3746993899</v>
      </c>
      <c r="K15" s="0" t="n">
        <f aca="false">K13-MAX(0,K13)*K14/100</f>
        <v>11449.559513247</v>
      </c>
      <c r="L15" s="0" t="n">
        <f aca="false">L13-MAX(0,L13)*L14/100</f>
        <v>11902.8511990042</v>
      </c>
    </row>
    <row r="16" customFormat="false" ht="15" hidden="false" customHeight="false" outlineLevel="0" collapsed="false">
      <c r="A16" s="0" t="s">
        <v>128</v>
      </c>
      <c r="C16" s="0" t="n">
        <f aca="false">-C12</f>
        <v>3104.66208</v>
      </c>
      <c r="D16" s="0" t="n">
        <f aca="false">-D12</f>
        <v>3109.4384832</v>
      </c>
      <c r="E16" s="0" t="n">
        <f aca="false">-E12</f>
        <v>3121.725780432</v>
      </c>
      <c r="F16" s="0" t="n">
        <f aca="false">-F12</f>
        <v>3125.95862894784</v>
      </c>
      <c r="G16" s="0" t="n">
        <f aca="false">-G12</f>
        <v>3047.80966322414</v>
      </c>
      <c r="H16" s="0" t="n">
        <f aca="false">-H12</f>
        <v>2954.03090435571</v>
      </c>
      <c r="I16" s="0" t="n">
        <f aca="false">-I12</f>
        <v>2829.71543713074</v>
      </c>
      <c r="J16" s="0" t="n">
        <f aca="false">-J12</f>
        <v>2675.36732237815</v>
      </c>
      <c r="K16" s="0" t="n">
        <f aca="false">-K12</f>
        <v>2630.55491972832</v>
      </c>
      <c r="L16" s="0" t="n">
        <f aca="false">-L12</f>
        <v>2566.86780061911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-1767.269184</v>
      </c>
      <c r="D17" s="4" t="n">
        <f aca="false">-D6*Assumptions!D32/100</f>
        <v>-1805.4804096</v>
      </c>
      <c r="E17" s="4" t="n">
        <f aca="false">-E6*Assumptions!E32/100</f>
        <v>-1904.781832128</v>
      </c>
      <c r="F17" s="4" t="n">
        <f aca="false">-F6*Assumptions!F32/100</f>
        <v>-1953.7241430924</v>
      </c>
      <c r="G17" s="4" t="n">
        <f aca="false">-G6*Assumptions!G32/100</f>
        <v>-2051.41035024702</v>
      </c>
      <c r="H17" s="4" t="n">
        <f aca="false">-H6*Assumptions!H32/100</f>
        <v>-2153.98086775937</v>
      </c>
      <c r="I17" s="4" t="n">
        <f aca="false">-I6*Assumptions!I32/100</f>
        <v>-2250.91000680854</v>
      </c>
      <c r="J17" s="4" t="n">
        <f aca="false">-J6*Assumptions!J32/100</f>
        <v>-2340.94640708088</v>
      </c>
      <c r="K17" s="4" t="n">
        <f aca="false">-K6*Assumptions!K32/100</f>
        <v>-2422.87953132871</v>
      </c>
      <c r="L17" s="4" t="n">
        <f aca="false">-L6*Assumptions!L32/100</f>
        <v>-2495.56591726858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-320.8032</v>
      </c>
      <c r="D18" s="4" t="n">
        <f aca="false">(D6-C6)*Assumptions!$B$37/100</f>
        <v>-238.82016</v>
      </c>
      <c r="E18" s="4" t="n">
        <f aca="false">(E6-D6)*Assumptions!$B$37/100</f>
        <v>-275.8372848</v>
      </c>
      <c r="F18" s="4" t="n">
        <f aca="false">(F6-E6)*Assumptions!$B$37/100</f>
        <v>-291.008335464</v>
      </c>
      <c r="G18" s="4" t="n">
        <f aca="false">(G6-F6)*Assumptions!$B$37/100</f>
        <v>-279.1034490132</v>
      </c>
      <c r="H18" s="4" t="n">
        <f aca="false">(H6-G6)*Assumptions!$B$37/100</f>
        <v>-293.05862146386</v>
      </c>
      <c r="I18" s="4" t="n">
        <f aca="false">(I6-H6)*Assumptions!$B$37/100</f>
        <v>-276.940397283348</v>
      </c>
      <c r="J18" s="4" t="n">
        <f aca="false">(J6-I6)*Assumptions!$B$37/100</f>
        <v>-257.246857920977</v>
      </c>
      <c r="K18" s="4" t="n">
        <f aca="false">(K6-J6)*Assumptions!$B$37/100</f>
        <v>-234.094640708088</v>
      </c>
      <c r="L18" s="4" t="n">
        <f aca="false">(L6-K6)*Assumptions!$B$37/100</f>
        <v>-207.675388399605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7450.16598624</v>
      </c>
      <c r="D19" s="0" t="n">
        <f aca="false">D15+D16+D17+D18</f>
        <v>8053.600904592</v>
      </c>
      <c r="E19" s="0" t="n">
        <f aca="false">E15+E16+E17+E18</f>
        <v>8559.96943898376</v>
      </c>
      <c r="F19" s="0" t="n">
        <f aca="false">F15+F16+F17+F18</f>
        <v>9178.69258610486</v>
      </c>
      <c r="G19" s="0" t="n">
        <f aca="false">G15+G16+G17+G18</f>
        <v>9689.34417180429</v>
      </c>
      <c r="H19" s="0" t="n">
        <f aca="false">H15+H16+H17+H18</f>
        <v>10211.9676129091</v>
      </c>
      <c r="I19" s="0" t="n">
        <f aca="false">I15+I16+I17+I18</f>
        <v>10641.6452403146</v>
      </c>
      <c r="J19" s="0" t="n">
        <f aca="false">J15+J16+J17+J18</f>
        <v>11036.5487567662</v>
      </c>
      <c r="K19" s="0" t="n">
        <f aca="false">K15+K16+K17+K18</f>
        <v>11423.1402609385</v>
      </c>
      <c r="L19" s="0" t="n">
        <f aca="false">L15+L16+L17+L18</f>
        <v>11766.4776939551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6898.30183911111</v>
      </c>
      <c r="D21" s="0" t="n">
        <f aca="false">D19*D20</f>
        <v>6904.66469872428</v>
      </c>
      <c r="E21" s="0" t="n">
        <f aca="false">E19*E20</f>
        <v>6795.17972281264</v>
      </c>
      <c r="F21" s="0" t="n">
        <f aca="false">F19*F20</f>
        <v>6746.61306042855</v>
      </c>
      <c r="G21" s="0" t="n">
        <f aca="false">G19*G20</f>
        <v>6594.40483360692</v>
      </c>
      <c r="H21" s="0" t="n">
        <f aca="false">H19*H20</f>
        <v>6435.27182036927</v>
      </c>
      <c r="I21" s="0" t="n">
        <f aca="false">I19*I20</f>
        <v>6209.29778751055</v>
      </c>
      <c r="J21" s="0" t="n">
        <f aca="false">J19*J20</f>
        <v>5962.70388556972</v>
      </c>
      <c r="K21" s="0" t="n">
        <f aca="false">K19*K20</f>
        <v>5714.41411693226</v>
      </c>
      <c r="L21" s="0" t="n">
        <f aca="false">L19*L20</f>
        <v>5450.15584553371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63711.007610599</v>
      </c>
    </row>
    <row r="31" customFormat="false" ht="15" hidden="false" customHeight="false" outlineLevel="0" collapsed="false">
      <c r="A31" s="0" t="s">
        <v>137</v>
      </c>
      <c r="B31" s="0" t="n">
        <f aca="false">L19</f>
        <v>11766.4776939551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242389.440495476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235329.553879103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235329.553879103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109003.116910674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172714.124521273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134229.124521273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361.803570138203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-0.445520267676813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2809.76226367113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4898.50057408663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382.580558919221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100995.600206448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88.7338788102293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7.8</v>
      </c>
      <c r="D5" s="4" t="n">
        <f aca="false">Assumptions!D41</f>
        <v>7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44556</v>
      </c>
      <c r="C6" s="0" t="n">
        <f aca="false">B6*(1+C5/100)</f>
        <v>48031.368</v>
      </c>
      <c r="D6" s="0" t="n">
        <f aca="false">C6*(1+D5/100)</f>
        <v>51393.56376</v>
      </c>
      <c r="E6" s="0" t="n">
        <f aca="false">D6*(1+E5/100)</f>
        <v>54991.1132232</v>
      </c>
      <c r="F6" s="0" t="n">
        <f aca="false">E6*(1+F5/100)</f>
        <v>58840.491148824</v>
      </c>
      <c r="G6" s="0" t="n">
        <f aca="false">F6*(1+G5/100)</f>
        <v>62665.1230734976</v>
      </c>
      <c r="H6" s="0" t="n">
        <f aca="false">G6*(1+H5/100)</f>
        <v>66425.0304579074</v>
      </c>
      <c r="I6" s="0" t="n">
        <f aca="false">H6*(1+I5/100)</f>
        <v>70078.4071330923</v>
      </c>
      <c r="J6" s="0" t="n">
        <f aca="false">I6*(1+J5/100)</f>
        <v>73231.9354540815</v>
      </c>
      <c r="K6" s="0" t="n">
        <f aca="false">J6*(1+K5/100)</f>
        <v>76161.2128722447</v>
      </c>
      <c r="L6" s="0" t="n">
        <f aca="false">K6*(1+L5/100)</f>
        <v>78826.8553227733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24.8</v>
      </c>
      <c r="D7" s="4" t="n">
        <f aca="false">Assumptions!D42</f>
        <v>25.4</v>
      </c>
      <c r="E7" s="4" t="n">
        <f aca="false">Assumptions!E42</f>
        <v>26</v>
      </c>
      <c r="F7" s="4" t="n">
        <f aca="false">Assumptions!F42</f>
        <v>26.5</v>
      </c>
      <c r="G7" s="4" t="n">
        <f aca="false">Assumptions!G42</f>
        <v>27</v>
      </c>
      <c r="H7" s="4" t="n">
        <f aca="false">Assumptions!H42</f>
        <v>27.3</v>
      </c>
      <c r="I7" s="4" t="n">
        <f aca="false">Assumptions!I42</f>
        <v>27.5</v>
      </c>
      <c r="J7" s="4" t="n">
        <f aca="false">Assumptions!J42</f>
        <v>27.5</v>
      </c>
      <c r="K7" s="4" t="n">
        <f aca="false">Assumptions!K42</f>
        <v>27.5</v>
      </c>
      <c r="L7" s="4" t="n">
        <f aca="false">Assumptions!L42</f>
        <v>27.5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11911.779264</v>
      </c>
      <c r="D8" s="0" t="n">
        <f aca="false">D6*D7/100</f>
        <v>13053.96519504</v>
      </c>
      <c r="E8" s="0" t="n">
        <f aca="false">E6*E7/100</f>
        <v>14297.689438032</v>
      </c>
      <c r="F8" s="0" t="n">
        <f aca="false">F6*F7/100</f>
        <v>15592.7301544384</v>
      </c>
      <c r="G8" s="0" t="n">
        <f aca="false">G6*G7/100</f>
        <v>16919.5832298443</v>
      </c>
      <c r="H8" s="0" t="n">
        <f aca="false">H6*H7/100</f>
        <v>18134.0333150087</v>
      </c>
      <c r="I8" s="0" t="n">
        <f aca="false">I6*I7/100</f>
        <v>19271.5619616004</v>
      </c>
      <c r="J8" s="0" t="n">
        <f aca="false">J6*J7/100</f>
        <v>20138.7822498724</v>
      </c>
      <c r="K8" s="0" t="n">
        <f aca="false">K6*K7/100</f>
        <v>20944.3335398673</v>
      </c>
      <c r="L8" s="0" t="n">
        <f aca="false">L6*L7/100</f>
        <v>21677.3852137627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0.72</v>
      </c>
      <c r="D9" s="4" t="n">
        <f aca="false">Assumptions!D43</f>
        <v>0.72</v>
      </c>
      <c r="E9" s="4" t="n">
        <f aca="false">Assumptions!E43</f>
        <v>0.72</v>
      </c>
      <c r="F9" s="4" t="n">
        <f aca="false">Assumptions!F43</f>
        <v>0.72</v>
      </c>
      <c r="G9" s="4" t="n">
        <f aca="false">Assumptions!G43</f>
        <v>0.72</v>
      </c>
      <c r="H9" s="4" t="n">
        <f aca="false">Assumptions!H43</f>
        <v>0.72</v>
      </c>
      <c r="I9" s="4" t="n">
        <f aca="false">Assumptions!I43</f>
        <v>0.72</v>
      </c>
      <c r="J9" s="4" t="n">
        <f aca="false">Assumptions!J43</f>
        <v>0.72</v>
      </c>
      <c r="K9" s="4" t="n">
        <f aca="false">Assumptions!K43</f>
        <v>0.72</v>
      </c>
      <c r="L9" s="4" t="n">
        <f aca="false">Assumptions!L43</f>
        <v>0.72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-345.8258496</v>
      </c>
      <c r="D10" s="0" t="n">
        <f aca="false">-D6*D9/100</f>
        <v>-370.033659072</v>
      </c>
      <c r="E10" s="0" t="n">
        <f aca="false">-E6*E9/100</f>
        <v>-395.93601520704</v>
      </c>
      <c r="F10" s="0" t="n">
        <f aca="false">-F6*F9/100</f>
        <v>-423.651536271533</v>
      </c>
      <c r="G10" s="0" t="n">
        <f aca="false">-G6*G9/100</f>
        <v>-451.188886129183</v>
      </c>
      <c r="H10" s="0" t="n">
        <f aca="false">-H6*H9/100</f>
        <v>-478.260219296934</v>
      </c>
      <c r="I10" s="0" t="n">
        <f aca="false">-I6*I9/100</f>
        <v>-504.564531358265</v>
      </c>
      <c r="J10" s="0" t="n">
        <f aca="false">-J6*J9/100</f>
        <v>-527.269935269387</v>
      </c>
      <c r="K10" s="0" t="n">
        <f aca="false">-K6*K9/100</f>
        <v>-548.360732680162</v>
      </c>
      <c r="L10" s="0" t="n">
        <f aca="false">-L6*L9/100</f>
        <v>-567.553358323968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11565.9534144</v>
      </c>
      <c r="D11" s="0" t="n">
        <f aca="false">D8+D10+D24</f>
        <v>12683.931535968</v>
      </c>
      <c r="E11" s="0" t="n">
        <f aca="false">E8+E10+E24</f>
        <v>13901.753422825</v>
      </c>
      <c r="F11" s="0" t="n">
        <f aca="false">F8+F10+F24</f>
        <v>15169.0786181668</v>
      </c>
      <c r="G11" s="0" t="n">
        <f aca="false">G8+G10+G24</f>
        <v>16468.3943437152</v>
      </c>
      <c r="H11" s="0" t="n">
        <f aca="false">H8+H10+H24</f>
        <v>17655.7730957118</v>
      </c>
      <c r="I11" s="0" t="n">
        <f aca="false">I8+I10+I24</f>
        <v>18766.9974302421</v>
      </c>
      <c r="J11" s="0" t="n">
        <f aca="false">J8+J10+J24</f>
        <v>19611.512314603</v>
      </c>
      <c r="K11" s="0" t="n">
        <f aca="false">K8+K10+K24</f>
        <v>20395.9728071871</v>
      </c>
      <c r="L11" s="0" t="n">
        <f aca="false">L8+L10+L24</f>
        <v>21109.8318554387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-3122.03892</v>
      </c>
      <c r="D12" s="4" t="n">
        <f aca="false">-D6*Assumptions!D45/100</f>
        <v>-3186.40095312</v>
      </c>
      <c r="E12" s="4" t="n">
        <f aca="false">-E6*Assumptions!E45/100</f>
        <v>-3244.4756801688</v>
      </c>
      <c r="F12" s="4" t="n">
        <f aca="false">-F6*Assumptions!F45/100</f>
        <v>-3295.06750433414</v>
      </c>
      <c r="G12" s="4" t="n">
        <f aca="false">-G6*Assumptions!G45/100</f>
        <v>-3258.58639982187</v>
      </c>
      <c r="H12" s="4" t="n">
        <f aca="false">-H6*Assumptions!H45/100</f>
        <v>-3188.40146197956</v>
      </c>
      <c r="I12" s="4" t="n">
        <f aca="false">-I6*Assumptions!I45/100</f>
        <v>-3083.44991385606</v>
      </c>
      <c r="J12" s="4" t="n">
        <f aca="false">-J6*Assumptions!J45/100</f>
        <v>-2929.27741816326</v>
      </c>
      <c r="K12" s="4" t="n">
        <f aca="false">-K6*Assumptions!K45/100</f>
        <v>-2894.1260891453</v>
      </c>
      <c r="L12" s="4" t="n">
        <f aca="false">-L6*Assumptions!L45/100</f>
        <v>-2837.76679161984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8443.9144944</v>
      </c>
      <c r="D13" s="0" t="n">
        <f aca="false">D11+D12</f>
        <v>9497.530582848</v>
      </c>
      <c r="E13" s="0" t="n">
        <f aca="false">E11+E12</f>
        <v>10657.2777426562</v>
      </c>
      <c r="F13" s="0" t="n">
        <f aca="false">F11+F12</f>
        <v>11874.0111138327</v>
      </c>
      <c r="G13" s="0" t="n">
        <f aca="false">G11+G12</f>
        <v>13209.8079438933</v>
      </c>
      <c r="H13" s="0" t="n">
        <f aca="false">H11+H12</f>
        <v>14467.3716337322</v>
      </c>
      <c r="I13" s="0" t="n">
        <f aca="false">I11+I12</f>
        <v>15683.5475163861</v>
      </c>
      <c r="J13" s="0" t="n">
        <f aca="false">J11+J12</f>
        <v>16682.2348964398</v>
      </c>
      <c r="K13" s="0" t="n">
        <f aca="false">K11+K12</f>
        <v>17501.8467180418</v>
      </c>
      <c r="L13" s="0" t="n">
        <f aca="false">L11+L12</f>
        <v>18272.0650638189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22.5</v>
      </c>
      <c r="D14" s="4" t="n">
        <f aca="false">Assumptions!D47</f>
        <v>22.5</v>
      </c>
      <c r="E14" s="4" t="n">
        <f aca="false">Assumptions!E47</f>
        <v>22.5</v>
      </c>
      <c r="F14" s="4" t="n">
        <f aca="false">Assumptions!F47</f>
        <v>22.5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6544.03373316</v>
      </c>
      <c r="D15" s="0" t="n">
        <f aca="false">D13-MAX(0,D13)*D14/100</f>
        <v>7360.5862017072</v>
      </c>
      <c r="E15" s="0" t="n">
        <f aca="false">E13-MAX(0,E13)*E14/100</f>
        <v>8259.39025055853</v>
      </c>
      <c r="F15" s="0" t="n">
        <f aca="false">F13-MAX(0,F13)*F14/100</f>
        <v>9202.35861322033</v>
      </c>
      <c r="G15" s="0" t="n">
        <f aca="false">G13-MAX(0,G13)*G14/100</f>
        <v>10171.5521167978</v>
      </c>
      <c r="H15" s="0" t="n">
        <f aca="false">H13-MAX(0,H13)*H14/100</f>
        <v>11139.8761579738</v>
      </c>
      <c r="I15" s="0" t="n">
        <f aca="false">I13-MAX(0,I13)*I14/100</f>
        <v>12076.3315876173</v>
      </c>
      <c r="J15" s="0" t="n">
        <f aca="false">J13-MAX(0,J13)*J14/100</f>
        <v>12845.3208702586</v>
      </c>
      <c r="K15" s="0" t="n">
        <f aca="false">K13-MAX(0,K13)*K14/100</f>
        <v>13476.4219728922</v>
      </c>
      <c r="L15" s="0" t="n">
        <f aca="false">L13-MAX(0,L13)*L14/100</f>
        <v>14069.4900991405</v>
      </c>
    </row>
    <row r="16" customFormat="false" ht="15" hidden="false" customHeight="false" outlineLevel="0" collapsed="false">
      <c r="A16" s="0" t="s">
        <v>128</v>
      </c>
      <c r="C16" s="0" t="n">
        <f aca="false">-C12</f>
        <v>3122.03892</v>
      </c>
      <c r="D16" s="0" t="n">
        <f aca="false">-D12</f>
        <v>3186.40095312</v>
      </c>
      <c r="E16" s="0" t="n">
        <f aca="false">-E12</f>
        <v>3244.4756801688</v>
      </c>
      <c r="F16" s="0" t="n">
        <f aca="false">-F12</f>
        <v>3295.06750433414</v>
      </c>
      <c r="G16" s="0" t="n">
        <f aca="false">-G12</f>
        <v>3258.58639982187</v>
      </c>
      <c r="H16" s="0" t="n">
        <f aca="false">-H12</f>
        <v>3188.40146197956</v>
      </c>
      <c r="I16" s="0" t="n">
        <f aca="false">-I12</f>
        <v>3083.44991385606</v>
      </c>
      <c r="J16" s="0" t="n">
        <f aca="false">-J12</f>
        <v>2929.27741816326</v>
      </c>
      <c r="K16" s="0" t="n">
        <f aca="false">-K12</f>
        <v>2894.1260891453</v>
      </c>
      <c r="L16" s="0" t="n">
        <f aca="false">-L12</f>
        <v>2837.76679161984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-1777.160616</v>
      </c>
      <c r="D17" s="4" t="n">
        <f aca="false">-D6*Assumptions!D46/100</f>
        <v>-1850.16829536</v>
      </c>
      <c r="E17" s="4" t="n">
        <f aca="false">-E6*Assumptions!E46/100</f>
        <v>-1979.6800760352</v>
      </c>
      <c r="F17" s="4" t="n">
        <f aca="false">-F6*Assumptions!F46/100</f>
        <v>-2059.41719020884</v>
      </c>
      <c r="G17" s="4" t="n">
        <f aca="false">-G6*Assumptions!G46/100</f>
        <v>-2193.27930757242</v>
      </c>
      <c r="H17" s="4" t="n">
        <f aca="false">-H6*Assumptions!H46/100</f>
        <v>-2324.87606602676</v>
      </c>
      <c r="I17" s="4" t="n">
        <f aca="false">-I6*Assumptions!I46/100</f>
        <v>-2452.74424965823</v>
      </c>
      <c r="J17" s="4" t="n">
        <f aca="false">-J6*Assumptions!J46/100</f>
        <v>-2563.11774089285</v>
      </c>
      <c r="K17" s="4" t="n">
        <f aca="false">-K6*Assumptions!K46/100</f>
        <v>-2665.64245052857</v>
      </c>
      <c r="L17" s="4" t="n">
        <f aca="false">-L6*Assumptions!L46/100</f>
        <v>-2758.93993629707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-347.5368</v>
      </c>
      <c r="D18" s="4" t="n">
        <f aca="false">(D6-C6)*Assumptions!$B$51/100</f>
        <v>-336.219576</v>
      </c>
      <c r="E18" s="4" t="n">
        <f aca="false">(E6-D6)*Assumptions!$B$51/100</f>
        <v>-359.75494632</v>
      </c>
      <c r="F18" s="4" t="n">
        <f aca="false">(F6-E6)*Assumptions!$B$51/100</f>
        <v>-384.9377925624</v>
      </c>
      <c r="G18" s="4" t="n">
        <f aca="false">(G6-F6)*Assumptions!$B$51/100</f>
        <v>-382.463192467356</v>
      </c>
      <c r="H18" s="4" t="n">
        <f aca="false">(H6-G6)*Assumptions!$B$51/100</f>
        <v>-375.990738440986</v>
      </c>
      <c r="I18" s="4" t="n">
        <f aca="false">(I6-H6)*Assumptions!$B$51/100</f>
        <v>-365.33766751849</v>
      </c>
      <c r="J18" s="4" t="n">
        <f aca="false">(J6-I6)*Assumptions!$B$51/100</f>
        <v>-315.352832098915</v>
      </c>
      <c r="K18" s="4" t="n">
        <f aca="false">(K6-J6)*Assumptions!$B$51/100</f>
        <v>-292.927741816326</v>
      </c>
      <c r="L18" s="4" t="n">
        <f aca="false">(L6-K6)*Assumptions!$B$51/100</f>
        <v>-266.564245052855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7541.37523716</v>
      </c>
      <c r="D19" s="0" t="n">
        <f aca="false">D15+D16+D17+D18</f>
        <v>8360.5992834672</v>
      </c>
      <c r="E19" s="0" t="n">
        <f aca="false">E15+E16+E17+E18</f>
        <v>9164.43090837213</v>
      </c>
      <c r="F19" s="0" t="n">
        <f aca="false">F15+F16+F17+F18</f>
        <v>10053.0711347832</v>
      </c>
      <c r="G19" s="0" t="n">
        <f aca="false">G15+G16+G17+G18</f>
        <v>10854.3960165799</v>
      </c>
      <c r="H19" s="0" t="n">
        <f aca="false">H15+H16+H17+H18</f>
        <v>11627.4108154856</v>
      </c>
      <c r="I19" s="0" t="n">
        <f aca="false">I15+I16+I17+I18</f>
        <v>12341.6995842966</v>
      </c>
      <c r="J19" s="0" t="n">
        <f aca="false">J15+J16+J17+J18</f>
        <v>12896.1277154301</v>
      </c>
      <c r="K19" s="0" t="n">
        <f aca="false">K15+K16+K17+K18</f>
        <v>13411.9778696926</v>
      </c>
      <c r="L19" s="0" t="n">
        <f aca="false">L15+L16+L17+L18</f>
        <v>13881.7527094104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6982.75484922222</v>
      </c>
      <c r="D21" s="0" t="n">
        <f aca="false">D19*D20</f>
        <v>7167.8663267037</v>
      </c>
      <c r="E21" s="0" t="n">
        <f aca="false">E19*E20</f>
        <v>7275.02072566755</v>
      </c>
      <c r="F21" s="0" t="n">
        <f aca="false">F19*F20</f>
        <v>7389.307396352</v>
      </c>
      <c r="G21" s="0" t="n">
        <f aca="false">G19*G20</f>
        <v>7387.31954283441</v>
      </c>
      <c r="H21" s="0" t="n">
        <f aca="false">H19*H20</f>
        <v>7327.24113521116</v>
      </c>
      <c r="I21" s="0" t="n">
        <f aca="false">I19*I20</f>
        <v>7201.26316864774</v>
      </c>
      <c r="J21" s="0" t="n">
        <f aca="false">J19*J20</f>
        <v>6967.37653521044</v>
      </c>
      <c r="K21" s="0" t="n">
        <f aca="false">K19*K20</f>
        <v>6709.32807650372</v>
      </c>
      <c r="L21" s="0" t="n">
        <f aca="false">L19*L20</f>
        <v>6429.93745820083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70837.4152145538</v>
      </c>
    </row>
    <row r="31" customFormat="false" ht="15" hidden="false" customHeight="false" outlineLevel="0" collapsed="false">
      <c r="A31" s="0" t="s">
        <v>137</v>
      </c>
      <c r="B31" s="0" t="n">
        <f aca="false">L19</f>
        <v>13881.7527094104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285964.105813855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277635.054188209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277635.054188209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128598.749164017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199436.16437857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160951.16437857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433.830631748168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-0.335135658077013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2988.09328732294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5415.47260615486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456.481752754847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119151.710755773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113.594074012705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246.064804439593</v>
      </c>
      <c r="C4" s="0" t="n">
        <f aca="false">B4/Assumptions!$B$2-1</f>
        <v>-0.622894967985789</v>
      </c>
      <c r="D4" s="4" t="n">
        <f aca="false">Assumptions!$B$24</f>
        <v>0.2</v>
      </c>
      <c r="E4" s="4" t="n">
        <f aca="false">DCF_Bear!$B$43</f>
        <v>263.32500021146</v>
      </c>
      <c r="F4" s="4" t="n">
        <f aca="false">DCF_Bear!$B$47</f>
        <v>53.3995761246759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361.803570138203</v>
      </c>
      <c r="C5" s="0" t="n">
        <f aca="false">B5/Assumptions!$B$2-1</f>
        <v>-0.445520267676813</v>
      </c>
      <c r="D5" s="4" t="n">
        <f aca="false">Assumptions!$B$38</f>
        <v>0.5</v>
      </c>
      <c r="E5" s="4" t="n">
        <f aca="false">DCF_Base!$B$43</f>
        <v>382.580558919221</v>
      </c>
      <c r="F5" s="4" t="n">
        <f aca="false">DCF_Base!$B$47</f>
        <v>88.7338788102293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433.830631748168</v>
      </c>
      <c r="C6" s="0" t="n">
        <f aca="false">B6/Assumptions!$B$2-1</f>
        <v>-0.335135658077013</v>
      </c>
      <c r="D6" s="4" t="n">
        <f aca="false">Assumptions!$B$52</f>
        <v>0.3</v>
      </c>
      <c r="E6" s="4" t="n">
        <f aca="false">DCF_Bull!$B$43</f>
        <v>456.481752754847</v>
      </c>
      <c r="F6" s="4" t="n">
        <f aca="false">DCF_Bull!$B$47</f>
        <v>113.594074012705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360.26393548147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380.899805328357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-0.811199889125624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1416.20424380913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89.1250768338615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361.803570138203</v>
      </c>
      <c r="C15" s="3" t="n">
        <v>8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289.866915344744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232.254740604299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189.100730112034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155.582567415397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88.7338788102293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440.29205328686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440.29205328686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440.29205328686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440.29205328686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440.29205328686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399.164355631165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399.164355631165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399.164355631165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399.164355631165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399.164355631165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317.732229069197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341.771142379564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361.803570138203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361.803570138203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361.803570138203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255.098508225274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271.145465357337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289.866915344744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311.992265329861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327.825084585267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208.235992208846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219.444741460057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232.254740604299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247.035508847654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264.279738464903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2026-10-02T09:38:01Z</dcterms:created>
  <dc:creator>openpyxl</dc:creator>
  <dc:description/>
  <dc:language>en-NZ</dc:language>
  <cp:lastModifiedBy/>
  <dcterms:modified xsi:type="dcterms:W3CDTF">2026-10-02T09:38:01Z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