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<sst xmlns="http://schemas.openxmlformats.org/spreadsheetml/2006/main" count="363" uniqueCount="168">
  <si>
    <t xml:space="preserve">Ticker</t>
  </si>
  <si>
    <t xml:space="preserve">ERIC</t>
  </si>
  <si>
    <t xml:space="preserve">Company</t>
  </si>
  <si>
    <t xml:space="preserve">Telefonaktiebolaget LM Ericsson</t>
  </si>
  <si>
    <t xml:space="preserve">Valuation date</t>
  </si>
  <si>
    <t xml:space="preserve">2026-10-04</t>
  </si>
  <si>
    <t xml:space="preserve">Current price</t>
  </si>
  <si>
    <t xml:space="preserve">Price as of</t>
  </si>
  <si>
    <t xml:space="preserve">2026-10-02T20:00:01Z regular close (Yahoo Finance chart API)</t>
  </si>
  <si>
    <t xml:space="preserve">Balance sheet date</t>
  </si>
  <si>
    <t xml:space="preserve">2026-06-30</t>
  </si>
  <si>
    <t xml:space="preserve">Model</t>
  </si>
  <si>
    <t xml:space="preserve">owner_fcf_dcf_component</t>
  </si>
  <si>
    <t xml:space="preserve">Currency (model)</t>
  </si>
  <si>
    <t xml:space="preserve">SEK</t>
  </si>
  <si>
    <t xml:space="preserve">Currency (quote)</t>
  </si>
  <si>
    <t xml:space="preserve">USD</t>
  </si>
  <si>
    <t xml:space="preserve">Units</t>
  </si>
  <si>
    <t xml:space="preserve">millions</t>
  </si>
  <si>
    <t xml:space="preserve">Engine</t>
  </si>
  <si>
    <t xml:space="preserve">dcf_engine v1</t>
  </si>
  <si>
    <t xml:space="preserve">Built at</t>
  </si>
  <si>
    <t xml:space="preserve">2026-10-03T22:10:21Z</t>
  </si>
  <si>
    <t xml:space="preserve">Drivers file</t>
  </si>
  <si>
    <t xml:space="preserve">ERIC_Drivers.json</t>
  </si>
  <si>
    <t xml:space="preserve">Convention</t>
  </si>
  <si>
    <t xml:space="preserve">Percents stored as percents; formulas divide by 100. Blue = input, green = link, black = formula.</t>
  </si>
  <si>
    <t xml:space="preserve">Methodology</t>
  </si>
  <si>
    <t xml:space="preserve">summary: Ericsson is a cyclical, ex-growth duopolist in Western RAN with a large net-cash balance and a high-margin patent stream. It is valued on SEK owner FCF built from components (adjusted EBITA + non-acquired D&amp;A, less normal restructuring and lease cash, less cash tax and capex), discounted at a SEK 9% rate with risk charged in the scenario flows. The terminal value is capped at 10-14x FCF because a business whose revenue has not grown in a decade should not be capitalised at a growth multiple. Pension deficit, the October dividend tranche and post-balance-sheet buyback cash are deducted so the per-share value reflects claims ahead of the ADS holder.
key_risks_to_valuation: Memory/DRAM and custom-silicon inflation not passed through (Networks gross margin guide already down ~100bp for Q3-26); Flat global RAN market into 2027 and North America decline after share-gain years; USD/SEK at a 52-week high (10.04): SEK strength reverses the year-1 translation tailwind and cuts the USD value of SEK flows one-for-one; Enterprise/Vonage continues to lose money; further impairment; DOJ Iraq investigation (unprovisioned) and the FCPA compliance legacy; Pension liability sensitivity to Swedish government bond yields (SEK 18.0bn IFRS vs 9.9bn on covered-bond basis)</t>
  </si>
  <si>
    <t xml:space="preserve">Data sources</t>
  </si>
  <si>
    <t xml:space="preserve">price: Yahoo Finance chart API (ERIC) at inputs.price_as_of; 52-week range 8.12-13.77 USD. FX from Yahoo SEK=X; parity against ERIC-B.ST.
financials: ERIC_Metrics.csv / ERIC.duckdb (FY2015-FY2025, SEK millions; FY2025 from SEC XBRL companyfacts); Q2-2026 interim report (6-K exhibit a26q2report.htm, accession 0001628280-26-048088, filed 2026-07-14) for the TTM P&amp;L, cash-flow and 2026-06-30 balance sheet; share-buyback 6-K accession 0001628280-26-063680 (filed 2026-09-28) for treasury shares at 2026-09-25.
qualitative: ERIC_Analysis.json (2026-10-04): Q2-26 guidance, Morgan Stanley Sept-26 downgrade, CEO transition 2026-10-01.</t>
  </si>
  <si>
    <t xml:space="preserve">Scenario narrative: bear</t>
  </si>
  <si>
    <t xml:space="preserve">Memory and custom-chip inflation persists and is not passed through to operators, who stay capital-disciplined into a long post-5G air pocket; North America declines further, India stays paused and Huawei takes open markets on price, while the new CEO restructures again and Enterprise keeps losing money. Revenue falls ~5% over two years and adjusted EBITA settles back at the FY2023-24 run-rate of ~12.5%. Further tail risks (DOJ Iraq investigation, a further Vonage write-down) are not in the flows.</t>
  </si>
  <si>
    <t xml:space="preserve">Scenario narrative: base</t>
  </si>
  <si>
    <t xml:space="preserve">The global RAN market stays flat through 2027 (Dell'Oro) and North America digests the AT&amp;T-led share gains, so organic sales are roughly flat and reported growth in year 1 comes from the weak krona. AI-driven DRAM/custom-silicon inflation compresses Networks gross margin into 2027 (Q3-26 guide 48-50%) before cost actions and the structural price increases management is negotiating restore adjusted EBITA to ~15%, the low end of the 15-18% target. IPR holds its ~SEK 13.5bn recurring base, Enterprise/Vonage stabilises but contributes little, and a 5G-SA/uplink then early-6G cycle around 2029-30 gives 2.5-3% growth before fading to 2%. The SEK 59.8bn net cash funds the SEK 15bn buyback and SEK 3/share dividend without stretching the balance sheet.</t>
  </si>
  <si>
    <t xml:space="preserve">Scenario narrative: bull</t>
  </si>
  <si>
    <t xml:space="preserve">AI traffic moving to the edge (uplink, 5G SA, FWA past 160m subscribers) triggers a genuine operator capex upturn from 2028 and an early 6G cycle; Ericsson keeps its trusted-vendor share in the West as Huawei exclusions widen, IPR licensing grows beyond SEK 13.5bn with new smartphone and IoT licensees, memory inflation is fully passed through, and Enterprise reaches break-even. Adjusted EBITA reaches ~17% and revenue compounds 4-5% for five years.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</si>
  <si>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</si>
  <si>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</si>
  <si>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</si>
  <si>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</si>
  <si>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</si>
  <si>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</si>
  <si>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</si>
  <si>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</si>
  <si>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</si>
  <si>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</si>
  <si>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</si>
  <si>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</si>
  <si>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</si>
  <si>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</si>
  <si>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</si>
  <si>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</si>
  <si>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</si>
  <si>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</si>
  <si>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</si>
  <si>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</si>
  <si>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</si>
  <si>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</si>
  <si>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</si>
  <si>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</si>
  <si>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</si>
  <si>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</si>
  <si>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</si>
  <si>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LeasePrincipalPaid</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</si>
  <si>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</si>
  <si>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</si>
  <si>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</si>
  <si>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</si>
  <si>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</si>
  <si>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</si>
  <si>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</si>
  <si>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</si>
  <si>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</si>
  <si>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</si>
  <si>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</si>
  <si>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</si>
  <si>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</si>
  <si>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</si>
  <si>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</si>
  <si>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</si>
  <si>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</si>
  <si>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</si>
  <si>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</si>
  <si>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</si>
  <si>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 (Q3-25..Q2-26)</t>
  </si>
  <si>
    <t xml:space="preserve">Currency / units</t>
  </si>
  <si>
    <t xml:space="preserve">SEK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</si>
  <si>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</si>
  <si>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</si>
  <si>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</si>
  <si>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</si>
  <si>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</si>
  <si>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</si>
  <si>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</si>
  <si>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</si>
  <si>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</si>
  <si>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</si>
  <si>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</si>
  <si>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</si>
  <si>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</si>
  <si>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</si>
  <si>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</si>
  <si>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</si>
  <si>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</si>
  <si>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</si>
  <si>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</si>
  <si>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</si>
  <si>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</si>
  <si>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</si>
  <si>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</si>
  <si>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</si>
  <si>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</si>
  <si>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</si>
  <si>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ERIC owner-FCF component DCF: bear case (millions, SEK)</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</si>
  <si>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</si>
  <si>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</si>
  <si>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</si>
  <si>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</si>
  <si>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</si>
  <si>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</si>
  <si>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</si>
  <si>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</si>
  <si>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</si>
  <si>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</si>
  <si>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</si>
  <si>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</si>
  <si>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</si>
  <si>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</si>
  <si>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</si>
  <si>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</si>
  <si>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</si>
  <si>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</si>
  <si>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</si>
  <si>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</si>
  <si>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</si>
  <si>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</si>
  <si>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</si>
  <si>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</si>
  <si>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</si>
  <si>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</si>
  <si>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</si>
  <si>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</si>
  <si>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</si>
  <si>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</si>
  <si>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ERIC owner-FCF component DCF: base case (millions, SEK)</t>
  </si>
  <si>
    <t xml:space="preserve">ERIC owner-FCF component DCF: bull case (millions, SEK)</t>
  </si>
  <si>
    <t xml:space="preserve">ERIC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</si>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</sst>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9.29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246920</v>
      </c>
      <c r="C2" s="0" t="n">
        <v>-161101</v>
      </c>
      <c r="D2" s="0" t="n">
        <v>85819</v>
      </c>
      <c r="E2" s="0" t="n">
        <v>34.7558</v>
      </c>
      <c r="F2" s="0" t="n">
        <v>21805</v>
      </c>
      <c r="G2" s="0" t="n">
        <v>8.8308</v>
      </c>
      <c r="H2" s="0" t="n">
        <v>32011</v>
      </c>
      <c r="I2" s="0" t="n">
        <v>13673</v>
      </c>
      <c r="J2" s="0" t="n">
        <v>5.5374</v>
      </c>
      <c r="K2" s="0" t="n">
        <v>4.13</v>
      </c>
      <c r="L2" s="0" t="n">
        <v>20597</v>
      </c>
      <c r="M2" s="0" t="n">
        <v>11640</v>
      </c>
      <c r="N2" s="0" t="n">
        <v>8957</v>
      </c>
      <c r="O2" s="0" t="n">
        <v>146525</v>
      </c>
      <c r="P2" s="0" t="n">
        <v>284363</v>
      </c>
      <c r="Q2" s="0" t="n">
        <v>136997</v>
      </c>
      <c r="R2" s="0" t="n">
        <v>25120</v>
      </c>
      <c r="S2" s="0" t="n">
        <v>66270</v>
      </c>
      <c r="T2" s="0" t="n">
        <v>3282</v>
      </c>
      <c r="U2" s="0" t="n">
        <v>865</v>
      </c>
      <c r="AA2" s="0" t="s">
        <v>18</v>
      </c>
      <c r="AB2" s="0" t="s">
        <v>14</v>
      </c>
    </row>
    <row r="3" customFormat="false" ht="15" hidden="false" customHeight="false" outlineLevel="0" collapsed="false">
      <c r="A3" s="0" t="s">
        <v>66</v>
      </c>
      <c r="B3" s="0" t="n">
        <v>222608</v>
      </c>
      <c r="C3" s="0" t="n">
        <v>-156243</v>
      </c>
      <c r="D3" s="0" t="n">
        <v>66365</v>
      </c>
      <c r="E3" s="0" t="n">
        <v>29.8125</v>
      </c>
      <c r="F3" s="0" t="n">
        <v>6299</v>
      </c>
      <c r="G3" s="0" t="n">
        <v>2.8296</v>
      </c>
      <c r="H3" s="0" t="n">
        <v>15418</v>
      </c>
      <c r="I3" s="0" t="n">
        <v>1895</v>
      </c>
      <c r="J3" s="0" t="n">
        <v>0.8513</v>
      </c>
      <c r="K3" s="0" t="n">
        <v>0.52</v>
      </c>
      <c r="L3" s="0" t="n">
        <v>14010</v>
      </c>
      <c r="M3" s="0" t="n">
        <v>10612</v>
      </c>
      <c r="N3" s="0" t="n">
        <v>3398</v>
      </c>
      <c r="O3" s="0" t="n">
        <v>139817</v>
      </c>
      <c r="P3" s="0" t="n">
        <v>283347</v>
      </c>
      <c r="Q3" s="0" t="n">
        <v>142855</v>
      </c>
      <c r="R3" s="0" t="n">
        <v>26686</v>
      </c>
      <c r="S3" s="0" t="n">
        <v>50291</v>
      </c>
      <c r="T3" s="0" t="n">
        <v>3303</v>
      </c>
      <c r="U3" s="0" t="n">
        <v>957</v>
      </c>
      <c r="AA3" s="0" t="s">
        <v>18</v>
      </c>
      <c r="AB3" s="0" t="s">
        <v>14</v>
      </c>
    </row>
    <row r="4" customFormat="false" ht="15" hidden="false" customHeight="false" outlineLevel="0" collapsed="false">
      <c r="A4" s="0" t="s">
        <v>67</v>
      </c>
      <c r="B4" s="0" t="n">
        <v>201303</v>
      </c>
      <c r="C4" s="0" t="n">
        <v>-156758</v>
      </c>
      <c r="D4" s="0" t="n">
        <v>44545</v>
      </c>
      <c r="E4" s="0" t="n">
        <v>22.1283</v>
      </c>
      <c r="F4" s="0" t="n">
        <v>-38126</v>
      </c>
      <c r="G4" s="0" t="n">
        <v>-18.9396</v>
      </c>
      <c r="H4" s="0" t="n">
        <v>-10234</v>
      </c>
      <c r="I4" s="0" t="n">
        <v>-35063</v>
      </c>
      <c r="J4" s="0" t="n">
        <v>-17.418</v>
      </c>
      <c r="K4" s="0" t="n">
        <v>-10.61</v>
      </c>
      <c r="L4" s="0" t="n">
        <v>9601</v>
      </c>
      <c r="M4" s="0" t="n">
        <v>5321</v>
      </c>
      <c r="N4" s="0" t="n">
        <v>4280</v>
      </c>
      <c r="O4" s="0" t="n">
        <v>99540</v>
      </c>
      <c r="P4" s="0" t="n">
        <v>260544</v>
      </c>
      <c r="Q4" s="0" t="n">
        <v>160368</v>
      </c>
      <c r="R4" s="0" t="n">
        <v>33045</v>
      </c>
      <c r="S4" s="0" t="n">
        <v>67702</v>
      </c>
      <c r="T4" s="0" t="n">
        <v>3277</v>
      </c>
      <c r="U4" s="0" t="n">
        <v>885</v>
      </c>
      <c r="AA4" s="0" t="s">
        <v>18</v>
      </c>
      <c r="AB4" s="0" t="s">
        <v>14</v>
      </c>
    </row>
    <row r="5" customFormat="false" ht="15" hidden="false" customHeight="false" outlineLevel="0" collapsed="false">
      <c r="A5" s="0" t="s">
        <v>68</v>
      </c>
      <c r="B5" s="0" t="n">
        <v>210838</v>
      </c>
      <c r="C5" s="0" t="n">
        <v>-142638</v>
      </c>
      <c r="D5" s="0" t="n">
        <v>68200</v>
      </c>
      <c r="E5" s="0" t="n">
        <v>32.3471</v>
      </c>
      <c r="F5" s="0" t="n">
        <v>1242</v>
      </c>
      <c r="G5" s="0" t="n">
        <v>0.5891</v>
      </c>
      <c r="H5" s="0" t="n">
        <v>9560</v>
      </c>
      <c r="I5" s="0" t="n">
        <v>-6276</v>
      </c>
      <c r="J5" s="0" t="n">
        <v>-2.9767</v>
      </c>
      <c r="K5" s="0" t="n">
        <v>-1.98</v>
      </c>
      <c r="L5" s="0" t="n">
        <v>9342</v>
      </c>
      <c r="M5" s="0" t="n">
        <v>4900</v>
      </c>
      <c r="N5" s="0" t="n">
        <v>4442</v>
      </c>
      <c r="O5" s="0" t="n">
        <v>86978</v>
      </c>
      <c r="P5" s="0" t="n">
        <v>268761</v>
      </c>
      <c r="Q5" s="0" t="n">
        <v>180991</v>
      </c>
      <c r="R5" s="0" t="n">
        <v>33125</v>
      </c>
      <c r="S5" s="0" t="n">
        <v>68996</v>
      </c>
      <c r="T5" s="0" t="n">
        <v>3291</v>
      </c>
      <c r="U5" s="0" t="n">
        <v>677</v>
      </c>
      <c r="AA5" s="0" t="s">
        <v>18</v>
      </c>
      <c r="AB5" s="0" t="s">
        <v>14</v>
      </c>
    </row>
    <row r="6" customFormat="false" ht="15" hidden="false" customHeight="false" outlineLevel="0" collapsed="false">
      <c r="A6" s="0" t="s">
        <v>69</v>
      </c>
      <c r="B6" s="0" t="n">
        <v>227216</v>
      </c>
      <c r="C6" s="0" t="n">
        <v>-142392</v>
      </c>
      <c r="D6" s="0" t="n">
        <v>84824</v>
      </c>
      <c r="E6" s="0" t="n">
        <v>37.3319</v>
      </c>
      <c r="F6" s="0" t="n">
        <v>10564</v>
      </c>
      <c r="G6" s="0" t="n">
        <v>4.6493</v>
      </c>
      <c r="H6" s="0" t="n">
        <v>19653</v>
      </c>
      <c r="I6" s="0" t="n">
        <v>1840</v>
      </c>
      <c r="J6" s="0" t="n">
        <v>0.8098</v>
      </c>
      <c r="K6" s="0" t="n">
        <v>0.67</v>
      </c>
      <c r="L6" s="0" t="n">
        <v>16873</v>
      </c>
      <c r="M6" s="0" t="n">
        <v>6663</v>
      </c>
      <c r="N6" s="0" t="n">
        <v>10210</v>
      </c>
      <c r="O6" s="0" t="n">
        <v>82559</v>
      </c>
      <c r="P6" s="0" t="n">
        <v>276383</v>
      </c>
      <c r="Q6" s="0" t="n">
        <v>194505</v>
      </c>
      <c r="R6" s="0" t="n">
        <v>37696</v>
      </c>
      <c r="S6" s="0" t="n">
        <v>72192</v>
      </c>
      <c r="T6" s="0" t="n">
        <v>3320</v>
      </c>
      <c r="U6" s="0" t="n">
        <v>377</v>
      </c>
      <c r="AA6" s="0" t="s">
        <v>18</v>
      </c>
      <c r="AB6" s="0" t="s">
        <v>14</v>
      </c>
    </row>
    <row r="7" customFormat="false" ht="15" hidden="false" customHeight="false" outlineLevel="0" collapsed="false">
      <c r="A7" s="0" t="s">
        <v>70</v>
      </c>
      <c r="B7" s="0" t="n">
        <v>232390</v>
      </c>
      <c r="C7" s="0" t="n">
        <v>-138666</v>
      </c>
      <c r="D7" s="0" t="n">
        <v>93724</v>
      </c>
      <c r="E7" s="0" t="n">
        <v>40.3305</v>
      </c>
      <c r="F7" s="0" t="n">
        <v>27808</v>
      </c>
      <c r="G7" s="0" t="n">
        <v>11.9661</v>
      </c>
      <c r="H7" s="0" t="n">
        <v>36482</v>
      </c>
      <c r="I7" s="0" t="n">
        <v>17623</v>
      </c>
      <c r="J7" s="0" t="n">
        <v>7.5834</v>
      </c>
      <c r="K7" s="0" t="n">
        <v>5.26</v>
      </c>
      <c r="L7" s="0" t="n">
        <v>28933</v>
      </c>
      <c r="M7" s="0" t="n">
        <v>5310</v>
      </c>
      <c r="N7" s="0" t="n">
        <v>23623</v>
      </c>
      <c r="O7" s="0" t="n">
        <v>86674</v>
      </c>
      <c r="P7" s="0" t="n">
        <v>271530</v>
      </c>
      <c r="Q7" s="0" t="n">
        <v>186353</v>
      </c>
      <c r="R7" s="0" t="n">
        <v>30160</v>
      </c>
      <c r="S7" s="0" t="n">
        <v>72045</v>
      </c>
      <c r="T7" s="0" t="n">
        <v>3326</v>
      </c>
      <c r="U7" s="0" t="n">
        <v>150</v>
      </c>
      <c r="AA7" s="0" t="s">
        <v>18</v>
      </c>
      <c r="AB7" s="0" t="s">
        <v>14</v>
      </c>
    </row>
    <row r="8" customFormat="false" ht="15" hidden="false" customHeight="false" outlineLevel="0" collapsed="false">
      <c r="A8" s="0" t="s">
        <v>71</v>
      </c>
      <c r="B8" s="0" t="n">
        <v>232314</v>
      </c>
      <c r="C8" s="0" t="n">
        <v>-131565</v>
      </c>
      <c r="D8" s="0" t="n">
        <v>100749</v>
      </c>
      <c r="E8" s="0" t="n">
        <v>43.3676</v>
      </c>
      <c r="F8" s="0" t="n">
        <v>31780</v>
      </c>
      <c r="G8" s="0" t="n">
        <v>13.6798</v>
      </c>
      <c r="H8" s="0" t="n">
        <v>40749</v>
      </c>
      <c r="I8" s="0" t="n">
        <v>22980</v>
      </c>
      <c r="J8" s="0" t="n">
        <v>9.8918</v>
      </c>
      <c r="K8" s="0" t="n">
        <v>6.81</v>
      </c>
      <c r="L8" s="0" t="n">
        <v>39065</v>
      </c>
      <c r="M8" s="0" t="n">
        <v>4625</v>
      </c>
      <c r="N8" s="0" t="n">
        <v>34440</v>
      </c>
      <c r="O8" s="0" t="n">
        <v>108775</v>
      </c>
      <c r="P8" s="0" t="n">
        <v>305614</v>
      </c>
      <c r="Q8" s="0" t="n">
        <v>198515</v>
      </c>
      <c r="R8" s="0" t="n">
        <v>31831</v>
      </c>
      <c r="S8" s="0" t="n">
        <v>97608</v>
      </c>
      <c r="T8" s="0" t="n">
        <v>3332</v>
      </c>
      <c r="U8" s="0" t="n">
        <v>93</v>
      </c>
      <c r="AA8" s="0" t="s">
        <v>18</v>
      </c>
      <c r="AB8" s="0" t="s">
        <v>14</v>
      </c>
      <c r="AC8" s="0" t="n">
        <v>2368</v>
      </c>
    </row>
    <row r="9" customFormat="false" ht="15" hidden="false" customHeight="false" outlineLevel="0" collapsed="false">
      <c r="A9" s="0" t="s">
        <v>72</v>
      </c>
      <c r="B9" s="0" t="n">
        <v>271546</v>
      </c>
      <c r="C9" s="0" t="n">
        <v>-158251</v>
      </c>
      <c r="D9" s="0" t="n">
        <v>113295</v>
      </c>
      <c r="E9" s="0" t="n">
        <v>41.7222</v>
      </c>
      <c r="F9" s="0" t="n">
        <v>27020</v>
      </c>
      <c r="G9" s="0" t="n">
        <v>9.9504</v>
      </c>
      <c r="H9" s="0" t="n">
        <v>37563</v>
      </c>
      <c r="I9" s="0" t="n">
        <v>19112</v>
      </c>
      <c r="J9" s="0" t="n">
        <v>7.0382</v>
      </c>
      <c r="K9" s="0" t="n">
        <v>5.62</v>
      </c>
      <c r="L9" s="0" t="n">
        <v>30863</v>
      </c>
      <c r="M9" s="0" t="n">
        <v>6197</v>
      </c>
      <c r="N9" s="0" t="n">
        <v>24666</v>
      </c>
      <c r="O9" s="0" t="n">
        <v>134814</v>
      </c>
      <c r="P9" s="0" t="n">
        <v>349537</v>
      </c>
      <c r="Q9" s="0" t="n">
        <v>216233</v>
      </c>
      <c r="R9" s="0" t="n">
        <v>32930</v>
      </c>
      <c r="S9" s="0" t="n">
        <v>56249</v>
      </c>
      <c r="T9" s="0" t="n">
        <v>3334</v>
      </c>
      <c r="U9" s="0" t="n">
        <v>89</v>
      </c>
      <c r="AA9" s="0" t="s">
        <v>18</v>
      </c>
      <c r="AB9" s="0" t="s">
        <v>14</v>
      </c>
      <c r="AC9" s="0" t="n">
        <v>2593</v>
      </c>
    </row>
    <row r="10" customFormat="false" ht="15" hidden="false" customHeight="false" outlineLevel="0" collapsed="false">
      <c r="A10" s="0" t="s">
        <v>73</v>
      </c>
      <c r="B10" s="0" t="n">
        <v>263351</v>
      </c>
      <c r="C10" s="0" t="n">
        <v>-161749</v>
      </c>
      <c r="D10" s="0" t="n">
        <v>101602</v>
      </c>
      <c r="E10" s="0" t="n">
        <v>38.5804</v>
      </c>
      <c r="F10" s="0" t="n">
        <v>-20326</v>
      </c>
      <c r="G10" s="0" t="n">
        <v>-7.7182</v>
      </c>
      <c r="H10" s="0" t="n">
        <v>23563</v>
      </c>
      <c r="I10" s="0" t="n">
        <v>-26104</v>
      </c>
      <c r="J10" s="0" t="n">
        <v>-9.9122</v>
      </c>
      <c r="K10" s="0" t="n">
        <v>-7.94</v>
      </c>
      <c r="L10" s="0" t="n">
        <v>7177</v>
      </c>
      <c r="M10" s="0" t="n">
        <v>5470</v>
      </c>
      <c r="N10" s="0" t="n">
        <v>1707</v>
      </c>
      <c r="O10" s="0" t="n">
        <v>98673</v>
      </c>
      <c r="P10" s="0" t="n">
        <v>297036</v>
      </c>
      <c r="Q10" s="0" t="n">
        <v>199628</v>
      </c>
      <c r="R10" s="0" t="n">
        <v>46873</v>
      </c>
      <c r="S10" s="0" t="n">
        <v>54705</v>
      </c>
      <c r="T10" s="0" t="n">
        <v>3330</v>
      </c>
      <c r="U10" s="0" t="n">
        <v>82</v>
      </c>
      <c r="AA10" s="0" t="s">
        <v>18</v>
      </c>
      <c r="AB10" s="0" t="s">
        <v>14</v>
      </c>
      <c r="AC10" s="0" t="n">
        <v>2857</v>
      </c>
    </row>
    <row r="11" customFormat="false" ht="15" hidden="false" customHeight="false" outlineLevel="0" collapsed="false">
      <c r="A11" s="0" t="s">
        <v>74</v>
      </c>
      <c r="B11" s="0" t="n">
        <v>247880</v>
      </c>
      <c r="C11" s="0" t="n">
        <v>-138515</v>
      </c>
      <c r="D11" s="0" t="n">
        <v>109365</v>
      </c>
      <c r="E11" s="0" t="n">
        <v>44.1201</v>
      </c>
      <c r="F11" s="0" t="n">
        <v>4313</v>
      </c>
      <c r="G11" s="0" t="n">
        <v>1.74</v>
      </c>
      <c r="H11" s="0" t="n">
        <v>30047</v>
      </c>
      <c r="I11" s="0" t="n">
        <v>374</v>
      </c>
      <c r="J11" s="0" t="n">
        <v>0.1509</v>
      </c>
      <c r="K11" s="0" t="n">
        <v>0.01</v>
      </c>
      <c r="L11" s="0" t="n">
        <v>46261</v>
      </c>
      <c r="M11" s="0" t="n">
        <v>3640</v>
      </c>
      <c r="N11" s="0" t="n">
        <v>42621</v>
      </c>
      <c r="O11" s="0" t="n">
        <v>94284</v>
      </c>
      <c r="P11" s="0" t="n">
        <v>292374</v>
      </c>
      <c r="Q11" s="0" t="n">
        <v>199391</v>
      </c>
      <c r="R11" s="0" t="n">
        <v>38041</v>
      </c>
      <c r="S11" s="0" t="n">
        <v>75871</v>
      </c>
      <c r="T11" s="0" t="n">
        <v>3339</v>
      </c>
      <c r="U11" s="0" t="n">
        <v>93</v>
      </c>
      <c r="AA11" s="0" t="s">
        <v>18</v>
      </c>
      <c r="AB11" s="0" t="s">
        <v>14</v>
      </c>
      <c r="AC11" s="0" t="n">
        <v>2492</v>
      </c>
    </row>
    <row r="12" customFormat="false" ht="15" hidden="false" customHeight="false" outlineLevel="0" collapsed="false">
      <c r="A12" s="0" t="s">
        <v>75</v>
      </c>
      <c r="B12" s="0" t="n">
        <v>236681</v>
      </c>
      <c r="C12" s="0" t="n">
        <v>-124013</v>
      </c>
      <c r="D12" s="0" t="n">
        <v>112668</v>
      </c>
      <c r="E12" s="0" t="n">
        <v>47.6033</v>
      </c>
      <c r="F12" s="0" t="n">
        <v>38634</v>
      </c>
      <c r="G12" s="0" t="n">
        <v>16.3232</v>
      </c>
      <c r="H12" s="0" t="n">
        <v>47875</v>
      </c>
      <c r="I12" s="0" t="n">
        <v>28714</v>
      </c>
      <c r="J12" s="0" t="n">
        <v>12.1319</v>
      </c>
      <c r="K12" s="0" t="n">
        <v>8.51</v>
      </c>
      <c r="L12" s="0" t="n">
        <v>32954</v>
      </c>
      <c r="M12" s="0" t="n">
        <v>3768</v>
      </c>
      <c r="N12" s="0" t="n">
        <v>29186</v>
      </c>
      <c r="O12" s="0" t="n">
        <v>109535</v>
      </c>
      <c r="P12" s="0" t="n">
        <v>279223</v>
      </c>
      <c r="Q12" s="0" t="n">
        <v>168959</v>
      </c>
      <c r="R12" s="0" t="n">
        <v>32703</v>
      </c>
      <c r="T12" s="0" t="n">
        <v>3342</v>
      </c>
      <c r="U12" s="0" t="n">
        <v>175</v>
      </c>
      <c r="AA12" s="0" t="s">
        <v>18</v>
      </c>
      <c r="AB12" s="0" t="s">
        <v>14</v>
      </c>
      <c r="AC12" s="0" t="n">
        <v>2115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9.29</v>
      </c>
    </row>
    <row r="3" customFormat="false" ht="15" hidden="false" customHeight="false" outlineLevel="0" collapsed="false">
      <c r="A3" s="0" t="s">
        <v>79</v>
      </c>
      <c r="B3" s="3" t="n">
        <v>3272</v>
      </c>
    </row>
    <row r="4" customFormat="false" ht="15" hidden="false" customHeight="false" outlineLevel="0" collapsed="false">
      <c r="A4" s="0" t="s">
        <v>80</v>
      </c>
      <c r="B4" s="3" t="n">
        <v>-59839</v>
      </c>
    </row>
    <row r="5" customFormat="false" ht="15" hidden="false" customHeight="false" outlineLevel="0" collapsed="false">
      <c r="A5" s="0" t="s">
        <v>81</v>
      </c>
      <c r="B5" s="3" t="n">
        <v>-22265</v>
      </c>
    </row>
    <row r="6" customFormat="false" ht="15" hidden="false" customHeight="false" outlineLevel="0" collapsed="false">
      <c r="A6" s="0" t="s">
        <v>82</v>
      </c>
      <c r="B6" s="3" t="n">
        <v>15</v>
      </c>
    </row>
    <row r="7" customFormat="false" ht="15" hidden="false" customHeight="false" outlineLevel="0" collapsed="false">
      <c r="A7" s="0" t="s">
        <v>83</v>
      </c>
      <c r="B7" s="3" t="n">
        <v>227547</v>
      </c>
    </row>
    <row r="8" customFormat="false" ht="15" hidden="false" customHeight="false" outlineLevel="0" collapsed="false">
      <c r="A8" s="0" t="s">
        <v>84</v>
      </c>
      <c r="B8" s="3" t="s">
        <v>85</v>
      </c>
    </row>
    <row r="9" customFormat="false" ht="15" hidden="false" customHeight="false" outlineLevel="0" collapsed="false">
      <c r="A9" s="0" t="s">
        <v>86</v>
      </c>
      <c r="B9" s="3" t="s">
        <v>87</v>
      </c>
    </row>
    <row r="10" customFormat="false" ht="15" hidden="false" customHeight="false" outlineLevel="0" collapsed="false">
      <c r="A10" s="0" t="s">
        <v>88</v>
      </c>
      <c r="B10" s="3" t="n">
        <v>0.099578</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0</v>
      </c>
      <c r="D13" s="3" t="n">
        <v>-3</v>
      </c>
      <c r="E13" s="3" t="n">
        <v>-2</v>
      </c>
      <c r="F13" s="3" t="n">
        <v>0</v>
      </c>
      <c r="G13" s="3" t="n">
        <v>1</v>
      </c>
      <c r="H13" s="3" t="n">
        <v>1</v>
      </c>
      <c r="I13" s="3" t="n">
        <v>1.5</v>
      </c>
      <c r="J13" s="3" t="n">
        <v>1.5</v>
      </c>
      <c r="K13" s="3" t="n">
        <v>1.5</v>
      </c>
      <c r="L13" s="3" t="n">
        <v>1.5</v>
      </c>
    </row>
    <row r="14" customFormat="false" ht="15" hidden="false" customHeight="false" outlineLevel="0" collapsed="false">
      <c r="A14" s="0" t="s">
        <v>101</v>
      </c>
      <c r="C14" s="3" t="n">
        <v>14.4</v>
      </c>
      <c r="D14" s="3" t="n">
        <v>13.8</v>
      </c>
      <c r="E14" s="3" t="n">
        <v>14</v>
      </c>
      <c r="F14" s="3" t="n">
        <v>14.5</v>
      </c>
      <c r="G14" s="3" t="n">
        <v>14.9</v>
      </c>
      <c r="H14" s="3" t="n">
        <v>14.9</v>
      </c>
      <c r="I14" s="3" t="n">
        <v>14.9</v>
      </c>
      <c r="J14" s="3" t="n">
        <v>14.9</v>
      </c>
      <c r="K14" s="3" t="n">
        <v>14.9</v>
      </c>
      <c r="L14" s="3" t="n">
        <v>14.9</v>
      </c>
    </row>
    <row r="15" customFormat="false" ht="15" hidden="false" customHeight="false" outlineLevel="0" collapsed="false">
      <c r="A15" s="0" t="s">
        <v>102</v>
      </c>
      <c r="C15" s="3" t="n">
        <v>0.08</v>
      </c>
      <c r="D15" s="3" t="n">
        <v>0.08</v>
      </c>
      <c r="E15" s="3" t="n">
        <v>0.08</v>
      </c>
      <c r="F15" s="3" t="n">
        <v>0.08</v>
      </c>
      <c r="G15" s="3" t="n">
        <v>0.08</v>
      </c>
      <c r="H15" s="3" t="n">
        <v>0.08</v>
      </c>
      <c r="I15" s="3" t="n">
        <v>0.08</v>
      </c>
      <c r="J15" s="3" t="n">
        <v>0.08</v>
      </c>
      <c r="K15" s="3" t="n">
        <v>0.08</v>
      </c>
      <c r="L15" s="3" t="n">
        <v>0.08</v>
      </c>
    </row>
    <row r="16" customFormat="false" ht="15" hidden="false" customHeight="false" outlineLevel="0" collapsed="false">
      <c r="A16" s="0" t="s">
        <v>103</v>
      </c>
      <c r="C16" s="3" t="n">
        <v>1</v>
      </c>
      <c r="D16" s="3" t="n">
        <v>1</v>
      </c>
      <c r="E16" s="3" t="n">
        <v>1.1</v>
      </c>
      <c r="F16" s="3" t="n">
        <v>1.1</v>
      </c>
      <c r="G16" s="3" t="n">
        <v>1.1</v>
      </c>
      <c r="H16" s="3" t="n">
        <v>1.1</v>
      </c>
      <c r="I16" s="3" t="n">
        <v>1.1</v>
      </c>
      <c r="J16" s="3" t="n">
        <v>1.1</v>
      </c>
      <c r="K16" s="3" t="n">
        <v>1.1</v>
      </c>
      <c r="L16" s="3" t="n">
        <v>1.1</v>
      </c>
    </row>
    <row r="17" customFormat="false" ht="15" hidden="false" customHeight="false" outlineLevel="0" collapsed="false">
      <c r="A17" s="0" t="s">
        <v>104</v>
      </c>
      <c r="C17" s="3" t="n">
        <v>2.4</v>
      </c>
      <c r="D17" s="3" t="n">
        <v>2.4</v>
      </c>
      <c r="E17" s="3" t="n">
        <v>2.4</v>
      </c>
      <c r="F17" s="3" t="n">
        <v>2.3</v>
      </c>
      <c r="G17" s="3" t="n">
        <v>2.3</v>
      </c>
      <c r="H17" s="3" t="n">
        <v>2.3</v>
      </c>
      <c r="I17" s="3" t="n">
        <v>2.2</v>
      </c>
      <c r="J17" s="3" t="n">
        <v>2.2</v>
      </c>
      <c r="K17" s="3" t="n">
        <v>2.2</v>
      </c>
      <c r="L17" s="3" t="n">
        <v>2.2</v>
      </c>
    </row>
    <row r="18" customFormat="false" ht="15" hidden="false" customHeight="false" outlineLevel="0" collapsed="false">
      <c r="A18" s="0" t="s">
        <v>105</v>
      </c>
      <c r="C18" s="3" t="n">
        <v>2</v>
      </c>
      <c r="D18" s="3" t="n">
        <v>2</v>
      </c>
      <c r="E18" s="3" t="n">
        <v>2.1</v>
      </c>
      <c r="F18" s="3" t="n">
        <v>2.1</v>
      </c>
      <c r="G18" s="3" t="n">
        <v>2.1</v>
      </c>
      <c r="H18" s="3" t="n">
        <v>2.1</v>
      </c>
      <c r="I18" s="3" t="n">
        <v>2.1</v>
      </c>
      <c r="J18" s="3" t="n">
        <v>2.1</v>
      </c>
      <c r="K18" s="3" t="n">
        <v>2.1</v>
      </c>
      <c r="L18" s="3" t="n">
        <v>2.1</v>
      </c>
    </row>
    <row r="19" customFormat="false" ht="15" hidden="false" customHeight="false" outlineLevel="0" collapsed="false">
      <c r="A19" s="0" t="s">
        <v>106</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107</v>
      </c>
      <c r="B20" s="3" t="n">
        <v>9</v>
      </c>
    </row>
    <row r="21" customFormat="false" ht="15" hidden="false" customHeight="false" outlineLevel="0" collapsed="false">
      <c r="A21" s="0" t="s">
        <v>108</v>
      </c>
      <c r="B21" s="3" t="n">
        <v>1.5</v>
      </c>
    </row>
    <row r="22" customFormat="false" ht="15" hidden="false" customHeight="false" outlineLevel="0" collapsed="false">
      <c r="A22" s="0" t="s">
        <v>109</v>
      </c>
      <c r="B22" s="3" t="n">
        <v>10</v>
      </c>
    </row>
    <row r="23" customFormat="false" ht="15" hidden="false" customHeight="false" outlineLevel="0" collapsed="false">
      <c r="A23" s="0" t="s">
        <v>110</v>
      </c>
      <c r="B23" s="3" t="n">
        <v>-10</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3</v>
      </c>
      <c r="D27" s="3" t="n">
        <v>1.5</v>
      </c>
      <c r="E27" s="3" t="n">
        <v>2.5</v>
      </c>
      <c r="F27" s="3" t="n">
        <v>3</v>
      </c>
      <c r="G27" s="3" t="n">
        <v>3</v>
      </c>
      <c r="H27" s="3" t="n">
        <v>2.5</v>
      </c>
      <c r="I27" s="3" t="n">
        <v>2.5</v>
      </c>
      <c r="J27" s="3" t="n">
        <v>2</v>
      </c>
      <c r="K27" s="3" t="n">
        <v>2</v>
      </c>
      <c r="L27" s="3" t="n">
        <v>2</v>
      </c>
    </row>
    <row r="28" customFormat="false" ht="15" hidden="false" customHeight="false" outlineLevel="0" collapsed="false">
      <c r="A28" s="0" t="s">
        <v>101</v>
      </c>
      <c r="C28" s="3" t="n">
        <v>15.4</v>
      </c>
      <c r="D28" s="3" t="n">
        <v>16.2</v>
      </c>
      <c r="E28" s="3" t="n">
        <v>16.9</v>
      </c>
      <c r="F28" s="3" t="n">
        <v>17.2</v>
      </c>
      <c r="G28" s="3" t="n">
        <v>17.4</v>
      </c>
      <c r="H28" s="3" t="n">
        <v>17.4</v>
      </c>
      <c r="I28" s="3" t="n">
        <v>17.4</v>
      </c>
      <c r="J28" s="3" t="n">
        <v>17.4</v>
      </c>
      <c r="K28" s="3" t="n">
        <v>17.4</v>
      </c>
      <c r="L28" s="3" t="n">
        <v>17.4</v>
      </c>
    </row>
    <row r="29" customFormat="false" ht="15" hidden="false" customHeight="false" outlineLevel="0" collapsed="false">
      <c r="A29" s="0" t="s">
        <v>102</v>
      </c>
      <c r="C29" s="3" t="n">
        <v>0.08</v>
      </c>
      <c r="D29" s="3" t="n">
        <v>0.08</v>
      </c>
      <c r="E29" s="3" t="n">
        <v>0.08</v>
      </c>
      <c r="F29" s="3" t="n">
        <v>0.08</v>
      </c>
      <c r="G29" s="3" t="n">
        <v>0.08</v>
      </c>
      <c r="H29" s="3" t="n">
        <v>0.08</v>
      </c>
      <c r="I29" s="3" t="n">
        <v>0.08</v>
      </c>
      <c r="J29" s="3" t="n">
        <v>0.08</v>
      </c>
      <c r="K29" s="3" t="n">
        <v>0.08</v>
      </c>
      <c r="L29" s="3" t="n">
        <v>0.08</v>
      </c>
    </row>
    <row r="30" customFormat="false" ht="15" hidden="false" customHeight="false" outlineLevel="0" collapsed="false">
      <c r="A30" s="0" t="s">
        <v>103</v>
      </c>
      <c r="C30" s="3" t="n">
        <v>1</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104</v>
      </c>
      <c r="C31" s="3" t="n">
        <v>2.4</v>
      </c>
      <c r="D31" s="3" t="n">
        <v>2.4</v>
      </c>
      <c r="E31" s="3" t="n">
        <v>2.3</v>
      </c>
      <c r="F31" s="3" t="n">
        <v>2.3</v>
      </c>
      <c r="G31" s="3" t="n">
        <v>2.2</v>
      </c>
      <c r="H31" s="3" t="n">
        <v>2.2</v>
      </c>
      <c r="I31" s="3" t="n">
        <v>2.1</v>
      </c>
      <c r="J31" s="3" t="n">
        <v>2.1</v>
      </c>
      <c r="K31" s="3" t="n">
        <v>2</v>
      </c>
      <c r="L31" s="3" t="n">
        <v>2</v>
      </c>
    </row>
    <row r="32" customFormat="false" ht="15" hidden="false" customHeight="false" outlineLevel="0" collapsed="false">
      <c r="A32" s="0" t="s">
        <v>105</v>
      </c>
      <c r="C32" s="3" t="n">
        <v>1.9</v>
      </c>
      <c r="D32" s="3" t="n">
        <v>1.9</v>
      </c>
      <c r="E32" s="3" t="n">
        <v>1.9</v>
      </c>
      <c r="F32" s="3" t="n">
        <v>2</v>
      </c>
      <c r="G32" s="3" t="n">
        <v>2</v>
      </c>
      <c r="H32" s="3" t="n">
        <v>2</v>
      </c>
      <c r="I32" s="3" t="n">
        <v>2</v>
      </c>
      <c r="J32" s="3" t="n">
        <v>2</v>
      </c>
      <c r="K32" s="3" t="n">
        <v>2</v>
      </c>
      <c r="L32" s="3" t="n">
        <v>2</v>
      </c>
    </row>
    <row r="33" customFormat="false" ht="15" hidden="false" customHeight="false" outlineLevel="0" collapsed="false">
      <c r="A33" s="0" t="s">
        <v>106</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107</v>
      </c>
      <c r="B34" s="3" t="n">
        <v>9</v>
      </c>
    </row>
    <row r="35" customFormat="false" ht="15" hidden="false" customHeight="false" outlineLevel="0" collapsed="false">
      <c r="A35" s="0" t="s">
        <v>108</v>
      </c>
      <c r="B35" s="3" t="n">
        <v>2</v>
      </c>
    </row>
    <row r="36" customFormat="false" ht="15" hidden="false" customHeight="false" outlineLevel="0" collapsed="false">
      <c r="A36" s="0" t="s">
        <v>109</v>
      </c>
      <c r="B36" s="3" t="n">
        <v>12</v>
      </c>
    </row>
    <row r="37" customFormat="false" ht="15" hidden="false" customHeight="false" outlineLevel="0" collapsed="false">
      <c r="A37" s="0" t="s">
        <v>110</v>
      </c>
      <c r="B37" s="3" t="n">
        <v>-10</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4</v>
      </c>
      <c r="D41" s="3" t="n">
        <v>4</v>
      </c>
      <c r="E41" s="3" t="n">
        <v>5</v>
      </c>
      <c r="F41" s="3" t="n">
        <v>5</v>
      </c>
      <c r="G41" s="3" t="n">
        <v>5</v>
      </c>
      <c r="H41" s="3" t="n">
        <v>4</v>
      </c>
      <c r="I41" s="3" t="n">
        <v>3.5</v>
      </c>
      <c r="J41" s="3" t="n">
        <v>3</v>
      </c>
      <c r="K41" s="3" t="n">
        <v>3</v>
      </c>
      <c r="L41" s="3" t="n">
        <v>3</v>
      </c>
    </row>
    <row r="42" customFormat="false" ht="15" hidden="false" customHeight="false" outlineLevel="0" collapsed="false">
      <c r="A42" s="0" t="s">
        <v>101</v>
      </c>
      <c r="C42" s="3" t="n">
        <v>16</v>
      </c>
      <c r="D42" s="3" t="n">
        <v>17.5</v>
      </c>
      <c r="E42" s="3" t="n">
        <v>18.5</v>
      </c>
      <c r="F42" s="3" t="n">
        <v>19</v>
      </c>
      <c r="G42" s="3" t="n">
        <v>19.4</v>
      </c>
      <c r="H42" s="3" t="n">
        <v>19.4</v>
      </c>
      <c r="I42" s="3" t="n">
        <v>19.4</v>
      </c>
      <c r="J42" s="3" t="n">
        <v>19.4</v>
      </c>
      <c r="K42" s="3" t="n">
        <v>19.4</v>
      </c>
      <c r="L42" s="3" t="n">
        <v>19.4</v>
      </c>
    </row>
    <row r="43" customFormat="false" ht="15" hidden="false" customHeight="false" outlineLevel="0" collapsed="false">
      <c r="A43" s="0" t="s">
        <v>102</v>
      </c>
      <c r="C43" s="3" t="n">
        <v>0.08</v>
      </c>
      <c r="D43" s="3" t="n">
        <v>0.08</v>
      </c>
      <c r="E43" s="3" t="n">
        <v>0.08</v>
      </c>
      <c r="F43" s="3" t="n">
        <v>0.08</v>
      </c>
      <c r="G43" s="3" t="n">
        <v>0.08</v>
      </c>
      <c r="H43" s="3" t="n">
        <v>0.08</v>
      </c>
      <c r="I43" s="3" t="n">
        <v>0.08</v>
      </c>
      <c r="J43" s="3" t="n">
        <v>0.08</v>
      </c>
      <c r="K43" s="3" t="n">
        <v>0.08</v>
      </c>
      <c r="L43" s="3" t="n">
        <v>0.08</v>
      </c>
    </row>
    <row r="44" customFormat="false" ht="15" hidden="false" customHeight="false" outlineLevel="0" collapsed="false">
      <c r="A44" s="0" t="s">
        <v>103</v>
      </c>
      <c r="C44" s="3" t="n">
        <v>1</v>
      </c>
      <c r="D44" s="3" t="n">
        <v>1</v>
      </c>
      <c r="E44" s="3" t="n">
        <v>1</v>
      </c>
      <c r="F44" s="3" t="n">
        <v>1</v>
      </c>
      <c r="G44" s="3" t="n">
        <v>0.9</v>
      </c>
      <c r="H44" s="3" t="n">
        <v>0.9</v>
      </c>
      <c r="I44" s="3" t="n">
        <v>0.9</v>
      </c>
      <c r="J44" s="3" t="n">
        <v>0.9</v>
      </c>
      <c r="K44" s="3" t="n">
        <v>0.9</v>
      </c>
      <c r="L44" s="3" t="n">
        <v>0.9</v>
      </c>
    </row>
    <row r="45" customFormat="false" ht="15" hidden="false" customHeight="false" outlineLevel="0" collapsed="false">
      <c r="A45" s="0" t="s">
        <v>104</v>
      </c>
      <c r="C45" s="3" t="n">
        <v>2.4</v>
      </c>
      <c r="D45" s="3" t="n">
        <v>2.4</v>
      </c>
      <c r="E45" s="3" t="n">
        <v>2.3</v>
      </c>
      <c r="F45" s="3" t="n">
        <v>2.3</v>
      </c>
      <c r="G45" s="3" t="n">
        <v>2.2</v>
      </c>
      <c r="H45" s="3" t="n">
        <v>2.2</v>
      </c>
      <c r="I45" s="3" t="n">
        <v>2.1</v>
      </c>
      <c r="J45" s="3" t="n">
        <v>2.1</v>
      </c>
      <c r="K45" s="3" t="n">
        <v>2</v>
      </c>
      <c r="L45" s="3" t="n">
        <v>2</v>
      </c>
    </row>
    <row r="46" customFormat="false" ht="15" hidden="false" customHeight="false" outlineLevel="0" collapsed="false">
      <c r="A46" s="0" t="s">
        <v>105</v>
      </c>
      <c r="C46" s="3" t="n">
        <v>1.9</v>
      </c>
      <c r="D46" s="3" t="n">
        <v>1.9</v>
      </c>
      <c r="E46" s="3" t="n">
        <v>1.9</v>
      </c>
      <c r="F46" s="3" t="n">
        <v>1.9</v>
      </c>
      <c r="G46" s="3" t="n">
        <v>1.9</v>
      </c>
      <c r="H46" s="3" t="n">
        <v>1.9</v>
      </c>
      <c r="I46" s="3" t="n">
        <v>1.9</v>
      </c>
      <c r="J46" s="3" t="n">
        <v>1.9</v>
      </c>
      <c r="K46" s="3" t="n">
        <v>1.9</v>
      </c>
      <c r="L46" s="3" t="n">
        <v>1.9</v>
      </c>
    </row>
    <row r="47" customFormat="false" ht="15" hidden="false" customHeight="false" outlineLevel="0" collapsed="false">
      <c r="A47" s="0" t="s">
        <v>106</v>
      </c>
      <c r="C47" s="3" t="n">
        <v>23</v>
      </c>
      <c r="D47" s="3" t="n">
        <v>23</v>
      </c>
      <c r="E47" s="3" t="n">
        <v>23</v>
      </c>
      <c r="F47" s="3" t="n">
        <v>23</v>
      </c>
      <c r="G47" s="3" t="n">
        <v>23</v>
      </c>
      <c r="H47" s="3" t="n">
        <v>23</v>
      </c>
      <c r="I47" s="3" t="n">
        <v>23</v>
      </c>
      <c r="J47" s="3" t="n">
        <v>23</v>
      </c>
      <c r="K47" s="3" t="n">
        <v>23</v>
      </c>
      <c r="L47" s="3" t="n">
        <v>23</v>
      </c>
    </row>
    <row r="48" customFormat="false" ht="15" hidden="false" customHeight="false" outlineLevel="0" collapsed="false">
      <c r="A48" s="0" t="s">
        <v>107</v>
      </c>
      <c r="B48" s="3" t="n">
        <v>9</v>
      </c>
    </row>
    <row r="49" customFormat="false" ht="15" hidden="false" customHeight="false" outlineLevel="0" collapsed="false">
      <c r="A49" s="0" t="s">
        <v>108</v>
      </c>
      <c r="B49" s="3" t="n">
        <v>2.5</v>
      </c>
    </row>
    <row r="50" customFormat="false" ht="15" hidden="false" customHeight="false" outlineLevel="0" collapsed="false">
      <c r="A50" s="0" t="s">
        <v>109</v>
      </c>
      <c r="B50" s="3" t="n">
        <v>14</v>
      </c>
    </row>
    <row r="51" customFormat="false" ht="15" hidden="false" customHeight="false" outlineLevel="0" collapsed="false">
      <c r="A51" s="0" t="s">
        <v>110</v>
      </c>
      <c r="B51" s="3" t="n">
        <v>-10</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0</v>
      </c>
      <c r="D5" s="4" t="n">
        <f aca="false">Assumptions!D13</f>
        <v>-3</v>
      </c>
      <c r="E5" s="4" t="n">
        <f aca="false">Assumptions!E13</f>
        <v>-2</v>
      </c>
      <c r="F5" s="4" t="n">
        <f aca="false">Assumptions!F13</f>
        <v>0</v>
      </c>
      <c r="G5" s="4" t="n">
        <f aca="false">Assumptions!G13</f>
        <v>1</v>
      </c>
      <c r="H5" s="4" t="n">
        <f aca="false">Assumptions!H13</f>
        <v>1</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227547</v>
      </c>
      <c r="C6" s="0" t="n">
        <f aca="false">B6*(1+C5/100)</f>
        <v>227547</v>
      </c>
      <c r="D6" s="0" t="n">
        <f aca="false">C6*(1+D5/100)</f>
        <v>220720.59</v>
      </c>
      <c r="E6" s="0" t="n">
        <f aca="false">D6*(1+E5/100)</f>
        <v>216306.1782</v>
      </c>
      <c r="F6" s="0" t="n">
        <f aca="false">E6*(1+F5/100)</f>
        <v>216306.1782</v>
      </c>
      <c r="G6" s="0" t="n">
        <f aca="false">F6*(1+G5/100)</f>
        <v>218469.239982</v>
      </c>
      <c r="H6" s="0" t="n">
        <f aca="false">G6*(1+H5/100)</f>
        <v>220653.93238182</v>
      </c>
      <c r="I6" s="0" t="n">
        <f aca="false">H6*(1+I5/100)</f>
        <v>223963.741367547</v>
      </c>
      <c r="J6" s="0" t="n">
        <f aca="false">I6*(1+J5/100)</f>
        <v>227323.19748806</v>
      </c>
      <c r="K6" s="0" t="n">
        <f aca="false">J6*(1+K5/100)</f>
        <v>230733.045450381</v>
      </c>
      <c r="L6" s="0" t="n">
        <f aca="false">K6*(1+L5/100)</f>
        <v>234194.041132137</v>
      </c>
    </row>
    <row r="7" customFormat="false" ht="15" hidden="false" customHeight="false" outlineLevel="0" collapsed="false">
      <c r="A7" s="0" t="s">
        <v>101</v>
      </c>
      <c r="C7" s="4" t="n">
        <f aca="false">Assumptions!C14</f>
        <v>14.4</v>
      </c>
      <c r="D7" s="4" t="n">
        <f aca="false">Assumptions!D14</f>
        <v>13.8</v>
      </c>
      <c r="E7" s="4" t="n">
        <f aca="false">Assumptions!E14</f>
        <v>14</v>
      </c>
      <c r="F7" s="4" t="n">
        <f aca="false">Assumptions!F14</f>
        <v>14.5</v>
      </c>
      <c r="G7" s="4" t="n">
        <f aca="false">Assumptions!G14</f>
        <v>14.9</v>
      </c>
      <c r="H7" s="4" t="n">
        <f aca="false">Assumptions!H14</f>
        <v>14.9</v>
      </c>
      <c r="I7" s="4" t="n">
        <f aca="false">Assumptions!I14</f>
        <v>14.9</v>
      </c>
      <c r="J7" s="4" t="n">
        <f aca="false">Assumptions!J14</f>
        <v>14.9</v>
      </c>
      <c r="K7" s="4" t="n">
        <f aca="false">Assumptions!K14</f>
        <v>14.9</v>
      </c>
      <c r="L7" s="4" t="n">
        <f aca="false">Assumptions!L14</f>
        <v>14.9</v>
      </c>
    </row>
    <row r="8" customFormat="false" ht="15" hidden="false" customHeight="false" outlineLevel="0" collapsed="false">
      <c r="A8" s="0" t="s">
        <v>44</v>
      </c>
      <c r="C8" s="0" t="n">
        <f aca="false">C6*C7/100</f>
        <v>32766.768</v>
      </c>
      <c r="D8" s="0" t="n">
        <f aca="false">D6*D7/100</f>
        <v>30459.44142</v>
      </c>
      <c r="E8" s="0" t="n">
        <f aca="false">E6*E7/100</f>
        <v>30282.864948</v>
      </c>
      <c r="F8" s="0" t="n">
        <f aca="false">F6*F7/100</f>
        <v>31364.395839</v>
      </c>
      <c r="G8" s="0" t="n">
        <f aca="false">G6*G7/100</f>
        <v>32551.916757318</v>
      </c>
      <c r="H8" s="0" t="n">
        <f aca="false">H6*H7/100</f>
        <v>32877.4359248912</v>
      </c>
      <c r="I8" s="0" t="n">
        <f aca="false">I6*I7/100</f>
        <v>33370.5974637645</v>
      </c>
      <c r="J8" s="0" t="n">
        <f aca="false">J6*J7/100</f>
        <v>33871.156425721</v>
      </c>
      <c r="K8" s="0" t="n">
        <f aca="false">K6*K7/100</f>
        <v>34379.2237721068</v>
      </c>
      <c r="L8" s="0" t="n">
        <f aca="false">L6*L7/100</f>
        <v>34894.9121286884</v>
      </c>
    </row>
    <row r="9" customFormat="false" ht="15" hidden="false" customHeight="false" outlineLevel="0" collapsed="false">
      <c r="A9" s="0" t="s">
        <v>102</v>
      </c>
      <c r="C9" s="4" t="n">
        <f aca="false">Assumptions!C15</f>
        <v>0.08</v>
      </c>
      <c r="D9" s="4" t="n">
        <f aca="false">Assumptions!D15</f>
        <v>0.08</v>
      </c>
      <c r="E9" s="4" t="n">
        <f aca="false">Assumptions!E15</f>
        <v>0.08</v>
      </c>
      <c r="F9" s="4" t="n">
        <f aca="false">Assumptions!F15</f>
        <v>0.08</v>
      </c>
      <c r="G9" s="4" t="n">
        <f aca="false">Assumptions!G15</f>
        <v>0.08</v>
      </c>
      <c r="H9" s="4" t="n">
        <f aca="false">Assumptions!H15</f>
        <v>0.08</v>
      </c>
      <c r="I9" s="4" t="n">
        <f aca="false">Assumptions!I15</f>
        <v>0.08</v>
      </c>
      <c r="J9" s="4" t="n">
        <f aca="false">Assumptions!J15</f>
        <v>0.08</v>
      </c>
      <c r="K9" s="4" t="n">
        <f aca="false">Assumptions!K15</f>
        <v>0.08</v>
      </c>
      <c r="L9" s="4" t="n">
        <f aca="false">Assumptions!L15</f>
        <v>0.08</v>
      </c>
    </row>
    <row r="10" customFormat="false" ht="15" hidden="false" customHeight="false" outlineLevel="0" collapsed="false">
      <c r="A10" s="0" t="s">
        <v>117</v>
      </c>
      <c r="C10" s="0" t="n">
        <f aca="false">-C6*C9/100</f>
        <v>-182.0376</v>
      </c>
      <c r="D10" s="0" t="n">
        <f aca="false">-D6*D9/100</f>
        <v>-176.576472</v>
      </c>
      <c r="E10" s="0" t="n">
        <f aca="false">-E6*E9/100</f>
        <v>-173.04494256</v>
      </c>
      <c r="F10" s="0" t="n">
        <f aca="false">-F6*F9/100</f>
        <v>-173.04494256</v>
      </c>
      <c r="G10" s="0" t="n">
        <f aca="false">-G6*G9/100</f>
        <v>-174.7753919856</v>
      </c>
      <c r="H10" s="0" t="n">
        <f aca="false">-H6*H9/100</f>
        <v>-176.523145905456</v>
      </c>
      <c r="I10" s="0" t="n">
        <f aca="false">-I6*I9/100</f>
        <v>-179.170993094038</v>
      </c>
      <c r="J10" s="0" t="n">
        <f aca="false">-J6*J9/100</f>
        <v>-181.858557990448</v>
      </c>
      <c r="K10" s="0" t="n">
        <f aca="false">-K6*K9/100</f>
        <v>-184.586436360305</v>
      </c>
      <c r="L10" s="0" t="n">
        <f aca="false">-L6*L9/100</f>
        <v>-187.35523290571</v>
      </c>
    </row>
    <row r="11" customFormat="false" ht="15" hidden="false" customHeight="false" outlineLevel="0" collapsed="false">
      <c r="A11" s="0" t="s">
        <v>118</v>
      </c>
      <c r="C11" s="0" t="n">
        <f aca="false">C8+C10+C24</f>
        <v>30309.2604</v>
      </c>
      <c r="D11" s="0" t="n">
        <f aca="false">D8+D10+D24</f>
        <v>28075.659048</v>
      </c>
      <c r="E11" s="0" t="n">
        <f aca="false">E8+E10+E24</f>
        <v>27730.45204524</v>
      </c>
      <c r="F11" s="0" t="n">
        <f aca="false">F8+F10+F24</f>
        <v>28811.98293624</v>
      </c>
      <c r="G11" s="0" t="n">
        <f aca="false">G8+G10+G24</f>
        <v>29973.9797255304</v>
      </c>
      <c r="H11" s="0" t="n">
        <f aca="false">H8+H10+H24</f>
        <v>30273.7195227857</v>
      </c>
      <c r="I11" s="0" t="n">
        <f aca="false">I8+I10+I24</f>
        <v>30727.8253156275</v>
      </c>
      <c r="J11" s="0" t="n">
        <f aca="false">J8+J10+J24</f>
        <v>31188.7426953619</v>
      </c>
      <c r="K11" s="0" t="n">
        <f aca="false">K8+K10+K24</f>
        <v>31656.5738357923</v>
      </c>
      <c r="L11" s="0" t="n">
        <f aca="false">L8+L10+L24</f>
        <v>32131.4224433292</v>
      </c>
    </row>
    <row r="12" customFormat="false" ht="15" hidden="false" customHeight="false" outlineLevel="0" collapsed="false">
      <c r="A12" s="0" t="s">
        <v>119</v>
      </c>
      <c r="C12" s="4" t="n">
        <f aca="false">-C6*Assumptions!C17/100</f>
        <v>-5461.128</v>
      </c>
      <c r="D12" s="4" t="n">
        <f aca="false">-D6*Assumptions!D17/100</f>
        <v>-5297.29416</v>
      </c>
      <c r="E12" s="4" t="n">
        <f aca="false">-E6*Assumptions!E17/100</f>
        <v>-5191.3482768</v>
      </c>
      <c r="F12" s="4" t="n">
        <f aca="false">-F6*Assumptions!F17/100</f>
        <v>-4975.0420986</v>
      </c>
      <c r="G12" s="4" t="n">
        <f aca="false">-G6*Assumptions!G17/100</f>
        <v>-5024.792519586</v>
      </c>
      <c r="H12" s="4" t="n">
        <f aca="false">-H6*Assumptions!H17/100</f>
        <v>-5075.04044478186</v>
      </c>
      <c r="I12" s="4" t="n">
        <f aca="false">-I6*Assumptions!I17/100</f>
        <v>-4927.20231008604</v>
      </c>
      <c r="J12" s="4" t="n">
        <f aca="false">-J6*Assumptions!J17/100</f>
        <v>-5001.11034473733</v>
      </c>
      <c r="K12" s="4" t="n">
        <f aca="false">-K6*Assumptions!K17/100</f>
        <v>-5076.12699990839</v>
      </c>
      <c r="L12" s="4" t="n">
        <f aca="false">-L6*Assumptions!L17/100</f>
        <v>-5152.26890490702</v>
      </c>
    </row>
    <row r="13" customFormat="false" ht="15" hidden="false" customHeight="false" outlineLevel="0" collapsed="false">
      <c r="A13" s="0" t="s">
        <v>120</v>
      </c>
      <c r="C13" s="0" t="n">
        <f aca="false">C11+C12</f>
        <v>24848.1324</v>
      </c>
      <c r="D13" s="0" t="n">
        <f aca="false">D11+D12</f>
        <v>22778.364888</v>
      </c>
      <c r="E13" s="0" t="n">
        <f aca="false">E11+E12</f>
        <v>22539.10376844</v>
      </c>
      <c r="F13" s="0" t="n">
        <f aca="false">F11+F12</f>
        <v>23836.94083764</v>
      </c>
      <c r="G13" s="0" t="n">
        <f aca="false">G11+G12</f>
        <v>24949.1872059444</v>
      </c>
      <c r="H13" s="0" t="n">
        <f aca="false">H11+H12</f>
        <v>25198.6790780038</v>
      </c>
      <c r="I13" s="0" t="n">
        <f aca="false">I11+I12</f>
        <v>25800.6230055414</v>
      </c>
      <c r="J13" s="0" t="n">
        <f aca="false">J11+J12</f>
        <v>26187.6323506246</v>
      </c>
      <c r="K13" s="0" t="n">
        <f aca="false">K11+K12</f>
        <v>26580.4468358839</v>
      </c>
      <c r="L13" s="0" t="n">
        <f aca="false">L11+L12</f>
        <v>26979.1535384222</v>
      </c>
    </row>
    <row r="14" customFormat="false" ht="15" hidden="false" customHeight="false" outlineLevel="0" collapsed="false">
      <c r="A14" s="0" t="s">
        <v>106</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121</v>
      </c>
      <c r="C15" s="0" t="n">
        <f aca="false">C13-MAX(0,C13)*C14/100</f>
        <v>18636.0993</v>
      </c>
      <c r="D15" s="0" t="n">
        <f aca="false">D13-MAX(0,D13)*D14/100</f>
        <v>17083.773666</v>
      </c>
      <c r="E15" s="0" t="n">
        <f aca="false">E13-MAX(0,E13)*E14/100</f>
        <v>16904.32782633</v>
      </c>
      <c r="F15" s="0" t="n">
        <f aca="false">F13-MAX(0,F13)*F14/100</f>
        <v>17877.70562823</v>
      </c>
      <c r="G15" s="0" t="n">
        <f aca="false">G13-MAX(0,G13)*G14/100</f>
        <v>18711.8904044583</v>
      </c>
      <c r="H15" s="0" t="n">
        <f aca="false">H13-MAX(0,H13)*H14/100</f>
        <v>18899.0093085029</v>
      </c>
      <c r="I15" s="0" t="n">
        <f aca="false">I13-MAX(0,I13)*I14/100</f>
        <v>19350.4672541561</v>
      </c>
      <c r="J15" s="0" t="n">
        <f aca="false">J13-MAX(0,J13)*J14/100</f>
        <v>19640.7242629684</v>
      </c>
      <c r="K15" s="0" t="n">
        <f aca="false">K13-MAX(0,K13)*K14/100</f>
        <v>19935.335126913</v>
      </c>
      <c r="L15" s="0" t="n">
        <f aca="false">L13-MAX(0,L13)*L14/100</f>
        <v>20234.3651538166</v>
      </c>
    </row>
    <row r="16" customFormat="false" ht="15" hidden="false" customHeight="false" outlineLevel="0" collapsed="false">
      <c r="A16" s="0" t="s">
        <v>122</v>
      </c>
      <c r="C16" s="0" t="n">
        <f aca="false">-C12</f>
        <v>5461.128</v>
      </c>
      <c r="D16" s="0" t="n">
        <f aca="false">-D12</f>
        <v>5297.29416</v>
      </c>
      <c r="E16" s="0" t="n">
        <f aca="false">-E12</f>
        <v>5191.3482768</v>
      </c>
      <c r="F16" s="0" t="n">
        <f aca="false">-F12</f>
        <v>4975.0420986</v>
      </c>
      <c r="G16" s="0" t="n">
        <f aca="false">-G12</f>
        <v>5024.792519586</v>
      </c>
      <c r="H16" s="0" t="n">
        <f aca="false">-H12</f>
        <v>5075.04044478186</v>
      </c>
      <c r="I16" s="0" t="n">
        <f aca="false">-I12</f>
        <v>4927.20231008604</v>
      </c>
      <c r="J16" s="0" t="n">
        <f aca="false">-J12</f>
        <v>5001.11034473733</v>
      </c>
      <c r="K16" s="0" t="n">
        <f aca="false">-K12</f>
        <v>5076.12699990839</v>
      </c>
      <c r="L16" s="0" t="n">
        <f aca="false">-L12</f>
        <v>5152.26890490702</v>
      </c>
    </row>
    <row r="17" customFormat="false" ht="15" hidden="false" customHeight="false" outlineLevel="0" collapsed="false">
      <c r="A17" s="0" t="s">
        <v>123</v>
      </c>
      <c r="C17" s="4" t="n">
        <f aca="false">-C6*Assumptions!C18/100</f>
        <v>-4550.94</v>
      </c>
      <c r="D17" s="4" t="n">
        <f aca="false">-D6*Assumptions!D18/100</f>
        <v>-4414.4118</v>
      </c>
      <c r="E17" s="4" t="n">
        <f aca="false">-E6*Assumptions!E18/100</f>
        <v>-4542.4297422</v>
      </c>
      <c r="F17" s="4" t="n">
        <f aca="false">-F6*Assumptions!F18/100</f>
        <v>-4542.4297422</v>
      </c>
      <c r="G17" s="4" t="n">
        <f aca="false">-G6*Assumptions!G18/100</f>
        <v>-4587.854039622</v>
      </c>
      <c r="H17" s="4" t="n">
        <f aca="false">-H6*Assumptions!H18/100</f>
        <v>-4633.73258001822</v>
      </c>
      <c r="I17" s="4" t="n">
        <f aca="false">-I6*Assumptions!I18/100</f>
        <v>-4703.23856871849</v>
      </c>
      <c r="J17" s="4" t="n">
        <f aca="false">-J6*Assumptions!J18/100</f>
        <v>-4773.78714724927</v>
      </c>
      <c r="K17" s="4" t="n">
        <f aca="false">-K6*Assumptions!K18/100</f>
        <v>-4845.39395445801</v>
      </c>
      <c r="L17" s="4" t="n">
        <f aca="false">-L6*Assumptions!L18/100</f>
        <v>-4918.07486377488</v>
      </c>
    </row>
    <row r="18" customFormat="false" ht="15" hidden="false" customHeight="false" outlineLevel="0" collapsed="false">
      <c r="A18" s="0" t="s">
        <v>124</v>
      </c>
      <c r="C18" s="4" t="n">
        <f aca="false">(C6-B6)*Assumptions!$B$23/100</f>
        <v>-0</v>
      </c>
      <c r="D18" s="4" t="n">
        <f aca="false">(D6-C6)*Assumptions!$B$23/100</f>
        <v>682.641</v>
      </c>
      <c r="E18" s="4" t="n">
        <f aca="false">(E6-D6)*Assumptions!$B$23/100</f>
        <v>441.44118</v>
      </c>
      <c r="F18" s="4" t="n">
        <f aca="false">(F6-E6)*Assumptions!$B$23/100</f>
        <v>-0</v>
      </c>
      <c r="G18" s="4" t="n">
        <f aca="false">(G6-F6)*Assumptions!$B$23/100</f>
        <v>-216.3061782</v>
      </c>
      <c r="H18" s="4" t="n">
        <f aca="false">(H6-G6)*Assumptions!$B$23/100</f>
        <v>-218.469239981999</v>
      </c>
      <c r="I18" s="4" t="n">
        <f aca="false">(I6-H6)*Assumptions!$B$23/100</f>
        <v>-330.980898572729</v>
      </c>
      <c r="J18" s="4" t="n">
        <f aca="false">(J6-I6)*Assumptions!$B$23/100</f>
        <v>-335.945612051318</v>
      </c>
      <c r="K18" s="4" t="n">
        <f aca="false">(K6-J6)*Assumptions!$B$23/100</f>
        <v>-340.98479623209</v>
      </c>
      <c r="L18" s="4" t="n">
        <f aca="false">(L6-K6)*Assumptions!$B$23/100</f>
        <v>-346.099568175571</v>
      </c>
    </row>
    <row r="19" customFormat="false" ht="15" hidden="false" customHeight="false" outlineLevel="0" collapsed="false">
      <c r="A19" s="0" t="s">
        <v>125</v>
      </c>
      <c r="C19" s="0" t="n">
        <f aca="false">C15+C16+C17+C18</f>
        <v>19546.2873</v>
      </c>
      <c r="D19" s="0" t="n">
        <f aca="false">D15+D16+D17+D18</f>
        <v>18649.297026</v>
      </c>
      <c r="E19" s="0" t="n">
        <f aca="false">E15+E16+E17+E18</f>
        <v>17994.68754093</v>
      </c>
      <c r="F19" s="0" t="n">
        <f aca="false">F15+F16+F17+F18</f>
        <v>18310.31798463</v>
      </c>
      <c r="G19" s="0" t="n">
        <f aca="false">G15+G16+G17+G18</f>
        <v>18932.5227062223</v>
      </c>
      <c r="H19" s="0" t="n">
        <f aca="false">H15+H16+H17+H18</f>
        <v>19121.8479332845</v>
      </c>
      <c r="I19" s="0" t="n">
        <f aca="false">I15+I16+I17+I18</f>
        <v>19243.4500969509</v>
      </c>
      <c r="J19" s="0" t="n">
        <f aca="false">J15+J16+J17+J18</f>
        <v>19532.1018484052</v>
      </c>
      <c r="K19" s="0" t="n">
        <f aca="false">K15+K16+K17+K18</f>
        <v>19825.0833761312</v>
      </c>
      <c r="L19" s="0" t="n">
        <f aca="false">L15+L16+L17+L18</f>
        <v>20122.4596267732</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17932.3736697248</v>
      </c>
      <c r="D21" s="0" t="n">
        <f aca="false">D19*D20</f>
        <v>15696.7401952698</v>
      </c>
      <c r="E21" s="0" t="n">
        <f aca="false">E19*E20</f>
        <v>13895.2004479668</v>
      </c>
      <c r="F21" s="0" t="n">
        <f aca="false">F19*F20</f>
        <v>12971.4908829324</v>
      </c>
      <c r="G21" s="0" t="n">
        <f aca="false">G19*G20</f>
        <v>12304.84072858</v>
      </c>
      <c r="H21" s="0" t="n">
        <f aca="false">H19*H20</f>
        <v>11401.7331521704</v>
      </c>
      <c r="I21" s="0" t="n">
        <f aca="false">I19*I20</f>
        <v>10526.8261919656</v>
      </c>
      <c r="J21" s="0" t="n">
        <f aca="false">J19*J20</f>
        <v>9802.5032888487</v>
      </c>
      <c r="K21" s="0" t="n">
        <f aca="false">K19*K20</f>
        <v>9128.01911759764</v>
      </c>
      <c r="L21" s="0" t="n">
        <f aca="false">L19*L20</f>
        <v>8499.94440767119</v>
      </c>
    </row>
    <row r="23" customFormat="false" ht="15" hidden="false" customHeight="false" outlineLevel="0" collapsed="false">
      <c r="A23" s="0" t="s">
        <v>103</v>
      </c>
      <c r="C23" s="4" t="n">
        <f aca="false">Assumptions!C16</f>
        <v>1</v>
      </c>
      <c r="D23" s="4" t="n">
        <f aca="false">Assumptions!D16</f>
        <v>1</v>
      </c>
      <c r="E23" s="4" t="n">
        <f aca="false">Assumptions!E16</f>
        <v>1.1</v>
      </c>
      <c r="F23" s="4" t="n">
        <f aca="false">Assumptions!F16</f>
        <v>1.1</v>
      </c>
      <c r="G23" s="4" t="n">
        <f aca="false">Assumptions!G16</f>
        <v>1.1</v>
      </c>
      <c r="H23" s="4" t="n">
        <f aca="false">Assumptions!H16</f>
        <v>1.1</v>
      </c>
      <c r="I23" s="4" t="n">
        <f aca="false">Assumptions!I16</f>
        <v>1.1</v>
      </c>
      <c r="J23" s="4" t="n">
        <f aca="false">Assumptions!J16</f>
        <v>1.1</v>
      </c>
      <c r="K23" s="4" t="n">
        <f aca="false">Assumptions!K16</f>
        <v>1.1</v>
      </c>
      <c r="L23" s="4" t="n">
        <f aca="false">Assumptions!L16</f>
        <v>1.1</v>
      </c>
    </row>
    <row r="24" customFormat="false" ht="15" hidden="false" customHeight="false" outlineLevel="0" collapsed="false">
      <c r="A24" s="0" t="s">
        <v>128</v>
      </c>
      <c r="C24" s="0" t="n">
        <f aca="false">-C6*C23/100</f>
        <v>-2275.47</v>
      </c>
      <c r="D24" s="0" t="n">
        <f aca="false">-D6*D23/100</f>
        <v>-2207.2059</v>
      </c>
      <c r="E24" s="0" t="n">
        <f aca="false">-E6*E23/100</f>
        <v>-2379.3679602</v>
      </c>
      <c r="F24" s="0" t="n">
        <f aca="false">-F6*F23/100</f>
        <v>-2379.3679602</v>
      </c>
      <c r="G24" s="0" t="n">
        <f aca="false">-G6*G23/100</f>
        <v>-2403.161639802</v>
      </c>
      <c r="H24" s="0" t="n">
        <f aca="false">-H6*H23/100</f>
        <v>-2427.19325620002</v>
      </c>
      <c r="I24" s="0" t="n">
        <f aca="false">-I6*I23/100</f>
        <v>-2463.60115504302</v>
      </c>
      <c r="J24" s="0" t="n">
        <f aca="false">-J6*J23/100</f>
        <v>-2500.55517236867</v>
      </c>
      <c r="K24" s="0" t="n">
        <f aca="false">-K6*K23/100</f>
        <v>-2538.0634999542</v>
      </c>
      <c r="L24" s="0" t="n">
        <f aca="false">-L6*L23/100</f>
        <v>-2576.13445245351</v>
      </c>
    </row>
    <row r="26" customFormat="false" ht="15" hidden="false" customHeight="false" outlineLevel="0" collapsed="false">
      <c r="A26" s="2" t="s">
        <v>129</v>
      </c>
    </row>
    <row r="27" customFormat="false" ht="15" hidden="false" customHeight="false" outlineLevel="0" collapsed="false">
      <c r="A27" s="0" t="s">
        <v>107</v>
      </c>
      <c r="B27" s="4" t="n">
        <f aca="false">Assumptions!$B$20</f>
        <v>9</v>
      </c>
    </row>
    <row r="28" customFormat="false" ht="15" hidden="false" customHeight="false" outlineLevel="0" collapsed="false">
      <c r="A28" s="0" t="s">
        <v>108</v>
      </c>
      <c r="B28" s="4" t="n">
        <f aca="false">Assumptions!$B$21</f>
        <v>1.5</v>
      </c>
    </row>
    <row r="29" customFormat="false" ht="15" hidden="false" customHeight="false" outlineLevel="0" collapsed="false">
      <c r="A29" s="0" t="s">
        <v>109</v>
      </c>
      <c r="B29" s="4" t="n">
        <f aca="false">Assumptions!$B$22</f>
        <v>10</v>
      </c>
    </row>
    <row r="30" customFormat="false" ht="15" hidden="false" customHeight="false" outlineLevel="0" collapsed="false">
      <c r="A30" s="0" t="s">
        <v>130</v>
      </c>
      <c r="B30" s="0" t="n">
        <f aca="false">SUM(C21:L21)</f>
        <v>122159.672082727</v>
      </c>
    </row>
    <row r="31" customFormat="false" ht="15" hidden="false" customHeight="false" outlineLevel="0" collapsed="false">
      <c r="A31" s="0" t="s">
        <v>131</v>
      </c>
      <c r="B31" s="0" t="n">
        <f aca="false">L19</f>
        <v>20122.4596267732</v>
      </c>
    </row>
    <row r="32" customFormat="false" ht="15" hidden="false" customHeight="false" outlineLevel="0" collapsed="false">
      <c r="A32" s="0" t="s">
        <v>132</v>
      </c>
      <c r="B32" s="0" t="n">
        <f aca="false">IF(B27&gt;B28,B31*(1+B28/100)/((B27-B28)/100),B31*B29)</f>
        <v>272323.953615664</v>
      </c>
    </row>
    <row r="33" customFormat="false" ht="15" hidden="false" customHeight="false" outlineLevel="0" collapsed="false">
      <c r="A33" s="0" t="s">
        <v>133</v>
      </c>
      <c r="B33" s="0" t="n">
        <f aca="false">B31*B29</f>
        <v>201224.596267732</v>
      </c>
    </row>
    <row r="34" customFormat="false" ht="15" hidden="false" customHeight="false" outlineLevel="0" collapsed="false">
      <c r="A34" s="0" t="s">
        <v>134</v>
      </c>
      <c r="B34" s="0" t="n">
        <f aca="false">MAX(0,MIN(B32,B33))</f>
        <v>201224.596267732</v>
      </c>
    </row>
    <row r="35" customFormat="false" ht="15" hidden="false" customHeight="false" outlineLevel="0" collapsed="false">
      <c r="A35" s="0" t="s">
        <v>135</v>
      </c>
      <c r="B35" s="0" t="n">
        <f aca="false">B34/(1+B27/100)^L4</f>
        <v>84999.4440767119</v>
      </c>
    </row>
    <row r="36" customFormat="false" ht="15" hidden="false" customHeight="false" outlineLevel="0" collapsed="false">
      <c r="A36" s="0" t="s">
        <v>136</v>
      </c>
      <c r="B36" s="0" t="n">
        <f aca="false">B30+B35</f>
        <v>207159.116159439</v>
      </c>
    </row>
    <row r="37" customFormat="false" ht="15" hidden="false" customHeight="false" outlineLevel="0" collapsed="false">
      <c r="A37" s="0" t="s">
        <v>137</v>
      </c>
      <c r="B37" s="0" t="n">
        <f aca="false">B36+Assumptions!$B$5-Assumptions!$B$4</f>
        <v>244733.116159439</v>
      </c>
    </row>
    <row r="38" customFormat="false" ht="15" hidden="false" customHeight="false" outlineLevel="0" collapsed="false">
      <c r="A38" s="0" t="s">
        <v>138</v>
      </c>
      <c r="B38" s="0" t="n">
        <f aca="false">B37/Assumptions!$B$3*Assumptions!$B$10</f>
        <v>7.44805447461022</v>
      </c>
    </row>
    <row r="39" customFormat="false" ht="15" hidden="false" customHeight="false" outlineLevel="0" collapsed="false">
      <c r="A39" s="0" t="s">
        <v>139</v>
      </c>
      <c r="B39" s="4" t="n">
        <f aca="false">B38/Assumptions!$B$2-1</f>
        <v>-0.198271854186198</v>
      </c>
    </row>
    <row r="41" customFormat="false" ht="15" hidden="false" customHeight="false" outlineLevel="0" collapsed="false">
      <c r="A41" s="0" t="s">
        <v>140</v>
      </c>
      <c r="B41" s="0" t="n">
        <f aca="false">SUMPRODUCT(-C10:L10/(1+$B$27/100)^C4:L4)</f>
        <v>1144.09764425661</v>
      </c>
    </row>
    <row r="42" customFormat="false" ht="15" hidden="false" customHeight="false" outlineLevel="0" collapsed="false">
      <c r="A42" s="0" t="s">
        <v>141</v>
      </c>
      <c r="B42" s="0" t="n">
        <f aca="false">IF(B27&gt;B28,-L10*(1+B28/100)/((B27-B28)/100),-L10*20)/(1+B27/100)^L4</f>
        <v>1071.03984312597</v>
      </c>
    </row>
    <row r="43" customFormat="false" ht="15" hidden="false" customHeight="false" outlineLevel="0" collapsed="false">
      <c r="A43" s="0" t="s">
        <v>142</v>
      </c>
      <c r="B43" s="0" t="n">
        <f aca="false">(B37+B41+B42)/Assumptions!$B$3*Assumptions!$B$10</f>
        <v>7.5154685824093</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151291.085342036</v>
      </c>
    </row>
    <row r="47" customFormat="false" ht="15" hidden="false" customHeight="false" outlineLevel="0" collapsed="false">
      <c r="A47" s="0" t="s">
        <v>144</v>
      </c>
      <c r="B47" s="0" t="n">
        <f aca="false">(SUMPRODUCT(C19:L19/(1+B45/100)^C4:L4)+B46/(1+B45/100)^L4+Assumptions!$B$5-Assumptions!$B$4)/Assumptions!$B$3*Assumptions!$B$10</f>
        <v>5.18215086663261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3</v>
      </c>
      <c r="D5" s="4" t="n">
        <f aca="false">Assumptions!D27</f>
        <v>1.5</v>
      </c>
      <c r="E5" s="4" t="n">
        <f aca="false">Assumptions!E27</f>
        <v>2.5</v>
      </c>
      <c r="F5" s="4" t="n">
        <f aca="false">Assumptions!F27</f>
        <v>3</v>
      </c>
      <c r="G5" s="4" t="n">
        <f aca="false">Assumptions!G27</f>
        <v>3</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38</v>
      </c>
      <c r="B6" s="3" t="n">
        <v>227547</v>
      </c>
      <c r="C6" s="0" t="n">
        <f aca="false">B6*(1+C5/100)</f>
        <v>234373.41</v>
      </c>
      <c r="D6" s="0" t="n">
        <f aca="false">C6*(1+D5/100)</f>
        <v>237889.01115</v>
      </c>
      <c r="E6" s="0" t="n">
        <f aca="false">D6*(1+E5/100)</f>
        <v>243836.23642875</v>
      </c>
      <c r="F6" s="0" t="n">
        <f aca="false">E6*(1+F5/100)</f>
        <v>251151.323521612</v>
      </c>
      <c r="G6" s="0" t="n">
        <f aca="false">F6*(1+G5/100)</f>
        <v>258685.863227261</v>
      </c>
      <c r="H6" s="0" t="n">
        <f aca="false">G6*(1+H5/100)</f>
        <v>265153.009807942</v>
      </c>
      <c r="I6" s="0" t="n">
        <f aca="false">H6*(1+I5/100)</f>
        <v>271781.835053141</v>
      </c>
      <c r="J6" s="0" t="n">
        <f aca="false">I6*(1+J5/100)</f>
        <v>277217.471754204</v>
      </c>
      <c r="K6" s="0" t="n">
        <f aca="false">J6*(1+K5/100)</f>
        <v>282761.821189288</v>
      </c>
      <c r="L6" s="0" t="n">
        <f aca="false">K6*(1+L5/100)</f>
        <v>288417.057613074</v>
      </c>
    </row>
    <row r="7" customFormat="false" ht="15" hidden="false" customHeight="false" outlineLevel="0" collapsed="false">
      <c r="A7" s="0" t="s">
        <v>101</v>
      </c>
      <c r="C7" s="4" t="n">
        <f aca="false">Assumptions!C28</f>
        <v>15.4</v>
      </c>
      <c r="D7" s="4" t="n">
        <f aca="false">Assumptions!D28</f>
        <v>16.2</v>
      </c>
      <c r="E7" s="4" t="n">
        <f aca="false">Assumptions!E28</f>
        <v>16.9</v>
      </c>
      <c r="F7" s="4" t="n">
        <f aca="false">Assumptions!F28</f>
        <v>17.2</v>
      </c>
      <c r="G7" s="4" t="n">
        <f aca="false">Assumptions!G28</f>
        <v>17.4</v>
      </c>
      <c r="H7" s="4" t="n">
        <f aca="false">Assumptions!H28</f>
        <v>17.4</v>
      </c>
      <c r="I7" s="4" t="n">
        <f aca="false">Assumptions!I28</f>
        <v>17.4</v>
      </c>
      <c r="J7" s="4" t="n">
        <f aca="false">Assumptions!J28</f>
        <v>17.4</v>
      </c>
      <c r="K7" s="4" t="n">
        <f aca="false">Assumptions!K28</f>
        <v>17.4</v>
      </c>
      <c r="L7" s="4" t="n">
        <f aca="false">Assumptions!L28</f>
        <v>17.4</v>
      </c>
    </row>
    <row r="8" customFormat="false" ht="15" hidden="false" customHeight="false" outlineLevel="0" collapsed="false">
      <c r="A8" s="0" t="s">
        <v>44</v>
      </c>
      <c r="C8" s="0" t="n">
        <f aca="false">C6*C7/100</f>
        <v>36093.50514</v>
      </c>
      <c r="D8" s="0" t="n">
        <f aca="false">D6*D7/100</f>
        <v>38538.0198063</v>
      </c>
      <c r="E8" s="0" t="n">
        <f aca="false">E6*E7/100</f>
        <v>41208.3239564587</v>
      </c>
      <c r="F8" s="0" t="n">
        <f aca="false">F6*F7/100</f>
        <v>43198.0276457173</v>
      </c>
      <c r="G8" s="0" t="n">
        <f aca="false">G6*G7/100</f>
        <v>45011.3402015434</v>
      </c>
      <c r="H8" s="0" t="n">
        <f aca="false">H6*H7/100</f>
        <v>46136.623706582</v>
      </c>
      <c r="I8" s="0" t="n">
        <f aca="false">I6*I7/100</f>
        <v>47290.0392992465</v>
      </c>
      <c r="J8" s="0" t="n">
        <f aca="false">J6*J7/100</f>
        <v>48235.8400852314</v>
      </c>
      <c r="K8" s="0" t="n">
        <f aca="false">K6*K7/100</f>
        <v>49200.5568869361</v>
      </c>
      <c r="L8" s="0" t="n">
        <f aca="false">L6*L7/100</f>
        <v>50184.5680246748</v>
      </c>
    </row>
    <row r="9" customFormat="false" ht="15" hidden="false" customHeight="false" outlineLevel="0" collapsed="false">
      <c r="A9" s="0" t="s">
        <v>102</v>
      </c>
      <c r="C9" s="4" t="n">
        <f aca="false">Assumptions!C29</f>
        <v>0.08</v>
      </c>
      <c r="D9" s="4" t="n">
        <f aca="false">Assumptions!D29</f>
        <v>0.08</v>
      </c>
      <c r="E9" s="4" t="n">
        <f aca="false">Assumptions!E29</f>
        <v>0.08</v>
      </c>
      <c r="F9" s="4" t="n">
        <f aca="false">Assumptions!F29</f>
        <v>0.08</v>
      </c>
      <c r="G9" s="4" t="n">
        <f aca="false">Assumptions!G29</f>
        <v>0.08</v>
      </c>
      <c r="H9" s="4" t="n">
        <f aca="false">Assumptions!H29</f>
        <v>0.08</v>
      </c>
      <c r="I9" s="4" t="n">
        <f aca="false">Assumptions!I29</f>
        <v>0.08</v>
      </c>
      <c r="J9" s="4" t="n">
        <f aca="false">Assumptions!J29</f>
        <v>0.08</v>
      </c>
      <c r="K9" s="4" t="n">
        <f aca="false">Assumptions!K29</f>
        <v>0.08</v>
      </c>
      <c r="L9" s="4" t="n">
        <f aca="false">Assumptions!L29</f>
        <v>0.08</v>
      </c>
    </row>
    <row r="10" customFormat="false" ht="15" hidden="false" customHeight="false" outlineLevel="0" collapsed="false">
      <c r="A10" s="0" t="s">
        <v>117</v>
      </c>
      <c r="C10" s="0" t="n">
        <f aca="false">-C6*C9/100</f>
        <v>-187.498728</v>
      </c>
      <c r="D10" s="0" t="n">
        <f aca="false">-D6*D9/100</f>
        <v>-190.31120892</v>
      </c>
      <c r="E10" s="0" t="n">
        <f aca="false">-E6*E9/100</f>
        <v>-195.068989143</v>
      </c>
      <c r="F10" s="0" t="n">
        <f aca="false">-F6*F9/100</f>
        <v>-200.92105881729</v>
      </c>
      <c r="G10" s="0" t="n">
        <f aca="false">-G6*G9/100</f>
        <v>-206.948690581809</v>
      </c>
      <c r="H10" s="0" t="n">
        <f aca="false">-H6*H9/100</f>
        <v>-212.122407846354</v>
      </c>
      <c r="I10" s="0" t="n">
        <f aca="false">-I6*I9/100</f>
        <v>-217.425468042513</v>
      </c>
      <c r="J10" s="0" t="n">
        <f aca="false">-J6*J9/100</f>
        <v>-221.773977403363</v>
      </c>
      <c r="K10" s="0" t="n">
        <f aca="false">-K6*K9/100</f>
        <v>-226.20945695143</v>
      </c>
      <c r="L10" s="0" t="n">
        <f aca="false">-L6*L9/100</f>
        <v>-230.733646090459</v>
      </c>
    </row>
    <row r="11" customFormat="false" ht="15" hidden="false" customHeight="false" outlineLevel="0" collapsed="false">
      <c r="A11" s="0" t="s">
        <v>118</v>
      </c>
      <c r="C11" s="0" t="n">
        <f aca="false">C8+C10+C24</f>
        <v>33562.272312</v>
      </c>
      <c r="D11" s="0" t="n">
        <f aca="false">D8+D10+D24</f>
        <v>35968.81848588</v>
      </c>
      <c r="E11" s="0" t="n">
        <f aca="false">E8+E10+E24</f>
        <v>38574.8926030282</v>
      </c>
      <c r="F11" s="0" t="n">
        <f aca="false">F8+F10+F24</f>
        <v>40485.5933516839</v>
      </c>
      <c r="G11" s="0" t="n">
        <f aca="false">G8+G10+G24</f>
        <v>42217.532878689</v>
      </c>
      <c r="H11" s="0" t="n">
        <f aca="false">H8+H10+H24</f>
        <v>43272.9712006562</v>
      </c>
      <c r="I11" s="0" t="n">
        <f aca="false">I8+I10+I24</f>
        <v>44354.7954806726</v>
      </c>
      <c r="J11" s="0" t="n">
        <f aca="false">J8+J10+J24</f>
        <v>45241.891390286</v>
      </c>
      <c r="K11" s="0" t="n">
        <f aca="false">K8+K10+K24</f>
        <v>46146.7292180918</v>
      </c>
      <c r="L11" s="0" t="n">
        <f aca="false">L8+L10+L24</f>
        <v>47069.6638024536</v>
      </c>
    </row>
    <row r="12" customFormat="false" ht="15" hidden="false" customHeight="false" outlineLevel="0" collapsed="false">
      <c r="A12" s="0" t="s">
        <v>119</v>
      </c>
      <c r="C12" s="4" t="n">
        <f aca="false">-C6*Assumptions!C31/100</f>
        <v>-5624.96184</v>
      </c>
      <c r="D12" s="4" t="n">
        <f aca="false">-D6*Assumptions!D31/100</f>
        <v>-5709.3362676</v>
      </c>
      <c r="E12" s="4" t="n">
        <f aca="false">-E6*Assumptions!E31/100</f>
        <v>-5608.23343786125</v>
      </c>
      <c r="F12" s="4" t="n">
        <f aca="false">-F6*Assumptions!F31/100</f>
        <v>-5776.48044099709</v>
      </c>
      <c r="G12" s="4" t="n">
        <f aca="false">-G6*Assumptions!G31/100</f>
        <v>-5691.08899099974</v>
      </c>
      <c r="H12" s="4" t="n">
        <f aca="false">-H6*Assumptions!H31/100</f>
        <v>-5833.36621577473</v>
      </c>
      <c r="I12" s="4" t="n">
        <f aca="false">-I6*Assumptions!I31/100</f>
        <v>-5707.41853611596</v>
      </c>
      <c r="J12" s="4" t="n">
        <f aca="false">-J6*Assumptions!J31/100</f>
        <v>-5821.56690683828</v>
      </c>
      <c r="K12" s="4" t="n">
        <f aca="false">-K6*Assumptions!K31/100</f>
        <v>-5655.23642378576</v>
      </c>
      <c r="L12" s="4" t="n">
        <f aca="false">-L6*Assumptions!L31/100</f>
        <v>-5768.34115226147</v>
      </c>
    </row>
    <row r="13" customFormat="false" ht="15" hidden="false" customHeight="false" outlineLevel="0" collapsed="false">
      <c r="A13" s="0" t="s">
        <v>120</v>
      </c>
      <c r="C13" s="0" t="n">
        <f aca="false">C11+C12</f>
        <v>27937.310472</v>
      </c>
      <c r="D13" s="0" t="n">
        <f aca="false">D11+D12</f>
        <v>30259.48221828</v>
      </c>
      <c r="E13" s="0" t="n">
        <f aca="false">E11+E12</f>
        <v>32966.659165167</v>
      </c>
      <c r="F13" s="0" t="n">
        <f aca="false">F11+F12</f>
        <v>34709.1129106869</v>
      </c>
      <c r="G13" s="0" t="n">
        <f aca="false">G11+G12</f>
        <v>36526.4438876892</v>
      </c>
      <c r="H13" s="0" t="n">
        <f aca="false">H11+H12</f>
        <v>37439.6049848815</v>
      </c>
      <c r="I13" s="0" t="n">
        <f aca="false">I11+I12</f>
        <v>38647.3769445566</v>
      </c>
      <c r="J13" s="0" t="n">
        <f aca="false">J11+J12</f>
        <v>39420.3244834478</v>
      </c>
      <c r="K13" s="0" t="n">
        <f aca="false">K11+K12</f>
        <v>40491.492794306</v>
      </c>
      <c r="L13" s="0" t="n">
        <f aca="false">L11+L12</f>
        <v>41301.3226501921</v>
      </c>
    </row>
    <row r="14" customFormat="false" ht="15" hidden="false" customHeight="false" outlineLevel="0" collapsed="false">
      <c r="A14" s="0" t="s">
        <v>106</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121</v>
      </c>
      <c r="C15" s="0" t="n">
        <f aca="false">C13-MAX(0,C13)*C14/100</f>
        <v>21232.35595872</v>
      </c>
      <c r="D15" s="0" t="n">
        <f aca="false">D13-MAX(0,D13)*D14/100</f>
        <v>22997.2064858928</v>
      </c>
      <c r="E15" s="0" t="n">
        <f aca="false">E13-MAX(0,E13)*E14/100</f>
        <v>25054.6609655269</v>
      </c>
      <c r="F15" s="0" t="n">
        <f aca="false">F13-MAX(0,F13)*F14/100</f>
        <v>26378.925812122</v>
      </c>
      <c r="G15" s="0" t="n">
        <f aca="false">G13-MAX(0,G13)*G14/100</f>
        <v>27760.0973546438</v>
      </c>
      <c r="H15" s="0" t="n">
        <f aca="false">H13-MAX(0,H13)*H14/100</f>
        <v>28454.0997885099</v>
      </c>
      <c r="I15" s="0" t="n">
        <f aca="false">I13-MAX(0,I13)*I14/100</f>
        <v>29372.006477863</v>
      </c>
      <c r="J15" s="0" t="n">
        <f aca="false">J13-MAX(0,J13)*J14/100</f>
        <v>29959.4466074203</v>
      </c>
      <c r="K15" s="0" t="n">
        <f aca="false">K13-MAX(0,K13)*K14/100</f>
        <v>30773.5345236726</v>
      </c>
      <c r="L15" s="0" t="n">
        <f aca="false">L13-MAX(0,L13)*L14/100</f>
        <v>31389.005214146</v>
      </c>
    </row>
    <row r="16" customFormat="false" ht="15" hidden="false" customHeight="false" outlineLevel="0" collapsed="false">
      <c r="A16" s="0" t="s">
        <v>122</v>
      </c>
      <c r="C16" s="0" t="n">
        <f aca="false">-C12</f>
        <v>5624.96184</v>
      </c>
      <c r="D16" s="0" t="n">
        <f aca="false">-D12</f>
        <v>5709.3362676</v>
      </c>
      <c r="E16" s="0" t="n">
        <f aca="false">-E12</f>
        <v>5608.23343786125</v>
      </c>
      <c r="F16" s="0" t="n">
        <f aca="false">-F12</f>
        <v>5776.48044099709</v>
      </c>
      <c r="G16" s="0" t="n">
        <f aca="false">-G12</f>
        <v>5691.08899099974</v>
      </c>
      <c r="H16" s="0" t="n">
        <f aca="false">-H12</f>
        <v>5833.36621577473</v>
      </c>
      <c r="I16" s="0" t="n">
        <f aca="false">-I12</f>
        <v>5707.41853611596</v>
      </c>
      <c r="J16" s="0" t="n">
        <f aca="false">-J12</f>
        <v>5821.56690683828</v>
      </c>
      <c r="K16" s="0" t="n">
        <f aca="false">-K12</f>
        <v>5655.23642378576</v>
      </c>
      <c r="L16" s="0" t="n">
        <f aca="false">-L12</f>
        <v>5768.34115226147</v>
      </c>
    </row>
    <row r="17" customFormat="false" ht="15" hidden="false" customHeight="false" outlineLevel="0" collapsed="false">
      <c r="A17" s="0" t="s">
        <v>123</v>
      </c>
      <c r="C17" s="4" t="n">
        <f aca="false">-C6*Assumptions!C32/100</f>
        <v>-4453.09479</v>
      </c>
      <c r="D17" s="4" t="n">
        <f aca="false">-D6*Assumptions!D32/100</f>
        <v>-4519.89121185</v>
      </c>
      <c r="E17" s="4" t="n">
        <f aca="false">-E6*Assumptions!E32/100</f>
        <v>-4632.88849214625</v>
      </c>
      <c r="F17" s="4" t="n">
        <f aca="false">-F6*Assumptions!F32/100</f>
        <v>-5023.02647043225</v>
      </c>
      <c r="G17" s="4" t="n">
        <f aca="false">-G6*Assumptions!G32/100</f>
        <v>-5173.71726454522</v>
      </c>
      <c r="H17" s="4" t="n">
        <f aca="false">-H6*Assumptions!H32/100</f>
        <v>-5303.06019615885</v>
      </c>
      <c r="I17" s="4" t="n">
        <f aca="false">-I6*Assumptions!I32/100</f>
        <v>-5435.63670106282</v>
      </c>
      <c r="J17" s="4" t="n">
        <f aca="false">-J6*Assumptions!J32/100</f>
        <v>-5544.34943508408</v>
      </c>
      <c r="K17" s="4" t="n">
        <f aca="false">-K6*Assumptions!K32/100</f>
        <v>-5655.23642378576</v>
      </c>
      <c r="L17" s="4" t="n">
        <f aca="false">-L6*Assumptions!L32/100</f>
        <v>-5768.34115226147</v>
      </c>
    </row>
    <row r="18" customFormat="false" ht="15" hidden="false" customHeight="false" outlineLevel="0" collapsed="false">
      <c r="A18" s="0" t="s">
        <v>124</v>
      </c>
      <c r="C18" s="4" t="n">
        <f aca="false">(C6-B6)*Assumptions!$B$37/100</f>
        <v>-682.641</v>
      </c>
      <c r="D18" s="4" t="n">
        <f aca="false">(D6-C6)*Assumptions!$B$37/100</f>
        <v>-351.560114999997</v>
      </c>
      <c r="E18" s="4" t="n">
        <f aca="false">(E6-D6)*Assumptions!$B$37/100</f>
        <v>-594.722527874998</v>
      </c>
      <c r="F18" s="4" t="n">
        <f aca="false">(F6-E6)*Assumptions!$B$37/100</f>
        <v>-731.508709286249</v>
      </c>
      <c r="G18" s="4" t="n">
        <f aca="false">(G6-F6)*Assumptions!$B$37/100</f>
        <v>-753.453970564838</v>
      </c>
      <c r="H18" s="4" t="n">
        <f aca="false">(H6-G6)*Assumptions!$B$37/100</f>
        <v>-646.71465806815</v>
      </c>
      <c r="I18" s="4" t="n">
        <f aca="false">(I6-H6)*Assumptions!$B$37/100</f>
        <v>-662.882524519856</v>
      </c>
      <c r="J18" s="4" t="n">
        <f aca="false">(J6-I6)*Assumptions!$B$37/100</f>
        <v>-543.563670106285</v>
      </c>
      <c r="K18" s="4" t="n">
        <f aca="false">(K6-J6)*Assumptions!$B$37/100</f>
        <v>-554.434943508409</v>
      </c>
      <c r="L18" s="4" t="n">
        <f aca="false">(L6-K6)*Assumptions!$B$37/100</f>
        <v>-565.523642378574</v>
      </c>
    </row>
    <row r="19" customFormat="false" ht="15" hidden="false" customHeight="false" outlineLevel="0" collapsed="false">
      <c r="A19" s="0" t="s">
        <v>125</v>
      </c>
      <c r="C19" s="0" t="n">
        <f aca="false">C15+C16+C17+C18</f>
        <v>21721.58200872</v>
      </c>
      <c r="D19" s="0" t="n">
        <f aca="false">D15+D16+D17+D18</f>
        <v>23835.0914266428</v>
      </c>
      <c r="E19" s="0" t="n">
        <f aca="false">E15+E16+E17+E18</f>
        <v>25435.2833833669</v>
      </c>
      <c r="F19" s="0" t="n">
        <f aca="false">F15+F16+F17+F18</f>
        <v>26400.8710734006</v>
      </c>
      <c r="G19" s="0" t="n">
        <f aca="false">G15+G16+G17+G18</f>
        <v>27524.0151105335</v>
      </c>
      <c r="H19" s="0" t="n">
        <f aca="false">H15+H16+H17+H18</f>
        <v>28337.6911500576</v>
      </c>
      <c r="I19" s="0" t="n">
        <f aca="false">I15+I16+I17+I18</f>
        <v>28980.9057883963</v>
      </c>
      <c r="J19" s="0" t="n">
        <f aca="false">J15+J16+J17+J18</f>
        <v>29693.1004090682</v>
      </c>
      <c r="K19" s="0" t="n">
        <f aca="false">K15+K16+K17+K18</f>
        <v>30219.0995801642</v>
      </c>
      <c r="L19" s="0" t="n">
        <f aca="false">L15+L16+L17+L18</f>
        <v>30823.4815717674</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19928.0568887339</v>
      </c>
      <c r="D21" s="0" t="n">
        <f aca="false">D19*D20</f>
        <v>20061.5195914846</v>
      </c>
      <c r="E21" s="0" t="n">
        <f aca="false">E19*E20</f>
        <v>19640.7056393076</v>
      </c>
      <c r="F21" s="0" t="n">
        <f aca="false">F19*F20</f>
        <v>18703.0426624789</v>
      </c>
      <c r="G21" s="0" t="n">
        <f aca="false">G19*G20</f>
        <v>17888.7212972856</v>
      </c>
      <c r="H21" s="0" t="n">
        <f aca="false">H19*H20</f>
        <v>16896.8393519737</v>
      </c>
      <c r="I21" s="0" t="n">
        <f aca="false">I19*I20</f>
        <v>15853.5479128307</v>
      </c>
      <c r="J21" s="0" t="n">
        <f aca="false">J19*J20</f>
        <v>14901.965834249</v>
      </c>
      <c r="K21" s="0" t="n">
        <f aca="false">K19*K20</f>
        <v>13913.712918677</v>
      </c>
      <c r="L21" s="0" t="n">
        <f aca="false">L19*L20</f>
        <v>13020.1717220647</v>
      </c>
    </row>
    <row r="23" customFormat="false" ht="15" hidden="false" customHeight="false" outlineLevel="0" collapsed="false">
      <c r="A23" s="0" t="s">
        <v>103</v>
      </c>
      <c r="C23" s="4" t="n">
        <f aca="false">Assumptions!C30</f>
        <v>1</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128</v>
      </c>
      <c r="C24" s="0" t="n">
        <f aca="false">-C6*C23/100</f>
        <v>-2343.7341</v>
      </c>
      <c r="D24" s="0" t="n">
        <f aca="false">-D6*D23/100</f>
        <v>-2378.8901115</v>
      </c>
      <c r="E24" s="0" t="n">
        <f aca="false">-E6*E23/100</f>
        <v>-2438.3623642875</v>
      </c>
      <c r="F24" s="0" t="n">
        <f aca="false">-F6*F23/100</f>
        <v>-2511.51323521612</v>
      </c>
      <c r="G24" s="0" t="n">
        <f aca="false">-G6*G23/100</f>
        <v>-2586.85863227261</v>
      </c>
      <c r="H24" s="0" t="n">
        <f aca="false">-H6*H23/100</f>
        <v>-2651.53009807942</v>
      </c>
      <c r="I24" s="0" t="n">
        <f aca="false">-I6*I23/100</f>
        <v>-2717.81835053141</v>
      </c>
      <c r="J24" s="0" t="n">
        <f aca="false">-J6*J23/100</f>
        <v>-2772.17471754204</v>
      </c>
      <c r="K24" s="0" t="n">
        <f aca="false">-K6*K23/100</f>
        <v>-2827.61821189288</v>
      </c>
      <c r="L24" s="0" t="n">
        <f aca="false">-L6*L23/100</f>
        <v>-2884.17057613074</v>
      </c>
    </row>
    <row r="26" customFormat="false" ht="15" hidden="false" customHeight="false" outlineLevel="0" collapsed="false">
      <c r="A26" s="2" t="s">
        <v>129</v>
      </c>
    </row>
    <row r="27" customFormat="false" ht="15" hidden="false" customHeight="false" outlineLevel="0" collapsed="false">
      <c r="A27" s="0" t="s">
        <v>107</v>
      </c>
      <c r="B27" s="4" t="n">
        <f aca="false">Assumptions!$B$34</f>
        <v>9</v>
      </c>
    </row>
    <row r="28" customFormat="false" ht="15" hidden="false" customHeight="false" outlineLevel="0" collapsed="false">
      <c r="A28" s="0" t="s">
        <v>108</v>
      </c>
      <c r="B28" s="4" t="n">
        <f aca="false">Assumptions!$B$35</f>
        <v>2</v>
      </c>
    </row>
    <row r="29" customFormat="false" ht="15" hidden="false" customHeight="false" outlineLevel="0" collapsed="false">
      <c r="A29" s="0" t="s">
        <v>109</v>
      </c>
      <c r="B29" s="4" t="n">
        <f aca="false">Assumptions!$B$36</f>
        <v>12</v>
      </c>
    </row>
    <row r="30" customFormat="false" ht="15" hidden="false" customHeight="false" outlineLevel="0" collapsed="false">
      <c r="A30" s="0" t="s">
        <v>130</v>
      </c>
      <c r="B30" s="0" t="n">
        <f aca="false">SUM(C21:L21)</f>
        <v>170808.283819086</v>
      </c>
    </row>
    <row r="31" customFormat="false" ht="15" hidden="false" customHeight="false" outlineLevel="0" collapsed="false">
      <c r="A31" s="0" t="s">
        <v>131</v>
      </c>
      <c r="B31" s="0" t="n">
        <f aca="false">L19</f>
        <v>30823.4815717674</v>
      </c>
    </row>
    <row r="32" customFormat="false" ht="15" hidden="false" customHeight="false" outlineLevel="0" collapsed="false">
      <c r="A32" s="0" t="s">
        <v>132</v>
      </c>
      <c r="B32" s="0" t="n">
        <f aca="false">IF(B27&gt;B28,B31*(1+B28/100)/((B27-B28)/100),B31*B29)</f>
        <v>449142.160045754</v>
      </c>
    </row>
    <row r="33" customFormat="false" ht="15" hidden="false" customHeight="false" outlineLevel="0" collapsed="false">
      <c r="A33" s="0" t="s">
        <v>133</v>
      </c>
      <c r="B33" s="0" t="n">
        <f aca="false">B31*B29</f>
        <v>369881.778861209</v>
      </c>
    </row>
    <row r="34" customFormat="false" ht="15" hidden="false" customHeight="false" outlineLevel="0" collapsed="false">
      <c r="A34" s="0" t="s">
        <v>134</v>
      </c>
      <c r="B34" s="0" t="n">
        <f aca="false">MAX(0,MIN(B32,B33))</f>
        <v>369881.778861209</v>
      </c>
    </row>
    <row r="35" customFormat="false" ht="15" hidden="false" customHeight="false" outlineLevel="0" collapsed="false">
      <c r="A35" s="0" t="s">
        <v>135</v>
      </c>
      <c r="B35" s="0" t="n">
        <f aca="false">B34/(1+B27/100)^L4</f>
        <v>156242.060664776</v>
      </c>
    </row>
    <row r="36" customFormat="false" ht="15" hidden="false" customHeight="false" outlineLevel="0" collapsed="false">
      <c r="A36" s="0" t="s">
        <v>136</v>
      </c>
      <c r="B36" s="0" t="n">
        <f aca="false">B30+B35</f>
        <v>327050.344483862</v>
      </c>
    </row>
    <row r="37" customFormat="false" ht="15" hidden="false" customHeight="false" outlineLevel="0" collapsed="false">
      <c r="A37" s="0" t="s">
        <v>137</v>
      </c>
      <c r="B37" s="0" t="n">
        <f aca="false">B36+Assumptions!$B$5-Assumptions!$B$4</f>
        <v>364624.344483862</v>
      </c>
    </row>
    <row r="38" customFormat="false" ht="15" hidden="false" customHeight="false" outlineLevel="0" collapsed="false">
      <c r="A38" s="0" t="s">
        <v>138</v>
      </c>
      <c r="B38" s="0" t="n">
        <f aca="false">B37/Assumptions!$B$3*Assumptions!$B$10</f>
        <v>11.0967490754933</v>
      </c>
    </row>
    <row r="39" customFormat="false" ht="15" hidden="false" customHeight="false" outlineLevel="0" collapsed="false">
      <c r="A39" s="0" t="s">
        <v>139</v>
      </c>
      <c r="B39" s="4" t="n">
        <f aca="false">B38/Assumptions!$B$2-1</f>
        <v>0.194483215876564</v>
      </c>
    </row>
    <row r="41" customFormat="false" ht="15" hidden="false" customHeight="false" outlineLevel="0" collapsed="false">
      <c r="A41" s="0" t="s">
        <v>140</v>
      </c>
      <c r="B41" s="0" t="n">
        <f aca="false">SUMPRODUCT(-C10:L10/(1+$B$27/100)^C4:L4)</f>
        <v>1318.00658482321</v>
      </c>
    </row>
    <row r="42" customFormat="false" ht="15" hidden="false" customHeight="false" outlineLevel="0" collapsed="false">
      <c r="A42" s="0" t="s">
        <v>141</v>
      </c>
      <c r="B42" s="0" t="n">
        <f aca="false">IF(B27&gt;B28,-L10*(1+B28/100)/((B27-B28)/100),-L10*20)/(1+B27/100)^L4</f>
        <v>1420.19533336452</v>
      </c>
    </row>
    <row r="43" customFormat="false" ht="15" hidden="false" customHeight="false" outlineLevel="0" collapsed="false">
      <c r="A43" s="0" t="s">
        <v>142</v>
      </c>
      <c r="B43" s="0" t="n">
        <f aca="false">(B37+B41+B42)/Assumptions!$B$3*Assumptions!$B$10</f>
        <v>11.1800817987846</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241845.778486175</v>
      </c>
    </row>
    <row r="47" customFormat="false" ht="15" hidden="false" customHeight="false" outlineLevel="0" collapsed="false">
      <c r="A47" s="0" t="s">
        <v>144</v>
      </c>
      <c r="B47" s="0" t="n">
        <f aca="false">(SUMPRODUCT(C19:L19/(1+B45/100)^C4:L4)+B46/(1+B45/100)^L4+Assumptions!$B$5-Assumptions!$B$4)/Assumptions!$B$3*Assumptions!$B$10</f>
        <v>6.96409927550538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85</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4</v>
      </c>
      <c r="D5" s="4" t="n">
        <f aca="false">Assumptions!D41</f>
        <v>4</v>
      </c>
      <c r="E5" s="4" t="n">
        <f aca="false">Assumptions!E41</f>
        <v>5</v>
      </c>
      <c r="F5" s="4" t="n">
        <f aca="false">Assumptions!F41</f>
        <v>5</v>
      </c>
      <c r="G5" s="4" t="n">
        <f aca="false">Assumptions!G41</f>
        <v>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227547</v>
      </c>
      <c r="C6" s="0" t="n">
        <f aca="false">B6*(1+C5/100)</f>
        <v>236648.88</v>
      </c>
      <c r="D6" s="0" t="n">
        <f aca="false">C6*(1+D5/100)</f>
        <v>246114.8352</v>
      </c>
      <c r="E6" s="0" t="n">
        <f aca="false">D6*(1+E5/100)</f>
        <v>258420.57696</v>
      </c>
      <c r="F6" s="0" t="n">
        <f aca="false">E6*(1+F5/100)</f>
        <v>271341.605808</v>
      </c>
      <c r="G6" s="0" t="n">
        <f aca="false">F6*(1+G5/100)</f>
        <v>284908.6860984</v>
      </c>
      <c r="H6" s="0" t="n">
        <f aca="false">G6*(1+H5/100)</f>
        <v>296305.033542336</v>
      </c>
      <c r="I6" s="0" t="n">
        <f aca="false">H6*(1+I5/100)</f>
        <v>306675.709716318</v>
      </c>
      <c r="J6" s="0" t="n">
        <f aca="false">I6*(1+J5/100)</f>
        <v>315875.981007807</v>
      </c>
      <c r="K6" s="0" t="n">
        <f aca="false">J6*(1+K5/100)</f>
        <v>325352.260438042</v>
      </c>
      <c r="L6" s="0" t="n">
        <f aca="false">K6*(1+L5/100)</f>
        <v>335112.828251183</v>
      </c>
    </row>
    <row r="7" customFormat="false" ht="15" hidden="false" customHeight="false" outlineLevel="0" collapsed="false">
      <c r="A7" s="0" t="s">
        <v>101</v>
      </c>
      <c r="C7" s="4" t="n">
        <f aca="false">Assumptions!C42</f>
        <v>16</v>
      </c>
      <c r="D7" s="4" t="n">
        <f aca="false">Assumptions!D42</f>
        <v>17.5</v>
      </c>
      <c r="E7" s="4" t="n">
        <f aca="false">Assumptions!E42</f>
        <v>18.5</v>
      </c>
      <c r="F7" s="4" t="n">
        <f aca="false">Assumptions!F42</f>
        <v>19</v>
      </c>
      <c r="G7" s="4" t="n">
        <f aca="false">Assumptions!G42</f>
        <v>19.4</v>
      </c>
      <c r="H7" s="4" t="n">
        <f aca="false">Assumptions!H42</f>
        <v>19.4</v>
      </c>
      <c r="I7" s="4" t="n">
        <f aca="false">Assumptions!I42</f>
        <v>19.4</v>
      </c>
      <c r="J7" s="4" t="n">
        <f aca="false">Assumptions!J42</f>
        <v>19.4</v>
      </c>
      <c r="K7" s="4" t="n">
        <f aca="false">Assumptions!K42</f>
        <v>19.4</v>
      </c>
      <c r="L7" s="4" t="n">
        <f aca="false">Assumptions!L42</f>
        <v>19.4</v>
      </c>
    </row>
    <row r="8" customFormat="false" ht="15" hidden="false" customHeight="false" outlineLevel="0" collapsed="false">
      <c r="A8" s="0" t="s">
        <v>44</v>
      </c>
      <c r="C8" s="0" t="n">
        <f aca="false">C6*C7/100</f>
        <v>37863.8208</v>
      </c>
      <c r="D8" s="0" t="n">
        <f aca="false">D6*D7/100</f>
        <v>43070.09616</v>
      </c>
      <c r="E8" s="0" t="n">
        <f aca="false">E6*E7/100</f>
        <v>47807.8067376</v>
      </c>
      <c r="F8" s="0" t="n">
        <f aca="false">F6*F7/100</f>
        <v>51554.90510352</v>
      </c>
      <c r="G8" s="0" t="n">
        <f aca="false">G6*G7/100</f>
        <v>55272.2851030896</v>
      </c>
      <c r="H8" s="0" t="n">
        <f aca="false">H6*H7/100</f>
        <v>57483.1765072132</v>
      </c>
      <c r="I8" s="0" t="n">
        <f aca="false">I6*I7/100</f>
        <v>59495.0876849657</v>
      </c>
      <c r="J8" s="0" t="n">
        <f aca="false">J6*J7/100</f>
        <v>61279.9403155146</v>
      </c>
      <c r="K8" s="0" t="n">
        <f aca="false">K6*K7/100</f>
        <v>63118.3385249801</v>
      </c>
      <c r="L8" s="0" t="n">
        <f aca="false">L6*L7/100</f>
        <v>65011.8886807295</v>
      </c>
    </row>
    <row r="9" customFormat="false" ht="15" hidden="false" customHeight="false" outlineLevel="0" collapsed="false">
      <c r="A9" s="0" t="s">
        <v>102</v>
      </c>
      <c r="C9" s="4" t="n">
        <f aca="false">Assumptions!C43</f>
        <v>0.08</v>
      </c>
      <c r="D9" s="4" t="n">
        <f aca="false">Assumptions!D43</f>
        <v>0.08</v>
      </c>
      <c r="E9" s="4" t="n">
        <f aca="false">Assumptions!E43</f>
        <v>0.08</v>
      </c>
      <c r="F9" s="4" t="n">
        <f aca="false">Assumptions!F43</f>
        <v>0.08</v>
      </c>
      <c r="G9" s="4" t="n">
        <f aca="false">Assumptions!G43</f>
        <v>0.08</v>
      </c>
      <c r="H9" s="4" t="n">
        <f aca="false">Assumptions!H43</f>
        <v>0.08</v>
      </c>
      <c r="I9" s="4" t="n">
        <f aca="false">Assumptions!I43</f>
        <v>0.08</v>
      </c>
      <c r="J9" s="4" t="n">
        <f aca="false">Assumptions!J43</f>
        <v>0.08</v>
      </c>
      <c r="K9" s="4" t="n">
        <f aca="false">Assumptions!K43</f>
        <v>0.08</v>
      </c>
      <c r="L9" s="4" t="n">
        <f aca="false">Assumptions!L43</f>
        <v>0.08</v>
      </c>
    </row>
    <row r="10" customFormat="false" ht="15" hidden="false" customHeight="false" outlineLevel="0" collapsed="false">
      <c r="A10" s="0" t="s">
        <v>117</v>
      </c>
      <c r="C10" s="0" t="n">
        <f aca="false">-C6*C9/100</f>
        <v>-189.319104</v>
      </c>
      <c r="D10" s="0" t="n">
        <f aca="false">-D6*D9/100</f>
        <v>-196.89186816</v>
      </c>
      <c r="E10" s="0" t="n">
        <f aca="false">-E6*E9/100</f>
        <v>-206.736461568</v>
      </c>
      <c r="F10" s="0" t="n">
        <f aca="false">-F6*F9/100</f>
        <v>-217.0732846464</v>
      </c>
      <c r="G10" s="0" t="n">
        <f aca="false">-G6*G9/100</f>
        <v>-227.92694887872</v>
      </c>
      <c r="H10" s="0" t="n">
        <f aca="false">-H6*H9/100</f>
        <v>-237.044026833869</v>
      </c>
      <c r="I10" s="0" t="n">
        <f aca="false">-I6*I9/100</f>
        <v>-245.340567773054</v>
      </c>
      <c r="J10" s="0" t="n">
        <f aca="false">-J6*J9/100</f>
        <v>-252.700784806246</v>
      </c>
      <c r="K10" s="0" t="n">
        <f aca="false">-K6*K9/100</f>
        <v>-260.281808350433</v>
      </c>
      <c r="L10" s="0" t="n">
        <f aca="false">-L6*L9/100</f>
        <v>-268.090262600946</v>
      </c>
    </row>
    <row r="11" customFormat="false" ht="15" hidden="false" customHeight="false" outlineLevel="0" collapsed="false">
      <c r="A11" s="0" t="s">
        <v>118</v>
      </c>
      <c r="C11" s="0" t="n">
        <f aca="false">C8+C10+C24</f>
        <v>35308.012896</v>
      </c>
      <c r="D11" s="0" t="n">
        <f aca="false">D8+D10+D24</f>
        <v>40412.05593984</v>
      </c>
      <c r="E11" s="0" t="n">
        <f aca="false">E8+E10+E24</f>
        <v>45016.864506432</v>
      </c>
      <c r="F11" s="0" t="n">
        <f aca="false">F8+F10+F24</f>
        <v>48624.4157607936</v>
      </c>
      <c r="G11" s="0" t="n">
        <f aca="false">G8+G10+G24</f>
        <v>52480.1799793253</v>
      </c>
      <c r="H11" s="0" t="n">
        <f aca="false">H8+H10+H24</f>
        <v>54579.3871784983</v>
      </c>
      <c r="I11" s="0" t="n">
        <f aca="false">I8+I10+I24</f>
        <v>56489.6657297457</v>
      </c>
      <c r="J11" s="0" t="n">
        <f aca="false">J8+J10+J24</f>
        <v>58184.3557016381</v>
      </c>
      <c r="K11" s="0" t="n">
        <f aca="false">K8+K10+K24</f>
        <v>59929.8863726872</v>
      </c>
      <c r="L11" s="0" t="n">
        <f aca="false">L8+L10+L24</f>
        <v>61727.7829638679</v>
      </c>
    </row>
    <row r="12" customFormat="false" ht="15" hidden="false" customHeight="false" outlineLevel="0" collapsed="false">
      <c r="A12" s="0" t="s">
        <v>119</v>
      </c>
      <c r="C12" s="4" t="n">
        <f aca="false">-C6*Assumptions!C45/100</f>
        <v>-5679.57312</v>
      </c>
      <c r="D12" s="4" t="n">
        <f aca="false">-D6*Assumptions!D45/100</f>
        <v>-5906.7560448</v>
      </c>
      <c r="E12" s="4" t="n">
        <f aca="false">-E6*Assumptions!E45/100</f>
        <v>-5943.67327008</v>
      </c>
      <c r="F12" s="4" t="n">
        <f aca="false">-F6*Assumptions!F45/100</f>
        <v>-6240.856933584</v>
      </c>
      <c r="G12" s="4" t="n">
        <f aca="false">-G6*Assumptions!G45/100</f>
        <v>-6267.9910941648</v>
      </c>
      <c r="H12" s="4" t="n">
        <f aca="false">-H6*Assumptions!H45/100</f>
        <v>-6518.71073793139</v>
      </c>
      <c r="I12" s="4" t="n">
        <f aca="false">-I6*Assumptions!I45/100</f>
        <v>-6440.18990404267</v>
      </c>
      <c r="J12" s="4" t="n">
        <f aca="false">-J6*Assumptions!J45/100</f>
        <v>-6633.39560116395</v>
      </c>
      <c r="K12" s="4" t="n">
        <f aca="false">-K6*Assumptions!K45/100</f>
        <v>-6507.04520876083</v>
      </c>
      <c r="L12" s="4" t="n">
        <f aca="false">-L6*Assumptions!L45/100</f>
        <v>-6702.25656502366</v>
      </c>
    </row>
    <row r="13" customFormat="false" ht="15" hidden="false" customHeight="false" outlineLevel="0" collapsed="false">
      <c r="A13" s="0" t="s">
        <v>120</v>
      </c>
      <c r="C13" s="0" t="n">
        <f aca="false">C11+C12</f>
        <v>29628.439776</v>
      </c>
      <c r="D13" s="0" t="n">
        <f aca="false">D11+D12</f>
        <v>34505.29989504</v>
      </c>
      <c r="E13" s="0" t="n">
        <f aca="false">E11+E12</f>
        <v>39073.191236352</v>
      </c>
      <c r="F13" s="0" t="n">
        <f aca="false">F11+F12</f>
        <v>42383.5588272096</v>
      </c>
      <c r="G13" s="0" t="n">
        <f aca="false">G11+G12</f>
        <v>46212.1888851605</v>
      </c>
      <c r="H13" s="0" t="n">
        <f aca="false">H11+H12</f>
        <v>48060.6764405669</v>
      </c>
      <c r="I13" s="0" t="n">
        <f aca="false">I11+I12</f>
        <v>50049.4758257031</v>
      </c>
      <c r="J13" s="0" t="n">
        <f aca="false">J11+J12</f>
        <v>51550.9601004742</v>
      </c>
      <c r="K13" s="0" t="n">
        <f aca="false">K11+K12</f>
        <v>53422.8411639264</v>
      </c>
      <c r="L13" s="0" t="n">
        <f aca="false">L11+L12</f>
        <v>55025.5263988442</v>
      </c>
    </row>
    <row r="14" customFormat="false" ht="15" hidden="false" customHeight="false" outlineLevel="0" collapsed="false">
      <c r="A14" s="0" t="s">
        <v>106</v>
      </c>
      <c r="C14" s="4" t="n">
        <f aca="false">Assumptions!C47</f>
        <v>23</v>
      </c>
      <c r="D14" s="4" t="n">
        <f aca="false">Assumptions!D47</f>
        <v>23</v>
      </c>
      <c r="E14" s="4" t="n">
        <f aca="false">Assumptions!E47</f>
        <v>23</v>
      </c>
      <c r="F14" s="4" t="n">
        <f aca="false">Assumptions!F47</f>
        <v>23</v>
      </c>
      <c r="G14" s="4" t="n">
        <f aca="false">Assumptions!G47</f>
        <v>23</v>
      </c>
      <c r="H14" s="4" t="n">
        <f aca="false">Assumptions!H47</f>
        <v>23</v>
      </c>
      <c r="I14" s="4" t="n">
        <f aca="false">Assumptions!I47</f>
        <v>23</v>
      </c>
      <c r="J14" s="4" t="n">
        <f aca="false">Assumptions!J47</f>
        <v>23</v>
      </c>
      <c r="K14" s="4" t="n">
        <f aca="false">Assumptions!K47</f>
        <v>23</v>
      </c>
      <c r="L14" s="4" t="n">
        <f aca="false">Assumptions!L47</f>
        <v>23</v>
      </c>
    </row>
    <row r="15" customFormat="false" ht="15" hidden="false" customHeight="false" outlineLevel="0" collapsed="false">
      <c r="A15" s="0" t="s">
        <v>121</v>
      </c>
      <c r="C15" s="0" t="n">
        <f aca="false">C13-MAX(0,C13)*C14/100</f>
        <v>22813.89862752</v>
      </c>
      <c r="D15" s="0" t="n">
        <f aca="false">D13-MAX(0,D13)*D14/100</f>
        <v>26569.0809191808</v>
      </c>
      <c r="E15" s="0" t="n">
        <f aca="false">E13-MAX(0,E13)*E14/100</f>
        <v>30086.357251991</v>
      </c>
      <c r="F15" s="0" t="n">
        <f aca="false">F13-MAX(0,F13)*F14/100</f>
        <v>32635.3402969514</v>
      </c>
      <c r="G15" s="0" t="n">
        <f aca="false">G13-MAX(0,G13)*G14/100</f>
        <v>35583.3854415736</v>
      </c>
      <c r="H15" s="0" t="n">
        <f aca="false">H13-MAX(0,H13)*H14/100</f>
        <v>37006.7208592365</v>
      </c>
      <c r="I15" s="0" t="n">
        <f aca="false">I13-MAX(0,I13)*I14/100</f>
        <v>38538.0963857914</v>
      </c>
      <c r="J15" s="0" t="n">
        <f aca="false">J13-MAX(0,J13)*J14/100</f>
        <v>39694.2392773651</v>
      </c>
      <c r="K15" s="0" t="n">
        <f aca="false">K13-MAX(0,K13)*K14/100</f>
        <v>41135.5876962233</v>
      </c>
      <c r="L15" s="0" t="n">
        <f aca="false">L13-MAX(0,L13)*L14/100</f>
        <v>42369.65532711</v>
      </c>
    </row>
    <row r="16" customFormat="false" ht="15" hidden="false" customHeight="false" outlineLevel="0" collapsed="false">
      <c r="A16" s="0" t="s">
        <v>122</v>
      </c>
      <c r="C16" s="0" t="n">
        <f aca="false">-C12</f>
        <v>5679.57312</v>
      </c>
      <c r="D16" s="0" t="n">
        <f aca="false">-D12</f>
        <v>5906.7560448</v>
      </c>
      <c r="E16" s="0" t="n">
        <f aca="false">-E12</f>
        <v>5943.67327008</v>
      </c>
      <c r="F16" s="0" t="n">
        <f aca="false">-F12</f>
        <v>6240.856933584</v>
      </c>
      <c r="G16" s="0" t="n">
        <f aca="false">-G12</f>
        <v>6267.9910941648</v>
      </c>
      <c r="H16" s="0" t="n">
        <f aca="false">-H12</f>
        <v>6518.71073793139</v>
      </c>
      <c r="I16" s="0" t="n">
        <f aca="false">-I12</f>
        <v>6440.18990404267</v>
      </c>
      <c r="J16" s="0" t="n">
        <f aca="false">-J12</f>
        <v>6633.39560116395</v>
      </c>
      <c r="K16" s="0" t="n">
        <f aca="false">-K12</f>
        <v>6507.04520876083</v>
      </c>
      <c r="L16" s="0" t="n">
        <f aca="false">-L12</f>
        <v>6702.25656502366</v>
      </c>
    </row>
    <row r="17" customFormat="false" ht="15" hidden="false" customHeight="false" outlineLevel="0" collapsed="false">
      <c r="A17" s="0" t="s">
        <v>123</v>
      </c>
      <c r="C17" s="4" t="n">
        <f aca="false">-C6*Assumptions!C46/100</f>
        <v>-4496.32872</v>
      </c>
      <c r="D17" s="4" t="n">
        <f aca="false">-D6*Assumptions!D46/100</f>
        <v>-4676.1818688</v>
      </c>
      <c r="E17" s="4" t="n">
        <f aca="false">-E6*Assumptions!E46/100</f>
        <v>-4909.99096224</v>
      </c>
      <c r="F17" s="4" t="n">
        <f aca="false">-F6*Assumptions!F46/100</f>
        <v>-5155.490510352</v>
      </c>
      <c r="G17" s="4" t="n">
        <f aca="false">-G6*Assumptions!G46/100</f>
        <v>-5413.2650358696</v>
      </c>
      <c r="H17" s="4" t="n">
        <f aca="false">-H6*Assumptions!H46/100</f>
        <v>-5629.79563730438</v>
      </c>
      <c r="I17" s="4" t="n">
        <f aca="false">-I6*Assumptions!I46/100</f>
        <v>-5826.83848461004</v>
      </c>
      <c r="J17" s="4" t="n">
        <f aca="false">-J6*Assumptions!J46/100</f>
        <v>-6001.64363914834</v>
      </c>
      <c r="K17" s="4" t="n">
        <f aca="false">-K6*Assumptions!K46/100</f>
        <v>-6181.69294832279</v>
      </c>
      <c r="L17" s="4" t="n">
        <f aca="false">-L6*Assumptions!L46/100</f>
        <v>-6367.14373677247</v>
      </c>
    </row>
    <row r="18" customFormat="false" ht="15" hidden="false" customHeight="false" outlineLevel="0" collapsed="false">
      <c r="A18" s="0" t="s">
        <v>124</v>
      </c>
      <c r="C18" s="4" t="n">
        <f aca="false">(C6-B6)*Assumptions!$B$51/100</f>
        <v>-910.188</v>
      </c>
      <c r="D18" s="4" t="n">
        <f aca="false">(D6-C6)*Assumptions!$B$51/100</f>
        <v>-946.59552</v>
      </c>
      <c r="E18" s="4" t="n">
        <f aca="false">(E6-D6)*Assumptions!$B$51/100</f>
        <v>-1230.574176</v>
      </c>
      <c r="F18" s="4" t="n">
        <f aca="false">(F6-E6)*Assumptions!$B$51/100</f>
        <v>-1292.1028848</v>
      </c>
      <c r="G18" s="4" t="n">
        <f aca="false">(G6-F6)*Assumptions!$B$51/100</f>
        <v>-1356.70802904</v>
      </c>
      <c r="H18" s="4" t="n">
        <f aca="false">(H6-G6)*Assumptions!$B$51/100</f>
        <v>-1139.6347443936</v>
      </c>
      <c r="I18" s="4" t="n">
        <f aca="false">(I6-H6)*Assumptions!$B$51/100</f>
        <v>-1037.06761739817</v>
      </c>
      <c r="J18" s="4" t="n">
        <f aca="false">(J6-I6)*Assumptions!$B$51/100</f>
        <v>-920.027129148954</v>
      </c>
      <c r="K18" s="4" t="n">
        <f aca="false">(K6-J6)*Assumptions!$B$51/100</f>
        <v>-947.627943023422</v>
      </c>
      <c r="L18" s="4" t="n">
        <f aca="false">(L6-K6)*Assumptions!$B$51/100</f>
        <v>-976.056781314127</v>
      </c>
    </row>
    <row r="19" customFormat="false" ht="15" hidden="false" customHeight="false" outlineLevel="0" collapsed="false">
      <c r="A19" s="0" t="s">
        <v>125</v>
      </c>
      <c r="C19" s="0" t="n">
        <f aca="false">C15+C16+C17+C18</f>
        <v>23086.95502752</v>
      </c>
      <c r="D19" s="0" t="n">
        <f aca="false">D15+D16+D17+D18</f>
        <v>26853.0595751808</v>
      </c>
      <c r="E19" s="0" t="n">
        <f aca="false">E15+E16+E17+E18</f>
        <v>29889.465383831</v>
      </c>
      <c r="F19" s="0" t="n">
        <f aca="false">F15+F16+F17+F18</f>
        <v>32428.6038353834</v>
      </c>
      <c r="G19" s="0" t="n">
        <f aca="false">G15+G16+G17+G18</f>
        <v>35081.4034708288</v>
      </c>
      <c r="H19" s="0" t="n">
        <f aca="false">H15+H16+H17+H18</f>
        <v>36756.0012154699</v>
      </c>
      <c r="I19" s="0" t="n">
        <f aca="false">I15+I16+I17+I18</f>
        <v>38114.3801878258</v>
      </c>
      <c r="J19" s="0" t="n">
        <f aca="false">J15+J16+J17+J18</f>
        <v>39405.9641102318</v>
      </c>
      <c r="K19" s="0" t="n">
        <f aca="false">K15+K16+K17+K18</f>
        <v>40513.312013638</v>
      </c>
      <c r="L19" s="0" t="n">
        <f aca="false">L15+L16+L17+L18</f>
        <v>41728.7113740471</v>
      </c>
    </row>
    <row r="20" customFormat="false" ht="15" hidden="false" customHeight="false" outlineLevel="0" collapsed="false">
      <c r="A20" s="0" t="s">
        <v>126</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127</v>
      </c>
      <c r="C21" s="0" t="n">
        <f aca="false">C19*C20</f>
        <v>21180.6926857982</v>
      </c>
      <c r="D21" s="0" t="n">
        <f aca="false">D19*D20</f>
        <v>22601.6830024247</v>
      </c>
      <c r="E21" s="0" t="n">
        <f aca="false">E19*E20</f>
        <v>23080.1513972514</v>
      </c>
      <c r="F21" s="0" t="n">
        <f aca="false">F19*F20</f>
        <v>22973.2405166311</v>
      </c>
      <c r="G21" s="0" t="n">
        <f aca="false">G19*G20</f>
        <v>22800.5051910873</v>
      </c>
      <c r="H21" s="0" t="n">
        <f aca="false">H19*H20</f>
        <v>21916.4025915175</v>
      </c>
      <c r="I21" s="0" t="n">
        <f aca="false">I19*I20</f>
        <v>20849.8711837184</v>
      </c>
      <c r="J21" s="0" t="n">
        <f aca="false">J19*J20</f>
        <v>19776.5246049206</v>
      </c>
      <c r="K21" s="0" t="n">
        <f aca="false">K19*K20</f>
        <v>18653.4542912904</v>
      </c>
      <c r="L21" s="0" t="n">
        <f aca="false">L19*L20</f>
        <v>17626.6586422285</v>
      </c>
    </row>
    <row r="23" customFormat="false" ht="15" hidden="false" customHeight="false" outlineLevel="0" collapsed="false">
      <c r="A23" s="0" t="s">
        <v>103</v>
      </c>
      <c r="C23" s="4" t="n">
        <f aca="false">Assumptions!C44</f>
        <v>1</v>
      </c>
      <c r="D23" s="4" t="n">
        <f aca="false">Assumptions!D44</f>
        <v>1</v>
      </c>
      <c r="E23" s="4" t="n">
        <f aca="false">Assumptions!E44</f>
        <v>1</v>
      </c>
      <c r="F23" s="4" t="n">
        <f aca="false">Assumptions!F44</f>
        <v>1</v>
      </c>
      <c r="G23" s="4" t="n">
        <f aca="false">Assumptions!G44</f>
        <v>0.9</v>
      </c>
      <c r="H23" s="4" t="n">
        <f aca="false">Assumptions!H44</f>
        <v>0.9</v>
      </c>
      <c r="I23" s="4" t="n">
        <f aca="false">Assumptions!I44</f>
        <v>0.9</v>
      </c>
      <c r="J23" s="4" t="n">
        <f aca="false">Assumptions!J44</f>
        <v>0.9</v>
      </c>
      <c r="K23" s="4" t="n">
        <f aca="false">Assumptions!K44</f>
        <v>0.9</v>
      </c>
      <c r="L23" s="4" t="n">
        <f aca="false">Assumptions!L44</f>
        <v>0.9</v>
      </c>
    </row>
    <row r="24" customFormat="false" ht="15" hidden="false" customHeight="false" outlineLevel="0" collapsed="false">
      <c r="A24" s="0" t="s">
        <v>128</v>
      </c>
      <c r="C24" s="0" t="n">
        <f aca="false">-C6*C23/100</f>
        <v>-2366.4888</v>
      </c>
      <c r="D24" s="0" t="n">
        <f aca="false">-D6*D23/100</f>
        <v>-2461.148352</v>
      </c>
      <c r="E24" s="0" t="n">
        <f aca="false">-E6*E23/100</f>
        <v>-2584.2057696</v>
      </c>
      <c r="F24" s="0" t="n">
        <f aca="false">-F6*F23/100</f>
        <v>-2713.41605808</v>
      </c>
      <c r="G24" s="0" t="n">
        <f aca="false">-G6*G23/100</f>
        <v>-2564.1781748856</v>
      </c>
      <c r="H24" s="0" t="n">
        <f aca="false">-H6*H23/100</f>
        <v>-2666.74530188102</v>
      </c>
      <c r="I24" s="0" t="n">
        <f aca="false">-I6*I23/100</f>
        <v>-2760.08138744686</v>
      </c>
      <c r="J24" s="0" t="n">
        <f aca="false">-J6*J23/100</f>
        <v>-2842.88382907027</v>
      </c>
      <c r="K24" s="0" t="n">
        <f aca="false">-K6*K23/100</f>
        <v>-2928.17034394237</v>
      </c>
      <c r="L24" s="0" t="n">
        <f aca="false">-L6*L23/100</f>
        <v>-3016.01545426065</v>
      </c>
    </row>
    <row r="26" customFormat="false" ht="15" hidden="false" customHeight="false" outlineLevel="0" collapsed="false">
      <c r="A26" s="2" t="s">
        <v>129</v>
      </c>
    </row>
    <row r="27" customFormat="false" ht="15" hidden="false" customHeight="false" outlineLevel="0" collapsed="false">
      <c r="A27" s="0" t="s">
        <v>107</v>
      </c>
      <c r="B27" s="4" t="n">
        <f aca="false">Assumptions!$B$48</f>
        <v>9</v>
      </c>
    </row>
    <row r="28" customFormat="false" ht="15" hidden="false" customHeight="false" outlineLevel="0" collapsed="false">
      <c r="A28" s="0" t="s">
        <v>108</v>
      </c>
      <c r="B28" s="4" t="n">
        <f aca="false">Assumptions!$B$49</f>
        <v>2.5</v>
      </c>
    </row>
    <row r="29" customFormat="false" ht="15" hidden="false" customHeight="false" outlineLevel="0" collapsed="false">
      <c r="A29" s="0" t="s">
        <v>109</v>
      </c>
      <c r="B29" s="4" t="n">
        <f aca="false">Assumptions!$B$50</f>
        <v>14</v>
      </c>
    </row>
    <row r="30" customFormat="false" ht="15" hidden="false" customHeight="false" outlineLevel="0" collapsed="false">
      <c r="A30" s="0" t="s">
        <v>130</v>
      </c>
      <c r="B30" s="0" t="n">
        <f aca="false">SUM(C21:L21)</f>
        <v>211459.184106868</v>
      </c>
    </row>
    <row r="31" customFormat="false" ht="15" hidden="false" customHeight="false" outlineLevel="0" collapsed="false">
      <c r="A31" s="0" t="s">
        <v>131</v>
      </c>
      <c r="B31" s="0" t="n">
        <f aca="false">L19</f>
        <v>41728.7113740471</v>
      </c>
    </row>
    <row r="32" customFormat="false" ht="15" hidden="false" customHeight="false" outlineLevel="0" collapsed="false">
      <c r="A32" s="0" t="s">
        <v>132</v>
      </c>
      <c r="B32" s="0" t="n">
        <f aca="false">IF(B27&gt;B28,B31*(1+B28/100)/((B27-B28)/100),B31*B29)</f>
        <v>658029.679359973</v>
      </c>
    </row>
    <row r="33" customFormat="false" ht="15" hidden="false" customHeight="false" outlineLevel="0" collapsed="false">
      <c r="A33" s="0" t="s">
        <v>133</v>
      </c>
      <c r="B33" s="0" t="n">
        <f aca="false">B31*B29</f>
        <v>584201.959236659</v>
      </c>
    </row>
    <row r="34" customFormat="false" ht="15" hidden="false" customHeight="false" outlineLevel="0" collapsed="false">
      <c r="A34" s="0" t="s">
        <v>134</v>
      </c>
      <c r="B34" s="0" t="n">
        <f aca="false">MAX(0,MIN(B32,B33))</f>
        <v>584201.959236659</v>
      </c>
    </row>
    <row r="35" customFormat="false" ht="15" hidden="false" customHeight="false" outlineLevel="0" collapsed="false">
      <c r="A35" s="0" t="s">
        <v>135</v>
      </c>
      <c r="B35" s="0" t="n">
        <f aca="false">B34/(1+B27/100)^L4</f>
        <v>246773.2209912</v>
      </c>
    </row>
    <row r="36" customFormat="false" ht="15" hidden="false" customHeight="false" outlineLevel="0" collapsed="false">
      <c r="A36" s="0" t="s">
        <v>136</v>
      </c>
      <c r="B36" s="0" t="n">
        <f aca="false">B30+B35</f>
        <v>458232.405098068</v>
      </c>
    </row>
    <row r="37" customFormat="false" ht="15" hidden="false" customHeight="false" outlineLevel="0" collapsed="false">
      <c r="A37" s="0" t="s">
        <v>137</v>
      </c>
      <c r="B37" s="0" t="n">
        <f aca="false">B36+Assumptions!$B$5-Assumptions!$B$4</f>
        <v>495806.405098068</v>
      </c>
    </row>
    <row r="38" customFormat="false" ht="15" hidden="false" customHeight="false" outlineLevel="0" collapsed="false">
      <c r="A38" s="0" t="s">
        <v>138</v>
      </c>
      <c r="B38" s="0" t="n">
        <f aca="false">B37/Assumptions!$B$3*Assumptions!$B$10</f>
        <v>15.0890617991612</v>
      </c>
    </row>
    <row r="39" customFormat="false" ht="15" hidden="false" customHeight="false" outlineLevel="0" collapsed="false">
      <c r="A39" s="0" t="s">
        <v>139</v>
      </c>
      <c r="B39" s="4" t="n">
        <f aca="false">B38/Assumptions!$B$2-1</f>
        <v>0.624226243182043</v>
      </c>
    </row>
    <row r="41" customFormat="false" ht="15" hidden="false" customHeight="false" outlineLevel="0" collapsed="false">
      <c r="A41" s="0" t="s">
        <v>140</v>
      </c>
      <c r="B41" s="0" t="n">
        <f aca="false">SUMPRODUCT(-C10:L10/(1+$B$27/100)^C4:L4)</f>
        <v>1436.42124575272</v>
      </c>
    </row>
    <row r="42" customFormat="false" ht="15" hidden="false" customHeight="false" outlineLevel="0" collapsed="false">
      <c r="A42" s="0" t="s">
        <v>141</v>
      </c>
      <c r="B42" s="0" t="n">
        <f aca="false">IF(B27&gt;B28,-L10*(1+B28/100)/((B27-B28)/100),-L10*20)/(1+B27/100)^L4</f>
        <v>1785.77430384302</v>
      </c>
    </row>
    <row r="43" customFormat="false" ht="15" hidden="false" customHeight="false" outlineLevel="0" collapsed="false">
      <c r="A43" s="0" t="s">
        <v>142</v>
      </c>
      <c r="B43" s="0" t="n">
        <f aca="false">(B37+B41+B42)/Assumptions!$B$3*Assumptions!$B$10</f>
        <v>15.187124081691</v>
      </c>
    </row>
    <row r="45" customFormat="false" ht="15" hidden="false" customHeight="false" outlineLevel="0" collapsed="false">
      <c r="A45" s="0" t="s">
        <v>82</v>
      </c>
      <c r="B45" s="4" t="n">
        <f aca="false">Assumptions!$B$6</f>
        <v>15</v>
      </c>
    </row>
    <row r="46" customFormat="false" ht="15" hidden="false" customHeight="false" outlineLevel="0" collapsed="false">
      <c r="A46" s="0" t="s">
        <v>143</v>
      </c>
      <c r="B46" s="0" t="n">
        <f aca="false">MAX(0,MIN(IF(B45&gt;B28,B31*(1+B28/100)/((B45-B28)/100),B31*B29),B31*B29))</f>
        <v>342175.433267186</v>
      </c>
    </row>
    <row r="47" customFormat="false" ht="15" hidden="false" customHeight="false" outlineLevel="0" collapsed="false">
      <c r="A47" s="0" t="s">
        <v>144</v>
      </c>
      <c r="B47" s="0" t="n">
        <f aca="false">(SUMPRODUCT(C19:L19/(1+B45/100)^C4:L4)+B46/(1+B45/100)^L4+Assumptions!$B$5-Assumptions!$B$4)/Assumptions!$B$3*Assumptions!$B$10</f>
        <v>8.61577266349819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7.44805447461022</v>
      </c>
      <c r="C4" s="0" t="n">
        <f aca="false">B4/Assumptions!$B$2-1</f>
        <v>-0.198271854186198</v>
      </c>
      <c r="D4" s="4" t="n">
        <f aca="false">Assumptions!$B$24</f>
        <v>0.25</v>
      </c>
      <c r="E4" s="4" t="n">
        <f aca="false">DCF_Bear!$B$43</f>
        <v>7.5154685824093</v>
      </c>
      <c r="F4" s="4" t="n">
        <f aca="false">DCF_Bear!$B$47</f>
        <v>5.18215086663261</v>
      </c>
    </row>
    <row r="5" customFormat="false" ht="15" hidden="false" customHeight="false" outlineLevel="0" collapsed="false">
      <c r="A5" s="0" t="s">
        <v>153</v>
      </c>
      <c r="B5" s="4" t="n">
        <f aca="false">DCF_Base!$B$38</f>
        <v>11.0967490754933</v>
      </c>
      <c r="C5" s="0" t="n">
        <f aca="false">B5/Assumptions!$B$2-1</f>
        <v>0.194483215876564</v>
      </c>
      <c r="D5" s="4" t="n">
        <f aca="false">Assumptions!$B$38</f>
        <v>0.5</v>
      </c>
      <c r="E5" s="4" t="n">
        <f aca="false">DCF_Base!$B$43</f>
        <v>11.1800817987846</v>
      </c>
      <c r="F5" s="4" t="n">
        <f aca="false">DCF_Base!$B$47</f>
        <v>6.96409927550538</v>
      </c>
    </row>
    <row r="6" customFormat="false" ht="15" hidden="false" customHeight="false" outlineLevel="0" collapsed="false">
      <c r="A6" s="0" t="s">
        <v>154</v>
      </c>
      <c r="B6" s="4" t="n">
        <f aca="false">DCF_Bull!$B$38</f>
        <v>15.0890617991612</v>
      </c>
      <c r="C6" s="0" t="n">
        <f aca="false">B6/Assumptions!$B$2-1</f>
        <v>0.624226243182043</v>
      </c>
      <c r="D6" s="4" t="n">
        <f aca="false">Assumptions!$B$52</f>
        <v>0.25</v>
      </c>
      <c r="E6" s="4" t="n">
        <f aca="false">DCF_Bull!$B$43</f>
        <v>15.187124081691</v>
      </c>
      <c r="F6" s="4" t="n">
        <f aca="false">DCF_Bull!$B$47</f>
        <v>8.61577266349819</v>
      </c>
    </row>
    <row r="8" customFormat="false" ht="15" hidden="false" customHeight="false" outlineLevel="0" collapsed="false">
      <c r="A8" s="0" t="s">
        <v>155</v>
      </c>
      <c r="B8" s="0" t="n">
        <f aca="false">SUMPRODUCT(B4:B6,D4:D6)</f>
        <v>11.1826536061895</v>
      </c>
    </row>
    <row r="9" customFormat="false" ht="15" hidden="false" customHeight="false" outlineLevel="0" collapsed="false">
      <c r="A9" s="0" t="s">
        <v>156</v>
      </c>
      <c r="B9" s="0" t="n">
        <f aca="false">SUMPRODUCT(E4:E6,D4:D6)</f>
        <v>11.2656890654174</v>
      </c>
    </row>
    <row r="10" customFormat="false" ht="15" hidden="false" customHeight="false" outlineLevel="0" collapsed="false">
      <c r="A10" s="0" t="s">
        <v>157</v>
      </c>
      <c r="B10" s="0" t="n">
        <f aca="false">1-Assumptions!$B$2/B8</f>
        <v>0.169249059556126</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6.93153052028539</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11.0967490754933</v>
      </c>
      <c r="C15" s="3" t="n">
        <v>9</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10.4470595863452</v>
      </c>
      <c r="C16" s="3" t="n">
        <v>10</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9.63228228232523</v>
      </c>
      <c r="C17" s="3" t="n">
        <v>11</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8.76415904491057</v>
      </c>
      <c r="C18" s="3" t="n">
        <v>12</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6.96409927550538</v>
      </c>
      <c r="C19" s="3" t="n">
        <v>15</v>
      </c>
    </row>
    <row r="21" customFormat="false" ht="15" hidden="false" customHeight="false" outlineLevel="0" collapsed="false">
      <c r="A21" s="2" t="s">
        <v>167</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12.5862901698246</v>
      </c>
      <c r="C23" s="0" t="n">
        <f aca="false">(SUMPRODUCT(DCF_Base!$C$19:$L$19/(1+$A$23/100)^DCF_Base!$C$4:$L$4)+MAX(0,MIN(IF($A$23&gt;$C$22,DCF_Base!$L$19*(1+$C$22/100)/(($A$23-$C$22)/100),DCF_Base!$L$19*DCF_Base!$B$29),DCF_Base!$L$19*DCF_Base!$B$29))/(1+$A$23/100)^DCF_Base!$L$4+Assumptions!$B$5-Assumptions!$B$4)/Assumptions!$B$3*Assumptions!$B$10</f>
        <v>12.5862901698246</v>
      </c>
      <c r="D23" s="0" t="n">
        <f aca="false">(SUMPRODUCT(DCF_Base!$C$19:$L$19/(1+$A$23/100)^DCF_Base!$C$4:$L$4)+MAX(0,MIN(IF($A$23&gt;$D$22,DCF_Base!$L$19*(1+$D$22/100)/(($A$23-$D$22)/100),DCF_Base!$L$19*DCF_Base!$B$29),DCF_Base!$L$19*DCF_Base!$B$29))/(1+$A$23/100)^DCF_Base!$L$4+Assumptions!$B$5-Assumptions!$B$4)/Assumptions!$B$3*Assumptions!$B$10</f>
        <v>12.5862901698246</v>
      </c>
      <c r="E23" s="0" t="n">
        <f aca="false">(SUMPRODUCT(DCF_Base!$C$19:$L$19/(1+$A$23/100)^DCF_Base!$C$4:$L$4)+MAX(0,MIN(IF($A$23&gt;$E$22,DCF_Base!$L$19*(1+$E$22/100)/(($A$23-$E$22)/100),DCF_Base!$L$19*DCF_Base!$B$29),DCF_Base!$L$19*DCF_Base!$B$29))/(1+$A$23/100)^DCF_Base!$L$4+Assumptions!$B$5-Assumptions!$B$4)/Assumptions!$B$3*Assumptions!$B$10</f>
        <v>12.5862901698246</v>
      </c>
      <c r="F23" s="0" t="n">
        <f aca="false">(SUMPRODUCT(DCF_Base!$C$19:$L$19/(1+$A$23/100)^DCF_Base!$C$4:$L$4)+MAX(0,MIN(IF($A$23&gt;$F$22,DCF_Base!$L$19*(1+$F$22/100)/(($A$23-$F$22)/100),DCF_Base!$L$19*DCF_Base!$B$29),DCF_Base!$L$19*DCF_Base!$B$29))/(1+$A$23/100)^DCF_Base!$L$4+Assumptions!$B$5-Assumptions!$B$4)/Assumptions!$B$3*Assumptions!$B$10</f>
        <v>12.5862901698246</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11.807586582749</v>
      </c>
      <c r="C24" s="0" t="n">
        <f aca="false">(SUMPRODUCT(DCF_Base!$C$19:$L$19/(1+$A$24/100)^DCF_Base!$C$4:$L$4)+MAX(0,MIN(IF($A$24&gt;$C$22,DCF_Base!$L$19*(1+$C$22/100)/(($A$24-$C$22)/100),DCF_Base!$L$19*DCF_Base!$B$29),DCF_Base!$L$19*DCF_Base!$B$29))/(1+$A$24/100)^DCF_Base!$L$4+Assumptions!$B$5-Assumptions!$B$4)/Assumptions!$B$3*Assumptions!$B$10</f>
        <v>11.807586582749</v>
      </c>
      <c r="D24" s="0" t="n">
        <f aca="false">(SUMPRODUCT(DCF_Base!$C$19:$L$19/(1+$A$24/100)^DCF_Base!$C$4:$L$4)+MAX(0,MIN(IF($A$24&gt;$D$22,DCF_Base!$L$19*(1+$D$22/100)/(($A$24-$D$22)/100),DCF_Base!$L$19*DCF_Base!$B$29),DCF_Base!$L$19*DCF_Base!$B$29))/(1+$A$24/100)^DCF_Base!$L$4+Assumptions!$B$5-Assumptions!$B$4)/Assumptions!$B$3*Assumptions!$B$10</f>
        <v>11.807586582749</v>
      </c>
      <c r="E24" s="0" t="n">
        <f aca="false">(SUMPRODUCT(DCF_Base!$C$19:$L$19/(1+$A$24/100)^DCF_Base!$C$4:$L$4)+MAX(0,MIN(IF($A$24&gt;$E$22,DCF_Base!$L$19*(1+$E$22/100)/(($A$24-$E$22)/100),DCF_Base!$L$19*DCF_Base!$B$29),DCF_Base!$L$19*DCF_Base!$B$29))/(1+$A$24/100)^DCF_Base!$L$4+Assumptions!$B$5-Assumptions!$B$4)/Assumptions!$B$3*Assumptions!$B$10</f>
        <v>11.807586582749</v>
      </c>
      <c r="F24" s="0" t="n">
        <f aca="false">(SUMPRODUCT(DCF_Base!$C$19:$L$19/(1+$A$24/100)^DCF_Base!$C$4:$L$4)+MAX(0,MIN(IF($A$24&gt;$F$22,DCF_Base!$L$19*(1+$F$22/100)/(($A$24-$F$22)/100),DCF_Base!$L$19*DCF_Base!$B$29),DCF_Base!$L$19*DCF_Base!$B$29))/(1+$A$24/100)^DCF_Base!$L$4+Assumptions!$B$5-Assumptions!$B$4)/Assumptions!$B$3*Assumptions!$B$10</f>
        <v>11.807586582749</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11.0967490754933</v>
      </c>
      <c r="C25" s="0" t="n">
        <f aca="false">(SUMPRODUCT(DCF_Base!$C$19:$L$19/(1+$A$25/100)^DCF_Base!$C$4:$L$4)+MAX(0,MIN(IF($A$25&gt;$C$22,DCF_Base!$L$19*(1+$C$22/100)/(($A$25-$C$22)/100),DCF_Base!$L$19*DCF_Base!$B$29),DCF_Base!$L$19*DCF_Base!$B$29))/(1+$A$25/100)^DCF_Base!$L$4+Assumptions!$B$5-Assumptions!$B$4)/Assumptions!$B$3*Assumptions!$B$10</f>
        <v>11.0967490754933</v>
      </c>
      <c r="D25" s="0" t="n">
        <f aca="false">(SUMPRODUCT(DCF_Base!$C$19:$L$19/(1+$A$25/100)^DCF_Base!$C$4:$L$4)+MAX(0,MIN(IF($A$25&gt;$D$22,DCF_Base!$L$19*(1+$D$22/100)/(($A$25-$D$22)/100),DCF_Base!$L$19*DCF_Base!$B$29),DCF_Base!$L$19*DCF_Base!$B$29))/(1+$A$25/100)^DCF_Base!$L$4+Assumptions!$B$5-Assumptions!$B$4)/Assumptions!$B$3*Assumptions!$B$10</f>
        <v>11.0967490754933</v>
      </c>
      <c r="E25" s="0" t="n">
        <f aca="false">(SUMPRODUCT(DCF_Base!$C$19:$L$19/(1+$A$25/100)^DCF_Base!$C$4:$L$4)+MAX(0,MIN(IF($A$25&gt;$E$22,DCF_Base!$L$19*(1+$E$22/100)/(($A$25-$E$22)/100),DCF_Base!$L$19*DCF_Base!$B$29),DCF_Base!$L$19*DCF_Base!$B$29))/(1+$A$25/100)^DCF_Base!$L$4+Assumptions!$B$5-Assumptions!$B$4)/Assumptions!$B$3*Assumptions!$B$10</f>
        <v>11.0967490754933</v>
      </c>
      <c r="F25" s="0" t="n">
        <f aca="false">(SUMPRODUCT(DCF_Base!$C$19:$L$19/(1+$A$25/100)^DCF_Base!$C$4:$L$4)+MAX(0,MIN(IF($A$25&gt;$F$22,DCF_Base!$L$19*(1+$F$22/100)/(($A$25-$F$22)/100),DCF_Base!$L$19*DCF_Base!$B$29),DCF_Base!$L$19*DCF_Base!$B$29))/(1+$A$25/100)^DCF_Base!$L$4+Assumptions!$B$5-Assumptions!$B$4)/Assumptions!$B$3*Assumptions!$B$10</f>
        <v>11.0967490754933</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10.1657655823877</v>
      </c>
      <c r="C26" s="0" t="n">
        <f aca="false">(SUMPRODUCT(DCF_Base!$C$19:$L$19/(1+$A$26/100)^DCF_Base!$C$4:$L$4)+MAX(0,MIN(IF($A$26&gt;$C$22,DCF_Base!$L$19*(1+$C$22/100)/(($A$26-$C$22)/100),DCF_Base!$L$19*DCF_Base!$B$29),DCF_Base!$L$19*DCF_Base!$B$29))/(1+$A$26/100)^DCF_Base!$L$4+Assumptions!$B$5-Assumptions!$B$4)/Assumptions!$B$3*Assumptions!$B$10</f>
        <v>10.4257852499115</v>
      </c>
      <c r="D26" s="0" t="n">
        <f aca="false">(SUMPRODUCT(DCF_Base!$C$19:$L$19/(1+$A$26/100)^DCF_Base!$C$4:$L$4)+MAX(0,MIN(IF($A$26&gt;$D$22,DCF_Base!$L$19*(1+$D$22/100)/(($A$26-$D$22)/100),DCF_Base!$L$19*DCF_Base!$B$29),DCF_Base!$L$19*DCF_Base!$B$29))/(1+$A$26/100)^DCF_Base!$L$4+Assumptions!$B$5-Assumptions!$B$4)/Assumptions!$B$3*Assumptions!$B$10</f>
        <v>10.4470595863452</v>
      </c>
      <c r="E26" s="0" t="n">
        <f aca="false">(SUMPRODUCT(DCF_Base!$C$19:$L$19/(1+$A$26/100)^DCF_Base!$C$4:$L$4)+MAX(0,MIN(IF($A$26&gt;$E$22,DCF_Base!$L$19*(1+$E$22/100)/(($A$26-$E$22)/100),DCF_Base!$L$19*DCF_Base!$B$29),DCF_Base!$L$19*DCF_Base!$B$29))/(1+$A$26/100)^DCF_Base!$L$4+Assumptions!$B$5-Assumptions!$B$4)/Assumptions!$B$3*Assumptions!$B$10</f>
        <v>10.4470595863452</v>
      </c>
      <c r="F26" s="0" t="n">
        <f aca="false">(SUMPRODUCT(DCF_Base!$C$19:$L$19/(1+$A$26/100)^DCF_Base!$C$4:$L$4)+MAX(0,MIN(IF($A$26&gt;$F$22,DCF_Base!$L$19*(1+$F$22/100)/(($A$26-$F$22)/100),DCF_Base!$L$19*DCF_Base!$B$29),DCF_Base!$L$19*DCF_Base!$B$29))/(1+$A$26/100)^DCF_Base!$L$4+Assumptions!$B$5-Assumptions!$B$4)/Assumptions!$B$3*Assumptions!$B$10</f>
        <v>10.4470595863452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9.22482463111915</v>
      </c>
      <c r="C27" s="0" t="n">
        <f aca="false">(SUMPRODUCT(DCF_Base!$C$19:$L$19/(1+$A$27/100)^DCF_Base!$C$4:$L$4)+MAX(0,MIN(IF($A$27&gt;$C$22,DCF_Base!$L$19*(1+$C$22/100)/(($A$27-$C$22)/100),DCF_Base!$L$19*DCF_Base!$B$29),DCF_Base!$L$19*DCF_Base!$B$29))/(1+$A$27/100)^DCF_Base!$L$4+Assumptions!$B$5-Assumptions!$B$4)/Assumptions!$B$3*Assumptions!$B$10</f>
        <v>9.41783088695361</v>
      </c>
      <c r="D27" s="0" t="n">
        <f aca="false">(SUMPRODUCT(DCF_Base!$C$19:$L$19/(1+$A$27/100)^DCF_Base!$C$4:$L$4)+MAX(0,MIN(IF($A$27&gt;$D$22,DCF_Base!$L$19*(1+$D$22/100)/(($A$27-$D$22)/100),DCF_Base!$L$19*DCF_Base!$B$29),DCF_Base!$L$19*DCF_Base!$B$29))/(1+$A$27/100)^DCF_Base!$L$4+Assumptions!$B$5-Assumptions!$B$4)/Assumptions!$B$3*Assumptions!$B$10</f>
        <v>9.63228228232523</v>
      </c>
      <c r="E27" s="0" t="n">
        <f aca="false">(SUMPRODUCT(DCF_Base!$C$19:$L$19/(1+$A$27/100)^DCF_Base!$C$4:$L$4)+MAX(0,MIN(IF($A$27&gt;$E$22,DCF_Base!$L$19*(1+$E$22/100)/(($A$27-$E$22)/100),DCF_Base!$L$19*DCF_Base!$B$29),DCF_Base!$L$19*DCF_Base!$B$29))/(1+$A$27/100)^DCF_Base!$L$4+Assumptions!$B$5-Assumptions!$B$4)/Assumptions!$B$3*Assumptions!$B$10</f>
        <v>9.85252966135554</v>
      </c>
      <c r="F27" s="0" t="n">
        <f aca="false">(SUMPRODUCT(DCF_Base!$C$19:$L$19/(1+$A$27/100)^DCF_Base!$C$4:$L$4)+MAX(0,MIN(IF($A$27&gt;$F$22,DCF_Base!$L$19*(1+$F$22/100)/(($A$27-$F$22)/100),DCF_Base!$L$19*DCF_Base!$B$29),DCF_Base!$L$19*DCF_Base!$B$29))/(1+$A$27/100)^DCF_Base!$L$4+Assumptions!$B$5-Assumptions!$B$4)/Assumptions!$B$3*Assumptions!$B$10</f>
        <v>9.85252966135554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2026-10-03T22:10:21Z</dcterms:created>
  <dc:creator>openpyxl</dc:creator>
  <dc:description/>
  <dc:language>en-NZ</dc:language>
  <cp:lastModifiedBy/>
  <dcterms:modified xsi:type="dcterms:W3CDTF">2026-10-03T22:10:21Z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