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<sst xmlns="http://schemas.openxmlformats.org/spreadsheetml/2006/main" count="372" uniqueCount="169">
  <si>
    <t xml:space="preserve">Ticker</t>
  </si>
  <si>
    <t xml:space="preserve">TEP.PA</t>
  </si>
  <si>
    <t xml:space="preserve">Company</t>
  </si>
  <si>
    <t xml:space="preserve">Teleperformance SE</t>
  </si>
  <si>
    <t xml:space="preserve">Valuation date</t>
  </si>
  <si>
    <t xml:space="preserve">2026-10-26</t>
  </si>
  <si>
    <t xml:space="preserve">Current price</t>
  </si>
  <si>
    <t xml:space="preserve">Price as of</t>
  </si>
  <si>
    <t xml:space="preserve">2026-10-23T15:35:39Z regular close (Euronext Paris Friday close; the Monday 2026-10-26 session had not printed on Yahoo at build time). Price sits at the 52-week high after a ~85% rally off the 2026 low.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</si>
  <si>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</si>
  <si>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</si>
  <si>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</si>
  <si>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</si>
  <si>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</si>
  <si>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EUR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</si>
  <si>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</si>
  <si>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</si>
  <si>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</si>
  <si>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</si>
  <si>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</si>
  <si>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</si>
  <si>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2026-10-25T22:18:48Z</t>
  </si>
  <si>
    <t xml:space="preserve">Drivers file</t>
  </si>
  <si>
    <t xml:space="preserve">TEP.PA_Drivers.json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</si>
  <si>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</si>
  <si>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</si>
  <si>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</si>
  <si>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Teleperformance is valued as a leveraged, low-growth services cash flow whose central question is survival of the human-agent model against agentic AI, not its growth rate. The build therefore (1) anchors FY2026 to guidance rather than to any historical CAGR, all of which are Majorel-inflated; (2) treats TP's 'non-recurring' restructuring as a recurring owner cost, because it has been booked in every year since 2023 and is guided higher for 2026; (3) charges leases once as an operating cost and keeps lease liabilities out of net debt; (4) uses one 8% EUR WACC across scenarios and prices the AI-disruption risk in a 35% bear weight and a bear path that halves owner FCF; (5) caps exit multiples at 10-14x, below the house 20x, so the valuation does not depend on the stock recovering its pre-2022 rating. The weighted value above the current price is a statement that the market is pricing something close to the bear path as its central case, not that the base case is safe.
key_risks_to_valuation: Agentic AI substitutes human agents faster than TP can redeploy its 490,000-person workforce into AI-powered, back-office and data services - the bear path, or worse; FY2026 guidance miss: H2-2026 must deliver ~+3-4% LFL and a 15.5%+ H2 EBITA margin for the full-year 14.6% and EUR 800-850m FCF to hold; TP missed in 2024 and the stock halved; Restructuring that is never non-recurring: FY2026 guidance was raised 70-90m -&gt; 120-140m within four months; the base assumes 0.6% of revenue in perpetuity, the bear more; Leverage: EUR 4.0bn IFRS net debt (3.2bn ex-lease), 2.1x EBITDA, bonds refinanced at 4.75-5.375%; a bear-path EBITDA decline would push leverage toward 3x and threaten the BBB rating and the EUR 4.50 dividend; New external CEO (March 2026) with no P&amp;L record at TP executing a strategic portfolio review that could involve dilutive or value-destructive M&amp;A/disposals; no acquisition spend is modelled; FX: EUR strength vs USD/INR/GBP cut H1-2026 revenue by EUR 165m; reported growth paths assume FX laps by FY2027; Terminal cap multiple is the largest single lever: each 1x on the base cap is worth ~EUR 8-9/share; at a 10x base cap (no re-rating at all) the base value falls by roughly EUR 17/share; Price volatility: the stock is at its 52-week high after an ~85% rally from the 2026 low with &gt;12% short interest; the entry-price discipline matters more than usual</t>
  </si>
  <si>
    <t xml:space="preserve">Data sources</t>
  </si>
  <si>
    <t xml:space="preserve">price: Yahoo Finance chart API (query1.finance.yahoo.com, TEP.PA) at inputs.price_as_of; 52-week range 43.65-80.58 EUR.
financials: TEP.PA_Annual_FY2025.txt (Universal Registration Document 2025: income statement 14690-14713, cash-flow statement 14741-14775, APM reconciliations 2515-2597, Group cash flows 2808-2828); TEP.PA_HalfYear_H1-2026.txt (cash-flow statement 190-224, treasury shares and EPS 771-795, net debt roll 1152-1170, APM reconciliations 1286-1371); lease payments FY2019-FY2023 from the FY2020-FY2023 URD cash-flow statements; TEP.PA_Metrics.csv via make dcf-context (metrics_normalized, EUR millions).
qualitative: TEP.PA_Analysis.json (2026-10-26): business model, AI-disruption risk, Future Forward plan, FY2026 guidance and 2026-2028 objectives, March 2026 leadership transition, May 2026 bond refinancing.</t>
  </si>
  <si>
    <t xml:space="preserve">Scenario narrative: bear</t>
  </si>
  <si>
    <t xml:space="preserve">Agentic AI does to voice and chat what it already did to Trust &amp; Safety: tier-1 volumes are automated or in-sourced, per-interaction pricing deflates faster than offshoring can offset, revenue shrinks ~3%/yr for a decade, operating deleverage and perpetual restructuring compress owner EBITDA to 14%, and the EUR 4bn debt stack absorbs a growing share of a falling cash flow. 10x exit on ~EUR 400m of FCF, no re-rating.</t>
  </si>
  <si>
    <t xml:space="preserve">Scenario narrative: base</t>
  </si>
  <si>
    <t xml:space="preserve">Transition year then grind. FY2026 lands at the bottom of guidance (-2.5% reported after FX, 18.3% owner EBITDA after EUR 120-140m restructuring), FY2027-28 returns to 2-3% growth as AI-powered solutions, back-office and Data Services for AI scale past the shrinking Trust &amp; Safety and voice-seat base. Margins settle near 19.5% - flat on FY2025 - because the Future Forward savings are consumed by AI investment and by restructuring that recurs every year. Owner FCF ~EUR 830m in FY2026 rising to ~EUR 1.1bn by FY2035; 12x exit, a partial recovery from today's ~9.5x.</t>
  </si>
  <si>
    <t xml:space="preserve">Scenario narrative: bull</t>
  </si>
  <si>
    <t xml:space="preserve">The AI-integrator thesis works: the 2028 plan is delivered in full (4-6% LFL, 15.5% EBITA), transformation mega-contracts sign, the portfolio review prunes Trust &amp; Safety, leases shrink with offshoring. TP re-rates from AI casualty to AI distributor for 1,500 enterprise clients at 14x FCF - still below its 2015-2021 multiple. Owner FCF ~EUR 1.5bn by FY2035.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</si>
  <si>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</si>
  <si>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</si>
  <si>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</si>
  <si>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</si>
  <si>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</si>
  <si>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</si>
  <si>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</si>
  <si>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</si>
  <si>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</si>
  <si>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</si>
  <si>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</si>
  <si>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</si>
  <si>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</si>
  <si>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</si>
  <si>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</si>
  <si>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</si>
  <si>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</si>
  <si>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</si>
  <si>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</si>
  <si>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</si>
  <si>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</si>
  <si>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</si>
  <si>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</si>
  <si>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</si>
  <si>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</si>
  <si>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</si>
  <si>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</si>
  <si>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</si>
  <si>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</si>
  <si>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</si>
  <si>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</si>
  <si>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</si>
  <si>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</si>
  <si>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</si>
  <si>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</si>
  <si>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</si>
  <si>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</si>
  <si>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</si>
  <si>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</si>
  <si>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</si>
  <si>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</si>
  <si>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</si>
  <si>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</si>
  <si>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</si>
  <si>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</si>
  <si>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</si>
  <si>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</si>
  <si>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</si>
  <si>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</si>
  <si>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</si>
  <si>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</si>
  <si>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EUR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</si>
  <si>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</si>
  <si>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</si>
  <si>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</si>
  <si>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</si>
  <si>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</si>
  <si>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</si>
  <si>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</si>
  <si>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</si>
  <si>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</si>
  <si>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</si>
  <si>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</si>
  <si>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</si>
  <si>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</si>
  <si>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</si>
  <si>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</si>
  <si>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</si>
  <si>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</si>
  <si>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</si>
  <si>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</si>
  <si>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</si>
  <si>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</si>
  <si>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</si>
  <si>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</si>
  <si>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</si>
  <si>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</si>
  <si>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</si>
  <si>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TEP.PA owner-FCF component DCF: bear case (millions, EUR)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</si>
  <si>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</si>
  <si>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</si>
  <si>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</si>
  <si>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</si>
  <si>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</si>
  <si>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</si>
  <si>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</si>
  <si>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</si>
  <si>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</si>
  <si>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</si>
  <si>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</si>
  <si>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</si>
  <si>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</si>
  <si>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</si>
  <si>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</si>
  <si>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</si>
  <si>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</si>
  <si>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</si>
  <si>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</si>
  <si>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</si>
  <si>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</si>
  <si>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</si>
  <si>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</si>
  <si>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</si>
  <si>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</si>
  <si>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</si>
  <si>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</si>
  <si>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</si>
  <si>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</si>
  <si>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</si>
  <si>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TEP.PA owner-FCF component DCF: base case (millions, EUR)</t>
  </si>
  <si>
    <t xml:space="preserve">TEP.PA owner-FCF component DCF: bull case (millions, EUR)</t>
  </si>
  <si>
    <t xml:space="preserve">TEP.PA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</si>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</sst>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80.58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2347</v>
      </c>
      <c r="F2" s="0" t="n">
        <v>193</v>
      </c>
      <c r="G2" s="0" t="n">
        <v>8.2</v>
      </c>
      <c r="H2" s="0" t="n">
        <v>294</v>
      </c>
      <c r="I2" s="0" t="n">
        <v>127</v>
      </c>
      <c r="J2" s="0" t="n">
        <v>5.4</v>
      </c>
      <c r="K2" s="0" t="n">
        <v>2.27</v>
      </c>
      <c r="L2" s="0" t="n">
        <v>203</v>
      </c>
      <c r="M2" s="0" t="n">
        <v>110</v>
      </c>
      <c r="N2" s="0" t="n">
        <v>93</v>
      </c>
      <c r="O2" s="0" t="n">
        <v>1377</v>
      </c>
      <c r="P2" s="0" t="n">
        <v>1923</v>
      </c>
      <c r="R2" s="0" t="n">
        <v>90</v>
      </c>
      <c r="S2" s="0" t="n">
        <v>170</v>
      </c>
      <c r="T2" s="0" t="n">
        <v>55.95</v>
      </c>
      <c r="U2" s="0" t="n">
        <v>10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2433</v>
      </c>
      <c r="F3" s="0" t="n">
        <v>196</v>
      </c>
      <c r="G3" s="0" t="n">
        <v>8.1</v>
      </c>
      <c r="H3" s="0" t="n">
        <v>306</v>
      </c>
      <c r="I3" s="0" t="n">
        <v>129</v>
      </c>
      <c r="J3" s="0" t="n">
        <v>5.3</v>
      </c>
      <c r="K3" s="0" t="n">
        <v>2.27</v>
      </c>
      <c r="L3" s="0" t="n">
        <v>190</v>
      </c>
      <c r="M3" s="0" t="n">
        <v>127</v>
      </c>
      <c r="N3" s="0" t="n">
        <v>63</v>
      </c>
      <c r="O3" s="0" t="n">
        <v>1392</v>
      </c>
      <c r="P3" s="0" t="n">
        <v>1891</v>
      </c>
      <c r="Q3" s="0" t="n">
        <v>495</v>
      </c>
      <c r="R3" s="0" t="n">
        <v>77</v>
      </c>
      <c r="S3" s="0" t="n">
        <v>164</v>
      </c>
      <c r="T3" s="0" t="n">
        <v>56.83</v>
      </c>
      <c r="U3" s="0" t="n">
        <v>10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2758</v>
      </c>
      <c r="F4" s="0" t="n">
        <v>237</v>
      </c>
      <c r="G4" s="0" t="n">
        <v>8.6</v>
      </c>
      <c r="H4" s="0" t="n">
        <v>361</v>
      </c>
      <c r="I4" s="0" t="n">
        <v>150</v>
      </c>
      <c r="J4" s="0" t="n">
        <v>5.4</v>
      </c>
      <c r="K4" s="0" t="n">
        <v>2.62</v>
      </c>
      <c r="L4" s="0" t="n">
        <v>205</v>
      </c>
      <c r="M4" s="0" t="n">
        <v>160</v>
      </c>
      <c r="N4" s="0" t="n">
        <v>45</v>
      </c>
      <c r="O4" s="0" t="n">
        <v>1595</v>
      </c>
      <c r="P4" s="0" t="n">
        <v>2927</v>
      </c>
      <c r="R4" s="0" t="n">
        <v>639</v>
      </c>
      <c r="S4" s="0" t="n">
        <v>216</v>
      </c>
      <c r="T4" s="0" t="n">
        <v>57.25</v>
      </c>
      <c r="U4" s="0" t="n">
        <v>7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3398</v>
      </c>
      <c r="F5" s="0" t="n">
        <v>308</v>
      </c>
      <c r="G5" s="0" t="n">
        <v>9.1</v>
      </c>
      <c r="H5" s="0" t="n">
        <v>472</v>
      </c>
      <c r="I5" s="0" t="n">
        <v>200</v>
      </c>
      <c r="J5" s="0" t="n">
        <v>5.9</v>
      </c>
      <c r="K5" s="0" t="n">
        <v>3.45</v>
      </c>
      <c r="L5" s="0" t="n">
        <v>391</v>
      </c>
      <c r="M5" s="0" t="n">
        <v>174</v>
      </c>
      <c r="N5" s="0" t="n">
        <v>217</v>
      </c>
      <c r="O5" s="0" t="n">
        <v>1758</v>
      </c>
      <c r="P5" s="0" t="n">
        <v>3099</v>
      </c>
      <c r="R5" s="0" t="n">
        <v>620</v>
      </c>
      <c r="S5" s="0" t="n">
        <v>257</v>
      </c>
      <c r="T5" s="0" t="n">
        <v>57.97</v>
      </c>
      <c r="U5" s="0" t="n">
        <v>17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3649</v>
      </c>
      <c r="F6" s="0" t="n">
        <v>339</v>
      </c>
      <c r="G6" s="0" t="n">
        <v>9.3</v>
      </c>
      <c r="H6" s="0" t="n">
        <v>530</v>
      </c>
      <c r="I6" s="0" t="n">
        <v>214</v>
      </c>
      <c r="J6" s="0" t="n">
        <v>5.9</v>
      </c>
      <c r="K6" s="0" t="n">
        <v>3.67</v>
      </c>
      <c r="L6" s="0" t="n">
        <v>459</v>
      </c>
      <c r="M6" s="0" t="n">
        <v>192</v>
      </c>
      <c r="N6" s="0" t="n">
        <v>267</v>
      </c>
      <c r="O6" s="0" t="n">
        <v>1912</v>
      </c>
      <c r="P6" s="0" t="n">
        <v>5011</v>
      </c>
      <c r="Q6" s="0" t="n">
        <v>3089</v>
      </c>
      <c r="R6" s="0" t="n">
        <v>1949</v>
      </c>
      <c r="S6" s="0" t="n">
        <v>282</v>
      </c>
      <c r="T6" s="0" t="n">
        <v>58.31</v>
      </c>
      <c r="U6" s="0" t="n">
        <v>22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4180</v>
      </c>
      <c r="F7" s="0" t="n">
        <v>355</v>
      </c>
      <c r="G7" s="0" t="n">
        <v>8.5</v>
      </c>
      <c r="H7" s="0" t="n">
        <v>673</v>
      </c>
      <c r="I7" s="0" t="n">
        <v>312</v>
      </c>
      <c r="J7" s="0" t="n">
        <v>7.5</v>
      </c>
      <c r="K7" s="0" t="n">
        <v>5.31</v>
      </c>
      <c r="L7" s="0" t="n">
        <v>516</v>
      </c>
      <c r="M7" s="0" t="n">
        <v>148</v>
      </c>
      <c r="N7" s="0" t="n">
        <v>368</v>
      </c>
      <c r="O7" s="0" t="n">
        <v>1910</v>
      </c>
      <c r="P7" s="0" t="n">
        <v>4490</v>
      </c>
      <c r="Q7" s="0" t="n">
        <v>2568</v>
      </c>
      <c r="R7" s="0" t="n">
        <v>1611</v>
      </c>
      <c r="S7" s="0" t="n">
        <v>285</v>
      </c>
      <c r="T7" s="0" t="n">
        <v>58.76</v>
      </c>
      <c r="U7" s="0" t="n">
        <v>24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4441</v>
      </c>
      <c r="F8" s="0" t="n">
        <v>485</v>
      </c>
      <c r="G8" s="0" t="n">
        <v>10.9</v>
      </c>
      <c r="H8" s="0" t="n">
        <v>732</v>
      </c>
      <c r="I8" s="0" t="n">
        <v>312</v>
      </c>
      <c r="J8" s="0" t="n">
        <v>7</v>
      </c>
      <c r="K8" s="0" t="n">
        <v>5.29</v>
      </c>
      <c r="L8" s="0" t="n">
        <v>523</v>
      </c>
      <c r="M8" s="0" t="n">
        <v>197</v>
      </c>
      <c r="N8" s="0" t="n">
        <v>326</v>
      </c>
      <c r="O8" s="0" t="n">
        <v>2217</v>
      </c>
      <c r="P8" s="0" t="n">
        <v>5888</v>
      </c>
      <c r="Q8" s="0" t="n">
        <v>3663</v>
      </c>
      <c r="R8" s="0" t="n">
        <v>2437</v>
      </c>
      <c r="S8" s="0" t="n">
        <v>336</v>
      </c>
      <c r="T8" s="0" t="n">
        <v>58.98</v>
      </c>
      <c r="U8" s="0" t="n">
        <v>23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5355</v>
      </c>
      <c r="F9" s="0" t="n">
        <v>621</v>
      </c>
      <c r="G9" s="0" t="n">
        <v>11.6</v>
      </c>
      <c r="H9" s="0" t="n">
        <v>1106</v>
      </c>
      <c r="I9" s="0" t="n">
        <v>400</v>
      </c>
      <c r="J9" s="0" t="n">
        <v>7.5</v>
      </c>
      <c r="K9" s="0" t="n">
        <v>6.81</v>
      </c>
      <c r="L9" s="0" t="n">
        <v>821</v>
      </c>
      <c r="M9" s="0" t="n">
        <v>252</v>
      </c>
      <c r="N9" s="0" t="n">
        <v>569</v>
      </c>
      <c r="O9" s="0" t="n">
        <v>2568</v>
      </c>
      <c r="P9" s="0" t="n">
        <v>6890</v>
      </c>
      <c r="Q9" s="0" t="n">
        <v>4321</v>
      </c>
      <c r="R9" s="0" t="n">
        <v>2351</v>
      </c>
      <c r="S9" s="0" t="n">
        <v>418</v>
      </c>
      <c r="T9" s="0" t="n">
        <v>58.74</v>
      </c>
      <c r="U9" s="0" t="n">
        <v>25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5732</v>
      </c>
      <c r="F10" s="0" t="n">
        <v>555</v>
      </c>
      <c r="G10" s="0" t="n">
        <v>9.7</v>
      </c>
      <c r="H10" s="0" t="n">
        <v>1089</v>
      </c>
      <c r="I10" s="0" t="n">
        <v>324</v>
      </c>
      <c r="J10" s="0" t="n">
        <v>5.7</v>
      </c>
      <c r="K10" s="0" t="n">
        <v>5.52</v>
      </c>
      <c r="L10" s="0" t="n">
        <v>989</v>
      </c>
      <c r="M10" s="0" t="n">
        <v>258</v>
      </c>
      <c r="N10" s="0" t="n">
        <v>731</v>
      </c>
      <c r="O10" s="0" t="n">
        <v>2409</v>
      </c>
      <c r="P10" s="0" t="n">
        <v>7024</v>
      </c>
      <c r="Q10" s="0" t="n">
        <v>4615</v>
      </c>
      <c r="R10" s="0" t="n">
        <v>2596</v>
      </c>
      <c r="S10" s="0" t="n">
        <v>996</v>
      </c>
      <c r="T10" s="0" t="n">
        <v>58.7</v>
      </c>
      <c r="U10" s="0" t="n">
        <v>37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7115</v>
      </c>
      <c r="F11" s="0" t="n">
        <v>869</v>
      </c>
      <c r="G11" s="0" t="n">
        <v>12.2</v>
      </c>
      <c r="H11" s="0" t="n">
        <v>1387</v>
      </c>
      <c r="I11" s="0" t="n">
        <v>557</v>
      </c>
      <c r="J11" s="0" t="n">
        <v>7.8</v>
      </c>
      <c r="K11" s="0" t="n">
        <v>9.36</v>
      </c>
      <c r="L11" s="0" t="n">
        <v>1141</v>
      </c>
      <c r="M11" s="0" t="n">
        <v>232</v>
      </c>
      <c r="N11" s="0" t="n">
        <v>909</v>
      </c>
      <c r="O11" s="0" t="n">
        <v>3157</v>
      </c>
      <c r="P11" s="0" t="n">
        <v>8346</v>
      </c>
      <c r="Q11" s="0" t="n">
        <v>5189</v>
      </c>
      <c r="R11" s="0" t="n">
        <v>2816</v>
      </c>
      <c r="S11" s="0" t="n">
        <v>837</v>
      </c>
      <c r="T11" s="0" t="n">
        <v>59.51</v>
      </c>
      <c r="U11" s="0" t="n">
        <v>87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8154</v>
      </c>
      <c r="F12" s="0" t="n">
        <v>992</v>
      </c>
      <c r="G12" s="0" t="n">
        <v>12.2</v>
      </c>
      <c r="H12" s="0" t="n">
        <v>1631</v>
      </c>
      <c r="I12" s="0" t="n">
        <v>643</v>
      </c>
      <c r="J12" s="0" t="n">
        <v>7.9</v>
      </c>
      <c r="K12" s="0" t="n">
        <v>10.77</v>
      </c>
      <c r="L12" s="0" t="n">
        <v>1294</v>
      </c>
      <c r="M12" s="0" t="n">
        <v>298</v>
      </c>
      <c r="N12" s="0" t="n">
        <v>996</v>
      </c>
      <c r="O12" s="0" t="n">
        <v>3670</v>
      </c>
      <c r="P12" s="0" t="n">
        <v>8895</v>
      </c>
      <c r="Q12" s="0" t="n">
        <v>5225</v>
      </c>
      <c r="R12" s="0" t="n">
        <v>2731</v>
      </c>
      <c r="S12" s="0" t="n">
        <v>817</v>
      </c>
      <c r="T12" s="0" t="n">
        <v>59.7</v>
      </c>
      <c r="U12" s="0" t="n">
        <v>113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8345</v>
      </c>
      <c r="F13" s="0" t="n">
        <v>998</v>
      </c>
      <c r="G13" s="0" t="n">
        <v>12</v>
      </c>
      <c r="H13" s="0" t="n">
        <v>1641</v>
      </c>
      <c r="I13" s="0" t="n">
        <v>592</v>
      </c>
      <c r="J13" s="0" t="n">
        <v>7.1</v>
      </c>
      <c r="K13" s="0" t="n">
        <v>10.01</v>
      </c>
      <c r="L13" s="0" t="n">
        <v>1375</v>
      </c>
      <c r="M13" s="0" t="n">
        <v>233</v>
      </c>
      <c r="N13" s="0" t="n">
        <v>1142</v>
      </c>
      <c r="O13" s="0" t="n">
        <v>4218</v>
      </c>
      <c r="P13" s="0" t="n">
        <v>12068</v>
      </c>
      <c r="Q13" s="0" t="n">
        <v>7844</v>
      </c>
      <c r="R13" s="0" t="n">
        <v>4600</v>
      </c>
      <c r="S13" s="0" t="n">
        <v>882</v>
      </c>
      <c r="T13" s="0" t="n">
        <v>59.14</v>
      </c>
      <c r="U13" s="0" t="n">
        <v>105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10280</v>
      </c>
      <c r="F14" s="0" t="n">
        <v>1082</v>
      </c>
      <c r="G14" s="0" t="n">
        <v>10.5</v>
      </c>
      <c r="H14" s="0" t="n">
        <v>1890</v>
      </c>
      <c r="I14" s="0" t="n">
        <v>523</v>
      </c>
      <c r="J14" s="0" t="n">
        <v>5.1</v>
      </c>
      <c r="K14" s="0" t="n">
        <v>8.71</v>
      </c>
      <c r="L14" s="0" t="n">
        <v>1813</v>
      </c>
      <c r="M14" s="0" t="n">
        <v>219</v>
      </c>
      <c r="N14" s="0" t="n">
        <v>1594</v>
      </c>
      <c r="O14" s="0" t="n">
        <v>4556</v>
      </c>
      <c r="P14" s="0" t="n">
        <v>12074</v>
      </c>
      <c r="Q14" s="0" t="n">
        <v>7518</v>
      </c>
      <c r="R14" s="0" t="n">
        <v>4154</v>
      </c>
      <c r="S14" s="0" t="n">
        <v>1058</v>
      </c>
      <c r="T14" s="0" t="n">
        <v>60.05</v>
      </c>
      <c r="U14" s="0" t="n">
        <v>91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10209</v>
      </c>
      <c r="F15" s="0" t="n">
        <v>1055</v>
      </c>
      <c r="G15" s="0" t="n">
        <v>10.3</v>
      </c>
      <c r="H15" s="0" t="n">
        <v>1891</v>
      </c>
      <c r="I15" s="0" t="n">
        <v>497</v>
      </c>
      <c r="J15" s="0" t="n">
        <v>4.9</v>
      </c>
      <c r="K15" s="0" t="n">
        <v>8.4</v>
      </c>
      <c r="L15" s="0" t="n">
        <v>1614</v>
      </c>
      <c r="M15" s="0" t="n">
        <v>253</v>
      </c>
      <c r="N15" s="0" t="n">
        <v>1361</v>
      </c>
      <c r="O15" s="0" t="n">
        <v>4097</v>
      </c>
      <c r="P15" s="0" t="n">
        <v>11479</v>
      </c>
      <c r="Q15" s="0" t="n">
        <v>7382</v>
      </c>
      <c r="R15" s="0" t="n">
        <v>4185</v>
      </c>
      <c r="S15" s="0" t="n">
        <v>996</v>
      </c>
      <c r="T15" s="0" t="n">
        <v>59.17</v>
      </c>
      <c r="U15" s="0" t="n">
        <v>77</v>
      </c>
      <c r="AA15" s="0" t="s">
        <v>17</v>
      </c>
      <c r="AB15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77</v>
      </c>
      <c r="B1" s="2" t="s">
        <v>78</v>
      </c>
    </row>
    <row r="2" customFormat="false" ht="15" hidden="false" customHeight="false" outlineLevel="0" collapsed="false">
      <c r="A2" s="0" t="s">
        <v>79</v>
      </c>
      <c r="B2" s="3" t="n">
        <v>80.58</v>
      </c>
    </row>
    <row r="3" customFormat="false" ht="15" hidden="false" customHeight="false" outlineLevel="0" collapsed="false">
      <c r="A3" s="0" t="s">
        <v>80</v>
      </c>
      <c r="B3" s="3" t="n">
        <v>58.4</v>
      </c>
    </row>
    <row r="4" customFormat="false" ht="15" hidden="false" customHeight="false" outlineLevel="0" collapsed="false">
      <c r="A4" s="0" t="s">
        <v>81</v>
      </c>
      <c r="B4" s="3" t="n">
        <v>3212</v>
      </c>
    </row>
    <row r="5" customFormat="false" ht="15" hidden="false" customHeight="false" outlineLevel="0" collapsed="false">
      <c r="A5" s="0" t="s">
        <v>82</v>
      </c>
      <c r="B5" s="3" t="n">
        <v>0</v>
      </c>
    </row>
    <row r="6" customFormat="false" ht="15" hidden="false" customHeight="false" outlineLevel="0" collapsed="false">
      <c r="A6" s="0" t="s">
        <v>83</v>
      </c>
      <c r="B6" s="3" t="n">
        <v>15</v>
      </c>
    </row>
    <row r="7" customFormat="false" ht="15" hidden="false" customHeight="false" outlineLevel="0" collapsed="false">
      <c r="A7" s="0" t="s">
        <v>84</v>
      </c>
      <c r="B7" s="3" t="n">
        <v>10209</v>
      </c>
    </row>
    <row r="8" customFormat="false" ht="15" hidden="false" customHeight="false" outlineLevel="0" collapsed="false">
      <c r="A8" s="0" t="s">
        <v>85</v>
      </c>
      <c r="B8" s="3" t="s">
        <v>76</v>
      </c>
    </row>
    <row r="9" customFormat="false" ht="15" hidden="false" customHeight="false" outlineLevel="0" collapsed="false">
      <c r="A9" s="0" t="s">
        <v>86</v>
      </c>
      <c r="B9" s="3" t="s">
        <v>87</v>
      </c>
    </row>
    <row r="10" customFormat="false" ht="15" hidden="false" customHeight="false" outlineLevel="0" collapsed="false">
      <c r="A10" s="0" t="s">
        <v>88</v>
      </c>
      <c r="B10" s="3" t="n">
        <v>1</v>
      </c>
    </row>
    <row r="12" customFormat="false" ht="15" hidden="false" customHeight="false" outlineLevel="0" collapsed="false">
      <c r="A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customFormat="false" ht="15" hidden="false" customHeight="false" outlineLevel="0" collapsed="false">
      <c r="A13" s="0" t="s">
        <v>100</v>
      </c>
      <c r="C13" s="3" t="n">
        <v>-3.5</v>
      </c>
      <c r="D13" s="3" t="n">
        <v>-2.5</v>
      </c>
      <c r="E13" s="3" t="n">
        <v>-3</v>
      </c>
      <c r="F13" s="3" t="n">
        <v>-3.5</v>
      </c>
      <c r="G13" s="3" t="n">
        <v>-3.5</v>
      </c>
      <c r="H13" s="3" t="n">
        <v>-3</v>
      </c>
      <c r="I13" s="3" t="n">
        <v>-3</v>
      </c>
      <c r="J13" s="3" t="n">
        <v>-2.5</v>
      </c>
      <c r="K13" s="3" t="n">
        <v>-2</v>
      </c>
      <c r="L13" s="3" t="n">
        <v>-2</v>
      </c>
    </row>
    <row r="14" customFormat="false" ht="15" hidden="false" customHeight="false" outlineLevel="0" collapsed="false">
      <c r="A14" s="0" t="s">
        <v>101</v>
      </c>
      <c r="C14" s="3" t="n">
        <v>18</v>
      </c>
      <c r="D14" s="3" t="n">
        <v>17</v>
      </c>
      <c r="E14" s="3" t="n">
        <v>16</v>
      </c>
      <c r="F14" s="3" t="n">
        <v>15.2</v>
      </c>
      <c r="G14" s="3" t="n">
        <v>14.6</v>
      </c>
      <c r="H14" s="3" t="n">
        <v>14.2</v>
      </c>
      <c r="I14" s="3" t="n">
        <v>14</v>
      </c>
      <c r="J14" s="3" t="n">
        <v>14</v>
      </c>
      <c r="K14" s="3" t="n">
        <v>14</v>
      </c>
      <c r="L14" s="3" t="n">
        <v>14</v>
      </c>
    </row>
    <row r="15" customFormat="false" ht="15" hidden="false" customHeight="false" outlineLevel="0" collapsed="false">
      <c r="A15" s="0" t="s">
        <v>102</v>
      </c>
      <c r="C15" s="3" t="n">
        <v>0.5</v>
      </c>
      <c r="D15" s="3" t="n">
        <v>0.5</v>
      </c>
      <c r="E15" s="3" t="n">
        <v>0.5</v>
      </c>
      <c r="F15" s="3" t="n">
        <v>0.5</v>
      </c>
      <c r="G15" s="3" t="n">
        <v>0.5</v>
      </c>
      <c r="H15" s="3" t="n">
        <v>0.5</v>
      </c>
      <c r="I15" s="3" t="n">
        <v>0.5</v>
      </c>
      <c r="J15" s="3" t="n">
        <v>0.5</v>
      </c>
      <c r="K15" s="3" t="n">
        <v>0.5</v>
      </c>
      <c r="L15" s="3" t="n">
        <v>0.5</v>
      </c>
    </row>
    <row r="16" customFormat="false" ht="15" hidden="false" customHeight="false" outlineLevel="0" collapsed="false">
      <c r="A16" s="0" t="s">
        <v>103</v>
      </c>
      <c r="C16" s="3" t="n">
        <v>3.2</v>
      </c>
      <c r="D16" s="3" t="n">
        <v>3.3</v>
      </c>
      <c r="E16" s="3" t="n">
        <v>3.3</v>
      </c>
      <c r="F16" s="3" t="n">
        <v>3.3</v>
      </c>
      <c r="G16" s="3" t="n">
        <v>3.3</v>
      </c>
      <c r="H16" s="3" t="n">
        <v>3.3</v>
      </c>
      <c r="I16" s="3" t="n">
        <v>3.3</v>
      </c>
      <c r="J16" s="3" t="n">
        <v>3.3</v>
      </c>
      <c r="K16" s="3" t="n">
        <v>3.3</v>
      </c>
      <c r="L16" s="3" t="n">
        <v>3.3</v>
      </c>
    </row>
    <row r="17" customFormat="false" ht="15" hidden="false" customHeight="false" outlineLevel="0" collapsed="false">
      <c r="A17" s="0" t="s">
        <v>104</v>
      </c>
      <c r="C17" s="3" t="n">
        <v>2.6</v>
      </c>
      <c r="D17" s="3" t="n">
        <v>2.6</v>
      </c>
      <c r="E17" s="3" t="n">
        <v>2.6</v>
      </c>
      <c r="F17" s="3" t="n">
        <v>2.6</v>
      </c>
      <c r="G17" s="3" t="n">
        <v>2.6</v>
      </c>
      <c r="H17" s="3" t="n">
        <v>2.6</v>
      </c>
      <c r="I17" s="3" t="n">
        <v>2.6</v>
      </c>
      <c r="J17" s="3" t="n">
        <v>2.6</v>
      </c>
      <c r="K17" s="3" t="n">
        <v>2.6</v>
      </c>
      <c r="L17" s="3" t="n">
        <v>2.6</v>
      </c>
    </row>
    <row r="18" customFormat="false" ht="15" hidden="false" customHeight="false" outlineLevel="0" collapsed="false">
      <c r="A18" s="0" t="s">
        <v>105</v>
      </c>
      <c r="C18" s="3" t="n">
        <v>2.5</v>
      </c>
      <c r="D18" s="3" t="n">
        <v>2.5</v>
      </c>
      <c r="E18" s="3" t="n">
        <v>2.5</v>
      </c>
      <c r="F18" s="3" t="n">
        <v>2.5</v>
      </c>
      <c r="G18" s="3" t="n">
        <v>2.5</v>
      </c>
      <c r="H18" s="3" t="n">
        <v>2.5</v>
      </c>
      <c r="I18" s="3" t="n">
        <v>2.5</v>
      </c>
      <c r="J18" s="3" t="n">
        <v>2.5</v>
      </c>
      <c r="K18" s="3" t="n">
        <v>2.5</v>
      </c>
      <c r="L18" s="3" t="n">
        <v>2.5</v>
      </c>
    </row>
    <row r="19" customFormat="false" ht="15" hidden="false" customHeight="false" outlineLevel="0" collapsed="false">
      <c r="A19" s="0" t="s">
        <v>106</v>
      </c>
      <c r="C19" s="3" t="n">
        <v>33</v>
      </c>
      <c r="D19" s="3" t="n">
        <v>33</v>
      </c>
      <c r="E19" s="3" t="n">
        <v>33</v>
      </c>
      <c r="F19" s="3" t="n">
        <v>33</v>
      </c>
      <c r="G19" s="3" t="n">
        <v>33</v>
      </c>
      <c r="H19" s="3" t="n">
        <v>33</v>
      </c>
      <c r="I19" s="3" t="n">
        <v>33</v>
      </c>
      <c r="J19" s="3" t="n">
        <v>33</v>
      </c>
      <c r="K19" s="3" t="n">
        <v>33</v>
      </c>
      <c r="L19" s="3" t="n">
        <v>33</v>
      </c>
    </row>
    <row r="20" customFormat="false" ht="15" hidden="false" customHeight="false" outlineLevel="0" collapsed="false">
      <c r="A20" s="0" t="s">
        <v>107</v>
      </c>
      <c r="B20" s="3" t="n">
        <v>8</v>
      </c>
    </row>
    <row r="21" customFormat="false" ht="15" hidden="false" customHeight="false" outlineLevel="0" collapsed="false">
      <c r="A21" s="0" t="s">
        <v>108</v>
      </c>
      <c r="B21" s="3" t="n">
        <v>0</v>
      </c>
    </row>
    <row r="22" customFormat="false" ht="15" hidden="false" customHeight="false" outlineLevel="0" collapsed="false">
      <c r="A22" s="0" t="s">
        <v>109</v>
      </c>
      <c r="B22" s="3" t="n">
        <v>10</v>
      </c>
    </row>
    <row r="23" customFormat="false" ht="15" hidden="false" customHeight="false" outlineLevel="0" collapsed="false">
      <c r="A23" s="0" t="s">
        <v>110</v>
      </c>
      <c r="B23" s="3" t="n">
        <v>-8</v>
      </c>
    </row>
    <row r="24" customFormat="false" ht="15" hidden="false" customHeight="false" outlineLevel="0" collapsed="false">
      <c r="A24" s="0" t="s">
        <v>111</v>
      </c>
      <c r="B24" s="3" t="n">
        <v>0.35</v>
      </c>
    </row>
    <row r="26" customFormat="false" ht="15" hidden="false" customHeight="false" outlineLevel="0" collapsed="false">
      <c r="A26" s="2" t="s">
        <v>112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99</v>
      </c>
    </row>
    <row r="27" customFormat="false" ht="15" hidden="false" customHeight="false" outlineLevel="0" collapsed="false">
      <c r="A27" s="0" t="s">
        <v>100</v>
      </c>
      <c r="C27" s="3" t="n">
        <v>-2.5</v>
      </c>
      <c r="D27" s="3" t="n">
        <v>2</v>
      </c>
      <c r="E27" s="3" t="n">
        <v>3</v>
      </c>
      <c r="F27" s="3" t="n">
        <v>3</v>
      </c>
      <c r="G27" s="3" t="n">
        <v>3</v>
      </c>
      <c r="H27" s="3" t="n">
        <v>2.5</v>
      </c>
      <c r="I27" s="3" t="n">
        <v>2.5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101</v>
      </c>
      <c r="C28" s="3" t="n">
        <v>18.3</v>
      </c>
      <c r="D28" s="3" t="n">
        <v>18.8</v>
      </c>
      <c r="E28" s="3" t="n">
        <v>19.2</v>
      </c>
      <c r="F28" s="3" t="n">
        <v>19.4</v>
      </c>
      <c r="G28" s="3" t="n">
        <v>19.5</v>
      </c>
      <c r="H28" s="3" t="n">
        <v>19.5</v>
      </c>
      <c r="I28" s="3" t="n">
        <v>19.5</v>
      </c>
      <c r="J28" s="3" t="n">
        <v>19.5</v>
      </c>
      <c r="K28" s="3" t="n">
        <v>19.5</v>
      </c>
      <c r="L28" s="3" t="n">
        <v>19.5</v>
      </c>
    </row>
    <row r="29" customFormat="false" ht="15" hidden="false" customHeight="false" outlineLevel="0" collapsed="false">
      <c r="A29" s="0" t="s">
        <v>102</v>
      </c>
      <c r="C29" s="3" t="n">
        <v>0.5</v>
      </c>
      <c r="D29" s="3" t="n">
        <v>0.5</v>
      </c>
      <c r="E29" s="3" t="n">
        <v>0.5</v>
      </c>
      <c r="F29" s="3" t="n">
        <v>0.5</v>
      </c>
      <c r="G29" s="3" t="n">
        <v>0.5</v>
      </c>
      <c r="H29" s="3" t="n">
        <v>0.5</v>
      </c>
      <c r="I29" s="3" t="n">
        <v>0.5</v>
      </c>
      <c r="J29" s="3" t="n">
        <v>0.5</v>
      </c>
      <c r="K29" s="3" t="n">
        <v>0.5</v>
      </c>
      <c r="L29" s="3" t="n">
        <v>0.5</v>
      </c>
    </row>
    <row r="30" customFormat="false" ht="15" hidden="false" customHeight="false" outlineLevel="0" collapsed="false">
      <c r="A30" s="0" t="s">
        <v>103</v>
      </c>
      <c r="C30" s="3" t="n">
        <v>3.2</v>
      </c>
      <c r="D30" s="3" t="n">
        <v>3.2</v>
      </c>
      <c r="E30" s="3" t="n">
        <v>3.2</v>
      </c>
      <c r="F30" s="3" t="n">
        <v>3.2</v>
      </c>
      <c r="G30" s="3" t="n">
        <v>3.2</v>
      </c>
      <c r="H30" s="3" t="n">
        <v>3.2</v>
      </c>
      <c r="I30" s="3" t="n">
        <v>3.2</v>
      </c>
      <c r="J30" s="3" t="n">
        <v>3.2</v>
      </c>
      <c r="K30" s="3" t="n">
        <v>3.2</v>
      </c>
      <c r="L30" s="3" t="n">
        <v>3.2</v>
      </c>
    </row>
    <row r="31" customFormat="false" ht="15" hidden="false" customHeight="false" outlineLevel="0" collapsed="false">
      <c r="A31" s="0" t="s">
        <v>104</v>
      </c>
      <c r="C31" s="3" t="n">
        <v>2.6</v>
      </c>
      <c r="D31" s="3" t="n">
        <v>2.6</v>
      </c>
      <c r="E31" s="3" t="n">
        <v>2.6</v>
      </c>
      <c r="F31" s="3" t="n">
        <v>2.6</v>
      </c>
      <c r="G31" s="3" t="n">
        <v>2.6</v>
      </c>
      <c r="H31" s="3" t="n">
        <v>2.6</v>
      </c>
      <c r="I31" s="3" t="n">
        <v>2.6</v>
      </c>
      <c r="J31" s="3" t="n">
        <v>2.6</v>
      </c>
      <c r="K31" s="3" t="n">
        <v>2.6</v>
      </c>
      <c r="L31" s="3" t="n">
        <v>2.6</v>
      </c>
    </row>
    <row r="32" customFormat="false" ht="15" hidden="false" customHeight="false" outlineLevel="0" collapsed="false">
      <c r="A32" s="0" t="s">
        <v>105</v>
      </c>
      <c r="C32" s="3" t="n">
        <v>2.5</v>
      </c>
      <c r="D32" s="3" t="n">
        <v>2.6</v>
      </c>
      <c r="E32" s="3" t="n">
        <v>2.7</v>
      </c>
      <c r="F32" s="3" t="n">
        <v>2.7</v>
      </c>
      <c r="G32" s="3" t="n">
        <v>2.7</v>
      </c>
      <c r="H32" s="3" t="n">
        <v>2.7</v>
      </c>
      <c r="I32" s="3" t="n">
        <v>2.7</v>
      </c>
      <c r="J32" s="3" t="n">
        <v>2.7</v>
      </c>
      <c r="K32" s="3" t="n">
        <v>2.7</v>
      </c>
      <c r="L32" s="3" t="n">
        <v>2.7</v>
      </c>
    </row>
    <row r="33" customFormat="false" ht="15" hidden="false" customHeight="false" outlineLevel="0" collapsed="false">
      <c r="A33" s="0" t="s">
        <v>106</v>
      </c>
      <c r="C33" s="3" t="n">
        <v>33</v>
      </c>
      <c r="D33" s="3" t="n">
        <v>33</v>
      </c>
      <c r="E33" s="3" t="n">
        <v>33</v>
      </c>
      <c r="F33" s="3" t="n">
        <v>32.5</v>
      </c>
      <c r="G33" s="3" t="n">
        <v>32</v>
      </c>
      <c r="H33" s="3" t="n">
        <v>32</v>
      </c>
      <c r="I33" s="3" t="n">
        <v>32</v>
      </c>
      <c r="J33" s="3" t="n">
        <v>32</v>
      </c>
      <c r="K33" s="3" t="n">
        <v>32</v>
      </c>
      <c r="L33" s="3" t="n">
        <v>32</v>
      </c>
    </row>
    <row r="34" customFormat="false" ht="15" hidden="false" customHeight="false" outlineLevel="0" collapsed="false">
      <c r="A34" s="0" t="s">
        <v>107</v>
      </c>
      <c r="B34" s="3" t="n">
        <v>8</v>
      </c>
    </row>
    <row r="35" customFormat="false" ht="15" hidden="false" customHeight="false" outlineLevel="0" collapsed="false">
      <c r="A35" s="0" t="s">
        <v>108</v>
      </c>
      <c r="B35" s="3" t="n">
        <v>1.5</v>
      </c>
    </row>
    <row r="36" customFormat="false" ht="15" hidden="false" customHeight="false" outlineLevel="0" collapsed="false">
      <c r="A36" s="0" t="s">
        <v>109</v>
      </c>
      <c r="B36" s="3" t="n">
        <v>12</v>
      </c>
    </row>
    <row r="37" customFormat="false" ht="15" hidden="false" customHeight="false" outlineLevel="0" collapsed="false">
      <c r="A37" s="0" t="s">
        <v>110</v>
      </c>
      <c r="B37" s="3" t="n">
        <v>-8</v>
      </c>
    </row>
    <row r="38" customFormat="false" ht="15" hidden="false" customHeight="false" outlineLevel="0" collapsed="false">
      <c r="A38" s="0" t="s">
        <v>111</v>
      </c>
      <c r="B38" s="3" t="n">
        <v>0.45</v>
      </c>
    </row>
    <row r="40" customFormat="false" ht="15" hidden="false" customHeight="false" outlineLevel="0" collapsed="false">
      <c r="A40" s="2" t="s">
        <v>113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94</v>
      </c>
      <c r="H40" s="2" t="s">
        <v>95</v>
      </c>
      <c r="I40" s="2" t="s">
        <v>96</v>
      </c>
      <c r="J40" s="2" t="s">
        <v>97</v>
      </c>
      <c r="K40" s="2" t="s">
        <v>98</v>
      </c>
      <c r="L40" s="2" t="s">
        <v>99</v>
      </c>
    </row>
    <row r="41" customFormat="false" ht="15" hidden="false" customHeight="false" outlineLevel="0" collapsed="false">
      <c r="A41" s="0" t="s">
        <v>100</v>
      </c>
      <c r="C41" s="3" t="n">
        <v>-2</v>
      </c>
      <c r="D41" s="3" t="n">
        <v>3</v>
      </c>
      <c r="E41" s="3" t="n">
        <v>5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2.5</v>
      </c>
    </row>
    <row r="42" customFormat="false" ht="15" hidden="false" customHeight="false" outlineLevel="0" collapsed="false">
      <c r="A42" s="0" t="s">
        <v>101</v>
      </c>
      <c r="C42" s="3" t="n">
        <v>18.5</v>
      </c>
      <c r="D42" s="3" t="n">
        <v>19.4</v>
      </c>
      <c r="E42" s="3" t="n">
        <v>20</v>
      </c>
      <c r="F42" s="3" t="n">
        <v>20.3</v>
      </c>
      <c r="G42" s="3" t="n">
        <v>20.4</v>
      </c>
      <c r="H42" s="3" t="n">
        <v>20.4</v>
      </c>
      <c r="I42" s="3" t="n">
        <v>20.4</v>
      </c>
      <c r="J42" s="3" t="n">
        <v>20.4</v>
      </c>
      <c r="K42" s="3" t="n">
        <v>20.4</v>
      </c>
      <c r="L42" s="3" t="n">
        <v>20.4</v>
      </c>
    </row>
    <row r="43" customFormat="false" ht="15" hidden="false" customHeight="false" outlineLevel="0" collapsed="false">
      <c r="A43" s="0" t="s">
        <v>102</v>
      </c>
      <c r="C43" s="3" t="n">
        <v>0.5</v>
      </c>
      <c r="D43" s="3" t="n">
        <v>0.5</v>
      </c>
      <c r="E43" s="3" t="n">
        <v>0.5</v>
      </c>
      <c r="F43" s="3" t="n">
        <v>0.5</v>
      </c>
      <c r="G43" s="3" t="n">
        <v>0.5</v>
      </c>
      <c r="H43" s="3" t="n">
        <v>0.5</v>
      </c>
      <c r="I43" s="3" t="n">
        <v>0.5</v>
      </c>
      <c r="J43" s="3" t="n">
        <v>0.5</v>
      </c>
      <c r="K43" s="3" t="n">
        <v>0.5</v>
      </c>
      <c r="L43" s="3" t="n">
        <v>0.5</v>
      </c>
    </row>
    <row r="44" customFormat="false" ht="15" hidden="false" customHeight="false" outlineLevel="0" collapsed="false">
      <c r="A44" s="0" t="s">
        <v>103</v>
      </c>
      <c r="C44" s="3" t="n">
        <v>3.2</v>
      </c>
      <c r="D44" s="3" t="n">
        <v>3.2</v>
      </c>
      <c r="E44" s="3" t="n">
        <v>3.1</v>
      </c>
      <c r="F44" s="3" t="n">
        <v>3.1</v>
      </c>
      <c r="G44" s="3" t="n">
        <v>3</v>
      </c>
      <c r="H44" s="3" t="n">
        <v>3</v>
      </c>
      <c r="I44" s="3" t="n">
        <v>3</v>
      </c>
      <c r="J44" s="3" t="n">
        <v>3</v>
      </c>
      <c r="K44" s="3" t="n">
        <v>3</v>
      </c>
      <c r="L44" s="3" t="n">
        <v>3</v>
      </c>
    </row>
    <row r="45" customFormat="false" ht="15" hidden="false" customHeight="false" outlineLevel="0" collapsed="false">
      <c r="A45" s="0" t="s">
        <v>104</v>
      </c>
      <c r="C45" s="3" t="n">
        <v>2.6</v>
      </c>
      <c r="D45" s="3" t="n">
        <v>2.6</v>
      </c>
      <c r="E45" s="3" t="n">
        <v>2.6</v>
      </c>
      <c r="F45" s="3" t="n">
        <v>2.6</v>
      </c>
      <c r="G45" s="3" t="n">
        <v>2.6</v>
      </c>
      <c r="H45" s="3" t="n">
        <v>2.6</v>
      </c>
      <c r="I45" s="3" t="n">
        <v>2.6</v>
      </c>
      <c r="J45" s="3" t="n">
        <v>2.6</v>
      </c>
      <c r="K45" s="3" t="n">
        <v>2.6</v>
      </c>
      <c r="L45" s="3" t="n">
        <v>2.6</v>
      </c>
    </row>
    <row r="46" customFormat="false" ht="15" hidden="false" customHeight="false" outlineLevel="0" collapsed="false">
      <c r="A46" s="0" t="s">
        <v>105</v>
      </c>
      <c r="C46" s="3" t="n">
        <v>2.5</v>
      </c>
      <c r="D46" s="3" t="n">
        <v>2.6</v>
      </c>
      <c r="E46" s="3" t="n">
        <v>2.7</v>
      </c>
      <c r="F46" s="3" t="n">
        <v>2.7</v>
      </c>
      <c r="G46" s="3" t="n">
        <v>2.7</v>
      </c>
      <c r="H46" s="3" t="n">
        <v>2.7</v>
      </c>
      <c r="I46" s="3" t="n">
        <v>2.7</v>
      </c>
      <c r="J46" s="3" t="n">
        <v>2.7</v>
      </c>
      <c r="K46" s="3" t="n">
        <v>2.7</v>
      </c>
      <c r="L46" s="3" t="n">
        <v>2.7</v>
      </c>
    </row>
    <row r="47" customFormat="false" ht="15" hidden="false" customHeight="false" outlineLevel="0" collapsed="false">
      <c r="A47" s="0" t="s">
        <v>106</v>
      </c>
      <c r="C47" s="3" t="n">
        <v>33</v>
      </c>
      <c r="D47" s="3" t="n">
        <v>33</v>
      </c>
      <c r="E47" s="3" t="n">
        <v>33</v>
      </c>
      <c r="F47" s="3" t="n">
        <v>32.5</v>
      </c>
      <c r="G47" s="3" t="n">
        <v>32</v>
      </c>
      <c r="H47" s="3" t="n">
        <v>32</v>
      </c>
      <c r="I47" s="3" t="n">
        <v>32</v>
      </c>
      <c r="J47" s="3" t="n">
        <v>32</v>
      </c>
      <c r="K47" s="3" t="n">
        <v>32</v>
      </c>
      <c r="L47" s="3" t="n">
        <v>32</v>
      </c>
    </row>
    <row r="48" customFormat="false" ht="15" hidden="false" customHeight="false" outlineLevel="0" collapsed="false">
      <c r="A48" s="0" t="s">
        <v>107</v>
      </c>
      <c r="B48" s="3" t="n">
        <v>8</v>
      </c>
    </row>
    <row r="49" customFormat="false" ht="15" hidden="false" customHeight="false" outlineLevel="0" collapsed="false">
      <c r="A49" s="0" t="s">
        <v>108</v>
      </c>
      <c r="B49" s="3" t="n">
        <v>2</v>
      </c>
    </row>
    <row r="50" customFormat="false" ht="15" hidden="false" customHeight="false" outlineLevel="0" collapsed="false">
      <c r="A50" s="0" t="s">
        <v>109</v>
      </c>
      <c r="B50" s="3" t="n">
        <v>14</v>
      </c>
    </row>
    <row r="51" customFormat="false" ht="15" hidden="false" customHeight="false" outlineLevel="0" collapsed="false">
      <c r="A51" s="0" t="s">
        <v>110</v>
      </c>
      <c r="B51" s="3" t="n">
        <v>-8</v>
      </c>
    </row>
    <row r="52" customFormat="false" ht="15" hidden="false" customHeight="false" outlineLevel="0" collapsed="false">
      <c r="A52" s="0" t="s">
        <v>111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114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Assumptions!C13</f>
        <v>-3.5</v>
      </c>
      <c r="D5" s="4" t="n">
        <f aca="false">Assumptions!D13</f>
        <v>-2.5</v>
      </c>
      <c r="E5" s="4" t="n">
        <f aca="false">Assumptions!E13</f>
        <v>-3</v>
      </c>
      <c r="F5" s="4" t="n">
        <f aca="false">Assumptions!F13</f>
        <v>-3.5</v>
      </c>
      <c r="G5" s="4" t="n">
        <f aca="false">Assumptions!G13</f>
        <v>-3.5</v>
      </c>
      <c r="H5" s="4" t="n">
        <f aca="false">Assumptions!H13</f>
        <v>-3</v>
      </c>
      <c r="I5" s="4" t="n">
        <f aca="false">Assumptions!I13</f>
        <v>-3</v>
      </c>
      <c r="J5" s="4" t="n">
        <f aca="false">Assumptions!J13</f>
        <v>-2.5</v>
      </c>
      <c r="K5" s="4" t="n">
        <f aca="false">Assumptions!K13</f>
        <v>-2</v>
      </c>
      <c r="L5" s="4" t="n">
        <f aca="false">Assumptions!L13</f>
        <v>-2</v>
      </c>
    </row>
    <row r="6" customFormat="false" ht="15" hidden="false" customHeight="false" outlineLevel="0" collapsed="false">
      <c r="A6" s="0" t="s">
        <v>37</v>
      </c>
      <c r="B6" s="3" t="n">
        <v>10209</v>
      </c>
      <c r="C6" s="0" t="n">
        <f aca="false">B6*(1+C5/100)</f>
        <v>9851.685</v>
      </c>
      <c r="D6" s="0" t="n">
        <f aca="false">C6*(1+D5/100)</f>
        <v>9605.392875</v>
      </c>
      <c r="E6" s="0" t="n">
        <f aca="false">D6*(1+E5/100)</f>
        <v>9317.23108875</v>
      </c>
      <c r="F6" s="0" t="n">
        <f aca="false">E6*(1+F5/100)</f>
        <v>8991.12800064375</v>
      </c>
      <c r="G6" s="0" t="n">
        <f aca="false">F6*(1+G5/100)</f>
        <v>8676.43852062122</v>
      </c>
      <c r="H6" s="0" t="n">
        <f aca="false">G6*(1+H5/100)</f>
        <v>8416.14536500258</v>
      </c>
      <c r="I6" s="0" t="n">
        <f aca="false">H6*(1+I5/100)</f>
        <v>8163.6610040525</v>
      </c>
      <c r="J6" s="0" t="n">
        <f aca="false">I6*(1+J5/100)</f>
        <v>7959.56947895119</v>
      </c>
      <c r="K6" s="0" t="n">
        <f aca="false">J6*(1+K5/100)</f>
        <v>7800.37808937217</v>
      </c>
      <c r="L6" s="0" t="n">
        <f aca="false">K6*(1+L5/100)</f>
        <v>7644.37052758472</v>
      </c>
    </row>
    <row r="7" customFormat="false" ht="15" hidden="false" customHeight="false" outlineLevel="0" collapsed="false">
      <c r="A7" s="0" t="s">
        <v>101</v>
      </c>
      <c r="C7" s="4" t="n">
        <f aca="false">Assumptions!C14</f>
        <v>18</v>
      </c>
      <c r="D7" s="4" t="n">
        <f aca="false">Assumptions!D14</f>
        <v>17</v>
      </c>
      <c r="E7" s="4" t="n">
        <f aca="false">Assumptions!E14</f>
        <v>16</v>
      </c>
      <c r="F7" s="4" t="n">
        <f aca="false">Assumptions!F14</f>
        <v>15.2</v>
      </c>
      <c r="G7" s="4" t="n">
        <f aca="false">Assumptions!G14</f>
        <v>14.6</v>
      </c>
      <c r="H7" s="4" t="n">
        <f aca="false">Assumptions!H14</f>
        <v>14.2</v>
      </c>
      <c r="I7" s="4" t="n">
        <f aca="false">Assumptions!I14</f>
        <v>14</v>
      </c>
      <c r="J7" s="4" t="n">
        <f aca="false">Assumptions!J14</f>
        <v>14</v>
      </c>
      <c r="K7" s="4" t="n">
        <f aca="false">Assumptions!K14</f>
        <v>14</v>
      </c>
      <c r="L7" s="4" t="n">
        <f aca="false">Assumptions!L14</f>
        <v>14</v>
      </c>
    </row>
    <row r="8" customFormat="false" ht="15" hidden="false" customHeight="false" outlineLevel="0" collapsed="false">
      <c r="A8" s="0" t="s">
        <v>43</v>
      </c>
      <c r="C8" s="0" t="n">
        <f aca="false">C6*C7/100</f>
        <v>1773.3033</v>
      </c>
      <c r="D8" s="0" t="n">
        <f aca="false">D6*D7/100</f>
        <v>1632.91678875</v>
      </c>
      <c r="E8" s="0" t="n">
        <f aca="false">E6*E7/100</f>
        <v>1490.7569742</v>
      </c>
      <c r="F8" s="0" t="n">
        <f aca="false">F6*F7/100</f>
        <v>1366.65145609785</v>
      </c>
      <c r="G8" s="0" t="n">
        <f aca="false">G6*G7/100</f>
        <v>1266.7600240107</v>
      </c>
      <c r="H8" s="0" t="n">
        <f aca="false">H6*H7/100</f>
        <v>1195.09264183037</v>
      </c>
      <c r="I8" s="0" t="n">
        <f aca="false">I6*I7/100</f>
        <v>1142.91254056735</v>
      </c>
      <c r="J8" s="0" t="n">
        <f aca="false">J6*J7/100</f>
        <v>1114.33972705317</v>
      </c>
      <c r="K8" s="0" t="n">
        <f aca="false">K6*K7/100</f>
        <v>1092.0529325121</v>
      </c>
      <c r="L8" s="0" t="n">
        <f aca="false">L6*L7/100</f>
        <v>1070.21187386186</v>
      </c>
    </row>
    <row r="9" customFormat="false" ht="15" hidden="false" customHeight="false" outlineLevel="0" collapsed="false">
      <c r="A9" s="0" t="s">
        <v>102</v>
      </c>
      <c r="C9" s="4" t="n">
        <f aca="false">Assumptions!C15</f>
        <v>0.5</v>
      </c>
      <c r="D9" s="4" t="n">
        <f aca="false">Assumptions!D15</f>
        <v>0.5</v>
      </c>
      <c r="E9" s="4" t="n">
        <f aca="false">Assumptions!E15</f>
        <v>0.5</v>
      </c>
      <c r="F9" s="4" t="n">
        <f aca="false">Assumptions!F15</f>
        <v>0.5</v>
      </c>
      <c r="G9" s="4" t="n">
        <f aca="false">Assumptions!G15</f>
        <v>0.5</v>
      </c>
      <c r="H9" s="4" t="n">
        <f aca="false">Assumptions!H15</f>
        <v>0.5</v>
      </c>
      <c r="I9" s="4" t="n">
        <f aca="false">Assumptions!I15</f>
        <v>0.5</v>
      </c>
      <c r="J9" s="4" t="n">
        <f aca="false">Assumptions!J15</f>
        <v>0.5</v>
      </c>
      <c r="K9" s="4" t="n">
        <f aca="false">Assumptions!K15</f>
        <v>0.5</v>
      </c>
      <c r="L9" s="4" t="n">
        <f aca="false">Assumptions!L15</f>
        <v>0.5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-49.258425</v>
      </c>
      <c r="D10" s="0" t="n">
        <f aca="false">-D6*D9/100</f>
        <v>-48.026964375</v>
      </c>
      <c r="E10" s="0" t="n">
        <f aca="false">-E6*E9/100</f>
        <v>-46.58615544375</v>
      </c>
      <c r="F10" s="0" t="n">
        <f aca="false">-F6*F9/100</f>
        <v>-44.9556400032187</v>
      </c>
      <c r="G10" s="0" t="n">
        <f aca="false">-G6*G9/100</f>
        <v>-43.3821926031061</v>
      </c>
      <c r="H10" s="0" t="n">
        <f aca="false">-H6*H9/100</f>
        <v>-42.0807268250129</v>
      </c>
      <c r="I10" s="0" t="n">
        <f aca="false">-I6*I9/100</f>
        <v>-40.8183050202625</v>
      </c>
      <c r="J10" s="0" t="n">
        <f aca="false">-J6*J9/100</f>
        <v>-39.797847394756</v>
      </c>
      <c r="K10" s="0" t="n">
        <f aca="false">-K6*K9/100</f>
        <v>-39.0018904468608</v>
      </c>
      <c r="L10" s="0" t="n">
        <f aca="false">-L6*L9/100</f>
        <v>-38.2218526379236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1408.790955</v>
      </c>
      <c r="D11" s="0" t="n">
        <f aca="false">D8+D10+D24</f>
        <v>1267.9118595</v>
      </c>
      <c r="E11" s="0" t="n">
        <f aca="false">E8+E10+E24</f>
        <v>1136.7021928275</v>
      </c>
      <c r="F11" s="0" t="n">
        <f aca="false">F8+F10+F24</f>
        <v>1024.98859207339</v>
      </c>
      <c r="G11" s="0" t="n">
        <f aca="false">G8+G10+G24</f>
        <v>937.055360227092</v>
      </c>
      <c r="H11" s="0" t="n">
        <f aca="false">H8+H10+H24</f>
        <v>875.279117960268</v>
      </c>
      <c r="I11" s="0" t="n">
        <f aca="false">I8+I10+I24</f>
        <v>832.693422413356</v>
      </c>
      <c r="J11" s="0" t="n">
        <f aca="false">J8+J10+J24</f>
        <v>811.876086853022</v>
      </c>
      <c r="K11" s="0" t="n">
        <f aca="false">K8+K10+K24</f>
        <v>795.638565115961</v>
      </c>
      <c r="L11" s="0" t="n">
        <f aca="false">L8+L10+L24</f>
        <v>779.725793813642</v>
      </c>
    </row>
    <row r="12" customFormat="false" ht="15" hidden="false" customHeight="false" outlineLevel="0" collapsed="false">
      <c r="A12" s="0" t="s">
        <v>119</v>
      </c>
      <c r="C12" s="4" t="n">
        <f aca="false">-C6*Assumptions!C17/100</f>
        <v>-256.14381</v>
      </c>
      <c r="D12" s="4" t="n">
        <f aca="false">-D6*Assumptions!D17/100</f>
        <v>-249.74021475</v>
      </c>
      <c r="E12" s="4" t="n">
        <f aca="false">-E6*Assumptions!E17/100</f>
        <v>-242.2480083075</v>
      </c>
      <c r="F12" s="4" t="n">
        <f aca="false">-F6*Assumptions!F17/100</f>
        <v>-233.769328016737</v>
      </c>
      <c r="G12" s="4" t="n">
        <f aca="false">-G6*Assumptions!G17/100</f>
        <v>-225.587401536152</v>
      </c>
      <c r="H12" s="4" t="n">
        <f aca="false">-H6*Assumptions!H17/100</f>
        <v>-218.819779490067</v>
      </c>
      <c r="I12" s="4" t="n">
        <f aca="false">-I6*Assumptions!I17/100</f>
        <v>-212.255186105365</v>
      </c>
      <c r="J12" s="4" t="n">
        <f aca="false">-J6*Assumptions!J17/100</f>
        <v>-206.948806452731</v>
      </c>
      <c r="K12" s="4" t="n">
        <f aca="false">-K6*Assumptions!K17/100</f>
        <v>-202.809830323676</v>
      </c>
      <c r="L12" s="4" t="n">
        <f aca="false">-L6*Assumptions!L17/100</f>
        <v>-198.753633717203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1152.647145</v>
      </c>
      <c r="D13" s="0" t="n">
        <f aca="false">D11+D12</f>
        <v>1018.17164475</v>
      </c>
      <c r="E13" s="0" t="n">
        <f aca="false">E11+E12</f>
        <v>894.45418452</v>
      </c>
      <c r="F13" s="0" t="n">
        <f aca="false">F11+F12</f>
        <v>791.21926405665</v>
      </c>
      <c r="G13" s="0" t="n">
        <f aca="false">G11+G12</f>
        <v>711.46795869094</v>
      </c>
      <c r="H13" s="0" t="n">
        <f aca="false">H11+H12</f>
        <v>656.459338470201</v>
      </c>
      <c r="I13" s="0" t="n">
        <f aca="false">I11+I12</f>
        <v>620.43823630799</v>
      </c>
      <c r="J13" s="0" t="n">
        <f aca="false">J11+J12</f>
        <v>604.927280400291</v>
      </c>
      <c r="K13" s="0" t="n">
        <f aca="false">K11+K12</f>
        <v>592.828734792285</v>
      </c>
      <c r="L13" s="0" t="n">
        <f aca="false">L11+L12</f>
        <v>580.972160096439</v>
      </c>
    </row>
    <row r="14" customFormat="false" ht="15" hidden="false" customHeight="false" outlineLevel="0" collapsed="false">
      <c r="A14" s="0" t="s">
        <v>106</v>
      </c>
      <c r="C14" s="4" t="n">
        <f aca="false">Assumptions!C19</f>
        <v>33</v>
      </c>
      <c r="D14" s="4" t="n">
        <f aca="false">Assumptions!D19</f>
        <v>33</v>
      </c>
      <c r="E14" s="4" t="n">
        <f aca="false">Assumptions!E19</f>
        <v>33</v>
      </c>
      <c r="F14" s="4" t="n">
        <f aca="false">Assumptions!F19</f>
        <v>33</v>
      </c>
      <c r="G14" s="4" t="n">
        <f aca="false">Assumptions!G19</f>
        <v>33</v>
      </c>
      <c r="H14" s="4" t="n">
        <f aca="false">Assumptions!H19</f>
        <v>33</v>
      </c>
      <c r="I14" s="4" t="n">
        <f aca="false">Assumptions!I19</f>
        <v>33</v>
      </c>
      <c r="J14" s="4" t="n">
        <f aca="false">Assumptions!J19</f>
        <v>33</v>
      </c>
      <c r="K14" s="4" t="n">
        <f aca="false">Assumptions!K19</f>
        <v>33</v>
      </c>
      <c r="L14" s="4" t="n">
        <f aca="false">Assumptions!L19</f>
        <v>33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772.27358715</v>
      </c>
      <c r="D15" s="0" t="n">
        <f aca="false">D13-MAX(0,D13)*D14/100</f>
        <v>682.1750019825</v>
      </c>
      <c r="E15" s="0" t="n">
        <f aca="false">E13-MAX(0,E13)*E14/100</f>
        <v>599.2843036284</v>
      </c>
      <c r="F15" s="0" t="n">
        <f aca="false">F13-MAX(0,F13)*F14/100</f>
        <v>530.116906917955</v>
      </c>
      <c r="G15" s="0" t="n">
        <f aca="false">G13-MAX(0,G13)*G14/100</f>
        <v>476.68353232293</v>
      </c>
      <c r="H15" s="0" t="n">
        <f aca="false">H13-MAX(0,H13)*H14/100</f>
        <v>439.827756775035</v>
      </c>
      <c r="I15" s="0" t="n">
        <f aca="false">I13-MAX(0,I13)*I14/100</f>
        <v>415.693618326354</v>
      </c>
      <c r="J15" s="0" t="n">
        <f aca="false">J13-MAX(0,J13)*J14/100</f>
        <v>405.301277868195</v>
      </c>
      <c r="K15" s="0" t="n">
        <f aca="false">K13-MAX(0,K13)*K14/100</f>
        <v>397.195252310831</v>
      </c>
      <c r="L15" s="0" t="n">
        <f aca="false">L13-MAX(0,L13)*L14/100</f>
        <v>389.251347264614</v>
      </c>
    </row>
    <row r="16" customFormat="false" ht="15" hidden="false" customHeight="false" outlineLevel="0" collapsed="false">
      <c r="A16" s="0" t="s">
        <v>122</v>
      </c>
      <c r="C16" s="0" t="n">
        <f aca="false">-C12</f>
        <v>256.14381</v>
      </c>
      <c r="D16" s="0" t="n">
        <f aca="false">-D12</f>
        <v>249.74021475</v>
      </c>
      <c r="E16" s="0" t="n">
        <f aca="false">-E12</f>
        <v>242.2480083075</v>
      </c>
      <c r="F16" s="0" t="n">
        <f aca="false">-F12</f>
        <v>233.769328016737</v>
      </c>
      <c r="G16" s="0" t="n">
        <f aca="false">-G12</f>
        <v>225.587401536152</v>
      </c>
      <c r="H16" s="0" t="n">
        <f aca="false">-H12</f>
        <v>218.819779490067</v>
      </c>
      <c r="I16" s="0" t="n">
        <f aca="false">-I12</f>
        <v>212.255186105365</v>
      </c>
      <c r="J16" s="0" t="n">
        <f aca="false">-J12</f>
        <v>206.948806452731</v>
      </c>
      <c r="K16" s="0" t="n">
        <f aca="false">-K12</f>
        <v>202.809830323676</v>
      </c>
      <c r="L16" s="0" t="n">
        <f aca="false">-L12</f>
        <v>198.753633717203</v>
      </c>
    </row>
    <row r="17" customFormat="false" ht="15" hidden="false" customHeight="false" outlineLevel="0" collapsed="false">
      <c r="A17" s="0" t="s">
        <v>123</v>
      </c>
      <c r="C17" s="4" t="n">
        <f aca="false">-C6*Assumptions!C18/100</f>
        <v>-246.292125</v>
      </c>
      <c r="D17" s="4" t="n">
        <f aca="false">-D6*Assumptions!D18/100</f>
        <v>-240.134821875</v>
      </c>
      <c r="E17" s="4" t="n">
        <f aca="false">-E6*Assumptions!E18/100</f>
        <v>-232.93077721875</v>
      </c>
      <c r="F17" s="4" t="n">
        <f aca="false">-F6*Assumptions!F18/100</f>
        <v>-224.778200016094</v>
      </c>
      <c r="G17" s="4" t="n">
        <f aca="false">-G6*Assumptions!G18/100</f>
        <v>-216.91096301553</v>
      </c>
      <c r="H17" s="4" t="n">
        <f aca="false">-H6*Assumptions!H18/100</f>
        <v>-210.403634125065</v>
      </c>
      <c r="I17" s="4" t="n">
        <f aca="false">-I6*Assumptions!I18/100</f>
        <v>-204.091525101313</v>
      </c>
      <c r="J17" s="4" t="n">
        <f aca="false">-J6*Assumptions!J18/100</f>
        <v>-198.98923697378</v>
      </c>
      <c r="K17" s="4" t="n">
        <f aca="false">-K6*Assumptions!K18/100</f>
        <v>-195.009452234304</v>
      </c>
      <c r="L17" s="4" t="n">
        <f aca="false">-L6*Assumptions!L18/100</f>
        <v>-191.109263189618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(C6-B6)*Assumptions!$B$23/100</f>
        <v>28.5852</v>
      </c>
      <c r="D18" s="4" t="n">
        <f aca="false">(D6-C6)*Assumptions!$B$23/100</f>
        <v>19.70337</v>
      </c>
      <c r="E18" s="4" t="n">
        <f aca="false">(E6-D6)*Assumptions!$B$23/100</f>
        <v>23.0529429000001</v>
      </c>
      <c r="F18" s="4" t="n">
        <f aca="false">(F6-E6)*Assumptions!$B$23/100</f>
        <v>26.0882470485001</v>
      </c>
      <c r="G18" s="4" t="n">
        <f aca="false">(G6-F6)*Assumptions!$B$23/100</f>
        <v>25.1751584018025</v>
      </c>
      <c r="H18" s="4" t="n">
        <f aca="false">(H6-G6)*Assumptions!$B$23/100</f>
        <v>20.8234524494909</v>
      </c>
      <c r="I18" s="4" t="n">
        <f aca="false">(I6-H6)*Assumptions!$B$23/100</f>
        <v>20.1987488760062</v>
      </c>
      <c r="J18" s="4" t="n">
        <f aca="false">(J6-I6)*Assumptions!$B$23/100</f>
        <v>16.327322008105</v>
      </c>
      <c r="K18" s="4" t="n">
        <f aca="false">(K6-J6)*Assumptions!$B$23/100</f>
        <v>12.7353111663219</v>
      </c>
      <c r="L18" s="4" t="n">
        <f aca="false">(L6-K6)*Assumptions!$B$23/100</f>
        <v>12.4806049429955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810.71047215</v>
      </c>
      <c r="D19" s="0" t="n">
        <f aca="false">D15+D16+D17+D18</f>
        <v>711.4837648575</v>
      </c>
      <c r="E19" s="0" t="n">
        <f aca="false">E15+E16+E17+E18</f>
        <v>631.65447761715</v>
      </c>
      <c r="F19" s="0" t="n">
        <f aca="false">F15+F16+F17+F18</f>
        <v>565.196281967099</v>
      </c>
      <c r="G19" s="0" t="n">
        <f aca="false">G15+G16+G17+G18</f>
        <v>510.535129245353</v>
      </c>
      <c r="H19" s="0" t="n">
        <f aca="false">H15+H16+H17+H18</f>
        <v>469.067354589528</v>
      </c>
      <c r="I19" s="0" t="n">
        <f aca="false">I15+I16+I17+I18</f>
        <v>444.056028206412</v>
      </c>
      <c r="J19" s="0" t="n">
        <f aca="false">J15+J16+J17+J18</f>
        <v>429.588169355251</v>
      </c>
      <c r="K19" s="0" t="n">
        <f aca="false">K15+K16+K17+K18</f>
        <v>417.730941566525</v>
      </c>
      <c r="L19" s="0" t="n">
        <f aca="false">L15+L16+L17+L18</f>
        <v>409.376322735194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750.657844583333</v>
      </c>
      <c r="D21" s="0" t="n">
        <f aca="false">D19*D20</f>
        <v>609.9826516268</v>
      </c>
      <c r="E21" s="0" t="n">
        <f aca="false">E19*E20</f>
        <v>501.427689517247</v>
      </c>
      <c r="F21" s="0" t="n">
        <f aca="false">F19*F20</f>
        <v>415.43613993538</v>
      </c>
      <c r="G21" s="0" t="n">
        <f aca="false">G19*G20</f>
        <v>347.461630459843</v>
      </c>
      <c r="H21" s="0" t="n">
        <f aca="false">H19*H20</f>
        <v>295.591999824728</v>
      </c>
      <c r="I21" s="0" t="n">
        <f aca="false">I19*I20</f>
        <v>259.102427416693</v>
      </c>
      <c r="J21" s="0" t="n">
        <f aca="false">J19*J20</f>
        <v>232.093121052807</v>
      </c>
      <c r="K21" s="0" t="n">
        <f aca="false">K19*K20</f>
        <v>208.969472057506</v>
      </c>
      <c r="L21" s="0" t="n">
        <f aca="false">L19*L20</f>
        <v>189.620446866996</v>
      </c>
    </row>
    <row r="23" customFormat="false" ht="15" hidden="false" customHeight="false" outlineLevel="0" collapsed="false">
      <c r="A23" s="0" t="s">
        <v>103</v>
      </c>
      <c r="C23" s="4" t="n">
        <f aca="false">Assumptions!C16</f>
        <v>3.2</v>
      </c>
      <c r="D23" s="4" t="n">
        <f aca="false">Assumptions!D16</f>
        <v>3.3</v>
      </c>
      <c r="E23" s="4" t="n">
        <f aca="false">Assumptions!E16</f>
        <v>3.3</v>
      </c>
      <c r="F23" s="4" t="n">
        <f aca="false">Assumptions!F16</f>
        <v>3.3</v>
      </c>
      <c r="G23" s="4" t="n">
        <f aca="false">Assumptions!G16</f>
        <v>3.3</v>
      </c>
      <c r="H23" s="4" t="n">
        <f aca="false">Assumptions!H16</f>
        <v>3.3</v>
      </c>
      <c r="I23" s="4" t="n">
        <f aca="false">Assumptions!I16</f>
        <v>3.3</v>
      </c>
      <c r="J23" s="4" t="n">
        <f aca="false">Assumptions!J16</f>
        <v>3.3</v>
      </c>
      <c r="K23" s="4" t="n">
        <f aca="false">Assumptions!K16</f>
        <v>3.3</v>
      </c>
      <c r="L23" s="4" t="n">
        <f aca="false">Assumptions!L16</f>
        <v>3.3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-315.25392</v>
      </c>
      <c r="D24" s="0" t="n">
        <f aca="false">-D6*D23/100</f>
        <v>-316.977964875</v>
      </c>
      <c r="E24" s="0" t="n">
        <f aca="false">-E6*E23/100</f>
        <v>-307.46862592875</v>
      </c>
      <c r="F24" s="0" t="n">
        <f aca="false">-F6*F23/100</f>
        <v>-296.707224021244</v>
      </c>
      <c r="G24" s="0" t="n">
        <f aca="false">-G6*G23/100</f>
        <v>-286.3224711805</v>
      </c>
      <c r="H24" s="0" t="n">
        <f aca="false">-H6*H23/100</f>
        <v>-277.732797045085</v>
      </c>
      <c r="I24" s="0" t="n">
        <f aca="false">-I6*I23/100</f>
        <v>-269.400813133733</v>
      </c>
      <c r="J24" s="0" t="n">
        <f aca="false">-J6*J23/100</f>
        <v>-262.665792805389</v>
      </c>
      <c r="K24" s="0" t="n">
        <f aca="false">-K6*K23/100</f>
        <v>-257.412476949282</v>
      </c>
      <c r="L24" s="0" t="n">
        <f aca="false">-L6*L23/100</f>
        <v>-252.264227410296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108</v>
      </c>
      <c r="B28" s="4" t="n">
        <f aca="false">Assumptions!$B$21</f>
        <v>0</v>
      </c>
    </row>
    <row r="29" customFormat="false" ht="15" hidden="false" customHeight="false" outlineLevel="0" collapsed="false">
      <c r="A29" s="0" t="s">
        <v>109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3810.34342334133</v>
      </c>
    </row>
    <row r="31" customFormat="false" ht="15" hidden="false" customHeight="false" outlineLevel="0" collapsed="false">
      <c r="A31" s="0" t="s">
        <v>131</v>
      </c>
      <c r="B31" s="0" t="n">
        <f aca="false">L19</f>
        <v>409.376322735194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5117.20403418993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4093.76322735194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4093.76322735194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1896.20446866996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5706.54789201129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2494.54789201129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42.7148611645769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-0.469907406743895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295.386946850906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221.301415555233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51.5622646304355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2729.1754849013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7.32807974754907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Assumptions!C27</f>
        <v>-2.5</v>
      </c>
      <c r="D5" s="4" t="n">
        <f aca="false">Assumptions!D27</f>
        <v>2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10209</v>
      </c>
      <c r="C6" s="0" t="n">
        <f aca="false">B6*(1+C5/100)</f>
        <v>9953.775</v>
      </c>
      <c r="D6" s="0" t="n">
        <f aca="false">C6*(1+D5/100)</f>
        <v>10152.8505</v>
      </c>
      <c r="E6" s="0" t="n">
        <f aca="false">D6*(1+E5/100)</f>
        <v>10457.436015</v>
      </c>
      <c r="F6" s="0" t="n">
        <f aca="false">E6*(1+F5/100)</f>
        <v>10771.15909545</v>
      </c>
      <c r="G6" s="0" t="n">
        <f aca="false">F6*(1+G5/100)</f>
        <v>11094.2938683135</v>
      </c>
      <c r="H6" s="0" t="n">
        <f aca="false">G6*(1+H5/100)</f>
        <v>11371.6512150213</v>
      </c>
      <c r="I6" s="0" t="n">
        <f aca="false">H6*(1+I5/100)</f>
        <v>11655.9424953969</v>
      </c>
      <c r="J6" s="0" t="n">
        <f aca="false">I6*(1+J5/100)</f>
        <v>11889.0613453048</v>
      </c>
      <c r="K6" s="0" t="n">
        <f aca="false">J6*(1+K5/100)</f>
        <v>12126.8425722109</v>
      </c>
      <c r="L6" s="0" t="n">
        <f aca="false">K6*(1+L5/100)</f>
        <v>12369.3794236551</v>
      </c>
    </row>
    <row r="7" customFormat="false" ht="15" hidden="false" customHeight="false" outlineLevel="0" collapsed="false">
      <c r="A7" s="0" t="s">
        <v>101</v>
      </c>
      <c r="C7" s="4" t="n">
        <f aca="false">Assumptions!C28</f>
        <v>18.3</v>
      </c>
      <c r="D7" s="4" t="n">
        <f aca="false">Assumptions!D28</f>
        <v>18.8</v>
      </c>
      <c r="E7" s="4" t="n">
        <f aca="false">Assumptions!E28</f>
        <v>19.2</v>
      </c>
      <c r="F7" s="4" t="n">
        <f aca="false">Assumptions!F28</f>
        <v>19.4</v>
      </c>
      <c r="G7" s="4" t="n">
        <f aca="false">Assumptions!G28</f>
        <v>19.5</v>
      </c>
      <c r="H7" s="4" t="n">
        <f aca="false">Assumptions!H28</f>
        <v>19.5</v>
      </c>
      <c r="I7" s="4" t="n">
        <f aca="false">Assumptions!I28</f>
        <v>19.5</v>
      </c>
      <c r="J7" s="4" t="n">
        <f aca="false">Assumptions!J28</f>
        <v>19.5</v>
      </c>
      <c r="K7" s="4" t="n">
        <f aca="false">Assumptions!K28</f>
        <v>19.5</v>
      </c>
      <c r="L7" s="4" t="n">
        <f aca="false">Assumptions!L28</f>
        <v>19.5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1821.540825</v>
      </c>
      <c r="D8" s="0" t="n">
        <f aca="false">D6*D7/100</f>
        <v>1908.735894</v>
      </c>
      <c r="E8" s="0" t="n">
        <f aca="false">E6*E7/100</f>
        <v>2007.82771488</v>
      </c>
      <c r="F8" s="0" t="n">
        <f aca="false">F6*F7/100</f>
        <v>2089.6048645173</v>
      </c>
      <c r="G8" s="0" t="n">
        <f aca="false">G6*G7/100</f>
        <v>2163.38730432113</v>
      </c>
      <c r="H8" s="0" t="n">
        <f aca="false">H6*H7/100</f>
        <v>2217.47198692916</v>
      </c>
      <c r="I8" s="0" t="n">
        <f aca="false">I6*I7/100</f>
        <v>2272.90878660239</v>
      </c>
      <c r="J8" s="0" t="n">
        <f aca="false">J6*J7/100</f>
        <v>2318.36696233444</v>
      </c>
      <c r="K8" s="0" t="n">
        <f aca="false">K6*K7/100</f>
        <v>2364.73430158113</v>
      </c>
      <c r="L8" s="0" t="n">
        <f aca="false">L6*L7/100</f>
        <v>2412.02898761275</v>
      </c>
    </row>
    <row r="9" customFormat="false" ht="15" hidden="false" customHeight="false" outlineLevel="0" collapsed="false">
      <c r="A9" s="0" t="s">
        <v>102</v>
      </c>
      <c r="C9" s="4" t="n">
        <f aca="false">Assumptions!C29</f>
        <v>0.5</v>
      </c>
      <c r="D9" s="4" t="n">
        <f aca="false">Assumptions!D29</f>
        <v>0.5</v>
      </c>
      <c r="E9" s="4" t="n">
        <f aca="false">Assumptions!E29</f>
        <v>0.5</v>
      </c>
      <c r="F9" s="4" t="n">
        <f aca="false">Assumptions!F29</f>
        <v>0.5</v>
      </c>
      <c r="G9" s="4" t="n">
        <f aca="false">Assumptions!G29</f>
        <v>0.5</v>
      </c>
      <c r="H9" s="4" t="n">
        <f aca="false">Assumptions!H29</f>
        <v>0.5</v>
      </c>
      <c r="I9" s="4" t="n">
        <f aca="false">Assumptions!I29</f>
        <v>0.5</v>
      </c>
      <c r="J9" s="4" t="n">
        <f aca="false">Assumptions!J29</f>
        <v>0.5</v>
      </c>
      <c r="K9" s="4" t="n">
        <f aca="false">Assumptions!K29</f>
        <v>0.5</v>
      </c>
      <c r="L9" s="4" t="n">
        <f aca="false">Assumptions!L29</f>
        <v>0.5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-49.768875</v>
      </c>
      <c r="D10" s="0" t="n">
        <f aca="false">-D6*D9/100</f>
        <v>-50.7642525</v>
      </c>
      <c r="E10" s="0" t="n">
        <f aca="false">-E6*E9/100</f>
        <v>-52.287180075</v>
      </c>
      <c r="F10" s="0" t="n">
        <f aca="false">-F6*F9/100</f>
        <v>-53.85579547725</v>
      </c>
      <c r="G10" s="0" t="n">
        <f aca="false">-G6*G9/100</f>
        <v>-55.4714693415675</v>
      </c>
      <c r="H10" s="0" t="n">
        <f aca="false">-H6*H9/100</f>
        <v>-56.8582560751067</v>
      </c>
      <c r="I10" s="0" t="n">
        <f aca="false">-I6*I9/100</f>
        <v>-58.2797124769844</v>
      </c>
      <c r="J10" s="0" t="n">
        <f aca="false">-J6*J9/100</f>
        <v>-59.445306726524</v>
      </c>
      <c r="K10" s="0" t="n">
        <f aca="false">-K6*K9/100</f>
        <v>-60.6342128610545</v>
      </c>
      <c r="L10" s="0" t="n">
        <f aca="false">-L6*L9/100</f>
        <v>-61.8468971182756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1453.25115</v>
      </c>
      <c r="D11" s="0" t="n">
        <f aca="false">D8+D10+D24</f>
        <v>1533.0804255</v>
      </c>
      <c r="E11" s="0" t="n">
        <f aca="false">E8+E10+E24</f>
        <v>1620.902582325</v>
      </c>
      <c r="F11" s="0" t="n">
        <f aca="false">F8+F10+F24</f>
        <v>1691.07197798565</v>
      </c>
      <c r="G11" s="0" t="n">
        <f aca="false">G8+G10+G24</f>
        <v>1752.89843119353</v>
      </c>
      <c r="H11" s="0" t="n">
        <f aca="false">H8+H10+H24</f>
        <v>1796.72089197337</v>
      </c>
      <c r="I11" s="0" t="n">
        <f aca="false">I8+I10+I24</f>
        <v>1841.63891427271</v>
      </c>
      <c r="J11" s="0" t="n">
        <f aca="false">J8+J10+J24</f>
        <v>1878.47169255816</v>
      </c>
      <c r="K11" s="0" t="n">
        <f aca="false">K8+K10+K24</f>
        <v>1916.04112640932</v>
      </c>
      <c r="L11" s="0" t="n">
        <f aca="false">L8+L10+L24</f>
        <v>1954.36194893751</v>
      </c>
    </row>
    <row r="12" customFormat="false" ht="15" hidden="false" customHeight="false" outlineLevel="0" collapsed="false">
      <c r="A12" s="0" t="s">
        <v>119</v>
      </c>
      <c r="C12" s="4" t="n">
        <f aca="false">-C6*Assumptions!C31/100</f>
        <v>-258.79815</v>
      </c>
      <c r="D12" s="4" t="n">
        <f aca="false">-D6*Assumptions!D31/100</f>
        <v>-263.974113</v>
      </c>
      <c r="E12" s="4" t="n">
        <f aca="false">-E6*Assumptions!E31/100</f>
        <v>-271.89333639</v>
      </c>
      <c r="F12" s="4" t="n">
        <f aca="false">-F6*Assumptions!F31/100</f>
        <v>-280.0501364817</v>
      </c>
      <c r="G12" s="4" t="n">
        <f aca="false">-G6*Assumptions!G31/100</f>
        <v>-288.451640576151</v>
      </c>
      <c r="H12" s="4" t="n">
        <f aca="false">-H6*Assumptions!H31/100</f>
        <v>-295.662931590555</v>
      </c>
      <c r="I12" s="4" t="n">
        <f aca="false">-I6*Assumptions!I31/100</f>
        <v>-303.054504880319</v>
      </c>
      <c r="J12" s="4" t="n">
        <f aca="false">-J6*Assumptions!J31/100</f>
        <v>-309.115594977925</v>
      </c>
      <c r="K12" s="4" t="n">
        <f aca="false">-K6*Assumptions!K31/100</f>
        <v>-315.297906877484</v>
      </c>
      <c r="L12" s="4" t="n">
        <f aca="false">-L6*Assumptions!L31/100</f>
        <v>-321.603865015033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1194.453</v>
      </c>
      <c r="D13" s="0" t="n">
        <f aca="false">D11+D12</f>
        <v>1269.1063125</v>
      </c>
      <c r="E13" s="0" t="n">
        <f aca="false">E11+E12</f>
        <v>1349.009245935</v>
      </c>
      <c r="F13" s="0" t="n">
        <f aca="false">F11+F12</f>
        <v>1411.02184150395</v>
      </c>
      <c r="G13" s="0" t="n">
        <f aca="false">G11+G12</f>
        <v>1464.44679061738</v>
      </c>
      <c r="H13" s="0" t="n">
        <f aca="false">H11+H12</f>
        <v>1501.05796038282</v>
      </c>
      <c r="I13" s="0" t="n">
        <f aca="false">I11+I12</f>
        <v>1538.58440939239</v>
      </c>
      <c r="J13" s="0" t="n">
        <f aca="false">J11+J12</f>
        <v>1569.35609758023</v>
      </c>
      <c r="K13" s="0" t="n">
        <f aca="false">K11+K12</f>
        <v>1600.74321953184</v>
      </c>
      <c r="L13" s="0" t="n">
        <f aca="false">L11+L12</f>
        <v>1632.75808392248</v>
      </c>
    </row>
    <row r="14" customFormat="false" ht="15" hidden="false" customHeight="false" outlineLevel="0" collapsed="false">
      <c r="A14" s="0" t="s">
        <v>106</v>
      </c>
      <c r="C14" s="4" t="n">
        <f aca="false">Assumptions!C33</f>
        <v>33</v>
      </c>
      <c r="D14" s="4" t="n">
        <f aca="false">Assumptions!D33</f>
        <v>33</v>
      </c>
      <c r="E14" s="4" t="n">
        <f aca="false">Assumptions!E33</f>
        <v>33</v>
      </c>
      <c r="F14" s="4" t="n">
        <f aca="false">Assumptions!F33</f>
        <v>32.5</v>
      </c>
      <c r="G14" s="4" t="n">
        <f aca="false">Assumptions!G33</f>
        <v>32</v>
      </c>
      <c r="H14" s="4" t="n">
        <f aca="false">Assumptions!H33</f>
        <v>32</v>
      </c>
      <c r="I14" s="4" t="n">
        <f aca="false">Assumptions!I33</f>
        <v>32</v>
      </c>
      <c r="J14" s="4" t="n">
        <f aca="false">Assumptions!J33</f>
        <v>32</v>
      </c>
      <c r="K14" s="4" t="n">
        <f aca="false">Assumptions!K33</f>
        <v>32</v>
      </c>
      <c r="L14" s="4" t="n">
        <f aca="false">Assumptions!L33</f>
        <v>32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800.28351</v>
      </c>
      <c r="D15" s="0" t="n">
        <f aca="false">D13-MAX(0,D13)*D14/100</f>
        <v>850.301229375</v>
      </c>
      <c r="E15" s="0" t="n">
        <f aca="false">E13-MAX(0,E13)*E14/100</f>
        <v>903.83619477645</v>
      </c>
      <c r="F15" s="0" t="n">
        <f aca="false">F13-MAX(0,F13)*F14/100</f>
        <v>952.439743015166</v>
      </c>
      <c r="G15" s="0" t="n">
        <f aca="false">G13-MAX(0,G13)*G14/100</f>
        <v>995.82381761982</v>
      </c>
      <c r="H15" s="0" t="n">
        <f aca="false">H13-MAX(0,H13)*H14/100</f>
        <v>1020.71941306032</v>
      </c>
      <c r="I15" s="0" t="n">
        <f aca="false">I13-MAX(0,I13)*I14/100</f>
        <v>1046.23739838682</v>
      </c>
      <c r="J15" s="0" t="n">
        <f aca="false">J13-MAX(0,J13)*J14/100</f>
        <v>1067.16214635456</v>
      </c>
      <c r="K15" s="0" t="n">
        <f aca="false">K13-MAX(0,K13)*K14/100</f>
        <v>1088.50538928165</v>
      </c>
      <c r="L15" s="0" t="n">
        <f aca="false">L13-MAX(0,L13)*L14/100</f>
        <v>1110.27549706728</v>
      </c>
    </row>
    <row r="16" customFormat="false" ht="15" hidden="false" customHeight="false" outlineLevel="0" collapsed="false">
      <c r="A16" s="0" t="s">
        <v>122</v>
      </c>
      <c r="C16" s="0" t="n">
        <f aca="false">-C12</f>
        <v>258.79815</v>
      </c>
      <c r="D16" s="0" t="n">
        <f aca="false">-D12</f>
        <v>263.974113</v>
      </c>
      <c r="E16" s="0" t="n">
        <f aca="false">-E12</f>
        <v>271.89333639</v>
      </c>
      <c r="F16" s="0" t="n">
        <f aca="false">-F12</f>
        <v>280.0501364817</v>
      </c>
      <c r="G16" s="0" t="n">
        <f aca="false">-G12</f>
        <v>288.451640576151</v>
      </c>
      <c r="H16" s="0" t="n">
        <f aca="false">-H12</f>
        <v>295.662931590555</v>
      </c>
      <c r="I16" s="0" t="n">
        <f aca="false">-I12</f>
        <v>303.054504880319</v>
      </c>
      <c r="J16" s="0" t="n">
        <f aca="false">-J12</f>
        <v>309.115594977925</v>
      </c>
      <c r="K16" s="0" t="n">
        <f aca="false">-K12</f>
        <v>315.297906877484</v>
      </c>
      <c r="L16" s="0" t="n">
        <f aca="false">-L12</f>
        <v>321.603865015033</v>
      </c>
    </row>
    <row r="17" customFormat="false" ht="15" hidden="false" customHeight="false" outlineLevel="0" collapsed="false">
      <c r="A17" s="0" t="s">
        <v>123</v>
      </c>
      <c r="C17" s="4" t="n">
        <f aca="false">-C6*Assumptions!C32/100</f>
        <v>-248.844375</v>
      </c>
      <c r="D17" s="4" t="n">
        <f aca="false">-D6*Assumptions!D32/100</f>
        <v>-263.974113</v>
      </c>
      <c r="E17" s="4" t="n">
        <f aca="false">-E6*Assumptions!E32/100</f>
        <v>-282.350772405</v>
      </c>
      <c r="F17" s="4" t="n">
        <f aca="false">-F6*Assumptions!F32/100</f>
        <v>-290.82129557715</v>
      </c>
      <c r="G17" s="4" t="n">
        <f aca="false">-G6*Assumptions!G32/100</f>
        <v>-299.545934444465</v>
      </c>
      <c r="H17" s="4" t="n">
        <f aca="false">-H6*Assumptions!H32/100</f>
        <v>-307.034582805576</v>
      </c>
      <c r="I17" s="4" t="n">
        <f aca="false">-I6*Assumptions!I32/100</f>
        <v>-314.710447375716</v>
      </c>
      <c r="J17" s="4" t="n">
        <f aca="false">-J6*Assumptions!J32/100</f>
        <v>-321.00465632323</v>
      </c>
      <c r="K17" s="4" t="n">
        <f aca="false">-K6*Assumptions!K32/100</f>
        <v>-327.424749449694</v>
      </c>
      <c r="L17" s="4" t="n">
        <f aca="false">-L6*Assumptions!L32/100</f>
        <v>-333.973244438688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(C6-B6)*Assumptions!$B$37/100</f>
        <v>20.418</v>
      </c>
      <c r="D18" s="4" t="n">
        <f aca="false">(D6-C6)*Assumptions!$B$37/100</f>
        <v>-15.9260400000001</v>
      </c>
      <c r="E18" s="4" t="n">
        <f aca="false">(E6-D6)*Assumptions!$B$37/100</f>
        <v>-24.3668412000001</v>
      </c>
      <c r="F18" s="4" t="n">
        <f aca="false">(F6-E6)*Assumptions!$B$37/100</f>
        <v>-25.097846436</v>
      </c>
      <c r="G18" s="4" t="n">
        <f aca="false">(G6-F6)*Assumptions!$B$37/100</f>
        <v>-25.8507818290801</v>
      </c>
      <c r="H18" s="4" t="n">
        <f aca="false">(H6-G6)*Assumptions!$B$37/100</f>
        <v>-22.1885877366269</v>
      </c>
      <c r="I18" s="4" t="n">
        <f aca="false">(I6-H6)*Assumptions!$B$37/100</f>
        <v>-22.7433024300425</v>
      </c>
      <c r="J18" s="4" t="n">
        <f aca="false">(J6-I6)*Assumptions!$B$37/100</f>
        <v>-18.649507992635</v>
      </c>
      <c r="K18" s="4" t="n">
        <f aca="false">(K6-J6)*Assumptions!$B$37/100</f>
        <v>-19.0224981524877</v>
      </c>
      <c r="L18" s="4" t="n">
        <f aca="false">(L6-K6)*Assumptions!$B$37/100</f>
        <v>-19.4029481155374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830.655285</v>
      </c>
      <c r="D19" s="0" t="n">
        <f aca="false">D15+D16+D17+D18</f>
        <v>834.375189375</v>
      </c>
      <c r="E19" s="0" t="n">
        <f aca="false">E15+E16+E17+E18</f>
        <v>869.01191756145</v>
      </c>
      <c r="F19" s="0" t="n">
        <f aca="false">F15+F16+F17+F18</f>
        <v>916.570737483716</v>
      </c>
      <c r="G19" s="0" t="n">
        <f aca="false">G15+G16+G17+G18</f>
        <v>958.878741922426</v>
      </c>
      <c r="H19" s="0" t="n">
        <f aca="false">H15+H16+H17+H18</f>
        <v>987.159174108667</v>
      </c>
      <c r="I19" s="0" t="n">
        <f aca="false">I15+I16+I17+I18</f>
        <v>1011.83815346138</v>
      </c>
      <c r="J19" s="0" t="n">
        <f aca="false">J15+J16+J17+J18</f>
        <v>1036.62357701662</v>
      </c>
      <c r="K19" s="0" t="n">
        <f aca="false">K15+K16+K17+K18</f>
        <v>1057.35604855695</v>
      </c>
      <c r="L19" s="0" t="n">
        <f aca="false">L15+L16+L17+L18</f>
        <v>1078.50316952809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769.125263888889</v>
      </c>
      <c r="D21" s="0" t="n">
        <f aca="false">D19*D20</f>
        <v>715.34224054784</v>
      </c>
      <c r="E21" s="0" t="n">
        <f aca="false">E19*E20</f>
        <v>689.849677991041</v>
      </c>
      <c r="F21" s="0" t="n">
        <f aca="false">F19*F20</f>
        <v>673.706854250193</v>
      </c>
      <c r="G21" s="0" t="n">
        <f aca="false">G19*G20</f>
        <v>652.596759745268</v>
      </c>
      <c r="H21" s="0" t="n">
        <f aca="false">H19*H20</f>
        <v>622.077728422293</v>
      </c>
      <c r="I21" s="0" t="n">
        <f aca="false">I19*I20</f>
        <v>590.39784410449</v>
      </c>
      <c r="J21" s="0" t="n">
        <f aca="false">J19*J20</f>
        <v>560.055463603217</v>
      </c>
      <c r="K21" s="0" t="n">
        <f aca="false">K19*K20</f>
        <v>528.941271180816</v>
      </c>
      <c r="L21" s="0" t="n">
        <f aca="false">L19*L20</f>
        <v>499.555645004104</v>
      </c>
    </row>
    <row r="23" customFormat="false" ht="15" hidden="false" customHeight="false" outlineLevel="0" collapsed="false">
      <c r="A23" s="0" t="s">
        <v>103</v>
      </c>
      <c r="C23" s="4" t="n">
        <f aca="false">Assumptions!C30</f>
        <v>3.2</v>
      </c>
      <c r="D23" s="4" t="n">
        <f aca="false">Assumptions!D30</f>
        <v>3.2</v>
      </c>
      <c r="E23" s="4" t="n">
        <f aca="false">Assumptions!E30</f>
        <v>3.2</v>
      </c>
      <c r="F23" s="4" t="n">
        <f aca="false">Assumptions!F30</f>
        <v>3.2</v>
      </c>
      <c r="G23" s="4" t="n">
        <f aca="false">Assumptions!G30</f>
        <v>3.2</v>
      </c>
      <c r="H23" s="4" t="n">
        <f aca="false">Assumptions!H30</f>
        <v>3.2</v>
      </c>
      <c r="I23" s="4" t="n">
        <f aca="false">Assumptions!I30</f>
        <v>3.2</v>
      </c>
      <c r="J23" s="4" t="n">
        <f aca="false">Assumptions!J30</f>
        <v>3.2</v>
      </c>
      <c r="K23" s="4" t="n">
        <f aca="false">Assumptions!K30</f>
        <v>3.2</v>
      </c>
      <c r="L23" s="4" t="n">
        <f aca="false">Assumptions!L30</f>
        <v>3.2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-318.5208</v>
      </c>
      <c r="D24" s="0" t="n">
        <f aca="false">-D6*D23/100</f>
        <v>-324.891216</v>
      </c>
      <c r="E24" s="0" t="n">
        <f aca="false">-E6*E23/100</f>
        <v>-334.63795248</v>
      </c>
      <c r="F24" s="0" t="n">
        <f aca="false">-F6*F23/100</f>
        <v>-344.6770910544</v>
      </c>
      <c r="G24" s="0" t="n">
        <f aca="false">-G6*G23/100</f>
        <v>-355.017403786032</v>
      </c>
      <c r="H24" s="0" t="n">
        <f aca="false">-H6*H23/100</f>
        <v>-363.892838880683</v>
      </c>
      <c r="I24" s="0" t="n">
        <f aca="false">-I6*I23/100</f>
        <v>-372.9901598527</v>
      </c>
      <c r="J24" s="0" t="n">
        <f aca="false">-J6*J23/100</f>
        <v>-380.449963049754</v>
      </c>
      <c r="K24" s="0" t="n">
        <f aca="false">-K6*K23/100</f>
        <v>-388.058962310749</v>
      </c>
      <c r="L24" s="0" t="n">
        <f aca="false">-L6*L23/100</f>
        <v>-395.820141556964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108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109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6301.64874873815</v>
      </c>
    </row>
    <row r="31" customFormat="false" ht="15" hidden="false" customHeight="false" outlineLevel="0" collapsed="false">
      <c r="A31" s="0" t="s">
        <v>131</v>
      </c>
      <c r="B31" s="0" t="n">
        <f aca="false">L19</f>
        <v>1078.50316952809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16841.2418010925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12942.0380343371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12942.0380343371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5994.66774004925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12296.3164887874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9084.3164887874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155.553364534031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0.930421500794624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369.382003123654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447.335172361232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169.538247675895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8108.74605237787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58.7490095233513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Assumptions!C41</f>
        <v>-2</v>
      </c>
      <c r="D5" s="4" t="n">
        <f aca="false">Assumptions!D41</f>
        <v>3</v>
      </c>
      <c r="E5" s="4" t="n">
        <f aca="false">Assumptions!E41</f>
        <v>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10209</v>
      </c>
      <c r="C6" s="0" t="n">
        <f aca="false">B6*(1+C5/100)</f>
        <v>10004.82</v>
      </c>
      <c r="D6" s="0" t="n">
        <f aca="false">C6*(1+D5/100)</f>
        <v>10304.9646</v>
      </c>
      <c r="E6" s="0" t="n">
        <f aca="false">D6*(1+E5/100)</f>
        <v>10820.21283</v>
      </c>
      <c r="F6" s="0" t="n">
        <f aca="false">E6*(1+F5/100)</f>
        <v>11361.2234715</v>
      </c>
      <c r="G6" s="0" t="n">
        <f aca="false">F6*(1+G5/100)</f>
        <v>11872.4785277175</v>
      </c>
      <c r="H6" s="0" t="n">
        <f aca="false">G6*(1+H5/100)</f>
        <v>12347.3776688262</v>
      </c>
      <c r="I6" s="0" t="n">
        <f aca="false">H6*(1+I5/100)</f>
        <v>12779.5358872351</v>
      </c>
      <c r="J6" s="0" t="n">
        <f aca="false">I6*(1+J5/100)</f>
        <v>13162.9219638522</v>
      </c>
      <c r="K6" s="0" t="n">
        <f aca="false">J6*(1+K5/100)</f>
        <v>13557.8096227677</v>
      </c>
      <c r="L6" s="0" t="n">
        <f aca="false">K6*(1+L5/100)</f>
        <v>13896.7548633369</v>
      </c>
    </row>
    <row r="7" customFormat="false" ht="15" hidden="false" customHeight="false" outlineLevel="0" collapsed="false">
      <c r="A7" s="0" t="s">
        <v>101</v>
      </c>
      <c r="C7" s="4" t="n">
        <f aca="false">Assumptions!C42</f>
        <v>18.5</v>
      </c>
      <c r="D7" s="4" t="n">
        <f aca="false">Assumptions!D42</f>
        <v>19.4</v>
      </c>
      <c r="E7" s="4" t="n">
        <f aca="false">Assumptions!E42</f>
        <v>20</v>
      </c>
      <c r="F7" s="4" t="n">
        <f aca="false">Assumptions!F42</f>
        <v>20.3</v>
      </c>
      <c r="G7" s="4" t="n">
        <f aca="false">Assumptions!G42</f>
        <v>20.4</v>
      </c>
      <c r="H7" s="4" t="n">
        <f aca="false">Assumptions!H42</f>
        <v>20.4</v>
      </c>
      <c r="I7" s="4" t="n">
        <f aca="false">Assumptions!I42</f>
        <v>20.4</v>
      </c>
      <c r="J7" s="4" t="n">
        <f aca="false">Assumptions!J42</f>
        <v>20.4</v>
      </c>
      <c r="K7" s="4" t="n">
        <f aca="false">Assumptions!K42</f>
        <v>20.4</v>
      </c>
      <c r="L7" s="4" t="n">
        <f aca="false">Assumptions!L42</f>
        <v>20.4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1850.8917</v>
      </c>
      <c r="D8" s="0" t="n">
        <f aca="false">D6*D7/100</f>
        <v>1999.1631324</v>
      </c>
      <c r="E8" s="0" t="n">
        <f aca="false">E6*E7/100</f>
        <v>2164.042566</v>
      </c>
      <c r="F8" s="0" t="n">
        <f aca="false">F6*F7/100</f>
        <v>2306.3283647145</v>
      </c>
      <c r="G8" s="0" t="n">
        <f aca="false">G6*G7/100</f>
        <v>2421.98561965437</v>
      </c>
      <c r="H8" s="0" t="n">
        <f aca="false">H6*H7/100</f>
        <v>2518.86504444055</v>
      </c>
      <c r="I8" s="0" t="n">
        <f aca="false">I6*I7/100</f>
        <v>2607.02532099596</v>
      </c>
      <c r="J8" s="0" t="n">
        <f aca="false">J6*J7/100</f>
        <v>2685.23608062584</v>
      </c>
      <c r="K8" s="0" t="n">
        <f aca="false">K6*K7/100</f>
        <v>2765.79316304462</v>
      </c>
      <c r="L8" s="0" t="n">
        <f aca="false">L6*L7/100</f>
        <v>2834.93799212073</v>
      </c>
    </row>
    <row r="9" customFormat="false" ht="15" hidden="false" customHeight="false" outlineLevel="0" collapsed="false">
      <c r="A9" s="0" t="s">
        <v>102</v>
      </c>
      <c r="C9" s="4" t="n">
        <f aca="false">Assumptions!C43</f>
        <v>0.5</v>
      </c>
      <c r="D9" s="4" t="n">
        <f aca="false">Assumptions!D43</f>
        <v>0.5</v>
      </c>
      <c r="E9" s="4" t="n">
        <f aca="false">Assumptions!E43</f>
        <v>0.5</v>
      </c>
      <c r="F9" s="4" t="n">
        <f aca="false">Assumptions!F43</f>
        <v>0.5</v>
      </c>
      <c r="G9" s="4" t="n">
        <f aca="false">Assumptions!G43</f>
        <v>0.5</v>
      </c>
      <c r="H9" s="4" t="n">
        <f aca="false">Assumptions!H43</f>
        <v>0.5</v>
      </c>
      <c r="I9" s="4" t="n">
        <f aca="false">Assumptions!I43</f>
        <v>0.5</v>
      </c>
      <c r="J9" s="4" t="n">
        <f aca="false">Assumptions!J43</f>
        <v>0.5</v>
      </c>
      <c r="K9" s="4" t="n">
        <f aca="false">Assumptions!K43</f>
        <v>0.5</v>
      </c>
      <c r="L9" s="4" t="n">
        <f aca="false">Assumptions!L43</f>
        <v>0.5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-50.0241</v>
      </c>
      <c r="D10" s="0" t="n">
        <f aca="false">-D6*D9/100</f>
        <v>-51.524823</v>
      </c>
      <c r="E10" s="0" t="n">
        <f aca="false">-E6*E9/100</f>
        <v>-54.10106415</v>
      </c>
      <c r="F10" s="0" t="n">
        <f aca="false">-F6*F9/100</f>
        <v>-56.8061173575</v>
      </c>
      <c r="G10" s="0" t="n">
        <f aca="false">-G6*G9/100</f>
        <v>-59.3623926385875</v>
      </c>
      <c r="H10" s="0" t="n">
        <f aca="false">-H6*H9/100</f>
        <v>-61.736888344131</v>
      </c>
      <c r="I10" s="0" t="n">
        <f aca="false">-I6*I9/100</f>
        <v>-63.8976794361756</v>
      </c>
      <c r="J10" s="0" t="n">
        <f aca="false">-J6*J9/100</f>
        <v>-65.8146098192609</v>
      </c>
      <c r="K10" s="0" t="n">
        <f aca="false">-K6*K9/100</f>
        <v>-67.7890481138387</v>
      </c>
      <c r="L10" s="0" t="n">
        <f aca="false">-L6*L9/100</f>
        <v>-69.4837743166847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1480.71336</v>
      </c>
      <c r="D11" s="0" t="n">
        <f aca="false">D8+D10+D24</f>
        <v>1617.8794422</v>
      </c>
      <c r="E11" s="0" t="n">
        <f aca="false">E8+E10+E24</f>
        <v>1774.51490412</v>
      </c>
      <c r="F11" s="0" t="n">
        <f aca="false">F8+F10+F24</f>
        <v>1897.3243197405</v>
      </c>
      <c r="G11" s="0" t="n">
        <f aca="false">G8+G10+G24</f>
        <v>2006.44887118426</v>
      </c>
      <c r="H11" s="0" t="n">
        <f aca="false">H8+H10+H24</f>
        <v>2086.70682603163</v>
      </c>
      <c r="I11" s="0" t="n">
        <f aca="false">I8+I10+I24</f>
        <v>2159.74156494274</v>
      </c>
      <c r="J11" s="0" t="n">
        <f aca="false">J8+J10+J24</f>
        <v>2224.53381189102</v>
      </c>
      <c r="K11" s="0" t="n">
        <f aca="false">K8+K10+K24</f>
        <v>2291.26982624775</v>
      </c>
      <c r="L11" s="0" t="n">
        <f aca="false">L8+L10+L24</f>
        <v>2348.55157190394</v>
      </c>
    </row>
    <row r="12" customFormat="false" ht="15" hidden="false" customHeight="false" outlineLevel="0" collapsed="false">
      <c r="A12" s="0" t="s">
        <v>119</v>
      </c>
      <c r="C12" s="4" t="n">
        <f aca="false">-C6*Assumptions!C45/100</f>
        <v>-260.12532</v>
      </c>
      <c r="D12" s="4" t="n">
        <f aca="false">-D6*Assumptions!D45/100</f>
        <v>-267.9290796</v>
      </c>
      <c r="E12" s="4" t="n">
        <f aca="false">-E6*Assumptions!E45/100</f>
        <v>-281.32553358</v>
      </c>
      <c r="F12" s="4" t="n">
        <f aca="false">-F6*Assumptions!F45/100</f>
        <v>-295.391810259</v>
      </c>
      <c r="G12" s="4" t="n">
        <f aca="false">-G6*Assumptions!G45/100</f>
        <v>-308.684441720655</v>
      </c>
      <c r="H12" s="4" t="n">
        <f aca="false">-H6*Assumptions!H45/100</f>
        <v>-321.031819389481</v>
      </c>
      <c r="I12" s="4" t="n">
        <f aca="false">-I6*Assumptions!I45/100</f>
        <v>-332.267933068113</v>
      </c>
      <c r="J12" s="4" t="n">
        <f aca="false">-J6*Assumptions!J45/100</f>
        <v>-342.235971060156</v>
      </c>
      <c r="K12" s="4" t="n">
        <f aca="false">-K6*Assumptions!K45/100</f>
        <v>-352.503050191961</v>
      </c>
      <c r="L12" s="4" t="n">
        <f aca="false">-L6*Assumptions!L45/100</f>
        <v>-361.31562644676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1220.58804</v>
      </c>
      <c r="D13" s="0" t="n">
        <f aca="false">D11+D12</f>
        <v>1349.9503626</v>
      </c>
      <c r="E13" s="0" t="n">
        <f aca="false">E11+E12</f>
        <v>1493.18937054</v>
      </c>
      <c r="F13" s="0" t="n">
        <f aca="false">F11+F12</f>
        <v>1601.9325094815</v>
      </c>
      <c r="G13" s="0" t="n">
        <f aca="false">G11+G12</f>
        <v>1697.7644294636</v>
      </c>
      <c r="H13" s="0" t="n">
        <f aca="false">H11+H12</f>
        <v>1765.67500664215</v>
      </c>
      <c r="I13" s="0" t="n">
        <f aca="false">I11+I12</f>
        <v>1827.47363187462</v>
      </c>
      <c r="J13" s="0" t="n">
        <f aca="false">J11+J12</f>
        <v>1882.29784083086</v>
      </c>
      <c r="K13" s="0" t="n">
        <f aca="false">K11+K12</f>
        <v>1938.76677605579</v>
      </c>
      <c r="L13" s="0" t="n">
        <f aca="false">L11+L12</f>
        <v>1987.23594545718</v>
      </c>
    </row>
    <row r="14" customFormat="false" ht="15" hidden="false" customHeight="false" outlineLevel="0" collapsed="false">
      <c r="A14" s="0" t="s">
        <v>106</v>
      </c>
      <c r="C14" s="4" t="n">
        <f aca="false">Assumptions!C47</f>
        <v>33</v>
      </c>
      <c r="D14" s="4" t="n">
        <f aca="false">Assumptions!D47</f>
        <v>33</v>
      </c>
      <c r="E14" s="4" t="n">
        <f aca="false">Assumptions!E47</f>
        <v>33</v>
      </c>
      <c r="F14" s="4" t="n">
        <f aca="false">Assumptions!F47</f>
        <v>32.5</v>
      </c>
      <c r="G14" s="4" t="n">
        <f aca="false">Assumptions!G47</f>
        <v>32</v>
      </c>
      <c r="H14" s="4" t="n">
        <f aca="false">Assumptions!H47</f>
        <v>32</v>
      </c>
      <c r="I14" s="4" t="n">
        <f aca="false">Assumptions!I47</f>
        <v>32</v>
      </c>
      <c r="J14" s="4" t="n">
        <f aca="false">Assumptions!J47</f>
        <v>32</v>
      </c>
      <c r="K14" s="4" t="n">
        <f aca="false">Assumptions!K47</f>
        <v>32</v>
      </c>
      <c r="L14" s="4" t="n">
        <f aca="false">Assumptions!L47</f>
        <v>32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817.7939868</v>
      </c>
      <c r="D15" s="0" t="n">
        <f aca="false">D13-MAX(0,D13)*D14/100</f>
        <v>904.466742942</v>
      </c>
      <c r="E15" s="0" t="n">
        <f aca="false">E13-MAX(0,E13)*E14/100</f>
        <v>1000.4368782618</v>
      </c>
      <c r="F15" s="0" t="n">
        <f aca="false">F13-MAX(0,F13)*F14/100</f>
        <v>1081.30444390001</v>
      </c>
      <c r="G15" s="0" t="n">
        <f aca="false">G13-MAX(0,G13)*G14/100</f>
        <v>1154.47981203525</v>
      </c>
      <c r="H15" s="0" t="n">
        <f aca="false">H13-MAX(0,H13)*H14/100</f>
        <v>1200.65900451666</v>
      </c>
      <c r="I15" s="0" t="n">
        <f aca="false">I13-MAX(0,I13)*I14/100</f>
        <v>1242.68206967474</v>
      </c>
      <c r="J15" s="0" t="n">
        <f aca="false">J13-MAX(0,J13)*J14/100</f>
        <v>1279.96253176499</v>
      </c>
      <c r="K15" s="0" t="n">
        <f aca="false">K13-MAX(0,K13)*K14/100</f>
        <v>1318.36140771794</v>
      </c>
      <c r="L15" s="0" t="n">
        <f aca="false">L13-MAX(0,L13)*L14/100</f>
        <v>1351.32044291088</v>
      </c>
    </row>
    <row r="16" customFormat="false" ht="15" hidden="false" customHeight="false" outlineLevel="0" collapsed="false">
      <c r="A16" s="0" t="s">
        <v>122</v>
      </c>
      <c r="C16" s="0" t="n">
        <f aca="false">-C12</f>
        <v>260.12532</v>
      </c>
      <c r="D16" s="0" t="n">
        <f aca="false">-D12</f>
        <v>267.9290796</v>
      </c>
      <c r="E16" s="0" t="n">
        <f aca="false">-E12</f>
        <v>281.32553358</v>
      </c>
      <c r="F16" s="0" t="n">
        <f aca="false">-F12</f>
        <v>295.391810259</v>
      </c>
      <c r="G16" s="0" t="n">
        <f aca="false">-G12</f>
        <v>308.684441720655</v>
      </c>
      <c r="H16" s="0" t="n">
        <f aca="false">-H12</f>
        <v>321.031819389481</v>
      </c>
      <c r="I16" s="0" t="n">
        <f aca="false">-I12</f>
        <v>332.267933068113</v>
      </c>
      <c r="J16" s="0" t="n">
        <f aca="false">-J12</f>
        <v>342.235971060156</v>
      </c>
      <c r="K16" s="0" t="n">
        <f aca="false">-K12</f>
        <v>352.503050191961</v>
      </c>
      <c r="L16" s="0" t="n">
        <f aca="false">-L12</f>
        <v>361.31562644676</v>
      </c>
    </row>
    <row r="17" customFormat="false" ht="15" hidden="false" customHeight="false" outlineLevel="0" collapsed="false">
      <c r="A17" s="0" t="s">
        <v>123</v>
      </c>
      <c r="C17" s="4" t="n">
        <f aca="false">-C6*Assumptions!C46/100</f>
        <v>-250.1205</v>
      </c>
      <c r="D17" s="4" t="n">
        <f aca="false">-D6*Assumptions!D46/100</f>
        <v>-267.9290796</v>
      </c>
      <c r="E17" s="4" t="n">
        <f aca="false">-E6*Assumptions!E46/100</f>
        <v>-292.14574641</v>
      </c>
      <c r="F17" s="4" t="n">
        <f aca="false">-F6*Assumptions!F46/100</f>
        <v>-306.7530337305</v>
      </c>
      <c r="G17" s="4" t="n">
        <f aca="false">-G6*Assumptions!G46/100</f>
        <v>-320.556920248373</v>
      </c>
      <c r="H17" s="4" t="n">
        <f aca="false">-H6*Assumptions!H46/100</f>
        <v>-333.379197058307</v>
      </c>
      <c r="I17" s="4" t="n">
        <f aca="false">-I6*Assumptions!I46/100</f>
        <v>-345.047468955348</v>
      </c>
      <c r="J17" s="4" t="n">
        <f aca="false">-J6*Assumptions!J46/100</f>
        <v>-355.398893024009</v>
      </c>
      <c r="K17" s="4" t="n">
        <f aca="false">-K6*Assumptions!K46/100</f>
        <v>-366.060859814729</v>
      </c>
      <c r="L17" s="4" t="n">
        <f aca="false">-L6*Assumptions!L46/100</f>
        <v>-375.212381310097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(C6-B6)*Assumptions!$B$51/100</f>
        <v>16.3344</v>
      </c>
      <c r="D18" s="4" t="n">
        <f aca="false">(D6-C6)*Assumptions!$B$51/100</f>
        <v>-24.011568</v>
      </c>
      <c r="E18" s="4" t="n">
        <f aca="false">(E6-D6)*Assumptions!$B$51/100</f>
        <v>-41.2198584000001</v>
      </c>
      <c r="F18" s="4" t="n">
        <f aca="false">(F6-E6)*Assumptions!$B$51/100</f>
        <v>-43.2808513200001</v>
      </c>
      <c r="G18" s="4" t="n">
        <f aca="false">(G6-F6)*Assumptions!$B$51/100</f>
        <v>-40.9004044973999</v>
      </c>
      <c r="H18" s="4" t="n">
        <f aca="false">(H6-G6)*Assumptions!$B$51/100</f>
        <v>-37.9919312886961</v>
      </c>
      <c r="I18" s="4" t="n">
        <f aca="false">(I6-H6)*Assumptions!$B$51/100</f>
        <v>-34.5726574727133</v>
      </c>
      <c r="J18" s="4" t="n">
        <f aca="false">(J6-I6)*Assumptions!$B$51/100</f>
        <v>-30.6708861293644</v>
      </c>
      <c r="K18" s="4" t="n">
        <f aca="false">(K6-J6)*Assumptions!$B$51/100</f>
        <v>-31.5910127132453</v>
      </c>
      <c r="L18" s="4" t="n">
        <f aca="false">(L6-K6)*Assumptions!$B$51/100</f>
        <v>-27.1156192455353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844.1332068</v>
      </c>
      <c r="D19" s="0" t="n">
        <f aca="false">D15+D16+D17+D18</f>
        <v>880.455174942</v>
      </c>
      <c r="E19" s="0" t="n">
        <f aca="false">E15+E16+E17+E18</f>
        <v>948.3968070318</v>
      </c>
      <c r="F19" s="0" t="n">
        <f aca="false">F15+F16+F17+F18</f>
        <v>1026.66236910851</v>
      </c>
      <c r="G19" s="0" t="n">
        <f aca="false">G15+G16+G17+G18</f>
        <v>1101.70692901013</v>
      </c>
      <c r="H19" s="0" t="n">
        <f aca="false">H15+H16+H17+H18</f>
        <v>1150.31969555914</v>
      </c>
      <c r="I19" s="0" t="n">
        <f aca="false">I15+I16+I17+I18</f>
        <v>1195.32987631479</v>
      </c>
      <c r="J19" s="0" t="n">
        <f aca="false">J15+J16+J17+J18</f>
        <v>1236.12872367177</v>
      </c>
      <c r="K19" s="0" t="n">
        <f aca="false">K15+K16+K17+K18</f>
        <v>1273.21258538192</v>
      </c>
      <c r="L19" s="0" t="n">
        <f aca="false">L15+L16+L17+L18</f>
        <v>1310.30806880201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781.604821111111</v>
      </c>
      <c r="D21" s="0" t="n">
        <f aca="false">D19*D20</f>
        <v>754.848401013374</v>
      </c>
      <c r="E21" s="0" t="n">
        <f aca="false">E19*E20</f>
        <v>752.867962702427</v>
      </c>
      <c r="F21" s="0" t="n">
        <f aca="false">F19*F20</f>
        <v>754.627490037488</v>
      </c>
      <c r="G21" s="0" t="n">
        <f aca="false">G19*G20</f>
        <v>749.803223939954</v>
      </c>
      <c r="H21" s="0" t="n">
        <f aca="false">H19*H20</f>
        <v>724.896533346788</v>
      </c>
      <c r="I21" s="0" t="n">
        <f aca="false">I19*I20</f>
        <v>697.463501999557</v>
      </c>
      <c r="J21" s="0" t="n">
        <f aca="false">J19*J20</f>
        <v>667.841886638997</v>
      </c>
      <c r="K21" s="0" t="n">
        <f aca="false">K19*K20</f>
        <v>636.923280776081</v>
      </c>
      <c r="L21" s="0" t="n">
        <f aca="false">L19*L20</f>
        <v>606.92616485391</v>
      </c>
    </row>
    <row r="23" customFormat="false" ht="15" hidden="false" customHeight="false" outlineLevel="0" collapsed="false">
      <c r="A23" s="0" t="s">
        <v>103</v>
      </c>
      <c r="C23" s="4" t="n">
        <f aca="false">Assumptions!C44</f>
        <v>3.2</v>
      </c>
      <c r="D23" s="4" t="n">
        <f aca="false">Assumptions!D44</f>
        <v>3.2</v>
      </c>
      <c r="E23" s="4" t="n">
        <f aca="false">Assumptions!E44</f>
        <v>3.1</v>
      </c>
      <c r="F23" s="4" t="n">
        <f aca="false">Assumptions!F44</f>
        <v>3.1</v>
      </c>
      <c r="G23" s="4" t="n">
        <f aca="false">Assumptions!G44</f>
        <v>3</v>
      </c>
      <c r="H23" s="4" t="n">
        <f aca="false">Assumptions!H44</f>
        <v>3</v>
      </c>
      <c r="I23" s="4" t="n">
        <f aca="false">Assumptions!I44</f>
        <v>3</v>
      </c>
      <c r="J23" s="4" t="n">
        <f aca="false">Assumptions!J44</f>
        <v>3</v>
      </c>
      <c r="K23" s="4" t="n">
        <f aca="false">Assumptions!K44</f>
        <v>3</v>
      </c>
      <c r="L23" s="4" t="n">
        <f aca="false">Assumptions!L44</f>
        <v>3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-320.15424</v>
      </c>
      <c r="D24" s="0" t="n">
        <f aca="false">-D6*D23/100</f>
        <v>-329.7588672</v>
      </c>
      <c r="E24" s="0" t="n">
        <f aca="false">-E6*E23/100</f>
        <v>-335.42659773</v>
      </c>
      <c r="F24" s="0" t="n">
        <f aca="false">-F6*F23/100</f>
        <v>-352.1979276165</v>
      </c>
      <c r="G24" s="0" t="n">
        <f aca="false">-G6*G23/100</f>
        <v>-356.174355831525</v>
      </c>
      <c r="H24" s="0" t="n">
        <f aca="false">-H6*H23/100</f>
        <v>-370.421330064786</v>
      </c>
      <c r="I24" s="0" t="n">
        <f aca="false">-I6*I23/100</f>
        <v>-383.386076617054</v>
      </c>
      <c r="J24" s="0" t="n">
        <f aca="false">-J6*J23/100</f>
        <v>-394.887658915565</v>
      </c>
      <c r="K24" s="0" t="n">
        <f aca="false">-K6*K23/100</f>
        <v>-406.734288683032</v>
      </c>
      <c r="L24" s="0" t="n">
        <f aca="false">-L6*L23/100</f>
        <v>-416.902645900108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108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109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7127.80326641969</v>
      </c>
    </row>
    <row r="31" customFormat="false" ht="15" hidden="false" customHeight="false" outlineLevel="0" collapsed="false">
      <c r="A31" s="0" t="s">
        <v>131</v>
      </c>
      <c r="B31" s="0" t="n">
        <f aca="false">L19</f>
        <v>1310.30806880201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22275.2371696342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18344.3129632282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18344.3129632282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8496.96630795474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15624.7695743744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12412.7695743744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212.54742421874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1.63771933753711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393.437063165808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547.135340447581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228.653116061435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10280.8786936773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77.4652969539138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139</v>
      </c>
      <c r="D3" s="2" t="s">
        <v>150</v>
      </c>
      <c r="E3" s="2" t="s">
        <v>142</v>
      </c>
      <c r="F3" s="2" t="s">
        <v>151</v>
      </c>
    </row>
    <row r="4" customFormat="false" ht="15" hidden="false" customHeight="false" outlineLevel="0" collapsed="false">
      <c r="A4" s="0" t="s">
        <v>152</v>
      </c>
      <c r="B4" s="4" t="n">
        <f aca="false">DCF_Bear!$B$38</f>
        <v>42.7148611645769</v>
      </c>
      <c r="C4" s="0" t="n">
        <f aca="false">B4/Assumptions!$B$2-1</f>
        <v>-0.469907406743895</v>
      </c>
      <c r="D4" s="4" t="n">
        <f aca="false">Assumptions!$B$24</f>
        <v>0.35</v>
      </c>
      <c r="E4" s="4" t="n">
        <f aca="false">DCF_Bear!$B$43</f>
        <v>51.5622646304355</v>
      </c>
      <c r="F4" s="4" t="n">
        <f aca="false">DCF_Bear!$B$47</f>
        <v>7.32807974754907</v>
      </c>
    </row>
    <row r="5" customFormat="false" ht="15" hidden="false" customHeight="false" outlineLevel="0" collapsed="false">
      <c r="A5" s="0" t="s">
        <v>153</v>
      </c>
      <c r="B5" s="4" t="n">
        <f aca="false">DCF_Base!$B$38</f>
        <v>155.553364534031</v>
      </c>
      <c r="C5" s="0" t="n">
        <f aca="false">B5/Assumptions!$B$2-1</f>
        <v>0.930421500794624</v>
      </c>
      <c r="D5" s="4" t="n">
        <f aca="false">Assumptions!$B$38</f>
        <v>0.45</v>
      </c>
      <c r="E5" s="4" t="n">
        <f aca="false">DCF_Base!$B$43</f>
        <v>169.538247675895</v>
      </c>
      <c r="F5" s="4" t="n">
        <f aca="false">DCF_Base!$B$47</f>
        <v>58.7490095233513</v>
      </c>
    </row>
    <row r="6" customFormat="false" ht="15" hidden="false" customHeight="false" outlineLevel="0" collapsed="false">
      <c r="A6" s="0" t="s">
        <v>154</v>
      </c>
      <c r="B6" s="4" t="n">
        <f aca="false">DCF_Bull!$B$38</f>
        <v>212.54742421874</v>
      </c>
      <c r="C6" s="0" t="n">
        <f aca="false">B6/Assumptions!$B$2-1</f>
        <v>1.63771933753711</v>
      </c>
      <c r="D6" s="4" t="n">
        <f aca="false">Assumptions!$B$52</f>
        <v>0.2</v>
      </c>
      <c r="E6" s="4" t="n">
        <f aca="false">DCF_Bull!$B$43</f>
        <v>228.653116061435</v>
      </c>
      <c r="F6" s="4" t="n">
        <f aca="false">DCF_Bull!$B$47</f>
        <v>77.4652969539138</v>
      </c>
    </row>
    <row r="8" customFormat="false" ht="15" hidden="false" customHeight="false" outlineLevel="0" collapsed="false">
      <c r="A8" s="0" t="s">
        <v>155</v>
      </c>
      <c r="B8" s="0" t="n">
        <f aca="false">SUMPRODUCT(B4:B6,D4:D6)</f>
        <v>127.458700291664</v>
      </c>
    </row>
    <row r="9" customFormat="false" ht="15" hidden="false" customHeight="false" outlineLevel="0" collapsed="false">
      <c r="A9" s="0" t="s">
        <v>156</v>
      </c>
      <c r="B9" s="0" t="n">
        <f aca="false">SUMPRODUCT(E4:E6,D4:D6)</f>
        <v>140.069627287092</v>
      </c>
    </row>
    <row r="10" customFormat="false" ht="15" hidden="false" customHeight="false" outlineLevel="0" collapsed="false">
      <c r="A10" s="0" t="s">
        <v>157</v>
      </c>
      <c r="B10" s="0" t="n">
        <f aca="false">1-Assumptions!$B$2/B8</f>
        <v>0.367795216681099</v>
      </c>
    </row>
    <row r="11" customFormat="false" ht="15" hidden="false" customHeight="false" outlineLevel="0" collapsed="false">
      <c r="A11" s="0" t="s">
        <v>158</v>
      </c>
      <c r="B11" s="0" t="n">
        <f aca="false">IF(ABS(B9-B8)&gt;0.01*ABS(B8),(Assumptions!$B$2-B8)/(B9-B8)*100,"n/a")</f>
        <v>-371.730803839062</v>
      </c>
    </row>
    <row r="12" customFormat="false" ht="15" hidden="false" customHeight="false" outlineLevel="0" collapsed="false">
      <c r="A12" s="0" t="s">
        <v>159</v>
      </c>
      <c r="B12" s="0" t="n">
        <f aca="false">SUMPRODUCT(F4:F6,D4:D6)</f>
        <v>44.494941587933</v>
      </c>
    </row>
    <row r="14" customFormat="false" ht="15" hidden="false" customHeight="false" outlineLevel="0" collapsed="false">
      <c r="A14" s="2" t="s">
        <v>160</v>
      </c>
      <c r="C14" s="0" t="s">
        <v>161</v>
      </c>
    </row>
    <row r="15" customFormat="false" ht="15" hidden="false" customHeight="false" outlineLevel="0" collapsed="false">
      <c r="A15" s="0" t="s">
        <v>162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155.553364534031</v>
      </c>
      <c r="C15" s="3" t="n">
        <v>8</v>
      </c>
    </row>
    <row r="16" customFormat="false" ht="15" hidden="false" customHeight="false" outlineLevel="0" collapsed="false">
      <c r="A16" s="0" t="s">
        <v>163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141.567488840277</v>
      </c>
      <c r="C16" s="3" t="n">
        <v>9</v>
      </c>
    </row>
    <row r="17" customFormat="false" ht="15" hidden="false" customHeight="false" outlineLevel="0" collapsed="false">
      <c r="A17" s="0" t="s">
        <v>164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128.365870820218</v>
      </c>
      <c r="C17" s="3" t="n">
        <v>10</v>
      </c>
    </row>
    <row r="18" customFormat="false" ht="15" hidden="false" customHeight="false" outlineLevel="0" collapsed="false">
      <c r="A18" s="0" t="s">
        <v>165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108.529283518804</v>
      </c>
      <c r="C18" s="3" t="n">
        <v>11</v>
      </c>
    </row>
    <row r="19" customFormat="false" ht="15" hidden="false" customHeight="false" outlineLevel="0" collapsed="false">
      <c r="A19" s="0" t="s">
        <v>166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92.4955558048511</v>
      </c>
      <c r="C19" s="3" t="n">
        <v>12</v>
      </c>
    </row>
    <row r="20" customFormat="false" ht="15" hidden="false" customHeight="false" outlineLevel="0" collapsed="false">
      <c r="A20" s="0" t="s">
        <v>167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58.7490095233513</v>
      </c>
      <c r="C20" s="3" t="n">
        <v>15</v>
      </c>
    </row>
    <row r="22" customFormat="false" ht="15" hidden="false" customHeight="false" outlineLevel="0" collapsed="false">
      <c r="A22" s="2" t="s">
        <v>168</v>
      </c>
    </row>
    <row r="23" customFormat="false" ht="15" hidden="false" customHeight="false" outlineLevel="0" collapsed="false">
      <c r="B23" s="3" t="n">
        <v>0.5</v>
      </c>
      <c r="C23" s="3" t="n">
        <v>1</v>
      </c>
      <c r="D23" s="3" t="n">
        <v>1.5</v>
      </c>
      <c r="E23" s="3" t="n">
        <v>2</v>
      </c>
      <c r="F23" s="3" t="n">
        <v>2.5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187.679457261207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187.679457261207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187.679457261207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187.679457261207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187.679457261207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170.874524539838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170.874524539838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170.874524539838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170.874524539838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170.874524539838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155.553364534031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155.553364534031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155.553364534031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155.553364534031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155.553364534031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140.190862951639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141.567488840277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141.567488840277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141.567488840277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141.567488840277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118.666760900289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123.246896140256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128.365870820218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128.784696021306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128.784696021306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2026-10-25T22:18:48Z</dcterms:created>
  <dc:creator>openpyxl</dc:creator>
  <dc:description/>
  <dc:language>en-NZ</dc:language>
  <cp:lastModifiedBy/>
  <dcterms:modified xsi:type="dcterms:W3CDTF">2026-10-25T22:18:48Z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