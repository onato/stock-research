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<sst xmlns="http://schemas.openxmlformats.org/spreadsheetml/2006/main" count="357" uniqueCount="166">
  <si>
    <t xml:space="preserve">Ticker</t>
  </si>
  <si>
    <t xml:space="preserve">2016.HK</t>
  </si>
  <si>
    <t xml:space="preserve">Company</t>
  </si>
  <si>
    <t xml:space="preserve">China Zheshang Bank Co., Ltd.</t>
  </si>
  <si>
    <t xml:space="preserve">Valuation date</t>
  </si>
  <si>
    <t xml:space="preserve">2026-10-17</t>
  </si>
  <si>
    <t xml:space="preserve">Current price</t>
  </si>
  <si>
    <t xml:space="preserve">Price as of</t>
  </si>
  <si>
    <t xml:space="preserve">2026-10-16T08:08:14Z HKEX regular close (Friday); valuation dated Saturday 2026-10-17</t>
  </si>
  <si>
    <t xml:space="preserve">Balance sheet date</t>
  </si>
  <si>
    <t xml:space="preserve">2026-06-30</t>
  </si>
  <si>
    <t xml:space="preserve">Model</t>
  </si>
  <si>
    <t xml:space="preserve">Bank FCFE at cost of equity (engine route), net debt zero, CET1 retention on risk-weighted-asset growth, perpetual-bond distributions and NCI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</si>
  <si>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</si>
  <si>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</si>
  <si>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</si>
  <si>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</si>
  <si>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</si>
  <si>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</si>
  <si>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</si>
  <si>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</si>
  <si>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</si>
  <si>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2026-10-17T01:32:47Z</t>
  </si>
  <si>
    <t xml:space="preserve">Drivers file</t>
  </si>
  <si>
    <t xml:space="preserve">2016.HK_Drivers.json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</si>
  <si>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</si>
  <si>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</si>
  <si>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</si>
  <si>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China Zheshang Bank that flow is net profit to ordinary shareholders (after tax, NCI and perpetual-bond coupons) less the equity retained to hold CET1 at 8.4% on growing risk-weighted assets. The bank earns ~7% on ordinary equity against an 11% cost of equity, so it is fairly worth well under book (base ~0.5x); the H share at 0.31x book and ~4.7x earnings already discounts much of the bear case, which is why the weighted value sits above the price despite a bear-heavy weighting. The dominant risk is not earnings but capital: a thin CET1 buffer plus a new D-SIB surcharge makes a dilutive raise the most likely way an H-share holder loses money. Net debt is zero by construction; deposits are operating funding.
key_risks_to_valuation: Capital: CET1 8.37% at H1 2026 vs a ~7.75% floor after the Feb 2026 D-SIB designation; management cites external capital replenishment. A discounted rights issue like 2023's (+29% shares) would dilute H-share value; the flat share count does not model it.; NIM: 2.27% (FY2021) to 1.56% (H1 2026), still falling 13bp YoY while larger peers stabilise; further LPR cuts without deposit repricing take the bear revenue path.; Credit: allowance coverage 155.9% (vs 178.7% FY2024) and allowance/loans 2.12% are both barely above the 140% / 2.1% regulatory floors, so any NPL uptick in the Zhejiang/Yangtze SME and property book flows straight into provisions.; Earnings quality: net trading/investment gains (~20% of FY2025 operating income) fell 51% in FY2025; bond-market swings move PBT by a quarter.; Governance: recurring 2025 penalties at five branches plus a PBOC fine for AML and account-management failures; new chairman approved Feb 2026.; Currency and listing: RMB flows against an HKD quote (a 10% RMB move is a 10% move in HKD value); H shares trade at a ~44% discount to the A shares; 10% dividend withholding for H-share holders is not modelled.</t>
  </si>
  <si>
    <t xml:space="preserve">Data sources</t>
  </si>
  <si>
    <t xml:space="preserve">price: Yahoo Finance chart API (2016.HK, HKD) at inputs.price_as_of; 52-week range 2.11-2.69. FX CNYHKD=X, USDCNY=X, USDHKD=X and the A share 601916.SS from the same API on 2026-10-16.
financials: 2016.HK_Metrics.csv / metrics_normalized (FY2017-FY2025, H1/Q interim through H1 2026, RMB millions) and kpis (PBT, NetProfitTotal, dividends, cash taxes). FY2025 annual report: EPS note (ordinary profit 11,968, perpetual distributions 963, line 10277-10292), capital adequacy table (lines 2190-2215), key indicators (lines 1030-1060), D-SIB designation and external capital language (lines 15350-15358), dividend RMB1.31/10 shares (line 30). H1 2026 interim: key data (lines 340-400), capital table (lines 1355-1380), EPS note (lines 5215-5236), perpetual bonds 24,995 (line 7532), no preference shares (line 3746).
qualitative: 2016.HK_Analysis.json (2026-10-17): guidance (no numeric FY2026 targets; NIM decline narrowing; capital priority), recent developments (H1 2026 recovery, 2025 penalties, leadership change), bull/bear cases.</t>
  </si>
  <si>
    <t xml:space="preserve">Scenario narrative: bear</t>
  </si>
  <si>
    <t xml:space="preserve">NIM toward 1.4%, credit cost up as thin coverage is rebuilt, revenue falls again; the D-SIB surcharge forces CET1 to 9.0% by FY2029, so FCFE is ~RMB1bn for three years. Dividend cut or a discounted rights issue; terminal ROE ~5%.</t>
  </si>
  <si>
    <t xml:space="preserve">Scenario narrative: base</t>
  </si>
  <si>
    <t xml:space="preserve">NIM bottoms ~1.5%, pre-tax margin recovers from 26.4% to 28%, operating income grows 2-3% and RWA growth is held at 3-3.5% so CET1 stays at 8.4% without a raise. FCFE rises from ~RMB6.5bn to ~RMB10bn; terminal ROE ~7%, terminal P/B ~0.5x.</t>
  </si>
  <si>
    <t xml:space="preserve">Scenario narrative: bull</t>
  </si>
  <si>
    <t xml:space="preserve">Deposit repricing reaches joint-stock banks: NIM recovers 5-10bp, fees grow, cost-to-income back to ~29%, margin 30%, RWA growth 4%. FCFE ~RMB7.5bn rising to ~RMB12bn; terminal ROE ~8%.</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</si>
  <si>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</si>
  <si>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</si>
  <si>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</si>
  <si>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</si>
  <si>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</si>
  <si>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</si>
  <si>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</si>
  <si>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</si>
  <si>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</si>
  <si>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</si>
  <si>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</si>
  <si>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</si>
  <si>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</si>
  <si>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</si>
  <si>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</si>
  <si>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</si>
  <si>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</si>
  <si>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</si>
  <si>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</si>
  <si>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</si>
  <si>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</si>
  <si>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</si>
  <si>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</si>
  <si>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</si>
  <si>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</si>
  <si>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</si>
  <si>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</si>
  <si>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NetInterestIncome</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</si>
  <si>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</si>
  <si>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</si>
  <si>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</si>
  <si>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</si>
  <si>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</si>
  <si>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</si>
  <si>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</si>
  <si>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</si>
  <si>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</si>
  <si>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</si>
  <si>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</si>
  <si>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</si>
  <si>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</si>
  <si>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</si>
  <si>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</si>
  <si>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</si>
  <si>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</si>
  <si>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</si>
  <si>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</si>
  <si>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</si>
  <si>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</si>
  <si>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</si>
  <si>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</si>
  <si>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</si>
  <si>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</si>
  <si>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</si>
  <si>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</si>
  <si>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</si>
  <si>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</si>
  <si>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</si>
  <si>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</si>
  <si>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</si>
  <si>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</si>
  <si>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</si>
  <si>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</si>
  <si>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</si>
  <si>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</si>
  <si>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</si>
  <si>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</si>
  <si>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</si>
  <si>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</si>
  <si>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</si>
  <si>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</si>
  <si>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</si>
  <si>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</si>
  <si>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</si>
  <si>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</si>
  <si>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2016.HK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</si>
  <si>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</si>
  <si>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</si>
  <si>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</si>
  <si>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</si>
  <si>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</si>
  <si>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</si>
  <si>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</si>
  <si>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</si>
  <si>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</si>
  <si>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</si>
  <si>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</si>
  <si>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</si>
  <si>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</si>
  <si>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</si>
  <si>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</si>
  <si>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</si>
  <si>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</si>
  <si>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</si>
  <si>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</si>
  <si>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</si>
  <si>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</si>
  <si>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</si>
  <si>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</si>
  <si>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</si>
  <si>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</si>
  <si>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</si>
  <si>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</si>
  <si>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</si>
  <si>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</si>
  <si>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</si>
  <si>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2016.HK owner-FCF component DCF: base case (millions, CNY)</t>
  </si>
  <si>
    <t xml:space="preserve">2016.HK owner-FCF component DCF: bull case (millions, CNY)</t>
  </si>
  <si>
    <t xml:space="preserve">2016.HK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</si>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</sst>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2.41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34264.149</v>
      </c>
      <c r="I2" s="0" t="n">
        <v>10949.749</v>
      </c>
      <c r="J2" s="0" t="n">
        <v>32</v>
      </c>
      <c r="K2" s="0" t="n">
        <v>0.57</v>
      </c>
      <c r="L2" s="0" t="n">
        <v>-92428.749</v>
      </c>
      <c r="M2" s="0" t="n">
        <v>4117.494</v>
      </c>
      <c r="N2" s="0" t="n">
        <v>-96546.243</v>
      </c>
      <c r="O2" s="0" t="n">
        <v>88194.636</v>
      </c>
      <c r="P2" s="0" t="n">
        <v>1536752.102</v>
      </c>
      <c r="Q2" s="0" t="n">
        <v>1447064.348</v>
      </c>
      <c r="R2" s="0" t="n">
        <v>190551.983</v>
      </c>
      <c r="S2" s="0" t="n">
        <v>58589.742</v>
      </c>
      <c r="T2" s="0" t="n">
        <v>17959.697</v>
      </c>
      <c r="AA2" s="0" t="s">
        <v>18</v>
      </c>
      <c r="AB2" s="0" t="s">
        <v>14</v>
      </c>
    </row>
    <row r="3" customFormat="false" ht="15" hidden="false" customHeight="false" outlineLevel="0" collapsed="false">
      <c r="A3" s="0" t="s">
        <v>66</v>
      </c>
      <c r="B3" s="0" t="n">
        <v>39022.476</v>
      </c>
      <c r="I3" s="0" t="n">
        <v>11490.416</v>
      </c>
      <c r="J3" s="0" t="n">
        <v>29.4</v>
      </c>
      <c r="K3" s="0" t="n">
        <v>0.61</v>
      </c>
      <c r="L3" s="0" t="n">
        <v>-140315.543</v>
      </c>
      <c r="M3" s="0" t="n">
        <v>4969.026</v>
      </c>
      <c r="N3" s="0" t="n">
        <v>-145284.569</v>
      </c>
      <c r="O3" s="0" t="n">
        <v>100885.498</v>
      </c>
      <c r="P3" s="0" t="n">
        <v>1646694.744</v>
      </c>
      <c r="Q3" s="0" t="n">
        <v>1544246.207</v>
      </c>
      <c r="R3" s="0" t="n">
        <v>245996.763</v>
      </c>
      <c r="S3" s="0" t="n">
        <v>37638.813</v>
      </c>
      <c r="T3" s="0" t="n">
        <v>18718.697</v>
      </c>
      <c r="AA3" s="0" t="s">
        <v>18</v>
      </c>
      <c r="AB3" s="0" t="s">
        <v>14</v>
      </c>
    </row>
    <row r="4" customFormat="false" ht="15" hidden="false" customHeight="false" outlineLevel="0" collapsed="false">
      <c r="A4" s="0" t="s">
        <v>67</v>
      </c>
      <c r="B4" s="0" t="n">
        <v>46447.109</v>
      </c>
      <c r="I4" s="0" t="n">
        <v>12924.764</v>
      </c>
      <c r="J4" s="0" t="n">
        <v>27.8</v>
      </c>
      <c r="K4" s="0" t="n">
        <v>0.64</v>
      </c>
      <c r="L4" s="0" t="n">
        <v>-11544.555</v>
      </c>
      <c r="M4" s="0" t="n">
        <v>4682.639</v>
      </c>
      <c r="N4" s="0" t="n">
        <v>-16227.194</v>
      </c>
      <c r="O4" s="0" t="n">
        <v>126246.411</v>
      </c>
      <c r="P4" s="0" t="n">
        <v>1800785.867</v>
      </c>
      <c r="Q4" s="0" t="n">
        <v>1672758.198</v>
      </c>
      <c r="R4" s="0" t="n">
        <v>206241.19</v>
      </c>
      <c r="S4" s="0" t="n">
        <v>46944.014</v>
      </c>
      <c r="T4" s="0" t="n">
        <v>21268.697</v>
      </c>
      <c r="AA4" s="0" t="s">
        <v>18</v>
      </c>
      <c r="AB4" s="0" t="s">
        <v>14</v>
      </c>
    </row>
    <row r="5" customFormat="false" ht="15" hidden="false" customHeight="false" outlineLevel="0" collapsed="false">
      <c r="A5" s="0" t="s">
        <v>68</v>
      </c>
      <c r="B5" s="0" t="n">
        <v>47771</v>
      </c>
      <c r="I5" s="0" t="n">
        <v>12309</v>
      </c>
      <c r="J5" s="0" t="n">
        <v>25.8</v>
      </c>
      <c r="K5" s="0" t="n">
        <v>0.53</v>
      </c>
      <c r="L5" s="0" t="n">
        <v>49580</v>
      </c>
      <c r="M5" s="0" t="n">
        <v>1738</v>
      </c>
      <c r="N5" s="0" t="n">
        <v>47842</v>
      </c>
      <c r="O5" s="0" t="n">
        <v>130512</v>
      </c>
      <c r="P5" s="0" t="n">
        <v>2048225</v>
      </c>
      <c r="Q5" s="0" t="n">
        <v>1915682</v>
      </c>
      <c r="R5" s="0" t="n">
        <v>236682</v>
      </c>
      <c r="S5" s="0" t="n">
        <v>112121</v>
      </c>
      <c r="T5" s="0" t="n">
        <v>21269</v>
      </c>
      <c r="AA5" s="0" t="s">
        <v>18</v>
      </c>
      <c r="AB5" s="0" t="s">
        <v>14</v>
      </c>
    </row>
    <row r="6" customFormat="false" ht="15" hidden="false" customHeight="false" outlineLevel="0" collapsed="false">
      <c r="A6" s="0" t="s">
        <v>69</v>
      </c>
      <c r="B6" s="0" t="n">
        <v>54584</v>
      </c>
      <c r="I6" s="0" t="n">
        <v>12648</v>
      </c>
      <c r="J6" s="0" t="n">
        <v>23.2</v>
      </c>
      <c r="K6" s="0" t="n">
        <v>0.55</v>
      </c>
      <c r="L6" s="0" t="n">
        <v>-37083</v>
      </c>
      <c r="M6" s="0" t="n">
        <v>2553</v>
      </c>
      <c r="N6" s="0" t="n">
        <v>-39636</v>
      </c>
      <c r="O6" s="0" t="n">
        <v>164169</v>
      </c>
      <c r="P6" s="0" t="n">
        <v>2286723</v>
      </c>
      <c r="Q6" s="0" t="n">
        <v>2119840</v>
      </c>
      <c r="R6" s="0" t="n">
        <v>318908</v>
      </c>
      <c r="S6" s="0" t="n">
        <v>90825</v>
      </c>
      <c r="T6" s="0" t="n">
        <v>21269</v>
      </c>
      <c r="AA6" s="0" t="s">
        <v>18</v>
      </c>
      <c r="AB6" s="0" t="s">
        <v>14</v>
      </c>
    </row>
    <row r="7" customFormat="false" ht="15" hidden="false" customHeight="false" outlineLevel="0" collapsed="false">
      <c r="A7" s="0" t="s">
        <v>70</v>
      </c>
      <c r="B7" s="0" t="n">
        <v>61152</v>
      </c>
      <c r="I7" s="0" t="n">
        <v>13618</v>
      </c>
      <c r="J7" s="0" t="n">
        <v>22.3</v>
      </c>
      <c r="K7" s="0" t="n">
        <v>0.56</v>
      </c>
      <c r="L7" s="0" t="n">
        <v>167765</v>
      </c>
      <c r="M7" s="0" t="n">
        <v>5391</v>
      </c>
      <c r="N7" s="0" t="n">
        <v>162374</v>
      </c>
      <c r="O7" s="0" t="n">
        <v>162933</v>
      </c>
      <c r="P7" s="0" t="n">
        <v>2621930</v>
      </c>
      <c r="Q7" s="0" t="n">
        <v>2456000</v>
      </c>
      <c r="R7" s="0" t="n">
        <v>323033</v>
      </c>
      <c r="S7" s="0" t="n">
        <v>107748</v>
      </c>
      <c r="T7" s="0" t="n">
        <v>21269</v>
      </c>
      <c r="AA7" s="0" t="s">
        <v>18</v>
      </c>
      <c r="AB7" s="0" t="s">
        <v>14</v>
      </c>
      <c r="AC7" s="0" t="n">
        <v>47062</v>
      </c>
    </row>
    <row r="8" customFormat="false" ht="15" hidden="false" customHeight="false" outlineLevel="0" collapsed="false">
      <c r="A8" s="0" t="s">
        <v>71</v>
      </c>
      <c r="B8" s="0" t="n">
        <v>63764</v>
      </c>
      <c r="I8" s="0" t="n">
        <v>15048</v>
      </c>
      <c r="J8" s="0" t="n">
        <v>23.6</v>
      </c>
      <c r="K8" s="0" t="n">
        <v>0.57</v>
      </c>
      <c r="L8" s="0" t="n">
        <v>194367</v>
      </c>
      <c r="M8" s="0" t="n">
        <v>9880</v>
      </c>
      <c r="N8" s="0" t="n">
        <v>184487</v>
      </c>
      <c r="O8" s="0" t="n">
        <v>186245</v>
      </c>
      <c r="P8" s="0" t="n">
        <v>3143879</v>
      </c>
      <c r="Q8" s="0" t="n">
        <v>2954302</v>
      </c>
      <c r="R8" s="0" t="n">
        <v>395938</v>
      </c>
      <c r="S8" s="0" t="n">
        <v>170461</v>
      </c>
      <c r="T8" s="0" t="n">
        <v>27464</v>
      </c>
      <c r="AA8" s="0" t="s">
        <v>18</v>
      </c>
      <c r="AB8" s="0" t="s">
        <v>14</v>
      </c>
      <c r="AC8" s="0" t="n">
        <v>47528</v>
      </c>
    </row>
    <row r="9" customFormat="false" ht="15" hidden="false" customHeight="false" outlineLevel="0" collapsed="false">
      <c r="A9" s="0" t="s">
        <v>72</v>
      </c>
      <c r="B9" s="0" t="n">
        <v>67702</v>
      </c>
      <c r="I9" s="0" t="n">
        <v>15186</v>
      </c>
      <c r="J9" s="0" t="n">
        <v>22.4</v>
      </c>
      <c r="K9" s="0" t="n">
        <v>0.52</v>
      </c>
      <c r="L9" s="0" t="n">
        <v>-120478</v>
      </c>
      <c r="M9" s="0" t="n">
        <v>10703</v>
      </c>
      <c r="N9" s="0" t="n">
        <v>-131181</v>
      </c>
      <c r="O9" s="0" t="n">
        <v>198903</v>
      </c>
      <c r="P9" s="0" t="n">
        <v>3325539</v>
      </c>
      <c r="Q9" s="0" t="n">
        <v>3122796</v>
      </c>
      <c r="R9" s="0" t="n">
        <v>541533</v>
      </c>
      <c r="S9" s="0" t="n">
        <v>133635</v>
      </c>
      <c r="T9" s="0" t="n">
        <v>27464</v>
      </c>
      <c r="AA9" s="0" t="s">
        <v>18</v>
      </c>
      <c r="AB9" s="0" t="s">
        <v>14</v>
      </c>
      <c r="AC9" s="0" t="n">
        <v>45157</v>
      </c>
    </row>
    <row r="10" customFormat="false" ht="15" hidden="false" customHeight="false" outlineLevel="0" collapsed="false">
      <c r="A10" s="0" t="s">
        <v>73</v>
      </c>
      <c r="B10" s="0" t="n">
        <v>62558</v>
      </c>
      <c r="I10" s="0" t="n">
        <v>12931</v>
      </c>
      <c r="J10" s="0" t="n">
        <v>20.7</v>
      </c>
      <c r="K10" s="0" t="n">
        <v>0.44</v>
      </c>
      <c r="L10" s="0" t="n">
        <v>-12743</v>
      </c>
      <c r="M10" s="0" t="n">
        <v>9138</v>
      </c>
      <c r="N10" s="0" t="n">
        <v>-21881</v>
      </c>
      <c r="O10" s="0" t="n">
        <v>202868</v>
      </c>
      <c r="P10" s="0" t="n">
        <v>3481092</v>
      </c>
      <c r="Q10" s="0" t="n">
        <v>3273757</v>
      </c>
      <c r="R10" s="0" t="n">
        <v>512953</v>
      </c>
      <c r="S10" s="0" t="n">
        <v>133463</v>
      </c>
      <c r="T10" s="0" t="n">
        <v>27464</v>
      </c>
      <c r="AA10" s="0" t="s">
        <v>18</v>
      </c>
      <c r="AB10" s="0" t="s">
        <v>14</v>
      </c>
      <c r="AC10" s="0" t="n">
        <v>44459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2.41</v>
      </c>
    </row>
    <row r="3" customFormat="false" ht="15" hidden="false" customHeight="false" outlineLevel="0" collapsed="false">
      <c r="A3" s="0" t="s">
        <v>77</v>
      </c>
      <c r="B3" s="3" t="n">
        <v>27464</v>
      </c>
    </row>
    <row r="4" customFormat="false" ht="15" hidden="false" customHeight="false" outlineLevel="0" collapsed="false">
      <c r="A4" s="0" t="s">
        <v>78</v>
      </c>
      <c r="B4" s="3" t="n">
        <v>0</v>
      </c>
    </row>
    <row r="5" customFormat="false" ht="15" hidden="false" customHeight="false" outlineLevel="0" collapsed="false">
      <c r="A5" s="0" t="s">
        <v>79</v>
      </c>
      <c r="B5" s="3" t="n">
        <v>0</v>
      </c>
    </row>
    <row r="6" customFormat="false" ht="15" hidden="false" customHeight="false" outlineLevel="0" collapsed="false">
      <c r="A6" s="0" t="s">
        <v>80</v>
      </c>
      <c r="B6" s="3" t="n">
        <v>15</v>
      </c>
    </row>
    <row r="7" customFormat="false" ht="15" hidden="false" customHeight="false" outlineLevel="0" collapsed="false">
      <c r="A7" s="0" t="s">
        <v>81</v>
      </c>
      <c r="B7" s="3" t="n">
        <v>63100</v>
      </c>
    </row>
    <row r="8" customFormat="false" ht="15" hidden="false" customHeight="false" outlineLevel="0" collapsed="false">
      <c r="A8" s="0" t="s">
        <v>82</v>
      </c>
      <c r="B8" s="3" t="s">
        <v>83</v>
      </c>
    </row>
    <row r="9" customFormat="false" ht="15" hidden="false" customHeight="false" outlineLevel="0" collapsed="false">
      <c r="A9" s="0" t="s">
        <v>84</v>
      </c>
      <c r="B9" s="3" t="s">
        <v>85</v>
      </c>
    </row>
    <row r="10" customFormat="false" ht="15" hidden="false" customHeight="false" outlineLevel="0" collapsed="false">
      <c r="A10" s="0" t="s">
        <v>86</v>
      </c>
      <c r="B10" s="3" t="n">
        <v>1.1724</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0</v>
      </c>
      <c r="D13" s="3" t="n">
        <v>-1</v>
      </c>
      <c r="E13" s="3" t="n">
        <v>1</v>
      </c>
      <c r="F13" s="3" t="n">
        <v>1.5</v>
      </c>
      <c r="G13" s="3" t="n">
        <v>2</v>
      </c>
      <c r="H13" s="3" t="n">
        <v>2</v>
      </c>
      <c r="I13" s="3" t="n">
        <v>2</v>
      </c>
      <c r="J13" s="3" t="n">
        <v>2</v>
      </c>
      <c r="K13" s="3" t="n">
        <v>2</v>
      </c>
      <c r="L13" s="3" t="n">
        <v>2</v>
      </c>
    </row>
    <row r="14" customFormat="false" ht="15" hidden="false" customHeight="false" outlineLevel="0" collapsed="false">
      <c r="A14" s="0" t="s">
        <v>99</v>
      </c>
      <c r="C14" s="3" t="n">
        <v>24</v>
      </c>
      <c r="D14" s="3" t="n">
        <v>22</v>
      </c>
      <c r="E14" s="3" t="n">
        <v>22</v>
      </c>
      <c r="F14" s="3" t="n">
        <v>23</v>
      </c>
      <c r="G14" s="3" t="n">
        <v>24</v>
      </c>
      <c r="H14" s="3" t="n">
        <v>24</v>
      </c>
      <c r="I14" s="3" t="n">
        <v>24</v>
      </c>
      <c r="J14" s="3" t="n">
        <v>24</v>
      </c>
      <c r="K14" s="3" t="n">
        <v>24</v>
      </c>
      <c r="L14" s="3" t="n">
        <v>24</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103</v>
      </c>
      <c r="C18" s="3" t="n">
        <v>18.97</v>
      </c>
      <c r="D18" s="3" t="n">
        <v>20.22</v>
      </c>
      <c r="E18" s="3" t="n">
        <v>19.42</v>
      </c>
      <c r="F18" s="3" t="n">
        <v>10.38</v>
      </c>
      <c r="G18" s="3" t="n">
        <v>10.49</v>
      </c>
      <c r="H18" s="3" t="n">
        <v>8.82</v>
      </c>
      <c r="I18" s="3" t="n">
        <v>8.87</v>
      </c>
      <c r="J18" s="3" t="n">
        <v>8.91</v>
      </c>
      <c r="K18" s="3" t="n">
        <v>7.16</v>
      </c>
      <c r="L18" s="3" t="n">
        <v>7.16</v>
      </c>
    </row>
    <row r="19" customFormat="false" ht="15" hidden="false" customHeight="false" outlineLevel="0" collapsed="false">
      <c r="A19" s="0" t="s">
        <v>104</v>
      </c>
      <c r="C19" s="3" t="n">
        <v>26.5</v>
      </c>
      <c r="D19" s="3" t="n">
        <v>26.5</v>
      </c>
      <c r="E19" s="3" t="n">
        <v>26.5</v>
      </c>
      <c r="F19" s="3" t="n">
        <v>26.5</v>
      </c>
      <c r="G19" s="3" t="n">
        <v>26.5</v>
      </c>
      <c r="H19" s="3" t="n">
        <v>26.5</v>
      </c>
      <c r="I19" s="3" t="n">
        <v>26.5</v>
      </c>
      <c r="J19" s="3" t="n">
        <v>26.5</v>
      </c>
      <c r="K19" s="3" t="n">
        <v>26.5</v>
      </c>
      <c r="L19" s="3" t="n">
        <v>26.5</v>
      </c>
    </row>
    <row r="20" customFormat="false" ht="15" hidden="false" customHeight="false" outlineLevel="0" collapsed="false">
      <c r="A20" s="0" t="s">
        <v>105</v>
      </c>
      <c r="B20" s="3" t="n">
        <v>11</v>
      </c>
    </row>
    <row r="21" customFormat="false" ht="15" hidden="false" customHeight="false" outlineLevel="0" collapsed="false">
      <c r="A21" s="0" t="s">
        <v>106</v>
      </c>
      <c r="B21" s="3" t="n">
        <v>2</v>
      </c>
    </row>
    <row r="22" customFormat="false" ht="15" hidden="false" customHeight="false" outlineLevel="0" collapsed="false">
      <c r="A22" s="0" t="s">
        <v>107</v>
      </c>
      <c r="B22" s="3" t="n">
        <v>18</v>
      </c>
    </row>
    <row r="23" customFormat="false" ht="15" hidden="false" customHeight="false" outlineLevel="0" collapsed="false">
      <c r="A23" s="0" t="s">
        <v>108</v>
      </c>
      <c r="B23" s="3" t="n">
        <v>0</v>
      </c>
    </row>
    <row r="24" customFormat="false" ht="15" hidden="false" customHeight="false" outlineLevel="0" collapsed="false">
      <c r="A24" s="0" t="s">
        <v>109</v>
      </c>
      <c r="B24" s="3" t="n">
        <v>0.4</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2</v>
      </c>
      <c r="D27" s="3" t="n">
        <v>2.5</v>
      </c>
      <c r="E27" s="3" t="n">
        <v>3</v>
      </c>
      <c r="F27" s="3" t="n">
        <v>3</v>
      </c>
      <c r="G27" s="3" t="n">
        <v>3</v>
      </c>
      <c r="H27" s="3" t="n">
        <v>3</v>
      </c>
      <c r="I27" s="3" t="n">
        <v>3</v>
      </c>
      <c r="J27" s="3" t="n">
        <v>3</v>
      </c>
      <c r="K27" s="3" t="n">
        <v>3</v>
      </c>
      <c r="L27" s="3" t="n">
        <v>3</v>
      </c>
    </row>
    <row r="28" customFormat="false" ht="15" hidden="false" customHeight="false" outlineLevel="0" collapsed="false">
      <c r="A28" s="0" t="s">
        <v>99</v>
      </c>
      <c r="C28" s="3" t="n">
        <v>26.5</v>
      </c>
      <c r="D28" s="3" t="n">
        <v>27</v>
      </c>
      <c r="E28" s="3" t="n">
        <v>27.5</v>
      </c>
      <c r="F28" s="3" t="n">
        <v>28</v>
      </c>
      <c r="G28" s="3" t="n">
        <v>28</v>
      </c>
      <c r="H28" s="3" t="n">
        <v>28</v>
      </c>
      <c r="I28" s="3" t="n">
        <v>28</v>
      </c>
      <c r="J28" s="3" t="n">
        <v>28</v>
      </c>
      <c r="K28" s="3" t="n">
        <v>28</v>
      </c>
      <c r="L28" s="3" t="n">
        <v>28</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103</v>
      </c>
      <c r="C32" s="3" t="n">
        <v>10.05</v>
      </c>
      <c r="D32" s="3" t="n">
        <v>10.15</v>
      </c>
      <c r="E32" s="3" t="n">
        <v>10.2</v>
      </c>
      <c r="F32" s="3" t="n">
        <v>10.25</v>
      </c>
      <c r="G32" s="3" t="n">
        <v>10.3</v>
      </c>
      <c r="H32" s="3" t="n">
        <v>8.87</v>
      </c>
      <c r="I32" s="3" t="n">
        <v>8.87</v>
      </c>
      <c r="J32" s="3" t="n">
        <v>7.39</v>
      </c>
      <c r="K32" s="3" t="n">
        <v>7.35</v>
      </c>
      <c r="L32" s="3" t="n">
        <v>7.32</v>
      </c>
    </row>
    <row r="33" customFormat="false" ht="15" hidden="false" customHeight="false" outlineLevel="0" collapsed="false">
      <c r="A33" s="0" t="s">
        <v>104</v>
      </c>
      <c r="C33" s="3" t="n">
        <v>25.5</v>
      </c>
      <c r="D33" s="3" t="n">
        <v>25.5</v>
      </c>
      <c r="E33" s="3" t="n">
        <v>25.5</v>
      </c>
      <c r="F33" s="3" t="n">
        <v>25.5</v>
      </c>
      <c r="G33" s="3" t="n">
        <v>25.5</v>
      </c>
      <c r="H33" s="3" t="n">
        <v>25.5</v>
      </c>
      <c r="I33" s="3" t="n">
        <v>25.5</v>
      </c>
      <c r="J33" s="3" t="n">
        <v>25.5</v>
      </c>
      <c r="K33" s="3" t="n">
        <v>25.5</v>
      </c>
      <c r="L33" s="3" t="n">
        <v>25.5</v>
      </c>
    </row>
    <row r="34" customFormat="false" ht="15" hidden="false" customHeight="false" outlineLevel="0" collapsed="false">
      <c r="A34" s="0" t="s">
        <v>105</v>
      </c>
      <c r="B34" s="3" t="n">
        <v>11</v>
      </c>
    </row>
    <row r="35" customFormat="false" ht="15" hidden="false" customHeight="false" outlineLevel="0" collapsed="false">
      <c r="A35" s="0" t="s">
        <v>106</v>
      </c>
      <c r="B35" s="3" t="n">
        <v>2.5</v>
      </c>
    </row>
    <row r="36" customFormat="false" ht="15" hidden="false" customHeight="false" outlineLevel="0" collapsed="false">
      <c r="A36" s="0" t="s">
        <v>107</v>
      </c>
      <c r="B36" s="3" t="n">
        <v>18</v>
      </c>
    </row>
    <row r="37" customFormat="false" ht="15" hidden="false" customHeight="false" outlineLevel="0" collapsed="false">
      <c r="A37" s="0" t="s">
        <v>108</v>
      </c>
      <c r="B37" s="3" t="n">
        <v>0</v>
      </c>
    </row>
    <row r="38" customFormat="false" ht="15" hidden="false" customHeight="false" outlineLevel="0" collapsed="false">
      <c r="A38" s="0" t="s">
        <v>109</v>
      </c>
      <c r="B38" s="3" t="n">
        <v>0.45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3.5</v>
      </c>
      <c r="D41" s="3" t="n">
        <v>4</v>
      </c>
      <c r="E41" s="3" t="n">
        <v>4</v>
      </c>
      <c r="F41" s="3" t="n">
        <v>4</v>
      </c>
      <c r="G41" s="3" t="n">
        <v>4</v>
      </c>
      <c r="H41" s="3" t="n">
        <v>3.5</v>
      </c>
      <c r="I41" s="3" t="n">
        <v>3.5</v>
      </c>
      <c r="J41" s="3" t="n">
        <v>3.5</v>
      </c>
      <c r="K41" s="3" t="n">
        <v>3.5</v>
      </c>
      <c r="L41" s="3" t="n">
        <v>3.5</v>
      </c>
    </row>
    <row r="42" customFormat="false" ht="15" hidden="false" customHeight="false" outlineLevel="0" collapsed="false">
      <c r="A42" s="0" t="s">
        <v>99</v>
      </c>
      <c r="C42" s="3" t="n">
        <v>27.5</v>
      </c>
      <c r="D42" s="3" t="n">
        <v>28.5</v>
      </c>
      <c r="E42" s="3" t="n">
        <v>29.5</v>
      </c>
      <c r="F42" s="3" t="n">
        <v>30</v>
      </c>
      <c r="G42" s="3" t="n">
        <v>30</v>
      </c>
      <c r="H42" s="3" t="n">
        <v>30</v>
      </c>
      <c r="I42" s="3" t="n">
        <v>30</v>
      </c>
      <c r="J42" s="3" t="n">
        <v>30</v>
      </c>
      <c r="K42" s="3" t="n">
        <v>30</v>
      </c>
      <c r="L42" s="3" t="n">
        <v>30</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103</v>
      </c>
      <c r="C46" s="3" t="n">
        <v>11.32</v>
      </c>
      <c r="D46" s="3" t="n">
        <v>11.32</v>
      </c>
      <c r="E46" s="3" t="n">
        <v>11.32</v>
      </c>
      <c r="F46" s="3" t="n">
        <v>11.32</v>
      </c>
      <c r="G46" s="3" t="n">
        <v>11.32</v>
      </c>
      <c r="H46" s="3" t="n">
        <v>9.95</v>
      </c>
      <c r="I46" s="3" t="n">
        <v>9.95</v>
      </c>
      <c r="J46" s="3" t="n">
        <v>8.53</v>
      </c>
      <c r="K46" s="3" t="n">
        <v>8.49</v>
      </c>
      <c r="L46" s="3" t="n">
        <v>8.45</v>
      </c>
    </row>
    <row r="47" customFormat="false" ht="15" hidden="false" customHeight="false" outlineLevel="0" collapsed="false">
      <c r="A47" s="0" t="s">
        <v>104</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105</v>
      </c>
      <c r="B48" s="3" t="n">
        <v>11</v>
      </c>
    </row>
    <row r="49" customFormat="false" ht="15" hidden="false" customHeight="false" outlineLevel="0" collapsed="false">
      <c r="A49" s="0" t="s">
        <v>106</v>
      </c>
      <c r="B49" s="3" t="n">
        <v>3</v>
      </c>
    </row>
    <row r="50" customFormat="false" ht="15" hidden="false" customHeight="false" outlineLevel="0" collapsed="false">
      <c r="A50" s="0" t="s">
        <v>107</v>
      </c>
      <c r="B50" s="3" t="n">
        <v>18</v>
      </c>
    </row>
    <row r="51" customFormat="false" ht="15" hidden="false" customHeight="false" outlineLevel="0" collapsed="false">
      <c r="A51" s="0" t="s">
        <v>108</v>
      </c>
      <c r="B51" s="3" t="n">
        <v>0</v>
      </c>
    </row>
    <row r="52" customFormat="false" ht="15" hidden="false" customHeight="false" outlineLevel="0" collapsed="false">
      <c r="A52" s="0" t="s">
        <v>109</v>
      </c>
      <c r="B52" s="3" t="n">
        <v>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83</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0</v>
      </c>
      <c r="D5" s="4" t="n">
        <f aca="false">Assumptions!D13</f>
        <v>-1</v>
      </c>
      <c r="E5" s="4" t="n">
        <f aca="false">Assumptions!E13</f>
        <v>1</v>
      </c>
      <c r="F5" s="4" t="n">
        <f aca="false">Assumptions!F13</f>
        <v>1.5</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63100</v>
      </c>
      <c r="C6" s="0" t="n">
        <f aca="false">B6*(1+C5/100)</f>
        <v>63100</v>
      </c>
      <c r="D6" s="0" t="n">
        <f aca="false">C6*(1+D5/100)</f>
        <v>62469</v>
      </c>
      <c r="E6" s="0" t="n">
        <f aca="false">D6*(1+E5/100)</f>
        <v>63093.69</v>
      </c>
      <c r="F6" s="0" t="n">
        <f aca="false">E6*(1+F5/100)</f>
        <v>64040.09535</v>
      </c>
      <c r="G6" s="0" t="n">
        <f aca="false">F6*(1+G5/100)</f>
        <v>65320.897257</v>
      </c>
      <c r="H6" s="0" t="n">
        <f aca="false">G6*(1+H5/100)</f>
        <v>66627.31520214</v>
      </c>
      <c r="I6" s="0" t="n">
        <f aca="false">H6*(1+I5/100)</f>
        <v>67959.8615061828</v>
      </c>
      <c r="J6" s="0" t="n">
        <f aca="false">I6*(1+J5/100)</f>
        <v>69319.0587363065</v>
      </c>
      <c r="K6" s="0" t="n">
        <f aca="false">J6*(1+K5/100)</f>
        <v>70705.4399110326</v>
      </c>
      <c r="L6" s="0" t="n">
        <f aca="false">K6*(1+L5/100)</f>
        <v>72119.5487092532</v>
      </c>
    </row>
    <row r="7" customFormat="false" ht="15" hidden="false" customHeight="false" outlineLevel="0" collapsed="false">
      <c r="A7" s="0" t="s">
        <v>99</v>
      </c>
      <c r="C7" s="4" t="n">
        <f aca="false">Assumptions!C14</f>
        <v>24</v>
      </c>
      <c r="D7" s="4" t="n">
        <f aca="false">Assumptions!D14</f>
        <v>22</v>
      </c>
      <c r="E7" s="4" t="n">
        <f aca="false">Assumptions!E14</f>
        <v>22</v>
      </c>
      <c r="F7" s="4" t="n">
        <f aca="false">Assumptions!F14</f>
        <v>23</v>
      </c>
      <c r="G7" s="4" t="n">
        <f aca="false">Assumptions!G14</f>
        <v>24</v>
      </c>
      <c r="H7" s="4" t="n">
        <f aca="false">Assumptions!H14</f>
        <v>24</v>
      </c>
      <c r="I7" s="4" t="n">
        <f aca="false">Assumptions!I14</f>
        <v>24</v>
      </c>
      <c r="J7" s="4" t="n">
        <f aca="false">Assumptions!J14</f>
        <v>24</v>
      </c>
      <c r="K7" s="4" t="n">
        <f aca="false">Assumptions!K14</f>
        <v>24</v>
      </c>
      <c r="L7" s="4" t="n">
        <f aca="false">Assumptions!L14</f>
        <v>24</v>
      </c>
    </row>
    <row r="8" customFormat="false" ht="15" hidden="false" customHeight="false" outlineLevel="0" collapsed="false">
      <c r="A8" s="0" t="s">
        <v>44</v>
      </c>
      <c r="C8" s="0" t="n">
        <f aca="false">C6*C7/100</f>
        <v>15144</v>
      </c>
      <c r="D8" s="0" t="n">
        <f aca="false">D6*D7/100</f>
        <v>13743.18</v>
      </c>
      <c r="E8" s="0" t="n">
        <f aca="false">E6*E7/100</f>
        <v>13880.6118</v>
      </c>
      <c r="F8" s="0" t="n">
        <f aca="false">F6*F7/100</f>
        <v>14729.2219305</v>
      </c>
      <c r="G8" s="0" t="n">
        <f aca="false">G6*G7/100</f>
        <v>15677.01534168</v>
      </c>
      <c r="H8" s="0" t="n">
        <f aca="false">H6*H7/100</f>
        <v>15990.5556485136</v>
      </c>
      <c r="I8" s="0" t="n">
        <f aca="false">I6*I7/100</f>
        <v>16310.3667614839</v>
      </c>
      <c r="J8" s="0" t="n">
        <f aca="false">J6*J7/100</f>
        <v>16636.5740967136</v>
      </c>
      <c r="K8" s="0" t="n">
        <f aca="false">K6*K7/100</f>
        <v>16969.3055786478</v>
      </c>
      <c r="L8" s="0" t="n">
        <f aca="false">L6*L7/100</f>
        <v>17308.6916902208</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15144</v>
      </c>
      <c r="D11" s="0" t="n">
        <f aca="false">D8+D10+D24</f>
        <v>13743.18</v>
      </c>
      <c r="E11" s="0" t="n">
        <f aca="false">E8+E10+E24</f>
        <v>13880.6118</v>
      </c>
      <c r="F11" s="0" t="n">
        <f aca="false">F8+F10+F24</f>
        <v>14729.2219305</v>
      </c>
      <c r="G11" s="0" t="n">
        <f aca="false">G8+G10+G24</f>
        <v>15677.01534168</v>
      </c>
      <c r="H11" s="0" t="n">
        <f aca="false">H8+H10+H24</f>
        <v>15990.5556485136</v>
      </c>
      <c r="I11" s="0" t="n">
        <f aca="false">I8+I10+I24</f>
        <v>16310.3667614839</v>
      </c>
      <c r="J11" s="0" t="n">
        <f aca="false">J8+J10+J24</f>
        <v>16636.5740967136</v>
      </c>
      <c r="K11" s="0" t="n">
        <f aca="false">K8+K10+K24</f>
        <v>16969.3055786478</v>
      </c>
      <c r="L11" s="0" t="n">
        <f aca="false">L8+L10+L24</f>
        <v>17308.6916902208</v>
      </c>
    </row>
    <row r="12" customFormat="false" ht="15" hidden="false" customHeight="false" outlineLevel="0" collapsed="false">
      <c r="A12" s="0" t="s">
        <v>117</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118</v>
      </c>
      <c r="C13" s="0" t="n">
        <f aca="false">C11+C12</f>
        <v>15144</v>
      </c>
      <c r="D13" s="0" t="n">
        <f aca="false">D11+D12</f>
        <v>13743.18</v>
      </c>
      <c r="E13" s="0" t="n">
        <f aca="false">E11+E12</f>
        <v>13880.6118</v>
      </c>
      <c r="F13" s="0" t="n">
        <f aca="false">F11+F12</f>
        <v>14729.2219305</v>
      </c>
      <c r="G13" s="0" t="n">
        <f aca="false">G11+G12</f>
        <v>15677.01534168</v>
      </c>
      <c r="H13" s="0" t="n">
        <f aca="false">H11+H12</f>
        <v>15990.5556485136</v>
      </c>
      <c r="I13" s="0" t="n">
        <f aca="false">I11+I12</f>
        <v>16310.3667614839</v>
      </c>
      <c r="J13" s="0" t="n">
        <f aca="false">J11+J12</f>
        <v>16636.5740967136</v>
      </c>
      <c r="K13" s="0" t="n">
        <f aca="false">K11+K12</f>
        <v>16969.3055786478</v>
      </c>
      <c r="L13" s="0" t="n">
        <f aca="false">L11+L12</f>
        <v>17308.6916902208</v>
      </c>
    </row>
    <row r="14" customFormat="false" ht="15" hidden="false" customHeight="false" outlineLevel="0" collapsed="false">
      <c r="A14" s="0" t="s">
        <v>104</v>
      </c>
      <c r="C14" s="4" t="n">
        <f aca="false">Assumptions!C19</f>
        <v>26.5</v>
      </c>
      <c r="D14" s="4" t="n">
        <f aca="false">Assumptions!D19</f>
        <v>26.5</v>
      </c>
      <c r="E14" s="4" t="n">
        <f aca="false">Assumptions!E19</f>
        <v>26.5</v>
      </c>
      <c r="F14" s="4" t="n">
        <f aca="false">Assumptions!F19</f>
        <v>26.5</v>
      </c>
      <c r="G14" s="4" t="n">
        <f aca="false">Assumptions!G19</f>
        <v>26.5</v>
      </c>
      <c r="H14" s="4" t="n">
        <f aca="false">Assumptions!H19</f>
        <v>26.5</v>
      </c>
      <c r="I14" s="4" t="n">
        <f aca="false">Assumptions!I19</f>
        <v>26.5</v>
      </c>
      <c r="J14" s="4" t="n">
        <f aca="false">Assumptions!J19</f>
        <v>26.5</v>
      </c>
      <c r="K14" s="4" t="n">
        <f aca="false">Assumptions!K19</f>
        <v>26.5</v>
      </c>
      <c r="L14" s="4" t="n">
        <f aca="false">Assumptions!L19</f>
        <v>26.5</v>
      </c>
    </row>
    <row r="15" customFormat="false" ht="15" hidden="false" customHeight="false" outlineLevel="0" collapsed="false">
      <c r="A15" s="0" t="s">
        <v>119</v>
      </c>
      <c r="C15" s="0" t="n">
        <f aca="false">C13-MAX(0,C13)*C14/100</f>
        <v>11130.84</v>
      </c>
      <c r="D15" s="0" t="n">
        <f aca="false">D13-MAX(0,D13)*D14/100</f>
        <v>10101.2373</v>
      </c>
      <c r="E15" s="0" t="n">
        <f aca="false">E13-MAX(0,E13)*E14/100</f>
        <v>10202.249673</v>
      </c>
      <c r="F15" s="0" t="n">
        <f aca="false">F13-MAX(0,F13)*F14/100</f>
        <v>10825.9781189175</v>
      </c>
      <c r="G15" s="0" t="n">
        <f aca="false">G13-MAX(0,G13)*G14/100</f>
        <v>11522.6062761348</v>
      </c>
      <c r="H15" s="0" t="n">
        <f aca="false">H13-MAX(0,H13)*H14/100</f>
        <v>11753.0584016575</v>
      </c>
      <c r="I15" s="0" t="n">
        <f aca="false">I13-MAX(0,I13)*I14/100</f>
        <v>11988.1195696906</v>
      </c>
      <c r="J15" s="0" t="n">
        <f aca="false">J13-MAX(0,J13)*J14/100</f>
        <v>12227.8819610845</v>
      </c>
      <c r="K15" s="0" t="n">
        <f aca="false">K13-MAX(0,K13)*K14/100</f>
        <v>12472.4396003061</v>
      </c>
      <c r="L15" s="0" t="n">
        <f aca="false">L13-MAX(0,L13)*L14/100</f>
        <v>12721.8883923123</v>
      </c>
    </row>
    <row r="16" customFormat="false" ht="15" hidden="false" customHeight="false" outlineLevel="0" collapsed="false">
      <c r="A16" s="0" t="s">
        <v>120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121</v>
      </c>
      <c r="C17" s="4" t="n">
        <f aca="false">-C6*Assumptions!C18/100</f>
        <v>-11970.07</v>
      </c>
      <c r="D17" s="4" t="n">
        <f aca="false">-D6*Assumptions!D18/100</f>
        <v>-12631.2318</v>
      </c>
      <c r="E17" s="4" t="n">
        <f aca="false">-E6*Assumptions!E18/100</f>
        <v>-12252.794598</v>
      </c>
      <c r="F17" s="4" t="n">
        <f aca="false">-F6*Assumptions!F18/100</f>
        <v>-6647.36189733</v>
      </c>
      <c r="G17" s="4" t="n">
        <f aca="false">-G6*Assumptions!G18/100</f>
        <v>-6852.1621222593</v>
      </c>
      <c r="H17" s="4" t="n">
        <f aca="false">-H6*Assumptions!H18/100</f>
        <v>-5876.52920082875</v>
      </c>
      <c r="I17" s="4" t="n">
        <f aca="false">-I6*Assumptions!I18/100</f>
        <v>-6028.03971559841</v>
      </c>
      <c r="J17" s="4" t="n">
        <f aca="false">-J6*Assumptions!J18/100</f>
        <v>-6176.32813340491</v>
      </c>
      <c r="K17" s="4" t="n">
        <f aca="false">-K6*Assumptions!K18/100</f>
        <v>-5062.50949762993</v>
      </c>
      <c r="L17" s="4" t="n">
        <f aca="false">-L6*Assumptions!L18/100</f>
        <v>-5163.75968758253</v>
      </c>
    </row>
    <row r="18" customFormat="false" ht="15" hidden="false" customHeight="false" outlineLevel="0" collapsed="false">
      <c r="A18" s="0" t="s">
        <v>122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-839.23</v>
      </c>
      <c r="D19" s="0" t="n">
        <f aca="false">D15+D16+D17+D18</f>
        <v>-2529.9945</v>
      </c>
      <c r="E19" s="0" t="n">
        <f aca="false">E15+E16+E17+E18</f>
        <v>-2050.544925</v>
      </c>
      <c r="F19" s="0" t="n">
        <f aca="false">F15+F16+F17+F18</f>
        <v>4178.6162215875</v>
      </c>
      <c r="G19" s="0" t="n">
        <f aca="false">G15+G16+G17+G18</f>
        <v>4670.4441538755</v>
      </c>
      <c r="H19" s="0" t="n">
        <f aca="false">H15+H16+H17+H18</f>
        <v>5876.52920082875</v>
      </c>
      <c r="I19" s="0" t="n">
        <f aca="false">I15+I16+I17+I18</f>
        <v>5960.07985409223</v>
      </c>
      <c r="J19" s="0" t="n">
        <f aca="false">J15+J16+J17+J18</f>
        <v>6051.55382767955</v>
      </c>
      <c r="K19" s="0" t="n">
        <f aca="false">K15+K16+K17+K18</f>
        <v>7409.93010267622</v>
      </c>
      <c r="L19" s="0" t="n">
        <f aca="false">L15+L16+L17+L18</f>
        <v>7558.12870472974</v>
      </c>
    </row>
    <row r="20" customFormat="false" ht="15" hidden="false" customHeight="false" outlineLevel="0" collapsed="false">
      <c r="A20" s="0" t="s">
        <v>124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125</v>
      </c>
      <c r="C21" s="0" t="n">
        <f aca="false">C19*C20</f>
        <v>-756.063063063063</v>
      </c>
      <c r="D21" s="0" t="n">
        <f aca="false">D19*D20</f>
        <v>-2053.40029218407</v>
      </c>
      <c r="E21" s="0" t="n">
        <f aca="false">E19*E20</f>
        <v>-1499.3407761304</v>
      </c>
      <c r="F21" s="0" t="n">
        <f aca="false">F19*F20</f>
        <v>2752.58393422443</v>
      </c>
      <c r="G21" s="0" t="n">
        <f aca="false">G19*G20</f>
        <v>2771.68128574075</v>
      </c>
      <c r="H21" s="0" t="n">
        <f aca="false">H19*H20</f>
        <v>3141.83248523128</v>
      </c>
      <c r="I21" s="0" t="n">
        <f aca="false">I19*I20</f>
        <v>2870.72259130435</v>
      </c>
      <c r="J21" s="0" t="n">
        <f aca="false">J19*J20</f>
        <v>2625.92954960387</v>
      </c>
      <c r="K21" s="0" t="n">
        <f aca="false">K19*K20</f>
        <v>2896.72523177254</v>
      </c>
      <c r="L21" s="0" t="n">
        <f aca="false">L19*L20</f>
        <v>2661.85561838558</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11</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18</v>
      </c>
    </row>
    <row r="30" customFormat="false" ht="15" hidden="false" customHeight="false" outlineLevel="0" collapsed="false">
      <c r="A30" s="0" t="s">
        <v>128</v>
      </c>
      <c r="B30" s="0" t="n">
        <f aca="false">SUM(C21:L21)</f>
        <v>15412.5265648853</v>
      </c>
    </row>
    <row r="31" customFormat="false" ht="15" hidden="false" customHeight="false" outlineLevel="0" collapsed="false">
      <c r="A31" s="0" t="s">
        <v>129</v>
      </c>
      <c r="B31" s="0" t="n">
        <f aca="false">L19</f>
        <v>7558.12870472974</v>
      </c>
    </row>
    <row r="32" customFormat="false" ht="15" hidden="false" customHeight="false" outlineLevel="0" collapsed="false">
      <c r="A32" s="0" t="s">
        <v>130</v>
      </c>
      <c r="B32" s="0" t="n">
        <f aca="false">IF(B27&gt;B28,B31*(1+B28/100)/((B27-B28)/100),B31*B29)</f>
        <v>85658.791986937</v>
      </c>
    </row>
    <row r="33" customFormat="false" ht="15" hidden="false" customHeight="false" outlineLevel="0" collapsed="false">
      <c r="A33" s="0" t="s">
        <v>131</v>
      </c>
      <c r="B33" s="0" t="n">
        <f aca="false">B31*B29</f>
        <v>136046.316685135</v>
      </c>
    </row>
    <row r="34" customFormat="false" ht="15" hidden="false" customHeight="false" outlineLevel="0" collapsed="false">
      <c r="A34" s="0" t="s">
        <v>132</v>
      </c>
      <c r="B34" s="0" t="n">
        <f aca="false">MAX(0,MIN(B32,B33))</f>
        <v>85658.791986937</v>
      </c>
    </row>
    <row r="35" customFormat="false" ht="15" hidden="false" customHeight="false" outlineLevel="0" collapsed="false">
      <c r="A35" s="0" t="s">
        <v>133</v>
      </c>
      <c r="B35" s="0" t="n">
        <f aca="false">B34/(1+B27/100)^L4</f>
        <v>30167.6970083699</v>
      </c>
    </row>
    <row r="36" customFormat="false" ht="15" hidden="false" customHeight="false" outlineLevel="0" collapsed="false">
      <c r="A36" s="0" t="s">
        <v>134</v>
      </c>
      <c r="B36" s="0" t="n">
        <f aca="false">B30+B35</f>
        <v>45580.2235732552</v>
      </c>
    </row>
    <row r="37" customFormat="false" ht="15" hidden="false" customHeight="false" outlineLevel="0" collapsed="false">
      <c r="A37" s="0" t="s">
        <v>135</v>
      </c>
      <c r="B37" s="0" t="n">
        <f aca="false">B36+Assumptions!$B$5-Assumptions!$B$4</f>
        <v>45580.2235732552</v>
      </c>
    </row>
    <row r="38" customFormat="false" ht="15" hidden="false" customHeight="false" outlineLevel="0" collapsed="false">
      <c r="A38" s="0" t="s">
        <v>136</v>
      </c>
      <c r="B38" s="0" t="n">
        <f aca="false">B37/Assumptions!$B$3*Assumptions!$B$10</f>
        <v>1.94575641265964</v>
      </c>
    </row>
    <row r="39" customFormat="false" ht="15" hidden="false" customHeight="false" outlineLevel="0" collapsed="false">
      <c r="A39" s="0" t="s">
        <v>137</v>
      </c>
      <c r="B39" s="4" t="n">
        <f aca="false">B38/Assumptions!$B$2-1</f>
        <v>-0.192632193917162</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1.94575641265964</v>
      </c>
    </row>
    <row r="45" customFormat="false" ht="15" hidden="false" customHeight="false" outlineLevel="0" collapsed="false">
      <c r="A45" s="0" t="s">
        <v>80</v>
      </c>
      <c r="B45" s="4" t="n">
        <f aca="false">Assumptions!$B$6</f>
        <v>15</v>
      </c>
    </row>
    <row r="46" customFormat="false" ht="15" hidden="false" customHeight="false" outlineLevel="0" collapsed="false">
      <c r="A46" s="0" t="s">
        <v>141</v>
      </c>
      <c r="B46" s="0" t="n">
        <f aca="false">MAX(0,MIN(IF(B45&gt;B28,B31*(1+B28/100)/((B45-B28)/100),B31*B29),B31*B29))</f>
        <v>59302.240606341</v>
      </c>
    </row>
    <row r="47" customFormat="false" ht="15" hidden="false" customHeight="false" outlineLevel="0" collapsed="false">
      <c r="A47" s="0" t="s">
        <v>142</v>
      </c>
      <c r="B47" s="0" t="n">
        <f aca="false">(SUMPRODUCT(C19:L19/(1+B45/100)^C4:L4)+B46/(1+B45/100)^L4+Assumptions!$B$5-Assumptions!$B$4)/Assumptions!$B$3*Assumptions!$B$10</f>
        <v>1.1147188078016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83</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2</v>
      </c>
      <c r="D5" s="4" t="n">
        <f aca="false">Assumptions!D27</f>
        <v>2.5</v>
      </c>
      <c r="E5" s="4" t="n">
        <f aca="false">Assumptions!E27</f>
        <v>3</v>
      </c>
      <c r="F5" s="4" t="n">
        <f aca="false">Assumptions!F27</f>
        <v>3</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63100</v>
      </c>
      <c r="C6" s="0" t="n">
        <f aca="false">B6*(1+C5/100)</f>
        <v>64362</v>
      </c>
      <c r="D6" s="0" t="n">
        <f aca="false">C6*(1+D5/100)</f>
        <v>65971.05</v>
      </c>
      <c r="E6" s="0" t="n">
        <f aca="false">D6*(1+E5/100)</f>
        <v>67950.1815</v>
      </c>
      <c r="F6" s="0" t="n">
        <f aca="false">E6*(1+F5/100)</f>
        <v>69988.686945</v>
      </c>
      <c r="G6" s="0" t="n">
        <f aca="false">F6*(1+G5/100)</f>
        <v>72088.34755335</v>
      </c>
      <c r="H6" s="0" t="n">
        <f aca="false">G6*(1+H5/100)</f>
        <v>74250.9979799505</v>
      </c>
      <c r="I6" s="0" t="n">
        <f aca="false">H6*(1+I5/100)</f>
        <v>76478.527919349</v>
      </c>
      <c r="J6" s="0" t="n">
        <f aca="false">I6*(1+J5/100)</f>
        <v>78772.8837569295</v>
      </c>
      <c r="K6" s="0" t="n">
        <f aca="false">J6*(1+K5/100)</f>
        <v>81136.0702696374</v>
      </c>
      <c r="L6" s="0" t="n">
        <f aca="false">K6*(1+L5/100)</f>
        <v>83570.1523777265</v>
      </c>
    </row>
    <row r="7" customFormat="false" ht="15" hidden="false" customHeight="false" outlineLevel="0" collapsed="false">
      <c r="A7" s="0" t="s">
        <v>99</v>
      </c>
      <c r="C7" s="4" t="n">
        <f aca="false">Assumptions!C28</f>
        <v>26.5</v>
      </c>
      <c r="D7" s="4" t="n">
        <f aca="false">Assumptions!D28</f>
        <v>27</v>
      </c>
      <c r="E7" s="4" t="n">
        <f aca="false">Assumptions!E28</f>
        <v>27.5</v>
      </c>
      <c r="F7" s="4" t="n">
        <f aca="false">Assumptions!F28</f>
        <v>28</v>
      </c>
      <c r="G7" s="4" t="n">
        <f aca="false">Assumptions!G28</f>
        <v>28</v>
      </c>
      <c r="H7" s="4" t="n">
        <f aca="false">Assumptions!H28</f>
        <v>28</v>
      </c>
      <c r="I7" s="4" t="n">
        <f aca="false">Assumptions!I28</f>
        <v>28</v>
      </c>
      <c r="J7" s="4" t="n">
        <f aca="false">Assumptions!J28</f>
        <v>28</v>
      </c>
      <c r="K7" s="4" t="n">
        <f aca="false">Assumptions!K28</f>
        <v>28</v>
      </c>
      <c r="L7" s="4" t="n">
        <f aca="false">Assumptions!L28</f>
        <v>28</v>
      </c>
    </row>
    <row r="8" customFormat="false" ht="15" hidden="false" customHeight="false" outlineLevel="0" collapsed="false">
      <c r="A8" s="0" t="s">
        <v>44</v>
      </c>
      <c r="C8" s="0" t="n">
        <f aca="false">C6*C7/100</f>
        <v>17055.93</v>
      </c>
      <c r="D8" s="0" t="n">
        <f aca="false">D6*D7/100</f>
        <v>17812.1835</v>
      </c>
      <c r="E8" s="0" t="n">
        <f aca="false">E6*E7/100</f>
        <v>18686.2999125</v>
      </c>
      <c r="F8" s="0" t="n">
        <f aca="false">F6*F7/100</f>
        <v>19596.8323446</v>
      </c>
      <c r="G8" s="0" t="n">
        <f aca="false">G6*G7/100</f>
        <v>20184.737314938</v>
      </c>
      <c r="H8" s="0" t="n">
        <f aca="false">H6*H7/100</f>
        <v>20790.2794343861</v>
      </c>
      <c r="I8" s="0" t="n">
        <f aca="false">I6*I7/100</f>
        <v>21413.9878174177</v>
      </c>
      <c r="J8" s="0" t="n">
        <f aca="false">J6*J7/100</f>
        <v>22056.4074519403</v>
      </c>
      <c r="K8" s="0" t="n">
        <f aca="false">K6*K7/100</f>
        <v>22718.0996754985</v>
      </c>
      <c r="L8" s="0" t="n">
        <f aca="false">L6*L7/100</f>
        <v>23399.6426657634</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17055.93</v>
      </c>
      <c r="D11" s="0" t="n">
        <f aca="false">D8+D10+D24</f>
        <v>17812.1835</v>
      </c>
      <c r="E11" s="0" t="n">
        <f aca="false">E8+E10+E24</f>
        <v>18686.2999125</v>
      </c>
      <c r="F11" s="0" t="n">
        <f aca="false">F8+F10+F24</f>
        <v>19596.8323446</v>
      </c>
      <c r="G11" s="0" t="n">
        <f aca="false">G8+G10+G24</f>
        <v>20184.737314938</v>
      </c>
      <c r="H11" s="0" t="n">
        <f aca="false">H8+H10+H24</f>
        <v>20790.2794343861</v>
      </c>
      <c r="I11" s="0" t="n">
        <f aca="false">I8+I10+I24</f>
        <v>21413.9878174177</v>
      </c>
      <c r="J11" s="0" t="n">
        <f aca="false">J8+J10+J24</f>
        <v>22056.4074519403</v>
      </c>
      <c r="K11" s="0" t="n">
        <f aca="false">K8+K10+K24</f>
        <v>22718.0996754985</v>
      </c>
      <c r="L11" s="0" t="n">
        <f aca="false">L8+L10+L24</f>
        <v>23399.6426657634</v>
      </c>
    </row>
    <row r="12" customFormat="false" ht="15" hidden="false" customHeight="false" outlineLevel="0" collapsed="false">
      <c r="A12" s="0" t="s">
        <v>117</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118</v>
      </c>
      <c r="C13" s="0" t="n">
        <f aca="false">C11+C12</f>
        <v>17055.93</v>
      </c>
      <c r="D13" s="0" t="n">
        <f aca="false">D11+D12</f>
        <v>17812.1835</v>
      </c>
      <c r="E13" s="0" t="n">
        <f aca="false">E11+E12</f>
        <v>18686.2999125</v>
      </c>
      <c r="F13" s="0" t="n">
        <f aca="false">F11+F12</f>
        <v>19596.8323446</v>
      </c>
      <c r="G13" s="0" t="n">
        <f aca="false">G11+G12</f>
        <v>20184.737314938</v>
      </c>
      <c r="H13" s="0" t="n">
        <f aca="false">H11+H12</f>
        <v>20790.2794343861</v>
      </c>
      <c r="I13" s="0" t="n">
        <f aca="false">I11+I12</f>
        <v>21413.9878174177</v>
      </c>
      <c r="J13" s="0" t="n">
        <f aca="false">J11+J12</f>
        <v>22056.4074519403</v>
      </c>
      <c r="K13" s="0" t="n">
        <f aca="false">K11+K12</f>
        <v>22718.0996754985</v>
      </c>
      <c r="L13" s="0" t="n">
        <f aca="false">L11+L12</f>
        <v>23399.6426657634</v>
      </c>
    </row>
    <row r="14" customFormat="false" ht="15" hidden="false" customHeight="false" outlineLevel="0" collapsed="false">
      <c r="A14" s="0" t="s">
        <v>104</v>
      </c>
      <c r="C14" s="4" t="n">
        <f aca="false">Assumptions!C33</f>
        <v>25.5</v>
      </c>
      <c r="D14" s="4" t="n">
        <f aca="false">Assumptions!D33</f>
        <v>25.5</v>
      </c>
      <c r="E14" s="4" t="n">
        <f aca="false">Assumptions!E33</f>
        <v>25.5</v>
      </c>
      <c r="F14" s="4" t="n">
        <f aca="false">Assumptions!F33</f>
        <v>25.5</v>
      </c>
      <c r="G14" s="4" t="n">
        <f aca="false">Assumptions!G33</f>
        <v>25.5</v>
      </c>
      <c r="H14" s="4" t="n">
        <f aca="false">Assumptions!H33</f>
        <v>25.5</v>
      </c>
      <c r="I14" s="4" t="n">
        <f aca="false">Assumptions!I33</f>
        <v>25.5</v>
      </c>
      <c r="J14" s="4" t="n">
        <f aca="false">Assumptions!J33</f>
        <v>25.5</v>
      </c>
      <c r="K14" s="4" t="n">
        <f aca="false">Assumptions!K33</f>
        <v>25.5</v>
      </c>
      <c r="L14" s="4" t="n">
        <f aca="false">Assumptions!L33</f>
        <v>25.5</v>
      </c>
    </row>
    <row r="15" customFormat="false" ht="15" hidden="false" customHeight="false" outlineLevel="0" collapsed="false">
      <c r="A15" s="0" t="s">
        <v>119</v>
      </c>
      <c r="C15" s="0" t="n">
        <f aca="false">C13-MAX(0,C13)*C14/100</f>
        <v>12706.66785</v>
      </c>
      <c r="D15" s="0" t="n">
        <f aca="false">D13-MAX(0,D13)*D14/100</f>
        <v>13270.0767075</v>
      </c>
      <c r="E15" s="0" t="n">
        <f aca="false">E13-MAX(0,E13)*E14/100</f>
        <v>13921.2934348125</v>
      </c>
      <c r="F15" s="0" t="n">
        <f aca="false">F13-MAX(0,F13)*F14/100</f>
        <v>14599.640096727</v>
      </c>
      <c r="G15" s="0" t="n">
        <f aca="false">G13-MAX(0,G13)*G14/100</f>
        <v>15037.6292996288</v>
      </c>
      <c r="H15" s="0" t="n">
        <f aca="false">H13-MAX(0,H13)*H14/100</f>
        <v>15488.7581786177</v>
      </c>
      <c r="I15" s="0" t="n">
        <f aca="false">I13-MAX(0,I13)*I14/100</f>
        <v>15953.4209239762</v>
      </c>
      <c r="J15" s="0" t="n">
        <f aca="false">J13-MAX(0,J13)*J14/100</f>
        <v>16432.0235516955</v>
      </c>
      <c r="K15" s="0" t="n">
        <f aca="false">K13-MAX(0,K13)*K14/100</f>
        <v>16924.9842582464</v>
      </c>
      <c r="L15" s="0" t="n">
        <f aca="false">L13-MAX(0,L13)*L14/100</f>
        <v>17432.7337859938</v>
      </c>
    </row>
    <row r="16" customFormat="false" ht="15" hidden="false" customHeight="false" outlineLevel="0" collapsed="false">
      <c r="A16" s="0" t="s">
        <v>120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121</v>
      </c>
      <c r="C17" s="4" t="n">
        <f aca="false">-C6*Assumptions!C32/100</f>
        <v>-6468.381</v>
      </c>
      <c r="D17" s="4" t="n">
        <f aca="false">-D6*Assumptions!D32/100</f>
        <v>-6696.061575</v>
      </c>
      <c r="E17" s="4" t="n">
        <f aca="false">-E6*Assumptions!E32/100</f>
        <v>-6930.918513</v>
      </c>
      <c r="F17" s="4" t="n">
        <f aca="false">-F6*Assumptions!F32/100</f>
        <v>-7173.8404118625</v>
      </c>
      <c r="G17" s="4" t="n">
        <f aca="false">-G6*Assumptions!G32/100</f>
        <v>-7425.09979799505</v>
      </c>
      <c r="H17" s="4" t="n">
        <f aca="false">-H6*Assumptions!H32/100</f>
        <v>-6586.06352082161</v>
      </c>
      <c r="I17" s="4" t="n">
        <f aca="false">-I6*Assumptions!I32/100</f>
        <v>-6783.64542644626</v>
      </c>
      <c r="J17" s="4" t="n">
        <f aca="false">-J6*Assumptions!J32/100</f>
        <v>-5821.31610963709</v>
      </c>
      <c r="K17" s="4" t="n">
        <f aca="false">-K6*Assumptions!K32/100</f>
        <v>-5963.50116481835</v>
      </c>
      <c r="L17" s="4" t="n">
        <f aca="false">-L6*Assumptions!L32/100</f>
        <v>-6117.33515404958</v>
      </c>
    </row>
    <row r="18" customFormat="false" ht="15" hidden="false" customHeight="false" outlineLevel="0" collapsed="false">
      <c r="A18" s="0" t="s">
        <v>122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123</v>
      </c>
      <c r="C19" s="0" t="n">
        <f aca="false">C15+C16+C17+C18</f>
        <v>6238.28685</v>
      </c>
      <c r="D19" s="0" t="n">
        <f aca="false">D15+D16+D17+D18</f>
        <v>6574.0151325</v>
      </c>
      <c r="E19" s="0" t="n">
        <f aca="false">E15+E16+E17+E18</f>
        <v>6990.3749218125</v>
      </c>
      <c r="F19" s="0" t="n">
        <f aca="false">F15+F16+F17+F18</f>
        <v>7425.7996848645</v>
      </c>
      <c r="G19" s="0" t="n">
        <f aca="false">G15+G16+G17+G18</f>
        <v>7612.52950163376</v>
      </c>
      <c r="H19" s="0" t="n">
        <f aca="false">H15+H16+H17+H18</f>
        <v>8902.69465779607</v>
      </c>
      <c r="I19" s="0" t="n">
        <f aca="false">I15+I16+I17+I18</f>
        <v>9169.77549752995</v>
      </c>
      <c r="J19" s="0" t="n">
        <f aca="false">J15+J16+J17+J18</f>
        <v>10610.7074420584</v>
      </c>
      <c r="K19" s="0" t="n">
        <f aca="false">K15+K16+K17+K18</f>
        <v>10961.483093428</v>
      </c>
      <c r="L19" s="0" t="n">
        <f aca="false">L15+L16+L17+L18</f>
        <v>11315.3986319442</v>
      </c>
    </row>
    <row r="20" customFormat="false" ht="15" hidden="false" customHeight="false" outlineLevel="0" collapsed="false">
      <c r="A20" s="0" t="s">
        <v>124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125</v>
      </c>
      <c r="C21" s="0" t="n">
        <f aca="false">C19*C20</f>
        <v>5620.07824324324</v>
      </c>
      <c r="D21" s="0" t="n">
        <f aca="false">D19*D20</f>
        <v>5335.61815802289</v>
      </c>
      <c r="E21" s="0" t="n">
        <f aca="false">E19*E20</f>
        <v>5111.3018948916</v>
      </c>
      <c r="F21" s="0" t="n">
        <f aca="false">F19*F20</f>
        <v>4891.60426021643</v>
      </c>
      <c r="G21" s="0" t="n">
        <f aca="false">G19*G20</f>
        <v>4517.66574262951</v>
      </c>
      <c r="H21" s="0" t="n">
        <f aca="false">H19*H20</f>
        <v>4759.74411528731</v>
      </c>
      <c r="I21" s="0" t="n">
        <f aca="false">I19*I20</f>
        <v>4416.6994943657</v>
      </c>
      <c r="J21" s="0" t="n">
        <f aca="false">J19*J20</f>
        <v>4604.26710357574</v>
      </c>
      <c r="K21" s="0" t="n">
        <f aca="false">K19*K20</f>
        <v>4285.11527293803</v>
      </c>
      <c r="L21" s="0" t="n">
        <f aca="false">L19*L20</f>
        <v>3985.10776931657</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11</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18</v>
      </c>
    </row>
    <row r="30" customFormat="false" ht="15" hidden="false" customHeight="false" outlineLevel="0" collapsed="false">
      <c r="A30" s="0" t="s">
        <v>128</v>
      </c>
      <c r="B30" s="0" t="n">
        <f aca="false">SUM(C21:L21)</f>
        <v>47527.202054487</v>
      </c>
    </row>
    <row r="31" customFormat="false" ht="15" hidden="false" customHeight="false" outlineLevel="0" collapsed="false">
      <c r="A31" s="0" t="s">
        <v>129</v>
      </c>
      <c r="B31" s="0" t="n">
        <f aca="false">L19</f>
        <v>11315.3986319442</v>
      </c>
    </row>
    <row r="32" customFormat="false" ht="15" hidden="false" customHeight="false" outlineLevel="0" collapsed="false">
      <c r="A32" s="0" t="s">
        <v>130</v>
      </c>
      <c r="B32" s="0" t="n">
        <f aca="false">IF(B27&gt;B28,B31*(1+B28/100)/((B27-B28)/100),B31*B29)</f>
        <v>136450.395267562</v>
      </c>
    </row>
    <row r="33" customFormat="false" ht="15" hidden="false" customHeight="false" outlineLevel="0" collapsed="false">
      <c r="A33" s="0" t="s">
        <v>131</v>
      </c>
      <c r="B33" s="0" t="n">
        <f aca="false">B31*B29</f>
        <v>203677.175374995</v>
      </c>
    </row>
    <row r="34" customFormat="false" ht="15" hidden="false" customHeight="false" outlineLevel="0" collapsed="false">
      <c r="A34" s="0" t="s">
        <v>132</v>
      </c>
      <c r="B34" s="0" t="n">
        <f aca="false">MAX(0,MIN(B32,B33))</f>
        <v>136450.395267562</v>
      </c>
    </row>
    <row r="35" customFormat="false" ht="15" hidden="false" customHeight="false" outlineLevel="0" collapsed="false">
      <c r="A35" s="0" t="s">
        <v>133</v>
      </c>
      <c r="B35" s="0" t="n">
        <f aca="false">B34/(1+B27/100)^L4</f>
        <v>48055.7113358763</v>
      </c>
    </row>
    <row r="36" customFormat="false" ht="15" hidden="false" customHeight="false" outlineLevel="0" collapsed="false">
      <c r="A36" s="0" t="s">
        <v>134</v>
      </c>
      <c r="B36" s="0" t="n">
        <f aca="false">B30+B35</f>
        <v>95582.9133903633</v>
      </c>
    </row>
    <row r="37" customFormat="false" ht="15" hidden="false" customHeight="false" outlineLevel="0" collapsed="false">
      <c r="A37" s="0" t="s">
        <v>135</v>
      </c>
      <c r="B37" s="0" t="n">
        <f aca="false">B36+Assumptions!$B$5-Assumptions!$B$4</f>
        <v>95582.9133903633</v>
      </c>
    </row>
    <row r="38" customFormat="false" ht="15" hidden="false" customHeight="false" outlineLevel="0" collapsed="false">
      <c r="A38" s="0" t="s">
        <v>136</v>
      </c>
      <c r="B38" s="0" t="n">
        <f aca="false">B37/Assumptions!$B$3*Assumptions!$B$10</f>
        <v>4.08030176445026</v>
      </c>
    </row>
    <row r="39" customFormat="false" ht="15" hidden="false" customHeight="false" outlineLevel="0" collapsed="false">
      <c r="A39" s="0" t="s">
        <v>137</v>
      </c>
      <c r="B39" s="4" t="n">
        <f aca="false">B38/Assumptions!$B$2-1</f>
        <v>0.693071271556125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4.08030176445026</v>
      </c>
    </row>
    <row r="45" customFormat="false" ht="15" hidden="false" customHeight="false" outlineLevel="0" collapsed="false">
      <c r="A45" s="0" t="s">
        <v>80</v>
      </c>
      <c r="B45" s="4" t="n">
        <f aca="false">Assumptions!$B$6</f>
        <v>15</v>
      </c>
    </row>
    <row r="46" customFormat="false" ht="15" hidden="false" customHeight="false" outlineLevel="0" collapsed="false">
      <c r="A46" s="0" t="s">
        <v>141</v>
      </c>
      <c r="B46" s="0" t="n">
        <f aca="false">MAX(0,MIN(IF(B45&gt;B28,B31*(1+B28/100)/((B45-B28)/100),B31*B29),B31*B29))</f>
        <v>92786.2687819422</v>
      </c>
    </row>
    <row r="47" customFormat="false" ht="15" hidden="false" customHeight="false" outlineLevel="0" collapsed="false">
      <c r="A47" s="0" t="s">
        <v>142</v>
      </c>
      <c r="B47" s="0" t="n">
        <f aca="false">(SUMPRODUCT(C19:L19/(1+B45/100)^C4:L4)+B46/(1+B45/100)^L4+Assumptions!$B$5-Assumptions!$B$4)/Assumptions!$B$3*Assumptions!$B$10</f>
        <v>2.67381629301796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83</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3.5</v>
      </c>
      <c r="D5" s="4" t="n">
        <f aca="false">Assumptions!D41</f>
        <v>4</v>
      </c>
      <c r="E5" s="4" t="n">
        <f aca="false">Assumptions!E41</f>
        <v>4</v>
      </c>
      <c r="F5" s="4" t="n">
        <f aca="false">Assumptions!F41</f>
        <v>4</v>
      </c>
      <c r="G5" s="4" t="n">
        <f aca="false">Assumptions!G41</f>
        <v>4</v>
      </c>
      <c r="H5" s="4" t="n">
        <f aca="false">Assumptions!H41</f>
        <v>3.5</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63100</v>
      </c>
      <c r="C6" s="0" t="n">
        <f aca="false">B6*(1+C5/100)</f>
        <v>65308.5</v>
      </c>
      <c r="D6" s="0" t="n">
        <f aca="false">C6*(1+D5/100)</f>
        <v>67920.84</v>
      </c>
      <c r="E6" s="0" t="n">
        <f aca="false">D6*(1+E5/100)</f>
        <v>70637.6736</v>
      </c>
      <c r="F6" s="0" t="n">
        <f aca="false">E6*(1+F5/100)</f>
        <v>73463.180544</v>
      </c>
      <c r="G6" s="0" t="n">
        <f aca="false">F6*(1+G5/100)</f>
        <v>76401.70776576</v>
      </c>
      <c r="H6" s="0" t="n">
        <f aca="false">G6*(1+H5/100)</f>
        <v>79075.7675375616</v>
      </c>
      <c r="I6" s="0" t="n">
        <f aca="false">H6*(1+I5/100)</f>
        <v>81843.4194013763</v>
      </c>
      <c r="J6" s="0" t="n">
        <f aca="false">I6*(1+J5/100)</f>
        <v>84707.9390804244</v>
      </c>
      <c r="K6" s="0" t="n">
        <f aca="false">J6*(1+K5/100)</f>
        <v>87672.7169482393</v>
      </c>
      <c r="L6" s="0" t="n">
        <f aca="false">K6*(1+L5/100)</f>
        <v>90741.2620414276</v>
      </c>
    </row>
    <row r="7" customFormat="false" ht="15" hidden="false" customHeight="false" outlineLevel="0" collapsed="false">
      <c r="A7" s="0" t="s">
        <v>99</v>
      </c>
      <c r="C7" s="4" t="n">
        <f aca="false">Assumptions!C42</f>
        <v>27.5</v>
      </c>
      <c r="D7" s="4" t="n">
        <f aca="false">Assumptions!D42</f>
        <v>28.5</v>
      </c>
      <c r="E7" s="4" t="n">
        <f aca="false">Assumptions!E42</f>
        <v>29.5</v>
      </c>
      <c r="F7" s="4" t="n">
        <f aca="false">Assumptions!F42</f>
        <v>30</v>
      </c>
      <c r="G7" s="4" t="n">
        <f aca="false">Assumptions!G42</f>
        <v>30</v>
      </c>
      <c r="H7" s="4" t="n">
        <f aca="false">Assumptions!H42</f>
        <v>30</v>
      </c>
      <c r="I7" s="4" t="n">
        <f aca="false">Assumptions!I42</f>
        <v>30</v>
      </c>
      <c r="J7" s="4" t="n">
        <f aca="false">Assumptions!J42</f>
        <v>30</v>
      </c>
      <c r="K7" s="4" t="n">
        <f aca="false">Assumptions!K42</f>
        <v>30</v>
      </c>
      <c r="L7" s="4" t="n">
        <f aca="false">Assumptions!L42</f>
        <v>30</v>
      </c>
    </row>
    <row r="8" customFormat="false" ht="15" hidden="false" customHeight="false" outlineLevel="0" collapsed="false">
      <c r="A8" s="0" t="s">
        <v>44</v>
      </c>
      <c r="C8" s="0" t="n">
        <f aca="false">C6*C7/100</f>
        <v>17959.8375</v>
      </c>
      <c r="D8" s="0" t="n">
        <f aca="false">D6*D7/100</f>
        <v>19357.4394</v>
      </c>
      <c r="E8" s="0" t="n">
        <f aca="false">E6*E7/100</f>
        <v>20838.113712</v>
      </c>
      <c r="F8" s="0" t="n">
        <f aca="false">F6*F7/100</f>
        <v>22038.9541632</v>
      </c>
      <c r="G8" s="0" t="n">
        <f aca="false">G6*G7/100</f>
        <v>22920.512329728</v>
      </c>
      <c r="H8" s="0" t="n">
        <f aca="false">H6*H7/100</f>
        <v>23722.7302612685</v>
      </c>
      <c r="I8" s="0" t="n">
        <f aca="false">I6*I7/100</f>
        <v>24553.0258204129</v>
      </c>
      <c r="J8" s="0" t="n">
        <f aca="false">J6*J7/100</f>
        <v>25412.3817241273</v>
      </c>
      <c r="K8" s="0" t="n">
        <f aca="false">K6*K7/100</f>
        <v>26301.8150844718</v>
      </c>
      <c r="L8" s="0" t="n">
        <f aca="false">L6*L7/100</f>
        <v>27222.3786124283</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17959.8375</v>
      </c>
      <c r="D11" s="0" t="n">
        <f aca="false">D8+D10+D24</f>
        <v>19357.4394</v>
      </c>
      <c r="E11" s="0" t="n">
        <f aca="false">E8+E10+E24</f>
        <v>20838.113712</v>
      </c>
      <c r="F11" s="0" t="n">
        <f aca="false">F8+F10+F24</f>
        <v>22038.9541632</v>
      </c>
      <c r="G11" s="0" t="n">
        <f aca="false">G8+G10+G24</f>
        <v>22920.512329728</v>
      </c>
      <c r="H11" s="0" t="n">
        <f aca="false">H8+H10+H24</f>
        <v>23722.7302612685</v>
      </c>
      <c r="I11" s="0" t="n">
        <f aca="false">I8+I10+I24</f>
        <v>24553.0258204129</v>
      </c>
      <c r="J11" s="0" t="n">
        <f aca="false">J8+J10+J24</f>
        <v>25412.3817241273</v>
      </c>
      <c r="K11" s="0" t="n">
        <f aca="false">K8+K10+K24</f>
        <v>26301.8150844718</v>
      </c>
      <c r="L11" s="0" t="n">
        <f aca="false">L8+L10+L24</f>
        <v>27222.3786124283</v>
      </c>
    </row>
    <row r="12" customFormat="false" ht="15" hidden="false" customHeight="false" outlineLevel="0" collapsed="false">
      <c r="A12" s="0" t="s">
        <v>117</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118</v>
      </c>
      <c r="C13" s="0" t="n">
        <f aca="false">C11+C12</f>
        <v>17959.8375</v>
      </c>
      <c r="D13" s="0" t="n">
        <f aca="false">D11+D12</f>
        <v>19357.4394</v>
      </c>
      <c r="E13" s="0" t="n">
        <f aca="false">E11+E12</f>
        <v>20838.113712</v>
      </c>
      <c r="F13" s="0" t="n">
        <f aca="false">F11+F12</f>
        <v>22038.9541632</v>
      </c>
      <c r="G13" s="0" t="n">
        <f aca="false">G11+G12</f>
        <v>22920.512329728</v>
      </c>
      <c r="H13" s="0" t="n">
        <f aca="false">H11+H12</f>
        <v>23722.7302612685</v>
      </c>
      <c r="I13" s="0" t="n">
        <f aca="false">I11+I12</f>
        <v>24553.0258204129</v>
      </c>
      <c r="J13" s="0" t="n">
        <f aca="false">J11+J12</f>
        <v>25412.3817241273</v>
      </c>
      <c r="K13" s="0" t="n">
        <f aca="false">K11+K12</f>
        <v>26301.8150844718</v>
      </c>
      <c r="L13" s="0" t="n">
        <f aca="false">L11+L12</f>
        <v>27222.3786124283</v>
      </c>
    </row>
    <row r="14" customFormat="false" ht="15" hidden="false" customHeight="false" outlineLevel="0" collapsed="false">
      <c r="A14" s="0" t="s">
        <v>104</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119</v>
      </c>
      <c r="C15" s="0" t="n">
        <f aca="false">C13-MAX(0,C13)*C14/100</f>
        <v>13469.878125</v>
      </c>
      <c r="D15" s="0" t="n">
        <f aca="false">D13-MAX(0,D13)*D14/100</f>
        <v>14518.07955</v>
      </c>
      <c r="E15" s="0" t="n">
        <f aca="false">E13-MAX(0,E13)*E14/100</f>
        <v>15628.585284</v>
      </c>
      <c r="F15" s="0" t="n">
        <f aca="false">F13-MAX(0,F13)*F14/100</f>
        <v>16529.2156224</v>
      </c>
      <c r="G15" s="0" t="n">
        <f aca="false">G13-MAX(0,G13)*G14/100</f>
        <v>17190.384247296</v>
      </c>
      <c r="H15" s="0" t="n">
        <f aca="false">H13-MAX(0,H13)*H14/100</f>
        <v>17792.0476959514</v>
      </c>
      <c r="I15" s="0" t="n">
        <f aca="false">I13-MAX(0,I13)*I14/100</f>
        <v>18414.7693653097</v>
      </c>
      <c r="J15" s="0" t="n">
        <f aca="false">J13-MAX(0,J13)*J14/100</f>
        <v>19059.2862930955</v>
      </c>
      <c r="K15" s="0" t="n">
        <f aca="false">K13-MAX(0,K13)*K14/100</f>
        <v>19726.3613133538</v>
      </c>
      <c r="L15" s="0" t="n">
        <f aca="false">L13-MAX(0,L13)*L14/100</f>
        <v>20416.7839593212</v>
      </c>
    </row>
    <row r="16" customFormat="false" ht="15" hidden="false" customHeight="false" outlineLevel="0" collapsed="false">
      <c r="A16" s="0" t="s">
        <v>120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121</v>
      </c>
      <c r="C17" s="4" t="n">
        <f aca="false">-C6*Assumptions!C46/100</f>
        <v>-7392.9222</v>
      </c>
      <c r="D17" s="4" t="n">
        <f aca="false">-D6*Assumptions!D46/100</f>
        <v>-7688.639088</v>
      </c>
      <c r="E17" s="4" t="n">
        <f aca="false">-E6*Assumptions!E46/100</f>
        <v>-7996.18465152</v>
      </c>
      <c r="F17" s="4" t="n">
        <f aca="false">-F6*Assumptions!F46/100</f>
        <v>-8316.0320375808</v>
      </c>
      <c r="G17" s="4" t="n">
        <f aca="false">-G6*Assumptions!G46/100</f>
        <v>-8648.67331908403</v>
      </c>
      <c r="H17" s="4" t="n">
        <f aca="false">-H6*Assumptions!H46/100</f>
        <v>-7868.03886998738</v>
      </c>
      <c r="I17" s="4" t="n">
        <f aca="false">-I6*Assumptions!I46/100</f>
        <v>-8143.42023043694</v>
      </c>
      <c r="J17" s="4" t="n">
        <f aca="false">-J6*Assumptions!J46/100</f>
        <v>-7225.5872035602</v>
      </c>
      <c r="K17" s="4" t="n">
        <f aca="false">-K6*Assumptions!K46/100</f>
        <v>-7443.41366890551</v>
      </c>
      <c r="L17" s="4" t="n">
        <f aca="false">-L6*Assumptions!L46/100</f>
        <v>-7667.63664250063</v>
      </c>
    </row>
    <row r="18" customFormat="false" ht="15" hidden="false" customHeight="false" outlineLevel="0" collapsed="false">
      <c r="A18" s="0" t="s">
        <v>122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123</v>
      </c>
      <c r="C19" s="0" t="n">
        <f aca="false">C15+C16+C17+C18</f>
        <v>6076.955925</v>
      </c>
      <c r="D19" s="0" t="n">
        <f aca="false">D15+D16+D17+D18</f>
        <v>6829.440462</v>
      </c>
      <c r="E19" s="0" t="n">
        <f aca="false">E15+E16+E17+E18</f>
        <v>7632.40063248</v>
      </c>
      <c r="F19" s="0" t="n">
        <f aca="false">F15+F16+F17+F18</f>
        <v>8213.1835848192</v>
      </c>
      <c r="G19" s="0" t="n">
        <f aca="false">G15+G16+G17+G18</f>
        <v>8541.71092821197</v>
      </c>
      <c r="H19" s="0" t="n">
        <f aca="false">H15+H16+H17+H18</f>
        <v>9924.00882596398</v>
      </c>
      <c r="I19" s="0" t="n">
        <f aca="false">I15+I16+I17+I18</f>
        <v>10271.3491348727</v>
      </c>
      <c r="J19" s="0" t="n">
        <f aca="false">J15+J16+J17+J18</f>
        <v>11833.6990895353</v>
      </c>
      <c r="K19" s="0" t="n">
        <f aca="false">K15+K16+K17+K18</f>
        <v>12282.9476444483</v>
      </c>
      <c r="L19" s="0" t="n">
        <f aca="false">L15+L16+L17+L18</f>
        <v>12749.1473168206</v>
      </c>
    </row>
    <row r="20" customFormat="false" ht="15" hidden="false" customHeight="false" outlineLevel="0" collapsed="false">
      <c r="A20" s="0" t="s">
        <v>124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125</v>
      </c>
      <c r="C21" s="0" t="n">
        <f aca="false">C19*C20</f>
        <v>5474.73506756757</v>
      </c>
      <c r="D21" s="0" t="n">
        <f aca="false">D19*D20</f>
        <v>5542.92708546384</v>
      </c>
      <c r="E21" s="0" t="n">
        <f aca="false">E19*E20</f>
        <v>5580.7455611053</v>
      </c>
      <c r="F21" s="0" t="n">
        <f aca="false">F19*F20</f>
        <v>5410.27842365968</v>
      </c>
      <c r="G21" s="0" t="n">
        <f aca="false">G19*G20</f>
        <v>5069.0896942397</v>
      </c>
      <c r="H21" s="0" t="n">
        <f aca="false">H19*H20</f>
        <v>5305.78037606593</v>
      </c>
      <c r="I21" s="0" t="n">
        <f aca="false">I19*I20</f>
        <v>4947.28170200742</v>
      </c>
      <c r="J21" s="0" t="n">
        <f aca="false">J19*J20</f>
        <v>5134.95558416713</v>
      </c>
      <c r="K21" s="0" t="n">
        <f aca="false">K19*K20</f>
        <v>4801.70850051125</v>
      </c>
      <c r="L21" s="0" t="n">
        <f aca="false">L19*L20</f>
        <v>4490.05180259335</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11</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18</v>
      </c>
    </row>
    <row r="30" customFormat="false" ht="15" hidden="false" customHeight="false" outlineLevel="0" collapsed="false">
      <c r="A30" s="0" t="s">
        <v>128</v>
      </c>
      <c r="B30" s="0" t="n">
        <f aca="false">SUM(C21:L21)</f>
        <v>51757.5537973811</v>
      </c>
    </row>
    <row r="31" customFormat="false" ht="15" hidden="false" customHeight="false" outlineLevel="0" collapsed="false">
      <c r="A31" s="0" t="s">
        <v>129</v>
      </c>
      <c r="B31" s="0" t="n">
        <f aca="false">L19</f>
        <v>12749.1473168206</v>
      </c>
    </row>
    <row r="32" customFormat="false" ht="15" hidden="false" customHeight="false" outlineLevel="0" collapsed="false">
      <c r="A32" s="0" t="s">
        <v>130</v>
      </c>
      <c r="B32" s="0" t="n">
        <f aca="false">IF(B27&gt;B28,B31*(1+B28/100)/((B27-B28)/100),B31*B29)</f>
        <v>164145.271704065</v>
      </c>
    </row>
    <row r="33" customFormat="false" ht="15" hidden="false" customHeight="false" outlineLevel="0" collapsed="false">
      <c r="A33" s="0" t="s">
        <v>131</v>
      </c>
      <c r="B33" s="0" t="n">
        <f aca="false">B31*B29</f>
        <v>229484.65170277</v>
      </c>
    </row>
    <row r="34" customFormat="false" ht="15" hidden="false" customHeight="false" outlineLevel="0" collapsed="false">
      <c r="A34" s="0" t="s">
        <v>132</v>
      </c>
      <c r="B34" s="0" t="n">
        <f aca="false">MAX(0,MIN(B32,B33))</f>
        <v>164145.271704065</v>
      </c>
    </row>
    <row r="35" customFormat="false" ht="15" hidden="false" customHeight="false" outlineLevel="0" collapsed="false">
      <c r="A35" s="0" t="s">
        <v>133</v>
      </c>
      <c r="B35" s="0" t="n">
        <f aca="false">B34/(1+B27/100)^L4</f>
        <v>57809.4169583894</v>
      </c>
    </row>
    <row r="36" customFormat="false" ht="15" hidden="false" customHeight="false" outlineLevel="0" collapsed="false">
      <c r="A36" s="0" t="s">
        <v>134</v>
      </c>
      <c r="B36" s="0" t="n">
        <f aca="false">B30+B35</f>
        <v>109566.970755771</v>
      </c>
    </row>
    <row r="37" customFormat="false" ht="15" hidden="false" customHeight="false" outlineLevel="0" collapsed="false">
      <c r="A37" s="0" t="s">
        <v>135</v>
      </c>
      <c r="B37" s="0" t="n">
        <f aca="false">B36+Assumptions!$B$5-Assumptions!$B$4</f>
        <v>109566.970755771</v>
      </c>
    </row>
    <row r="38" customFormat="false" ht="15" hidden="false" customHeight="false" outlineLevel="0" collapsed="false">
      <c r="A38" s="0" t="s">
        <v>136</v>
      </c>
      <c r="B38" s="0" t="n">
        <f aca="false">B37/Assumptions!$B$3*Assumptions!$B$10</f>
        <v>4.67726174315706</v>
      </c>
    </row>
    <row r="39" customFormat="false" ht="15" hidden="false" customHeight="false" outlineLevel="0" collapsed="false">
      <c r="A39" s="0" t="s">
        <v>137</v>
      </c>
      <c r="B39" s="4" t="n">
        <f aca="false">B38/Assumptions!$B$2-1</f>
        <v>0.940772507534047</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4.67726174315706</v>
      </c>
    </row>
    <row r="45" customFormat="false" ht="15" hidden="false" customHeight="false" outlineLevel="0" collapsed="false">
      <c r="A45" s="0" t="s">
        <v>80</v>
      </c>
      <c r="B45" s="4" t="n">
        <f aca="false">Assumptions!$B$6</f>
        <v>15</v>
      </c>
    </row>
    <row r="46" customFormat="false" ht="15" hidden="false" customHeight="false" outlineLevel="0" collapsed="false">
      <c r="A46" s="0" t="s">
        <v>141</v>
      </c>
      <c r="B46" s="0" t="n">
        <f aca="false">MAX(0,MIN(IF(B45&gt;B28,B31*(1+B28/100)/((B45-B28)/100),B31*B29),B31*B29))</f>
        <v>109430.181136043</v>
      </c>
    </row>
    <row r="47" customFormat="false" ht="15" hidden="false" customHeight="false" outlineLevel="0" collapsed="false">
      <c r="A47" s="0" t="s">
        <v>142</v>
      </c>
      <c r="B47" s="0" t="n">
        <f aca="false">(SUMPRODUCT(C19:L19/(1+B45/100)^C4:L4)+B46/(1+B45/100)^L4+Assumptions!$B$5-Assumptions!$B$4)/Assumptions!$B$3*Assumptions!$B$10</f>
        <v>2.99341637080161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1.94575641265964</v>
      </c>
      <c r="C4" s="0" t="n">
        <f aca="false">B4/Assumptions!$B$2-1</f>
        <v>-0.192632193917162</v>
      </c>
      <c r="D4" s="4" t="n">
        <f aca="false">Assumptions!$B$24</f>
        <v>0.4</v>
      </c>
      <c r="E4" s="4" t="n">
        <f aca="false">DCF_Bear!$B$43</f>
        <v>1.94575641265964</v>
      </c>
      <c r="F4" s="4" t="n">
        <f aca="false">DCF_Bear!$B$47</f>
        <v>1.1147188078016</v>
      </c>
    </row>
    <row r="5" customFormat="false" ht="15" hidden="false" customHeight="false" outlineLevel="0" collapsed="false">
      <c r="A5" s="0" t="s">
        <v>151</v>
      </c>
      <c r="B5" s="4" t="n">
        <f aca="false">DCF_Base!$B$38</f>
        <v>4.08030176445026</v>
      </c>
      <c r="C5" s="0" t="n">
        <f aca="false">B5/Assumptions!$B$2-1</f>
        <v>0.693071271556125</v>
      </c>
      <c r="D5" s="4" t="n">
        <f aca="false">Assumptions!$B$38</f>
        <v>0.45</v>
      </c>
      <c r="E5" s="4" t="n">
        <f aca="false">DCF_Base!$B$43</f>
        <v>4.08030176445026</v>
      </c>
      <c r="F5" s="4" t="n">
        <f aca="false">DCF_Base!$B$47</f>
        <v>2.67381629301796</v>
      </c>
    </row>
    <row r="6" customFormat="false" ht="15" hidden="false" customHeight="false" outlineLevel="0" collapsed="false">
      <c r="A6" s="0" t="s">
        <v>152</v>
      </c>
      <c r="B6" s="4" t="n">
        <f aca="false">DCF_Bull!$B$38</f>
        <v>4.67726174315706</v>
      </c>
      <c r="C6" s="0" t="n">
        <f aca="false">B6/Assumptions!$B$2-1</f>
        <v>0.940772507534047</v>
      </c>
      <c r="D6" s="4" t="n">
        <f aca="false">Assumptions!$B$52</f>
        <v>0.15</v>
      </c>
      <c r="E6" s="4" t="n">
        <f aca="false">DCF_Bull!$B$43</f>
        <v>4.67726174315706</v>
      </c>
      <c r="F6" s="4" t="n">
        <f aca="false">DCF_Bull!$B$47</f>
        <v>2.99341637080161</v>
      </c>
    </row>
    <row r="8" customFormat="false" ht="15" hidden="false" customHeight="false" outlineLevel="0" collapsed="false">
      <c r="A8" s="0" t="s">
        <v>153</v>
      </c>
      <c r="B8" s="0" t="n">
        <f aca="false">SUMPRODUCT(B4:B6,D4:D6)</f>
        <v>3.31602762054003</v>
      </c>
    </row>
    <row r="9" customFormat="false" ht="15" hidden="false" customHeight="false" outlineLevel="0" collapsed="false">
      <c r="A9" s="0" t="s">
        <v>154</v>
      </c>
      <c r="B9" s="0" t="n">
        <f aca="false">SUMPRODUCT(E4:E6,D4:D6)</f>
        <v>3.31602762054003</v>
      </c>
    </row>
    <row r="10" customFormat="false" ht="15" hidden="false" customHeight="false" outlineLevel="0" collapsed="false">
      <c r="A10" s="0" t="s">
        <v>155</v>
      </c>
      <c r="B10" s="0" t="n">
        <f aca="false">1-Assumptions!$B$2/B8</f>
        <v>0.273226801528415</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2.09811731059896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5.45184284262138</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4.67307777813443</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4.08030176445026</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3.61460488598094</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2.67381629301796</v>
      </c>
      <c r="C19" s="3" t="n">
        <v>15</v>
      </c>
    </row>
    <row r="21" customFormat="false" ht="15" hidden="false" customHeight="false" outlineLevel="0" collapsed="false">
      <c r="A21" s="2" t="s">
        <v>165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4.99562866641134</v>
      </c>
      <c r="C23" s="0" t="n">
        <f aca="false">(SUMPRODUCT(DCF_Base!$C$19:$L$19/(1+$A$23/100)^DCF_Base!$C$4:$L$4)+MAX(0,MIN(IF($A$23&gt;$C$22,DCF_Base!$L$19*(1+$C$22/100)/(($A$23-$C$22)/100),DCF_Base!$L$19*DCF_Base!$B$29),DCF_Base!$L$19*DCF_Base!$B$29))/(1+$A$23/100)^DCF_Base!$L$4+Assumptions!$B$5-Assumptions!$B$4)/Assumptions!$B$3*Assumptions!$B$10</f>
        <v>5.20744239108029</v>
      </c>
      <c r="D23" s="0" t="n">
        <f aca="false">(SUMPRODUCT(DCF_Base!$C$19:$L$19/(1+$A$23/100)^DCF_Base!$C$4:$L$4)+MAX(0,MIN(IF($A$23&gt;$D$22,DCF_Base!$L$19*(1+$D$22/100)/(($A$23-$D$22)/100),DCF_Base!$L$19*DCF_Base!$B$29),DCF_Base!$L$19*DCF_Base!$B$29))/(1+$A$23/100)^DCF_Base!$L$4+Assumptions!$B$5-Assumptions!$B$4)/Assumptions!$B$3*Assumptions!$B$10</f>
        <v>5.45184284262138</v>
      </c>
      <c r="E23" s="0" t="n">
        <f aca="false">(SUMPRODUCT(DCF_Base!$C$19:$L$19/(1+$A$23/100)^DCF_Base!$C$4:$L$4)+MAX(0,MIN(IF($A$23&gt;$E$22,DCF_Base!$L$19*(1+$E$22/100)/(($A$23-$E$22)/100),DCF_Base!$L$19*DCF_Base!$B$29),DCF_Base!$L$19*DCF_Base!$B$29))/(1+$A$23/100)^DCF_Base!$L$4+Assumptions!$B$5-Assumptions!$B$4)/Assumptions!$B$3*Assumptions!$B$10</f>
        <v>5.73697670275266</v>
      </c>
      <c r="F23" s="0" t="n">
        <f aca="false">(SUMPRODUCT(DCF_Base!$C$19:$L$19/(1+$A$23/100)^DCF_Base!$C$4:$L$4)+MAX(0,MIN(IF($A$23&gt;$F$22,DCF_Base!$L$19*(1+$F$22/100)/(($A$23-$F$22)/100),DCF_Base!$L$19*DCF_Base!$B$29),DCF_Base!$L$19*DCF_Base!$B$29))/(1+$A$23/100)^DCF_Base!$L$4+Assumptions!$B$5-Assumptions!$B$4)/Assumptions!$B$3*Assumptions!$B$10</f>
        <v>5.90701065604196</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4.35173575605149</v>
      </c>
      <c r="C24" s="0" t="n">
        <f aca="false">(SUMPRODUCT(DCF_Base!$C$19:$L$19/(1+$A$24/100)^DCF_Base!$C$4:$L$4)+MAX(0,MIN(IF($A$24&gt;$C$22,DCF_Base!$L$19*(1+$C$22/100)/(($A$24-$C$22)/100),DCF_Base!$L$19*DCF_Base!$B$29),DCF_Base!$L$19*DCF_Base!$B$29))/(1+$A$24/100)^DCF_Base!$L$4+Assumptions!$B$5-Assumptions!$B$4)/Assumptions!$B$3*Assumptions!$B$10</f>
        <v>4.50236482890287</v>
      </c>
      <c r="D24" s="0" t="n">
        <f aca="false">(SUMPRODUCT(DCF_Base!$C$19:$L$19/(1+$A$24/100)^DCF_Base!$C$4:$L$4)+MAX(0,MIN(IF($A$24&gt;$D$22,DCF_Base!$L$19*(1+$D$22/100)/(($A$24-$D$22)/100),DCF_Base!$L$19*DCF_Base!$B$29),DCF_Base!$L$19*DCF_Base!$B$29))/(1+$A$24/100)^DCF_Base!$L$4+Assumptions!$B$5-Assumptions!$B$4)/Assumptions!$B$3*Assumptions!$B$10</f>
        <v>4.67307777813443</v>
      </c>
      <c r="E24" s="0" t="n">
        <f aca="false">(SUMPRODUCT(DCF_Base!$C$19:$L$19/(1+$A$24/100)^DCF_Base!$C$4:$L$4)+MAX(0,MIN(IF($A$24&gt;$E$22,DCF_Base!$L$19*(1+$E$22/100)/(($A$24-$E$22)/100),DCF_Base!$L$19*DCF_Base!$B$29),DCF_Base!$L$19*DCF_Base!$B$29))/(1+$A$24/100)^DCF_Base!$L$4+Assumptions!$B$5-Assumptions!$B$4)/Assumptions!$B$3*Assumptions!$B$10</f>
        <v>4.86817829154194</v>
      </c>
      <c r="F24" s="0" t="n">
        <f aca="false">(SUMPRODUCT(DCF_Base!$C$19:$L$19/(1+$A$24/100)^DCF_Base!$C$4:$L$4)+MAX(0,MIN(IF($A$24&gt;$F$22,DCF_Base!$L$19*(1+$F$22/100)/(($A$24-$F$22)/100),DCF_Base!$L$19*DCF_Base!$B$29),DCF_Base!$L$19*DCF_Base!$B$29))/(1+$A$24/100)^DCF_Base!$L$4+Assumptions!$B$5-Assumptions!$B$4)/Assumptions!$B$3*Assumptions!$B$10</f>
        <v>5.09329426855059</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3.846454368744</v>
      </c>
      <c r="C25" s="0" t="n">
        <f aca="false">(SUMPRODUCT(DCF_Base!$C$19:$L$19/(1+$A$25/100)^DCF_Base!$C$4:$L$4)+MAX(0,MIN(IF($A$25&gt;$C$22,DCF_Base!$L$19*(1+$C$22/100)/(($A$25-$C$22)/100),DCF_Base!$L$19*DCF_Base!$B$29),DCF_Base!$L$19*DCF_Base!$B$29))/(1+$A$25/100)^DCF_Base!$L$4+Assumptions!$B$5-Assumptions!$B$4)/Assumptions!$B$3*Assumptions!$B$10</f>
        <v>3.95688230560529</v>
      </c>
      <c r="D25" s="0" t="n">
        <f aca="false">(SUMPRODUCT(DCF_Base!$C$19:$L$19/(1+$A$25/100)^DCF_Base!$C$4:$L$4)+MAX(0,MIN(IF($A$25&gt;$D$22,DCF_Base!$L$19*(1+$D$22/100)/(($A$25-$D$22)/100),DCF_Base!$L$19*DCF_Base!$B$29),DCF_Base!$L$19*DCF_Base!$B$29))/(1+$A$25/100)^DCF_Base!$L$4+Assumptions!$B$5-Assumptions!$B$4)/Assumptions!$B$3*Assumptions!$B$10</f>
        <v>4.08030176445026</v>
      </c>
      <c r="E25" s="0" t="n">
        <f aca="false">(SUMPRODUCT(DCF_Base!$C$19:$L$19/(1+$A$25/100)^DCF_Base!$C$4:$L$4)+MAX(0,MIN(IF($A$25&gt;$E$22,DCF_Base!$L$19*(1+$E$22/100)/(($A$25-$E$22)/100),DCF_Base!$L$19*DCF_Base!$B$29),DCF_Base!$L$19*DCF_Base!$B$29))/(1+$A$25/100)^DCF_Base!$L$4+Assumptions!$B$5-Assumptions!$B$4)/Assumptions!$B$3*Assumptions!$B$10</f>
        <v>4.21914865565085</v>
      </c>
      <c r="F25" s="0" t="n">
        <f aca="false">(SUMPRODUCT(DCF_Base!$C$19:$L$19/(1+$A$25/100)^DCF_Base!$C$4:$L$4)+MAX(0,MIN(IF($A$25&gt;$F$22,DCF_Base!$L$19*(1+$F$22/100)/(($A$25-$F$22)/100),DCF_Base!$L$19*DCF_Base!$B$29),DCF_Base!$L$19*DCF_Base!$B$29))/(1+$A$25/100)^DCF_Base!$L$4+Assumptions!$B$5-Assumptions!$B$4)/Assumptions!$B$3*Assumptions!$B$10</f>
        <v>4.37650846567819</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3.43997974515954</v>
      </c>
      <c r="C26" s="0" t="n">
        <f aca="false">(SUMPRODUCT(DCF_Base!$C$19:$L$19/(1+$A$26/100)^DCF_Base!$C$4:$L$4)+MAX(0,MIN(IF($A$26&gt;$C$22,DCF_Base!$L$19*(1+$C$22/100)/(($A$26-$C$22)/100),DCF_Base!$L$19*DCF_Base!$B$29),DCF_Base!$L$19*DCF_Base!$B$29))/(1+$A$26/100)^DCF_Base!$L$4+Assumptions!$B$5-Assumptions!$B$4)/Assumptions!$B$3*Assumptions!$B$10</f>
        <v>3.5229266870497</v>
      </c>
      <c r="D26" s="0" t="n">
        <f aca="false">(SUMPRODUCT(DCF_Base!$C$19:$L$19/(1+$A$26/100)^DCF_Base!$C$4:$L$4)+MAX(0,MIN(IF($A$26&gt;$D$22,DCF_Base!$L$19*(1+$D$22/100)/(($A$26-$D$22)/100),DCF_Base!$L$19*DCF_Base!$B$29),DCF_Base!$L$19*DCF_Base!$B$29))/(1+$A$26/100)^DCF_Base!$L$4+Assumptions!$B$5-Assumptions!$B$4)/Assumptions!$B$3*Assumptions!$B$10</f>
        <v>3.61460488598094</v>
      </c>
      <c r="E26" s="0" t="n">
        <f aca="false">(SUMPRODUCT(DCF_Base!$C$19:$L$19/(1+$A$26/100)^DCF_Base!$C$4:$L$4)+MAX(0,MIN(IF($A$26&gt;$E$22,DCF_Base!$L$19*(1+$E$22/100)/(($A$26-$E$22)/100),DCF_Base!$L$19*DCF_Base!$B$29),DCF_Base!$L$19*DCF_Base!$B$29))/(1+$A$26/100)^DCF_Base!$L$4+Assumptions!$B$5-Assumptions!$B$4)/Assumptions!$B$3*Assumptions!$B$10</f>
        <v>3.71646955146009</v>
      </c>
      <c r="F26" s="0" t="n">
        <f aca="false">(SUMPRODUCT(DCF_Base!$C$19:$L$19/(1+$A$26/100)^DCF_Base!$C$4:$L$4)+MAX(0,MIN(IF($A$26&gt;$F$22,DCF_Base!$L$19*(1+$F$22/100)/(($A$26-$F$22)/100),DCF_Base!$L$19*DCF_Base!$B$29),DCF_Base!$L$19*DCF_Base!$B$29))/(1+$A$26/100)^DCF_Base!$L$4+Assumptions!$B$5-Assumptions!$B$4)/Assumptions!$B$3*Assumptions!$B$10</f>
        <v>3.8303182952309</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3.10636758384742</v>
      </c>
      <c r="C27" s="0" t="n">
        <f aca="false">(SUMPRODUCT(DCF_Base!$C$19:$L$19/(1+$A$27/100)^DCF_Base!$C$4:$L$4)+MAX(0,MIN(IF($A$27&gt;$C$22,DCF_Base!$L$19*(1+$C$22/100)/(($A$27-$C$22)/100),DCF_Base!$L$19*DCF_Base!$B$29),DCF_Base!$L$19*DCF_Base!$B$29))/(1+$A$27/100)^DCF_Base!$L$4+Assumptions!$B$5-Assumptions!$B$4)/Assumptions!$B$3*Assumptions!$B$10</f>
        <v>3.16992340953006</v>
      </c>
      <c r="D27" s="0" t="n">
        <f aca="false">(SUMPRODUCT(DCF_Base!$C$19:$L$19/(1+$A$27/100)^DCF_Base!$C$4:$L$4)+MAX(0,MIN(IF($A$27&gt;$D$22,DCF_Base!$L$19*(1+$D$22/100)/(($A$27-$D$22)/100),DCF_Base!$L$19*DCF_Base!$B$29),DCF_Base!$L$19*DCF_Base!$B$29))/(1+$A$27/100)^DCF_Base!$L$4+Assumptions!$B$5-Assumptions!$B$4)/Assumptions!$B$3*Assumptions!$B$10</f>
        <v>3.23953217099199</v>
      </c>
      <c r="E27" s="0" t="n">
        <f aca="false">(SUMPRODUCT(DCF_Base!$C$19:$L$19/(1+$A$27/100)^DCF_Base!$C$4:$L$4)+MAX(0,MIN(IF($A$27&gt;$E$22,DCF_Base!$L$19*(1+$E$22/100)/(($A$27-$E$22)/100),DCF_Base!$L$19*DCF_Base!$B$29),DCF_Base!$L$19*DCF_Base!$B$29))/(1+$A$27/100)^DCF_Base!$L$4+Assumptions!$B$5-Assumptions!$B$4)/Assumptions!$B$3*Assumptions!$B$10</f>
        <v>3.31610180860012</v>
      </c>
      <c r="F27" s="0" t="n">
        <f aca="false">(SUMPRODUCT(DCF_Base!$C$19:$L$19/(1+$A$27/100)^DCF_Base!$C$4:$L$4)+MAX(0,MIN(IF($A$27&gt;$F$22,DCF_Base!$L$19*(1+$F$22/100)/(($A$27-$F$22)/100),DCF_Base!$L$19*DCF_Base!$B$29),DCF_Base!$L$19*DCF_Base!$B$29))/(1+$A$27/100)^DCF_Base!$L$4+Assumptions!$B$5-Assumptions!$B$4)/Assumptions!$B$3*Assumptions!$B$10</f>
        <v>3.40073140806173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2026-10-17T01:32:47Z</dcterms:created>
  <dc:creator>openpyxl</dc:creator>
  <dc:description/>
  <dc:language>en-NZ</dc:language>
  <cp:lastModifiedBy/>
  <dcterms:modified xsi:type="dcterms:W3CDTF">2026-10-17T01:32:47Z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