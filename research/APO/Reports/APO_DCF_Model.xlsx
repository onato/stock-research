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 Case" sheetId="2" state="visible" r:id="rId2"/>
    <sheet xmlns:r="http://schemas.openxmlformats.org/officeDocument/2006/relationships" name="Bull Case" sheetId="3" state="visible" r:id="rId3"/>
    <sheet xmlns:r="http://schemas.openxmlformats.org/officeDocument/2006/relationships" name="Bear Case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Required Return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4" fontId="4" fillId="0" borderId="0" pivotButton="0" quotePrefix="0" xfId="0"/>
    <xf numFmtId="4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Apollo Global Management (APO) — DCF / Valuation Model</t>
        </is>
      </c>
    </row>
    <row r="2">
      <c r="A2" s="2" t="inlineStr">
        <is>
          <t>Model: BVPS compounding on adjusted (non-GAAP) ROE x exit P/B, cost-of-equity discounting</t>
        </is>
      </c>
    </row>
    <row r="3">
      <c r="A3" t="inlineStr">
        <is>
          <t>Valuation date: 2026-09-25    Price as of: 2026-09-24T20:00:03Z regular close</t>
        </is>
      </c>
    </row>
    <row r="5">
      <c r="A5" s="3" t="inlineStr">
        <is>
          <t>Current price ($)</t>
        </is>
      </c>
      <c r="B5" t="n">
        <v>120.69</v>
      </c>
    </row>
    <row r="6">
      <c r="A6" s="3" t="inlineStr">
        <is>
          <t>FY2025 shareholders' equity ($mm)</t>
        </is>
      </c>
      <c r="B6" t="n">
        <v>23341</v>
      </c>
    </row>
    <row r="7">
      <c r="A7" s="3" t="inlineStr">
        <is>
          <t>FY2025 diluted shares (mm)</t>
        </is>
      </c>
      <c r="B7" t="n">
        <v>593.657223</v>
      </c>
    </row>
    <row r="8">
      <c r="A8" s="3" t="inlineStr">
        <is>
          <t>FY2025 BVPS ($)</t>
        </is>
      </c>
      <c r="B8" s="4">
        <f>B6*1000000/(B7*1000000)</f>
        <v/>
      </c>
    </row>
    <row r="9">
      <c r="A9" s="3" t="inlineStr">
        <is>
          <t>FY2025 adjusted EPS ($)</t>
        </is>
      </c>
      <c r="B9" t="n">
        <v>8.380000000000001</v>
      </c>
    </row>
    <row r="10">
      <c r="A10" s="3" t="inlineStr">
        <is>
          <t>FY2025 adjusted ROE on BVPS</t>
        </is>
      </c>
      <c r="B10" s="5">
        <f>B9/B8</f>
        <v/>
      </c>
    </row>
    <row r="11">
      <c r="A11" s="3" t="inlineStr">
        <is>
          <t>FY2025 DPS ($)</t>
        </is>
      </c>
      <c r="B11" t="n">
        <v>1.99</v>
      </c>
    </row>
    <row r="12">
      <c r="A12" s="3" t="inlineStr">
        <is>
          <t>FY2025 payout ratio (on adj EPS)</t>
        </is>
      </c>
      <c r="B12" s="5">
        <f>B11/B9</f>
        <v/>
      </c>
    </row>
    <row r="13">
      <c r="A13" s="3" t="inlineStr">
        <is>
          <t>Current P/B (price / FY25 BVPS)</t>
        </is>
      </c>
      <c r="B13" s="4">
        <f>B5/B8</f>
        <v/>
      </c>
    </row>
    <row r="15">
      <c r="A15" s="6" t="inlineStr">
        <is>
          <t>Scenario results</t>
        </is>
      </c>
    </row>
    <row r="16">
      <c r="A16" s="7" t="inlineStr">
        <is>
          <t>Scenario</t>
        </is>
      </c>
      <c r="B16" s="7" t="inlineStr">
        <is>
          <t>Cost of equity</t>
        </is>
      </c>
      <c r="C16" s="7" t="inlineStr">
        <is>
          <t>Exit P/B</t>
        </is>
      </c>
      <c r="D16" s="7" t="inlineStr">
        <is>
          <t>Terminal BVPS</t>
        </is>
      </c>
      <c r="E16" s="7" t="inlineStr">
        <is>
          <t>Terminal value/sh</t>
        </is>
      </c>
      <c r="F16" s="7" t="inlineStr">
        <is>
          <t>PV terminal</t>
        </is>
      </c>
      <c r="G16" s="7" t="inlineStr">
        <is>
          <t>PV dividends</t>
        </is>
      </c>
      <c r="H16" s="7" t="inlineStr">
        <is>
          <t>Intrinsic value</t>
        </is>
      </c>
      <c r="I16" s="7" t="inlineStr">
        <is>
          <t>Upside vs price</t>
        </is>
      </c>
      <c r="J16" s="7" t="inlineStr">
        <is>
          <t>Entry price @15% hurdle</t>
        </is>
      </c>
    </row>
    <row r="17">
      <c r="A17" t="inlineStr">
        <is>
          <t>Base</t>
        </is>
      </c>
      <c r="B17" s="5" t="n">
        <v>0.115</v>
      </c>
      <c r="C17" s="4" t="n">
        <v>2</v>
      </c>
      <c r="D17" s="4" t="n">
        <v>122.19</v>
      </c>
      <c r="E17" s="4" t="n">
        <v>244.38</v>
      </c>
      <c r="F17" s="4" t="n">
        <v>82.28</v>
      </c>
      <c r="G17" s="4" t="n">
        <v>17.58</v>
      </c>
      <c r="H17" s="4" t="n">
        <v>99.86</v>
      </c>
      <c r="I17" s="5" t="n">
        <v>-0.173</v>
      </c>
      <c r="J17" s="4" t="n">
        <v>75.27</v>
      </c>
    </row>
    <row r="18">
      <c r="A18" t="inlineStr">
        <is>
          <t>Bull</t>
        </is>
      </c>
      <c r="B18" s="5" t="n">
        <v>0.105</v>
      </c>
      <c r="C18" s="4" t="n">
        <v>2.6</v>
      </c>
      <c r="D18" s="4" t="n">
        <v>152.05</v>
      </c>
      <c r="E18" s="4" t="n">
        <v>395.33</v>
      </c>
      <c r="F18" s="4" t="n">
        <v>145.66</v>
      </c>
      <c r="G18" s="4" t="n">
        <v>22.16</v>
      </c>
      <c r="H18" s="4" t="n">
        <v>167.82</v>
      </c>
      <c r="I18" s="5" t="n">
        <v>0.391</v>
      </c>
      <c r="J18" s="4" t="n">
        <v>115.3</v>
      </c>
    </row>
    <row r="19">
      <c r="A19" t="inlineStr">
        <is>
          <t>Bear</t>
        </is>
      </c>
      <c r="B19" s="5" t="n">
        <v>0.135</v>
      </c>
      <c r="C19" s="4" t="n">
        <v>1.1</v>
      </c>
      <c r="D19" s="4" t="n">
        <v>78.16</v>
      </c>
      <c r="E19" s="4" t="n">
        <v>85.98</v>
      </c>
      <c r="F19" s="4" t="n">
        <v>24.23</v>
      </c>
      <c r="G19" s="4" t="n">
        <v>8.859999999999999</v>
      </c>
      <c r="H19" s="4" t="n">
        <v>33.09</v>
      </c>
      <c r="I19" s="5" t="n">
        <v>-0.726</v>
      </c>
      <c r="J19" s="4" t="n">
        <v>29.57</v>
      </c>
    </row>
    <row r="21">
      <c r="A21" s="3" t="inlineStr">
        <is>
          <t>Probability-weighted intrinsic value</t>
        </is>
      </c>
      <c r="B21" s="4">
        <f>0.5*H17+0.25*H18+0.25*H19</f>
        <v/>
      </c>
    </row>
    <row r="22">
      <c r="A22" t="inlineStr">
        <is>
          <t>Weighted upside vs current price</t>
        </is>
      </c>
      <c r="B22" s="5">
        <f>B21/B5-1</f>
        <v/>
      </c>
    </row>
    <row r="23">
      <c r="A23" t="inlineStr">
        <is>
          <t>Weighted entry price @15% hurdle</t>
        </is>
      </c>
      <c r="B23" s="4">
        <f>0.5*J17+0.25*J18+0.25*J19</f>
        <v/>
      </c>
    </row>
    <row r="25">
      <c r="A25" t="inlineStr">
        <is>
          <t>Weights: Bear 25% / Base 50% / Bull 25%</t>
        </is>
      </c>
    </row>
    <row r="26">
      <c r="A26" t="inlineStr">
        <is>
          <t>Probability-weighted IV (JSON): 100.16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3" customWidth="1" min="9" max="9"/>
  </cols>
  <sheetData>
    <row r="1">
      <c r="A1" s="8" t="inlineStr">
        <is>
          <t>APO — Base Case</t>
        </is>
      </c>
    </row>
    <row r="2" ht="45" customHeight="1">
      <c r="A2" s="9" t="inlineStr">
        <is>
          <t>ROE fades from FY2025's adjusted ~21% toward a mid-cycle 13% as SRE growth (guided ~10%/yr) decelerates faster than FRE (guided &gt;20%/yr off a smaller base) and spread compression at Athene continues at a manageable pace. Payout ratio rises from 24% to 38% as growth matures (consistent with management's stated ~10%/yr dividend-growth policy plus moderating buybacks). Exit P/B of 2.0x is below today's ~3.1x on FY2025 book -- moderate mean reversion as growth matures, while still reflecting the durable permanent-capital moat versus a plain-vanilla insurer (~1.0-1.3x) or plain-vanilla PE manager (no book-value multiple, FRE-multiple driven).</t>
        </is>
      </c>
    </row>
    <row r="4">
      <c r="A4" t="inlineStr">
        <is>
          <t>Cost of equity</t>
        </is>
      </c>
      <c r="B4" s="5" t="n">
        <v>0.115</v>
      </c>
    </row>
    <row r="5">
      <c r="A5" t="inlineStr">
        <is>
          <t>Exit price-to-book (terminal)</t>
        </is>
      </c>
      <c r="B5" s="4" t="n">
        <v>2</v>
      </c>
    </row>
    <row r="6">
      <c r="A6" t="inlineStr">
        <is>
          <t>Starting BVPS (FY2025)</t>
        </is>
      </c>
      <c r="B6" s="4" t="n">
        <v>39.3173</v>
      </c>
    </row>
    <row r="7">
      <c r="A7" t="inlineStr">
        <is>
          <t>Starting shares (mm, FY2025 diluted)</t>
        </is>
      </c>
      <c r="B7" t="n">
        <v>593.657223</v>
      </c>
    </row>
    <row r="9">
      <c r="A9" s="7" t="inlineStr">
        <is>
          <t>Year</t>
        </is>
      </c>
      <c r="B9" s="7" t="inlineStr">
        <is>
          <t>ROE %</t>
        </is>
      </c>
      <c r="C9" s="7" t="inlineStr">
        <is>
          <t>Payout %</t>
        </is>
      </c>
      <c r="D9" s="7" t="inlineStr">
        <is>
          <t>Adj. EPS ($)</t>
        </is>
      </c>
      <c r="E9" s="7" t="inlineStr">
        <is>
          <t>DPS ($)</t>
        </is>
      </c>
      <c r="F9" s="7" t="inlineStr">
        <is>
          <t>Shares (mm)</t>
        </is>
      </c>
      <c r="G9" s="7" t="inlineStr">
        <is>
          <t>BVPS ($)</t>
        </is>
      </c>
      <c r="H9" s="7" t="inlineStr">
        <is>
          <t>PV factor</t>
        </is>
      </c>
      <c r="I9" s="7" t="inlineStr">
        <is>
          <t>PV of DPS ($)</t>
        </is>
      </c>
    </row>
    <row r="10">
      <c r="A10" t="inlineStr">
        <is>
          <t>Y1</t>
        </is>
      </c>
      <c r="B10" s="5" t="n">
        <v>0.205</v>
      </c>
      <c r="C10" s="5" t="n">
        <v>0.24</v>
      </c>
      <c r="D10" s="4">
        <f>$B$6*B10</f>
        <v/>
      </c>
      <c r="E10" s="4">
        <f>D10*C10</f>
        <v/>
      </c>
      <c r="F10" s="4" t="n">
        <v>583.92</v>
      </c>
      <c r="G10" s="4">
        <f>($B$6*$B$7+(D10-E10)*$B$7)/F10</f>
        <v/>
      </c>
      <c r="H10" s="10">
        <f>1/(1+$B$4)^1</f>
        <v/>
      </c>
      <c r="I10" s="4">
        <f>E10*H10</f>
        <v/>
      </c>
    </row>
    <row r="11">
      <c r="A11" t="inlineStr">
        <is>
          <t>Y2</t>
        </is>
      </c>
      <c r="B11" s="5" t="n">
        <v>0.19</v>
      </c>
      <c r="C11" s="5" t="n">
        <v>0.25</v>
      </c>
      <c r="D11" s="4">
        <f>G10*B11</f>
        <v/>
      </c>
      <c r="E11" s="4">
        <f>D11*C11</f>
        <v/>
      </c>
      <c r="F11" s="4" t="n">
        <v>575.05</v>
      </c>
      <c r="G11" s="4">
        <f>(G10*F10+(D11-E11)*F10)/F11</f>
        <v/>
      </c>
      <c r="H11" s="10">
        <f>1/(1+$B$4)^2</f>
        <v/>
      </c>
      <c r="I11" s="4">
        <f>E11*H11</f>
        <v/>
      </c>
    </row>
    <row r="12">
      <c r="A12" t="inlineStr">
        <is>
          <t>Y3</t>
        </is>
      </c>
      <c r="B12" s="5" t="n">
        <v>0.175</v>
      </c>
      <c r="C12" s="5" t="n">
        <v>0.26</v>
      </c>
      <c r="D12" s="4">
        <f>G11*B12</f>
        <v/>
      </c>
      <c r="E12" s="4">
        <f>D12*C12</f>
        <v/>
      </c>
      <c r="F12" s="4" t="n">
        <v>568</v>
      </c>
      <c r="G12" s="4">
        <f>(G11*F11+(D12-E12)*F11)/F12</f>
        <v/>
      </c>
      <c r="H12" s="10">
        <f>1/(1+$B$4)^3</f>
        <v/>
      </c>
      <c r="I12" s="4">
        <f>E12*H12</f>
        <v/>
      </c>
    </row>
    <row r="13">
      <c r="A13" t="inlineStr">
        <is>
          <t>Y4</t>
        </is>
      </c>
      <c r="B13" s="5" t="n">
        <v>0.16</v>
      </c>
      <c r="C13" s="5" t="n">
        <v>0.27</v>
      </c>
      <c r="D13" s="4">
        <f>G12*B13</f>
        <v/>
      </c>
      <c r="E13" s="4">
        <f>D13*C13</f>
        <v/>
      </c>
      <c r="F13" s="4" t="n">
        <v>561.64</v>
      </c>
      <c r="G13" s="4">
        <f>(G12*F12+(D13-E13)*F12)/F13</f>
        <v/>
      </c>
      <c r="H13" s="10">
        <f>1/(1+$B$4)^4</f>
        <v/>
      </c>
      <c r="I13" s="4">
        <f>E13*H13</f>
        <v/>
      </c>
    </row>
    <row r="14">
      <c r="A14" t="inlineStr">
        <is>
          <t>Y5</t>
        </is>
      </c>
      <c r="B14" s="5" t="n">
        <v>0.15</v>
      </c>
      <c r="C14" s="5" t="n">
        <v>0.28</v>
      </c>
      <c r="D14" s="4">
        <f>G13*B14</f>
        <v/>
      </c>
      <c r="E14" s="4">
        <f>D14*C14</f>
        <v/>
      </c>
      <c r="F14" s="4" t="n">
        <v>556.58</v>
      </c>
      <c r="G14" s="4">
        <f>(G13*F13+(D14-E14)*F13)/F14</f>
        <v/>
      </c>
      <c r="H14" s="10">
        <f>1/(1+$B$4)^5</f>
        <v/>
      </c>
      <c r="I14" s="4">
        <f>E14*H14</f>
        <v/>
      </c>
    </row>
    <row r="15">
      <c r="A15" t="inlineStr">
        <is>
          <t>Y6</t>
        </is>
      </c>
      <c r="B15" s="5" t="n">
        <v>0.142</v>
      </c>
      <c r="C15" s="5" t="n">
        <v>0.3</v>
      </c>
      <c r="D15" s="4">
        <f>G14*B15</f>
        <v/>
      </c>
      <c r="E15" s="4">
        <f>D15*C15</f>
        <v/>
      </c>
      <c r="F15" s="4" t="n">
        <v>551.84</v>
      </c>
      <c r="G15" s="4">
        <f>(G14*F14+(D15-E15)*F14)/F15</f>
        <v/>
      </c>
      <c r="H15" s="10">
        <f>1/(1+$B$4)^6</f>
        <v/>
      </c>
      <c r="I15" s="4">
        <f>E15*H15</f>
        <v/>
      </c>
    </row>
    <row r="16">
      <c r="A16" t="inlineStr">
        <is>
          <t>Y7</t>
        </is>
      </c>
      <c r="B16" s="5" t="n">
        <v>0.136</v>
      </c>
      <c r="C16" s="5" t="n">
        <v>0.32</v>
      </c>
      <c r="D16" s="4">
        <f>G15*B16</f>
        <v/>
      </c>
      <c r="E16" s="4">
        <f>D16*C16</f>
        <v/>
      </c>
      <c r="F16" s="4" t="n">
        <v>548.09</v>
      </c>
      <c r="G16" s="4">
        <f>(G15*F15+(D16-E16)*F15)/F16</f>
        <v/>
      </c>
      <c r="H16" s="10">
        <f>1/(1+$B$4)^7</f>
        <v/>
      </c>
      <c r="I16" s="4">
        <f>E16*H16</f>
        <v/>
      </c>
    </row>
    <row r="17">
      <c r="A17" t="inlineStr">
        <is>
          <t>Y8</t>
        </is>
      </c>
      <c r="B17" s="5" t="n">
        <v>0.132</v>
      </c>
      <c r="C17" s="5" t="n">
        <v>0.34</v>
      </c>
      <c r="D17" s="4">
        <f>G16*B17</f>
        <v/>
      </c>
      <c r="E17" s="4">
        <f>D17*C17</f>
        <v/>
      </c>
      <c r="F17" s="4" t="n">
        <v>544.47</v>
      </c>
      <c r="G17" s="4">
        <f>(G16*F16+(D17-E17)*F16)/F17</f>
        <v/>
      </c>
      <c r="H17" s="10">
        <f>1/(1+$B$4)^8</f>
        <v/>
      </c>
      <c r="I17" s="4">
        <f>E17*H17</f>
        <v/>
      </c>
    </row>
    <row r="18">
      <c r="A18" t="inlineStr">
        <is>
          <t>Y9</t>
        </is>
      </c>
      <c r="B18" s="5" t="n">
        <v>0.13</v>
      </c>
      <c r="C18" s="5" t="n">
        <v>0.36</v>
      </c>
      <c r="D18" s="4">
        <f>G17*B18</f>
        <v/>
      </c>
      <c r="E18" s="4">
        <f>D18*C18</f>
        <v/>
      </c>
      <c r="F18" s="4" t="n">
        <v>541.64</v>
      </c>
      <c r="G18" s="4">
        <f>(G17*F17+(D18-E18)*F17)/F18</f>
        <v/>
      </c>
      <c r="H18" s="10">
        <f>1/(1+$B$4)^9</f>
        <v/>
      </c>
      <c r="I18" s="4">
        <f>E18*H18</f>
        <v/>
      </c>
    </row>
    <row r="19">
      <c r="A19" t="inlineStr">
        <is>
          <t>Y10</t>
        </is>
      </c>
      <c r="B19" s="5" t="n">
        <v>0.13</v>
      </c>
      <c r="C19" s="5" t="n">
        <v>0.38</v>
      </c>
      <c r="D19" s="4">
        <f>G18*B19</f>
        <v/>
      </c>
      <c r="E19" s="4">
        <f>D19*C19</f>
        <v/>
      </c>
      <c r="F19" s="4" t="n">
        <v>538.83</v>
      </c>
      <c r="G19" s="4">
        <f>(G18*F18+(D19-E19)*F18)/F19</f>
        <v/>
      </c>
      <c r="H19" s="10">
        <f>1/(1+$B$4)^10</f>
        <v/>
      </c>
      <c r="I19" s="4">
        <f>E19*H19</f>
        <v/>
      </c>
    </row>
    <row r="21">
      <c r="A21" s="3" t="inlineStr">
        <is>
          <t>Terminal BVPS</t>
        </is>
      </c>
      <c r="B21" s="4">
        <f>G19</f>
        <v/>
      </c>
    </row>
    <row r="22">
      <c r="A22" s="3" t="inlineStr">
        <is>
          <t>Terminal value per share (BVPS x exit P/B)</t>
        </is>
      </c>
      <c r="B22" s="4">
        <f>B21*B5</f>
        <v/>
      </c>
    </row>
    <row r="23">
      <c r="A23" s="3" t="inlineStr">
        <is>
          <t>PV of terminal value</t>
        </is>
      </c>
      <c r="B23" s="4">
        <f>B22*H19</f>
        <v/>
      </c>
    </row>
    <row r="24">
      <c r="A24" s="3" t="inlineStr">
        <is>
          <t>PV of interim dividends (sum)</t>
        </is>
      </c>
      <c r="B24" s="4">
        <f>SUM(I10:I19)</f>
        <v/>
      </c>
    </row>
    <row r="25">
      <c r="A25" s="6" t="inlineStr">
        <is>
          <t>Intrinsic value per share</t>
        </is>
      </c>
      <c r="B25" s="11">
        <f>B23+B24</f>
        <v/>
      </c>
    </row>
    <row r="27">
      <c r="A27" t="inlineStr">
        <is>
          <t>Entry price @ 15% hurdle rate (JSON, informational)</t>
        </is>
      </c>
      <c r="B27" s="4" t="n">
        <v>75.27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3" customWidth="1" min="9" max="9"/>
  </cols>
  <sheetData>
    <row r="1">
      <c r="A1" s="8" t="inlineStr">
        <is>
          <t>APO — Bull Case</t>
        </is>
      </c>
    </row>
    <row r="2" ht="45" customHeight="1">
      <c r="A2" s="9" t="inlineStr">
        <is>
          <t>Wealth channel, third-party insurance mandates and 401(k)/DC expansion scale faster than guided; credit cycle stays benign (2025's Tricolor/First Brands failures prove idiosyncratic, not systemic); ROE holds near 16% in the terminal years versus a 13% base. Exit P/B re-rates toward today's actual multiple (2.6x) as execution de-risks the growth story.</t>
        </is>
      </c>
    </row>
    <row r="4">
      <c r="A4" t="inlineStr">
        <is>
          <t>Cost of equity</t>
        </is>
      </c>
      <c r="B4" s="5" t="n">
        <v>0.105</v>
      </c>
    </row>
    <row r="5">
      <c r="A5" t="inlineStr">
        <is>
          <t>Exit price-to-book (terminal)</t>
        </is>
      </c>
      <c r="B5" s="4" t="n">
        <v>2.6</v>
      </c>
    </row>
    <row r="6">
      <c r="A6" t="inlineStr">
        <is>
          <t>Starting BVPS (FY2025)</t>
        </is>
      </c>
      <c r="B6" s="4" t="n">
        <v>39.3173</v>
      </c>
    </row>
    <row r="7">
      <c r="A7" t="inlineStr">
        <is>
          <t>Starting shares (mm, FY2025 diluted)</t>
        </is>
      </c>
      <c r="B7" t="n">
        <v>593.657223</v>
      </c>
    </row>
    <row r="9">
      <c r="A9" s="7" t="inlineStr">
        <is>
          <t>Year</t>
        </is>
      </c>
      <c r="B9" s="7" t="inlineStr">
        <is>
          <t>ROE %</t>
        </is>
      </c>
      <c r="C9" s="7" t="inlineStr">
        <is>
          <t>Payout %</t>
        </is>
      </c>
      <c r="D9" s="7" t="inlineStr">
        <is>
          <t>Adj. EPS ($)</t>
        </is>
      </c>
      <c r="E9" s="7" t="inlineStr">
        <is>
          <t>DPS ($)</t>
        </is>
      </c>
      <c r="F9" s="7" t="inlineStr">
        <is>
          <t>Shares (mm)</t>
        </is>
      </c>
      <c r="G9" s="7" t="inlineStr">
        <is>
          <t>BVPS ($)</t>
        </is>
      </c>
      <c r="H9" s="7" t="inlineStr">
        <is>
          <t>PV factor</t>
        </is>
      </c>
      <c r="I9" s="7" t="inlineStr">
        <is>
          <t>PV of DPS ($)</t>
        </is>
      </c>
    </row>
    <row r="10">
      <c r="A10" t="inlineStr">
        <is>
          <t>Y1</t>
        </is>
      </c>
      <c r="B10" s="5" t="n">
        <v>0.22</v>
      </c>
      <c r="C10" s="5" t="n">
        <v>0.22</v>
      </c>
      <c r="D10" s="4">
        <f>$B$6*B10</f>
        <v/>
      </c>
      <c r="E10" s="4">
        <f>D10*C10</f>
        <v/>
      </c>
      <c r="F10" s="4" t="n">
        <v>580.6</v>
      </c>
      <c r="G10" s="4">
        <f>($B$6*$B$7+(D10-E10)*$B$7)/F10</f>
        <v/>
      </c>
      <c r="H10" s="10">
        <f>1/(1+$B$4)^1</f>
        <v/>
      </c>
      <c r="I10" s="4">
        <f>E10*H10</f>
        <v/>
      </c>
    </row>
    <row r="11">
      <c r="A11" t="inlineStr">
        <is>
          <t>Y2</t>
        </is>
      </c>
      <c r="B11" s="5" t="n">
        <v>0.21</v>
      </c>
      <c r="C11" s="5" t="n">
        <v>0.23</v>
      </c>
      <c r="D11" s="4">
        <f>G10*B11</f>
        <v/>
      </c>
      <c r="E11" s="4">
        <f>D11*C11</f>
        <v/>
      </c>
      <c r="F11" s="4" t="n">
        <v>568.4</v>
      </c>
      <c r="G11" s="4">
        <f>(G10*F10+(D11-E11)*F10)/F11</f>
        <v/>
      </c>
      <c r="H11" s="10">
        <f>1/(1+$B$4)^2</f>
        <v/>
      </c>
      <c r="I11" s="4">
        <f>E11*H11</f>
        <v/>
      </c>
    </row>
    <row r="12">
      <c r="A12" t="inlineStr">
        <is>
          <t>Y3</t>
        </is>
      </c>
      <c r="B12" s="5" t="n">
        <v>0.195</v>
      </c>
      <c r="C12" s="5" t="n">
        <v>0.24</v>
      </c>
      <c r="D12" s="4">
        <f>G11*B12</f>
        <v/>
      </c>
      <c r="E12" s="4">
        <f>D12*C12</f>
        <v/>
      </c>
      <c r="F12" s="4" t="n">
        <v>558.4299999999999</v>
      </c>
      <c r="G12" s="4">
        <f>(G11*F11+(D12-E12)*F11)/F12</f>
        <v/>
      </c>
      <c r="H12" s="10">
        <f>1/(1+$B$4)^3</f>
        <v/>
      </c>
      <c r="I12" s="4">
        <f>E12*H12</f>
        <v/>
      </c>
    </row>
    <row r="13">
      <c r="A13" t="inlineStr">
        <is>
          <t>Y4</t>
        </is>
      </c>
      <c r="B13" s="5" t="n">
        <v>0.18</v>
      </c>
      <c r="C13" s="5" t="n">
        <v>0.25</v>
      </c>
      <c r="D13" s="4">
        <f>G12*B13</f>
        <v/>
      </c>
      <c r="E13" s="4">
        <f>D13*C13</f>
        <v/>
      </c>
      <c r="F13" s="4" t="n">
        <v>549.38</v>
      </c>
      <c r="G13" s="4">
        <f>(G12*F12+(D13-E13)*F12)/F13</f>
        <v/>
      </c>
      <c r="H13" s="10">
        <f>1/(1+$B$4)^4</f>
        <v/>
      </c>
      <c r="I13" s="4">
        <f>E13*H13</f>
        <v/>
      </c>
    </row>
    <row r="14">
      <c r="A14" t="inlineStr">
        <is>
          <t>Y5</t>
        </is>
      </c>
      <c r="B14" s="5" t="n">
        <v>0.17</v>
      </c>
      <c r="C14" s="5" t="n">
        <v>0.26</v>
      </c>
      <c r="D14" s="4">
        <f>G13*B14</f>
        <v/>
      </c>
      <c r="E14" s="4">
        <f>D14*C14</f>
        <v/>
      </c>
      <c r="F14" s="4" t="n">
        <v>541.91</v>
      </c>
      <c r="G14" s="4">
        <f>(G13*F13+(D14-E14)*F13)/F14</f>
        <v/>
      </c>
      <c r="H14" s="10">
        <f>1/(1+$B$4)^5</f>
        <v/>
      </c>
      <c r="I14" s="4">
        <f>E14*H14</f>
        <v/>
      </c>
    </row>
    <row r="15">
      <c r="A15" t="inlineStr">
        <is>
          <t>Y6</t>
        </is>
      </c>
      <c r="B15" s="5" t="n">
        <v>0.165</v>
      </c>
      <c r="C15" s="5" t="n">
        <v>0.28</v>
      </c>
      <c r="D15" s="4">
        <f>G14*B15</f>
        <v/>
      </c>
      <c r="E15" s="4">
        <f>D15*C15</f>
        <v/>
      </c>
      <c r="F15" s="4" t="n">
        <v>535.65</v>
      </c>
      <c r="G15" s="4">
        <f>(G14*F14+(D15-E15)*F14)/F15</f>
        <v/>
      </c>
      <c r="H15" s="10">
        <f>1/(1+$B$4)^6</f>
        <v/>
      </c>
      <c r="I15" s="4">
        <f>E15*H15</f>
        <v/>
      </c>
    </row>
    <row r="16">
      <c r="A16" t="inlineStr">
        <is>
          <t>Y7</t>
        </is>
      </c>
      <c r="B16" s="5" t="n">
        <v>0.16</v>
      </c>
      <c r="C16" s="5" t="n">
        <v>0.3</v>
      </c>
      <c r="D16" s="4">
        <f>G15*B16</f>
        <v/>
      </c>
      <c r="E16" s="4">
        <f>D16*C16</f>
        <v/>
      </c>
      <c r="F16" s="4" t="n">
        <v>529.65</v>
      </c>
      <c r="G16" s="4">
        <f>(G15*F15+(D16-E16)*F15)/F16</f>
        <v/>
      </c>
      <c r="H16" s="10">
        <f>1/(1+$B$4)^7</f>
        <v/>
      </c>
      <c r="I16" s="4">
        <f>E16*H16</f>
        <v/>
      </c>
    </row>
    <row r="17">
      <c r="A17" t="inlineStr">
        <is>
          <t>Y8</t>
        </is>
      </c>
      <c r="B17" s="5" t="n">
        <v>0.16</v>
      </c>
      <c r="C17" s="5" t="n">
        <v>0.32</v>
      </c>
      <c r="D17" s="4">
        <f>G16*B17</f>
        <v/>
      </c>
      <c r="E17" s="4">
        <f>D17*C17</f>
        <v/>
      </c>
      <c r="F17" s="4" t="n">
        <v>524.5700000000001</v>
      </c>
      <c r="G17" s="4">
        <f>(G16*F16+(D17-E17)*F16)/F17</f>
        <v/>
      </c>
      <c r="H17" s="10">
        <f>1/(1+$B$4)^8</f>
        <v/>
      </c>
      <c r="I17" s="4">
        <f>E17*H17</f>
        <v/>
      </c>
    </row>
    <row r="18">
      <c r="A18" t="inlineStr">
        <is>
          <t>Y9</t>
        </is>
      </c>
      <c r="B18" s="5" t="n">
        <v>0.16</v>
      </c>
      <c r="C18" s="5" t="n">
        <v>0.34</v>
      </c>
      <c r="D18" s="4">
        <f>G17*B18</f>
        <v/>
      </c>
      <c r="E18" s="4">
        <f>D18*C18</f>
        <v/>
      </c>
      <c r="F18" s="4" t="n">
        <v>519.53</v>
      </c>
      <c r="G18" s="4">
        <f>(G17*F17+(D18-E18)*F17)/F18</f>
        <v/>
      </c>
      <c r="H18" s="10">
        <f>1/(1+$B$4)^9</f>
        <v/>
      </c>
      <c r="I18" s="4">
        <f>E18*H18</f>
        <v/>
      </c>
    </row>
    <row r="19">
      <c r="A19" t="inlineStr">
        <is>
          <t>Y10</t>
        </is>
      </c>
      <c r="B19" s="5" t="n">
        <v>0.16</v>
      </c>
      <c r="C19" s="5" t="n">
        <v>0.36</v>
      </c>
      <c r="D19" s="4">
        <f>G18*B19</f>
        <v/>
      </c>
      <c r="E19" s="4">
        <f>D19*C19</f>
        <v/>
      </c>
      <c r="F19" s="4" t="n">
        <v>515.38</v>
      </c>
      <c r="G19" s="4">
        <f>(G18*F18+(D19-E19)*F18)/F19</f>
        <v/>
      </c>
      <c r="H19" s="10">
        <f>1/(1+$B$4)^10</f>
        <v/>
      </c>
      <c r="I19" s="4">
        <f>E19*H19</f>
        <v/>
      </c>
    </row>
    <row r="21">
      <c r="A21" s="3" t="inlineStr">
        <is>
          <t>Terminal BVPS</t>
        </is>
      </c>
      <c r="B21" s="4">
        <f>G19</f>
        <v/>
      </c>
    </row>
    <row r="22">
      <c r="A22" s="3" t="inlineStr">
        <is>
          <t>Terminal value per share (BVPS x exit P/B)</t>
        </is>
      </c>
      <c r="B22" s="4">
        <f>B21*B5</f>
        <v/>
      </c>
    </row>
    <row r="23">
      <c r="A23" s="3" t="inlineStr">
        <is>
          <t>PV of terminal value</t>
        </is>
      </c>
      <c r="B23" s="4">
        <f>B22*H19</f>
        <v/>
      </c>
    </row>
    <row r="24">
      <c r="A24" s="3" t="inlineStr">
        <is>
          <t>PV of interim dividends (sum)</t>
        </is>
      </c>
      <c r="B24" s="4">
        <f>SUM(I10:I19)</f>
        <v/>
      </c>
    </row>
    <row r="25">
      <c r="A25" s="6" t="inlineStr">
        <is>
          <t>Intrinsic value per share</t>
        </is>
      </c>
      <c r="B25" s="11">
        <f>B23+B24</f>
        <v/>
      </c>
    </row>
    <row r="27">
      <c r="A27" t="inlineStr">
        <is>
          <t>Entry price @ 15% hurdle rate (JSON, informational)</t>
        </is>
      </c>
      <c r="B27" s="4" t="n">
        <v>115.3</v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3" customWidth="1" min="9" max="9"/>
  </cols>
  <sheetData>
    <row r="1">
      <c r="A1" s="8" t="inlineStr">
        <is>
          <t>APO — Bear Case</t>
        </is>
      </c>
    </row>
    <row r="2" ht="45" customHeight="1">
      <c r="A2" s="9" t="inlineStr">
        <is>
          <t>Private-credit cycle turns: Athene net spread compression continues (funding costs +31% in Q4-2025 already flagged), realized losses emerge in asset-backed/direct-lending book, and the Apollo Debt Solutions BDC redemption gate (March 2026, ~11.2% of NAV requested vs ~5% honored) proves to be the leading edge of a broader retail-channel liquidity crisis that stalls the wealth-distribution growth strategy. ROE compresses to 8.5% at the trough before a slow recovery to 10%. Buybacks pause during the stress years. Exit P/B falls to 1.1x, a crisis-level multiple for an insurance-linked alternative manager.</t>
        </is>
      </c>
    </row>
    <row r="4">
      <c r="A4" t="inlineStr">
        <is>
          <t>Cost of equity</t>
        </is>
      </c>
      <c r="B4" s="5" t="n">
        <v>0.135</v>
      </c>
    </row>
    <row r="5">
      <c r="A5" t="inlineStr">
        <is>
          <t>Exit price-to-book (terminal)</t>
        </is>
      </c>
      <c r="B5" s="4" t="n">
        <v>1.1</v>
      </c>
    </row>
    <row r="6">
      <c r="A6" t="inlineStr">
        <is>
          <t>Starting BVPS (FY2025)</t>
        </is>
      </c>
      <c r="B6" s="4" t="n">
        <v>39.3173</v>
      </c>
    </row>
    <row r="7">
      <c r="A7" t="inlineStr">
        <is>
          <t>Starting shares (mm, FY2025 diluted)</t>
        </is>
      </c>
      <c r="B7" t="n">
        <v>593.657223</v>
      </c>
    </row>
    <row r="9">
      <c r="A9" s="7" t="inlineStr">
        <is>
          <t>Year</t>
        </is>
      </c>
      <c r="B9" s="7" t="inlineStr">
        <is>
          <t>ROE %</t>
        </is>
      </c>
      <c r="C9" s="7" t="inlineStr">
        <is>
          <t>Payout %</t>
        </is>
      </c>
      <c r="D9" s="7" t="inlineStr">
        <is>
          <t>Adj. EPS ($)</t>
        </is>
      </c>
      <c r="E9" s="7" t="inlineStr">
        <is>
          <t>DPS ($)</t>
        </is>
      </c>
      <c r="F9" s="7" t="inlineStr">
        <is>
          <t>Shares (mm)</t>
        </is>
      </c>
      <c r="G9" s="7" t="inlineStr">
        <is>
          <t>BVPS ($)</t>
        </is>
      </c>
      <c r="H9" s="7" t="inlineStr">
        <is>
          <t>PV factor</t>
        </is>
      </c>
      <c r="I9" s="7" t="inlineStr">
        <is>
          <t>PV of DPS ($)</t>
        </is>
      </c>
    </row>
    <row r="10">
      <c r="A10" t="inlineStr">
        <is>
          <t>Y1</t>
        </is>
      </c>
      <c r="B10" s="5" t="n">
        <v>0.145</v>
      </c>
      <c r="C10" s="5" t="n">
        <v>0.26</v>
      </c>
      <c r="D10" s="4">
        <f>$B$6*B10</f>
        <v/>
      </c>
      <c r="E10" s="4">
        <f>D10*C10</f>
        <v/>
      </c>
      <c r="F10" s="4" t="n">
        <v>591.0700000000001</v>
      </c>
      <c r="G10" s="4">
        <f>($B$6*$B$7+(D10-E10)*$B$7)/F10</f>
        <v/>
      </c>
      <c r="H10" s="10">
        <f>1/(1+$B$4)^1</f>
        <v/>
      </c>
      <c r="I10" s="4">
        <f>E10*H10</f>
        <v/>
      </c>
    </row>
    <row r="11">
      <c r="A11" t="inlineStr">
        <is>
          <t>Y2</t>
        </is>
      </c>
      <c r="B11" s="5" t="n">
        <v>0.115</v>
      </c>
      <c r="C11" s="5" t="n">
        <v>0.3</v>
      </c>
      <c r="D11" s="4">
        <f>G10*B11</f>
        <v/>
      </c>
      <c r="E11" s="4">
        <f>D11*C11</f>
        <v/>
      </c>
      <c r="F11" s="4" t="n">
        <v>590.4</v>
      </c>
      <c r="G11" s="4">
        <f>(G10*F10+(D11-E11)*F10)/F11</f>
        <v/>
      </c>
      <c r="H11" s="10">
        <f>1/(1+$B$4)^2</f>
        <v/>
      </c>
      <c r="I11" s="4">
        <f>E11*H11</f>
        <v/>
      </c>
    </row>
    <row r="12">
      <c r="A12" t="inlineStr">
        <is>
          <t>Y3</t>
        </is>
      </c>
      <c r="B12" s="5" t="n">
        <v>0.095</v>
      </c>
      <c r="C12" s="5" t="n">
        <v>0.34</v>
      </c>
      <c r="D12" s="4">
        <f>G11*B12</f>
        <v/>
      </c>
      <c r="E12" s="4">
        <f>D12*C12</f>
        <v/>
      </c>
      <c r="F12" s="4" t="n">
        <v>590.4</v>
      </c>
      <c r="G12" s="4">
        <f>(G11*F11+(D12-E12)*F11)/F12</f>
        <v/>
      </c>
      <c r="H12" s="10">
        <f>1/(1+$B$4)^3</f>
        <v/>
      </c>
      <c r="I12" s="4">
        <f>E12*H12</f>
        <v/>
      </c>
    </row>
    <row r="13">
      <c r="A13" t="inlineStr">
        <is>
          <t>Y4</t>
        </is>
      </c>
      <c r="B13" s="5" t="n">
        <v>0.08500000000000001</v>
      </c>
      <c r="C13" s="5" t="n">
        <v>0.36</v>
      </c>
      <c r="D13" s="4">
        <f>G12*B13</f>
        <v/>
      </c>
      <c r="E13" s="4">
        <f>D13*C13</f>
        <v/>
      </c>
      <c r="F13" s="4" t="n">
        <v>590.4</v>
      </c>
      <c r="G13" s="4">
        <f>(G12*F12+(D13-E13)*F12)/F13</f>
        <v/>
      </c>
      <c r="H13" s="10">
        <f>1/(1+$B$4)^4</f>
        <v/>
      </c>
      <c r="I13" s="4">
        <f>E13*H13</f>
        <v/>
      </c>
    </row>
    <row r="14">
      <c r="A14" t="inlineStr">
        <is>
          <t>Y5</t>
        </is>
      </c>
      <c r="B14" s="5" t="n">
        <v>0.08500000000000001</v>
      </c>
      <c r="C14" s="5" t="n">
        <v>0.34</v>
      </c>
      <c r="D14" s="4">
        <f>G13*B14</f>
        <v/>
      </c>
      <c r="E14" s="4">
        <f>D14*C14</f>
        <v/>
      </c>
      <c r="F14" s="4" t="n">
        <v>589.89</v>
      </c>
      <c r="G14" s="4">
        <f>(G13*F13+(D14-E14)*F13)/F14</f>
        <v/>
      </c>
      <c r="H14" s="10">
        <f>1/(1+$B$4)^5</f>
        <v/>
      </c>
      <c r="I14" s="4">
        <f>E14*H14</f>
        <v/>
      </c>
    </row>
    <row r="15">
      <c r="A15" t="inlineStr">
        <is>
          <t>Y6</t>
        </is>
      </c>
      <c r="B15" s="5" t="n">
        <v>0.09</v>
      </c>
      <c r="C15" s="5" t="n">
        <v>0.32</v>
      </c>
      <c r="D15" s="4">
        <f>G14*B15</f>
        <v/>
      </c>
      <c r="E15" s="4">
        <f>D15*C15</f>
        <v/>
      </c>
      <c r="F15" s="4" t="n">
        <v>588.83</v>
      </c>
      <c r="G15" s="4">
        <f>(G14*F14+(D15-E15)*F14)/F15</f>
        <v/>
      </c>
      <c r="H15" s="10">
        <f>1/(1+$B$4)^6</f>
        <v/>
      </c>
      <c r="I15" s="4">
        <f>E15*H15</f>
        <v/>
      </c>
    </row>
    <row r="16">
      <c r="A16" t="inlineStr">
        <is>
          <t>Y7</t>
        </is>
      </c>
      <c r="B16" s="5" t="n">
        <v>0.095</v>
      </c>
      <c r="C16" s="5" t="n">
        <v>0.32</v>
      </c>
      <c r="D16" s="4">
        <f>G15*B16</f>
        <v/>
      </c>
      <c r="E16" s="4">
        <f>D16*C16</f>
        <v/>
      </c>
      <c r="F16" s="4" t="n">
        <v>587.15</v>
      </c>
      <c r="G16" s="4">
        <f>(G15*F15+(D16-E16)*F15)/F16</f>
        <v/>
      </c>
      <c r="H16" s="10">
        <f>1/(1+$B$4)^7</f>
        <v/>
      </c>
      <c r="I16" s="4">
        <f>E16*H16</f>
        <v/>
      </c>
    </row>
    <row r="17">
      <c r="A17" t="inlineStr">
        <is>
          <t>Y8</t>
        </is>
      </c>
      <c r="B17" s="5" t="n">
        <v>0.1</v>
      </c>
      <c r="C17" s="5" t="n">
        <v>0.32</v>
      </c>
      <c r="D17" s="4">
        <f>G16*B17</f>
        <v/>
      </c>
      <c r="E17" s="4">
        <f>D17*C17</f>
        <v/>
      </c>
      <c r="F17" s="4" t="n">
        <v>585.39</v>
      </c>
      <c r="G17" s="4">
        <f>(G16*F16+(D17-E17)*F16)/F17</f>
        <v/>
      </c>
      <c r="H17" s="10">
        <f>1/(1+$B$4)^8</f>
        <v/>
      </c>
      <c r="I17" s="4">
        <f>E17*H17</f>
        <v/>
      </c>
    </row>
    <row r="18">
      <c r="A18" t="inlineStr">
        <is>
          <t>Y9</t>
        </is>
      </c>
      <c r="B18" s="5" t="n">
        <v>0.1</v>
      </c>
      <c r="C18" s="5" t="n">
        <v>0.32</v>
      </c>
      <c r="D18" s="4">
        <f>G17*B18</f>
        <v/>
      </c>
      <c r="E18" s="4">
        <f>D18*C18</f>
        <v/>
      </c>
      <c r="F18" s="4" t="n">
        <v>583.64</v>
      </c>
      <c r="G18" s="4">
        <f>(G17*F17+(D18-E18)*F17)/F18</f>
        <v/>
      </c>
      <c r="H18" s="10">
        <f>1/(1+$B$4)^9</f>
        <v/>
      </c>
      <c r="I18" s="4">
        <f>E18*H18</f>
        <v/>
      </c>
    </row>
    <row r="19">
      <c r="A19" t="inlineStr">
        <is>
          <t>Y10</t>
        </is>
      </c>
      <c r="B19" s="5" t="n">
        <v>0.1</v>
      </c>
      <c r="C19" s="5" t="n">
        <v>0.32</v>
      </c>
      <c r="D19" s="4">
        <f>G18*B19</f>
        <v/>
      </c>
      <c r="E19" s="4">
        <f>D19*C19</f>
        <v/>
      </c>
      <c r="F19" s="4" t="n">
        <v>581.88</v>
      </c>
      <c r="G19" s="4">
        <f>(G18*F18+(D19-E19)*F18)/F19</f>
        <v/>
      </c>
      <c r="H19" s="10">
        <f>1/(1+$B$4)^10</f>
        <v/>
      </c>
      <c r="I19" s="4">
        <f>E19*H19</f>
        <v/>
      </c>
    </row>
    <row r="21">
      <c r="A21" s="3" t="inlineStr">
        <is>
          <t>Terminal BVPS</t>
        </is>
      </c>
      <c r="B21" s="4">
        <f>G19</f>
        <v/>
      </c>
    </row>
    <row r="22">
      <c r="A22" s="3" t="inlineStr">
        <is>
          <t>Terminal value per share (BVPS x exit P/B)</t>
        </is>
      </c>
      <c r="B22" s="4">
        <f>B21*B5</f>
        <v/>
      </c>
    </row>
    <row r="23">
      <c r="A23" s="3" t="inlineStr">
        <is>
          <t>PV of terminal value</t>
        </is>
      </c>
      <c r="B23" s="4">
        <f>B22*H19</f>
        <v/>
      </c>
    </row>
    <row r="24">
      <c r="A24" s="3" t="inlineStr">
        <is>
          <t>PV of interim dividends (sum)</t>
        </is>
      </c>
      <c r="B24" s="4">
        <f>SUM(I10:I19)</f>
        <v/>
      </c>
    </row>
    <row r="25">
      <c r="A25" s="6" t="inlineStr">
        <is>
          <t>Intrinsic value per share</t>
        </is>
      </c>
      <c r="B25" s="11">
        <f>B23+B24</f>
        <v/>
      </c>
    </row>
    <row r="27">
      <c r="A27" t="inlineStr">
        <is>
          <t>Entry price @ 15% hurdle rate (JSON, informational)</t>
        </is>
      </c>
      <c r="B27" s="4" t="n">
        <v>29.57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Sensitivity: Base-case intrinsic value ($/share)</t>
        </is>
      </c>
    </row>
    <row r="2">
      <c r="A2" t="inlineStr">
        <is>
          <t>Rows: cost of equity | Columns: exit price-to-book</t>
        </is>
      </c>
    </row>
    <row r="4">
      <c r="A4" s="7" t="inlineStr">
        <is>
          <t>CoE \ Exit P/B</t>
        </is>
      </c>
      <c r="B4" s="12" t="n">
        <v>1.5</v>
      </c>
      <c r="C4" s="12" t="n">
        <v>1.75</v>
      </c>
      <c r="D4" s="12" t="n">
        <v>2</v>
      </c>
      <c r="E4" s="12" t="n">
        <v>2.25</v>
      </c>
      <c r="F4" s="12" t="n">
        <v>2.5</v>
      </c>
    </row>
    <row r="5">
      <c r="A5" s="5" t="n">
        <v>0.095</v>
      </c>
      <c r="B5" s="4" t="n">
        <v>93.42</v>
      </c>
      <c r="C5" s="4" t="n">
        <v>105.75</v>
      </c>
      <c r="D5" s="4" t="n">
        <v>118.07</v>
      </c>
      <c r="E5" s="4" t="n">
        <v>130.4</v>
      </c>
      <c r="F5" s="4" t="n">
        <v>142.73</v>
      </c>
    </row>
    <row r="6">
      <c r="A6" s="5" t="n">
        <v>0.105</v>
      </c>
      <c r="B6" s="4" t="n">
        <v>86.02</v>
      </c>
      <c r="C6" s="4" t="n">
        <v>97.27</v>
      </c>
      <c r="D6" s="4" t="n">
        <v>108.53</v>
      </c>
      <c r="E6" s="4" t="n">
        <v>119.78</v>
      </c>
      <c r="F6" s="4" t="n">
        <v>131.04</v>
      </c>
    </row>
    <row r="7">
      <c r="A7" s="5" t="n">
        <v>0.115</v>
      </c>
      <c r="B7" s="4" t="n">
        <v>79.29000000000001</v>
      </c>
      <c r="C7" s="4" t="n">
        <v>89.58</v>
      </c>
      <c r="D7" s="4" t="n">
        <v>99.86</v>
      </c>
      <c r="E7" s="4" t="n">
        <v>110.15</v>
      </c>
      <c r="F7" s="4" t="n">
        <v>120.43</v>
      </c>
    </row>
    <row r="8">
      <c r="A8" s="5" t="n">
        <v>0.125</v>
      </c>
      <c r="B8" s="4" t="n">
        <v>73.18000000000001</v>
      </c>
      <c r="C8" s="4" t="n">
        <v>82.58</v>
      </c>
      <c r="D8" s="4" t="n">
        <v>91.98999999999999</v>
      </c>
      <c r="E8" s="4" t="n">
        <v>101.4</v>
      </c>
      <c r="F8" s="4" t="n">
        <v>110.8</v>
      </c>
    </row>
    <row r="9">
      <c r="A9" s="5" t="n">
        <v>0.135</v>
      </c>
      <c r="B9" s="4" t="n">
        <v>67.61</v>
      </c>
      <c r="C9" s="4" t="n">
        <v>76.22</v>
      </c>
      <c r="D9" s="4" t="n">
        <v>84.83</v>
      </c>
      <c r="E9" s="4" t="n">
        <v>93.44</v>
      </c>
      <c r="F9" s="4" t="n">
        <v>102.05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6" t="inlineStr">
        <is>
          <t>Base-case intrinsic value at alternative required returns (exit P/B held at 2.0x)</t>
        </is>
      </c>
    </row>
    <row r="3">
      <c r="A3" s="7" t="inlineStr">
        <is>
          <t>Required return</t>
        </is>
      </c>
      <c r="B3" s="7" t="inlineStr">
        <is>
          <t>Value per share</t>
        </is>
      </c>
    </row>
    <row r="4">
      <c r="A4" s="5" t="n">
        <v>0.09</v>
      </c>
      <c r="B4" s="4" t="n">
        <v>123.21</v>
      </c>
    </row>
    <row r="5">
      <c r="A5" s="5" t="n">
        <v>0.1</v>
      </c>
      <c r="B5" s="4" t="n">
        <v>113.18</v>
      </c>
    </row>
    <row r="6">
      <c r="A6" s="5" t="n">
        <v>0.11</v>
      </c>
      <c r="B6" s="4" t="n">
        <v>104.09</v>
      </c>
    </row>
    <row r="7">
      <c r="A7" s="5" t="n">
        <v>0.115</v>
      </c>
      <c r="B7" s="4" t="n">
        <v>99.86</v>
      </c>
    </row>
    <row r="8">
      <c r="A8" s="5" t="n">
        <v>0.12</v>
      </c>
      <c r="B8" s="4" t="n">
        <v>95.83</v>
      </c>
    </row>
    <row r="9">
      <c r="A9" s="5" t="n">
        <v>0.13</v>
      </c>
      <c r="B9" s="4" t="n">
        <v>88.31999999999999</v>
      </c>
    </row>
    <row r="10">
      <c r="A10" s="5" t="n">
        <v>0.15</v>
      </c>
      <c r="B10" s="4" t="n">
        <v>75.27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Model notes and data limitations</t>
        </is>
      </c>
    </row>
    <row r="3" ht="600" customHeight="1">
      <c r="A3" s="13" t="inlineStr">
        <is>
          <t>MODEL CHOICE: Apollo is a hybrid of (1) a fee-based alternative asset manager (Asset Management segment, ~30% of economics, FRE $2.5B FY2025 +23% YoY) and (2) a large spread-based retirement/annuity balance sheet (Retirement Services/Athene, ~60% of economics, SRE $3.4B FY2025 +9% YoY), plus (3) Principal Investing (~10%). Per dcf-methods/SKILL.md this is a two-row straddle (asset manager -&gt; owner-FCF-style FRE multiple; insurer -&gt; BVPS-compounding/residual-income). A true sum-of-parts was considered but rejected for THIS build: no segment-level FRE/SRE time series exists anywhere in this ticker's data (SEC XBRL does not tag the non-GAAP segment disclosures; no 10-K/earnings-supplement text was extracted for this ticker, only a single qualitative snapshot of FY2025 FRE/SRE dollar figures in APO_Analysis.json). Building separate FRE-multiple and SRE-book-value tracks off one data point per segment would be false precision dressed as sum-of-parts rigor. Instead this is a SINGLE CONSOLIDATED insurer/holdco-style BVPS-compounding x exit-P/B model (per SKILL.md row 'Insurer, holdco, compounder-of-book'), consistent with how FRFHF, IAG.AX and NAB.AX are treated in this folder. CRITICAL ADJUSTMENT: GAAP shareholders' equity and net income are dominated by AOCI mark-to-market noise on Athene's fixed-income portfolio (equity swung 10.2B FY21 -&gt; 22.1B Q1'22 -&gt; 14.4B FY22 trough on the 2022 rate shock -&gt; 39.5B Q1'26 -&gt; 21.0B Q2'26; GAAP BVPS CAGR FY21-FY25 is actually NEGATIVE at -2.3% despite the business growing by every operating measure) -- these marks reverse to par at maturity and are not economic losses. Per SKILL.md's explicit warning ('fair-value movements are not earnings'), the compounding rate is anchored on management's disclosed ADJUSTED (non-GAAP) earnings -- combined FRE+SRE, adjusted net income $5.2B / $8.38 EPS FY2025, +14% YoY -- translated into an implied adjusted ROE on FY2025 book (~21.3%) and faded to a mid-cycle terminal ROE (13% base, 16% bull, 10% bear) over 10 years, rather than compounding the noisy GAAP series directly. FY2025 year-end (10-K) book value used as the base, not the Q1/Q2-2026 quarter-ends, to avoid anchoring on a single AOCI-inflated or -deflated quarter. DATA LIMITATION: only a single-year (FY2025) adjusted-earnings disclosure was available (no historical adjusted EPS/ROE series was extracted), so the ROE fade path is a judgment calibrated to management's FY2026 guidance (FRE &gt;20%, SRE ~10%, ~100bps/yr FRE margin expansion) and long-run mean reversion for insurance-linked alternative managers, not a fitted historical trend. Bear case carries the credit-cycle, Athene spread-compression, and retail-BDC redemption-gate risks flagged high-severity in APO_Analysis.json both through a lower ROE path and a higher discount rate and lower exit multiple -- risk priced once, not twice, in each channel deliberately (ROE fade = earnings-power risk, discount rate = required-return risk, exit multiple = market-sentiment/re-rating risk, which are three distinct risk channels for this business, not double-counting of one).</t>
        </is>
      </c>
    </row>
  </sheetData>
  <mergeCells count="1"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2026-09-25T10:11:12Z</dcterms:created>
  <dcterms:modified xsi:type="dcterms:W3CDTF">2026-09-25T10:11:12Z</dcterms:modified>
</cp:coreProperties>
</file>