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<sst xmlns="http://schemas.openxmlformats.org/spreadsheetml/2006/main" count="356" uniqueCount="164">
  <si>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</si>
  <si>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1478.HK</t>
  </si>
  <si>
    <t xml:space="preserve">Company</t>
  </si>
  <si>
    <t xml:space="preserve">Q Technology (Group) Company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</si>
  <si>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</si>
  <si>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</si>
  <si>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</si>
  <si>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</si>
  <si>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HKEX close (16:08 HKT), 52-week range 4.66-15.80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</si>
  <si>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</si>
  <si>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</si>
  <si>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</si>
  <si>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</si>
  <si>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</si>
  <si>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</si>
  <si>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</si>
  <si>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</si>
  <si>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</si>
  <si>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</si>
  <si>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</si>
  <si>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</si>
  <si>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</si>
  <si>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2026-10-16T12:37:02Z</t>
  </si>
  <si>
    <t xml:space="preserve">Drivers file</t>
  </si>
  <si>
    <t xml:space="preserve">1478.HK_Drivers.json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</si>
  <si>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</si>
  <si>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</si>
  <si>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</si>
  <si>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operating business on a mid-cycle owner-FCF margin, never on FY2025's one-off-inflated profit or its working-capital-flattered FCF, and add the broad net cash and equity-accounted stakes once at book with their income stripped from the flows. The three scenarios carry the cycle, the customer concentration and the memory-chip trough; the discount rate carries only the currency and the asset class. A 12x FCF terminal cap stops Gordon growth from paying a compounder multiple for a 5% EBITDA-margin contract manufacturer.
key_risks_to_valuation: Customer concentration: three customers each &gt;10% of revenue, 57% combined; loss of one is the bear case and the model gives it 30% weight.; Net cash quality: ~RMB3.7bn of the RMB8.2bn cash-like pile is bank wealth-management/structured product and RMB2.1bn is pledged against the RMB6.1bn of short-term borrowings; if the products were illiquid or the carry structure unwound at a loss, up to HK$2.8/share of bridge value would be at risk.; Margin trough deeper or longer than modelled: every 1pp of mature EBITDA margin is worth roughly HK$1.3-1.5/share; management expects the DRAM/NAND squeeze to intensify in H2-2026 and persist into 2027.; FX: RMB flows converted at CNY/HKD 1.1727; the HKD peg to USD means a 5% RMB devaluation moves every per-share figure 5%; refresh_price.py does not refresh fx_rate.; Q Tech India JV: Indian tax dispute (RMB148.9m provisions, new assessment orders Jan 2026) and INR exposure sit in a 48.92% stake carried at RMB380m book.; VAT input-credit (RMB42m/yr, 0.2% margin) sunsets 31 Dec 2027 and government grants (RMB68m) are discretionary; both are inside the modelled margin path.</t>
  </si>
  <si>
    <t xml:space="preserve">Data sources</t>
  </si>
  <si>
    <t xml:space="preserve">price: Yahoo Finance chart API (1478.HK) at inputs.price_as_of; 52-week range 4.66-15.80 HKD. CNY/HKD from Yahoo CNYHKD=X, dated in inputs.fx_note.
financials: 1478.HK_Metrics.csv (FY2017-FY2025 annuals, H1 FY2023-FY2026 interims, RMB m); FY2025 annual report (P&amp;L p.235-236, other income note 6, cash-flow reconciliation note 28(b), EPS note 11, D&amp;A note 7(c)); H1-2026 interim report (balance sheet 30 Jun 2026 p.64-65, cash flow p.68-69, EPS note 8, shares in issue 14 Sep 2026).
qualitative: 1478.HK_Analysis.json (2026-10-17): customer concentration, memory-chip cost shock, FY2026 volume guidance (handset &gt;=5%, non-handset &gt;=50%), 2026-2030 strategic plan, Q Tech India disposal and tax dispute.</t>
  </si>
  <si>
    <t xml:space="preserve">Scenario narrative: bear</t>
  </si>
  <si>
    <t xml:space="preserve">One of the three &gt;10% customers moves volume to Sunny Optical or an in-house supplier, or the China smartphone decline runs into 2028: FY2027 revenue -12% with no rebound, utilisation falls and the EBITDA margin sits at the FY2022-23 trough (3.6-4.0%), settling at 4.3%. The VAT credit lapses, R&amp;D cannot be cut below ~3.5% of revenue, and growth thereafter is 2.5% nominal. The company stays solvent (broad net cash) but the operation earns barely above its cost of capital. This path is above the house zero-floor but the terminal FCF margin is ~1.5%, so terminal value is only ~4x revenue-years of cash.</t>
  </si>
  <si>
    <t xml:space="preserve">Scenario narrative: base</t>
  </si>
  <si>
    <t xml:space="preserve">Smartphone trough through FY2027 as management guides -- DRAM/NAND costs squeeze OEM volumes (China H2-2026 ~-20%) and push the mid/high-end mix down, holding Q Tech's EBITDA margin at 4.5-4.7% on revenue growth of 2-4%. From FY2028 the replacement cycle returns and non-handset (automotive ADAS/LiDAR, AI glasses, drones, handheld imaging, +50%/yr guided) lifts both growth (6-7%) and utilisation, taking the margin back to the 5.5% mid-cycle by FY2031; growth then fades to 3%. Capex runs 2.5-2.8% to fund the non-handset lines; cash tax ramps 15% -&gt; 18% as dividend withholding resumes. The broad net cash (RMB 2.0bn incl. pledged deposits and wealth products) and the JV/associate stakes are added at book. Value is roughly half operations and half balance sheet.</t>
  </si>
  <si>
    <t xml:space="preserve">Scenario narrative: bull</t>
  </si>
  <si>
    <t xml:space="preserve">The memory-chip shortage eases during 2027, Chinese OEMs restock and the 2028-29 upgrade cycle arrives early; periscope/OIS/200MP mix migrates to mid-tier phones, lifting ASP. Non-handset revenue reaches 50% of camera revenue by 2030 with a top-3 automotive position, and the Newmax/poLight integration shaves lens/actuator cost. EBITDA margin climbs to 6.5% (above FY2025's 6.2%, below the FY2021 7.5% peak) on 8-10% growth in FY2028-30. Terminal growth 3.0%, still capped at 12x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</si>
  <si>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</si>
  <si>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</si>
  <si>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</si>
  <si>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</si>
  <si>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</si>
  <si>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</si>
  <si>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</si>
  <si>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</si>
  <si>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</si>
  <si>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</si>
  <si>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</si>
  <si>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</si>
  <si>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</si>
  <si>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</si>
  <si>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</si>
  <si>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</si>
  <si>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</si>
  <si>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</si>
  <si>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</si>
  <si>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</si>
  <si>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</si>
  <si>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</si>
  <si>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</si>
  <si>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</si>
  <si>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</si>
  <si>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</si>
  <si>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</si>
  <si>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</si>
  <si>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</si>
  <si>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</si>
  <si>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</si>
  <si>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</si>
  <si>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</si>
  <si>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</si>
  <si>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</si>
  <si>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</si>
  <si>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</si>
  <si>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</si>
  <si>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</si>
  <si>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</si>
  <si>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</si>
  <si>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</si>
  <si>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</si>
  <si>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</si>
  <si>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</si>
  <si>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</si>
  <si>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</si>
  <si>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</si>
  <si>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</si>
  <si>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</si>
  <si>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</si>
  <si>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</si>
  <si>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</si>
  <si>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</si>
  <si>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</si>
  <si>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</si>
  <si>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</si>
  <si>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</si>
  <si>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</si>
  <si>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</si>
  <si>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</si>
  <si>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</si>
  <si>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</si>
  <si>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</si>
  <si>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</si>
  <si>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</si>
  <si>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</si>
  <si>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</si>
  <si>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</si>
  <si>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</si>
  <si>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</si>
  <si>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</si>
  <si>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</si>
  <si>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1478.HK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</si>
  <si>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</si>
  <si>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</si>
  <si>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</si>
  <si>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</si>
  <si>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</si>
  <si>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</si>
  <si>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</si>
  <si>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</si>
  <si>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</si>
  <si>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</si>
  <si>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</si>
  <si>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</si>
  <si>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</si>
  <si>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</si>
  <si>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</si>
  <si>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</si>
  <si>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</si>
  <si>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</si>
  <si>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</si>
  <si>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</si>
  <si>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</si>
  <si>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</si>
  <si>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</si>
  <si>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</si>
  <si>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</si>
  <si>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</si>
  <si>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</si>
  <si>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</si>
  <si>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</si>
  <si>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</si>
  <si>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1478.HK owner-FCF component DCF: base case (millions, CNY)</t>
  </si>
  <si>
    <t xml:space="preserve">1478.HK owner-FCF component DCF: bull case (millions, CNY)</t>
  </si>
  <si>
    <t xml:space="preserve">1478.HK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</si>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</sst>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4.695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7938.958</v>
      </c>
      <c r="C2" s="0" t="n">
        <v>7056.225</v>
      </c>
      <c r="D2" s="0" t="n">
        <v>882.733</v>
      </c>
      <c r="E2" s="0" t="n">
        <v>11.1</v>
      </c>
      <c r="F2" s="0" t="n">
        <v>543.345</v>
      </c>
      <c r="G2" s="0" t="n">
        <v>6.8</v>
      </c>
      <c r="I2" s="0" t="n">
        <v>436.277</v>
      </c>
      <c r="J2" s="0" t="n">
        <v>5.5</v>
      </c>
      <c r="K2" s="0" t="n">
        <v>0.389</v>
      </c>
      <c r="L2" s="0" t="n">
        <v>2221.513</v>
      </c>
      <c r="M2" s="0" t="n">
        <v>949.246</v>
      </c>
      <c r="N2" s="0" t="n">
        <v>1272.267</v>
      </c>
      <c r="O2" s="0" t="n">
        <v>2145.657</v>
      </c>
      <c r="P2" s="0" t="n">
        <v>6100.25</v>
      </c>
      <c r="Q2" s="0" t="n">
        <v>3954.59</v>
      </c>
      <c r="R2" s="0" t="n">
        <v>1078.119</v>
      </c>
      <c r="S2" s="0" t="n">
        <v>464.982</v>
      </c>
      <c r="T2" s="0" t="n">
        <v>1121.5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8135.161</v>
      </c>
      <c r="C3" s="0" t="n">
        <v>7782.053</v>
      </c>
      <c r="D3" s="0" t="n">
        <v>353.108</v>
      </c>
      <c r="E3" s="0" t="n">
        <v>4.3</v>
      </c>
      <c r="F3" s="0" t="n">
        <v>70.037</v>
      </c>
      <c r="G3" s="0" t="n">
        <v>0.9</v>
      </c>
      <c r="I3" s="0" t="n">
        <v>14.399</v>
      </c>
      <c r="J3" s="0" t="n">
        <v>0.2</v>
      </c>
      <c r="K3" s="0" t="n">
        <v>0.013</v>
      </c>
      <c r="L3" s="0" t="n">
        <v>-172.505</v>
      </c>
      <c r="M3" s="0" t="n">
        <v>521.629</v>
      </c>
      <c r="N3" s="0" t="n">
        <v>-694.134</v>
      </c>
      <c r="O3" s="0" t="n">
        <v>2103.435</v>
      </c>
      <c r="P3" s="0" t="n">
        <v>6439.61</v>
      </c>
      <c r="Q3" s="0" t="n">
        <v>4336.18</v>
      </c>
      <c r="R3" s="0" t="n">
        <v>1178.241</v>
      </c>
      <c r="S3" s="0" t="n">
        <v>99.92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13169.678</v>
      </c>
      <c r="C4" s="0" t="n">
        <v>11989.806</v>
      </c>
      <c r="D4" s="0" t="n">
        <v>1179.872</v>
      </c>
      <c r="E4" s="0" t="n">
        <v>9</v>
      </c>
      <c r="F4" s="0" t="n">
        <v>619.716</v>
      </c>
      <c r="G4" s="0" t="n">
        <v>4.7</v>
      </c>
      <c r="I4" s="0" t="n">
        <v>542.372</v>
      </c>
      <c r="J4" s="0" t="n">
        <v>4.1</v>
      </c>
      <c r="K4" s="0" t="n">
        <v>0.472</v>
      </c>
      <c r="L4" s="0" t="n">
        <v>2399.551</v>
      </c>
      <c r="M4" s="0" t="n">
        <v>1160.281</v>
      </c>
      <c r="N4" s="0" t="n">
        <v>1239.27</v>
      </c>
      <c r="O4" s="0" t="n">
        <v>2866.955</v>
      </c>
      <c r="P4" s="0" t="n">
        <v>10635.201</v>
      </c>
      <c r="Q4" s="0" t="n">
        <v>7768.246</v>
      </c>
      <c r="R4" s="0" t="n">
        <v>1328.785</v>
      </c>
      <c r="S4" s="0" t="n">
        <v>411.517</v>
      </c>
      <c r="T4" s="0" t="n">
        <v>1149.1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17400.369</v>
      </c>
      <c r="C5" s="0" t="n">
        <v>15629.784</v>
      </c>
      <c r="D5" s="0" t="n">
        <v>1770.585</v>
      </c>
      <c r="E5" s="0" t="n">
        <v>10.2</v>
      </c>
      <c r="F5" s="0" t="n">
        <v>1046.482</v>
      </c>
      <c r="G5" s="0" t="n">
        <v>6</v>
      </c>
      <c r="I5" s="0" t="n">
        <v>840.108</v>
      </c>
      <c r="J5" s="0" t="n">
        <v>4.8</v>
      </c>
      <c r="K5" s="0" t="n">
        <v>0.714</v>
      </c>
      <c r="L5" s="0" t="n">
        <v>3603.951</v>
      </c>
      <c r="M5" s="0" t="n">
        <v>540.837</v>
      </c>
      <c r="N5" s="0" t="n">
        <v>3063.114</v>
      </c>
      <c r="O5" s="0" t="n">
        <v>3785.826</v>
      </c>
      <c r="P5" s="0" t="n">
        <v>11402.994</v>
      </c>
      <c r="Q5" s="0" t="n">
        <v>7617.168</v>
      </c>
      <c r="R5" s="0" t="n">
        <v>1263.232</v>
      </c>
      <c r="S5" s="0" t="n">
        <v>1983.516</v>
      </c>
      <c r="T5" s="0" t="n">
        <v>1176.6</v>
      </c>
      <c r="U5" s="0" t="n">
        <v>30.165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18662.626</v>
      </c>
      <c r="C6" s="0" t="n">
        <v>16900.644</v>
      </c>
      <c r="D6" s="0" t="n">
        <v>1761.982</v>
      </c>
      <c r="E6" s="0" t="n">
        <v>9.4</v>
      </c>
      <c r="F6" s="0" t="n">
        <v>1039.029</v>
      </c>
      <c r="G6" s="0" t="n">
        <v>5.6</v>
      </c>
      <c r="I6" s="0" t="n">
        <v>862.976</v>
      </c>
      <c r="J6" s="0" t="n">
        <v>4.6</v>
      </c>
      <c r="K6" s="0" t="n">
        <v>0.728</v>
      </c>
      <c r="L6" s="0" t="n">
        <v>1596.214</v>
      </c>
      <c r="M6" s="0" t="n">
        <v>923.99</v>
      </c>
      <c r="N6" s="0" t="n">
        <v>672.224</v>
      </c>
      <c r="O6" s="0" t="n">
        <v>4705.229</v>
      </c>
      <c r="P6" s="0" t="n">
        <v>13048.108</v>
      </c>
      <c r="Q6" s="0" t="n">
        <v>8342.879</v>
      </c>
      <c r="R6" s="0" t="n">
        <v>1757.67</v>
      </c>
      <c r="S6" s="0" t="n">
        <v>1743.07</v>
      </c>
      <c r="T6" s="0" t="n">
        <v>1185.4</v>
      </c>
      <c r="U6" s="0" t="n">
        <v>10.521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13759.17</v>
      </c>
      <c r="C7" s="0" t="n">
        <v>13217.828</v>
      </c>
      <c r="D7" s="0" t="n">
        <v>541.342</v>
      </c>
      <c r="E7" s="0" t="n">
        <v>3.9</v>
      </c>
      <c r="F7" s="0" t="n">
        <v>203.598</v>
      </c>
      <c r="G7" s="0" t="n">
        <v>1.5</v>
      </c>
      <c r="I7" s="0" t="n">
        <v>171.151</v>
      </c>
      <c r="J7" s="0" t="n">
        <v>1.2</v>
      </c>
      <c r="K7" s="0" t="n">
        <v>0.145</v>
      </c>
      <c r="L7" s="0" t="n">
        <v>1048.352</v>
      </c>
      <c r="M7" s="0" t="n">
        <v>407.52</v>
      </c>
      <c r="N7" s="0" t="n">
        <v>640.832</v>
      </c>
      <c r="O7" s="0" t="n">
        <v>4767.405</v>
      </c>
      <c r="P7" s="0" t="n">
        <v>12285.476</v>
      </c>
      <c r="Q7" s="0" t="n">
        <v>7518.071</v>
      </c>
      <c r="R7" s="0" t="n">
        <v>2615.977</v>
      </c>
      <c r="S7" s="0" t="n">
        <v>1348.884</v>
      </c>
      <c r="T7" s="0" t="n">
        <v>1180.4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12530.799</v>
      </c>
      <c r="C8" s="0" t="n">
        <v>12021.943</v>
      </c>
      <c r="D8" s="0" t="n">
        <v>508.856</v>
      </c>
      <c r="E8" s="0" t="n">
        <v>4.1</v>
      </c>
      <c r="F8" s="0" t="n">
        <v>289.038</v>
      </c>
      <c r="G8" s="0" t="n">
        <v>2.3</v>
      </c>
      <c r="I8" s="0" t="n">
        <v>81.917</v>
      </c>
      <c r="J8" s="0" t="n">
        <v>0.7</v>
      </c>
      <c r="K8" s="0" t="n">
        <v>0.069</v>
      </c>
      <c r="L8" s="0" t="n">
        <v>-378.783</v>
      </c>
      <c r="M8" s="0" t="n">
        <v>136.314</v>
      </c>
      <c r="N8" s="0" t="n">
        <v>-515.097</v>
      </c>
      <c r="O8" s="0" t="n">
        <v>4831.751</v>
      </c>
      <c r="P8" s="0" t="n">
        <v>14942.75</v>
      </c>
      <c r="Q8" s="0" t="n">
        <v>10110.999</v>
      </c>
      <c r="R8" s="0" t="n">
        <v>4370.999</v>
      </c>
      <c r="S8" s="0" t="n">
        <v>2893.084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16151.336</v>
      </c>
      <c r="C9" s="0" t="n">
        <v>15166.432</v>
      </c>
      <c r="D9" s="0" t="n">
        <v>984.904</v>
      </c>
      <c r="E9" s="0" t="n">
        <v>6.1</v>
      </c>
      <c r="F9" s="0" t="n">
        <v>648.854</v>
      </c>
      <c r="G9" s="0" t="n">
        <v>4</v>
      </c>
      <c r="I9" s="0" t="n">
        <v>279.068</v>
      </c>
      <c r="J9" s="0" t="n">
        <v>1.7</v>
      </c>
      <c r="K9" s="0" t="n">
        <v>0.235</v>
      </c>
      <c r="L9" s="0" t="n">
        <v>965.443</v>
      </c>
      <c r="M9" s="0" t="n">
        <v>237.923</v>
      </c>
      <c r="N9" s="0" t="n">
        <v>727.52</v>
      </c>
      <c r="O9" s="0" t="n">
        <v>5091.366</v>
      </c>
      <c r="P9" s="0" t="n">
        <v>14447.928</v>
      </c>
      <c r="Q9" s="0" t="n">
        <v>9356.562</v>
      </c>
      <c r="R9" s="0" t="n">
        <v>2434.371</v>
      </c>
      <c r="S9" s="0" t="n">
        <v>1447.471</v>
      </c>
      <c r="T9" s="0" t="n">
        <v>1185.021</v>
      </c>
      <c r="U9" s="0" t="n">
        <v>4.426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20876.518</v>
      </c>
      <c r="C10" s="0" t="n">
        <v>19258.156</v>
      </c>
      <c r="D10" s="0" t="n">
        <v>1618.362</v>
      </c>
      <c r="E10" s="0" t="n">
        <v>7.8</v>
      </c>
      <c r="F10" s="0" t="n">
        <v>1739.383</v>
      </c>
      <c r="G10" s="0" t="n">
        <v>8.3</v>
      </c>
      <c r="I10" s="0" t="n">
        <v>1493.619</v>
      </c>
      <c r="J10" s="0" t="n">
        <v>7.2</v>
      </c>
      <c r="K10" s="0" t="n">
        <v>1.251</v>
      </c>
      <c r="L10" s="0" t="n">
        <v>2146.198</v>
      </c>
      <c r="M10" s="0" t="n">
        <v>602.869</v>
      </c>
      <c r="N10" s="0" t="n">
        <v>1543.329</v>
      </c>
      <c r="O10" s="0" t="n">
        <v>6416.015</v>
      </c>
      <c r="P10" s="0" t="n">
        <v>19773.265</v>
      </c>
      <c r="Q10" s="0" t="n">
        <v>13357.25</v>
      </c>
      <c r="R10" s="0" t="n">
        <v>4189.924</v>
      </c>
      <c r="S10" s="0" t="n">
        <v>2139.151</v>
      </c>
      <c r="T10" s="0" t="n">
        <v>1193.567</v>
      </c>
      <c r="U10" s="0" t="n">
        <v>19.931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4.695</v>
      </c>
    </row>
    <row r="3" customFormat="false" ht="15" hidden="false" customHeight="false" outlineLevel="0" collapsed="false">
      <c r="A3" s="0" t="s">
        <v>76</v>
      </c>
      <c r="B3" s="3" t="n">
        <v>1196.6</v>
      </c>
    </row>
    <row r="4" customFormat="false" ht="15" hidden="false" customHeight="false" outlineLevel="0" collapsed="false">
      <c r="A4" s="0" t="s">
        <v>77</v>
      </c>
      <c r="B4" s="3" t="n">
        <v>-2019.973</v>
      </c>
    </row>
    <row r="5" customFormat="false" ht="15" hidden="false" customHeight="false" outlineLevel="0" collapsed="false">
      <c r="A5" s="0" t="s">
        <v>78</v>
      </c>
      <c r="B5" s="3" t="n">
        <v>876.621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20876.518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1.1727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0</v>
      </c>
      <c r="D13" s="3" t="n">
        <v>-12</v>
      </c>
      <c r="E13" s="3" t="n">
        <v>0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4.3</v>
      </c>
      <c r="D14" s="3" t="n">
        <v>3.6</v>
      </c>
      <c r="E14" s="3" t="n">
        <v>3.8</v>
      </c>
      <c r="F14" s="3" t="n">
        <v>4</v>
      </c>
      <c r="G14" s="3" t="n">
        <v>4.2</v>
      </c>
      <c r="H14" s="3" t="n">
        <v>4.3</v>
      </c>
      <c r="I14" s="3" t="n">
        <v>4.3</v>
      </c>
      <c r="J14" s="3" t="n">
        <v>4.3</v>
      </c>
      <c r="K14" s="3" t="n">
        <v>4.3</v>
      </c>
      <c r="L14" s="3" t="n">
        <v>4.3</v>
      </c>
    </row>
    <row r="15" customFormat="false" ht="15" hidden="false" customHeight="false" outlineLevel="0" collapsed="false">
      <c r="A15" s="0" t="s">
        <v>98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2.1</v>
      </c>
      <c r="D17" s="3" t="n">
        <v>2.3</v>
      </c>
      <c r="E17" s="3" t="n">
        <v>2.3</v>
      </c>
      <c r="F17" s="3" t="n">
        <v>2.3</v>
      </c>
      <c r="G17" s="3" t="n">
        <v>2.3</v>
      </c>
      <c r="H17" s="3" t="n">
        <v>2.3</v>
      </c>
      <c r="I17" s="3" t="n">
        <v>2.3</v>
      </c>
      <c r="J17" s="3" t="n">
        <v>2.3</v>
      </c>
      <c r="K17" s="3" t="n">
        <v>2.3</v>
      </c>
      <c r="L17" s="3" t="n">
        <v>2.3</v>
      </c>
    </row>
    <row r="18" customFormat="false" ht="15" hidden="false" customHeight="false" outlineLevel="0" collapsed="false">
      <c r="A18" s="0" t="s">
        <v>101</v>
      </c>
      <c r="C18" s="3" t="n">
        <v>2.8</v>
      </c>
      <c r="D18" s="3" t="n">
        <v>2.4</v>
      </c>
      <c r="E18" s="3" t="n">
        <v>2.4</v>
      </c>
      <c r="F18" s="3" t="n">
        <v>2.4</v>
      </c>
      <c r="G18" s="3" t="n">
        <v>2.4</v>
      </c>
      <c r="H18" s="3" t="n">
        <v>2.4</v>
      </c>
      <c r="I18" s="3" t="n">
        <v>2.4</v>
      </c>
      <c r="J18" s="3" t="n">
        <v>2.4</v>
      </c>
      <c r="K18" s="3" t="n">
        <v>2.4</v>
      </c>
      <c r="L18" s="3" t="n">
        <v>2.4</v>
      </c>
    </row>
    <row r="19" customFormat="false" ht="15" hidden="false" customHeight="false" outlineLevel="0" collapsed="false">
      <c r="A19" s="0" t="s">
        <v>102</v>
      </c>
      <c r="C19" s="3" t="n">
        <v>15</v>
      </c>
      <c r="D19" s="3" t="n">
        <v>15</v>
      </c>
      <c r="E19" s="3" t="n">
        <v>16</v>
      </c>
      <c r="F19" s="3" t="n">
        <v>17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-3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4</v>
      </c>
      <c r="D27" s="3" t="n">
        <v>2</v>
      </c>
      <c r="E27" s="3" t="n">
        <v>7</v>
      </c>
      <c r="F27" s="3" t="n">
        <v>7</v>
      </c>
      <c r="G27" s="3" t="n">
        <v>6</v>
      </c>
      <c r="H27" s="3" t="n">
        <v>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4.7</v>
      </c>
      <c r="D28" s="3" t="n">
        <v>4.5</v>
      </c>
      <c r="E28" s="3" t="n">
        <v>4.9</v>
      </c>
      <c r="F28" s="3" t="n">
        <v>5.2</v>
      </c>
      <c r="G28" s="3" t="n">
        <v>5.4</v>
      </c>
      <c r="H28" s="3" t="n">
        <v>5.5</v>
      </c>
      <c r="I28" s="3" t="n">
        <v>5.5</v>
      </c>
      <c r="J28" s="3" t="n">
        <v>5.5</v>
      </c>
      <c r="K28" s="3" t="n">
        <v>5.5</v>
      </c>
      <c r="L28" s="3" t="n">
        <v>5.5</v>
      </c>
    </row>
    <row r="29" customFormat="false" ht="15" hidden="false" customHeight="false" outlineLevel="0" collapsed="false">
      <c r="A29" s="0" t="s">
        <v>98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2.1</v>
      </c>
      <c r="D31" s="3" t="n">
        <v>2.1</v>
      </c>
      <c r="E31" s="3" t="n">
        <v>2.2</v>
      </c>
      <c r="F31" s="3" t="n">
        <v>2.3</v>
      </c>
      <c r="G31" s="3" t="n">
        <v>2.4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101</v>
      </c>
      <c r="C32" s="3" t="n">
        <v>2.8</v>
      </c>
      <c r="D32" s="3" t="n">
        <v>2.6</v>
      </c>
      <c r="E32" s="3" t="n">
        <v>2.6</v>
      </c>
      <c r="F32" s="3" t="n">
        <v>2.6</v>
      </c>
      <c r="G32" s="3" t="n">
        <v>2.6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102</v>
      </c>
      <c r="C33" s="3" t="n">
        <v>15</v>
      </c>
      <c r="D33" s="3" t="n">
        <v>15</v>
      </c>
      <c r="E33" s="3" t="n">
        <v>16</v>
      </c>
      <c r="F33" s="3" t="n">
        <v>17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-3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8</v>
      </c>
      <c r="D41" s="3" t="n">
        <v>6</v>
      </c>
      <c r="E41" s="3" t="n">
        <v>10</v>
      </c>
      <c r="F41" s="3" t="n">
        <v>10</v>
      </c>
      <c r="G41" s="3" t="n">
        <v>8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5</v>
      </c>
      <c r="D42" s="3" t="n">
        <v>5.2</v>
      </c>
      <c r="E42" s="3" t="n">
        <v>5.8</v>
      </c>
      <c r="F42" s="3" t="n">
        <v>6.2</v>
      </c>
      <c r="G42" s="3" t="n">
        <v>6.5</v>
      </c>
      <c r="H42" s="3" t="n">
        <v>6.5</v>
      </c>
      <c r="I42" s="3" t="n">
        <v>6.5</v>
      </c>
      <c r="J42" s="3" t="n">
        <v>6.5</v>
      </c>
      <c r="K42" s="3" t="n">
        <v>6.5</v>
      </c>
      <c r="L42" s="3" t="n">
        <v>6.5</v>
      </c>
    </row>
    <row r="43" customFormat="false" ht="15" hidden="false" customHeight="false" outlineLevel="0" collapsed="false">
      <c r="A43" s="0" t="s">
        <v>98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2.1</v>
      </c>
      <c r="D45" s="3" t="n">
        <v>2.1</v>
      </c>
      <c r="E45" s="3" t="n">
        <v>2.2</v>
      </c>
      <c r="F45" s="3" t="n">
        <v>2.3</v>
      </c>
      <c r="G45" s="3" t="n">
        <v>2.4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101</v>
      </c>
      <c r="C46" s="3" t="n">
        <v>3</v>
      </c>
      <c r="D46" s="3" t="n">
        <v>2.8</v>
      </c>
      <c r="E46" s="3" t="n">
        <v>2.8</v>
      </c>
      <c r="F46" s="3" t="n">
        <v>2.7</v>
      </c>
      <c r="G46" s="3" t="n">
        <v>2.6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102</v>
      </c>
      <c r="C47" s="3" t="n">
        <v>15</v>
      </c>
      <c r="D47" s="3" t="n">
        <v>15</v>
      </c>
      <c r="E47" s="3" t="n">
        <v>16</v>
      </c>
      <c r="F47" s="3" t="n">
        <v>17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-3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0</v>
      </c>
      <c r="D5" s="4" t="n">
        <f aca="false">Assumptions!D13</f>
        <v>-12</v>
      </c>
      <c r="E5" s="4" t="n">
        <f aca="false">Assumptions!E13</f>
        <v>0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20876.518</v>
      </c>
      <c r="C6" s="0" t="n">
        <f aca="false">B6*(1+C5/100)</f>
        <v>20876.518</v>
      </c>
      <c r="D6" s="0" t="n">
        <f aca="false">C6*(1+D5/100)</f>
        <v>18371.33584</v>
      </c>
      <c r="E6" s="0" t="n">
        <f aca="false">D6*(1+E5/100)</f>
        <v>18371.33584</v>
      </c>
      <c r="F6" s="0" t="n">
        <f aca="false">E6*(1+F5/100)</f>
        <v>18922.4759152</v>
      </c>
      <c r="G6" s="0" t="n">
        <f aca="false">F6*(1+G5/100)</f>
        <v>19490.150192656</v>
      </c>
      <c r="H6" s="0" t="n">
        <f aca="false">G6*(1+H5/100)</f>
        <v>20074.8546984357</v>
      </c>
      <c r="I6" s="0" t="n">
        <f aca="false">H6*(1+I5/100)</f>
        <v>20576.7260658966</v>
      </c>
      <c r="J6" s="0" t="n">
        <f aca="false">I6*(1+J5/100)</f>
        <v>21091.144217544</v>
      </c>
      <c r="K6" s="0" t="n">
        <f aca="false">J6*(1+K5/100)</f>
        <v>21618.4228229826</v>
      </c>
      <c r="L6" s="0" t="n">
        <f aca="false">K6*(1+L5/100)</f>
        <v>22158.8833935572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4.3</v>
      </c>
      <c r="D7" s="4" t="n">
        <f aca="false">Assumptions!D14</f>
        <v>3.6</v>
      </c>
      <c r="E7" s="4" t="n">
        <f aca="false">Assumptions!E14</f>
        <v>3.8</v>
      </c>
      <c r="F7" s="4" t="n">
        <f aca="false">Assumptions!F14</f>
        <v>4</v>
      </c>
      <c r="G7" s="4" t="n">
        <f aca="false">Assumptions!G14</f>
        <v>4.2</v>
      </c>
      <c r="H7" s="4" t="n">
        <f aca="false">Assumptions!H14</f>
        <v>4.3</v>
      </c>
      <c r="I7" s="4" t="n">
        <f aca="false">Assumptions!I14</f>
        <v>4.3</v>
      </c>
      <c r="J7" s="4" t="n">
        <f aca="false">Assumptions!J14</f>
        <v>4.3</v>
      </c>
      <c r="K7" s="4" t="n">
        <f aca="false">Assumptions!K14</f>
        <v>4.3</v>
      </c>
      <c r="L7" s="4" t="n">
        <f aca="false">Assumptions!L14</f>
        <v>4.3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897.690274</v>
      </c>
      <c r="D8" s="0" t="n">
        <f aca="false">D6*D7/100</f>
        <v>661.36809024</v>
      </c>
      <c r="E8" s="0" t="n">
        <f aca="false">E6*E7/100</f>
        <v>698.11076192</v>
      </c>
      <c r="F8" s="0" t="n">
        <f aca="false">F6*F7/100</f>
        <v>756.899036608</v>
      </c>
      <c r="G8" s="0" t="n">
        <f aca="false">G6*G7/100</f>
        <v>818.586308091552</v>
      </c>
      <c r="H8" s="0" t="n">
        <f aca="false">H6*H7/100</f>
        <v>863.218752032734</v>
      </c>
      <c r="I8" s="0" t="n">
        <f aca="false">I6*I7/100</f>
        <v>884.799220833553</v>
      </c>
      <c r="J8" s="0" t="n">
        <f aca="false">J6*J7/100</f>
        <v>906.919201354391</v>
      </c>
      <c r="K8" s="0" t="n">
        <f aca="false">K6*K7/100</f>
        <v>929.592181388251</v>
      </c>
      <c r="L8" s="0" t="n">
        <f aca="false">L6*L7/100</f>
        <v>952.831985922957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-20.876518</v>
      </c>
      <c r="D10" s="0" t="n">
        <f aca="false">-D6*D9/100</f>
        <v>-18.37133584</v>
      </c>
      <c r="E10" s="0" t="n">
        <f aca="false">-E6*E9/100</f>
        <v>-18.37133584</v>
      </c>
      <c r="F10" s="0" t="n">
        <f aca="false">-F6*F9/100</f>
        <v>-18.9224759152</v>
      </c>
      <c r="G10" s="0" t="n">
        <f aca="false">-G6*G9/100</f>
        <v>-19.490150192656</v>
      </c>
      <c r="H10" s="0" t="n">
        <f aca="false">-H6*H9/100</f>
        <v>-20.0748546984357</v>
      </c>
      <c r="I10" s="0" t="n">
        <f aca="false">-I6*I9/100</f>
        <v>-20.5767260658966</v>
      </c>
      <c r="J10" s="0" t="n">
        <f aca="false">-J6*J9/100</f>
        <v>-21.091144217544</v>
      </c>
      <c r="K10" s="0" t="n">
        <f aca="false">-K6*K9/100</f>
        <v>-21.6184228229826</v>
      </c>
      <c r="L10" s="0" t="n">
        <f aca="false">-L6*L9/100</f>
        <v>-22.1588833935571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876.813756</v>
      </c>
      <c r="D11" s="0" t="n">
        <f aca="false">D8+D10+D24</f>
        <v>642.9967544</v>
      </c>
      <c r="E11" s="0" t="n">
        <f aca="false">E8+E10+E24</f>
        <v>679.73942608</v>
      </c>
      <c r="F11" s="0" t="n">
        <f aca="false">F8+F10+F24</f>
        <v>737.9765606928</v>
      </c>
      <c r="G11" s="0" t="n">
        <f aca="false">G8+G10+G24</f>
        <v>799.096157898896</v>
      </c>
      <c r="H11" s="0" t="n">
        <f aca="false">H8+H10+H24</f>
        <v>843.143897334299</v>
      </c>
      <c r="I11" s="0" t="n">
        <f aca="false">I8+I10+I24</f>
        <v>864.222494767656</v>
      </c>
      <c r="J11" s="0" t="n">
        <f aca="false">J8+J10+J24</f>
        <v>885.828057136847</v>
      </c>
      <c r="K11" s="0" t="n">
        <f aca="false">K8+K10+K24</f>
        <v>907.973758565269</v>
      </c>
      <c r="L11" s="0" t="n">
        <f aca="false">L8+L10+L24</f>
        <v>930.6731025294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-438.406878</v>
      </c>
      <c r="D12" s="4" t="n">
        <f aca="false">-D6*Assumptions!D17/100</f>
        <v>-422.54072432</v>
      </c>
      <c r="E12" s="4" t="n">
        <f aca="false">-E6*Assumptions!E17/100</f>
        <v>-422.54072432</v>
      </c>
      <c r="F12" s="4" t="n">
        <f aca="false">-F6*Assumptions!F17/100</f>
        <v>-435.2169460496</v>
      </c>
      <c r="G12" s="4" t="n">
        <f aca="false">-G6*Assumptions!G17/100</f>
        <v>-448.273454431088</v>
      </c>
      <c r="H12" s="4" t="n">
        <f aca="false">-H6*Assumptions!H17/100</f>
        <v>-461.721658064021</v>
      </c>
      <c r="I12" s="4" t="n">
        <f aca="false">-I6*Assumptions!I17/100</f>
        <v>-473.264699515621</v>
      </c>
      <c r="J12" s="4" t="n">
        <f aca="false">-J6*Assumptions!J17/100</f>
        <v>-485.096317003512</v>
      </c>
      <c r="K12" s="4" t="n">
        <f aca="false">-K6*Assumptions!K17/100</f>
        <v>-497.223724928599</v>
      </c>
      <c r="L12" s="4" t="n">
        <f aca="false">-L6*Assumptions!L17/100</f>
        <v>-509.654318051814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438.406878</v>
      </c>
      <c r="D13" s="0" t="n">
        <f aca="false">D11+D12</f>
        <v>220.45603008</v>
      </c>
      <c r="E13" s="0" t="n">
        <f aca="false">E11+E12</f>
        <v>257.19870176</v>
      </c>
      <c r="F13" s="0" t="n">
        <f aca="false">F11+F12</f>
        <v>302.7596146432</v>
      </c>
      <c r="G13" s="0" t="n">
        <f aca="false">G11+G12</f>
        <v>350.822703467808</v>
      </c>
      <c r="H13" s="0" t="n">
        <f aca="false">H11+H12</f>
        <v>381.422239270278</v>
      </c>
      <c r="I13" s="0" t="n">
        <f aca="false">I11+I12</f>
        <v>390.957795252035</v>
      </c>
      <c r="J13" s="0" t="n">
        <f aca="false">J11+J12</f>
        <v>400.731740133336</v>
      </c>
      <c r="K13" s="0" t="n">
        <f aca="false">K11+K12</f>
        <v>410.750033636669</v>
      </c>
      <c r="L13" s="0" t="n">
        <f aca="false">L11+L12</f>
        <v>421.018784477586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16</v>
      </c>
      <c r="F14" s="4" t="n">
        <f aca="false">Assumptions!F19</f>
        <v>17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372.6458463</v>
      </c>
      <c r="D15" s="0" t="n">
        <f aca="false">D13-MAX(0,D13)*D14/100</f>
        <v>187.387625568</v>
      </c>
      <c r="E15" s="0" t="n">
        <f aca="false">E13-MAX(0,E13)*E14/100</f>
        <v>216.0469094784</v>
      </c>
      <c r="F15" s="0" t="n">
        <f aca="false">F13-MAX(0,F13)*F14/100</f>
        <v>251.290480153856</v>
      </c>
      <c r="G15" s="0" t="n">
        <f aca="false">G13-MAX(0,G13)*G14/100</f>
        <v>287.674616843603</v>
      </c>
      <c r="H15" s="0" t="n">
        <f aca="false">H13-MAX(0,H13)*H14/100</f>
        <v>312.766236201628</v>
      </c>
      <c r="I15" s="0" t="n">
        <f aca="false">I13-MAX(0,I13)*I14/100</f>
        <v>320.585392106669</v>
      </c>
      <c r="J15" s="0" t="n">
        <f aca="false">J13-MAX(0,J13)*J14/100</f>
        <v>328.600026909335</v>
      </c>
      <c r="K15" s="0" t="n">
        <f aca="false">K13-MAX(0,K13)*K14/100</f>
        <v>336.815027582069</v>
      </c>
      <c r="L15" s="0" t="n">
        <f aca="false">L13-MAX(0,L13)*L14/100</f>
        <v>345.23540327162</v>
      </c>
    </row>
    <row r="16" customFormat="false" ht="15" hidden="false" customHeight="false" outlineLevel="0" collapsed="false">
      <c r="A16" s="0" t="s">
        <v>118</v>
      </c>
      <c r="C16" s="0" t="n">
        <f aca="false">-C12</f>
        <v>438.406878</v>
      </c>
      <c r="D16" s="0" t="n">
        <f aca="false">-D12</f>
        <v>422.54072432</v>
      </c>
      <c r="E16" s="0" t="n">
        <f aca="false">-E12</f>
        <v>422.54072432</v>
      </c>
      <c r="F16" s="0" t="n">
        <f aca="false">-F12</f>
        <v>435.2169460496</v>
      </c>
      <c r="G16" s="0" t="n">
        <f aca="false">-G12</f>
        <v>448.273454431088</v>
      </c>
      <c r="H16" s="0" t="n">
        <f aca="false">-H12</f>
        <v>461.721658064021</v>
      </c>
      <c r="I16" s="0" t="n">
        <f aca="false">-I12</f>
        <v>473.264699515621</v>
      </c>
      <c r="J16" s="0" t="n">
        <f aca="false">-J12</f>
        <v>485.096317003512</v>
      </c>
      <c r="K16" s="0" t="n">
        <f aca="false">-K12</f>
        <v>497.223724928599</v>
      </c>
      <c r="L16" s="0" t="n">
        <f aca="false">-L12</f>
        <v>509.654318051814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-584.542504</v>
      </c>
      <c r="D17" s="4" t="n">
        <f aca="false">-D6*Assumptions!D18/100</f>
        <v>-440.91206016</v>
      </c>
      <c r="E17" s="4" t="n">
        <f aca="false">-E6*Assumptions!E18/100</f>
        <v>-440.91206016</v>
      </c>
      <c r="F17" s="4" t="n">
        <f aca="false">-F6*Assumptions!F18/100</f>
        <v>-454.1394219648</v>
      </c>
      <c r="G17" s="4" t="n">
        <f aca="false">-G6*Assumptions!G18/100</f>
        <v>-467.763604623744</v>
      </c>
      <c r="H17" s="4" t="n">
        <f aca="false">-H6*Assumptions!H18/100</f>
        <v>-481.796512762456</v>
      </c>
      <c r="I17" s="4" t="n">
        <f aca="false">-I6*Assumptions!I18/100</f>
        <v>-493.841425581518</v>
      </c>
      <c r="J17" s="4" t="n">
        <f aca="false">-J6*Assumptions!J18/100</f>
        <v>-506.187461221056</v>
      </c>
      <c r="K17" s="4" t="n">
        <f aca="false">-K6*Assumptions!K18/100</f>
        <v>-518.842147751582</v>
      </c>
      <c r="L17" s="4" t="n">
        <f aca="false">-L6*Assumptions!L18/100</f>
        <v>-531.813201445372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-0</v>
      </c>
      <c r="D18" s="4" t="n">
        <f aca="false">(D6-C6)*Assumptions!$B$23/100</f>
        <v>75.1554648</v>
      </c>
      <c r="E18" s="4" t="n">
        <f aca="false">(E6-D6)*Assumptions!$B$23/100</f>
        <v>-0</v>
      </c>
      <c r="F18" s="4" t="n">
        <f aca="false">(F6-E6)*Assumptions!$B$23/100</f>
        <v>-16.534202256</v>
      </c>
      <c r="G18" s="4" t="n">
        <f aca="false">(G6-F6)*Assumptions!$B$23/100</f>
        <v>-17.03022832368</v>
      </c>
      <c r="H18" s="4" t="n">
        <f aca="false">(H6-G6)*Assumptions!$B$23/100</f>
        <v>-17.5411351733905</v>
      </c>
      <c r="I18" s="4" t="n">
        <f aca="false">(I6-H6)*Assumptions!$B$23/100</f>
        <v>-15.0561410238267</v>
      </c>
      <c r="J18" s="4" t="n">
        <f aca="false">(J6-I6)*Assumptions!$B$23/100</f>
        <v>-15.4325445494224</v>
      </c>
      <c r="K18" s="4" t="n">
        <f aca="false">(K6-J6)*Assumptions!$B$23/100</f>
        <v>-15.8183581631579</v>
      </c>
      <c r="L18" s="4" t="n">
        <f aca="false">(L6-K6)*Assumptions!$B$23/100</f>
        <v>-16.2138171172369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226.5102203</v>
      </c>
      <c r="D19" s="0" t="n">
        <f aca="false">D15+D16+D17+D18</f>
        <v>244.171754528</v>
      </c>
      <c r="E19" s="0" t="n">
        <f aca="false">E15+E16+E17+E18</f>
        <v>197.6755736384</v>
      </c>
      <c r="F19" s="0" t="n">
        <f aca="false">F15+F16+F17+F18</f>
        <v>215.833801982656</v>
      </c>
      <c r="G19" s="0" t="n">
        <f aca="false">G15+G16+G17+G18</f>
        <v>251.154238327267</v>
      </c>
      <c r="H19" s="0" t="n">
        <f aca="false">H15+H16+H17+H18</f>
        <v>275.150246329802</v>
      </c>
      <c r="I19" s="0" t="n">
        <f aca="false">I15+I16+I17+I18</f>
        <v>284.952525016945</v>
      </c>
      <c r="J19" s="0" t="n">
        <f aca="false">J15+J16+J17+J18</f>
        <v>292.076338142369</v>
      </c>
      <c r="K19" s="0" t="n">
        <f aca="false">K15+K16+K17+K18</f>
        <v>299.378246595928</v>
      </c>
      <c r="L19" s="0" t="n">
        <f aca="false">L15+L16+L17+L18</f>
        <v>306.862702760826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205.918382090909</v>
      </c>
      <c r="D21" s="0" t="n">
        <f aca="false">D19*D20</f>
        <v>201.794838452893</v>
      </c>
      <c r="E21" s="0" t="n">
        <f aca="false">E19*E20</f>
        <v>148.51658425124</v>
      </c>
      <c r="F21" s="0" t="n">
        <f aca="false">F19*F20</f>
        <v>147.417390876754</v>
      </c>
      <c r="G21" s="0" t="n">
        <f aca="false">G19*G20</f>
        <v>155.947021954081</v>
      </c>
      <c r="H21" s="0" t="n">
        <f aca="false">H19*H20</f>
        <v>155.315140901048</v>
      </c>
      <c r="I21" s="0" t="n">
        <f aca="false">I19*I20</f>
        <v>146.225701522784</v>
      </c>
      <c r="J21" s="0" t="n">
        <f aca="false">J19*J20</f>
        <v>136.255767328049</v>
      </c>
      <c r="K21" s="0" t="n">
        <f aca="false">K19*K20</f>
        <v>126.965601373864</v>
      </c>
      <c r="L21" s="0" t="n">
        <f aca="false">L19*L20</f>
        <v>118.308855825646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1542.66528457727</v>
      </c>
    </row>
    <row r="31" customFormat="false" ht="15" hidden="false" customHeight="false" outlineLevel="0" collapsed="false">
      <c r="A31" s="0" t="s">
        <v>127</v>
      </c>
      <c r="B31" s="0" t="n">
        <f aca="false">L19</f>
        <v>306.862702760826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3912.49946020053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3682.35243312991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3682.35243312991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1419.70626990775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2962.37155448501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5858.96555448501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5.74194292641198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0.222991038639399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122.43193795576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108.925912118877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5.96867980655783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2407.69197550802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4.63953760747693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4</v>
      </c>
      <c r="D5" s="4" t="n">
        <f aca="false">Assumptions!D27</f>
        <v>2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20876.518</v>
      </c>
      <c r="C6" s="0" t="n">
        <f aca="false">B6*(1+C5/100)</f>
        <v>21711.57872</v>
      </c>
      <c r="D6" s="0" t="n">
        <f aca="false">C6*(1+D5/100)</f>
        <v>22145.8102944</v>
      </c>
      <c r="E6" s="0" t="n">
        <f aca="false">D6*(1+E5/100)</f>
        <v>23696.017015008</v>
      </c>
      <c r="F6" s="0" t="n">
        <f aca="false">E6*(1+F5/100)</f>
        <v>25354.7382060586</v>
      </c>
      <c r="G6" s="0" t="n">
        <f aca="false">F6*(1+G5/100)</f>
        <v>26876.0224984221</v>
      </c>
      <c r="H6" s="0" t="n">
        <f aca="false">G6*(1+H5/100)</f>
        <v>28219.8236233432</v>
      </c>
      <c r="I6" s="0" t="n">
        <f aca="false">H6*(1+I5/100)</f>
        <v>29348.6165682769</v>
      </c>
      <c r="J6" s="0" t="n">
        <f aca="false">I6*(1+J5/100)</f>
        <v>30375.8181481666</v>
      </c>
      <c r="K6" s="0" t="n">
        <f aca="false">J6*(1+K5/100)</f>
        <v>31287.0926926116</v>
      </c>
      <c r="L6" s="0" t="n">
        <f aca="false">K6*(1+L5/100)</f>
        <v>32225.70547339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4.7</v>
      </c>
      <c r="D7" s="4" t="n">
        <f aca="false">Assumptions!D28</f>
        <v>4.5</v>
      </c>
      <c r="E7" s="4" t="n">
        <f aca="false">Assumptions!E28</f>
        <v>4.9</v>
      </c>
      <c r="F7" s="4" t="n">
        <f aca="false">Assumptions!F28</f>
        <v>5.2</v>
      </c>
      <c r="G7" s="4" t="n">
        <f aca="false">Assumptions!G28</f>
        <v>5.4</v>
      </c>
      <c r="H7" s="4" t="n">
        <f aca="false">Assumptions!H28</f>
        <v>5.5</v>
      </c>
      <c r="I7" s="4" t="n">
        <f aca="false">Assumptions!I28</f>
        <v>5.5</v>
      </c>
      <c r="J7" s="4" t="n">
        <f aca="false">Assumptions!J28</f>
        <v>5.5</v>
      </c>
      <c r="K7" s="4" t="n">
        <f aca="false">Assumptions!K28</f>
        <v>5.5</v>
      </c>
      <c r="L7" s="4" t="n">
        <f aca="false">Assumptions!L28</f>
        <v>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1020.44419984</v>
      </c>
      <c r="D8" s="0" t="n">
        <f aca="false">D6*D7/100</f>
        <v>996.561463248</v>
      </c>
      <c r="E8" s="0" t="n">
        <f aca="false">E6*E7/100</f>
        <v>1161.10483373539</v>
      </c>
      <c r="F8" s="0" t="n">
        <f aca="false">F6*F7/100</f>
        <v>1318.44638671505</v>
      </c>
      <c r="G8" s="0" t="n">
        <f aca="false">G6*G7/100</f>
        <v>1451.30521491479</v>
      </c>
      <c r="H8" s="0" t="n">
        <f aca="false">H6*H7/100</f>
        <v>1552.09029928388</v>
      </c>
      <c r="I8" s="0" t="n">
        <f aca="false">I6*I7/100</f>
        <v>1614.17391125523</v>
      </c>
      <c r="J8" s="0" t="n">
        <f aca="false">J6*J7/100</f>
        <v>1670.66999814916</v>
      </c>
      <c r="K8" s="0" t="n">
        <f aca="false">K6*K7/100</f>
        <v>1720.79009809364</v>
      </c>
      <c r="L8" s="0" t="n">
        <f aca="false">L6*L7/100</f>
        <v>1772.41380103645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-21.71157872</v>
      </c>
      <c r="D10" s="0" t="n">
        <f aca="false">-D6*D9/100</f>
        <v>-22.1458102944</v>
      </c>
      <c r="E10" s="0" t="n">
        <f aca="false">-E6*E9/100</f>
        <v>-23.696017015008</v>
      </c>
      <c r="F10" s="0" t="n">
        <f aca="false">-F6*F9/100</f>
        <v>-25.3547382060586</v>
      </c>
      <c r="G10" s="0" t="n">
        <f aca="false">-G6*G9/100</f>
        <v>-26.8760224984221</v>
      </c>
      <c r="H10" s="0" t="n">
        <f aca="false">-H6*H9/100</f>
        <v>-28.2198236233432</v>
      </c>
      <c r="I10" s="0" t="n">
        <f aca="false">-I6*I9/100</f>
        <v>-29.3486165682769</v>
      </c>
      <c r="J10" s="0" t="n">
        <f aca="false">-J6*J9/100</f>
        <v>-30.3758181481666</v>
      </c>
      <c r="K10" s="0" t="n">
        <f aca="false">-K6*K9/100</f>
        <v>-31.2870926926116</v>
      </c>
      <c r="L10" s="0" t="n">
        <f aca="false">-L6*L9/100</f>
        <v>-32.22570547339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998.73262112</v>
      </c>
      <c r="D11" s="0" t="n">
        <f aca="false">D8+D10+D24</f>
        <v>974.4156529536</v>
      </c>
      <c r="E11" s="0" t="n">
        <f aca="false">E8+E10+E24</f>
        <v>1137.40881672038</v>
      </c>
      <c r="F11" s="0" t="n">
        <f aca="false">F8+F10+F24</f>
        <v>1293.09164850899</v>
      </c>
      <c r="G11" s="0" t="n">
        <f aca="false">G8+G10+G24</f>
        <v>1424.42919241637</v>
      </c>
      <c r="H11" s="0" t="n">
        <f aca="false">H8+H10+H24</f>
        <v>1523.87047566053</v>
      </c>
      <c r="I11" s="0" t="n">
        <f aca="false">I8+I10+I24</f>
        <v>1584.82529468695</v>
      </c>
      <c r="J11" s="0" t="n">
        <f aca="false">J8+J10+J24</f>
        <v>1640.294180001</v>
      </c>
      <c r="K11" s="0" t="n">
        <f aca="false">K8+K10+K24</f>
        <v>1689.50300540103</v>
      </c>
      <c r="L11" s="0" t="n">
        <f aca="false">L8+L10+L24</f>
        <v>1740.18809556306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-455.94315312</v>
      </c>
      <c r="D12" s="4" t="n">
        <f aca="false">-D6*Assumptions!D31/100</f>
        <v>-465.0620161824</v>
      </c>
      <c r="E12" s="4" t="n">
        <f aca="false">-E6*Assumptions!E31/100</f>
        <v>-521.312374330176</v>
      </c>
      <c r="F12" s="4" t="n">
        <f aca="false">-F6*Assumptions!F31/100</f>
        <v>-583.158978739347</v>
      </c>
      <c r="G12" s="4" t="n">
        <f aca="false">-G6*Assumptions!G31/100</f>
        <v>-645.02453996213</v>
      </c>
      <c r="H12" s="4" t="n">
        <f aca="false">-H6*Assumptions!H31/100</f>
        <v>-677.275766960236</v>
      </c>
      <c r="I12" s="4" t="n">
        <f aca="false">-I6*Assumptions!I31/100</f>
        <v>-704.366797638646</v>
      </c>
      <c r="J12" s="4" t="n">
        <f aca="false">-J6*Assumptions!J31/100</f>
        <v>-729.019635555998</v>
      </c>
      <c r="K12" s="4" t="n">
        <f aca="false">-K6*Assumptions!K31/100</f>
        <v>-750.890224622678</v>
      </c>
      <c r="L12" s="4" t="n">
        <f aca="false">-L6*Assumptions!L31/100</f>
        <v>-773.416931361359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542.789468</v>
      </c>
      <c r="D13" s="0" t="n">
        <f aca="false">D11+D12</f>
        <v>509.3536367712</v>
      </c>
      <c r="E13" s="0" t="n">
        <f aca="false">E11+E12</f>
        <v>616.096442390208</v>
      </c>
      <c r="F13" s="0" t="n">
        <f aca="false">F11+F12</f>
        <v>709.93266976964</v>
      </c>
      <c r="G13" s="0" t="n">
        <f aca="false">G11+G12</f>
        <v>779.404652454241</v>
      </c>
      <c r="H13" s="0" t="n">
        <f aca="false">H11+H12</f>
        <v>846.594708700296</v>
      </c>
      <c r="I13" s="0" t="n">
        <f aca="false">I11+I12</f>
        <v>880.458497048307</v>
      </c>
      <c r="J13" s="0" t="n">
        <f aca="false">J11+J12</f>
        <v>911.274544444998</v>
      </c>
      <c r="K13" s="0" t="n">
        <f aca="false">K11+K12</f>
        <v>938.612780778348</v>
      </c>
      <c r="L13" s="0" t="n">
        <f aca="false">L11+L12</f>
        <v>966.771164201698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16</v>
      </c>
      <c r="F14" s="4" t="n">
        <f aca="false">Assumptions!F33</f>
        <v>17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461.3710478</v>
      </c>
      <c r="D15" s="0" t="n">
        <f aca="false">D13-MAX(0,D13)*D14/100</f>
        <v>432.95059125552</v>
      </c>
      <c r="E15" s="0" t="n">
        <f aca="false">E13-MAX(0,E13)*E14/100</f>
        <v>517.521011607775</v>
      </c>
      <c r="F15" s="0" t="n">
        <f aca="false">F13-MAX(0,F13)*F14/100</f>
        <v>589.244115908801</v>
      </c>
      <c r="G15" s="0" t="n">
        <f aca="false">G13-MAX(0,G13)*G14/100</f>
        <v>639.111815012477</v>
      </c>
      <c r="H15" s="0" t="n">
        <f aca="false">H13-MAX(0,H13)*H14/100</f>
        <v>694.207661134243</v>
      </c>
      <c r="I15" s="0" t="n">
        <f aca="false">I13-MAX(0,I13)*I14/100</f>
        <v>721.975967579612</v>
      </c>
      <c r="J15" s="0" t="n">
        <f aca="false">J13-MAX(0,J13)*J14/100</f>
        <v>747.245126444898</v>
      </c>
      <c r="K15" s="0" t="n">
        <f aca="false">K13-MAX(0,K13)*K14/100</f>
        <v>769.662480238246</v>
      </c>
      <c r="L15" s="0" t="n">
        <f aca="false">L13-MAX(0,L13)*L14/100</f>
        <v>792.752354645393</v>
      </c>
    </row>
    <row r="16" customFormat="false" ht="15" hidden="false" customHeight="false" outlineLevel="0" collapsed="false">
      <c r="A16" s="0" t="s">
        <v>118</v>
      </c>
      <c r="C16" s="0" t="n">
        <f aca="false">-C12</f>
        <v>455.94315312</v>
      </c>
      <c r="D16" s="0" t="n">
        <f aca="false">-D12</f>
        <v>465.0620161824</v>
      </c>
      <c r="E16" s="0" t="n">
        <f aca="false">-E12</f>
        <v>521.312374330176</v>
      </c>
      <c r="F16" s="0" t="n">
        <f aca="false">-F12</f>
        <v>583.158978739347</v>
      </c>
      <c r="G16" s="0" t="n">
        <f aca="false">-G12</f>
        <v>645.02453996213</v>
      </c>
      <c r="H16" s="0" t="n">
        <f aca="false">-H12</f>
        <v>677.275766960236</v>
      </c>
      <c r="I16" s="0" t="n">
        <f aca="false">-I12</f>
        <v>704.366797638646</v>
      </c>
      <c r="J16" s="0" t="n">
        <f aca="false">-J12</f>
        <v>729.019635555998</v>
      </c>
      <c r="K16" s="0" t="n">
        <f aca="false">-K12</f>
        <v>750.890224622678</v>
      </c>
      <c r="L16" s="0" t="n">
        <f aca="false">-L12</f>
        <v>773.416931361359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-607.92420416</v>
      </c>
      <c r="D17" s="4" t="n">
        <f aca="false">-D6*Assumptions!D32/100</f>
        <v>-575.7910676544</v>
      </c>
      <c r="E17" s="4" t="n">
        <f aca="false">-E6*Assumptions!E32/100</f>
        <v>-616.096442390208</v>
      </c>
      <c r="F17" s="4" t="n">
        <f aca="false">-F6*Assumptions!F32/100</f>
        <v>-659.223193357523</v>
      </c>
      <c r="G17" s="4" t="n">
        <f aca="false">-G6*Assumptions!G32/100</f>
        <v>-698.776584958974</v>
      </c>
      <c r="H17" s="4" t="n">
        <f aca="false">-H6*Assumptions!H32/100</f>
        <v>-705.49559058358</v>
      </c>
      <c r="I17" s="4" t="n">
        <f aca="false">-I6*Assumptions!I32/100</f>
        <v>-733.715414206923</v>
      </c>
      <c r="J17" s="4" t="n">
        <f aca="false">-J6*Assumptions!J32/100</f>
        <v>-759.395453704165</v>
      </c>
      <c r="K17" s="4" t="n">
        <f aca="false">-K6*Assumptions!K32/100</f>
        <v>-782.17731731529</v>
      </c>
      <c r="L17" s="4" t="n">
        <f aca="false">-L6*Assumptions!L32/100</f>
        <v>-805.642636834749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-25.0518216</v>
      </c>
      <c r="D18" s="4" t="n">
        <f aca="false">(D6-C6)*Assumptions!$B$37/100</f>
        <v>-13.026947232</v>
      </c>
      <c r="E18" s="4" t="n">
        <f aca="false">(E6-D6)*Assumptions!$B$37/100</f>
        <v>-46.5062016182401</v>
      </c>
      <c r="F18" s="4" t="n">
        <f aca="false">(F6-E6)*Assumptions!$B$37/100</f>
        <v>-49.7616357315168</v>
      </c>
      <c r="G18" s="4" t="n">
        <f aca="false">(G6-F6)*Assumptions!$B$37/100</f>
        <v>-45.6385287709054</v>
      </c>
      <c r="H18" s="4" t="n">
        <f aca="false">(H6-G6)*Assumptions!$B$37/100</f>
        <v>-40.3140337476332</v>
      </c>
      <c r="I18" s="4" t="n">
        <f aca="false">(I6-H6)*Assumptions!$B$37/100</f>
        <v>-33.8637883480118</v>
      </c>
      <c r="J18" s="4" t="n">
        <f aca="false">(J6-I6)*Assumptions!$B$37/100</f>
        <v>-30.8160473966907</v>
      </c>
      <c r="K18" s="4" t="n">
        <f aca="false">(K6-J6)*Assumptions!$B$37/100</f>
        <v>-27.3382363333499</v>
      </c>
      <c r="L18" s="4" t="n">
        <f aca="false">(L6-K6)*Assumptions!$B$37/100</f>
        <v>-28.1583834233505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284.33817516</v>
      </c>
      <c r="D19" s="0" t="n">
        <f aca="false">D15+D16+D17+D18</f>
        <v>309.19459255152</v>
      </c>
      <c r="E19" s="0" t="n">
        <f aca="false">E15+E16+E17+E18</f>
        <v>376.230741929503</v>
      </c>
      <c r="F19" s="0" t="n">
        <f aca="false">F15+F16+F17+F18</f>
        <v>463.418265559109</v>
      </c>
      <c r="G19" s="0" t="n">
        <f aca="false">G15+G16+G17+G18</f>
        <v>539.721241244728</v>
      </c>
      <c r="H19" s="0" t="n">
        <f aca="false">H15+H16+H17+H18</f>
        <v>625.673803763266</v>
      </c>
      <c r="I19" s="0" t="n">
        <f aca="false">I15+I16+I17+I18</f>
        <v>658.763562663324</v>
      </c>
      <c r="J19" s="0" t="n">
        <f aca="false">J15+J16+J17+J18</f>
        <v>686.053260900041</v>
      </c>
      <c r="K19" s="0" t="n">
        <f aca="false">K15+K16+K17+K18</f>
        <v>711.037151212284</v>
      </c>
      <c r="L19" s="0" t="n">
        <f aca="false">L15+L16+L17+L18</f>
        <v>732.368265748652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258.489250145455</v>
      </c>
      <c r="D21" s="0" t="n">
        <f aca="false">D19*D20</f>
        <v>255.532721116959</v>
      </c>
      <c r="E21" s="0" t="n">
        <f aca="false">E19*E20</f>
        <v>282.667724965817</v>
      </c>
      <c r="F21" s="0" t="n">
        <f aca="false">F19*F20</f>
        <v>316.520910838815</v>
      </c>
      <c r="G21" s="0" t="n">
        <f aca="false">G19*G20</f>
        <v>335.124427196806</v>
      </c>
      <c r="H21" s="0" t="n">
        <f aca="false">H19*H20</f>
        <v>353.176550941947</v>
      </c>
      <c r="I21" s="0" t="n">
        <f aca="false">I19*I20</f>
        <v>338.049870175267</v>
      </c>
      <c r="J21" s="0" t="n">
        <f aca="false">J19*J20</f>
        <v>320.048909426823</v>
      </c>
      <c r="K21" s="0" t="n">
        <f aca="false">K19*K20</f>
        <v>301.549162403486</v>
      </c>
      <c r="L21" s="0" t="n">
        <f aca="false">L19*L20</f>
        <v>282.359670250537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3043.51919746191</v>
      </c>
    </row>
    <row r="31" customFormat="false" ht="15" hidden="false" customHeight="false" outlineLevel="0" collapsed="false">
      <c r="A31" s="0" t="s">
        <v>127</v>
      </c>
      <c r="B31" s="0" t="n">
        <f aca="false">L19</f>
        <v>732.368265748652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10009.0329652316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8788.41918898383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8788.41918898383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3388.31604300644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6431.83524046835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9328.42924046835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9.14211012058936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0.947201303639907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160.702377431902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169.80019472944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9.46601147975166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6005.41977913895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6.63315094705305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8</v>
      </c>
      <c r="D5" s="4" t="n">
        <f aca="false">Assumptions!D41</f>
        <v>6</v>
      </c>
      <c r="E5" s="4" t="n">
        <f aca="false">Assumptions!E41</f>
        <v>10</v>
      </c>
      <c r="F5" s="4" t="n">
        <f aca="false">Assumptions!F41</f>
        <v>10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20876.518</v>
      </c>
      <c r="C6" s="0" t="n">
        <f aca="false">B6*(1+C5/100)</f>
        <v>22546.63944</v>
      </c>
      <c r="D6" s="0" t="n">
        <f aca="false">C6*(1+D5/100)</f>
        <v>23899.4378064</v>
      </c>
      <c r="E6" s="0" t="n">
        <f aca="false">D6*(1+E5/100)</f>
        <v>26289.38158704</v>
      </c>
      <c r="F6" s="0" t="n">
        <f aca="false">E6*(1+F5/100)</f>
        <v>28918.319745744</v>
      </c>
      <c r="G6" s="0" t="n">
        <f aca="false">F6*(1+G5/100)</f>
        <v>31231.7853254035</v>
      </c>
      <c r="H6" s="0" t="n">
        <f aca="false">G6*(1+H5/100)</f>
        <v>33105.6924449277</v>
      </c>
      <c r="I6" s="0" t="n">
        <f aca="false">H6*(1+I5/100)</f>
        <v>34760.9770671741</v>
      </c>
      <c r="J6" s="0" t="n">
        <f aca="false">I6*(1+J5/100)</f>
        <v>36151.4161498611</v>
      </c>
      <c r="K6" s="0" t="n">
        <f aca="false">J6*(1+K5/100)</f>
        <v>37416.7157151062</v>
      </c>
      <c r="L6" s="0" t="n">
        <f aca="false">K6*(1+L5/100)</f>
        <v>38539.2171865594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5</v>
      </c>
      <c r="D7" s="4" t="n">
        <f aca="false">Assumptions!D42</f>
        <v>5.2</v>
      </c>
      <c r="E7" s="4" t="n">
        <f aca="false">Assumptions!E42</f>
        <v>5.8</v>
      </c>
      <c r="F7" s="4" t="n">
        <f aca="false">Assumptions!F42</f>
        <v>6.2</v>
      </c>
      <c r="G7" s="4" t="n">
        <f aca="false">Assumptions!G42</f>
        <v>6.5</v>
      </c>
      <c r="H7" s="4" t="n">
        <f aca="false">Assumptions!H42</f>
        <v>6.5</v>
      </c>
      <c r="I7" s="4" t="n">
        <f aca="false">Assumptions!I42</f>
        <v>6.5</v>
      </c>
      <c r="J7" s="4" t="n">
        <f aca="false">Assumptions!J42</f>
        <v>6.5</v>
      </c>
      <c r="K7" s="4" t="n">
        <f aca="false">Assumptions!K42</f>
        <v>6.5</v>
      </c>
      <c r="L7" s="4" t="n">
        <f aca="false">Assumptions!L42</f>
        <v>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1127.331972</v>
      </c>
      <c r="D8" s="0" t="n">
        <f aca="false">D6*D7/100</f>
        <v>1242.7707659328</v>
      </c>
      <c r="E8" s="0" t="n">
        <f aca="false">E6*E7/100</f>
        <v>1524.78413204832</v>
      </c>
      <c r="F8" s="0" t="n">
        <f aca="false">F6*F7/100</f>
        <v>1792.93582423613</v>
      </c>
      <c r="G8" s="0" t="n">
        <f aca="false">G6*G7/100</f>
        <v>2030.06604615123</v>
      </c>
      <c r="H8" s="0" t="n">
        <f aca="false">H6*H7/100</f>
        <v>2151.8700089203</v>
      </c>
      <c r="I8" s="0" t="n">
        <f aca="false">I6*I7/100</f>
        <v>2259.46350936632</v>
      </c>
      <c r="J8" s="0" t="n">
        <f aca="false">J6*J7/100</f>
        <v>2349.84204974097</v>
      </c>
      <c r="K8" s="0" t="n">
        <f aca="false">K6*K7/100</f>
        <v>2432.08652148191</v>
      </c>
      <c r="L8" s="0" t="n">
        <f aca="false">L6*L7/100</f>
        <v>2505.04911712636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-22.54663944</v>
      </c>
      <c r="D10" s="0" t="n">
        <f aca="false">-D6*D9/100</f>
        <v>-23.8994378064</v>
      </c>
      <c r="E10" s="0" t="n">
        <f aca="false">-E6*E9/100</f>
        <v>-26.28938158704</v>
      </c>
      <c r="F10" s="0" t="n">
        <f aca="false">-F6*F9/100</f>
        <v>-28.918319745744</v>
      </c>
      <c r="G10" s="0" t="n">
        <f aca="false">-G6*G9/100</f>
        <v>-31.2317853254035</v>
      </c>
      <c r="H10" s="0" t="n">
        <f aca="false">-H6*H9/100</f>
        <v>-33.1056924449278</v>
      </c>
      <c r="I10" s="0" t="n">
        <f aca="false">-I6*I9/100</f>
        <v>-34.7609770671741</v>
      </c>
      <c r="J10" s="0" t="n">
        <f aca="false">-J6*J9/100</f>
        <v>-36.1514161498611</v>
      </c>
      <c r="K10" s="0" t="n">
        <f aca="false">-K6*K9/100</f>
        <v>-37.4167157151062</v>
      </c>
      <c r="L10" s="0" t="n">
        <f aca="false">-L6*L9/100</f>
        <v>-38.5392171865594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1104.78533256</v>
      </c>
      <c r="D11" s="0" t="n">
        <f aca="false">D8+D10+D24</f>
        <v>1218.8713281264</v>
      </c>
      <c r="E11" s="0" t="n">
        <f aca="false">E8+E10+E24</f>
        <v>1498.49475046128</v>
      </c>
      <c r="F11" s="0" t="n">
        <f aca="false">F8+F10+F24</f>
        <v>1764.01750449039</v>
      </c>
      <c r="G11" s="0" t="n">
        <f aca="false">G8+G10+G24</f>
        <v>1998.83426082583</v>
      </c>
      <c r="H11" s="0" t="n">
        <f aca="false">H8+H10+H24</f>
        <v>2118.76431647538</v>
      </c>
      <c r="I11" s="0" t="n">
        <f aca="false">I8+I10+I24</f>
        <v>2224.70253229914</v>
      </c>
      <c r="J11" s="0" t="n">
        <f aca="false">J8+J10+J24</f>
        <v>2313.69063359111</v>
      </c>
      <c r="K11" s="0" t="n">
        <f aca="false">K8+K10+K24</f>
        <v>2394.6698057668</v>
      </c>
      <c r="L11" s="0" t="n">
        <f aca="false">L8+L10+L24</f>
        <v>2466.5098999398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-473.47942824</v>
      </c>
      <c r="D12" s="4" t="n">
        <f aca="false">-D6*Assumptions!D45/100</f>
        <v>-501.8881939344</v>
      </c>
      <c r="E12" s="4" t="n">
        <f aca="false">-E6*Assumptions!E45/100</f>
        <v>-578.36639491488</v>
      </c>
      <c r="F12" s="4" t="n">
        <f aca="false">-F6*Assumptions!F45/100</f>
        <v>-665.121354152112</v>
      </c>
      <c r="G12" s="4" t="n">
        <f aca="false">-G6*Assumptions!G45/100</f>
        <v>-749.562847809685</v>
      </c>
      <c r="H12" s="4" t="n">
        <f aca="false">-H6*Assumptions!H45/100</f>
        <v>-794.536618678266</v>
      </c>
      <c r="I12" s="4" t="n">
        <f aca="false">-I6*Assumptions!I45/100</f>
        <v>-834.263449612179</v>
      </c>
      <c r="J12" s="4" t="n">
        <f aca="false">-J6*Assumptions!J45/100</f>
        <v>-867.633987596666</v>
      </c>
      <c r="K12" s="4" t="n">
        <f aca="false">-K6*Assumptions!K45/100</f>
        <v>-898.00117716255</v>
      </c>
      <c r="L12" s="4" t="n">
        <f aca="false">-L6*Assumptions!L45/100</f>
        <v>-924.941212477426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631.30590432</v>
      </c>
      <c r="D13" s="0" t="n">
        <f aca="false">D11+D12</f>
        <v>716.983134192</v>
      </c>
      <c r="E13" s="0" t="n">
        <f aca="false">E11+E12</f>
        <v>920.1283555464</v>
      </c>
      <c r="F13" s="0" t="n">
        <f aca="false">F11+F12</f>
        <v>1098.89615033827</v>
      </c>
      <c r="G13" s="0" t="n">
        <f aca="false">G11+G12</f>
        <v>1249.27141301614</v>
      </c>
      <c r="H13" s="0" t="n">
        <f aca="false">H11+H12</f>
        <v>1324.22769779711</v>
      </c>
      <c r="I13" s="0" t="n">
        <f aca="false">I11+I12</f>
        <v>1390.43908268697</v>
      </c>
      <c r="J13" s="0" t="n">
        <f aca="false">J11+J12</f>
        <v>1446.05664599444</v>
      </c>
      <c r="K13" s="0" t="n">
        <f aca="false">K11+K12</f>
        <v>1496.66862860425</v>
      </c>
      <c r="L13" s="0" t="n">
        <f aca="false">L11+L12</f>
        <v>1541.56868746238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16</v>
      </c>
      <c r="F14" s="4" t="n">
        <f aca="false">Assumptions!F47</f>
        <v>17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536.610018672</v>
      </c>
      <c r="D15" s="0" t="n">
        <f aca="false">D13-MAX(0,D13)*D14/100</f>
        <v>609.4356640632</v>
      </c>
      <c r="E15" s="0" t="n">
        <f aca="false">E13-MAX(0,E13)*E14/100</f>
        <v>772.907818658976</v>
      </c>
      <c r="F15" s="0" t="n">
        <f aca="false">F13-MAX(0,F13)*F14/100</f>
        <v>912.083804780766</v>
      </c>
      <c r="G15" s="0" t="n">
        <f aca="false">G13-MAX(0,G13)*G14/100</f>
        <v>1024.40255867324</v>
      </c>
      <c r="H15" s="0" t="n">
        <f aca="false">H13-MAX(0,H13)*H14/100</f>
        <v>1085.86671219363</v>
      </c>
      <c r="I15" s="0" t="n">
        <f aca="false">I13-MAX(0,I13)*I14/100</f>
        <v>1140.16004780331</v>
      </c>
      <c r="J15" s="0" t="n">
        <f aca="false">J13-MAX(0,J13)*J14/100</f>
        <v>1185.76644971544</v>
      </c>
      <c r="K15" s="0" t="n">
        <f aca="false">K13-MAX(0,K13)*K14/100</f>
        <v>1227.26827545548</v>
      </c>
      <c r="L15" s="0" t="n">
        <f aca="false">L13-MAX(0,L13)*L14/100</f>
        <v>1264.08632371915</v>
      </c>
    </row>
    <row r="16" customFormat="false" ht="15" hidden="false" customHeight="false" outlineLevel="0" collapsed="false">
      <c r="A16" s="0" t="s">
        <v>118</v>
      </c>
      <c r="C16" s="0" t="n">
        <f aca="false">-C12</f>
        <v>473.47942824</v>
      </c>
      <c r="D16" s="0" t="n">
        <f aca="false">-D12</f>
        <v>501.8881939344</v>
      </c>
      <c r="E16" s="0" t="n">
        <f aca="false">-E12</f>
        <v>578.36639491488</v>
      </c>
      <c r="F16" s="0" t="n">
        <f aca="false">-F12</f>
        <v>665.121354152112</v>
      </c>
      <c r="G16" s="0" t="n">
        <f aca="false">-G12</f>
        <v>749.562847809685</v>
      </c>
      <c r="H16" s="0" t="n">
        <f aca="false">-H12</f>
        <v>794.536618678266</v>
      </c>
      <c r="I16" s="0" t="n">
        <f aca="false">-I12</f>
        <v>834.263449612179</v>
      </c>
      <c r="J16" s="0" t="n">
        <f aca="false">-J12</f>
        <v>867.633987596666</v>
      </c>
      <c r="K16" s="0" t="n">
        <f aca="false">-K12</f>
        <v>898.00117716255</v>
      </c>
      <c r="L16" s="0" t="n">
        <f aca="false">-L12</f>
        <v>924.941212477426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-676.3991832</v>
      </c>
      <c r="D17" s="4" t="n">
        <f aca="false">-D6*Assumptions!D46/100</f>
        <v>-669.1842585792</v>
      </c>
      <c r="E17" s="4" t="n">
        <f aca="false">-E6*Assumptions!E46/100</f>
        <v>-736.10268443712</v>
      </c>
      <c r="F17" s="4" t="n">
        <f aca="false">-F6*Assumptions!F46/100</f>
        <v>-780.794633135088</v>
      </c>
      <c r="G17" s="4" t="n">
        <f aca="false">-G6*Assumptions!G46/100</f>
        <v>-812.026418460492</v>
      </c>
      <c r="H17" s="4" t="n">
        <f aca="false">-H6*Assumptions!H46/100</f>
        <v>-827.642311123194</v>
      </c>
      <c r="I17" s="4" t="n">
        <f aca="false">-I6*Assumptions!I46/100</f>
        <v>-869.024426679353</v>
      </c>
      <c r="J17" s="4" t="n">
        <f aca="false">-J6*Assumptions!J46/100</f>
        <v>-903.785403746527</v>
      </c>
      <c r="K17" s="4" t="n">
        <f aca="false">-K6*Assumptions!K46/100</f>
        <v>-935.417892877656</v>
      </c>
      <c r="L17" s="4" t="n">
        <f aca="false">-L6*Assumptions!L46/100</f>
        <v>-963.480429663986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-50.1036432000001</v>
      </c>
      <c r="D18" s="4" t="n">
        <f aca="false">(D6-C6)*Assumptions!$B$51/100</f>
        <v>-40.5839509920001</v>
      </c>
      <c r="E18" s="4" t="n">
        <f aca="false">(E6-D6)*Assumptions!$B$51/100</f>
        <v>-71.6983134192001</v>
      </c>
      <c r="F18" s="4" t="n">
        <f aca="false">(F6-E6)*Assumptions!$B$51/100</f>
        <v>-78.8681447611201</v>
      </c>
      <c r="G18" s="4" t="n">
        <f aca="false">(G6-F6)*Assumptions!$B$51/100</f>
        <v>-69.4039673897857</v>
      </c>
      <c r="H18" s="4" t="n">
        <f aca="false">(H6-G6)*Assumptions!$B$51/100</f>
        <v>-56.2172135857263</v>
      </c>
      <c r="I18" s="4" t="n">
        <f aca="false">(I6-H6)*Assumptions!$B$51/100</f>
        <v>-49.6585386673918</v>
      </c>
      <c r="J18" s="4" t="n">
        <f aca="false">(J6-I6)*Assumptions!$B$51/100</f>
        <v>-41.7131724806089</v>
      </c>
      <c r="K18" s="4" t="n">
        <f aca="false">(K6-J6)*Assumptions!$B$51/100</f>
        <v>-37.9589869573541</v>
      </c>
      <c r="L18" s="4" t="n">
        <f aca="false">(L6-K6)*Assumptions!$B$51/100</f>
        <v>-33.6750441435956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283.586620512</v>
      </c>
      <c r="D19" s="0" t="n">
        <f aca="false">D15+D16+D17+D18</f>
        <v>401.5556484264</v>
      </c>
      <c r="E19" s="0" t="n">
        <f aca="false">E15+E16+E17+E18</f>
        <v>543.473215717536</v>
      </c>
      <c r="F19" s="0" t="n">
        <f aca="false">F15+F16+F17+F18</f>
        <v>717.54238103667</v>
      </c>
      <c r="G19" s="0" t="n">
        <f aca="false">G15+G16+G17+G18</f>
        <v>892.535020632643</v>
      </c>
      <c r="H19" s="0" t="n">
        <f aca="false">H15+H16+H17+H18</f>
        <v>996.543806162976</v>
      </c>
      <c r="I19" s="0" t="n">
        <f aca="false">I15+I16+I17+I18</f>
        <v>1055.74053206875</v>
      </c>
      <c r="J19" s="0" t="n">
        <f aca="false">J15+J16+J17+J18</f>
        <v>1107.90186108497</v>
      </c>
      <c r="K19" s="0" t="n">
        <f aca="false">K15+K16+K17+K18</f>
        <v>1151.89257278302</v>
      </c>
      <c r="L19" s="0" t="n">
        <f aca="false">L15+L16+L17+L18</f>
        <v>1191.87206238899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257.806018647273</v>
      </c>
      <c r="D21" s="0" t="n">
        <f aca="false">D19*D20</f>
        <v>331.864172253223</v>
      </c>
      <c r="E21" s="0" t="n">
        <f aca="false">E19*E20</f>
        <v>408.319470862161</v>
      </c>
      <c r="F21" s="0" t="n">
        <f aca="false">F19*F20</f>
        <v>490.091101042736</v>
      </c>
      <c r="G21" s="0" t="n">
        <f aca="false">G19*G20</f>
        <v>554.194025887851</v>
      </c>
      <c r="H21" s="0" t="n">
        <f aca="false">H19*H20</f>
        <v>562.522998735565</v>
      </c>
      <c r="I21" s="0" t="n">
        <f aca="false">I19*I20</f>
        <v>541.761824776282</v>
      </c>
      <c r="J21" s="0" t="n">
        <f aca="false">J19*J20</f>
        <v>516.844394744239</v>
      </c>
      <c r="K21" s="0" t="n">
        <f aca="false">K19*K20</f>
        <v>488.514896738234</v>
      </c>
      <c r="L21" s="0" t="n">
        <f aca="false">L19*L20</f>
        <v>459.518275512612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4611.43717920018</v>
      </c>
    </row>
    <row r="31" customFormat="false" ht="15" hidden="false" customHeight="false" outlineLevel="0" collapsed="false">
      <c r="A31" s="0" t="s">
        <v>127</v>
      </c>
      <c r="B31" s="0" t="n">
        <f aca="false">L19</f>
        <v>1191.87206238899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17537.5460608666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14302.4647486679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14302.4647486679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5514.21930615135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10125.6564853515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13022.2504853515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12.7621537223565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1.71824360433577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183.261187818259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218.632752330423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13.1560205313255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10230.2352021722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8.81914554794513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5.74194292641198</v>
      </c>
      <c r="C4" s="0" t="n">
        <f aca="false">B4/Assumptions!$B$2-1</f>
        <v>0.222991038639399</v>
      </c>
      <c r="D4" s="4" t="n">
        <f aca="false">Assumptions!$B$24</f>
        <v>0.3</v>
      </c>
      <c r="E4" s="4" t="n">
        <f aca="false">DCF_Bear!$B$43</f>
        <v>5.96867980655783</v>
      </c>
      <c r="F4" s="4" t="n">
        <f aca="false">DCF_Bear!$B$47</f>
        <v>4.63953760747693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9.14211012058936</v>
      </c>
      <c r="C5" s="0" t="n">
        <f aca="false">B5/Assumptions!$B$2-1</f>
        <v>0.947201303639907</v>
      </c>
      <c r="D5" s="4" t="n">
        <f aca="false">Assumptions!$B$38</f>
        <v>0.5</v>
      </c>
      <c r="E5" s="4" t="n">
        <f aca="false">DCF_Base!$B$43</f>
        <v>9.46601147975166</v>
      </c>
      <c r="F5" s="4" t="n">
        <f aca="false">DCF_Base!$B$47</f>
        <v>6.63315094705305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12.7621537223565</v>
      </c>
      <c r="C6" s="0" t="n">
        <f aca="false">B6/Assumptions!$B$2-1</f>
        <v>1.71824360433577</v>
      </c>
      <c r="D6" s="4" t="n">
        <f aca="false">Assumptions!$B$52</f>
        <v>0.2</v>
      </c>
      <c r="E6" s="4" t="n">
        <f aca="false">DCF_Bull!$B$43</f>
        <v>13.1560205313255</v>
      </c>
      <c r="F6" s="4" t="n">
        <f aca="false">DCF_Bull!$B$47</f>
        <v>8.81914554794513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8.84606868268957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9.15481378810828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0.469255759997951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-1344.49700087066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6.47226586535863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9.61808297592738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9.14211012058936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8.7074482101539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8.03031423468673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6.63315094705305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10.1398943157017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10.1398943157017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10.1398943157017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10.1398943157017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10.1398943157017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9.61808297592738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9.61808297592738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9.61808297592738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9.61808297592738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9.61808297592738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9.12583247189341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9.14211012058936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9.14211012058936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9.14211012058936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9.14211012058936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8.3748468169069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8.53893017090876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8.7074482101539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8.7074482101539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8.7074482101539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7.77084113744855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7.89409085863668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8.03031423468673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8.18167354140901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8.31005866764665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2026-10-16T12:37:02Z</dcterms:created>
  <dc:creator>openpyxl</dc:creator>
  <dc:description/>
  <dc:language>en-NZ</dc:language>
  <cp:lastModifiedBy/>
  <dcterms:modified xsi:type="dcterms:W3CDTF">2026-10-16T12:37:02Z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