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<sst xmlns="http://schemas.openxmlformats.org/spreadsheetml/2006/main" count="356" uniqueCount="166">
  <si>
    <t xml:space="preserve">Ticker</t>
  </si>
  <si>
    <t xml:space="preserve">0576.HK</t>
  </si>
  <si>
    <t xml:space="preserve">Company</t>
  </si>
  <si>
    <t xml:space="preserve">Zhejiang Expressway Co., Ltd.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</si>
  <si>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</si>
  <si>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</si>
  <si>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</si>
  <si>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</si>
  <si>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regular close (HKEX), Yahoo Finance chart API; 52-week range 5.695-8.16</t>
  </si>
  <si>
    <t xml:space="preserve">Balance sheet date</t>
  </si>
  <si>
    <t xml:space="preserve">2026-06-30</t>
  </si>
  <si>
    <t xml:space="preserve">Model</t>
  </si>
  <si>
    <t xml:space="preserve">Sum-of-parts: toll-road owner-FCF DCF (engine route) plus Zheshang Securities stake at discounted market value plus associates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</si>
  <si>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</si>
  <si>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</si>
  <si>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</si>
  <si>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</si>
  <si>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</si>
  <si>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</si>
  <si>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</si>
  <si>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</si>
  <si>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</si>
  <si>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2026-10-11T02:04:52Z</t>
  </si>
  <si>
    <t xml:space="preserve">Drivers file</t>
  </si>
  <si>
    <t xml:space="preserve">0576.HK_Drivers.json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</si>
  <si>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</si>
  <si>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</si>
  <si>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</si>
  <si>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parts that produce cash differently in the way each actually produces it. The toll roads are an unlevered concession annuity facing a concession cliff, so they are valued on owner FCF at an RMB WACC with explicit concession-reset or reversion scenarios. The broker is valued as a listed equity stake at a discount, never through a cash-flow statement dominated by customer funds. Associates are taken at earnings and book multiples. The H-share discount to A-share peers is real and persistent. This model does not assume it closes; it reports what the cash is worth to a patient owner at an 8% RMB rate.
key_risks_to_valuation: Concession cliff: SHN (47% of toll revenue) and Shangsan have about 3 and 5 years left at FY2025. Reversion without a reset is the bear case.; SHN expansion capex could exceed the 4-6bn/yr base assumption if the group carries it alone. A 40-60bn RMB programme is plausible for a 248km widening.; Toll-segment net debt is estimated, not disclosed (segment cash). Each 1bn of error is about Rmb0.17/share.; Zheshang stake value is held constant across scenarios and is broker-cycle sensitive. A 30% A-share broker drawdown is about -Rmb0.7/share.; Oceanking share-swap merger: about 480m new A shares for a chemical business. Modest per-share dilution, not modelled.; Governance: provincial SOE parent, extensive connected transactions (construction, finance company deposits), and policy-directed toll discounts.</t>
  </si>
  <si>
    <t xml:space="preserve">Data sources</t>
  </si>
  <si>
    <t xml:space="preserve">price: Yahoo Finance chart API at inputs.price_as_of; 52-week range 5.695-8.16. FX Yahoo CNYHKD=X and HKDCNY=X at 2026-10-10. Zheshang Securities (601878.SH) and SRCB (601825.SH) market data from Tencent qt.gtimg.cn at the 2026-10-09 close.
financials: FY2025 Annual Report (segment note 7 lines 8239-8343; operating rights note 20; goodwill note 21 line 9240; NCI note 49 lines 10996-11109; borrowings MD&amp;A line 1297-1330); H1 FY2026 Interim Report (balance sheet lines 1195-1297; segment note 3 lines 1453-1514; toll table lines 200-278; Oceanking line 392); Metrics.csv FY2018-FY2025 and H1 periods.
qualitative: 0576.HK_Analysis.json (2026-10-11); FY2025 annual connected-transactions section on the Oceanking share swap (lines 3587-3618).</t>
  </si>
  <si>
    <t xml:space="preserve">Scenario narrative: bear</t>
  </si>
  <si>
    <t xml:space="preserve">The 15th-FYP rebuild of SHN slips or is assigned to the provincial parent. The Shanghai-Hangzhou and Hangzhou-Ningbo concessions revert to the grantor at nil consideration around end-2028 (Jiaxing Branch: 3 years remaining at FY2025 per the goodwill note), taking 47% of toll revenue. Shangsan follows around 2030-31 (5 years remaining). What is left (Zhoushan Bay Bridge, LongLiLiLong, Hanghui, Huihang, HuangQuNan, rebuilt Jinhua and Zhajiasu) runs off at -2% terminal on fixed-cost margin erosion, with more ETC and truck discounts mandated by the province. The concession cliff, not traffic, is the bear axis.</t>
  </si>
  <si>
    <t xml:space="preserve">Scenario narrative: base</t>
  </si>
  <si>
    <t xml:space="preserve">SHN reconstruction-and-expansion is approved under Zhejiang's 15th Five-Year Plan, and its concession is reset on the expanded road, the route PRC policy uses for capacity rebuilds. That costs the toll business 4-6bn/yr of capex over FY28-31 and two years of construction-traffic-control revenue loss. Diversion from new parallel roads (Suzhou-Taizhou phase II, Hangzhou-Shaoxing-Ningbo) persists, toll discounts are not reversed, and the Jinhua and Zhajiasu rebuilds reopen around 2028. Revenue is roughly flat over the decade. Zheshang Securities is held at a discounted market value: a mid-cycle broker after a strong FY26 tape. The Oceanking merger completes but is a modest per-share drag, not a value driver.</t>
  </si>
  <si>
    <t xml:space="preserve">Scenario narrative: bull</t>
  </si>
  <si>
    <t xml:space="preserve">The SHN expansion is co-funded with Communications Group or partners at lower group capex intensity, the reset concession carries a higher per-km toll on the widened road, and Zhoushan Bay Bridge and LongLiLiLong keep compounding on Ningbo-Zhoushan port freight and Zhejiang GDP at 5%+. Diversion stabilises after FY26. The A+H listing narrows the H-share discount; that is a price event, not modelled as value. Broker upside (Guodu integration, an active A-share market) is reflected only through the bridge, which is held flat across scenarios and may be understated in this case.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</si>
  <si>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</si>
  <si>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</si>
  <si>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</si>
  <si>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</si>
  <si>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</si>
  <si>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</si>
  <si>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</si>
  <si>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</si>
  <si>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</si>
  <si>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</si>
  <si>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</si>
  <si>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</si>
  <si>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</si>
  <si>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</si>
  <si>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</si>
  <si>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</si>
  <si>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</si>
  <si>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</si>
  <si>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</si>
  <si>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</si>
  <si>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</si>
  <si>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</si>
  <si>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</si>
  <si>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</si>
  <si>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</si>
  <si>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</si>
  <si>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</si>
  <si>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DilutedEPS</t>
  </si>
  <si>
    <t xml:space="preserve">NonControllingInterestProfit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</si>
  <si>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</si>
  <si>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</si>
  <si>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</si>
  <si>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</si>
  <si>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</si>
  <si>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</si>
  <si>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</si>
  <si>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</si>
  <si>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</si>
  <si>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</si>
  <si>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</si>
  <si>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</si>
  <si>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</si>
  <si>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</si>
  <si>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</si>
  <si>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</si>
  <si>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</si>
  <si>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</si>
  <si>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</si>
  <si>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</si>
  <si>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</si>
  <si>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</si>
  <si>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</si>
  <si>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</si>
  <si>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</si>
  <si>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</si>
  <si>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</si>
  <si>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</si>
  <si>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</si>
  <si>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</si>
  <si>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</si>
  <si>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</si>
  <si>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</si>
  <si>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</si>
  <si>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</si>
  <si>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</si>
  <si>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</si>
  <si>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</si>
  <si>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</si>
  <si>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</si>
  <si>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</si>
  <si>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</si>
  <si>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</si>
  <si>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</si>
  <si>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</si>
  <si>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0576.HK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</si>
  <si>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</si>
  <si>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</si>
  <si>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</si>
  <si>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</si>
  <si>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</si>
  <si>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</si>
  <si>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</si>
  <si>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</si>
  <si>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</si>
  <si>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</si>
  <si>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</si>
  <si>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</si>
  <si>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</si>
  <si>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</si>
  <si>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</si>
  <si>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</si>
  <si>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</si>
  <si>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</si>
  <si>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</si>
  <si>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</si>
  <si>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</si>
  <si>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</si>
  <si>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</si>
  <si>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</si>
  <si>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</si>
  <si>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</si>
  <si>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</si>
  <si>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</si>
  <si>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</si>
  <si>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</si>
  <si>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0576.HK owner-FCF component DCF: base case (millions, CNY)</t>
  </si>
  <si>
    <t xml:space="preserve">0576.HK owner-FCF component DCF: bull case (millions, CNY)</t>
  </si>
  <si>
    <t xml:space="preserve">0576.HK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</si>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</sst>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6.065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11837.093</v>
      </c>
      <c r="C2" s="0" t="n">
        <v>6485.466</v>
      </c>
      <c r="D2" s="0" t="n">
        <v>5351.627</v>
      </c>
      <c r="E2" s="0" t="n">
        <v>45.2</v>
      </c>
      <c r="F2" s="0" t="n">
        <v>6472.571</v>
      </c>
      <c r="G2" s="0" t="n">
        <v>54.7</v>
      </c>
      <c r="H2" s="0" t="n">
        <v>8745.227</v>
      </c>
      <c r="I2" s="0" t="n">
        <v>3074.14</v>
      </c>
      <c r="J2" s="0" t="n">
        <v>26</v>
      </c>
      <c r="K2" s="0" t="n">
        <v>0.7078</v>
      </c>
      <c r="L2" s="0" t="n">
        <v>3216.297</v>
      </c>
      <c r="M2" s="0" t="n">
        <v>729.679</v>
      </c>
      <c r="N2" s="0" t="n">
        <v>2486.618</v>
      </c>
      <c r="O2" s="0" t="n">
        <v>23464.226</v>
      </c>
      <c r="P2" s="0" t="n">
        <v>100147.241</v>
      </c>
      <c r="Q2" s="0" t="n">
        <v>70543.447</v>
      </c>
      <c r="R2" s="0" t="n">
        <v>30370.665</v>
      </c>
      <c r="S2" s="0" t="n">
        <v>6601.784</v>
      </c>
      <c r="T2" s="0" t="n">
        <v>4343.115</v>
      </c>
      <c r="AA2" s="0" t="s">
        <v>18</v>
      </c>
      <c r="AB2" s="0" t="s">
        <v>14</v>
      </c>
      <c r="AD2" s="0" t="n">
        <v>479.418</v>
      </c>
    </row>
    <row r="3" customFormat="false" ht="15" hidden="false" customHeight="false" outlineLevel="0" collapsed="false">
      <c r="A3" s="0" t="s">
        <v>67</v>
      </c>
      <c r="B3" s="0" t="n">
        <v>12617.094</v>
      </c>
      <c r="C3" s="0" t="n">
        <v>7378.876</v>
      </c>
      <c r="D3" s="0" t="n">
        <v>5238.218</v>
      </c>
      <c r="E3" s="0" t="n">
        <v>41.5</v>
      </c>
      <c r="F3" s="0" t="n">
        <v>7348.96</v>
      </c>
      <c r="G3" s="0" t="n">
        <v>58.2</v>
      </c>
      <c r="H3" s="0" t="n">
        <v>9752.897</v>
      </c>
      <c r="I3" s="0" t="n">
        <v>3243.392</v>
      </c>
      <c r="J3" s="0" t="n">
        <v>25.7</v>
      </c>
      <c r="K3" s="0" t="n">
        <v>0.7468</v>
      </c>
      <c r="L3" s="0" t="n">
        <v>382.754</v>
      </c>
      <c r="M3" s="0" t="n">
        <v>1030.843</v>
      </c>
      <c r="N3" s="0" t="n">
        <v>-648.089</v>
      </c>
      <c r="O3" s="0" t="n">
        <v>17806.885</v>
      </c>
      <c r="P3" s="0" t="n">
        <v>110637.256</v>
      </c>
      <c r="Q3" s="0" t="n">
        <v>82442.275</v>
      </c>
      <c r="R3" s="0" t="n">
        <v>47867.593</v>
      </c>
      <c r="S3" s="0" t="n">
        <v>8090.694</v>
      </c>
      <c r="T3" s="0" t="n">
        <v>4343.115</v>
      </c>
      <c r="AA3" s="0" t="s">
        <v>18</v>
      </c>
      <c r="AB3" s="0" t="s">
        <v>14</v>
      </c>
      <c r="AD3" s="0" t="n">
        <v>703.781</v>
      </c>
    </row>
    <row r="4" customFormat="false" ht="15" hidden="false" customHeight="false" outlineLevel="0" collapsed="false">
      <c r="A4" s="0" t="s">
        <v>68</v>
      </c>
      <c r="B4" s="0" t="n">
        <v>12451.534</v>
      </c>
      <c r="C4" s="0" t="n">
        <v>8038.467</v>
      </c>
      <c r="D4" s="0" t="n">
        <v>4413.067</v>
      </c>
      <c r="E4" s="0" t="n">
        <v>35.4</v>
      </c>
      <c r="F4" s="0" t="n">
        <v>6632.107</v>
      </c>
      <c r="G4" s="0" t="n">
        <v>53.3</v>
      </c>
      <c r="H4" s="0" t="n">
        <v>9616.328</v>
      </c>
      <c r="I4" s="0" t="n">
        <v>2416.395</v>
      </c>
      <c r="J4" s="0" t="n">
        <v>19.4</v>
      </c>
      <c r="K4" s="0" t="n">
        <v>0.5564</v>
      </c>
      <c r="L4" s="0" t="n">
        <v>125.291</v>
      </c>
      <c r="M4" s="0" t="n">
        <v>889.317</v>
      </c>
      <c r="N4" s="0" t="n">
        <v>-764.026</v>
      </c>
      <c r="O4" s="0" t="n">
        <v>23610.24</v>
      </c>
      <c r="P4" s="0" t="n">
        <v>135446.697</v>
      </c>
      <c r="Q4" s="0" t="n">
        <v>98500.704</v>
      </c>
      <c r="R4" s="0" t="n">
        <v>46349.989</v>
      </c>
      <c r="S4" s="0" t="n">
        <v>8645.085</v>
      </c>
      <c r="T4" s="0" t="n">
        <v>4343.115</v>
      </c>
      <c r="AA4" s="0" t="s">
        <v>18</v>
      </c>
      <c r="AB4" s="0" t="s">
        <v>14</v>
      </c>
      <c r="AD4" s="0" t="n">
        <v>957.192</v>
      </c>
    </row>
    <row r="5" customFormat="false" ht="15" hidden="false" customHeight="false" outlineLevel="0" collapsed="false">
      <c r="A5" s="0" t="s">
        <v>69</v>
      </c>
      <c r="B5" s="0" t="n">
        <v>16641.414</v>
      </c>
      <c r="C5" s="0" t="n">
        <v>10069.473</v>
      </c>
      <c r="D5" s="0" t="n">
        <v>6571.941</v>
      </c>
      <c r="E5" s="0" t="n">
        <v>39.5</v>
      </c>
      <c r="F5" s="0" t="n">
        <v>9929.659</v>
      </c>
      <c r="G5" s="0" t="n">
        <v>59.7</v>
      </c>
      <c r="H5" s="0" t="n">
        <v>13148.124</v>
      </c>
      <c r="I5" s="0" t="n">
        <v>4452.488</v>
      </c>
      <c r="J5" s="0" t="n">
        <v>26.8</v>
      </c>
      <c r="K5" s="0" t="n">
        <v>0.9778</v>
      </c>
      <c r="L5" s="0" t="n">
        <v>2822.995</v>
      </c>
      <c r="M5" s="0" t="n">
        <v>956.028</v>
      </c>
      <c r="N5" s="0" t="n">
        <v>1866.967</v>
      </c>
      <c r="O5" s="0" t="n">
        <v>26441.094</v>
      </c>
      <c r="P5" s="0" t="n">
        <v>181076.203</v>
      </c>
      <c r="Q5" s="0" t="n">
        <v>137362.426</v>
      </c>
      <c r="R5" s="0" t="n">
        <v>59417.552</v>
      </c>
      <c r="S5" s="0" t="n">
        <v>17213.997</v>
      </c>
      <c r="T5" s="0" t="n">
        <v>4343.115</v>
      </c>
      <c r="AA5" s="0" t="s">
        <v>18</v>
      </c>
      <c r="AB5" s="0" t="s">
        <v>14</v>
      </c>
      <c r="AD5" s="0" t="n">
        <v>1527.733</v>
      </c>
    </row>
    <row r="6" customFormat="false" ht="15" hidden="false" customHeight="false" outlineLevel="0" collapsed="false">
      <c r="A6" s="0" t="s">
        <v>70</v>
      </c>
      <c r="B6" s="0" t="n">
        <v>15331.777</v>
      </c>
      <c r="C6" s="0" t="n">
        <v>9365.125</v>
      </c>
      <c r="D6" s="0" t="n">
        <v>5966.652</v>
      </c>
      <c r="E6" s="0" t="n">
        <v>38.9</v>
      </c>
      <c r="F6" s="0" t="n">
        <v>9236.455</v>
      </c>
      <c r="G6" s="0" t="n">
        <v>60.2</v>
      </c>
      <c r="H6" s="0" t="n">
        <v>12994.207</v>
      </c>
      <c r="I6" s="0" t="n">
        <v>5178.666</v>
      </c>
      <c r="J6" s="0" t="n">
        <v>33.8</v>
      </c>
      <c r="K6" s="0" t="n">
        <v>1.1372</v>
      </c>
      <c r="L6" s="0" t="n">
        <v>7811.143</v>
      </c>
      <c r="M6" s="0" t="n">
        <v>1618.079</v>
      </c>
      <c r="N6" s="0" t="n">
        <v>6193.064</v>
      </c>
      <c r="O6" s="0" t="n">
        <v>30008.842</v>
      </c>
      <c r="P6" s="0" t="n">
        <v>190861.414</v>
      </c>
      <c r="Q6" s="0" t="n">
        <v>141561.2</v>
      </c>
      <c r="R6" s="0" t="n">
        <v>54943.484</v>
      </c>
      <c r="S6" s="0" t="n">
        <v>23990.165</v>
      </c>
      <c r="T6" s="0" t="n">
        <v>4343.115</v>
      </c>
      <c r="AA6" s="0" t="s">
        <v>18</v>
      </c>
      <c r="AB6" s="0" t="s">
        <v>14</v>
      </c>
      <c r="AD6" s="0" t="n">
        <v>1124.344</v>
      </c>
    </row>
    <row r="7" customFormat="false" ht="15" hidden="false" customHeight="false" outlineLevel="0" collapsed="false">
      <c r="A7" s="0" t="s">
        <v>71</v>
      </c>
      <c r="B7" s="0" t="n">
        <v>16965.024</v>
      </c>
      <c r="C7" s="0" t="n">
        <v>9765.685</v>
      </c>
      <c r="D7" s="0" t="n">
        <v>7199.339</v>
      </c>
      <c r="E7" s="0" t="n">
        <v>42.4</v>
      </c>
      <c r="F7" s="0" t="n">
        <v>9955.667</v>
      </c>
      <c r="G7" s="0" t="n">
        <v>58.7</v>
      </c>
      <c r="H7" s="0" t="n">
        <v>13660.71</v>
      </c>
      <c r="I7" s="0" t="n">
        <v>5223.679</v>
      </c>
      <c r="J7" s="0" t="n">
        <v>30.8</v>
      </c>
      <c r="K7" s="0" t="n">
        <v>1.1295</v>
      </c>
      <c r="L7" s="0" t="n">
        <v>9814.329</v>
      </c>
      <c r="M7" s="0" t="n">
        <v>1100.368</v>
      </c>
      <c r="N7" s="0" t="n">
        <v>8713.961</v>
      </c>
      <c r="O7" s="0" t="n">
        <v>39792.216</v>
      </c>
      <c r="P7" s="0" t="n">
        <v>207733.802</v>
      </c>
      <c r="Q7" s="0" t="n">
        <v>147328.689</v>
      </c>
      <c r="R7" s="0" t="n">
        <v>57400.737</v>
      </c>
      <c r="S7" s="0" t="n">
        <v>23830.44</v>
      </c>
      <c r="T7" s="0" t="n">
        <v>5993.498</v>
      </c>
      <c r="AA7" s="0" t="s">
        <v>18</v>
      </c>
      <c r="AB7" s="0" t="s">
        <v>14</v>
      </c>
      <c r="AC7" s="0" t="n">
        <v>1.0532</v>
      </c>
      <c r="AD7" s="0" t="n">
        <v>1398.651</v>
      </c>
    </row>
    <row r="8" customFormat="false" ht="15" hidden="false" customHeight="false" outlineLevel="0" collapsed="false">
      <c r="A8" s="0" t="s">
        <v>72</v>
      </c>
      <c r="B8" s="0" t="n">
        <v>18064.824</v>
      </c>
      <c r="C8" s="0" t="n">
        <v>10812.36</v>
      </c>
      <c r="D8" s="0" t="n">
        <v>7252.464</v>
      </c>
      <c r="E8" s="0" t="n">
        <v>40.1</v>
      </c>
      <c r="F8" s="0" t="n">
        <v>10599.233</v>
      </c>
      <c r="G8" s="0" t="n">
        <v>58.7</v>
      </c>
      <c r="H8" s="0" t="n">
        <v>14411.659</v>
      </c>
      <c r="I8" s="0" t="n">
        <v>5501.588</v>
      </c>
      <c r="J8" s="0" t="n">
        <v>30.5</v>
      </c>
      <c r="K8" s="0" t="n">
        <v>0.9179</v>
      </c>
      <c r="L8" s="0" t="n">
        <v>9082.025</v>
      </c>
      <c r="M8" s="0" t="n">
        <v>2150.649</v>
      </c>
      <c r="N8" s="0" t="n">
        <v>6931.376</v>
      </c>
      <c r="O8" s="0" t="n">
        <v>46040.953</v>
      </c>
      <c r="P8" s="0" t="n">
        <v>217182.367</v>
      </c>
      <c r="Q8" s="0" t="n">
        <v>143484.003</v>
      </c>
      <c r="R8" s="0" t="n">
        <v>55266.149</v>
      </c>
      <c r="S8" s="0" t="n">
        <v>20932.48</v>
      </c>
      <c r="T8" s="0" t="n">
        <v>5993.801</v>
      </c>
      <c r="AA8" s="0" t="s">
        <v>18</v>
      </c>
      <c r="AB8" s="0" t="s">
        <v>14</v>
      </c>
      <c r="AC8" s="0" t="n">
        <v>0.905</v>
      </c>
      <c r="AD8" s="0" t="n">
        <v>1654.89</v>
      </c>
    </row>
    <row r="9" customFormat="false" ht="15" hidden="false" customHeight="false" outlineLevel="0" collapsed="false">
      <c r="A9" s="0" t="s">
        <v>73</v>
      </c>
      <c r="B9" s="0" t="n">
        <v>19755.49</v>
      </c>
      <c r="C9" s="0" t="n">
        <v>12980.298</v>
      </c>
      <c r="D9" s="0" t="n">
        <v>6775.192</v>
      </c>
      <c r="E9" s="0" t="n">
        <v>34.3</v>
      </c>
      <c r="F9" s="0" t="n">
        <v>11336.493</v>
      </c>
      <c r="G9" s="0" t="n">
        <v>57.4</v>
      </c>
      <c r="H9" s="0" t="n">
        <v>15302.886</v>
      </c>
      <c r="I9" s="0" t="n">
        <v>5324.958</v>
      </c>
      <c r="J9" s="0" t="n">
        <v>27</v>
      </c>
      <c r="K9" s="0" t="n">
        <v>0.8862</v>
      </c>
      <c r="L9" s="0" t="n">
        <v>4203.482</v>
      </c>
      <c r="M9" s="0" t="n">
        <v>3471.135</v>
      </c>
      <c r="N9" s="0" t="n">
        <v>732.347</v>
      </c>
      <c r="O9" s="0" t="n">
        <v>50380.273</v>
      </c>
      <c r="P9" s="0" t="n">
        <v>293412.909</v>
      </c>
      <c r="Q9" s="0" t="n">
        <v>200363.575</v>
      </c>
      <c r="R9" s="0" t="n">
        <v>71640.768</v>
      </c>
      <c r="S9" s="0" t="n">
        <v>23565.92</v>
      </c>
      <c r="T9" s="0" t="n">
        <v>6038.115</v>
      </c>
      <c r="AA9" s="0" t="s">
        <v>18</v>
      </c>
      <c r="AB9" s="0" t="s">
        <v>14</v>
      </c>
      <c r="AC9" s="0" t="n">
        <v>0.8862</v>
      </c>
      <c r="AD9" s="0" t="n">
        <v>2538.579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6.065</v>
      </c>
    </row>
    <row r="3" customFormat="false" ht="15" hidden="false" customHeight="false" outlineLevel="0" collapsed="false">
      <c r="A3" s="0" t="s">
        <v>77</v>
      </c>
      <c r="B3" s="3" t="n">
        <v>6038.115</v>
      </c>
    </row>
    <row r="4" customFormat="false" ht="15" hidden="false" customHeight="false" outlineLevel="0" collapsed="false">
      <c r="A4" s="0" t="s">
        <v>78</v>
      </c>
      <c r="B4" s="3" t="n">
        <v>1000</v>
      </c>
    </row>
    <row r="5" customFormat="false" ht="15" hidden="false" customHeight="false" outlineLevel="0" collapsed="false">
      <c r="A5" s="0" t="s">
        <v>79</v>
      </c>
      <c r="B5" s="3" t="n">
        <v>25250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10387.655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1.1721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-5</v>
      </c>
      <c r="D13" s="3" t="n">
        <v>-1</v>
      </c>
      <c r="E13" s="3" t="n">
        <v>0</v>
      </c>
      <c r="F13" s="3" t="n">
        <v>-45</v>
      </c>
      <c r="G13" s="3" t="n">
        <v>-3</v>
      </c>
      <c r="H13" s="3" t="n">
        <v>-8</v>
      </c>
      <c r="I13" s="3" t="n">
        <v>1</v>
      </c>
      <c r="J13" s="3" t="n">
        <v>1</v>
      </c>
      <c r="K13" s="3" t="n">
        <v>1</v>
      </c>
      <c r="L13" s="3" t="n">
        <v>0</v>
      </c>
    </row>
    <row r="14" customFormat="false" ht="15" hidden="false" customHeight="false" outlineLevel="0" collapsed="false">
      <c r="A14" s="0" t="s">
        <v>98</v>
      </c>
      <c r="C14" s="3" t="n">
        <v>80.5</v>
      </c>
      <c r="D14" s="3" t="n">
        <v>80</v>
      </c>
      <c r="E14" s="3" t="n">
        <v>80</v>
      </c>
      <c r="F14" s="3" t="n">
        <v>74</v>
      </c>
      <c r="G14" s="3" t="n">
        <v>73</v>
      </c>
      <c r="H14" s="3" t="n">
        <v>72</v>
      </c>
      <c r="I14" s="3" t="n">
        <v>72</v>
      </c>
      <c r="J14" s="3" t="n">
        <v>72</v>
      </c>
      <c r="K14" s="3" t="n">
        <v>72</v>
      </c>
      <c r="L14" s="3" t="n">
        <v>72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33</v>
      </c>
      <c r="D17" s="3" t="n">
        <v>33</v>
      </c>
      <c r="E17" s="3" t="n">
        <v>33</v>
      </c>
      <c r="F17" s="3" t="n">
        <v>25</v>
      </c>
      <c r="G17" s="3" t="n">
        <v>25</v>
      </c>
      <c r="H17" s="3" t="n">
        <v>24</v>
      </c>
      <c r="I17" s="3" t="n">
        <v>24</v>
      </c>
      <c r="J17" s="3" t="n">
        <v>24</v>
      </c>
      <c r="K17" s="3" t="n">
        <v>24</v>
      </c>
      <c r="L17" s="3" t="n">
        <v>24</v>
      </c>
    </row>
    <row r="18" customFormat="false" ht="15" hidden="false" customHeight="false" outlineLevel="0" collapsed="false">
      <c r="A18" s="0" t="s">
        <v>102</v>
      </c>
      <c r="C18" s="3" t="n">
        <v>32</v>
      </c>
      <c r="D18" s="3" t="n">
        <v>30</v>
      </c>
      <c r="E18" s="3" t="n">
        <v>25</v>
      </c>
      <c r="F18" s="3" t="n">
        <v>15</v>
      </c>
      <c r="G18" s="3" t="n">
        <v>15</v>
      </c>
      <c r="H18" s="3" t="n">
        <v>15</v>
      </c>
      <c r="I18" s="3" t="n">
        <v>15</v>
      </c>
      <c r="J18" s="3" t="n">
        <v>15</v>
      </c>
      <c r="K18" s="3" t="n">
        <v>15</v>
      </c>
      <c r="L18" s="3" t="n">
        <v>15</v>
      </c>
    </row>
    <row r="19" customFormat="false" ht="15" hidden="false" customHeight="false" outlineLevel="0" collapsed="false">
      <c r="A19" s="0" t="s">
        <v>103</v>
      </c>
      <c r="C19" s="3" t="n">
        <v>31</v>
      </c>
      <c r="D19" s="3" t="n">
        <v>31</v>
      </c>
      <c r="E19" s="3" t="n">
        <v>31</v>
      </c>
      <c r="F19" s="3" t="n">
        <v>34</v>
      </c>
      <c r="G19" s="3" t="n">
        <v>34</v>
      </c>
      <c r="H19" s="3" t="n">
        <v>34</v>
      </c>
      <c r="I19" s="3" t="n">
        <v>34</v>
      </c>
      <c r="J19" s="3" t="n">
        <v>34</v>
      </c>
      <c r="K19" s="3" t="n">
        <v>34</v>
      </c>
      <c r="L19" s="3" t="n">
        <v>34</v>
      </c>
    </row>
    <row r="20" customFormat="false" ht="15" hidden="false" customHeight="false" outlineLevel="0" collapsed="false">
      <c r="A20" s="0" t="s">
        <v>104</v>
      </c>
      <c r="B20" s="3" t="n">
        <v>8</v>
      </c>
    </row>
    <row r="21" customFormat="false" ht="15" hidden="false" customHeight="false" outlineLevel="0" collapsed="false">
      <c r="A21" s="0" t="s">
        <v>105</v>
      </c>
      <c r="B21" s="3" t="n">
        <v>-2</v>
      </c>
    </row>
    <row r="22" customFormat="false" ht="15" hidden="false" customHeight="false" outlineLevel="0" collapsed="false">
      <c r="A22" s="0" t="s">
        <v>106</v>
      </c>
      <c r="B22" s="3" t="n">
        <v>6</v>
      </c>
    </row>
    <row r="23" customFormat="false" ht="15" hidden="false" customHeight="false" outlineLevel="0" collapsed="false">
      <c r="A23" s="0" t="s">
        <v>107</v>
      </c>
      <c r="B23" s="3" t="n">
        <v>0</v>
      </c>
    </row>
    <row r="24" customFormat="false" ht="15" hidden="false" customHeight="false" outlineLevel="0" collapsed="false">
      <c r="A24" s="0" t="s">
        <v>108</v>
      </c>
      <c r="B24" s="3" t="n">
        <v>0.3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-4</v>
      </c>
      <c r="D27" s="3" t="n">
        <v>0.5</v>
      </c>
      <c r="E27" s="3" t="n">
        <v>1.5</v>
      </c>
      <c r="F27" s="3" t="n">
        <v>-3</v>
      </c>
      <c r="G27" s="3" t="n">
        <v>-3</v>
      </c>
      <c r="H27" s="3" t="n">
        <v>2</v>
      </c>
      <c r="I27" s="3" t="n">
        <v>4</v>
      </c>
      <c r="J27" s="3" t="n">
        <v>4</v>
      </c>
      <c r="K27" s="3" t="n">
        <v>3</v>
      </c>
      <c r="L27" s="3" t="n">
        <v>2</v>
      </c>
    </row>
    <row r="28" customFormat="false" ht="15" hidden="false" customHeight="false" outlineLevel="0" collapsed="false">
      <c r="A28" s="0" t="s">
        <v>98</v>
      </c>
      <c r="C28" s="3" t="n">
        <v>81</v>
      </c>
      <c r="D28" s="3" t="n">
        <v>81</v>
      </c>
      <c r="E28" s="3" t="n">
        <v>81.5</v>
      </c>
      <c r="F28" s="3" t="n">
        <v>80.5</v>
      </c>
      <c r="G28" s="3" t="n">
        <v>80</v>
      </c>
      <c r="H28" s="3" t="n">
        <v>80.5</v>
      </c>
      <c r="I28" s="3" t="n">
        <v>81</v>
      </c>
      <c r="J28" s="3" t="n">
        <v>81.5</v>
      </c>
      <c r="K28" s="3" t="n">
        <v>81.5</v>
      </c>
      <c r="L28" s="3" t="n">
        <v>81.5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33</v>
      </c>
      <c r="D31" s="3" t="n">
        <v>33</v>
      </c>
      <c r="E31" s="3" t="n">
        <v>33</v>
      </c>
      <c r="F31" s="3" t="n">
        <v>33</v>
      </c>
      <c r="G31" s="3" t="n">
        <v>33</v>
      </c>
      <c r="H31" s="3" t="n">
        <v>33</v>
      </c>
      <c r="I31" s="3" t="n">
        <v>34</v>
      </c>
      <c r="J31" s="3" t="n">
        <v>34</v>
      </c>
      <c r="K31" s="3" t="n">
        <v>33</v>
      </c>
      <c r="L31" s="3" t="n">
        <v>33</v>
      </c>
    </row>
    <row r="32" customFormat="false" ht="15" hidden="false" customHeight="false" outlineLevel="0" collapsed="false">
      <c r="A32" s="0" t="s">
        <v>102</v>
      </c>
      <c r="C32" s="3" t="n">
        <v>32</v>
      </c>
      <c r="D32" s="3" t="n">
        <v>32</v>
      </c>
      <c r="E32" s="3" t="n">
        <v>40</v>
      </c>
      <c r="F32" s="3" t="n">
        <v>50</v>
      </c>
      <c r="G32" s="3" t="n">
        <v>55</v>
      </c>
      <c r="H32" s="3" t="n">
        <v>55</v>
      </c>
      <c r="I32" s="3" t="n">
        <v>45</v>
      </c>
      <c r="J32" s="3" t="n">
        <v>32</v>
      </c>
      <c r="K32" s="3" t="n">
        <v>28</v>
      </c>
      <c r="L32" s="3" t="n">
        <v>28</v>
      </c>
    </row>
    <row r="33" customFormat="false" ht="15" hidden="false" customHeight="false" outlineLevel="0" collapsed="false">
      <c r="A33" s="0" t="s">
        <v>103</v>
      </c>
      <c r="C33" s="3" t="n">
        <v>31</v>
      </c>
      <c r="D33" s="3" t="n">
        <v>31</v>
      </c>
      <c r="E33" s="3" t="n">
        <v>31</v>
      </c>
      <c r="F33" s="3" t="n">
        <v>31</v>
      </c>
      <c r="G33" s="3" t="n">
        <v>31</v>
      </c>
      <c r="H33" s="3" t="n">
        <v>31</v>
      </c>
      <c r="I33" s="3" t="n">
        <v>31</v>
      </c>
      <c r="J33" s="3" t="n">
        <v>31</v>
      </c>
      <c r="K33" s="3" t="n">
        <v>31</v>
      </c>
      <c r="L33" s="3" t="n">
        <v>31</v>
      </c>
    </row>
    <row r="34" customFormat="false" ht="15" hidden="false" customHeight="false" outlineLevel="0" collapsed="false">
      <c r="A34" s="0" t="s">
        <v>104</v>
      </c>
      <c r="B34" s="3" t="n">
        <v>8</v>
      </c>
    </row>
    <row r="35" customFormat="false" ht="15" hidden="false" customHeight="false" outlineLevel="0" collapsed="false">
      <c r="A35" s="0" t="s">
        <v>105</v>
      </c>
      <c r="B35" s="3" t="n">
        <v>0</v>
      </c>
    </row>
    <row r="36" customFormat="false" ht="15" hidden="false" customHeight="false" outlineLevel="0" collapsed="false">
      <c r="A36" s="0" t="s">
        <v>106</v>
      </c>
      <c r="B36" s="3" t="n">
        <v>10</v>
      </c>
    </row>
    <row r="37" customFormat="false" ht="15" hidden="false" customHeight="false" outlineLevel="0" collapsed="false">
      <c r="A37" s="0" t="s">
        <v>107</v>
      </c>
      <c r="B37" s="3" t="n">
        <v>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-3.5</v>
      </c>
      <c r="D41" s="3" t="n">
        <v>2</v>
      </c>
      <c r="E41" s="3" t="n">
        <v>3</v>
      </c>
      <c r="F41" s="3" t="n">
        <v>-1</v>
      </c>
      <c r="G41" s="3" t="n">
        <v>-1</v>
      </c>
      <c r="H41" s="3" t="n">
        <v>4</v>
      </c>
      <c r="I41" s="3" t="n">
        <v>6</v>
      </c>
      <c r="J41" s="3" t="n">
        <v>5</v>
      </c>
      <c r="K41" s="3" t="n">
        <v>4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81.5</v>
      </c>
      <c r="D42" s="3" t="n">
        <v>82</v>
      </c>
      <c r="E42" s="3" t="n">
        <v>82</v>
      </c>
      <c r="F42" s="3" t="n">
        <v>81.5</v>
      </c>
      <c r="G42" s="3" t="n">
        <v>81.5</v>
      </c>
      <c r="H42" s="3" t="n">
        <v>82</v>
      </c>
      <c r="I42" s="3" t="n">
        <v>82.5</v>
      </c>
      <c r="J42" s="3" t="n">
        <v>83</v>
      </c>
      <c r="K42" s="3" t="n">
        <v>83</v>
      </c>
      <c r="L42" s="3" t="n">
        <v>83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33</v>
      </c>
      <c r="D45" s="3" t="n">
        <v>33</v>
      </c>
      <c r="E45" s="3" t="n">
        <v>33</v>
      </c>
      <c r="F45" s="3" t="n">
        <v>33</v>
      </c>
      <c r="G45" s="3" t="n">
        <v>33</v>
      </c>
      <c r="H45" s="3" t="n">
        <v>33</v>
      </c>
      <c r="I45" s="3" t="n">
        <v>34</v>
      </c>
      <c r="J45" s="3" t="n">
        <v>34</v>
      </c>
      <c r="K45" s="3" t="n">
        <v>33</v>
      </c>
      <c r="L45" s="3" t="n">
        <v>33</v>
      </c>
    </row>
    <row r="46" customFormat="false" ht="15" hidden="false" customHeight="false" outlineLevel="0" collapsed="false">
      <c r="A46" s="0" t="s">
        <v>102</v>
      </c>
      <c r="C46" s="3" t="n">
        <v>30</v>
      </c>
      <c r="D46" s="3" t="n">
        <v>30</v>
      </c>
      <c r="E46" s="3" t="n">
        <v>35</v>
      </c>
      <c r="F46" s="3" t="n">
        <v>42</v>
      </c>
      <c r="G46" s="3" t="n">
        <v>45</v>
      </c>
      <c r="H46" s="3" t="n">
        <v>40</v>
      </c>
      <c r="I46" s="3" t="n">
        <v>30</v>
      </c>
      <c r="J46" s="3" t="n">
        <v>26</v>
      </c>
      <c r="K46" s="3" t="n">
        <v>25</v>
      </c>
      <c r="L46" s="3" t="n">
        <v>25</v>
      </c>
    </row>
    <row r="47" customFormat="false" ht="15" hidden="false" customHeight="false" outlineLevel="0" collapsed="false">
      <c r="A47" s="0" t="s">
        <v>103</v>
      </c>
      <c r="C47" s="3" t="n">
        <v>31</v>
      </c>
      <c r="D47" s="3" t="n">
        <v>31</v>
      </c>
      <c r="E47" s="3" t="n">
        <v>31</v>
      </c>
      <c r="F47" s="3" t="n">
        <v>31</v>
      </c>
      <c r="G47" s="3" t="n">
        <v>31</v>
      </c>
      <c r="H47" s="3" t="n">
        <v>31</v>
      </c>
      <c r="I47" s="3" t="n">
        <v>31</v>
      </c>
      <c r="J47" s="3" t="n">
        <v>31</v>
      </c>
      <c r="K47" s="3" t="n">
        <v>31</v>
      </c>
      <c r="L47" s="3" t="n">
        <v>31</v>
      </c>
    </row>
    <row r="48" customFormat="false" ht="15" hidden="false" customHeight="false" outlineLevel="0" collapsed="false">
      <c r="A48" s="0" t="s">
        <v>104</v>
      </c>
      <c r="B48" s="3" t="n">
        <v>8</v>
      </c>
    </row>
    <row r="49" customFormat="false" ht="15" hidden="false" customHeight="false" outlineLevel="0" collapsed="false">
      <c r="A49" s="0" t="s">
        <v>105</v>
      </c>
      <c r="B49" s="3" t="n">
        <v>1</v>
      </c>
    </row>
    <row r="50" customFormat="false" ht="15" hidden="false" customHeight="false" outlineLevel="0" collapsed="false">
      <c r="A50" s="0" t="s">
        <v>106</v>
      </c>
      <c r="B50" s="3" t="n">
        <v>11</v>
      </c>
    </row>
    <row r="51" customFormat="false" ht="15" hidden="false" customHeight="false" outlineLevel="0" collapsed="false">
      <c r="A51" s="0" t="s">
        <v>107</v>
      </c>
      <c r="B51" s="3" t="n">
        <v>0</v>
      </c>
    </row>
    <row r="52" customFormat="false" ht="15" hidden="false" customHeight="false" outlineLevel="0" collapsed="false">
      <c r="A52" s="0" t="s">
        <v>108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-5</v>
      </c>
      <c r="D5" s="4" t="n">
        <f aca="false">Assumptions!D13</f>
        <v>-1</v>
      </c>
      <c r="E5" s="4" t="n">
        <f aca="false">Assumptions!E13</f>
        <v>0</v>
      </c>
      <c r="F5" s="4" t="n">
        <f aca="false">Assumptions!F13</f>
        <v>-45</v>
      </c>
      <c r="G5" s="4" t="n">
        <f aca="false">Assumptions!G13</f>
        <v>-3</v>
      </c>
      <c r="H5" s="4" t="n">
        <f aca="false">Assumptions!H13</f>
        <v>-8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0</v>
      </c>
    </row>
    <row r="6" customFormat="false" ht="15" hidden="false" customHeight="false" outlineLevel="0" collapsed="false">
      <c r="A6" s="0" t="s">
        <v>38</v>
      </c>
      <c r="B6" s="3" t="n">
        <v>10387.655</v>
      </c>
      <c r="C6" s="0" t="n">
        <f aca="false">B6*(1+C5/100)</f>
        <v>9868.27225</v>
      </c>
      <c r="D6" s="0" t="n">
        <f aca="false">C6*(1+D5/100)</f>
        <v>9769.5895275</v>
      </c>
      <c r="E6" s="0" t="n">
        <f aca="false">D6*(1+E5/100)</f>
        <v>9769.5895275</v>
      </c>
      <c r="F6" s="0" t="n">
        <f aca="false">E6*(1+F5/100)</f>
        <v>5373.274240125</v>
      </c>
      <c r="G6" s="0" t="n">
        <f aca="false">F6*(1+G5/100)</f>
        <v>5212.07601292125</v>
      </c>
      <c r="H6" s="0" t="n">
        <f aca="false">G6*(1+H5/100)</f>
        <v>4795.10993188755</v>
      </c>
      <c r="I6" s="0" t="n">
        <f aca="false">H6*(1+I5/100)</f>
        <v>4843.06103120643</v>
      </c>
      <c r="J6" s="0" t="n">
        <f aca="false">I6*(1+J5/100)</f>
        <v>4891.49164151849</v>
      </c>
      <c r="K6" s="0" t="n">
        <f aca="false">J6*(1+K5/100)</f>
        <v>4940.40655793368</v>
      </c>
      <c r="L6" s="0" t="n">
        <f aca="false">K6*(1+L5/100)</f>
        <v>4940.40655793368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80.5</v>
      </c>
      <c r="D7" s="4" t="n">
        <f aca="false">Assumptions!D14</f>
        <v>80</v>
      </c>
      <c r="E7" s="4" t="n">
        <f aca="false">Assumptions!E14</f>
        <v>80</v>
      </c>
      <c r="F7" s="4" t="n">
        <f aca="false">Assumptions!F14</f>
        <v>74</v>
      </c>
      <c r="G7" s="4" t="n">
        <f aca="false">Assumptions!G14</f>
        <v>73</v>
      </c>
      <c r="H7" s="4" t="n">
        <f aca="false">Assumptions!H14</f>
        <v>72</v>
      </c>
      <c r="I7" s="4" t="n">
        <f aca="false">Assumptions!I14</f>
        <v>72</v>
      </c>
      <c r="J7" s="4" t="n">
        <f aca="false">Assumptions!J14</f>
        <v>72</v>
      </c>
      <c r="K7" s="4" t="n">
        <f aca="false">Assumptions!K14</f>
        <v>72</v>
      </c>
      <c r="L7" s="4" t="n">
        <f aca="false">Assumptions!L14</f>
        <v>72</v>
      </c>
    </row>
    <row r="8" customFormat="false" ht="15" hidden="false" customHeight="false" outlineLevel="0" collapsed="false">
      <c r="A8" s="0" t="s">
        <v>44</v>
      </c>
      <c r="C8" s="0" t="n">
        <f aca="false">C6*C7/100</f>
        <v>7943.95916125</v>
      </c>
      <c r="D8" s="0" t="n">
        <f aca="false">D6*D7/100</f>
        <v>7815.671622</v>
      </c>
      <c r="E8" s="0" t="n">
        <f aca="false">E6*E7/100</f>
        <v>7815.671622</v>
      </c>
      <c r="F8" s="0" t="n">
        <f aca="false">F6*F7/100</f>
        <v>3976.2229376925</v>
      </c>
      <c r="G8" s="0" t="n">
        <f aca="false">G6*G7/100</f>
        <v>3804.81548943251</v>
      </c>
      <c r="H8" s="0" t="n">
        <f aca="false">H6*H7/100</f>
        <v>3452.47915095904</v>
      </c>
      <c r="I8" s="0" t="n">
        <f aca="false">I6*I7/100</f>
        <v>3487.00394246863</v>
      </c>
      <c r="J8" s="0" t="n">
        <f aca="false">J6*J7/100</f>
        <v>3521.87398189331</v>
      </c>
      <c r="K8" s="0" t="n">
        <f aca="false">K6*K7/100</f>
        <v>3557.09272171225</v>
      </c>
      <c r="L8" s="0" t="n">
        <f aca="false">L6*L7/100</f>
        <v>3557.09272171225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7943.95916125</v>
      </c>
      <c r="D11" s="0" t="n">
        <f aca="false">D8+D10+D24</f>
        <v>7815.671622</v>
      </c>
      <c r="E11" s="0" t="n">
        <f aca="false">E8+E10+E24</f>
        <v>7815.671622</v>
      </c>
      <c r="F11" s="0" t="n">
        <f aca="false">F8+F10+F24</f>
        <v>3976.2229376925</v>
      </c>
      <c r="G11" s="0" t="n">
        <f aca="false">G8+G10+G24</f>
        <v>3804.81548943251</v>
      </c>
      <c r="H11" s="0" t="n">
        <f aca="false">H8+H10+H24</f>
        <v>3452.47915095904</v>
      </c>
      <c r="I11" s="0" t="n">
        <f aca="false">I8+I10+I24</f>
        <v>3487.00394246863</v>
      </c>
      <c r="J11" s="0" t="n">
        <f aca="false">J8+J10+J24</f>
        <v>3521.87398189331</v>
      </c>
      <c r="K11" s="0" t="n">
        <f aca="false">K8+K10+K24</f>
        <v>3557.09272171225</v>
      </c>
      <c r="L11" s="0" t="n">
        <f aca="false">L8+L10+L24</f>
        <v>3557.09272171225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-3256.5298425</v>
      </c>
      <c r="D12" s="4" t="n">
        <f aca="false">-D6*Assumptions!D17/100</f>
        <v>-3223.964544075</v>
      </c>
      <c r="E12" s="4" t="n">
        <f aca="false">-E6*Assumptions!E17/100</f>
        <v>-3223.964544075</v>
      </c>
      <c r="F12" s="4" t="n">
        <f aca="false">-F6*Assumptions!F17/100</f>
        <v>-1343.31856003125</v>
      </c>
      <c r="G12" s="4" t="n">
        <f aca="false">-G6*Assumptions!G17/100</f>
        <v>-1303.01900323031</v>
      </c>
      <c r="H12" s="4" t="n">
        <f aca="false">-H6*Assumptions!H17/100</f>
        <v>-1150.82638365301</v>
      </c>
      <c r="I12" s="4" t="n">
        <f aca="false">-I6*Assumptions!I17/100</f>
        <v>-1162.33464748954</v>
      </c>
      <c r="J12" s="4" t="n">
        <f aca="false">-J6*Assumptions!J17/100</f>
        <v>-1173.95799396444</v>
      </c>
      <c r="K12" s="4" t="n">
        <f aca="false">-K6*Assumptions!K17/100</f>
        <v>-1185.69757390408</v>
      </c>
      <c r="L12" s="4" t="n">
        <f aca="false">-L6*Assumptions!L17/100</f>
        <v>-1185.69757390408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4687.42931875</v>
      </c>
      <c r="D13" s="0" t="n">
        <f aca="false">D11+D12</f>
        <v>4591.707077925</v>
      </c>
      <c r="E13" s="0" t="n">
        <f aca="false">E11+E12</f>
        <v>4591.707077925</v>
      </c>
      <c r="F13" s="0" t="n">
        <f aca="false">F11+F12</f>
        <v>2632.90437766125</v>
      </c>
      <c r="G13" s="0" t="n">
        <f aca="false">G11+G12</f>
        <v>2501.7964862022</v>
      </c>
      <c r="H13" s="0" t="n">
        <f aca="false">H11+H12</f>
        <v>2301.65276730602</v>
      </c>
      <c r="I13" s="0" t="n">
        <f aca="false">I11+I12</f>
        <v>2324.66929497908</v>
      </c>
      <c r="J13" s="0" t="n">
        <f aca="false">J11+J12</f>
        <v>2347.91598792888</v>
      </c>
      <c r="K13" s="0" t="n">
        <f aca="false">K11+K12</f>
        <v>2371.39514780816</v>
      </c>
      <c r="L13" s="0" t="n">
        <f aca="false">L11+L12</f>
        <v>2371.39514780816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31</v>
      </c>
      <c r="D14" s="4" t="n">
        <f aca="false">Assumptions!D19</f>
        <v>31</v>
      </c>
      <c r="E14" s="4" t="n">
        <f aca="false">Assumptions!E19</f>
        <v>31</v>
      </c>
      <c r="F14" s="4" t="n">
        <f aca="false">Assumptions!F19</f>
        <v>34</v>
      </c>
      <c r="G14" s="4" t="n">
        <f aca="false">Assumptions!G19</f>
        <v>34</v>
      </c>
      <c r="H14" s="4" t="n">
        <f aca="false">Assumptions!H19</f>
        <v>34</v>
      </c>
      <c r="I14" s="4" t="n">
        <f aca="false">Assumptions!I19</f>
        <v>34</v>
      </c>
      <c r="J14" s="4" t="n">
        <f aca="false">Assumptions!J19</f>
        <v>34</v>
      </c>
      <c r="K14" s="4" t="n">
        <f aca="false">Assumptions!K19</f>
        <v>34</v>
      </c>
      <c r="L14" s="4" t="n">
        <f aca="false">Assumptions!L19</f>
        <v>34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3234.3262299375</v>
      </c>
      <c r="D15" s="0" t="n">
        <f aca="false">D13-MAX(0,D13)*D14/100</f>
        <v>3168.27788376825</v>
      </c>
      <c r="E15" s="0" t="n">
        <f aca="false">E13-MAX(0,E13)*E14/100</f>
        <v>3168.27788376825</v>
      </c>
      <c r="F15" s="0" t="n">
        <f aca="false">F13-MAX(0,F13)*F14/100</f>
        <v>1737.71688925643</v>
      </c>
      <c r="G15" s="0" t="n">
        <f aca="false">G13-MAX(0,G13)*G14/100</f>
        <v>1651.18568089345</v>
      </c>
      <c r="H15" s="0" t="n">
        <f aca="false">H13-MAX(0,H13)*H14/100</f>
        <v>1519.09082642198</v>
      </c>
      <c r="I15" s="0" t="n">
        <f aca="false">I13-MAX(0,I13)*I14/100</f>
        <v>1534.2817346862</v>
      </c>
      <c r="J15" s="0" t="n">
        <f aca="false">J13-MAX(0,J13)*J14/100</f>
        <v>1549.62455203306</v>
      </c>
      <c r="K15" s="0" t="n">
        <f aca="false">K13-MAX(0,K13)*K14/100</f>
        <v>1565.12079755339</v>
      </c>
      <c r="L15" s="0" t="n">
        <f aca="false">L13-MAX(0,L13)*L14/100</f>
        <v>1565.12079755339</v>
      </c>
    </row>
    <row r="16" customFormat="false" ht="15" hidden="false" customHeight="false" outlineLevel="0" collapsed="false">
      <c r="A16" s="0" t="s">
        <v>119</v>
      </c>
      <c r="C16" s="0" t="n">
        <f aca="false">-C12</f>
        <v>3256.5298425</v>
      </c>
      <c r="D16" s="0" t="n">
        <f aca="false">-D12</f>
        <v>3223.964544075</v>
      </c>
      <c r="E16" s="0" t="n">
        <f aca="false">-E12</f>
        <v>3223.964544075</v>
      </c>
      <c r="F16" s="0" t="n">
        <f aca="false">-F12</f>
        <v>1343.31856003125</v>
      </c>
      <c r="G16" s="0" t="n">
        <f aca="false">-G12</f>
        <v>1303.01900323031</v>
      </c>
      <c r="H16" s="0" t="n">
        <f aca="false">-H12</f>
        <v>1150.82638365301</v>
      </c>
      <c r="I16" s="0" t="n">
        <f aca="false">-I12</f>
        <v>1162.33464748954</v>
      </c>
      <c r="J16" s="0" t="n">
        <f aca="false">-J12</f>
        <v>1173.95799396444</v>
      </c>
      <c r="K16" s="0" t="n">
        <f aca="false">-K12</f>
        <v>1185.69757390408</v>
      </c>
      <c r="L16" s="0" t="n">
        <f aca="false">-L12</f>
        <v>1185.69757390408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-3157.84712</v>
      </c>
      <c r="D17" s="4" t="n">
        <f aca="false">-D6*Assumptions!D18/100</f>
        <v>-2930.87685825</v>
      </c>
      <c r="E17" s="4" t="n">
        <f aca="false">-E6*Assumptions!E18/100</f>
        <v>-2442.397381875</v>
      </c>
      <c r="F17" s="4" t="n">
        <f aca="false">-F6*Assumptions!F18/100</f>
        <v>-805.99113601875</v>
      </c>
      <c r="G17" s="4" t="n">
        <f aca="false">-G6*Assumptions!G18/100</f>
        <v>-781.811401938188</v>
      </c>
      <c r="H17" s="4" t="n">
        <f aca="false">-H6*Assumptions!H18/100</f>
        <v>-719.266489783133</v>
      </c>
      <c r="I17" s="4" t="n">
        <f aca="false">-I6*Assumptions!I18/100</f>
        <v>-726.459154680964</v>
      </c>
      <c r="J17" s="4" t="n">
        <f aca="false">-J6*Assumptions!J18/100</f>
        <v>-733.723746227774</v>
      </c>
      <c r="K17" s="4" t="n">
        <f aca="false">-K6*Assumptions!K18/100</f>
        <v>-741.060983690051</v>
      </c>
      <c r="L17" s="4" t="n">
        <f aca="false">-L6*Assumptions!L18/100</f>
        <v>-741.060983690051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-0</v>
      </c>
      <c r="G18" s="4" t="n">
        <f aca="false">(G6-F6)*Assumptions!$B$23/100</f>
        <v>-0</v>
      </c>
      <c r="H18" s="4" t="n">
        <f aca="false">(H6-G6)*Assumptions!$B$23/100</f>
        <v>-0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3333.0089524375</v>
      </c>
      <c r="D19" s="0" t="n">
        <f aca="false">D15+D16+D17+D18</f>
        <v>3461.36556959325</v>
      </c>
      <c r="E19" s="0" t="n">
        <f aca="false">E15+E16+E17+E18</f>
        <v>3949.84504596825</v>
      </c>
      <c r="F19" s="0" t="n">
        <f aca="false">F15+F16+F17+F18</f>
        <v>2275.04431326893</v>
      </c>
      <c r="G19" s="0" t="n">
        <f aca="false">G15+G16+G17+G18</f>
        <v>2172.39328218558</v>
      </c>
      <c r="H19" s="0" t="n">
        <f aca="false">H15+H16+H17+H18</f>
        <v>1950.65072029186</v>
      </c>
      <c r="I19" s="0" t="n">
        <f aca="false">I15+I16+I17+I18</f>
        <v>1970.15722749477</v>
      </c>
      <c r="J19" s="0" t="n">
        <f aca="false">J15+J16+J17+J18</f>
        <v>1989.85879976972</v>
      </c>
      <c r="K19" s="0" t="n">
        <f aca="false">K15+K16+K17+K18</f>
        <v>2009.75738776742</v>
      </c>
      <c r="L19" s="0" t="n">
        <f aca="false">L15+L16+L17+L18</f>
        <v>2009.75738776742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3086.11940040509</v>
      </c>
      <c r="D21" s="0" t="n">
        <f aca="false">D19*D20</f>
        <v>2967.56307406829</v>
      </c>
      <c r="E21" s="0" t="n">
        <f aca="false">E19*E20</f>
        <v>3135.51434452339</v>
      </c>
      <c r="F21" s="0" t="n">
        <f aca="false">F19*F20</f>
        <v>1672.22548668747</v>
      </c>
      <c r="G21" s="0" t="n">
        <f aca="false">G19*G20</f>
        <v>1478.49436520451</v>
      </c>
      <c r="H21" s="0" t="n">
        <f aca="false">H19*H20</f>
        <v>1229.24083658558</v>
      </c>
      <c r="I21" s="0" t="n">
        <f aca="false">I19*I20</f>
        <v>1149.56781939948</v>
      </c>
      <c r="J21" s="0" t="n">
        <f aca="false">J19*J20</f>
        <v>1075.05879406803</v>
      </c>
      <c r="K21" s="0" t="n">
        <f aca="false">K19*K20</f>
        <v>1005.37905741547</v>
      </c>
      <c r="L21" s="0" t="n">
        <f aca="false">L19*L20</f>
        <v>930.906534643954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-2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6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17730.0697130013</v>
      </c>
    </row>
    <row r="31" customFormat="false" ht="15" hidden="false" customHeight="false" outlineLevel="0" collapsed="false">
      <c r="A31" s="0" t="s">
        <v>128</v>
      </c>
      <c r="B31" s="0" t="n">
        <f aca="false">L19</f>
        <v>2009.75738776742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19695.6224001207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12058.5443266045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12058.5443266045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5585.43920786372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23315.508920865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47565.508920865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9.23326783377691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0.522385463112433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9.23326783377691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11585.6602353651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7.94128520717506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-4</v>
      </c>
      <c r="D5" s="4" t="n">
        <f aca="false">Assumptions!D27</f>
        <v>0.5</v>
      </c>
      <c r="E5" s="4" t="n">
        <f aca="false">Assumptions!E27</f>
        <v>1.5</v>
      </c>
      <c r="F5" s="4" t="n">
        <f aca="false">Assumptions!F27</f>
        <v>-3</v>
      </c>
      <c r="G5" s="4" t="n">
        <f aca="false">Assumptions!G27</f>
        <v>-3</v>
      </c>
      <c r="H5" s="4" t="n">
        <f aca="false">Assumptions!H27</f>
        <v>2</v>
      </c>
      <c r="I5" s="4" t="n">
        <f aca="false">Assumptions!I27</f>
        <v>4</v>
      </c>
      <c r="J5" s="4" t="n">
        <f aca="false">Assumptions!J27</f>
        <v>4</v>
      </c>
      <c r="K5" s="4" t="n">
        <f aca="false">Assumptions!K27</f>
        <v>3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10387.655</v>
      </c>
      <c r="C6" s="0" t="n">
        <f aca="false">B6*(1+C5/100)</f>
        <v>9972.1488</v>
      </c>
      <c r="D6" s="0" t="n">
        <f aca="false">C6*(1+D5/100)</f>
        <v>10022.009544</v>
      </c>
      <c r="E6" s="0" t="n">
        <f aca="false">D6*(1+E5/100)</f>
        <v>10172.33968716</v>
      </c>
      <c r="F6" s="0" t="n">
        <f aca="false">E6*(1+F5/100)</f>
        <v>9867.1694965452</v>
      </c>
      <c r="G6" s="0" t="n">
        <f aca="false">F6*(1+G5/100)</f>
        <v>9571.15441164884</v>
      </c>
      <c r="H6" s="0" t="n">
        <f aca="false">G6*(1+H5/100)</f>
        <v>9762.57749988182</v>
      </c>
      <c r="I6" s="0" t="n">
        <f aca="false">H6*(1+I5/100)</f>
        <v>10153.0805998771</v>
      </c>
      <c r="J6" s="0" t="n">
        <f aca="false">I6*(1+J5/100)</f>
        <v>10559.2038238722</v>
      </c>
      <c r="K6" s="0" t="n">
        <f aca="false">J6*(1+K5/100)</f>
        <v>10875.9799385883</v>
      </c>
      <c r="L6" s="0" t="n">
        <f aca="false">K6*(1+L5/100)</f>
        <v>11093.4995373601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81</v>
      </c>
      <c r="D7" s="4" t="n">
        <f aca="false">Assumptions!D28</f>
        <v>81</v>
      </c>
      <c r="E7" s="4" t="n">
        <f aca="false">Assumptions!E28</f>
        <v>81.5</v>
      </c>
      <c r="F7" s="4" t="n">
        <f aca="false">Assumptions!F28</f>
        <v>80.5</v>
      </c>
      <c r="G7" s="4" t="n">
        <f aca="false">Assumptions!G28</f>
        <v>80</v>
      </c>
      <c r="H7" s="4" t="n">
        <f aca="false">Assumptions!H28</f>
        <v>80.5</v>
      </c>
      <c r="I7" s="4" t="n">
        <f aca="false">Assumptions!I28</f>
        <v>81</v>
      </c>
      <c r="J7" s="4" t="n">
        <f aca="false">Assumptions!J28</f>
        <v>81.5</v>
      </c>
      <c r="K7" s="4" t="n">
        <f aca="false">Assumptions!K28</f>
        <v>81.5</v>
      </c>
      <c r="L7" s="4" t="n">
        <f aca="false">Assumptions!L28</f>
        <v>81.5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8077.440528</v>
      </c>
      <c r="D8" s="0" t="n">
        <f aca="false">D6*D7/100</f>
        <v>8117.82773064</v>
      </c>
      <c r="E8" s="0" t="n">
        <f aca="false">E6*E7/100</f>
        <v>8290.4568450354</v>
      </c>
      <c r="F8" s="0" t="n">
        <f aca="false">F6*F7/100</f>
        <v>7943.07144471889</v>
      </c>
      <c r="G8" s="0" t="n">
        <f aca="false">G6*G7/100</f>
        <v>7656.92352931907</v>
      </c>
      <c r="H8" s="0" t="n">
        <f aca="false">H6*H7/100</f>
        <v>7858.87488740486</v>
      </c>
      <c r="I8" s="0" t="n">
        <f aca="false">I6*I7/100</f>
        <v>8223.99528590044</v>
      </c>
      <c r="J8" s="0" t="n">
        <f aca="false">J6*J7/100</f>
        <v>8605.75111645582</v>
      </c>
      <c r="K8" s="0" t="n">
        <f aca="false">K6*K7/100</f>
        <v>8863.9236499495</v>
      </c>
      <c r="L8" s="0" t="n">
        <f aca="false">L6*L7/100</f>
        <v>9041.20212294849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8077.440528</v>
      </c>
      <c r="D11" s="0" t="n">
        <f aca="false">D8+D10+D24</f>
        <v>8117.82773064</v>
      </c>
      <c r="E11" s="0" t="n">
        <f aca="false">E8+E10+E24</f>
        <v>8290.4568450354</v>
      </c>
      <c r="F11" s="0" t="n">
        <f aca="false">F8+F10+F24</f>
        <v>7943.07144471889</v>
      </c>
      <c r="G11" s="0" t="n">
        <f aca="false">G8+G10+G24</f>
        <v>7656.92352931907</v>
      </c>
      <c r="H11" s="0" t="n">
        <f aca="false">H8+H10+H24</f>
        <v>7858.87488740486</v>
      </c>
      <c r="I11" s="0" t="n">
        <f aca="false">I8+I10+I24</f>
        <v>8223.99528590044</v>
      </c>
      <c r="J11" s="0" t="n">
        <f aca="false">J8+J10+J24</f>
        <v>8605.75111645582</v>
      </c>
      <c r="K11" s="0" t="n">
        <f aca="false">K8+K10+K24</f>
        <v>8863.9236499495</v>
      </c>
      <c r="L11" s="0" t="n">
        <f aca="false">L8+L10+L24</f>
        <v>9041.20212294849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-3290.809104</v>
      </c>
      <c r="D12" s="4" t="n">
        <f aca="false">-D6*Assumptions!D31/100</f>
        <v>-3307.26314952</v>
      </c>
      <c r="E12" s="4" t="n">
        <f aca="false">-E6*Assumptions!E31/100</f>
        <v>-3356.8720967628</v>
      </c>
      <c r="F12" s="4" t="n">
        <f aca="false">-F6*Assumptions!F31/100</f>
        <v>-3256.16593385992</v>
      </c>
      <c r="G12" s="4" t="n">
        <f aca="false">-G6*Assumptions!G31/100</f>
        <v>-3158.48095584412</v>
      </c>
      <c r="H12" s="4" t="n">
        <f aca="false">-H6*Assumptions!H31/100</f>
        <v>-3221.650574961</v>
      </c>
      <c r="I12" s="4" t="n">
        <f aca="false">-I6*Assumptions!I31/100</f>
        <v>-3452.04740395821</v>
      </c>
      <c r="J12" s="4" t="n">
        <f aca="false">-J6*Assumptions!J31/100</f>
        <v>-3590.12930011654</v>
      </c>
      <c r="K12" s="4" t="n">
        <f aca="false">-K6*Assumptions!K31/100</f>
        <v>-3589.07337973415</v>
      </c>
      <c r="L12" s="4" t="n">
        <f aca="false">-L6*Assumptions!L31/100</f>
        <v>-3660.85484732884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4786.631424</v>
      </c>
      <c r="D13" s="0" t="n">
        <f aca="false">D11+D12</f>
        <v>4810.56458112</v>
      </c>
      <c r="E13" s="0" t="n">
        <f aca="false">E11+E12</f>
        <v>4933.5847482726</v>
      </c>
      <c r="F13" s="0" t="n">
        <f aca="false">F11+F12</f>
        <v>4686.90551085897</v>
      </c>
      <c r="G13" s="0" t="n">
        <f aca="false">G11+G12</f>
        <v>4498.44257347496</v>
      </c>
      <c r="H13" s="0" t="n">
        <f aca="false">H11+H12</f>
        <v>4637.22431244387</v>
      </c>
      <c r="I13" s="0" t="n">
        <f aca="false">I11+I12</f>
        <v>4771.94788194223</v>
      </c>
      <c r="J13" s="0" t="n">
        <f aca="false">J11+J12</f>
        <v>5015.62181633928</v>
      </c>
      <c r="K13" s="0" t="n">
        <f aca="false">K11+K12</f>
        <v>5274.85027021535</v>
      </c>
      <c r="L13" s="0" t="n">
        <f aca="false">L11+L12</f>
        <v>5380.34727561965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31</v>
      </c>
      <c r="D14" s="4" t="n">
        <f aca="false">Assumptions!D33</f>
        <v>31</v>
      </c>
      <c r="E14" s="4" t="n">
        <f aca="false">Assumptions!E33</f>
        <v>31</v>
      </c>
      <c r="F14" s="4" t="n">
        <f aca="false">Assumptions!F33</f>
        <v>31</v>
      </c>
      <c r="G14" s="4" t="n">
        <f aca="false">Assumptions!G33</f>
        <v>31</v>
      </c>
      <c r="H14" s="4" t="n">
        <f aca="false">Assumptions!H33</f>
        <v>31</v>
      </c>
      <c r="I14" s="4" t="n">
        <f aca="false">Assumptions!I33</f>
        <v>31</v>
      </c>
      <c r="J14" s="4" t="n">
        <f aca="false">Assumptions!J33</f>
        <v>31</v>
      </c>
      <c r="K14" s="4" t="n">
        <f aca="false">Assumptions!K33</f>
        <v>31</v>
      </c>
      <c r="L14" s="4" t="n">
        <f aca="false">Assumptions!L33</f>
        <v>31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3302.77568256</v>
      </c>
      <c r="D15" s="0" t="n">
        <f aca="false">D13-MAX(0,D13)*D14/100</f>
        <v>3319.2895609728</v>
      </c>
      <c r="E15" s="0" t="n">
        <f aca="false">E13-MAX(0,E13)*E14/100</f>
        <v>3404.17347630809</v>
      </c>
      <c r="F15" s="0" t="n">
        <f aca="false">F13-MAX(0,F13)*F14/100</f>
        <v>3233.96480249269</v>
      </c>
      <c r="G15" s="0" t="n">
        <f aca="false">G13-MAX(0,G13)*G14/100</f>
        <v>3103.92537569772</v>
      </c>
      <c r="H15" s="0" t="n">
        <f aca="false">H13-MAX(0,H13)*H14/100</f>
        <v>3199.68477558627</v>
      </c>
      <c r="I15" s="0" t="n">
        <f aca="false">I13-MAX(0,I13)*I14/100</f>
        <v>3292.64403854014</v>
      </c>
      <c r="J15" s="0" t="n">
        <f aca="false">J13-MAX(0,J13)*J14/100</f>
        <v>3460.77905327411</v>
      </c>
      <c r="K15" s="0" t="n">
        <f aca="false">K13-MAX(0,K13)*K14/100</f>
        <v>3639.64668644859</v>
      </c>
      <c r="L15" s="0" t="n">
        <f aca="false">L13-MAX(0,L13)*L14/100</f>
        <v>3712.43962017756</v>
      </c>
    </row>
    <row r="16" customFormat="false" ht="15" hidden="false" customHeight="false" outlineLevel="0" collapsed="false">
      <c r="A16" s="0" t="s">
        <v>119</v>
      </c>
      <c r="C16" s="0" t="n">
        <f aca="false">-C12</f>
        <v>3290.809104</v>
      </c>
      <c r="D16" s="0" t="n">
        <f aca="false">-D12</f>
        <v>3307.26314952</v>
      </c>
      <c r="E16" s="0" t="n">
        <f aca="false">-E12</f>
        <v>3356.8720967628</v>
      </c>
      <c r="F16" s="0" t="n">
        <f aca="false">-F12</f>
        <v>3256.16593385992</v>
      </c>
      <c r="G16" s="0" t="n">
        <f aca="false">-G12</f>
        <v>3158.48095584412</v>
      </c>
      <c r="H16" s="0" t="n">
        <f aca="false">-H12</f>
        <v>3221.650574961</v>
      </c>
      <c r="I16" s="0" t="n">
        <f aca="false">-I12</f>
        <v>3452.04740395821</v>
      </c>
      <c r="J16" s="0" t="n">
        <f aca="false">-J12</f>
        <v>3590.12930011654</v>
      </c>
      <c r="K16" s="0" t="n">
        <f aca="false">-K12</f>
        <v>3589.07337973415</v>
      </c>
      <c r="L16" s="0" t="n">
        <f aca="false">-L12</f>
        <v>3660.85484732884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-3191.087616</v>
      </c>
      <c r="D17" s="4" t="n">
        <f aca="false">-D6*Assumptions!D32/100</f>
        <v>-3207.04305408</v>
      </c>
      <c r="E17" s="4" t="n">
        <f aca="false">-E6*Assumptions!E32/100</f>
        <v>-4068.935874864</v>
      </c>
      <c r="F17" s="4" t="n">
        <f aca="false">-F6*Assumptions!F32/100</f>
        <v>-4933.5847482726</v>
      </c>
      <c r="G17" s="4" t="n">
        <f aca="false">-G6*Assumptions!G32/100</f>
        <v>-5264.13492640686</v>
      </c>
      <c r="H17" s="4" t="n">
        <f aca="false">-H6*Assumptions!H32/100</f>
        <v>-5369.417624935</v>
      </c>
      <c r="I17" s="4" t="n">
        <f aca="false">-I6*Assumptions!I32/100</f>
        <v>-4568.88626994469</v>
      </c>
      <c r="J17" s="4" t="n">
        <f aca="false">-J6*Assumptions!J32/100</f>
        <v>-3378.9452236391</v>
      </c>
      <c r="K17" s="4" t="n">
        <f aca="false">-K6*Assumptions!K32/100</f>
        <v>-3045.27438280474</v>
      </c>
      <c r="L17" s="4" t="n">
        <f aca="false">-L6*Assumptions!L32/100</f>
        <v>-3106.17987046083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-0</v>
      </c>
      <c r="G18" s="4" t="n">
        <f aca="false">(G6-F6)*Assumptions!$B$37/100</f>
        <v>-0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3402.49717056</v>
      </c>
      <c r="D19" s="0" t="n">
        <f aca="false">D15+D16+D17+D18</f>
        <v>3419.5096564128</v>
      </c>
      <c r="E19" s="0" t="n">
        <f aca="false">E15+E16+E17+E18</f>
        <v>2692.10969820689</v>
      </c>
      <c r="F19" s="0" t="n">
        <f aca="false">F15+F16+F17+F18</f>
        <v>1556.54598808001</v>
      </c>
      <c r="G19" s="0" t="n">
        <f aca="false">G15+G16+G17+G18</f>
        <v>998.271405134975</v>
      </c>
      <c r="H19" s="0" t="n">
        <f aca="false">H15+H16+H17+H18</f>
        <v>1051.91772561226</v>
      </c>
      <c r="I19" s="0" t="n">
        <f aca="false">I15+I16+I17+I18</f>
        <v>2175.80517255366</v>
      </c>
      <c r="J19" s="0" t="n">
        <f aca="false">J15+J16+J17+J18</f>
        <v>3671.96312975155</v>
      </c>
      <c r="K19" s="0" t="n">
        <f aca="false">K15+K16+K17+K18</f>
        <v>4183.44568337801</v>
      </c>
      <c r="L19" s="0" t="n">
        <f aca="false">L15+L16+L17+L18</f>
        <v>4267.11459704557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3150.46034311111</v>
      </c>
      <c r="D21" s="0" t="n">
        <f aca="false">D19*D20</f>
        <v>2931.67837483951</v>
      </c>
      <c r="E21" s="0" t="n">
        <f aca="false">E19*E20</f>
        <v>2137.08347479971</v>
      </c>
      <c r="F21" s="0" t="n">
        <f aca="false">F19*F20</f>
        <v>1144.10776848936</v>
      </c>
      <c r="G21" s="0" t="n">
        <f aca="false">G19*G20</f>
        <v>679.406744414138</v>
      </c>
      <c r="H21" s="0" t="n">
        <f aca="false">H19*H20</f>
        <v>662.886600660805</v>
      </c>
      <c r="I21" s="0" t="n">
        <f aca="false">I19*I20</f>
        <v>1269.56142014673</v>
      </c>
      <c r="J21" s="0" t="n">
        <f aca="false">J19*J20</f>
        <v>1983.84742404325</v>
      </c>
      <c r="K21" s="0" t="n">
        <f aca="false">K19*K20</f>
        <v>2092.76438216041</v>
      </c>
      <c r="L21" s="0" t="n">
        <f aca="false">L19*L20</f>
        <v>1976.49969426261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0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18028.2962269276</v>
      </c>
    </row>
    <row r="31" customFormat="false" ht="15" hidden="false" customHeight="false" outlineLevel="0" collapsed="false">
      <c r="A31" s="0" t="s">
        <v>128</v>
      </c>
      <c r="B31" s="0" t="n">
        <f aca="false">L19</f>
        <v>4267.11459704557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53338.9324630696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42671.1459704557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42671.1459704557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19764.9969426261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37793.2931695537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62043.2931695537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12.0436500338324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0.985762577713503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12.0436500338324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28447.4306469704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8.67693856311727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-3.5</v>
      </c>
      <c r="D5" s="4" t="n">
        <f aca="false">Assumptions!D41</f>
        <v>2</v>
      </c>
      <c r="E5" s="4" t="n">
        <f aca="false">Assumptions!E41</f>
        <v>3</v>
      </c>
      <c r="F5" s="4" t="n">
        <f aca="false">Assumptions!F41</f>
        <v>-1</v>
      </c>
      <c r="G5" s="4" t="n">
        <f aca="false">Assumptions!G41</f>
        <v>-1</v>
      </c>
      <c r="H5" s="4" t="n">
        <f aca="false">Assumptions!H41</f>
        <v>4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10387.655</v>
      </c>
      <c r="C6" s="0" t="n">
        <f aca="false">B6*(1+C5/100)</f>
        <v>10024.087075</v>
      </c>
      <c r="D6" s="0" t="n">
        <f aca="false">C6*(1+D5/100)</f>
        <v>10224.5688165</v>
      </c>
      <c r="E6" s="0" t="n">
        <f aca="false">D6*(1+E5/100)</f>
        <v>10531.305880995</v>
      </c>
      <c r="F6" s="0" t="n">
        <f aca="false">E6*(1+F5/100)</f>
        <v>10425.9928221851</v>
      </c>
      <c r="G6" s="0" t="n">
        <f aca="false">F6*(1+G5/100)</f>
        <v>10321.7328939632</v>
      </c>
      <c r="H6" s="0" t="n">
        <f aca="false">G6*(1+H5/100)</f>
        <v>10734.6022097217</v>
      </c>
      <c r="I6" s="0" t="n">
        <f aca="false">H6*(1+I5/100)</f>
        <v>11378.678342305</v>
      </c>
      <c r="J6" s="0" t="n">
        <f aca="false">I6*(1+J5/100)</f>
        <v>11947.6122594203</v>
      </c>
      <c r="K6" s="0" t="n">
        <f aca="false">J6*(1+K5/100)</f>
        <v>12425.5167497971</v>
      </c>
      <c r="L6" s="0" t="n">
        <f aca="false">K6*(1+L5/100)</f>
        <v>12798.282252291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81.5</v>
      </c>
      <c r="D7" s="4" t="n">
        <f aca="false">Assumptions!D42</f>
        <v>82</v>
      </c>
      <c r="E7" s="4" t="n">
        <f aca="false">Assumptions!E42</f>
        <v>82</v>
      </c>
      <c r="F7" s="4" t="n">
        <f aca="false">Assumptions!F42</f>
        <v>81.5</v>
      </c>
      <c r="G7" s="4" t="n">
        <f aca="false">Assumptions!G42</f>
        <v>81.5</v>
      </c>
      <c r="H7" s="4" t="n">
        <f aca="false">Assumptions!H42</f>
        <v>82</v>
      </c>
      <c r="I7" s="4" t="n">
        <f aca="false">Assumptions!I42</f>
        <v>82.5</v>
      </c>
      <c r="J7" s="4" t="n">
        <f aca="false">Assumptions!J42</f>
        <v>83</v>
      </c>
      <c r="K7" s="4" t="n">
        <f aca="false">Assumptions!K42</f>
        <v>83</v>
      </c>
      <c r="L7" s="4" t="n">
        <f aca="false">Assumptions!L42</f>
        <v>83</v>
      </c>
    </row>
    <row r="8" customFormat="false" ht="15" hidden="false" customHeight="false" outlineLevel="0" collapsed="false">
      <c r="A8" s="0" t="s">
        <v>44</v>
      </c>
      <c r="C8" s="0" t="n">
        <f aca="false">C6*C7/100</f>
        <v>8169.630966125</v>
      </c>
      <c r="D8" s="0" t="n">
        <f aca="false">D6*D7/100</f>
        <v>8384.14642953</v>
      </c>
      <c r="E8" s="0" t="n">
        <f aca="false">E6*E7/100</f>
        <v>8635.6708224159</v>
      </c>
      <c r="F8" s="0" t="n">
        <f aca="false">F6*F7/100</f>
        <v>8497.18415008082</v>
      </c>
      <c r="G8" s="0" t="n">
        <f aca="false">G6*G7/100</f>
        <v>8412.21230858001</v>
      </c>
      <c r="H8" s="0" t="n">
        <f aca="false">H6*H7/100</f>
        <v>8802.37381197182</v>
      </c>
      <c r="I8" s="0" t="n">
        <f aca="false">I6*I7/100</f>
        <v>9387.40963240165</v>
      </c>
      <c r="J8" s="0" t="n">
        <f aca="false">J6*J7/100</f>
        <v>9916.51817531884</v>
      </c>
      <c r="K8" s="0" t="n">
        <f aca="false">K6*K7/100</f>
        <v>10313.1789023316</v>
      </c>
      <c r="L8" s="0" t="n">
        <f aca="false">L6*L7/100</f>
        <v>10622.5742694015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8169.630966125</v>
      </c>
      <c r="D11" s="0" t="n">
        <f aca="false">D8+D10+D24</f>
        <v>8384.14642953</v>
      </c>
      <c r="E11" s="0" t="n">
        <f aca="false">E8+E10+E24</f>
        <v>8635.6708224159</v>
      </c>
      <c r="F11" s="0" t="n">
        <f aca="false">F8+F10+F24</f>
        <v>8497.18415008082</v>
      </c>
      <c r="G11" s="0" t="n">
        <f aca="false">G8+G10+G24</f>
        <v>8412.21230858001</v>
      </c>
      <c r="H11" s="0" t="n">
        <f aca="false">H8+H10+H24</f>
        <v>8802.37381197182</v>
      </c>
      <c r="I11" s="0" t="n">
        <f aca="false">I8+I10+I24</f>
        <v>9387.40963240165</v>
      </c>
      <c r="J11" s="0" t="n">
        <f aca="false">J8+J10+J24</f>
        <v>9916.51817531884</v>
      </c>
      <c r="K11" s="0" t="n">
        <f aca="false">K8+K10+K24</f>
        <v>10313.1789023316</v>
      </c>
      <c r="L11" s="0" t="n">
        <f aca="false">L8+L10+L24</f>
        <v>10622.5742694015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-3307.94873475</v>
      </c>
      <c r="D12" s="4" t="n">
        <f aca="false">-D6*Assumptions!D45/100</f>
        <v>-3374.107709445</v>
      </c>
      <c r="E12" s="4" t="n">
        <f aca="false">-E6*Assumptions!E45/100</f>
        <v>-3475.33094072835</v>
      </c>
      <c r="F12" s="4" t="n">
        <f aca="false">-F6*Assumptions!F45/100</f>
        <v>-3440.57763132107</v>
      </c>
      <c r="G12" s="4" t="n">
        <f aca="false">-G6*Assumptions!G45/100</f>
        <v>-3406.17185500786</v>
      </c>
      <c r="H12" s="4" t="n">
        <f aca="false">-H6*Assumptions!H45/100</f>
        <v>-3542.41872920817</v>
      </c>
      <c r="I12" s="4" t="n">
        <f aca="false">-I6*Assumptions!I45/100</f>
        <v>-3868.75063638371</v>
      </c>
      <c r="J12" s="4" t="n">
        <f aca="false">-J6*Assumptions!J45/100</f>
        <v>-4062.1881682029</v>
      </c>
      <c r="K12" s="4" t="n">
        <f aca="false">-K6*Assumptions!K45/100</f>
        <v>-4100.42052743304</v>
      </c>
      <c r="L12" s="4" t="n">
        <f aca="false">-L6*Assumptions!L45/100</f>
        <v>-4223.43314325603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4861.682231375</v>
      </c>
      <c r="D13" s="0" t="n">
        <f aca="false">D11+D12</f>
        <v>5010.038720085</v>
      </c>
      <c r="E13" s="0" t="n">
        <f aca="false">E11+E12</f>
        <v>5160.33988168755</v>
      </c>
      <c r="F13" s="0" t="n">
        <f aca="false">F11+F12</f>
        <v>5056.60651875975</v>
      </c>
      <c r="G13" s="0" t="n">
        <f aca="false">G11+G12</f>
        <v>5006.04045357215</v>
      </c>
      <c r="H13" s="0" t="n">
        <f aca="false">H11+H12</f>
        <v>5259.95508276365</v>
      </c>
      <c r="I13" s="0" t="n">
        <f aca="false">I11+I12</f>
        <v>5518.65899601794</v>
      </c>
      <c r="J13" s="0" t="n">
        <f aca="false">J11+J12</f>
        <v>5854.33000711594</v>
      </c>
      <c r="K13" s="0" t="n">
        <f aca="false">K11+K12</f>
        <v>6212.75837489855</v>
      </c>
      <c r="L13" s="0" t="n">
        <f aca="false">L11+L12</f>
        <v>6399.1411261455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31</v>
      </c>
      <c r="D14" s="4" t="n">
        <f aca="false">Assumptions!D47</f>
        <v>31</v>
      </c>
      <c r="E14" s="4" t="n">
        <f aca="false">Assumptions!E47</f>
        <v>31</v>
      </c>
      <c r="F14" s="4" t="n">
        <f aca="false">Assumptions!F47</f>
        <v>31</v>
      </c>
      <c r="G14" s="4" t="n">
        <f aca="false">Assumptions!G47</f>
        <v>31</v>
      </c>
      <c r="H14" s="4" t="n">
        <f aca="false">Assumptions!H47</f>
        <v>31</v>
      </c>
      <c r="I14" s="4" t="n">
        <f aca="false">Assumptions!I47</f>
        <v>31</v>
      </c>
      <c r="J14" s="4" t="n">
        <f aca="false">Assumptions!J47</f>
        <v>31</v>
      </c>
      <c r="K14" s="4" t="n">
        <f aca="false">Assumptions!K47</f>
        <v>31</v>
      </c>
      <c r="L14" s="4" t="n">
        <f aca="false">Assumptions!L47</f>
        <v>31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3354.56073964875</v>
      </c>
      <c r="D15" s="0" t="n">
        <f aca="false">D13-MAX(0,D13)*D14/100</f>
        <v>3456.92671685865</v>
      </c>
      <c r="E15" s="0" t="n">
        <f aca="false">E13-MAX(0,E13)*E14/100</f>
        <v>3560.63451836441</v>
      </c>
      <c r="F15" s="0" t="n">
        <f aca="false">F13-MAX(0,F13)*F14/100</f>
        <v>3489.05849794423</v>
      </c>
      <c r="G15" s="0" t="n">
        <f aca="false">G13-MAX(0,G13)*G14/100</f>
        <v>3454.16791296478</v>
      </c>
      <c r="H15" s="0" t="n">
        <f aca="false">H13-MAX(0,H13)*H14/100</f>
        <v>3629.36900710692</v>
      </c>
      <c r="I15" s="0" t="n">
        <f aca="false">I13-MAX(0,I13)*I14/100</f>
        <v>3807.87470725238</v>
      </c>
      <c r="J15" s="0" t="n">
        <f aca="false">J13-MAX(0,J13)*J14/100</f>
        <v>4039.48770491</v>
      </c>
      <c r="K15" s="0" t="n">
        <f aca="false">K13-MAX(0,K13)*K14/100</f>
        <v>4286.80327868</v>
      </c>
      <c r="L15" s="0" t="n">
        <f aca="false">L13-MAX(0,L13)*L14/100</f>
        <v>4415.4073770404</v>
      </c>
    </row>
    <row r="16" customFormat="false" ht="15" hidden="false" customHeight="false" outlineLevel="0" collapsed="false">
      <c r="A16" s="0" t="s">
        <v>119</v>
      </c>
      <c r="C16" s="0" t="n">
        <f aca="false">-C12</f>
        <v>3307.94873475</v>
      </c>
      <c r="D16" s="0" t="n">
        <f aca="false">-D12</f>
        <v>3374.107709445</v>
      </c>
      <c r="E16" s="0" t="n">
        <f aca="false">-E12</f>
        <v>3475.33094072835</v>
      </c>
      <c r="F16" s="0" t="n">
        <f aca="false">-F12</f>
        <v>3440.57763132107</v>
      </c>
      <c r="G16" s="0" t="n">
        <f aca="false">-G12</f>
        <v>3406.17185500786</v>
      </c>
      <c r="H16" s="0" t="n">
        <f aca="false">-H12</f>
        <v>3542.41872920817</v>
      </c>
      <c r="I16" s="0" t="n">
        <f aca="false">-I12</f>
        <v>3868.75063638371</v>
      </c>
      <c r="J16" s="0" t="n">
        <f aca="false">-J12</f>
        <v>4062.1881682029</v>
      </c>
      <c r="K16" s="0" t="n">
        <f aca="false">-K12</f>
        <v>4100.42052743304</v>
      </c>
      <c r="L16" s="0" t="n">
        <f aca="false">-L12</f>
        <v>4223.43314325603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-3007.2261225</v>
      </c>
      <c r="D17" s="4" t="n">
        <f aca="false">-D6*Assumptions!D46/100</f>
        <v>-3067.37064495</v>
      </c>
      <c r="E17" s="4" t="n">
        <f aca="false">-E6*Assumptions!E46/100</f>
        <v>-3685.95705834825</v>
      </c>
      <c r="F17" s="4" t="n">
        <f aca="false">-F6*Assumptions!F46/100</f>
        <v>-4378.91698531772</v>
      </c>
      <c r="G17" s="4" t="n">
        <f aca="false">-G6*Assumptions!G46/100</f>
        <v>-4644.77980228344</v>
      </c>
      <c r="H17" s="4" t="n">
        <f aca="false">-H6*Assumptions!H46/100</f>
        <v>-4293.84088388869</v>
      </c>
      <c r="I17" s="4" t="n">
        <f aca="false">-I6*Assumptions!I46/100</f>
        <v>-3413.60350269151</v>
      </c>
      <c r="J17" s="4" t="n">
        <f aca="false">-J6*Assumptions!J46/100</f>
        <v>-3106.37918744927</v>
      </c>
      <c r="K17" s="4" t="n">
        <f aca="false">-K6*Assumptions!K46/100</f>
        <v>-3106.37918744927</v>
      </c>
      <c r="L17" s="4" t="n">
        <f aca="false">-L6*Assumptions!L46/100</f>
        <v>-3199.57056307275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-0</v>
      </c>
      <c r="G18" s="4" t="n">
        <f aca="false">(G6-F6)*Assumptions!$B$51/100</f>
        <v>-0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3655.28335189875</v>
      </c>
      <c r="D19" s="0" t="n">
        <f aca="false">D15+D16+D17+D18</f>
        <v>3763.66378135365</v>
      </c>
      <c r="E19" s="0" t="n">
        <f aca="false">E15+E16+E17+E18</f>
        <v>3350.00840074451</v>
      </c>
      <c r="F19" s="0" t="n">
        <f aca="false">F15+F16+F17+F18</f>
        <v>2550.71914394757</v>
      </c>
      <c r="G19" s="0" t="n">
        <f aca="false">G15+G16+G17+G18</f>
        <v>2215.5599656892</v>
      </c>
      <c r="H19" s="0" t="n">
        <f aca="false">H15+H16+H17+H18</f>
        <v>2877.9468524264</v>
      </c>
      <c r="I19" s="0" t="n">
        <f aca="false">I15+I16+I17+I18</f>
        <v>4263.02184094458</v>
      </c>
      <c r="J19" s="0" t="n">
        <f aca="false">J15+J16+J17+J18</f>
        <v>4995.29668566362</v>
      </c>
      <c r="K19" s="0" t="n">
        <f aca="false">K15+K16+K17+K18</f>
        <v>5280.84461866377</v>
      </c>
      <c r="L19" s="0" t="n">
        <f aca="false">L15+L16+L17+L18</f>
        <v>5439.26995722368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3384.52162212847</v>
      </c>
      <c r="D21" s="0" t="n">
        <f aca="false">D19*D20</f>
        <v>3226.73506631829</v>
      </c>
      <c r="E21" s="0" t="n">
        <f aca="false">E19*E20</f>
        <v>2659.34467619941</v>
      </c>
      <c r="F21" s="0" t="n">
        <f aca="false">F19*F20</f>
        <v>1874.85471690088</v>
      </c>
      <c r="G21" s="0" t="n">
        <f aca="false">G19*G20</f>
        <v>1507.87288466875</v>
      </c>
      <c r="H21" s="0" t="n">
        <f aca="false">H19*H20</f>
        <v>1813.59469418295</v>
      </c>
      <c r="I21" s="0" t="n">
        <f aca="false">I19*I20</f>
        <v>2487.43229898386</v>
      </c>
      <c r="J21" s="0" t="n">
        <f aca="false">J19*J20</f>
        <v>2698.8033681199</v>
      </c>
      <c r="K21" s="0" t="n">
        <f aca="false">K19*K20</f>
        <v>2641.73706606827</v>
      </c>
      <c r="L21" s="0" t="n">
        <f aca="false">L19*L20</f>
        <v>2519.43442412067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1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11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24814.3308176914</v>
      </c>
    </row>
    <row r="31" customFormat="false" ht="15" hidden="false" customHeight="false" outlineLevel="0" collapsed="false">
      <c r="A31" s="0" t="s">
        <v>128</v>
      </c>
      <c r="B31" s="0" t="n">
        <f aca="false">L19</f>
        <v>5439.26995722368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78480.8950970845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59831.9695294605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59831.9695294605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27713.7786653273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52528.1094830188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76778.1094830188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14.9039264944517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1.45736628103078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14.9039264944517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39240.4475485422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10.1061267885903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9.23326783377691</v>
      </c>
      <c r="C4" s="0" t="n">
        <f aca="false">B4/Assumptions!$B$2-1</f>
        <v>0.522385463112433</v>
      </c>
      <c r="D4" s="4" t="n">
        <f aca="false">Assumptions!$B$24</f>
        <v>0.3</v>
      </c>
      <c r="E4" s="4" t="n">
        <f aca="false">DCF_Bear!$B$43</f>
        <v>9.23326783377691</v>
      </c>
      <c r="F4" s="4" t="n">
        <f aca="false">DCF_Bear!$B$47</f>
        <v>7.94128520717506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12.0436500338324</v>
      </c>
      <c r="C5" s="0" t="n">
        <f aca="false">B5/Assumptions!$B$2-1</f>
        <v>0.985762577713503</v>
      </c>
      <c r="D5" s="4" t="n">
        <f aca="false">Assumptions!$B$38</f>
        <v>0.5</v>
      </c>
      <c r="E5" s="4" t="n">
        <f aca="false">DCF_Base!$B$43</f>
        <v>12.0436500338324</v>
      </c>
      <c r="F5" s="4" t="n">
        <f aca="false">DCF_Base!$B$47</f>
        <v>8.67693856311727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14.9039264944517</v>
      </c>
      <c r="C6" s="0" t="n">
        <f aca="false">B6/Assumptions!$B$2-1</f>
        <v>1.45736628103078</v>
      </c>
      <c r="D6" s="4" t="n">
        <f aca="false">Assumptions!$B$52</f>
        <v>0.2</v>
      </c>
      <c r="E6" s="4" t="n">
        <f aca="false">DCF_Bull!$B$43</f>
        <v>14.9039264944517</v>
      </c>
      <c r="F6" s="4" t="n">
        <f aca="false">DCF_Bull!$B$47</f>
        <v>10.1061267885903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11.7725906659396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11.7725906659396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0.484820276853147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8.74208020142921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12.0436500338324</v>
      </c>
      <c r="C15" s="3" t="n">
        <v>8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11.5487307073147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11.097479688492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10.4203458446426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9.86456063590554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8.67693856311727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-1</v>
      </c>
      <c r="C23" s="3" t="n">
        <v>-0.5</v>
      </c>
      <c r="D23" s="3" t="n">
        <v>0</v>
      </c>
      <c r="E23" s="3" t="n">
        <v>0.5</v>
      </c>
      <c r="F23" s="3" t="n">
        <v>1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13.184647665393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13.184647665393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13.184647665393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13.184647665393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13.184647665393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12.5871240117262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12.5871240117262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12.5871240117262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12.5871240117262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12.5871240117262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12.0436500338324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12.0436500338324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12.0436500338324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12.0436500338324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12.0436500338324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11.5137416201138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11.5487307073147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11.5487307073147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11.5487307073147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11.5487307073147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10.7781268794889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10.9301996456809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11.097479688492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11.097479688492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11.097479688492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2026-10-11T02:04:52Z</dcterms:created>
  <dc:creator>openpyxl</dc:creator>
  <dc:description/>
  <dc:language>en-NZ</dc:language>
  <cp:lastModifiedBy/>
  <dcterms:modified xsi:type="dcterms:W3CDTF">2026-10-11T02:04:52Z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