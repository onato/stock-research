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<sst xmlns="http://schemas.openxmlformats.org/spreadsheetml/2006/main" count="353" uniqueCount="163">
  <si>
    <t xml:space="preserve">Ticker</t>
  </si>
  <si>
    <t xml:space="preserve">1066.HK</t>
  </si>
  <si>
    <t xml:space="preserve">Company</t>
  </si>
  <si>
    <t xml:space="preserve">Shandong Weigao Group Medical Polymer Company Limited</t>
  </si>
  <si>
    <t xml:space="preserve">Valuation date</t>
  </si>
  <si>
    <t xml:space="preserve">2026-10-12</t>
  </si>
  <si>
    <t xml:space="preserve">Current price</t>
  </si>
  <si>
    <t xml:space="preserve">Price as of</t>
  </si>
  <si>
    <t xml:space="preserve">2026-10-09T08:08:06Z (HKEX regular close, Friday; next session 2026-10-12)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</si>
  <si>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</si>
  <si>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</si>
  <si>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</si>
  <si>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</si>
  <si>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</si>
  <si>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</si>
  <si>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</si>
  <si>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</si>
  <si>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</si>
  <si>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</si>
  <si>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</si>
  <si>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</si>
  <si>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</si>
  <si>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2026-10-11T14:59:31Z</t>
  </si>
  <si>
    <t xml:space="preserve">Drivers file</t>
  </si>
  <si>
    <t xml:space="preserve">1066.HK_Drivers.json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</si>
  <si>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</si>
  <si>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</si>
  <si>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</si>
  <si>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in CNY, converted to HKD at spot. The business is a cash-generative, net-cash consumables incumbent whose pricing is set administratively; the model's job is to say what the flows are worth if margins stabilise at today's depressed level (base), recover partway (bull) or keep compressing (bear). The market prices the H-share at roughly 3x EV/EBITDA and ~8-9x trailing earnings, i.e. well inside even the bear case; the gap between the DCF and the price is the H-share/SOE-governance discount plus the market's belief that VBP compression has no floor. The DCF does not try to pay for a re-rating: the terminal value is capped at 12x owner FCF (~6x EBITDA), a multiple the stock itself has traded at within the last five years.
key_risks_to_valuation: VBP price compression continuing beyond FY2027 with no value-based offset (bear case); each 1pp of EBITDA margin is roughly RMB0.25/share; Weigao Blood Purification (603014.SH) share-for-asset swap: regulatory approval, terms and the post-deal consolidation perimeter are unknown; the model keeps today's perimeter; RMB/USD FX losses through Argon (RMB97m FY2025, RMB91m H1 FY2026) assumed to persist inside the margin; a reversal is upside; Hospital receivables lengthening: wc_capture of -15% on growth does not capture a level-shift in DSO; FY2025 conversion drag was ~RMB330m; H-share discount: the price may never converge to any DCF value while governance and capital-return policy are set by the parent group; CNY-&gt;HKD rate 1.1722 is dated 2026-10-11; refresh_price.py does not refresh fx_rate</t>
  </si>
  <si>
    <t xml:space="preserve">Data sources</t>
  </si>
  <si>
    <t xml:space="preserve">price: Yahoo Finance chart API at inputs.price_as_of; 52-week range 2.92-5.92 HKD; CNYHKD=X 1.1722 same source (2026-10-11)
financials: 1066.HK_Metrics.csv (core_metrics, CNY millions) FY2018-FY2025 plus H1 FY2024-H1 FY2026; FY2025 annual report (D&amp;A split lines 7361-7363, lease payments 4913/7731, EPS note 8368-8380, share capital note 37); H1 FY2026 interim report (balance sheet 30 June 2026 lines 207-301, buyback disclosure 1177, treasury statement 2554)
qualitative: 1066.HK_Analysis.json (2026-10-12): segment mix, VBP, Argon, 603014 restructuring, analyst targets HK$4.00-4.80</t>
  </si>
  <si>
    <t xml:space="preserve">Scenario narrative: bear</t>
  </si>
  <si>
    <t xml:space="preserve">VBP compression continues unabated for three more years (margin to 18.5%), revenue flat, Argon stays loss-making, and the related-party restructuring either leaks value from minorities or fails. Weighted at 30% because the FY2023-H1 FY2026 trajectory IS this scenario so far.</t>
  </si>
  <si>
    <t xml:space="preserve">Scenario narrative: base</t>
  </si>
  <si>
    <t xml:space="preserve">Price-regulated consumables incumbent: revenue grows ~3% (overseas +10% on 27% of sales, domestic flat), ex-interest EBITDA margin steps down once more to 22% and then holds as mix shift (orthopaedics, blood management, exports) offsets continuing provincial VBP rounds. Capex ~6% ~ D&amp;A ex-amortisation. The 603014 pharma-packaging swap is treated as value-neutral and not modelled; the consolidated perimeter is today's.</t>
  </si>
  <si>
    <t xml:space="preserve">Scenario narrative: bull</t>
  </si>
  <si>
    <t xml:space="preserve">Value-based tendering reform plus Argon turning profitable restores the ex-interest EBITDA margin to 26% by FY2030 with 6% growth in FY2027-29 from overseas localisation and platform asset injections.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</si>
  <si>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</si>
  <si>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</si>
  <si>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</si>
  <si>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</si>
  <si>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</si>
  <si>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</si>
  <si>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</si>
  <si>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</si>
  <si>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</si>
  <si>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</si>
  <si>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</si>
  <si>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</si>
  <si>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</si>
  <si>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</si>
  <si>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</si>
  <si>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</si>
  <si>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</si>
  <si>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</si>
  <si>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</si>
  <si>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</si>
  <si>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</si>
  <si>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</si>
  <si>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</si>
  <si>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</si>
  <si>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</si>
  <si>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</si>
  <si>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</si>
  <si>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</si>
  <si>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</si>
  <si>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</si>
  <si>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</si>
  <si>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</si>
  <si>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</si>
  <si>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</si>
  <si>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</si>
  <si>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</si>
  <si>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</si>
  <si>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</si>
  <si>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</si>
  <si>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</si>
  <si>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</si>
  <si>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</si>
  <si>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</si>
  <si>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</si>
  <si>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</si>
  <si>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</si>
  <si>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</si>
  <si>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</si>
  <si>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</si>
  <si>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</si>
  <si>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</si>
  <si>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</si>
  <si>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</si>
  <si>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</si>
  <si>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</si>
  <si>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</si>
  <si>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</si>
  <si>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</si>
  <si>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</si>
  <si>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</si>
  <si>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</si>
  <si>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</si>
  <si>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</si>
  <si>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</si>
  <si>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</si>
  <si>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</si>
  <si>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</si>
  <si>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</si>
  <si>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</si>
  <si>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</si>
  <si>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</si>
  <si>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</si>
  <si>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1066.HK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</si>
  <si>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</si>
  <si>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</si>
  <si>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</si>
  <si>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</si>
  <si>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</si>
  <si>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</si>
  <si>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</si>
  <si>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</si>
  <si>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</si>
  <si>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</si>
  <si>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</si>
  <si>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</si>
  <si>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</si>
  <si>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</si>
  <si>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</si>
  <si>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</si>
  <si>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</si>
  <si>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</si>
  <si>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</si>
  <si>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</si>
  <si>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</si>
  <si>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</si>
  <si>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</si>
  <si>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</si>
  <si>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</si>
  <si>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</si>
  <si>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</si>
  <si>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</si>
  <si>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</si>
  <si>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</si>
  <si>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1066.HK owner-FCF component DCF: base case (millions, CNY)</t>
  </si>
  <si>
    <t xml:space="preserve">1066.HK owner-FCF component DCF: bull case (millions, CNY)</t>
  </si>
  <si>
    <t xml:space="preserve">1066.HK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</si>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</sst>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3.31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8808.861</v>
      </c>
      <c r="C2" s="0" t="n">
        <v>3419.707</v>
      </c>
      <c r="D2" s="0" t="n">
        <v>5389.154</v>
      </c>
      <c r="E2" s="0" t="n">
        <v>61.2</v>
      </c>
      <c r="F2" s="0" t="n">
        <v>2059.623</v>
      </c>
      <c r="G2" s="0" t="n">
        <v>23.4</v>
      </c>
      <c r="H2" s="0" t="n">
        <v>2635.673</v>
      </c>
      <c r="I2" s="0" t="n">
        <v>1472.935</v>
      </c>
      <c r="J2" s="0" t="n">
        <v>16.7</v>
      </c>
      <c r="K2" s="0" t="n">
        <v>0.33</v>
      </c>
      <c r="L2" s="0" t="n">
        <v>2219.196</v>
      </c>
      <c r="M2" s="0" t="n">
        <v>795.48</v>
      </c>
      <c r="N2" s="0" t="n">
        <v>1423.716</v>
      </c>
      <c r="O2" s="0" t="n">
        <v>14514.573</v>
      </c>
      <c r="P2" s="0" t="n">
        <v>23986.873</v>
      </c>
      <c r="Q2" s="0" t="n">
        <v>8795.973</v>
      </c>
      <c r="R2" s="0" t="n">
        <v>5338.048</v>
      </c>
      <c r="S2" s="0" t="n">
        <v>3812.446</v>
      </c>
      <c r="T2" s="0" t="n">
        <v>4522.33</v>
      </c>
      <c r="U2" s="0" t="n">
        <v>42.021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10364.081</v>
      </c>
      <c r="C3" s="0" t="n">
        <v>3858.884</v>
      </c>
      <c r="D3" s="0" t="n">
        <v>6505.197</v>
      </c>
      <c r="E3" s="0" t="n">
        <v>62.8</v>
      </c>
      <c r="F3" s="0" t="n">
        <v>2643.836</v>
      </c>
      <c r="G3" s="0" t="n">
        <v>25.5</v>
      </c>
      <c r="H3" s="0" t="n">
        <v>3255.033</v>
      </c>
      <c r="I3" s="0" t="n">
        <v>1844.883</v>
      </c>
      <c r="J3" s="0" t="n">
        <v>17.8</v>
      </c>
      <c r="K3" s="0" t="n">
        <v>0.41</v>
      </c>
      <c r="L3" s="0" t="n">
        <v>2320.99</v>
      </c>
      <c r="M3" s="0" t="n">
        <v>993.21</v>
      </c>
      <c r="N3" s="0" t="n">
        <v>1327.78</v>
      </c>
      <c r="O3" s="0" t="n">
        <v>16185.174</v>
      </c>
      <c r="P3" s="0" t="n">
        <v>26325.738</v>
      </c>
      <c r="Q3" s="0" t="n">
        <v>9328.928</v>
      </c>
      <c r="R3" s="0" t="n">
        <v>5493.213</v>
      </c>
      <c r="S3" s="0" t="n">
        <v>4239.441</v>
      </c>
      <c r="T3" s="0" t="n">
        <v>4522.33</v>
      </c>
      <c r="U3" s="0" t="n">
        <v>35.802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11622.337</v>
      </c>
      <c r="C4" s="0" t="n">
        <v>5122.766</v>
      </c>
      <c r="D4" s="0" t="n">
        <v>6499.571</v>
      </c>
      <c r="E4" s="0" t="n">
        <v>55.9</v>
      </c>
      <c r="F4" s="0" t="n">
        <v>2744.394</v>
      </c>
      <c r="G4" s="0" t="n">
        <v>23.6</v>
      </c>
      <c r="H4" s="0" t="n">
        <v>3453.355</v>
      </c>
      <c r="I4" s="0" t="n">
        <v>2086.783</v>
      </c>
      <c r="J4" s="0" t="n">
        <v>18</v>
      </c>
      <c r="K4" s="0" t="n">
        <v>0.46</v>
      </c>
      <c r="L4" s="0" t="n">
        <v>2788.4</v>
      </c>
      <c r="M4" s="0" t="n">
        <v>1016.055</v>
      </c>
      <c r="N4" s="0" t="n">
        <v>1772.345</v>
      </c>
      <c r="O4" s="0" t="n">
        <v>18033.58</v>
      </c>
      <c r="P4" s="0" t="n">
        <v>27957.716</v>
      </c>
      <c r="Q4" s="0" t="n">
        <v>9079.028</v>
      </c>
      <c r="R4" s="0" t="n">
        <v>4290.3</v>
      </c>
      <c r="S4" s="0" t="n">
        <v>5665.656</v>
      </c>
      <c r="T4" s="0" t="n">
        <v>4522.33</v>
      </c>
      <c r="U4" s="0" t="n">
        <v>30.662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13151.719</v>
      </c>
      <c r="C5" s="0" t="n">
        <v>5882.315</v>
      </c>
      <c r="D5" s="0" t="n">
        <v>7269.404</v>
      </c>
      <c r="E5" s="0" t="n">
        <v>55.3</v>
      </c>
      <c r="F5" s="0" t="n">
        <v>2982.117</v>
      </c>
      <c r="G5" s="0" t="n">
        <v>22.7</v>
      </c>
      <c r="H5" s="0" t="n">
        <v>3705.93</v>
      </c>
      <c r="I5" s="0" t="n">
        <v>2244.778</v>
      </c>
      <c r="J5" s="0" t="n">
        <v>17.1</v>
      </c>
      <c r="K5" s="0" t="n">
        <v>0.5</v>
      </c>
      <c r="L5" s="0" t="n">
        <v>3035.163</v>
      </c>
      <c r="M5" s="0" t="n">
        <v>1116.882</v>
      </c>
      <c r="N5" s="0" t="n">
        <v>1918.281</v>
      </c>
      <c r="O5" s="0" t="n">
        <v>19267.091</v>
      </c>
      <c r="P5" s="0" t="n">
        <v>30367.058</v>
      </c>
      <c r="Q5" s="0" t="n">
        <v>9459.608</v>
      </c>
      <c r="R5" s="0" t="n">
        <v>4056.565</v>
      </c>
      <c r="S5" s="0" t="n">
        <v>6628.927</v>
      </c>
      <c r="T5" s="0" t="n">
        <v>4570.63</v>
      </c>
      <c r="U5" s="0" t="n">
        <v>76.492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13747.473</v>
      </c>
      <c r="C6" s="0" t="n">
        <v>6441.741</v>
      </c>
      <c r="D6" s="0" t="n">
        <v>7305.732</v>
      </c>
      <c r="E6" s="0" t="n">
        <v>53.1</v>
      </c>
      <c r="F6" s="0" t="n">
        <v>3577.14</v>
      </c>
      <c r="G6" s="0" t="n">
        <v>26</v>
      </c>
      <c r="H6" s="0" t="n">
        <v>4380.284</v>
      </c>
      <c r="I6" s="0" t="n">
        <v>2764.093</v>
      </c>
      <c r="J6" s="0" t="n">
        <v>20.1</v>
      </c>
      <c r="K6" s="0" t="n">
        <v>0.61</v>
      </c>
      <c r="L6" s="0" t="n">
        <v>2294.88</v>
      </c>
      <c r="M6" s="0" t="n">
        <v>1116.778</v>
      </c>
      <c r="N6" s="0" t="n">
        <v>1178.102</v>
      </c>
      <c r="O6" s="0" t="n">
        <v>21766.866</v>
      </c>
      <c r="P6" s="0" t="n">
        <v>33402.242</v>
      </c>
      <c r="Q6" s="0" t="n">
        <v>9819.957</v>
      </c>
      <c r="R6" s="0" t="n">
        <v>4357.997</v>
      </c>
      <c r="S6" s="0" t="n">
        <v>6964.486</v>
      </c>
      <c r="T6" s="0" t="n">
        <v>4570.63</v>
      </c>
      <c r="U6" s="0" t="n">
        <v>91.767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13229.453</v>
      </c>
      <c r="C7" s="0" t="n">
        <v>6586.42</v>
      </c>
      <c r="D7" s="0" t="n">
        <v>6643.033</v>
      </c>
      <c r="E7" s="0" t="n">
        <v>50.2</v>
      </c>
      <c r="F7" s="0" t="n">
        <v>2642.158</v>
      </c>
      <c r="G7" s="0" t="n">
        <v>20</v>
      </c>
      <c r="H7" s="0" t="n">
        <v>3553.862</v>
      </c>
      <c r="I7" s="0" t="n">
        <v>2001.906</v>
      </c>
      <c r="J7" s="0" t="n">
        <v>15.1</v>
      </c>
      <c r="K7" s="0" t="n">
        <v>0.44</v>
      </c>
      <c r="L7" s="0" t="n">
        <v>2798.529</v>
      </c>
      <c r="M7" s="0" t="n">
        <v>685.664</v>
      </c>
      <c r="N7" s="0" t="n">
        <v>2112.865</v>
      </c>
      <c r="O7" s="0" t="n">
        <v>22449.121</v>
      </c>
      <c r="P7" s="0" t="n">
        <v>33670.231</v>
      </c>
      <c r="Q7" s="0" t="n">
        <v>9677.526</v>
      </c>
      <c r="R7" s="0" t="n">
        <v>4042.049</v>
      </c>
      <c r="S7" s="0" t="n">
        <v>6988.731</v>
      </c>
      <c r="T7" s="0" t="n">
        <v>4570.63</v>
      </c>
      <c r="U7" s="0" t="n">
        <v>55.459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13087.071</v>
      </c>
      <c r="C8" s="0" t="n">
        <v>6506.44</v>
      </c>
      <c r="D8" s="0" t="n">
        <v>6580.631</v>
      </c>
      <c r="E8" s="0" t="n">
        <v>50.3</v>
      </c>
      <c r="F8" s="0" t="n">
        <v>2803.32</v>
      </c>
      <c r="G8" s="0" t="n">
        <v>21.4</v>
      </c>
      <c r="H8" s="0" t="n">
        <v>3775.116</v>
      </c>
      <c r="I8" s="0" t="n">
        <v>2066.668</v>
      </c>
      <c r="J8" s="0" t="n">
        <v>15.8</v>
      </c>
      <c r="K8" s="0" t="n">
        <v>0.46</v>
      </c>
      <c r="L8" s="0" t="n">
        <v>2789.971</v>
      </c>
      <c r="M8" s="0" t="n">
        <v>647.431</v>
      </c>
      <c r="N8" s="0" t="n">
        <v>2142.54</v>
      </c>
      <c r="O8" s="0" t="n">
        <v>23751.643</v>
      </c>
      <c r="P8" s="0" t="n">
        <v>34759.849</v>
      </c>
      <c r="Q8" s="0" t="n">
        <v>9418.283</v>
      </c>
      <c r="R8" s="0" t="n">
        <v>4003.166</v>
      </c>
      <c r="S8" s="0" t="n">
        <v>7780.31</v>
      </c>
      <c r="T8" s="0" t="n">
        <v>4570.63</v>
      </c>
      <c r="U8" s="0" t="n">
        <v>36.02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13388.89</v>
      </c>
      <c r="C9" s="0" t="n">
        <v>7016.629</v>
      </c>
      <c r="D9" s="0" t="n">
        <v>6372.261</v>
      </c>
      <c r="E9" s="0" t="n">
        <v>47.6</v>
      </c>
      <c r="F9" s="0" t="n">
        <v>2287.349</v>
      </c>
      <c r="G9" s="0" t="n">
        <v>17.1</v>
      </c>
      <c r="H9" s="0" t="n">
        <v>3274.565</v>
      </c>
      <c r="I9" s="0" t="n">
        <v>1612.21</v>
      </c>
      <c r="J9" s="0" t="n">
        <v>12</v>
      </c>
      <c r="K9" s="0" t="n">
        <v>0.36</v>
      </c>
      <c r="L9" s="0" t="n">
        <v>2550.606</v>
      </c>
      <c r="M9" s="0" t="n">
        <v>832.635</v>
      </c>
      <c r="N9" s="0" t="n">
        <v>1717.971</v>
      </c>
      <c r="O9" s="0" t="n">
        <v>24108.177</v>
      </c>
      <c r="P9" s="0" t="n">
        <v>36048.108</v>
      </c>
      <c r="Q9" s="0" t="n">
        <v>10228.479</v>
      </c>
      <c r="R9" s="0" t="n">
        <v>4789.139</v>
      </c>
      <c r="S9" s="0" t="n">
        <v>8569.516</v>
      </c>
      <c r="T9" s="0" t="n">
        <v>4570.63</v>
      </c>
      <c r="U9" s="0" t="n">
        <v>73.969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3.31</v>
      </c>
    </row>
    <row r="3" customFormat="false" ht="15" hidden="false" customHeight="false" outlineLevel="0" collapsed="false">
      <c r="A3" s="0" t="s">
        <v>75</v>
      </c>
      <c r="B3" s="3" t="n">
        <v>4514</v>
      </c>
    </row>
    <row r="4" customFormat="false" ht="15" hidden="false" customHeight="false" outlineLevel="0" collapsed="false">
      <c r="A4" s="0" t="s">
        <v>76</v>
      </c>
      <c r="B4" s="3" t="n">
        <v>-3569.157</v>
      </c>
    </row>
    <row r="5" customFormat="false" ht="15" hidden="false" customHeight="false" outlineLevel="0" collapsed="false">
      <c r="A5" s="0" t="s">
        <v>77</v>
      </c>
      <c r="B5" s="3" t="n">
        <v>-995.93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13388.89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1.1722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1.5</v>
      </c>
      <c r="D13" s="3" t="n">
        <v>0</v>
      </c>
      <c r="E13" s="3" t="n">
        <v>0</v>
      </c>
      <c r="F13" s="3" t="n">
        <v>0.5</v>
      </c>
      <c r="G13" s="3" t="n">
        <v>1</v>
      </c>
      <c r="H13" s="3" t="n">
        <v>1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96</v>
      </c>
      <c r="C14" s="3" t="n">
        <v>21.5</v>
      </c>
      <c r="D14" s="3" t="n">
        <v>20</v>
      </c>
      <c r="E14" s="3" t="n">
        <v>19</v>
      </c>
      <c r="F14" s="3" t="n">
        <v>18.5</v>
      </c>
      <c r="G14" s="3" t="n">
        <v>18.5</v>
      </c>
      <c r="H14" s="3" t="n">
        <v>18.5</v>
      </c>
      <c r="I14" s="3" t="n">
        <v>18.5</v>
      </c>
      <c r="J14" s="3" t="n">
        <v>18.5</v>
      </c>
      <c r="K14" s="3" t="n">
        <v>18.5</v>
      </c>
      <c r="L14" s="3" t="n">
        <v>18.5</v>
      </c>
    </row>
    <row r="15" customFormat="false" ht="15" hidden="false" customHeight="false" outlineLevel="0" collapsed="false">
      <c r="A15" s="0" t="s">
        <v>97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98</v>
      </c>
      <c r="C16" s="3" t="n">
        <v>0.8</v>
      </c>
      <c r="D16" s="3" t="n">
        <v>0.8</v>
      </c>
      <c r="E16" s="3" t="n">
        <v>0.8</v>
      </c>
      <c r="F16" s="3" t="n">
        <v>0.8</v>
      </c>
      <c r="G16" s="3" t="n">
        <v>0.8</v>
      </c>
      <c r="H16" s="3" t="n">
        <v>0.8</v>
      </c>
      <c r="I16" s="3" t="n">
        <v>0.8</v>
      </c>
      <c r="J16" s="3" t="n">
        <v>0.8</v>
      </c>
      <c r="K16" s="3" t="n">
        <v>0.8</v>
      </c>
      <c r="L16" s="3" t="n">
        <v>0.8</v>
      </c>
    </row>
    <row r="17" customFormat="false" ht="15" hidden="false" customHeight="false" outlineLevel="0" collapsed="false">
      <c r="A17" s="0" t="s">
        <v>99</v>
      </c>
      <c r="C17" s="3" t="n">
        <v>6.7</v>
      </c>
      <c r="D17" s="3" t="n">
        <v>6.7</v>
      </c>
      <c r="E17" s="3" t="n">
        <v>6.7</v>
      </c>
      <c r="F17" s="3" t="n">
        <v>6.6</v>
      </c>
      <c r="G17" s="3" t="n">
        <v>6.6</v>
      </c>
      <c r="H17" s="3" t="n">
        <v>6.5</v>
      </c>
      <c r="I17" s="3" t="n">
        <v>6.5</v>
      </c>
      <c r="J17" s="3" t="n">
        <v>6.5</v>
      </c>
      <c r="K17" s="3" t="n">
        <v>6.5</v>
      </c>
      <c r="L17" s="3" t="n">
        <v>6.5</v>
      </c>
    </row>
    <row r="18" customFormat="false" ht="15" hidden="false" customHeight="false" outlineLevel="0" collapsed="false">
      <c r="A18" s="0" t="s">
        <v>100</v>
      </c>
      <c r="C18" s="3" t="n">
        <v>6.5</v>
      </c>
      <c r="D18" s="3" t="n">
        <v>6.5</v>
      </c>
      <c r="E18" s="3" t="n">
        <v>6.5</v>
      </c>
      <c r="F18" s="3" t="n">
        <v>6.5</v>
      </c>
      <c r="G18" s="3" t="n">
        <v>6.5</v>
      </c>
      <c r="H18" s="3" t="n">
        <v>6.5</v>
      </c>
      <c r="I18" s="3" t="n">
        <v>6.5</v>
      </c>
      <c r="J18" s="3" t="n">
        <v>6.5</v>
      </c>
      <c r="K18" s="3" t="n">
        <v>6.5</v>
      </c>
      <c r="L18" s="3" t="n">
        <v>6.5</v>
      </c>
    </row>
    <row r="19" customFormat="false" ht="15" hidden="false" customHeight="false" outlineLevel="0" collapsed="false">
      <c r="A19" s="0" t="s">
        <v>101</v>
      </c>
      <c r="C19" s="3" t="n">
        <v>18</v>
      </c>
      <c r="D19" s="3" t="n">
        <v>18</v>
      </c>
      <c r="E19" s="3" t="n">
        <v>18</v>
      </c>
      <c r="F19" s="3" t="n">
        <v>18</v>
      </c>
      <c r="G19" s="3" t="n">
        <v>18</v>
      </c>
      <c r="H19" s="3" t="n">
        <v>18</v>
      </c>
      <c r="I19" s="3" t="n">
        <v>18</v>
      </c>
      <c r="J19" s="3" t="n">
        <v>18</v>
      </c>
      <c r="K19" s="3" t="n">
        <v>18</v>
      </c>
      <c r="L19" s="3" t="n">
        <v>18</v>
      </c>
    </row>
    <row r="20" customFormat="false" ht="15" hidden="false" customHeight="false" outlineLevel="0" collapsed="false">
      <c r="A20" s="0" t="s">
        <v>102</v>
      </c>
      <c r="B20" s="3" t="n">
        <v>9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-15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3</v>
      </c>
      <c r="D27" s="3" t="n">
        <v>3</v>
      </c>
      <c r="E27" s="3" t="n">
        <v>3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96</v>
      </c>
      <c r="C28" s="3" t="n">
        <v>22.5</v>
      </c>
      <c r="D28" s="3" t="n">
        <v>22</v>
      </c>
      <c r="E28" s="3" t="n">
        <v>22</v>
      </c>
      <c r="F28" s="3" t="n">
        <v>22</v>
      </c>
      <c r="G28" s="3" t="n">
        <v>22</v>
      </c>
      <c r="H28" s="3" t="n">
        <v>22</v>
      </c>
      <c r="I28" s="3" t="n">
        <v>22</v>
      </c>
      <c r="J28" s="3" t="n">
        <v>22</v>
      </c>
      <c r="K28" s="3" t="n">
        <v>22</v>
      </c>
      <c r="L28" s="3" t="n">
        <v>22</v>
      </c>
    </row>
    <row r="29" customFormat="false" ht="15" hidden="false" customHeight="false" outlineLevel="0" collapsed="false">
      <c r="A29" s="0" t="s">
        <v>97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98</v>
      </c>
      <c r="C30" s="3" t="n">
        <v>0.8</v>
      </c>
      <c r="D30" s="3" t="n">
        <v>0.8</v>
      </c>
      <c r="E30" s="3" t="n">
        <v>0.8</v>
      </c>
      <c r="F30" s="3" t="n">
        <v>0.8</v>
      </c>
      <c r="G30" s="3" t="n">
        <v>0.8</v>
      </c>
      <c r="H30" s="3" t="n">
        <v>0.8</v>
      </c>
      <c r="I30" s="3" t="n">
        <v>0.8</v>
      </c>
      <c r="J30" s="3" t="n">
        <v>0.8</v>
      </c>
      <c r="K30" s="3" t="n">
        <v>0.8</v>
      </c>
      <c r="L30" s="3" t="n">
        <v>0.8</v>
      </c>
    </row>
    <row r="31" customFormat="false" ht="15" hidden="false" customHeight="false" outlineLevel="0" collapsed="false">
      <c r="A31" s="0" t="s">
        <v>99</v>
      </c>
      <c r="C31" s="3" t="n">
        <v>6.7</v>
      </c>
      <c r="D31" s="3" t="n">
        <v>6.6</v>
      </c>
      <c r="E31" s="3" t="n">
        <v>6.5</v>
      </c>
      <c r="F31" s="3" t="n">
        <v>6.5</v>
      </c>
      <c r="G31" s="3" t="n">
        <v>6.4</v>
      </c>
      <c r="H31" s="3" t="n">
        <v>6.4</v>
      </c>
      <c r="I31" s="3" t="n">
        <v>6.3</v>
      </c>
      <c r="J31" s="3" t="n">
        <v>6.3</v>
      </c>
      <c r="K31" s="3" t="n">
        <v>6.3</v>
      </c>
      <c r="L31" s="3" t="n">
        <v>6.3</v>
      </c>
    </row>
    <row r="32" customFormat="false" ht="15" hidden="false" customHeight="false" outlineLevel="0" collapsed="false">
      <c r="A32" s="0" t="s">
        <v>100</v>
      </c>
      <c r="C32" s="3" t="n">
        <v>6.5</v>
      </c>
      <c r="D32" s="3" t="n">
        <v>6.2</v>
      </c>
      <c r="E32" s="3" t="n">
        <v>6</v>
      </c>
      <c r="F32" s="3" t="n">
        <v>6</v>
      </c>
      <c r="G32" s="3" t="n">
        <v>6</v>
      </c>
      <c r="H32" s="3" t="n">
        <v>6</v>
      </c>
      <c r="I32" s="3" t="n">
        <v>6</v>
      </c>
      <c r="J32" s="3" t="n">
        <v>6</v>
      </c>
      <c r="K32" s="3" t="n">
        <v>6</v>
      </c>
      <c r="L32" s="3" t="n">
        <v>6</v>
      </c>
    </row>
    <row r="33" customFormat="false" ht="15" hidden="false" customHeight="false" outlineLevel="0" collapsed="false">
      <c r="A33" s="0" t="s">
        <v>101</v>
      </c>
      <c r="C33" s="3" t="n">
        <v>18</v>
      </c>
      <c r="D33" s="3" t="n">
        <v>18</v>
      </c>
      <c r="E33" s="3" t="n">
        <v>18</v>
      </c>
      <c r="F33" s="3" t="n">
        <v>18</v>
      </c>
      <c r="G33" s="3" t="n">
        <v>18</v>
      </c>
      <c r="H33" s="3" t="n">
        <v>18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102</v>
      </c>
      <c r="B34" s="3" t="n">
        <v>9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12</v>
      </c>
    </row>
    <row r="37" customFormat="false" ht="15" hidden="false" customHeight="false" outlineLevel="0" collapsed="false">
      <c r="A37" s="0" t="s">
        <v>105</v>
      </c>
      <c r="B37" s="3" t="n">
        <v>-15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4.5</v>
      </c>
      <c r="D41" s="3" t="n">
        <v>6</v>
      </c>
      <c r="E41" s="3" t="n">
        <v>6</v>
      </c>
      <c r="F41" s="3" t="n">
        <v>6</v>
      </c>
      <c r="G41" s="3" t="n">
        <v>5</v>
      </c>
      <c r="H41" s="3" t="n">
        <v>4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23</v>
      </c>
      <c r="D42" s="3" t="n">
        <v>23.5</v>
      </c>
      <c r="E42" s="3" t="n">
        <v>24.5</v>
      </c>
      <c r="F42" s="3" t="n">
        <v>25.5</v>
      </c>
      <c r="G42" s="3" t="n">
        <v>26</v>
      </c>
      <c r="H42" s="3" t="n">
        <v>26</v>
      </c>
      <c r="I42" s="3" t="n">
        <v>26</v>
      </c>
      <c r="J42" s="3" t="n">
        <v>26</v>
      </c>
      <c r="K42" s="3" t="n">
        <v>26</v>
      </c>
      <c r="L42" s="3" t="n">
        <v>26</v>
      </c>
    </row>
    <row r="43" customFormat="false" ht="15" hidden="false" customHeight="false" outlineLevel="0" collapsed="false">
      <c r="A43" s="0" t="s">
        <v>97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98</v>
      </c>
      <c r="C44" s="3" t="n">
        <v>0.8</v>
      </c>
      <c r="D44" s="3" t="n">
        <v>0.8</v>
      </c>
      <c r="E44" s="3" t="n">
        <v>0.8</v>
      </c>
      <c r="F44" s="3" t="n">
        <v>0.8</v>
      </c>
      <c r="G44" s="3" t="n">
        <v>0.8</v>
      </c>
      <c r="H44" s="3" t="n">
        <v>0.8</v>
      </c>
      <c r="I44" s="3" t="n">
        <v>0.8</v>
      </c>
      <c r="J44" s="3" t="n">
        <v>0.8</v>
      </c>
      <c r="K44" s="3" t="n">
        <v>0.8</v>
      </c>
      <c r="L44" s="3" t="n">
        <v>0.8</v>
      </c>
    </row>
    <row r="45" customFormat="false" ht="15" hidden="false" customHeight="false" outlineLevel="0" collapsed="false">
      <c r="A45" s="0" t="s">
        <v>99</v>
      </c>
      <c r="C45" s="3" t="n">
        <v>6.7</v>
      </c>
      <c r="D45" s="3" t="n">
        <v>6.6</v>
      </c>
      <c r="E45" s="3" t="n">
        <v>6.5</v>
      </c>
      <c r="F45" s="3" t="n">
        <v>6.4</v>
      </c>
      <c r="G45" s="3" t="n">
        <v>6.3</v>
      </c>
      <c r="H45" s="3" t="n">
        <v>6.2</v>
      </c>
      <c r="I45" s="3" t="n">
        <v>6.2</v>
      </c>
      <c r="J45" s="3" t="n">
        <v>6.2</v>
      </c>
      <c r="K45" s="3" t="n">
        <v>6.2</v>
      </c>
      <c r="L45" s="3" t="n">
        <v>6.2</v>
      </c>
    </row>
    <row r="46" customFormat="false" ht="15" hidden="false" customHeight="false" outlineLevel="0" collapsed="false">
      <c r="A46" s="0" t="s">
        <v>100</v>
      </c>
      <c r="C46" s="3" t="n">
        <v>6.5</v>
      </c>
      <c r="D46" s="3" t="n">
        <v>6.5</v>
      </c>
      <c r="E46" s="3" t="n">
        <v>6.3</v>
      </c>
      <c r="F46" s="3" t="n">
        <v>6</v>
      </c>
      <c r="G46" s="3" t="n">
        <v>6</v>
      </c>
      <c r="H46" s="3" t="n">
        <v>6</v>
      </c>
      <c r="I46" s="3" t="n">
        <v>6</v>
      </c>
      <c r="J46" s="3" t="n">
        <v>6</v>
      </c>
      <c r="K46" s="3" t="n">
        <v>6</v>
      </c>
      <c r="L46" s="3" t="n">
        <v>6</v>
      </c>
    </row>
    <row r="47" customFormat="false" ht="15" hidden="false" customHeight="false" outlineLevel="0" collapsed="false">
      <c r="A47" s="0" t="s">
        <v>101</v>
      </c>
      <c r="C47" s="3" t="n">
        <v>18</v>
      </c>
      <c r="D47" s="3" t="n">
        <v>18</v>
      </c>
      <c r="E47" s="3" t="n">
        <v>18</v>
      </c>
      <c r="F47" s="3" t="n">
        <v>18</v>
      </c>
      <c r="G47" s="3" t="n">
        <v>18</v>
      </c>
      <c r="H47" s="3" t="n">
        <v>18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102</v>
      </c>
      <c r="B48" s="3" t="n">
        <v>9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12</v>
      </c>
    </row>
    <row r="51" customFormat="false" ht="15" hidden="false" customHeight="false" outlineLevel="0" collapsed="false">
      <c r="A51" s="0" t="s">
        <v>105</v>
      </c>
      <c r="B51" s="3" t="n">
        <v>-15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1.5</v>
      </c>
      <c r="D5" s="4" t="n">
        <f aca="false">Assumptions!D13</f>
        <v>0</v>
      </c>
      <c r="E5" s="4" t="n">
        <f aca="false">Assumptions!E13</f>
        <v>0</v>
      </c>
      <c r="F5" s="4" t="n">
        <f aca="false">Assumptions!F13</f>
        <v>0.5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13388.89</v>
      </c>
      <c r="C6" s="0" t="n">
        <f aca="false">B6*(1+C5/100)</f>
        <v>13589.72335</v>
      </c>
      <c r="D6" s="0" t="n">
        <f aca="false">C6*(1+D5/100)</f>
        <v>13589.72335</v>
      </c>
      <c r="E6" s="0" t="n">
        <f aca="false">D6*(1+E5/100)</f>
        <v>13589.72335</v>
      </c>
      <c r="F6" s="0" t="n">
        <f aca="false">E6*(1+F5/100)</f>
        <v>13657.67196675</v>
      </c>
      <c r="G6" s="0" t="n">
        <f aca="false">F6*(1+G5/100)</f>
        <v>13794.2486864175</v>
      </c>
      <c r="H6" s="0" t="n">
        <f aca="false">G6*(1+H5/100)</f>
        <v>13932.1911732817</v>
      </c>
      <c r="I6" s="0" t="n">
        <f aca="false">H6*(1+I5/100)</f>
        <v>14141.1740408809</v>
      </c>
      <c r="J6" s="0" t="n">
        <f aca="false">I6*(1+J5/100)</f>
        <v>14353.2916514941</v>
      </c>
      <c r="K6" s="0" t="n">
        <f aca="false">J6*(1+K5/100)</f>
        <v>14568.5910262665</v>
      </c>
      <c r="L6" s="0" t="n">
        <f aca="false">K6*(1+L5/100)</f>
        <v>14787.1198916605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21.5</v>
      </c>
      <c r="D7" s="4" t="n">
        <f aca="false">Assumptions!D14</f>
        <v>20</v>
      </c>
      <c r="E7" s="4" t="n">
        <f aca="false">Assumptions!E14</f>
        <v>19</v>
      </c>
      <c r="F7" s="4" t="n">
        <f aca="false">Assumptions!F14</f>
        <v>18.5</v>
      </c>
      <c r="G7" s="4" t="n">
        <f aca="false">Assumptions!G14</f>
        <v>18.5</v>
      </c>
      <c r="H7" s="4" t="n">
        <f aca="false">Assumptions!H14</f>
        <v>18.5</v>
      </c>
      <c r="I7" s="4" t="n">
        <f aca="false">Assumptions!I14</f>
        <v>18.5</v>
      </c>
      <c r="J7" s="4" t="n">
        <f aca="false">Assumptions!J14</f>
        <v>18.5</v>
      </c>
      <c r="K7" s="4" t="n">
        <f aca="false">Assumptions!K14</f>
        <v>18.5</v>
      </c>
      <c r="L7" s="4" t="n">
        <f aca="false">Assumptions!L14</f>
        <v>18.5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2921.79052025</v>
      </c>
      <c r="D8" s="0" t="n">
        <f aca="false">D6*D7/100</f>
        <v>2717.94467</v>
      </c>
      <c r="E8" s="0" t="n">
        <f aca="false">E6*E7/100</f>
        <v>2582.0474365</v>
      </c>
      <c r="F8" s="0" t="n">
        <f aca="false">F6*F7/100</f>
        <v>2526.66931384875</v>
      </c>
      <c r="G8" s="0" t="n">
        <f aca="false">G6*G7/100</f>
        <v>2551.93600698724</v>
      </c>
      <c r="H8" s="0" t="n">
        <f aca="false">H6*H7/100</f>
        <v>2577.45536705711</v>
      </c>
      <c r="I8" s="0" t="n">
        <f aca="false">I6*I7/100</f>
        <v>2616.11719756297</v>
      </c>
      <c r="J8" s="0" t="n">
        <f aca="false">J6*J7/100</f>
        <v>2655.35895552641</v>
      </c>
      <c r="K8" s="0" t="n">
        <f aca="false">K6*K7/100</f>
        <v>2695.18933985931</v>
      </c>
      <c r="L8" s="0" t="n">
        <f aca="false">L6*L7/100</f>
        <v>2735.6171799572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-67.94861675</v>
      </c>
      <c r="D10" s="0" t="n">
        <f aca="false">-D6*D9/100</f>
        <v>-67.94861675</v>
      </c>
      <c r="E10" s="0" t="n">
        <f aca="false">-E6*E9/100</f>
        <v>-67.94861675</v>
      </c>
      <c r="F10" s="0" t="n">
        <f aca="false">-F6*F9/100</f>
        <v>-68.28835983375</v>
      </c>
      <c r="G10" s="0" t="n">
        <f aca="false">-G6*G9/100</f>
        <v>-68.9712434320875</v>
      </c>
      <c r="H10" s="0" t="n">
        <f aca="false">-H6*H9/100</f>
        <v>-69.6609558664084</v>
      </c>
      <c r="I10" s="0" t="n">
        <f aca="false">-I6*I9/100</f>
        <v>-70.7058702044045</v>
      </c>
      <c r="J10" s="0" t="n">
        <f aca="false">-J6*J9/100</f>
        <v>-71.7664582574705</v>
      </c>
      <c r="K10" s="0" t="n">
        <f aca="false">-K6*K9/100</f>
        <v>-72.8429551313326</v>
      </c>
      <c r="L10" s="0" t="n">
        <f aca="false">-L6*L9/100</f>
        <v>-73.9355994583026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2745.1241167</v>
      </c>
      <c r="D11" s="0" t="n">
        <f aca="false">D8+D10+D24</f>
        <v>2541.27826645</v>
      </c>
      <c r="E11" s="0" t="n">
        <f aca="false">E8+E10+E24</f>
        <v>2405.38103295</v>
      </c>
      <c r="F11" s="0" t="n">
        <f aca="false">F8+F10+F24</f>
        <v>2349.119578281</v>
      </c>
      <c r="G11" s="0" t="n">
        <f aca="false">G8+G10+G24</f>
        <v>2372.61077406381</v>
      </c>
      <c r="H11" s="0" t="n">
        <f aca="false">H8+H10+H24</f>
        <v>2396.33688180445</v>
      </c>
      <c r="I11" s="0" t="n">
        <f aca="false">I8+I10+I24</f>
        <v>2432.28193503151</v>
      </c>
      <c r="J11" s="0" t="n">
        <f aca="false">J8+J10+J24</f>
        <v>2468.76616405699</v>
      </c>
      <c r="K11" s="0" t="n">
        <f aca="false">K8+K10+K24</f>
        <v>2505.79765651784</v>
      </c>
      <c r="L11" s="0" t="n">
        <f aca="false">L8+L10+L24</f>
        <v>2543.38462136561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-910.51146445</v>
      </c>
      <c r="D12" s="4" t="n">
        <f aca="false">-D6*Assumptions!D17/100</f>
        <v>-910.51146445</v>
      </c>
      <c r="E12" s="4" t="n">
        <f aca="false">-E6*Assumptions!E17/100</f>
        <v>-910.51146445</v>
      </c>
      <c r="F12" s="4" t="n">
        <f aca="false">-F6*Assumptions!F17/100</f>
        <v>-901.4063498055</v>
      </c>
      <c r="G12" s="4" t="n">
        <f aca="false">-G6*Assumptions!G17/100</f>
        <v>-910.420413303555</v>
      </c>
      <c r="H12" s="4" t="n">
        <f aca="false">-H6*Assumptions!H17/100</f>
        <v>-905.592426263309</v>
      </c>
      <c r="I12" s="4" t="n">
        <f aca="false">-I6*Assumptions!I17/100</f>
        <v>-919.176312657258</v>
      </c>
      <c r="J12" s="4" t="n">
        <f aca="false">-J6*Assumptions!J17/100</f>
        <v>-932.963957347117</v>
      </c>
      <c r="K12" s="4" t="n">
        <f aca="false">-K6*Assumptions!K17/100</f>
        <v>-946.958416707324</v>
      </c>
      <c r="L12" s="4" t="n">
        <f aca="false">-L6*Assumptions!L17/100</f>
        <v>-961.162792957933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1834.61265225</v>
      </c>
      <c r="D13" s="0" t="n">
        <f aca="false">D11+D12</f>
        <v>1630.766802</v>
      </c>
      <c r="E13" s="0" t="n">
        <f aca="false">E11+E12</f>
        <v>1494.8695685</v>
      </c>
      <c r="F13" s="0" t="n">
        <f aca="false">F11+F12</f>
        <v>1447.7132284755</v>
      </c>
      <c r="G13" s="0" t="n">
        <f aca="false">G11+G12</f>
        <v>1462.19036076025</v>
      </c>
      <c r="H13" s="0" t="n">
        <f aca="false">H11+H12</f>
        <v>1490.74445554114</v>
      </c>
      <c r="I13" s="0" t="n">
        <f aca="false">I11+I12</f>
        <v>1513.10562237426</v>
      </c>
      <c r="J13" s="0" t="n">
        <f aca="false">J11+J12</f>
        <v>1535.80220670987</v>
      </c>
      <c r="K13" s="0" t="n">
        <f aca="false">K11+K12</f>
        <v>1558.83923981052</v>
      </c>
      <c r="L13" s="0" t="n">
        <f aca="false">L11+L12</f>
        <v>1582.22182840768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18</v>
      </c>
      <c r="D14" s="4" t="n">
        <f aca="false">Assumptions!D19</f>
        <v>18</v>
      </c>
      <c r="E14" s="4" t="n">
        <f aca="false">Assumptions!E19</f>
        <v>18</v>
      </c>
      <c r="F14" s="4" t="n">
        <f aca="false">Assumptions!F19</f>
        <v>18</v>
      </c>
      <c r="G14" s="4" t="n">
        <f aca="false">Assumptions!G19</f>
        <v>18</v>
      </c>
      <c r="H14" s="4" t="n">
        <f aca="false">Assumptions!H19</f>
        <v>18</v>
      </c>
      <c r="I14" s="4" t="n">
        <f aca="false">Assumptions!I19</f>
        <v>18</v>
      </c>
      <c r="J14" s="4" t="n">
        <f aca="false">Assumptions!J19</f>
        <v>18</v>
      </c>
      <c r="K14" s="4" t="n">
        <f aca="false">Assumptions!K19</f>
        <v>18</v>
      </c>
      <c r="L14" s="4" t="n">
        <f aca="false">Assumptions!L19</f>
        <v>18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1504.382374845</v>
      </c>
      <c r="D15" s="0" t="n">
        <f aca="false">D13-MAX(0,D13)*D14/100</f>
        <v>1337.22877764</v>
      </c>
      <c r="E15" s="0" t="n">
        <f aca="false">E13-MAX(0,E13)*E14/100</f>
        <v>1225.79304617</v>
      </c>
      <c r="F15" s="0" t="n">
        <f aca="false">F13-MAX(0,F13)*F14/100</f>
        <v>1187.12484734991</v>
      </c>
      <c r="G15" s="0" t="n">
        <f aca="false">G13-MAX(0,G13)*G14/100</f>
        <v>1198.99609582341</v>
      </c>
      <c r="H15" s="0" t="n">
        <f aca="false">H13-MAX(0,H13)*H14/100</f>
        <v>1222.41045354373</v>
      </c>
      <c r="I15" s="0" t="n">
        <f aca="false">I13-MAX(0,I13)*I14/100</f>
        <v>1240.74661034689</v>
      </c>
      <c r="J15" s="0" t="n">
        <f aca="false">J13-MAX(0,J13)*J14/100</f>
        <v>1259.35780950209</v>
      </c>
      <c r="K15" s="0" t="n">
        <f aca="false">K13-MAX(0,K13)*K14/100</f>
        <v>1278.24817664462</v>
      </c>
      <c r="L15" s="0" t="n">
        <f aca="false">L13-MAX(0,L13)*L14/100</f>
        <v>1297.42189929429</v>
      </c>
    </row>
    <row r="16" customFormat="false" ht="15" hidden="false" customHeight="false" outlineLevel="0" collapsed="false">
      <c r="A16" s="0" t="s">
        <v>117</v>
      </c>
      <c r="C16" s="0" t="n">
        <f aca="false">-C12</f>
        <v>910.51146445</v>
      </c>
      <c r="D16" s="0" t="n">
        <f aca="false">-D12</f>
        <v>910.51146445</v>
      </c>
      <c r="E16" s="0" t="n">
        <f aca="false">-E12</f>
        <v>910.51146445</v>
      </c>
      <c r="F16" s="0" t="n">
        <f aca="false">-F12</f>
        <v>901.4063498055</v>
      </c>
      <c r="G16" s="0" t="n">
        <f aca="false">-G12</f>
        <v>910.420413303555</v>
      </c>
      <c r="H16" s="0" t="n">
        <f aca="false">-H12</f>
        <v>905.592426263309</v>
      </c>
      <c r="I16" s="0" t="n">
        <f aca="false">-I12</f>
        <v>919.176312657258</v>
      </c>
      <c r="J16" s="0" t="n">
        <f aca="false">-J12</f>
        <v>932.963957347117</v>
      </c>
      <c r="K16" s="0" t="n">
        <f aca="false">-K12</f>
        <v>946.958416707324</v>
      </c>
      <c r="L16" s="0" t="n">
        <f aca="false">-L12</f>
        <v>961.162792957933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-883.33201775</v>
      </c>
      <c r="D17" s="4" t="n">
        <f aca="false">-D6*Assumptions!D18/100</f>
        <v>-883.33201775</v>
      </c>
      <c r="E17" s="4" t="n">
        <f aca="false">-E6*Assumptions!E18/100</f>
        <v>-883.33201775</v>
      </c>
      <c r="F17" s="4" t="n">
        <f aca="false">-F6*Assumptions!F18/100</f>
        <v>-887.74867783875</v>
      </c>
      <c r="G17" s="4" t="n">
        <f aca="false">-G6*Assumptions!G18/100</f>
        <v>-896.626164617137</v>
      </c>
      <c r="H17" s="4" t="n">
        <f aca="false">-H6*Assumptions!H18/100</f>
        <v>-905.592426263309</v>
      </c>
      <c r="I17" s="4" t="n">
        <f aca="false">-I6*Assumptions!I18/100</f>
        <v>-919.176312657258</v>
      </c>
      <c r="J17" s="4" t="n">
        <f aca="false">-J6*Assumptions!J18/100</f>
        <v>-932.963957347117</v>
      </c>
      <c r="K17" s="4" t="n">
        <f aca="false">-K6*Assumptions!K18/100</f>
        <v>-946.958416707324</v>
      </c>
      <c r="L17" s="4" t="n">
        <f aca="false">-L6*Assumptions!L18/100</f>
        <v>-961.162792957933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-30.1250024999998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-10.1922925124997</v>
      </c>
      <c r="G18" s="4" t="n">
        <f aca="false">(G6-F6)*Assumptions!$B$23/100</f>
        <v>-20.4865079501251</v>
      </c>
      <c r="H18" s="4" t="n">
        <f aca="false">(H6-G6)*Assumptions!$B$23/100</f>
        <v>-20.6913730296262</v>
      </c>
      <c r="I18" s="4" t="n">
        <f aca="false">(I6-H6)*Assumptions!$B$23/100</f>
        <v>-31.3474301398835</v>
      </c>
      <c r="J18" s="4" t="n">
        <f aca="false">(J6-I6)*Assumptions!$B$23/100</f>
        <v>-31.8176415919817</v>
      </c>
      <c r="K18" s="4" t="n">
        <f aca="false">(K6-J6)*Assumptions!$B$23/100</f>
        <v>-32.2949062158616</v>
      </c>
      <c r="L18" s="4" t="n">
        <f aca="false">(L6-K6)*Assumptions!$B$23/100</f>
        <v>-32.7793298090995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1501.436819045</v>
      </c>
      <c r="D19" s="0" t="n">
        <f aca="false">D15+D16+D17+D18</f>
        <v>1364.40822434</v>
      </c>
      <c r="E19" s="0" t="n">
        <f aca="false">E15+E16+E17+E18</f>
        <v>1252.97249287</v>
      </c>
      <c r="F19" s="0" t="n">
        <f aca="false">F15+F16+F17+F18</f>
        <v>1190.59022680416</v>
      </c>
      <c r="G19" s="0" t="n">
        <f aca="false">G15+G16+G17+G18</f>
        <v>1192.3038365597</v>
      </c>
      <c r="H19" s="0" t="n">
        <f aca="false">H15+H16+H17+H18</f>
        <v>1201.71908051411</v>
      </c>
      <c r="I19" s="0" t="n">
        <f aca="false">I15+I16+I17+I18</f>
        <v>1209.39918020701</v>
      </c>
      <c r="J19" s="0" t="n">
        <f aca="false">J15+J16+J17+J18</f>
        <v>1227.54016791011</v>
      </c>
      <c r="K19" s="0" t="n">
        <f aca="false">K15+K16+K17+K18</f>
        <v>1245.95327042876</v>
      </c>
      <c r="L19" s="0" t="n">
        <f aca="false">L15+L16+L17+L18</f>
        <v>1264.64256948519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1377.46497160092</v>
      </c>
      <c r="D21" s="0" t="n">
        <f aca="false">D19*D20</f>
        <v>1148.39510507533</v>
      </c>
      <c r="E21" s="0" t="n">
        <f aca="false">E19*E20</f>
        <v>967.524659965143</v>
      </c>
      <c r="F21" s="0" t="n">
        <f aca="false">F19*F20</f>
        <v>843.444132715897</v>
      </c>
      <c r="G21" s="0" t="n">
        <f aca="false">G19*G20</f>
        <v>774.915685384082</v>
      </c>
      <c r="H21" s="0" t="n">
        <f aca="false">H19*H20</f>
        <v>716.545823797896</v>
      </c>
      <c r="I21" s="0" t="n">
        <f aca="false">I19*I20</f>
        <v>661.582767258666</v>
      </c>
      <c r="J21" s="0" t="n">
        <f aca="false">J19*J20</f>
        <v>616.061017217932</v>
      </c>
      <c r="K21" s="0" t="n">
        <f aca="false">K19*K20</f>
        <v>573.671497684588</v>
      </c>
      <c r="L21" s="0" t="n">
        <f aca="false">L19*L20</f>
        <v>534.198688210878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0.8</v>
      </c>
      <c r="D23" s="4" t="n">
        <f aca="false">Assumptions!D16</f>
        <v>0.8</v>
      </c>
      <c r="E23" s="4" t="n">
        <f aca="false">Assumptions!E16</f>
        <v>0.8</v>
      </c>
      <c r="F23" s="4" t="n">
        <f aca="false">Assumptions!F16</f>
        <v>0.8</v>
      </c>
      <c r="G23" s="4" t="n">
        <f aca="false">Assumptions!G16</f>
        <v>0.8</v>
      </c>
      <c r="H23" s="4" t="n">
        <f aca="false">Assumptions!H16</f>
        <v>0.8</v>
      </c>
      <c r="I23" s="4" t="n">
        <f aca="false">Assumptions!I16</f>
        <v>0.8</v>
      </c>
      <c r="J23" s="4" t="n">
        <f aca="false">Assumptions!J16</f>
        <v>0.8</v>
      </c>
      <c r="K23" s="4" t="n">
        <f aca="false">Assumptions!K16</f>
        <v>0.8</v>
      </c>
      <c r="L23" s="4" t="n">
        <f aca="false">Assumptions!L16</f>
        <v>0.8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-108.7177868</v>
      </c>
      <c r="D24" s="0" t="n">
        <f aca="false">-D6*D23/100</f>
        <v>-108.7177868</v>
      </c>
      <c r="E24" s="0" t="n">
        <f aca="false">-E6*E23/100</f>
        <v>-108.7177868</v>
      </c>
      <c r="F24" s="0" t="n">
        <f aca="false">-F6*F23/100</f>
        <v>-109.261375734</v>
      </c>
      <c r="G24" s="0" t="n">
        <f aca="false">-G6*G23/100</f>
        <v>-110.35398949134</v>
      </c>
      <c r="H24" s="0" t="n">
        <f aca="false">-H6*H23/100</f>
        <v>-111.457529386253</v>
      </c>
      <c r="I24" s="0" t="n">
        <f aca="false">-I6*I23/100</f>
        <v>-113.129392327047</v>
      </c>
      <c r="J24" s="0" t="n">
        <f aca="false">-J6*J23/100</f>
        <v>-114.826333211953</v>
      </c>
      <c r="K24" s="0" t="n">
        <f aca="false">-K6*K23/100</f>
        <v>-116.548728210132</v>
      </c>
      <c r="L24" s="0" t="n">
        <f aca="false">-L6*L23/100</f>
        <v>-118.296959133284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8213.80434891133</v>
      </c>
    </row>
    <row r="31" customFormat="false" ht="15" hidden="false" customHeight="false" outlineLevel="0" collapsed="false">
      <c r="A31" s="0" t="s">
        <v>126</v>
      </c>
      <c r="B31" s="0" t="n">
        <f aca="false">L19</f>
        <v>1264.64256948519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18427.6488696414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15175.7108338223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15175.7108338223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6410.38425853054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14624.1886074419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17197.4156074419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4.46584195282307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0.349196964599116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446.204108704168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455.083145000114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4.69988912136365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9922.58016057614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2.9870687912229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3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13388.89</v>
      </c>
      <c r="C6" s="0" t="n">
        <f aca="false">B6*(1+C5/100)</f>
        <v>13790.5567</v>
      </c>
      <c r="D6" s="0" t="n">
        <f aca="false">C6*(1+D5/100)</f>
        <v>14204.273401</v>
      </c>
      <c r="E6" s="0" t="n">
        <f aca="false">D6*(1+E5/100)</f>
        <v>14630.40160303</v>
      </c>
      <c r="F6" s="0" t="n">
        <f aca="false">E6*(1+F5/100)</f>
        <v>15069.3136511209</v>
      </c>
      <c r="G6" s="0" t="n">
        <f aca="false">F6*(1+G5/100)</f>
        <v>15521.3930606545</v>
      </c>
      <c r="H6" s="0" t="n">
        <f aca="false">G6*(1+H5/100)</f>
        <v>15909.4278871709</v>
      </c>
      <c r="I6" s="0" t="n">
        <f aca="false">H6*(1+I5/100)</f>
        <v>16307.1635843502</v>
      </c>
      <c r="J6" s="0" t="n">
        <f aca="false">I6*(1+J5/100)</f>
        <v>16714.8426739589</v>
      </c>
      <c r="K6" s="0" t="n">
        <f aca="false">J6*(1+K5/100)</f>
        <v>17132.7137408079</v>
      </c>
      <c r="L6" s="0" t="n">
        <f aca="false">K6*(1+L5/100)</f>
        <v>17561.0315843281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22.5</v>
      </c>
      <c r="D7" s="4" t="n">
        <f aca="false">Assumptions!D28</f>
        <v>22</v>
      </c>
      <c r="E7" s="4" t="n">
        <f aca="false">Assumptions!E28</f>
        <v>22</v>
      </c>
      <c r="F7" s="4" t="n">
        <f aca="false">Assumptions!F28</f>
        <v>22</v>
      </c>
      <c r="G7" s="4" t="n">
        <f aca="false">Assumptions!G28</f>
        <v>22</v>
      </c>
      <c r="H7" s="4" t="n">
        <f aca="false">Assumptions!H28</f>
        <v>22</v>
      </c>
      <c r="I7" s="4" t="n">
        <f aca="false">Assumptions!I28</f>
        <v>22</v>
      </c>
      <c r="J7" s="4" t="n">
        <f aca="false">Assumptions!J28</f>
        <v>22</v>
      </c>
      <c r="K7" s="4" t="n">
        <f aca="false">Assumptions!K28</f>
        <v>22</v>
      </c>
      <c r="L7" s="4" t="n">
        <f aca="false">Assumptions!L28</f>
        <v>22</v>
      </c>
    </row>
    <row r="8" customFormat="false" ht="15" hidden="false" customHeight="false" outlineLevel="0" collapsed="false">
      <c r="A8" s="0" t="s">
        <v>44</v>
      </c>
      <c r="C8" s="0" t="n">
        <f aca="false">C6*C7/100</f>
        <v>3102.8752575</v>
      </c>
      <c r="D8" s="0" t="n">
        <f aca="false">D6*D7/100</f>
        <v>3124.94014822</v>
      </c>
      <c r="E8" s="0" t="n">
        <f aca="false">E6*E7/100</f>
        <v>3218.6883526666</v>
      </c>
      <c r="F8" s="0" t="n">
        <f aca="false">F6*F7/100</f>
        <v>3315.2490032466</v>
      </c>
      <c r="G8" s="0" t="n">
        <f aca="false">G6*G7/100</f>
        <v>3414.706473344</v>
      </c>
      <c r="H8" s="0" t="n">
        <f aca="false">H6*H7/100</f>
        <v>3500.0741351776</v>
      </c>
      <c r="I8" s="0" t="n">
        <f aca="false">I6*I7/100</f>
        <v>3587.57598855704</v>
      </c>
      <c r="J8" s="0" t="n">
        <f aca="false">J6*J7/100</f>
        <v>3677.26538827096</v>
      </c>
      <c r="K8" s="0" t="n">
        <f aca="false">K6*K7/100</f>
        <v>3769.19702297773</v>
      </c>
      <c r="L8" s="0" t="n">
        <f aca="false">L6*L7/100</f>
        <v>3863.42694855218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-68.9527835</v>
      </c>
      <c r="D10" s="0" t="n">
        <f aca="false">-D6*D9/100</f>
        <v>-71.021367005</v>
      </c>
      <c r="E10" s="0" t="n">
        <f aca="false">-E6*E9/100</f>
        <v>-73.15200801515</v>
      </c>
      <c r="F10" s="0" t="n">
        <f aca="false">-F6*F9/100</f>
        <v>-75.3465682556045</v>
      </c>
      <c r="G10" s="0" t="n">
        <f aca="false">-G6*G9/100</f>
        <v>-77.6069653032726</v>
      </c>
      <c r="H10" s="0" t="n">
        <f aca="false">-H6*H9/100</f>
        <v>-79.5471394358545</v>
      </c>
      <c r="I10" s="0" t="n">
        <f aca="false">-I6*I9/100</f>
        <v>-81.5358179217508</v>
      </c>
      <c r="J10" s="0" t="n">
        <f aca="false">-J6*J9/100</f>
        <v>-83.5742133697946</v>
      </c>
      <c r="K10" s="0" t="n">
        <f aca="false">-K6*K9/100</f>
        <v>-85.6635687040394</v>
      </c>
      <c r="L10" s="0" t="n">
        <f aca="false">-L6*L9/100</f>
        <v>-87.8051579216404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2923.5980204</v>
      </c>
      <c r="D11" s="0" t="n">
        <f aca="false">D8+D10+D24</f>
        <v>2940.284594007</v>
      </c>
      <c r="E11" s="0" t="n">
        <f aca="false">E8+E10+E24</f>
        <v>3028.49313182721</v>
      </c>
      <c r="F11" s="0" t="n">
        <f aca="false">F8+F10+F24</f>
        <v>3119.34792578203</v>
      </c>
      <c r="G11" s="0" t="n">
        <f aca="false">G8+G10+G24</f>
        <v>3212.92836355549</v>
      </c>
      <c r="H11" s="0" t="n">
        <f aca="false">H8+H10+H24</f>
        <v>3293.25157264437</v>
      </c>
      <c r="I11" s="0" t="n">
        <f aca="false">I8+I10+I24</f>
        <v>3375.58286196048</v>
      </c>
      <c r="J11" s="0" t="n">
        <f aca="false">J8+J10+J24</f>
        <v>3459.97243350949</v>
      </c>
      <c r="K11" s="0" t="n">
        <f aca="false">K8+K10+K24</f>
        <v>3546.47174434723</v>
      </c>
      <c r="L11" s="0" t="n">
        <f aca="false">L8+L10+L24</f>
        <v>3635.13353795591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-923.9672989</v>
      </c>
      <c r="D12" s="4" t="n">
        <f aca="false">-D6*Assumptions!D31/100</f>
        <v>-937.482044466</v>
      </c>
      <c r="E12" s="4" t="n">
        <f aca="false">-E6*Assumptions!E31/100</f>
        <v>-950.97610419695</v>
      </c>
      <c r="F12" s="4" t="n">
        <f aca="false">-F6*Assumptions!F31/100</f>
        <v>-979.505387322859</v>
      </c>
      <c r="G12" s="4" t="n">
        <f aca="false">-G6*Assumptions!G31/100</f>
        <v>-993.36915588189</v>
      </c>
      <c r="H12" s="4" t="n">
        <f aca="false">-H6*Assumptions!H31/100</f>
        <v>-1018.20338477894</v>
      </c>
      <c r="I12" s="4" t="n">
        <f aca="false">-I6*Assumptions!I31/100</f>
        <v>-1027.35130581406</v>
      </c>
      <c r="J12" s="4" t="n">
        <f aca="false">-J6*Assumptions!J31/100</f>
        <v>-1053.03508845941</v>
      </c>
      <c r="K12" s="4" t="n">
        <f aca="false">-K6*Assumptions!K31/100</f>
        <v>-1079.3609656709</v>
      </c>
      <c r="L12" s="4" t="n">
        <f aca="false">-L6*Assumptions!L31/100</f>
        <v>-1106.34498981267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1999.6307215</v>
      </c>
      <c r="D13" s="0" t="n">
        <f aca="false">D11+D12</f>
        <v>2002.802549541</v>
      </c>
      <c r="E13" s="0" t="n">
        <f aca="false">E11+E12</f>
        <v>2077.51702763026</v>
      </c>
      <c r="F13" s="0" t="n">
        <f aca="false">F11+F12</f>
        <v>2139.84253845917</v>
      </c>
      <c r="G13" s="0" t="n">
        <f aca="false">G11+G12</f>
        <v>2219.5592076736</v>
      </c>
      <c r="H13" s="0" t="n">
        <f aca="false">H11+H12</f>
        <v>2275.04818786544</v>
      </c>
      <c r="I13" s="0" t="n">
        <f aca="false">I11+I12</f>
        <v>2348.23155614642</v>
      </c>
      <c r="J13" s="0" t="n">
        <f aca="false">J11+J12</f>
        <v>2406.93734505008</v>
      </c>
      <c r="K13" s="0" t="n">
        <f aca="false">K11+K12</f>
        <v>2467.11077867634</v>
      </c>
      <c r="L13" s="0" t="n">
        <f aca="false">L11+L12</f>
        <v>2528.78854814324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18</v>
      </c>
      <c r="D14" s="4" t="n">
        <f aca="false">Assumptions!D33</f>
        <v>18</v>
      </c>
      <c r="E14" s="4" t="n">
        <f aca="false">Assumptions!E33</f>
        <v>18</v>
      </c>
      <c r="F14" s="4" t="n">
        <f aca="false">Assumptions!F33</f>
        <v>18</v>
      </c>
      <c r="G14" s="4" t="n">
        <f aca="false">Assumptions!G33</f>
        <v>18</v>
      </c>
      <c r="H14" s="4" t="n">
        <f aca="false">Assumptions!H33</f>
        <v>18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1639.69719163</v>
      </c>
      <c r="D15" s="0" t="n">
        <f aca="false">D13-MAX(0,D13)*D14/100</f>
        <v>1642.29809062362</v>
      </c>
      <c r="E15" s="0" t="n">
        <f aca="false">E13-MAX(0,E13)*E14/100</f>
        <v>1703.56396265681</v>
      </c>
      <c r="F15" s="0" t="n">
        <f aca="false">F13-MAX(0,F13)*F14/100</f>
        <v>1754.67088153652</v>
      </c>
      <c r="G15" s="0" t="n">
        <f aca="false">G13-MAX(0,G13)*G14/100</f>
        <v>1820.03855029235</v>
      </c>
      <c r="H15" s="0" t="n">
        <f aca="false">H13-MAX(0,H13)*H14/100</f>
        <v>1865.53951404966</v>
      </c>
      <c r="I15" s="0" t="n">
        <f aca="false">I13-MAX(0,I13)*I14/100</f>
        <v>1925.54987604007</v>
      </c>
      <c r="J15" s="0" t="n">
        <f aca="false">J13-MAX(0,J13)*J14/100</f>
        <v>1973.68862294107</v>
      </c>
      <c r="K15" s="0" t="n">
        <f aca="false">K13-MAX(0,K13)*K14/100</f>
        <v>2023.03083851459</v>
      </c>
      <c r="L15" s="0" t="n">
        <f aca="false">L13-MAX(0,L13)*L14/100</f>
        <v>2073.60660947746</v>
      </c>
    </row>
    <row r="16" customFormat="false" ht="15" hidden="false" customHeight="false" outlineLevel="0" collapsed="false">
      <c r="A16" s="0" t="s">
        <v>117</v>
      </c>
      <c r="C16" s="0" t="n">
        <f aca="false">-C12</f>
        <v>923.9672989</v>
      </c>
      <c r="D16" s="0" t="n">
        <f aca="false">-D12</f>
        <v>937.482044466</v>
      </c>
      <c r="E16" s="0" t="n">
        <f aca="false">-E12</f>
        <v>950.97610419695</v>
      </c>
      <c r="F16" s="0" t="n">
        <f aca="false">-F12</f>
        <v>979.505387322859</v>
      </c>
      <c r="G16" s="0" t="n">
        <f aca="false">-G12</f>
        <v>993.36915588189</v>
      </c>
      <c r="H16" s="0" t="n">
        <f aca="false">-H12</f>
        <v>1018.20338477894</v>
      </c>
      <c r="I16" s="0" t="n">
        <f aca="false">-I12</f>
        <v>1027.35130581406</v>
      </c>
      <c r="J16" s="0" t="n">
        <f aca="false">-J12</f>
        <v>1053.03508845941</v>
      </c>
      <c r="K16" s="0" t="n">
        <f aca="false">-K12</f>
        <v>1079.3609656709</v>
      </c>
      <c r="L16" s="0" t="n">
        <f aca="false">-L12</f>
        <v>1106.34498981267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-896.3861855</v>
      </c>
      <c r="D17" s="4" t="n">
        <f aca="false">-D6*Assumptions!D32/100</f>
        <v>-880.664950862</v>
      </c>
      <c r="E17" s="4" t="n">
        <f aca="false">-E6*Assumptions!E32/100</f>
        <v>-877.8240961818</v>
      </c>
      <c r="F17" s="4" t="n">
        <f aca="false">-F6*Assumptions!F32/100</f>
        <v>-904.158819067254</v>
      </c>
      <c r="G17" s="4" t="n">
        <f aca="false">-G6*Assumptions!G32/100</f>
        <v>-931.283583639272</v>
      </c>
      <c r="H17" s="4" t="n">
        <f aca="false">-H6*Assumptions!H32/100</f>
        <v>-954.565673230253</v>
      </c>
      <c r="I17" s="4" t="n">
        <f aca="false">-I6*Assumptions!I32/100</f>
        <v>-978.42981506101</v>
      </c>
      <c r="J17" s="4" t="n">
        <f aca="false">-J6*Assumptions!J32/100</f>
        <v>-1002.89056043753</v>
      </c>
      <c r="K17" s="4" t="n">
        <f aca="false">-K6*Assumptions!K32/100</f>
        <v>-1027.96282444847</v>
      </c>
      <c r="L17" s="4" t="n">
        <f aca="false">-L6*Assumptions!L32/100</f>
        <v>-1053.66189505968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-60.250005</v>
      </c>
      <c r="D18" s="4" t="n">
        <f aca="false">(D6-C6)*Assumptions!$B$37/100</f>
        <v>-62.0575051500002</v>
      </c>
      <c r="E18" s="4" t="n">
        <f aca="false">(E6-D6)*Assumptions!$B$37/100</f>
        <v>-63.9192303045001</v>
      </c>
      <c r="F18" s="4" t="n">
        <f aca="false">(F6-E6)*Assumptions!$B$37/100</f>
        <v>-65.8368072136351</v>
      </c>
      <c r="G18" s="4" t="n">
        <f aca="false">(G6-F6)*Assumptions!$B$37/100</f>
        <v>-67.8119114300442</v>
      </c>
      <c r="H18" s="4" t="n">
        <f aca="false">(H6-G6)*Assumptions!$B$37/100</f>
        <v>-58.2052239774542</v>
      </c>
      <c r="I18" s="4" t="n">
        <f aca="false">(I6-H6)*Assumptions!$B$37/100</f>
        <v>-59.6603545768906</v>
      </c>
      <c r="J18" s="4" t="n">
        <f aca="false">(J6-I6)*Assumptions!$B$37/100</f>
        <v>-61.1518634413127</v>
      </c>
      <c r="K18" s="4" t="n">
        <f aca="false">(K6-J6)*Assumptions!$B$37/100</f>
        <v>-62.680660027346</v>
      </c>
      <c r="L18" s="4" t="n">
        <f aca="false">(L6-K6)*Assumptions!$B$37/100</f>
        <v>-64.2476765280293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1607.02830003</v>
      </c>
      <c r="D19" s="0" t="n">
        <f aca="false">D15+D16+D17+D18</f>
        <v>1637.05767907762</v>
      </c>
      <c r="E19" s="0" t="n">
        <f aca="false">E15+E16+E17+E18</f>
        <v>1712.79674036746</v>
      </c>
      <c r="F19" s="0" t="n">
        <f aca="false">F15+F16+F17+F18</f>
        <v>1764.18064257849</v>
      </c>
      <c r="G19" s="0" t="n">
        <f aca="false">G15+G16+G17+G18</f>
        <v>1814.31221110492</v>
      </c>
      <c r="H19" s="0" t="n">
        <f aca="false">H15+H16+H17+H18</f>
        <v>1870.97200162089</v>
      </c>
      <c r="I19" s="0" t="n">
        <f aca="false">I15+I16+I17+I18</f>
        <v>1914.81101221623</v>
      </c>
      <c r="J19" s="0" t="n">
        <f aca="false">J15+J16+J17+J18</f>
        <v>1962.68128752163</v>
      </c>
      <c r="K19" s="0" t="n">
        <f aca="false">K15+K16+K17+K18</f>
        <v>2011.74831970967</v>
      </c>
      <c r="L19" s="0" t="n">
        <f aca="false">L15+L16+L17+L18</f>
        <v>2062.04202770241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1474.33788993578</v>
      </c>
      <c r="D21" s="0" t="n">
        <f aca="false">D19*D20</f>
        <v>1377.87869630302</v>
      </c>
      <c r="E21" s="0" t="n">
        <f aca="false">E19*E20</f>
        <v>1322.59334761419</v>
      </c>
      <c r="F21" s="0" t="n">
        <f aca="false">F19*F20</f>
        <v>1249.7900440758</v>
      </c>
      <c r="G21" s="0" t="n">
        <f aca="false">G19*G20</f>
        <v>1179.17845054144</v>
      </c>
      <c r="H21" s="0" t="n">
        <f aca="false">H19*H20</f>
        <v>1115.59947407234</v>
      </c>
      <c r="I21" s="0" t="n">
        <f aca="false">I19*I20</f>
        <v>1047.46719608537</v>
      </c>
      <c r="J21" s="0" t="n">
        <f aca="false">J19*J20</f>
        <v>985.00355595184</v>
      </c>
      <c r="K21" s="0" t="n">
        <f aca="false">K19*K20</f>
        <v>926.264811789574</v>
      </c>
      <c r="L21" s="0" t="n">
        <f aca="false">L19*L20</f>
        <v>871.028836774599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0.8</v>
      </c>
      <c r="D23" s="4" t="n">
        <f aca="false">Assumptions!D30</f>
        <v>0.8</v>
      </c>
      <c r="E23" s="4" t="n">
        <f aca="false">Assumptions!E30</f>
        <v>0.8</v>
      </c>
      <c r="F23" s="4" t="n">
        <f aca="false">Assumptions!F30</f>
        <v>0.8</v>
      </c>
      <c r="G23" s="4" t="n">
        <f aca="false">Assumptions!G30</f>
        <v>0.8</v>
      </c>
      <c r="H23" s="4" t="n">
        <f aca="false">Assumptions!H30</f>
        <v>0.8</v>
      </c>
      <c r="I23" s="4" t="n">
        <f aca="false">Assumptions!I30</f>
        <v>0.8</v>
      </c>
      <c r="J23" s="4" t="n">
        <f aca="false">Assumptions!J30</f>
        <v>0.8</v>
      </c>
      <c r="K23" s="4" t="n">
        <f aca="false">Assumptions!K30</f>
        <v>0.8</v>
      </c>
      <c r="L23" s="4" t="n">
        <f aca="false">Assumptions!L30</f>
        <v>0.8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-110.3244536</v>
      </c>
      <c r="D24" s="0" t="n">
        <f aca="false">-D6*D23/100</f>
        <v>-113.634187208</v>
      </c>
      <c r="E24" s="0" t="n">
        <f aca="false">-E6*E23/100</f>
        <v>-117.04321282424</v>
      </c>
      <c r="F24" s="0" t="n">
        <f aca="false">-F6*F23/100</f>
        <v>-120.554509208967</v>
      </c>
      <c r="G24" s="0" t="n">
        <f aca="false">-G6*G23/100</f>
        <v>-124.171144485236</v>
      </c>
      <c r="H24" s="0" t="n">
        <f aca="false">-H6*H23/100</f>
        <v>-127.275423097367</v>
      </c>
      <c r="I24" s="0" t="n">
        <f aca="false">-I6*I23/100</f>
        <v>-130.457308674801</v>
      </c>
      <c r="J24" s="0" t="n">
        <f aca="false">-J6*J23/100</f>
        <v>-133.718741391671</v>
      </c>
      <c r="K24" s="0" t="n">
        <f aca="false">-K6*K23/100</f>
        <v>-137.061709926463</v>
      </c>
      <c r="L24" s="0" t="n">
        <f aca="false">-L6*L23/100</f>
        <v>-140.488252674625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11549.142303144</v>
      </c>
    </row>
    <row r="31" customFormat="false" ht="15" hidden="false" customHeight="false" outlineLevel="0" collapsed="false">
      <c r="A31" s="0" t="s">
        <v>126</v>
      </c>
      <c r="B31" s="0" t="n">
        <f aca="false">L19</f>
        <v>2062.04202770241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32516.8165906919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24744.504332429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24744.504332429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10452.3460412952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22001.4883444392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24574.7153444392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6.38158647025954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0.927971743280828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493.849139942708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584.878366114855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6.66171149963497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16908.7446271598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4.07098598089287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4.5</v>
      </c>
      <c r="D5" s="4" t="n">
        <f aca="false">Assumptions!D41</f>
        <v>6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13388.89</v>
      </c>
      <c r="C6" s="0" t="n">
        <f aca="false">B6*(1+C5/100)</f>
        <v>13991.39005</v>
      </c>
      <c r="D6" s="0" t="n">
        <f aca="false">C6*(1+D5/100)</f>
        <v>14830.873453</v>
      </c>
      <c r="E6" s="0" t="n">
        <f aca="false">D6*(1+E5/100)</f>
        <v>15720.72586018</v>
      </c>
      <c r="F6" s="0" t="n">
        <f aca="false">E6*(1+F5/100)</f>
        <v>16663.9694117908</v>
      </c>
      <c r="G6" s="0" t="n">
        <f aca="false">F6*(1+G5/100)</f>
        <v>17497.1678823803</v>
      </c>
      <c r="H6" s="0" t="n">
        <f aca="false">G6*(1+H5/100)</f>
        <v>18197.0545976756</v>
      </c>
      <c r="I6" s="0" t="n">
        <f aca="false">H6*(1+I5/100)</f>
        <v>18924.9367815826</v>
      </c>
      <c r="J6" s="0" t="n">
        <f aca="false">I6*(1+J5/100)</f>
        <v>19587.309568938</v>
      </c>
      <c r="K6" s="0" t="n">
        <f aca="false">J6*(1+K5/100)</f>
        <v>20174.9288560061</v>
      </c>
      <c r="L6" s="0" t="n">
        <f aca="false">K6*(1+L5/100)</f>
        <v>20780.1767216863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23</v>
      </c>
      <c r="D7" s="4" t="n">
        <f aca="false">Assumptions!D42</f>
        <v>23.5</v>
      </c>
      <c r="E7" s="4" t="n">
        <f aca="false">Assumptions!E42</f>
        <v>24.5</v>
      </c>
      <c r="F7" s="4" t="n">
        <f aca="false">Assumptions!F42</f>
        <v>25.5</v>
      </c>
      <c r="G7" s="4" t="n">
        <f aca="false">Assumptions!G42</f>
        <v>26</v>
      </c>
      <c r="H7" s="4" t="n">
        <f aca="false">Assumptions!H42</f>
        <v>26</v>
      </c>
      <c r="I7" s="4" t="n">
        <f aca="false">Assumptions!I42</f>
        <v>26</v>
      </c>
      <c r="J7" s="4" t="n">
        <f aca="false">Assumptions!J42</f>
        <v>26</v>
      </c>
      <c r="K7" s="4" t="n">
        <f aca="false">Assumptions!K42</f>
        <v>26</v>
      </c>
      <c r="L7" s="4" t="n">
        <f aca="false">Assumptions!L42</f>
        <v>26</v>
      </c>
    </row>
    <row r="8" customFormat="false" ht="15" hidden="false" customHeight="false" outlineLevel="0" collapsed="false">
      <c r="A8" s="0" t="s">
        <v>44</v>
      </c>
      <c r="C8" s="0" t="n">
        <f aca="false">C6*C7/100</f>
        <v>3218.0197115</v>
      </c>
      <c r="D8" s="0" t="n">
        <f aca="false">D6*D7/100</f>
        <v>3485.255261455</v>
      </c>
      <c r="E8" s="0" t="n">
        <f aca="false">E6*E7/100</f>
        <v>3851.5778357441</v>
      </c>
      <c r="F8" s="0" t="n">
        <f aca="false">F6*F7/100</f>
        <v>4249.31220000665</v>
      </c>
      <c r="G8" s="0" t="n">
        <f aca="false">G6*G7/100</f>
        <v>4549.26364941889</v>
      </c>
      <c r="H8" s="0" t="n">
        <f aca="false">H6*H7/100</f>
        <v>4731.23419539565</v>
      </c>
      <c r="I8" s="0" t="n">
        <f aca="false">I6*I7/100</f>
        <v>4920.48356321147</v>
      </c>
      <c r="J8" s="0" t="n">
        <f aca="false">J6*J7/100</f>
        <v>5092.70048792387</v>
      </c>
      <c r="K8" s="0" t="n">
        <f aca="false">K6*K7/100</f>
        <v>5245.48150256159</v>
      </c>
      <c r="L8" s="0" t="n">
        <f aca="false">L6*L7/100</f>
        <v>5402.84594763844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-69.95695025</v>
      </c>
      <c r="D10" s="0" t="n">
        <f aca="false">-D6*D9/100</f>
        <v>-74.154367265</v>
      </c>
      <c r="E10" s="0" t="n">
        <f aca="false">-E6*E9/100</f>
        <v>-78.6036293009</v>
      </c>
      <c r="F10" s="0" t="n">
        <f aca="false">-F6*F9/100</f>
        <v>-83.319847058954</v>
      </c>
      <c r="G10" s="0" t="n">
        <f aca="false">-G6*G9/100</f>
        <v>-87.4858394119017</v>
      </c>
      <c r="H10" s="0" t="n">
        <f aca="false">-H6*H9/100</f>
        <v>-90.9852729883778</v>
      </c>
      <c r="I10" s="0" t="n">
        <f aca="false">-I6*I9/100</f>
        <v>-94.6246839079129</v>
      </c>
      <c r="J10" s="0" t="n">
        <f aca="false">-J6*J9/100</f>
        <v>-97.9365478446898</v>
      </c>
      <c r="K10" s="0" t="n">
        <f aca="false">-K6*K9/100</f>
        <v>-100.874644280031</v>
      </c>
      <c r="L10" s="0" t="n">
        <f aca="false">-L6*L9/100</f>
        <v>-103.900883608431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3036.13164085</v>
      </c>
      <c r="D11" s="0" t="n">
        <f aca="false">D8+D10+D24</f>
        <v>3292.453906566</v>
      </c>
      <c r="E11" s="0" t="n">
        <f aca="false">E8+E10+E24</f>
        <v>3647.20839956176</v>
      </c>
      <c r="F11" s="0" t="n">
        <f aca="false">F8+F10+F24</f>
        <v>4032.68059765337</v>
      </c>
      <c r="G11" s="0" t="n">
        <f aca="false">G8+G10+G24</f>
        <v>4321.80046694794</v>
      </c>
      <c r="H11" s="0" t="n">
        <f aca="false">H8+H10+H24</f>
        <v>4494.67248562586</v>
      </c>
      <c r="I11" s="0" t="n">
        <f aca="false">I8+I10+I24</f>
        <v>4674.4593850509</v>
      </c>
      <c r="J11" s="0" t="n">
        <f aca="false">J8+J10+J24</f>
        <v>4838.06546352768</v>
      </c>
      <c r="K11" s="0" t="n">
        <f aca="false">K8+K10+K24</f>
        <v>4983.20742743351</v>
      </c>
      <c r="L11" s="0" t="n">
        <f aca="false">L8+L10+L24</f>
        <v>5132.70365025651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-937.42313335</v>
      </c>
      <c r="D12" s="4" t="n">
        <f aca="false">-D6*Assumptions!D45/100</f>
        <v>-978.837647898</v>
      </c>
      <c r="E12" s="4" t="n">
        <f aca="false">-E6*Assumptions!E45/100</f>
        <v>-1021.8471809117</v>
      </c>
      <c r="F12" s="4" t="n">
        <f aca="false">-F6*Assumptions!F45/100</f>
        <v>-1066.49404235461</v>
      </c>
      <c r="G12" s="4" t="n">
        <f aca="false">-G6*Assumptions!G45/100</f>
        <v>-1102.32157658996</v>
      </c>
      <c r="H12" s="4" t="n">
        <f aca="false">-H6*Assumptions!H45/100</f>
        <v>-1128.21738505588</v>
      </c>
      <c r="I12" s="4" t="n">
        <f aca="false">-I6*Assumptions!I45/100</f>
        <v>-1173.34608045812</v>
      </c>
      <c r="J12" s="4" t="n">
        <f aca="false">-J6*Assumptions!J45/100</f>
        <v>-1214.41319327415</v>
      </c>
      <c r="K12" s="4" t="n">
        <f aca="false">-K6*Assumptions!K45/100</f>
        <v>-1250.84558907238</v>
      </c>
      <c r="L12" s="4" t="n">
        <f aca="false">-L6*Assumptions!L45/100</f>
        <v>-1288.37095674455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2098.7085075</v>
      </c>
      <c r="D13" s="0" t="n">
        <f aca="false">D11+D12</f>
        <v>2313.616258668</v>
      </c>
      <c r="E13" s="0" t="n">
        <f aca="false">E11+E12</f>
        <v>2625.36121865006</v>
      </c>
      <c r="F13" s="0" t="n">
        <f aca="false">F11+F12</f>
        <v>2966.18655529876</v>
      </c>
      <c r="G13" s="0" t="n">
        <f aca="false">G11+G12</f>
        <v>3219.47889035798</v>
      </c>
      <c r="H13" s="0" t="n">
        <f aca="false">H11+H12</f>
        <v>3366.45510056998</v>
      </c>
      <c r="I13" s="0" t="n">
        <f aca="false">I11+I12</f>
        <v>3501.11330459278</v>
      </c>
      <c r="J13" s="0" t="n">
        <f aca="false">J11+J12</f>
        <v>3623.65227025352</v>
      </c>
      <c r="K13" s="0" t="n">
        <f aca="false">K11+K12</f>
        <v>3732.36183836113</v>
      </c>
      <c r="L13" s="0" t="n">
        <f aca="false">L11+L12</f>
        <v>3844.33269351196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18</v>
      </c>
      <c r="D14" s="4" t="n">
        <f aca="false">Assumptions!D47</f>
        <v>18</v>
      </c>
      <c r="E14" s="4" t="n">
        <f aca="false">Assumptions!E47</f>
        <v>18</v>
      </c>
      <c r="F14" s="4" t="n">
        <f aca="false">Assumptions!F47</f>
        <v>18</v>
      </c>
      <c r="G14" s="4" t="n">
        <f aca="false">Assumptions!G47</f>
        <v>18</v>
      </c>
      <c r="H14" s="4" t="n">
        <f aca="false">Assumptions!H47</f>
        <v>18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1720.94097615</v>
      </c>
      <c r="D15" s="0" t="n">
        <f aca="false">D13-MAX(0,D13)*D14/100</f>
        <v>1897.16533210776</v>
      </c>
      <c r="E15" s="0" t="n">
        <f aca="false">E13-MAX(0,E13)*E14/100</f>
        <v>2152.79619929305</v>
      </c>
      <c r="F15" s="0" t="n">
        <f aca="false">F13-MAX(0,F13)*F14/100</f>
        <v>2432.27297534499</v>
      </c>
      <c r="G15" s="0" t="n">
        <f aca="false">G13-MAX(0,G13)*G14/100</f>
        <v>2639.97269009355</v>
      </c>
      <c r="H15" s="0" t="n">
        <f aca="false">H13-MAX(0,H13)*H14/100</f>
        <v>2760.49318246738</v>
      </c>
      <c r="I15" s="0" t="n">
        <f aca="false">I13-MAX(0,I13)*I14/100</f>
        <v>2870.91290976608</v>
      </c>
      <c r="J15" s="0" t="n">
        <f aca="false">J13-MAX(0,J13)*J14/100</f>
        <v>2971.39486160789</v>
      </c>
      <c r="K15" s="0" t="n">
        <f aca="false">K13-MAX(0,K13)*K14/100</f>
        <v>3060.53670745613</v>
      </c>
      <c r="L15" s="0" t="n">
        <f aca="false">L13-MAX(0,L13)*L14/100</f>
        <v>3152.35280867981</v>
      </c>
    </row>
    <row r="16" customFormat="false" ht="15" hidden="false" customHeight="false" outlineLevel="0" collapsed="false">
      <c r="A16" s="0" t="s">
        <v>117</v>
      </c>
      <c r="C16" s="0" t="n">
        <f aca="false">-C12</f>
        <v>937.42313335</v>
      </c>
      <c r="D16" s="0" t="n">
        <f aca="false">-D12</f>
        <v>978.837647898</v>
      </c>
      <c r="E16" s="0" t="n">
        <f aca="false">-E12</f>
        <v>1021.8471809117</v>
      </c>
      <c r="F16" s="0" t="n">
        <f aca="false">-F12</f>
        <v>1066.49404235461</v>
      </c>
      <c r="G16" s="0" t="n">
        <f aca="false">-G12</f>
        <v>1102.32157658996</v>
      </c>
      <c r="H16" s="0" t="n">
        <f aca="false">-H12</f>
        <v>1128.21738505588</v>
      </c>
      <c r="I16" s="0" t="n">
        <f aca="false">-I12</f>
        <v>1173.34608045812</v>
      </c>
      <c r="J16" s="0" t="n">
        <f aca="false">-J12</f>
        <v>1214.41319327415</v>
      </c>
      <c r="K16" s="0" t="n">
        <f aca="false">-K12</f>
        <v>1250.84558907238</v>
      </c>
      <c r="L16" s="0" t="n">
        <f aca="false">-L12</f>
        <v>1288.37095674455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-909.44035325</v>
      </c>
      <c r="D17" s="4" t="n">
        <f aca="false">-D6*Assumptions!D46/100</f>
        <v>-964.006774445</v>
      </c>
      <c r="E17" s="4" t="n">
        <f aca="false">-E6*Assumptions!E46/100</f>
        <v>-990.40572919134</v>
      </c>
      <c r="F17" s="4" t="n">
        <f aca="false">-F6*Assumptions!F46/100</f>
        <v>-999.838164707448</v>
      </c>
      <c r="G17" s="4" t="n">
        <f aca="false">-G6*Assumptions!G46/100</f>
        <v>-1049.83007294282</v>
      </c>
      <c r="H17" s="4" t="n">
        <f aca="false">-H6*Assumptions!H46/100</f>
        <v>-1091.82327586053</v>
      </c>
      <c r="I17" s="4" t="n">
        <f aca="false">-I6*Assumptions!I46/100</f>
        <v>-1135.49620689495</v>
      </c>
      <c r="J17" s="4" t="n">
        <f aca="false">-J6*Assumptions!J46/100</f>
        <v>-1175.23857413628</v>
      </c>
      <c r="K17" s="4" t="n">
        <f aca="false">-K6*Assumptions!K46/100</f>
        <v>-1210.49573136037</v>
      </c>
      <c r="L17" s="4" t="n">
        <f aca="false">-L6*Assumptions!L46/100</f>
        <v>-1246.81060330118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-90.3750074999998</v>
      </c>
      <c r="D18" s="4" t="n">
        <f aca="false">(D6-C6)*Assumptions!$B$51/100</f>
        <v>-125.92251045</v>
      </c>
      <c r="E18" s="4" t="n">
        <f aca="false">(E6-D6)*Assumptions!$B$51/100</f>
        <v>-133.477861077</v>
      </c>
      <c r="F18" s="4" t="n">
        <f aca="false">(F6-E6)*Assumptions!$B$51/100</f>
        <v>-141.48653274162</v>
      </c>
      <c r="G18" s="4" t="n">
        <f aca="false">(G6-F6)*Assumptions!$B$51/100</f>
        <v>-124.979770588431</v>
      </c>
      <c r="H18" s="4" t="n">
        <f aca="false">(H6-G6)*Assumptions!$B$51/100</f>
        <v>-104.983007294282</v>
      </c>
      <c r="I18" s="4" t="n">
        <f aca="false">(I6-H6)*Assumptions!$B$51/100</f>
        <v>-109.182327586053</v>
      </c>
      <c r="J18" s="4" t="n">
        <f aca="false">(J6-I6)*Assumptions!$B$51/100</f>
        <v>-99.3559181033081</v>
      </c>
      <c r="K18" s="4" t="n">
        <f aca="false">(K6-J6)*Assumptions!$B$51/100</f>
        <v>-88.1428930602211</v>
      </c>
      <c r="L18" s="4" t="n">
        <f aca="false">(L6-K6)*Assumptions!$B$51/100</f>
        <v>-90.7871798520275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1658.54874875</v>
      </c>
      <c r="D19" s="0" t="n">
        <f aca="false">D15+D16+D17+D18</f>
        <v>1786.07369511076</v>
      </c>
      <c r="E19" s="0" t="n">
        <f aca="false">E15+E16+E17+E18</f>
        <v>2050.75978993641</v>
      </c>
      <c r="F19" s="0" t="n">
        <f aca="false">F15+F16+F17+F18</f>
        <v>2357.44232025053</v>
      </c>
      <c r="G19" s="0" t="n">
        <f aca="false">G15+G16+G17+G18</f>
        <v>2567.48442315226</v>
      </c>
      <c r="H19" s="0" t="n">
        <f aca="false">H15+H16+H17+H18</f>
        <v>2691.90428436845</v>
      </c>
      <c r="I19" s="0" t="n">
        <f aca="false">I15+I16+I17+I18</f>
        <v>2799.58045574319</v>
      </c>
      <c r="J19" s="0" t="n">
        <f aca="false">J15+J16+J17+J18</f>
        <v>2911.21356264246</v>
      </c>
      <c r="K19" s="0" t="n">
        <f aca="false">K15+K16+K17+K18</f>
        <v>3012.74367210792</v>
      </c>
      <c r="L19" s="0" t="n">
        <f aca="false">L15+L16+L17+L18</f>
        <v>3103.12598227116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1521.60435665138</v>
      </c>
      <c r="D21" s="0" t="n">
        <f aca="false">D19*D20</f>
        <v>1503.3024956744</v>
      </c>
      <c r="E21" s="0" t="n">
        <f aca="false">E19*E20</f>
        <v>1583.56283136239</v>
      </c>
      <c r="F21" s="0" t="n">
        <f aca="false">F19*F20</f>
        <v>1670.07157329751</v>
      </c>
      <c r="G21" s="0" t="n">
        <f aca="false">G19*G20</f>
        <v>1668.68871043875</v>
      </c>
      <c r="H21" s="0" t="n">
        <f aca="false">H19*H20</f>
        <v>1605.09457185508</v>
      </c>
      <c r="I21" s="0" t="n">
        <f aca="false">I19*I20</f>
        <v>1531.46638048559</v>
      </c>
      <c r="J21" s="0" t="n">
        <f aca="false">J19*J20</f>
        <v>1461.03992001628</v>
      </c>
      <c r="K21" s="0" t="n">
        <f aca="false">K19*K20</f>
        <v>1387.15087920044</v>
      </c>
      <c r="L21" s="0" t="n">
        <f aca="false">L19*L20</f>
        <v>1310.79395007014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0.8</v>
      </c>
      <c r="D23" s="4" t="n">
        <f aca="false">Assumptions!D44</f>
        <v>0.8</v>
      </c>
      <c r="E23" s="4" t="n">
        <f aca="false">Assumptions!E44</f>
        <v>0.8</v>
      </c>
      <c r="F23" s="4" t="n">
        <f aca="false">Assumptions!F44</f>
        <v>0.8</v>
      </c>
      <c r="G23" s="4" t="n">
        <f aca="false">Assumptions!G44</f>
        <v>0.8</v>
      </c>
      <c r="H23" s="4" t="n">
        <f aca="false">Assumptions!H44</f>
        <v>0.8</v>
      </c>
      <c r="I23" s="4" t="n">
        <f aca="false">Assumptions!I44</f>
        <v>0.8</v>
      </c>
      <c r="J23" s="4" t="n">
        <f aca="false">Assumptions!J44</f>
        <v>0.8</v>
      </c>
      <c r="K23" s="4" t="n">
        <f aca="false">Assumptions!K44</f>
        <v>0.8</v>
      </c>
      <c r="L23" s="4" t="n">
        <f aca="false">Assumptions!L44</f>
        <v>0.8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-111.9311204</v>
      </c>
      <c r="D24" s="0" t="n">
        <f aca="false">-D6*D23/100</f>
        <v>-118.646987624</v>
      </c>
      <c r="E24" s="0" t="n">
        <f aca="false">-E6*E23/100</f>
        <v>-125.76580688144</v>
      </c>
      <c r="F24" s="0" t="n">
        <f aca="false">-F6*F23/100</f>
        <v>-133.311755294326</v>
      </c>
      <c r="G24" s="0" t="n">
        <f aca="false">-G6*G23/100</f>
        <v>-139.977343059043</v>
      </c>
      <c r="H24" s="0" t="n">
        <f aca="false">-H6*H23/100</f>
        <v>-145.576436781404</v>
      </c>
      <c r="I24" s="0" t="n">
        <f aca="false">-I6*I23/100</f>
        <v>-151.399494252661</v>
      </c>
      <c r="J24" s="0" t="n">
        <f aca="false">-J6*J23/100</f>
        <v>-156.698476551504</v>
      </c>
      <c r="K24" s="0" t="n">
        <f aca="false">-K6*K23/100</f>
        <v>-161.399430848049</v>
      </c>
      <c r="L24" s="0" t="n">
        <f aca="false">-L6*L23/100</f>
        <v>-166.24141377349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15242.7756690519</v>
      </c>
    </row>
    <row r="31" customFormat="false" ht="15" hidden="false" customHeight="false" outlineLevel="0" collapsed="false">
      <c r="A31" s="0" t="s">
        <v>126</v>
      </c>
      <c r="B31" s="0" t="n">
        <f aca="false">L19</f>
        <v>3103.12598227116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53270.3293623215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37237.5117872539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37237.5117872539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15729.5274008416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30972.3030698936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33545.5300698936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8.711136541411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1.63176330556224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548.676916274784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753.425362744649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9.04926775352145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26635.1646811608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5.37901651929567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4.46584195282307</v>
      </c>
      <c r="C4" s="0" t="n">
        <f aca="false">B4/Assumptions!$B$2-1</f>
        <v>0.349196964599116</v>
      </c>
      <c r="D4" s="4" t="n">
        <f aca="false">Assumptions!$B$24</f>
        <v>0.3</v>
      </c>
      <c r="E4" s="4" t="n">
        <f aca="false">DCF_Bear!$B$43</f>
        <v>4.69988912136365</v>
      </c>
      <c r="F4" s="4" t="n">
        <f aca="false">DCF_Bear!$B$47</f>
        <v>2.9870687912229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6.38158647025954</v>
      </c>
      <c r="C5" s="0" t="n">
        <f aca="false">B5/Assumptions!$B$2-1</f>
        <v>0.927971743280828</v>
      </c>
      <c r="D5" s="4" t="n">
        <f aca="false">Assumptions!$B$38</f>
        <v>0.5</v>
      </c>
      <c r="E5" s="4" t="n">
        <f aca="false">DCF_Base!$B$43</f>
        <v>6.66171149963497</v>
      </c>
      <c r="F5" s="4" t="n">
        <f aca="false">DCF_Base!$B$47</f>
        <v>4.07098598089287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8.711136541411</v>
      </c>
      <c r="C6" s="0" t="n">
        <f aca="false">B6/Assumptions!$B$2-1</f>
        <v>1.63176330556224</v>
      </c>
      <c r="D6" s="4" t="n">
        <f aca="false">Assumptions!$B$52</f>
        <v>0.2</v>
      </c>
      <c r="E6" s="4" t="n">
        <f aca="false">DCF_Bull!$B$43</f>
        <v>9.04926775352145</v>
      </c>
      <c r="F6" s="4" t="n">
        <f aca="false">DCF_Bull!$B$47</f>
        <v>5.37901651929567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6.27277312925889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6.55067603693087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0.472322698144343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-1066.11807486232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4.00741693167244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6.38158647025954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6.01110564233092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5.67206018887158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5.15269950001267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4.07098598089287</v>
      </c>
      <c r="C19" s="3" t="n">
        <v>15</v>
      </c>
    </row>
    <row r="21" customFormat="false" ht="15" hidden="false" customHeight="false" outlineLevel="0" collapsed="false">
      <c r="A21" s="2" t="s">
        <v>162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7.23092364493771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7.23092364493771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7.23092364493771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7.23092364493771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7.23092364493771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6.7869160297672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6.7869160297672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6.7869160297672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6.7869160297672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6.7869160297672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6.38158647025954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6.38158647025954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6.38158647025954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6.38158647025954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6.38158647025954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5.99896163831988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6.01110564233092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6.01110564233092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6.01110564233092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6.01110564233092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5.42392160761106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5.54633664103292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5.67206018887158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5.67206018887158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5.67206018887158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2026-10-11T14:59:31Z</dcterms:created>
  <dc:creator>openpyxl</dc:creator>
  <dc:description/>
  <dc:language>en-NZ</dc:language>
  <cp:lastModifiedBy/>
  <dcterms:modified xsi:type="dcterms:W3CDTF">2026-10-11T14:59:31Z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