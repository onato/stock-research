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<sst xmlns="http://schemas.openxmlformats.org/spreadsheetml/2006/main" count="371" uniqueCount="170">
  <si>
    <t xml:space="preserve">Ticker</t>
  </si>
  <si>
    <t xml:space="preserve">5711.T</t>
  </si>
  <si>
    <t xml:space="preserve">Company</t>
  </si>
  <si>
    <t xml:space="preserve">Mitsubishi Materials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</si>
  <si>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</si>
  <si>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</si>
  <si>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</si>
  <si>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</si>
  <si>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close, Tokyo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</si>
  <si>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</si>
  <si>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</si>
  <si>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</si>
  <si>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</si>
  <si>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</si>
  <si>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</si>
  <si>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</si>
  <si>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</si>
  <si>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</si>
  <si>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</si>
  <si>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</si>
  <si>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</si>
  <si>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2026-10-31T10:39:23Z</t>
  </si>
  <si>
    <t xml:space="preserve">Drivers file</t>
  </si>
  <si>
    <t xml:space="preserve">5711.T_Drivers.json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</si>
  <si>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</si>
  <si>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</si>
  <si>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</si>
  <si>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business on management's own mid-cycle, not on the record FY2027 the price-deck is delivering. The EBITDA line deliberately includes mine dividends and equity-method income (and therefore excludes the JPY302bn of investment securities from the bridge) because after the Pan Pacific Copper split an increasing share of the economics arrives as equity-method income. The terminal multiple is capped at 12x FCF for a sub-cost-of-capital-ROIC cyclical. Leverage is why the three scenarios are so far apart: JPY548bn of net debt is subtracted from every one of them.
key_risks_to_valuation: Peak-cycle base: if FY2027's JPY180bn ordinary profit proved to be the new normal rather than a peak, the base IV is far too low -- but management's own FY2029 targets (ROE 8%) say it is a peak.; The Pan Pacific Copper company split (~Feb 2027) will restate revenue and move smelting profit into equity-method income; later-year margins here are on a pre-split revenue base and must be re-based at the FY2028 update.; JPY70bn zero-coupon convertibles: ~13.5m shares (+10%) if the price clears JPY5,105-5,275; modelled as debt at today's price.; Working capital tracks metal prices: a further copper/gold leg up consumes cash even as profit rises (FY2027: -107bn guided), a reversal releases it; the -15% capture is a central estimate for a highly price-sensitive line.; Cash tax blend (23%) depends on the mix of exempt foreign dividends and equity-method income vs taxable domestic operating profit; a mix shift toward operating profit raises it toward 31%.; Gold-bullion lease/deposit book (net liability ~JPY325bn) is treated as operating, following the company's net-debt definition; a gold-price shock or counterparty issue would make it financial.</t>
  </si>
  <si>
    <t xml:space="preserve">Data sources</t>
  </si>
  <si>
    <t xml:space="preserve">price: Yahoo Finance chart API, regular close at inputs.price_as_of; 52-week range JPY2,775.5-6,139.0.
financials: 5711.T_Metrics.csv (core_metrics, FY2014-Q1 FY2027); 5711.T_Quarterly_Q1-FY2027.txt (balance sheet 2026-06-30, P&amp;L, share counts, convertible terms); 5711.T_Annual_FY2026.txt Integrated Report 2026 eleven-year summary (capex, D&amp;A, OCF, operating/ordinary profit); 5711.T_Presentation_FY2026.txt and 5711.T_Presentation_Q1-FY2027.txt (dividend income, equity-method earnings, FY2027 guidance, cash-flow and capex forecasts, sensitivities); 5711.T_Annual_FY2025.txt tanshin cash flow statement (taxes paid, interest, NCI dividends).
qualitative: 5711.T_Analysis.json (2026-10-31): PPC integration, Onahama exit, FY2027-2029 Medium-term Management Strategy targets, bull/bear axes.</t>
  </si>
  <si>
    <t xml:space="preserve">Scenario narrative: bear</t>
  </si>
  <si>
    <t xml:space="preserve">FY2027 proves to be the peak: tungsten and gold roll over in H2, the yen firms, and FY2028-29 revert to the FY2024-25 band (ordinary JPY55-65bn, ROE ~5%). TC/RC stays at historic lows so the PPC stake earns little, the US/Europe secondary-smelter and recycling build-out keeps capex at 3.5% of revenue above D&amp;A, and a further impairment cycle follows the Onahama one (FY2020 -72.9bn loss, FY2026 -20.4bn impairment). With JPY548bn of net debt against a JPY567bn market cap, a mid-cycle unlevered FCF of ~JPY45-50bn barely covers the debt at an 11x exit: the equity is close to worthless on this path and the out-of-the-money convertibles become the marginal financing.</t>
  </si>
  <si>
    <t xml:space="preserve">Scenario narrative: base</t>
  </si>
  <si>
    <t xml:space="preserve">FY2027 lands at the August guidance (Q1 already delivered JPY51.9bn of the JPY180bn ordinary profit), then the three tailwinds management itself names -- weak yen, record tungsten/gold/copper, the low-cost tungsten inventory release -- fade over FY2028-29 to the company's own FY2029 mid-cycle (ROE 8%, ROIC 7%, ordinary ~JPY105bn). The structural programme (Onahama smelter exit by Mar-2027, Sakai/Sambo integration, Johor strip exit, PPC company split, H.C. Starck tungsten recycling, Elemental USA e-scrap) removes the loss-makers and holds the mid-cycle EBITDA margin at ~7.8%, a touch under the ten-year average, while growth capex for secondary smelting stays above D&amp;A. The axes: the metals price deck and JPY/USD; whether the FY2027-29 strategy is the first mid-term plan in a decade whose assumptions hold; and whether the resource-circulation pivot ever lifts ROIC above the 4-6% of FY2024-26.</t>
  </si>
  <si>
    <t xml:space="preserve">Scenario narrative: bull</t>
  </si>
  <si>
    <t xml:space="preserve">Copper stays in structural deficit on electrification and AI-datacentre demand, gold holds above $4,000, Chinese tungsten export controls keep APT elevated and the yen stays near 150-160. Smelting economics improve inside Pan Pacific Copper as Japanese primary capacity is cut, mine dividends (Los Pelambres, Mantoverde) compound at high copper, the tungsten/E-scrap recycling franchise earns the premium its scarcity implies, and management beats its FY2029 targets with ordinary profit sustained near JPY150bn (ROE ~12%). Deleveraging to net D/E 0.5x re-rates the equity from 0.7x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</si>
  <si>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</si>
  <si>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</si>
  <si>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</si>
  <si>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</si>
  <si>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</si>
  <si>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</si>
  <si>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</si>
  <si>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</si>
  <si>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</si>
  <si>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</si>
  <si>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</si>
  <si>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</si>
  <si>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</si>
  <si>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</si>
  <si>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</si>
  <si>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</si>
  <si>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</si>
  <si>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</si>
  <si>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</si>
  <si>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</si>
  <si>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</si>
  <si>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</si>
  <si>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</si>
  <si>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</si>
  <si>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</si>
  <si>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</si>
  <si>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</si>
  <si>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OrdinaryProfit</t>
  </si>
  <si>
    <t xml:space="preserve">SegmentRevenueOther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</si>
  <si>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</si>
  <si>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</si>
  <si>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</si>
  <si>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</si>
  <si>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</si>
  <si>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</si>
  <si>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</si>
  <si>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</si>
  <si>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</si>
  <si>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</si>
  <si>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</si>
  <si>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</si>
  <si>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</si>
  <si>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</si>
  <si>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</si>
  <si>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</si>
  <si>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</si>
  <si>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</si>
  <si>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</si>
  <si>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</si>
  <si>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</si>
  <si>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</si>
  <si>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</si>
  <si>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</si>
  <si>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</si>
  <si>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</si>
  <si>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</si>
  <si>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</si>
  <si>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</si>
  <si>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</si>
  <si>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</si>
  <si>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</si>
  <si>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</si>
  <si>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</si>
  <si>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</si>
  <si>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</si>
  <si>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</si>
  <si>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</si>
  <si>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</si>
  <si>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</si>
  <si>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</si>
  <si>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</si>
  <si>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</si>
  <si>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</si>
  <si>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</si>
  <si>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</si>
  <si>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</si>
  <si>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</si>
  <si>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</si>
  <si>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</si>
  <si>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5711.T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</si>
  <si>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</si>
  <si>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</si>
  <si>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</si>
  <si>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</si>
  <si>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</si>
  <si>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</si>
  <si>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</si>
  <si>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</si>
  <si>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</si>
  <si>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</si>
  <si>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</si>
  <si>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</si>
  <si>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</si>
  <si>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</si>
  <si>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</si>
  <si>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</si>
  <si>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</si>
  <si>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</si>
  <si>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</si>
  <si>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</si>
  <si>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</si>
  <si>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</si>
  <si>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</si>
  <si>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</si>
  <si>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</si>
  <si>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</si>
  <si>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</si>
  <si>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</si>
  <si>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</si>
  <si>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</si>
  <si>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5711.T owner-FCF component DCF: base case (millions, JPY)</t>
  </si>
  <si>
    <t xml:space="preserve">5711.T owner-FCF component DCF: bull case (millions, JPY)</t>
  </si>
  <si>
    <t xml:space="preserve">5711.T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</si>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</sst>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4340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1414796</v>
      </c>
      <c r="C2" s="0" t="n">
        <v>1220333</v>
      </c>
      <c r="D2" s="0" t="n">
        <v>194463</v>
      </c>
      <c r="E2" s="0" t="n">
        <v>13.7</v>
      </c>
      <c r="F2" s="0" t="n">
        <v>66281</v>
      </c>
      <c r="G2" s="0" t="n">
        <v>4.7</v>
      </c>
      <c r="H2" s="0" t="n">
        <v>123709</v>
      </c>
      <c r="I2" s="0" t="n">
        <v>52551</v>
      </c>
      <c r="J2" s="0" t="n">
        <v>3.7</v>
      </c>
      <c r="K2" s="0" t="n">
        <v>401</v>
      </c>
      <c r="L2" s="0" t="n">
        <v>102932</v>
      </c>
      <c r="M2" s="0" t="n">
        <v>63816</v>
      </c>
      <c r="N2" s="0" t="n">
        <v>39116</v>
      </c>
      <c r="O2" s="0" t="n">
        <v>456749</v>
      </c>
      <c r="P2" s="0" t="n">
        <v>1778505</v>
      </c>
      <c r="Q2" s="0" t="n">
        <v>1252798</v>
      </c>
      <c r="R2" s="0" t="n">
        <v>649843</v>
      </c>
      <c r="S2" s="0" t="n">
        <v>62078</v>
      </c>
      <c r="T2" s="0" t="n">
        <v>131.045</v>
      </c>
      <c r="V2" s="0" t="n">
        <v>60</v>
      </c>
      <c r="AA2" s="0" t="s">
        <v>17</v>
      </c>
      <c r="AB2" s="0" t="s">
        <v>14</v>
      </c>
      <c r="AC2" s="0" t="n">
        <v>76902</v>
      </c>
    </row>
    <row r="3" customFormat="false" ht="15" hidden="false" customHeight="false" outlineLevel="0" collapsed="false">
      <c r="A3" s="0" t="s">
        <v>66</v>
      </c>
      <c r="B3" s="0" t="n">
        <v>1517265</v>
      </c>
      <c r="C3" s="0" t="n">
        <v>1313259</v>
      </c>
      <c r="D3" s="0" t="n">
        <v>204006</v>
      </c>
      <c r="E3" s="0" t="n">
        <v>13.4</v>
      </c>
      <c r="F3" s="0" t="n">
        <v>71871</v>
      </c>
      <c r="G3" s="0" t="n">
        <v>4.7</v>
      </c>
      <c r="H3" s="0" t="n">
        <v>125782</v>
      </c>
      <c r="I3" s="0" t="n">
        <v>56147</v>
      </c>
      <c r="J3" s="0" t="n">
        <v>3.7</v>
      </c>
      <c r="K3" s="0" t="n">
        <v>428.5</v>
      </c>
      <c r="L3" s="0" t="n">
        <v>108070</v>
      </c>
      <c r="M3" s="0" t="n">
        <v>54821</v>
      </c>
      <c r="N3" s="0" t="n">
        <v>53249</v>
      </c>
      <c r="O3" s="0" t="n">
        <v>550762</v>
      </c>
      <c r="P3" s="0" t="n">
        <v>1898157</v>
      </c>
      <c r="Q3" s="0" t="n">
        <v>1268643</v>
      </c>
      <c r="R3" s="0" t="n">
        <v>630871</v>
      </c>
      <c r="S3" s="0" t="n">
        <v>92079</v>
      </c>
      <c r="T3" s="0" t="n">
        <v>131.022</v>
      </c>
      <c r="V3" s="0" t="n">
        <v>80</v>
      </c>
      <c r="AA3" s="0" t="s">
        <v>17</v>
      </c>
      <c r="AB3" s="0" t="s">
        <v>14</v>
      </c>
      <c r="AC3" s="0" t="n">
        <v>81093</v>
      </c>
    </row>
    <row r="4" customFormat="false" ht="15" hidden="false" customHeight="false" outlineLevel="0" collapsed="false">
      <c r="A4" s="0" t="s">
        <v>67</v>
      </c>
      <c r="B4" s="0" t="n">
        <v>1417895</v>
      </c>
      <c r="C4" s="0" t="n">
        <v>1204322</v>
      </c>
      <c r="D4" s="0" t="n">
        <v>213573</v>
      </c>
      <c r="E4" s="0" t="n">
        <v>15.1</v>
      </c>
      <c r="F4" s="0" t="n">
        <v>70420</v>
      </c>
      <c r="G4" s="0" t="n">
        <v>5</v>
      </c>
      <c r="H4" s="0" t="n">
        <v>131262</v>
      </c>
      <c r="I4" s="0" t="n">
        <v>61316</v>
      </c>
      <c r="J4" s="0" t="n">
        <v>4.3</v>
      </c>
      <c r="K4" s="0" t="n">
        <v>468.03</v>
      </c>
      <c r="L4" s="0" t="n">
        <v>118685</v>
      </c>
      <c r="M4" s="0" t="n">
        <v>71469</v>
      </c>
      <c r="N4" s="0" t="n">
        <v>47216</v>
      </c>
      <c r="O4" s="0" t="n">
        <v>555227</v>
      </c>
      <c r="P4" s="0" t="n">
        <v>1793375</v>
      </c>
      <c r="Q4" s="0" t="n">
        <v>1148358</v>
      </c>
      <c r="R4" s="0" t="n">
        <v>526308</v>
      </c>
      <c r="S4" s="0" t="n">
        <v>58482</v>
      </c>
      <c r="T4" s="0" t="n">
        <v>131.001</v>
      </c>
      <c r="V4" s="0" t="n">
        <v>100</v>
      </c>
      <c r="AA4" s="0" t="s">
        <v>17</v>
      </c>
      <c r="AB4" s="0" t="s">
        <v>14</v>
      </c>
      <c r="AC4" s="0" t="n">
        <v>72442</v>
      </c>
    </row>
    <row r="5" customFormat="false" ht="15" hidden="false" customHeight="false" outlineLevel="0" collapsed="false">
      <c r="A5" s="0" t="s">
        <v>68</v>
      </c>
      <c r="B5" s="0" t="n">
        <v>1304068</v>
      </c>
      <c r="C5" s="0" t="n">
        <v>1104403</v>
      </c>
      <c r="D5" s="0" t="n">
        <v>199665</v>
      </c>
      <c r="E5" s="0" t="n">
        <v>15.3</v>
      </c>
      <c r="F5" s="0" t="n">
        <v>59761</v>
      </c>
      <c r="G5" s="0" t="n">
        <v>4.6</v>
      </c>
      <c r="H5" s="0" t="n">
        <v>120557</v>
      </c>
      <c r="I5" s="0" t="n">
        <v>28352</v>
      </c>
      <c r="J5" s="0" t="n">
        <v>2.2</v>
      </c>
      <c r="K5" s="0" t="n">
        <v>216.44</v>
      </c>
      <c r="L5" s="0" t="n">
        <v>115552</v>
      </c>
      <c r="M5" s="0" t="n">
        <v>76838</v>
      </c>
      <c r="N5" s="0" t="n">
        <v>38714</v>
      </c>
      <c r="O5" s="0" t="n">
        <v>621281</v>
      </c>
      <c r="P5" s="0" t="n">
        <v>1896939</v>
      </c>
      <c r="Q5" s="0" t="n">
        <v>1186744</v>
      </c>
      <c r="R5" s="0" t="n">
        <v>528230</v>
      </c>
      <c r="S5" s="0" t="n">
        <v>132616</v>
      </c>
      <c r="T5" s="0" t="n">
        <v>130.982</v>
      </c>
      <c r="V5" s="0" t="n">
        <v>60</v>
      </c>
      <c r="AA5" s="0" t="s">
        <v>17</v>
      </c>
      <c r="AB5" s="0" t="s">
        <v>14</v>
      </c>
      <c r="AC5" s="0" t="n">
        <v>63925</v>
      </c>
    </row>
    <row r="6" customFormat="false" ht="15" hidden="false" customHeight="false" outlineLevel="0" collapsed="false">
      <c r="A6" s="0" t="s">
        <v>69</v>
      </c>
      <c r="B6" s="0" t="n">
        <v>1599533</v>
      </c>
      <c r="C6" s="0" t="n">
        <v>1379878</v>
      </c>
      <c r="D6" s="0" t="n">
        <v>219655</v>
      </c>
      <c r="E6" s="0" t="n">
        <v>13.7</v>
      </c>
      <c r="F6" s="0" t="n">
        <v>72819</v>
      </c>
      <c r="G6" s="0" t="n">
        <v>4.6</v>
      </c>
      <c r="H6" s="0" t="n">
        <v>134239</v>
      </c>
      <c r="I6" s="0" t="n">
        <v>34595</v>
      </c>
      <c r="J6" s="0" t="n">
        <v>2.2</v>
      </c>
      <c r="K6" s="0" t="n">
        <v>264.15</v>
      </c>
      <c r="L6" s="0" t="n">
        <v>50715</v>
      </c>
      <c r="M6" s="0" t="n">
        <v>71494</v>
      </c>
      <c r="N6" s="0" t="n">
        <v>-20779</v>
      </c>
      <c r="O6" s="0" t="n">
        <v>682471</v>
      </c>
      <c r="P6" s="0" t="n">
        <v>2011067</v>
      </c>
      <c r="Q6" s="0" t="n">
        <v>1242572</v>
      </c>
      <c r="R6" s="0" t="n">
        <v>521434</v>
      </c>
      <c r="S6" s="0" t="n">
        <v>87355</v>
      </c>
      <c r="T6" s="0" t="n">
        <v>130.962</v>
      </c>
      <c r="V6" s="0" t="n">
        <v>80</v>
      </c>
      <c r="AA6" s="0" t="s">
        <v>17</v>
      </c>
      <c r="AB6" s="0" t="s">
        <v>14</v>
      </c>
      <c r="AC6" s="0" t="n">
        <v>79621</v>
      </c>
    </row>
    <row r="7" customFormat="false" ht="15" hidden="false" customHeight="false" outlineLevel="0" collapsed="false">
      <c r="A7" s="0" t="s">
        <v>70</v>
      </c>
      <c r="B7" s="0" t="n">
        <v>1662990</v>
      </c>
      <c r="C7" s="0" t="n">
        <v>1469912</v>
      </c>
      <c r="D7" s="0" t="n">
        <v>193078</v>
      </c>
      <c r="E7" s="0" t="n">
        <v>11.6</v>
      </c>
      <c r="F7" s="0" t="n">
        <v>36861</v>
      </c>
      <c r="G7" s="0" t="n">
        <v>2.2</v>
      </c>
      <c r="H7" s="0" t="n">
        <v>101380</v>
      </c>
      <c r="I7" s="0" t="n">
        <v>1298</v>
      </c>
      <c r="J7" s="0" t="n">
        <v>0.1</v>
      </c>
      <c r="K7" s="0" t="n">
        <v>9.92</v>
      </c>
      <c r="L7" s="0" t="n">
        <v>140168</v>
      </c>
      <c r="M7" s="0" t="n">
        <v>88746</v>
      </c>
      <c r="N7" s="0" t="n">
        <v>51422</v>
      </c>
      <c r="O7" s="0" t="n">
        <v>633582</v>
      </c>
      <c r="P7" s="0" t="n">
        <v>1938270</v>
      </c>
      <c r="Q7" s="0" t="n">
        <v>1214933</v>
      </c>
      <c r="R7" s="0" t="n">
        <v>494767</v>
      </c>
      <c r="S7" s="0" t="n">
        <v>99672</v>
      </c>
      <c r="T7" s="0" t="n">
        <v>130.951</v>
      </c>
      <c r="V7" s="0" t="n">
        <v>80</v>
      </c>
      <c r="AA7" s="0" t="s">
        <v>17</v>
      </c>
      <c r="AB7" s="0" t="s">
        <v>14</v>
      </c>
      <c r="AC7" s="0" t="n">
        <v>50679</v>
      </c>
    </row>
    <row r="8" customFormat="false" ht="15" hidden="false" customHeight="false" outlineLevel="0" collapsed="false">
      <c r="A8" s="0" t="s">
        <v>71</v>
      </c>
      <c r="B8" s="0" t="n">
        <v>1516100</v>
      </c>
      <c r="C8" s="0" t="n">
        <v>1325438</v>
      </c>
      <c r="D8" s="0" t="n">
        <v>190662</v>
      </c>
      <c r="E8" s="0" t="n">
        <v>12.6</v>
      </c>
      <c r="F8" s="0" t="n">
        <v>37952</v>
      </c>
      <c r="G8" s="0" t="n">
        <v>2.5</v>
      </c>
      <c r="H8" s="0" t="n">
        <v>106609</v>
      </c>
      <c r="I8" s="0" t="n">
        <v>-72850</v>
      </c>
      <c r="J8" s="0" t="n">
        <v>-4.8</v>
      </c>
      <c r="K8" s="0" t="n">
        <v>-556.34</v>
      </c>
      <c r="L8" s="0" t="n">
        <v>67545</v>
      </c>
      <c r="M8" s="0" t="n">
        <v>89599</v>
      </c>
      <c r="N8" s="0" t="n">
        <v>-22054</v>
      </c>
      <c r="O8" s="0" t="n">
        <v>506781</v>
      </c>
      <c r="P8" s="0" t="n">
        <v>1904050</v>
      </c>
      <c r="Q8" s="0" t="n">
        <v>1318016</v>
      </c>
      <c r="R8" s="0" t="n">
        <v>547616</v>
      </c>
      <c r="S8" s="0" t="n">
        <v>127284</v>
      </c>
      <c r="T8" s="0" t="n">
        <v>130.939</v>
      </c>
      <c r="V8" s="0" t="n">
        <v>80</v>
      </c>
      <c r="AA8" s="0" t="s">
        <v>17</v>
      </c>
      <c r="AB8" s="0" t="s">
        <v>14</v>
      </c>
      <c r="AC8" s="0" t="n">
        <v>49610</v>
      </c>
    </row>
    <row r="9" customFormat="false" ht="15" hidden="false" customHeight="false" outlineLevel="0" collapsed="false">
      <c r="A9" s="0" t="s">
        <v>72</v>
      </c>
      <c r="B9" s="0" t="n">
        <v>1485121</v>
      </c>
      <c r="C9" s="0" t="n">
        <v>1312772</v>
      </c>
      <c r="D9" s="0" t="n">
        <v>172349</v>
      </c>
      <c r="E9" s="0" t="n">
        <v>11.6</v>
      </c>
      <c r="F9" s="0" t="n">
        <v>26567</v>
      </c>
      <c r="G9" s="0" t="n">
        <v>1.8</v>
      </c>
      <c r="H9" s="0" t="n">
        <v>92904</v>
      </c>
      <c r="I9" s="0" t="n">
        <v>24407</v>
      </c>
      <c r="J9" s="0" t="n">
        <v>1.6</v>
      </c>
      <c r="K9" s="0" t="n">
        <v>186.71</v>
      </c>
      <c r="L9" s="0" t="n">
        <v>78442</v>
      </c>
      <c r="M9" s="0" t="n">
        <v>76825</v>
      </c>
      <c r="N9" s="0" t="n">
        <v>1617</v>
      </c>
      <c r="O9" s="0" t="n">
        <v>545233</v>
      </c>
      <c r="P9" s="0" t="n">
        <v>2035546</v>
      </c>
      <c r="Q9" s="0" t="n">
        <v>1421152</v>
      </c>
      <c r="R9" s="0" t="n">
        <v>629481</v>
      </c>
      <c r="S9" s="0" t="n">
        <v>147533</v>
      </c>
      <c r="T9" s="0" t="n">
        <v>130.653</v>
      </c>
      <c r="V9" s="0" t="n">
        <v>50</v>
      </c>
      <c r="AA9" s="0" t="s">
        <v>17</v>
      </c>
      <c r="AB9" s="0" t="s">
        <v>14</v>
      </c>
      <c r="AC9" s="0" t="n">
        <v>44527</v>
      </c>
    </row>
    <row r="10" customFormat="false" ht="15" hidden="false" customHeight="false" outlineLevel="0" collapsed="false">
      <c r="A10" s="0" t="s">
        <v>73</v>
      </c>
      <c r="B10" s="0" t="n">
        <v>1811759</v>
      </c>
      <c r="C10" s="0" t="n">
        <v>1602958</v>
      </c>
      <c r="D10" s="0" t="n">
        <v>208801</v>
      </c>
      <c r="E10" s="0" t="n">
        <v>11.5</v>
      </c>
      <c r="F10" s="0" t="n">
        <v>52708</v>
      </c>
      <c r="G10" s="0" t="n">
        <v>2.9</v>
      </c>
      <c r="H10" s="0" t="n">
        <v>120798</v>
      </c>
      <c r="I10" s="0" t="n">
        <v>45015</v>
      </c>
      <c r="J10" s="0" t="n">
        <v>2.5</v>
      </c>
      <c r="K10" s="0" t="n">
        <v>344.56</v>
      </c>
      <c r="L10" s="0" t="n">
        <v>6889</v>
      </c>
      <c r="M10" s="0" t="n">
        <v>71461</v>
      </c>
      <c r="N10" s="0" t="n">
        <v>-64572</v>
      </c>
      <c r="O10" s="0" t="n">
        <v>584817</v>
      </c>
      <c r="P10" s="0" t="n">
        <v>2125032</v>
      </c>
      <c r="Q10" s="0" t="n">
        <v>1469280</v>
      </c>
      <c r="R10" s="0" t="n">
        <v>608709</v>
      </c>
      <c r="S10" s="0" t="n">
        <v>153640</v>
      </c>
      <c r="T10" s="0" t="n">
        <v>130.641</v>
      </c>
      <c r="V10" s="0" t="n">
        <v>90</v>
      </c>
      <c r="AA10" s="0" t="s">
        <v>17</v>
      </c>
      <c r="AB10" s="0" t="s">
        <v>14</v>
      </c>
      <c r="AC10" s="0" t="n">
        <v>76080</v>
      </c>
    </row>
    <row r="11" customFormat="false" ht="15" hidden="false" customHeight="false" outlineLevel="0" collapsed="false">
      <c r="A11" s="0" t="s">
        <v>74</v>
      </c>
      <c r="B11" s="0" t="n">
        <v>1625933</v>
      </c>
      <c r="C11" s="0" t="n">
        <v>1449162</v>
      </c>
      <c r="D11" s="0" t="n">
        <v>176771</v>
      </c>
      <c r="E11" s="0" t="n">
        <v>10.9</v>
      </c>
      <c r="F11" s="0" t="n">
        <v>50076</v>
      </c>
      <c r="G11" s="0" t="n">
        <v>3.1</v>
      </c>
      <c r="H11" s="0" t="n">
        <v>96158</v>
      </c>
      <c r="I11" s="0" t="n">
        <v>20330</v>
      </c>
      <c r="J11" s="0" t="n">
        <v>1.3</v>
      </c>
      <c r="K11" s="0" t="n">
        <v>155.6</v>
      </c>
      <c r="L11" s="0" t="n">
        <v>45164</v>
      </c>
      <c r="M11" s="0" t="n">
        <v>70730</v>
      </c>
      <c r="N11" s="0" t="n">
        <v>-25566</v>
      </c>
      <c r="O11" s="0" t="n">
        <v>593324</v>
      </c>
      <c r="P11" s="0" t="n">
        <v>1891795</v>
      </c>
      <c r="Q11" s="0" t="n">
        <v>1262920</v>
      </c>
      <c r="R11" s="0" t="n">
        <v>533561</v>
      </c>
      <c r="S11" s="0" t="n">
        <v>141079</v>
      </c>
      <c r="T11" s="0" t="n">
        <v>130.632</v>
      </c>
      <c r="V11" s="0" t="n">
        <v>50</v>
      </c>
      <c r="AA11" s="0" t="s">
        <v>17</v>
      </c>
      <c r="AB11" s="0" t="s">
        <v>14</v>
      </c>
      <c r="AC11" s="0" t="n">
        <v>25306</v>
      </c>
    </row>
    <row r="12" customFormat="false" ht="15" hidden="false" customHeight="false" outlineLevel="0" collapsed="false">
      <c r="A12" s="0" t="s">
        <v>75</v>
      </c>
      <c r="B12" s="0" t="n">
        <v>1540642</v>
      </c>
      <c r="C12" s="0" t="n">
        <v>1392498</v>
      </c>
      <c r="D12" s="0" t="n">
        <v>148144</v>
      </c>
      <c r="E12" s="0" t="n">
        <v>9.6</v>
      </c>
      <c r="F12" s="0" t="n">
        <v>23276</v>
      </c>
      <c r="G12" s="0" t="n">
        <v>1.5</v>
      </c>
      <c r="H12" s="0" t="n">
        <v>71719</v>
      </c>
      <c r="I12" s="0" t="n">
        <v>29793</v>
      </c>
      <c r="J12" s="0" t="n">
        <v>1.9</v>
      </c>
      <c r="K12" s="0" t="n">
        <v>228.07</v>
      </c>
      <c r="L12" s="0" t="n">
        <v>51351</v>
      </c>
      <c r="M12" s="0" t="n">
        <v>78795</v>
      </c>
      <c r="N12" s="0" t="n">
        <v>-27444</v>
      </c>
      <c r="O12" s="0" t="n">
        <v>653642</v>
      </c>
      <c r="P12" s="0" t="n">
        <v>2167628</v>
      </c>
      <c r="Q12" s="0" t="n">
        <v>1482005</v>
      </c>
      <c r="R12" s="0" t="n">
        <v>603163</v>
      </c>
      <c r="S12" s="0" t="n">
        <v>131143</v>
      </c>
      <c r="T12" s="0" t="n">
        <v>130.63</v>
      </c>
      <c r="V12" s="0" t="n">
        <v>94</v>
      </c>
      <c r="AA12" s="0" t="s">
        <v>17</v>
      </c>
      <c r="AB12" s="0" t="s">
        <v>14</v>
      </c>
      <c r="AC12" s="0" t="n">
        <v>54102</v>
      </c>
      <c r="AD12" s="0" t="n">
        <v>49900</v>
      </c>
    </row>
    <row r="13" customFormat="false" ht="15" hidden="false" customHeight="false" outlineLevel="0" collapsed="false">
      <c r="A13" s="0" t="s">
        <v>76</v>
      </c>
      <c r="B13" s="0" t="n">
        <v>1962076</v>
      </c>
      <c r="C13" s="0" t="n">
        <v>1795431</v>
      </c>
      <c r="D13" s="0" t="n">
        <v>166645</v>
      </c>
      <c r="E13" s="0" t="n">
        <v>8.5</v>
      </c>
      <c r="F13" s="0" t="n">
        <v>37118</v>
      </c>
      <c r="G13" s="0" t="n">
        <v>1.9</v>
      </c>
      <c r="H13" s="0" t="n">
        <v>84402</v>
      </c>
      <c r="I13" s="0" t="n">
        <v>34076</v>
      </c>
      <c r="J13" s="0" t="n">
        <v>1.7</v>
      </c>
      <c r="K13" s="0" t="n">
        <v>260.82</v>
      </c>
      <c r="L13" s="0" t="n">
        <v>58889</v>
      </c>
      <c r="M13" s="0" t="n">
        <v>56077</v>
      </c>
      <c r="N13" s="0" t="n">
        <v>2812</v>
      </c>
      <c r="O13" s="0" t="n">
        <v>677250</v>
      </c>
      <c r="P13" s="0" t="n">
        <v>2379409</v>
      </c>
      <c r="Q13" s="0" t="n">
        <v>1686133</v>
      </c>
      <c r="R13" s="0" t="n">
        <v>593098</v>
      </c>
      <c r="S13" s="0" t="n">
        <v>88642</v>
      </c>
      <c r="T13" s="0" t="n">
        <v>130.659</v>
      </c>
      <c r="V13" s="0" t="n">
        <v>100</v>
      </c>
      <c r="AA13" s="0" t="s">
        <v>17</v>
      </c>
      <c r="AB13" s="0" t="s">
        <v>14</v>
      </c>
      <c r="AC13" s="0" t="n">
        <v>60235</v>
      </c>
      <c r="AD13" s="0" t="n">
        <v>49600</v>
      </c>
    </row>
    <row r="14" customFormat="false" ht="15" hidden="false" customHeight="false" outlineLevel="0" collapsed="false">
      <c r="A14" s="0" t="s">
        <v>77</v>
      </c>
      <c r="B14" s="0" t="n">
        <v>1844053</v>
      </c>
      <c r="C14" s="0" t="n">
        <v>1645083</v>
      </c>
      <c r="D14" s="0" t="n">
        <v>198970</v>
      </c>
      <c r="E14" s="0" t="n">
        <v>10.8</v>
      </c>
      <c r="F14" s="0" t="n">
        <v>60502</v>
      </c>
      <c r="G14" s="0" t="n">
        <v>3.3</v>
      </c>
      <c r="H14" s="0" t="n">
        <v>110388</v>
      </c>
      <c r="I14" s="0" t="n">
        <v>40581</v>
      </c>
      <c r="J14" s="0" t="n">
        <v>2.2</v>
      </c>
      <c r="K14" s="0" t="n">
        <v>310.56</v>
      </c>
      <c r="L14" s="0" t="n">
        <v>39674</v>
      </c>
      <c r="O14" s="0" t="n">
        <v>736112</v>
      </c>
      <c r="P14" s="0" t="n">
        <v>2999744</v>
      </c>
      <c r="Q14" s="0" t="n">
        <v>2246766</v>
      </c>
      <c r="R14" s="0" t="n">
        <v>652070</v>
      </c>
      <c r="S14" s="0" t="n">
        <v>121749</v>
      </c>
      <c r="T14" s="0" t="n">
        <v>130.678</v>
      </c>
      <c r="V14" s="0" t="n">
        <v>100</v>
      </c>
      <c r="AA14" s="0" t="s">
        <v>17</v>
      </c>
      <c r="AB14" s="0" t="s">
        <v>14</v>
      </c>
      <c r="AC14" s="0" t="n">
        <v>97556</v>
      </c>
      <c r="AD14" s="0" t="n">
        <v>29000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4340</v>
      </c>
    </row>
    <row r="3" customFormat="false" ht="15" hidden="false" customHeight="false" outlineLevel="0" collapsed="false">
      <c r="A3" s="0" t="s">
        <v>81</v>
      </c>
      <c r="B3" s="3" t="n">
        <v>130.76</v>
      </c>
    </row>
    <row r="4" customFormat="false" ht="15" hidden="false" customHeight="false" outlineLevel="0" collapsed="false">
      <c r="A4" s="0" t="s">
        <v>82</v>
      </c>
      <c r="B4" s="3" t="n">
        <v>547899</v>
      </c>
    </row>
    <row r="5" customFormat="false" ht="15" hidden="false" customHeight="false" outlineLevel="0" collapsed="false">
      <c r="A5" s="0" t="s">
        <v>83</v>
      </c>
      <c r="B5" s="3" t="n">
        <v>-17590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1844053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26</v>
      </c>
      <c r="D13" s="3" t="n">
        <v>-15</v>
      </c>
      <c r="E13" s="3" t="n">
        <v>-5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9</v>
      </c>
      <c r="D14" s="3" t="n">
        <v>6.5</v>
      </c>
      <c r="E14" s="3" t="n">
        <v>6.2</v>
      </c>
      <c r="F14" s="3" t="n">
        <v>6.4</v>
      </c>
      <c r="G14" s="3" t="n">
        <v>6.6</v>
      </c>
      <c r="H14" s="3" t="n">
        <v>6.8</v>
      </c>
      <c r="I14" s="3" t="n">
        <v>6.8</v>
      </c>
      <c r="J14" s="3" t="n">
        <v>6.8</v>
      </c>
      <c r="K14" s="3" t="n">
        <v>6.8</v>
      </c>
      <c r="L14" s="3" t="n">
        <v>6.8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2</v>
      </c>
      <c r="D17" s="3" t="n">
        <v>2.3</v>
      </c>
      <c r="E17" s="3" t="n">
        <v>2.4</v>
      </c>
      <c r="F17" s="3" t="n">
        <v>2.4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106</v>
      </c>
      <c r="C18" s="3" t="n">
        <v>3.3</v>
      </c>
      <c r="D18" s="3" t="n">
        <v>3.6</v>
      </c>
      <c r="E18" s="3" t="n">
        <v>3.6</v>
      </c>
      <c r="F18" s="3" t="n">
        <v>3.5</v>
      </c>
      <c r="G18" s="3" t="n">
        <v>3.4</v>
      </c>
      <c r="H18" s="3" t="n">
        <v>3.3</v>
      </c>
      <c r="I18" s="3" t="n">
        <v>3.2</v>
      </c>
      <c r="J18" s="3" t="n">
        <v>3.2</v>
      </c>
      <c r="K18" s="3" t="n">
        <v>3.2</v>
      </c>
      <c r="L18" s="3" t="n">
        <v>3.2</v>
      </c>
    </row>
    <row r="19" customFormat="false" ht="15" hidden="false" customHeight="false" outlineLevel="0" collapsed="false">
      <c r="A19" s="0" t="s">
        <v>107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0.5</v>
      </c>
    </row>
    <row r="22" customFormat="false" ht="15" hidden="false" customHeight="false" outlineLevel="0" collapsed="false">
      <c r="A22" s="0" t="s">
        <v>110</v>
      </c>
      <c r="B22" s="3" t="n">
        <v>11</v>
      </c>
    </row>
    <row r="23" customFormat="false" ht="15" hidden="false" customHeight="false" outlineLevel="0" collapsed="false">
      <c r="A23" s="0" t="s">
        <v>111</v>
      </c>
      <c r="B23" s="3" t="n">
        <v>-15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30.1</v>
      </c>
      <c r="D27" s="3" t="n">
        <v>-8</v>
      </c>
      <c r="E27" s="3" t="n">
        <v>-3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102</v>
      </c>
      <c r="C28" s="3" t="n">
        <v>10</v>
      </c>
      <c r="D28" s="3" t="n">
        <v>8.5</v>
      </c>
      <c r="E28" s="3" t="n">
        <v>7.6</v>
      </c>
      <c r="F28" s="3" t="n">
        <v>7.6</v>
      </c>
      <c r="G28" s="3" t="n">
        <v>7.7</v>
      </c>
      <c r="H28" s="3" t="n">
        <v>7.7</v>
      </c>
      <c r="I28" s="3" t="n">
        <v>7.8</v>
      </c>
      <c r="J28" s="3" t="n">
        <v>7.8</v>
      </c>
      <c r="K28" s="3" t="n">
        <v>7.8</v>
      </c>
      <c r="L28" s="3" t="n">
        <v>7.8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2</v>
      </c>
      <c r="D31" s="3" t="n">
        <v>2.2</v>
      </c>
      <c r="E31" s="3" t="n">
        <v>2.3</v>
      </c>
      <c r="F31" s="3" t="n">
        <v>2.3</v>
      </c>
      <c r="G31" s="3" t="n">
        <v>2.3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106</v>
      </c>
      <c r="C32" s="3" t="n">
        <v>3.3</v>
      </c>
      <c r="D32" s="3" t="n">
        <v>3.4</v>
      </c>
      <c r="E32" s="3" t="n">
        <v>3.3</v>
      </c>
      <c r="F32" s="3" t="n">
        <v>3.2</v>
      </c>
      <c r="G32" s="3" t="n">
        <v>3.1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107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1</v>
      </c>
    </row>
    <row r="36" customFormat="false" ht="15" hidden="false" customHeight="false" outlineLevel="0" collapsed="false">
      <c r="A36" s="0" t="s">
        <v>110</v>
      </c>
      <c r="B36" s="3" t="n">
        <v>12</v>
      </c>
    </row>
    <row r="37" customFormat="false" ht="15" hidden="false" customHeight="false" outlineLevel="0" collapsed="false">
      <c r="A37" s="0" t="s">
        <v>111</v>
      </c>
      <c r="B37" s="3" t="n">
        <v>-15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30.1</v>
      </c>
      <c r="D41" s="3" t="n">
        <v>-2</v>
      </c>
      <c r="E41" s="3" t="n">
        <v>0</v>
      </c>
      <c r="F41" s="3" t="n">
        <v>3</v>
      </c>
      <c r="G41" s="3" t="n">
        <v>3</v>
      </c>
      <c r="H41" s="3" t="n">
        <v>3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102</v>
      </c>
      <c r="C42" s="3" t="n">
        <v>10.2</v>
      </c>
      <c r="D42" s="3" t="n">
        <v>9.8</v>
      </c>
      <c r="E42" s="3" t="n">
        <v>9.2</v>
      </c>
      <c r="F42" s="3" t="n">
        <v>9</v>
      </c>
      <c r="G42" s="3" t="n">
        <v>9</v>
      </c>
      <c r="H42" s="3" t="n">
        <v>9</v>
      </c>
      <c r="I42" s="3" t="n">
        <v>9</v>
      </c>
      <c r="J42" s="3" t="n">
        <v>9</v>
      </c>
      <c r="K42" s="3" t="n">
        <v>9</v>
      </c>
      <c r="L42" s="3" t="n">
        <v>9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2</v>
      </c>
      <c r="D45" s="3" t="n">
        <v>2.2</v>
      </c>
      <c r="E45" s="3" t="n">
        <v>2.3</v>
      </c>
      <c r="F45" s="3" t="n">
        <v>2.3</v>
      </c>
      <c r="G45" s="3" t="n">
        <v>2.3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106</v>
      </c>
      <c r="C46" s="3" t="n">
        <v>3.3</v>
      </c>
      <c r="D46" s="3" t="n">
        <v>3.4</v>
      </c>
      <c r="E46" s="3" t="n">
        <v>3.3</v>
      </c>
      <c r="F46" s="3" t="n">
        <v>3.2</v>
      </c>
      <c r="G46" s="3" t="n">
        <v>3</v>
      </c>
      <c r="H46" s="3" t="n">
        <v>2.9</v>
      </c>
      <c r="I46" s="3" t="n">
        <v>2.9</v>
      </c>
      <c r="J46" s="3" t="n">
        <v>2.9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107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1.5</v>
      </c>
    </row>
    <row r="50" customFormat="false" ht="15" hidden="false" customHeight="false" outlineLevel="0" collapsed="false">
      <c r="A50" s="0" t="s">
        <v>110</v>
      </c>
      <c r="B50" s="3" t="n">
        <v>13</v>
      </c>
    </row>
    <row r="51" customFormat="false" ht="15" hidden="false" customHeight="false" outlineLevel="0" collapsed="false">
      <c r="A51" s="0" t="s">
        <v>111</v>
      </c>
      <c r="B51" s="3" t="n">
        <v>-15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26</v>
      </c>
      <c r="D5" s="4" t="n">
        <f aca="false">Assumptions!D13</f>
        <v>-15</v>
      </c>
      <c r="E5" s="4" t="n">
        <f aca="false">Assumptions!E13</f>
        <v>-5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1844053</v>
      </c>
      <c r="C6" s="0" t="n">
        <f aca="false">B6*(1+C5/100)</f>
        <v>2323506.78</v>
      </c>
      <c r="D6" s="0" t="n">
        <f aca="false">C6*(1+D5/100)</f>
        <v>1974980.763</v>
      </c>
      <c r="E6" s="0" t="n">
        <f aca="false">D6*(1+E5/100)</f>
        <v>1876231.72485</v>
      </c>
      <c r="F6" s="0" t="n">
        <f aca="false">E6*(1+F5/100)</f>
        <v>1894994.0420985</v>
      </c>
      <c r="G6" s="0" t="n">
        <f aca="false">F6*(1+G5/100)</f>
        <v>1913943.98251948</v>
      </c>
      <c r="H6" s="0" t="n">
        <f aca="false">G6*(1+H5/100)</f>
        <v>1942653.14225728</v>
      </c>
      <c r="I6" s="0" t="n">
        <f aca="false">H6*(1+I5/100)</f>
        <v>1971792.93939114</v>
      </c>
      <c r="J6" s="0" t="n">
        <f aca="false">I6*(1+J5/100)</f>
        <v>2001369.833482</v>
      </c>
      <c r="K6" s="0" t="n">
        <f aca="false">J6*(1+K5/100)</f>
        <v>2031390.38098423</v>
      </c>
      <c r="L6" s="0" t="n">
        <f aca="false">K6*(1+L5/100)</f>
        <v>2061861.236699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9</v>
      </c>
      <c r="D7" s="4" t="n">
        <f aca="false">Assumptions!D14</f>
        <v>6.5</v>
      </c>
      <c r="E7" s="4" t="n">
        <f aca="false">Assumptions!E14</f>
        <v>6.2</v>
      </c>
      <c r="F7" s="4" t="n">
        <f aca="false">Assumptions!F14</f>
        <v>6.4</v>
      </c>
      <c r="G7" s="4" t="n">
        <f aca="false">Assumptions!G14</f>
        <v>6.6</v>
      </c>
      <c r="H7" s="4" t="n">
        <f aca="false">Assumptions!H14</f>
        <v>6.8</v>
      </c>
      <c r="I7" s="4" t="n">
        <f aca="false">Assumptions!I14</f>
        <v>6.8</v>
      </c>
      <c r="J7" s="4" t="n">
        <f aca="false">Assumptions!J14</f>
        <v>6.8</v>
      </c>
      <c r="K7" s="4" t="n">
        <f aca="false">Assumptions!K14</f>
        <v>6.8</v>
      </c>
      <c r="L7" s="4" t="n">
        <f aca="false">Assumptions!L14</f>
        <v>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209115.6102</v>
      </c>
      <c r="D8" s="0" t="n">
        <f aca="false">D6*D7/100</f>
        <v>128373.749595</v>
      </c>
      <c r="E8" s="0" t="n">
        <f aca="false">E6*E7/100</f>
        <v>116326.3669407</v>
      </c>
      <c r="F8" s="0" t="n">
        <f aca="false">F6*F7/100</f>
        <v>121279.618694304</v>
      </c>
      <c r="G8" s="0" t="n">
        <f aca="false">G6*G7/100</f>
        <v>126320.302846286</v>
      </c>
      <c r="H8" s="0" t="n">
        <f aca="false">H6*H7/100</f>
        <v>132100.413673495</v>
      </c>
      <c r="I8" s="0" t="n">
        <f aca="false">I6*I7/100</f>
        <v>134081.919878597</v>
      </c>
      <c r="J8" s="0" t="n">
        <f aca="false">J6*J7/100</f>
        <v>136093.148676776</v>
      </c>
      <c r="K8" s="0" t="n">
        <f aca="false">K6*K7/100</f>
        <v>138134.545906928</v>
      </c>
      <c r="L8" s="0" t="n">
        <f aca="false">L6*L7/100</f>
        <v>140206.564095532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209115.6102</v>
      </c>
      <c r="D11" s="0" t="n">
        <f aca="false">D8+D10+D24</f>
        <v>128373.749595</v>
      </c>
      <c r="E11" s="0" t="n">
        <f aca="false">E8+E10+E24</f>
        <v>116326.3669407</v>
      </c>
      <c r="F11" s="0" t="n">
        <f aca="false">F8+F10+F24</f>
        <v>121279.618694304</v>
      </c>
      <c r="G11" s="0" t="n">
        <f aca="false">G8+G10+G24</f>
        <v>126320.302846286</v>
      </c>
      <c r="H11" s="0" t="n">
        <f aca="false">H8+H10+H24</f>
        <v>132100.413673495</v>
      </c>
      <c r="I11" s="0" t="n">
        <f aca="false">I8+I10+I24</f>
        <v>134081.919878597</v>
      </c>
      <c r="J11" s="0" t="n">
        <f aca="false">J8+J10+J24</f>
        <v>136093.148676776</v>
      </c>
      <c r="K11" s="0" t="n">
        <f aca="false">K8+K10+K24</f>
        <v>138134.545906928</v>
      </c>
      <c r="L11" s="0" t="n">
        <f aca="false">L8+L10+L24</f>
        <v>140206.564095532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-46470.1356</v>
      </c>
      <c r="D12" s="4" t="n">
        <f aca="false">-D6*Assumptions!D17/100</f>
        <v>-45424.557549</v>
      </c>
      <c r="E12" s="4" t="n">
        <f aca="false">-E6*Assumptions!E17/100</f>
        <v>-45029.5613964</v>
      </c>
      <c r="F12" s="4" t="n">
        <f aca="false">-F6*Assumptions!F17/100</f>
        <v>-45479.857010364</v>
      </c>
      <c r="G12" s="4" t="n">
        <f aca="false">-G6*Assumptions!G17/100</f>
        <v>-45934.6555804676</v>
      </c>
      <c r="H12" s="4" t="n">
        <f aca="false">-H6*Assumptions!H17/100</f>
        <v>-46623.6754141746</v>
      </c>
      <c r="I12" s="4" t="n">
        <f aca="false">-I6*Assumptions!I17/100</f>
        <v>-47323.0305453873</v>
      </c>
      <c r="J12" s="4" t="n">
        <f aca="false">-J6*Assumptions!J17/100</f>
        <v>-48032.8760035681</v>
      </c>
      <c r="K12" s="4" t="n">
        <f aca="false">-K6*Assumptions!K17/100</f>
        <v>-48753.3691436216</v>
      </c>
      <c r="L12" s="4" t="n">
        <f aca="false">-L6*Assumptions!L17/100</f>
        <v>-49484.6696807759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162645.4746</v>
      </c>
      <c r="D13" s="0" t="n">
        <f aca="false">D11+D12</f>
        <v>82949.192046</v>
      </c>
      <c r="E13" s="0" t="n">
        <f aca="false">E11+E12</f>
        <v>71296.8055443</v>
      </c>
      <c r="F13" s="0" t="n">
        <f aca="false">F11+F12</f>
        <v>75799.76168394</v>
      </c>
      <c r="G13" s="0" t="n">
        <f aca="false">G11+G12</f>
        <v>80385.6472658184</v>
      </c>
      <c r="H13" s="0" t="n">
        <f aca="false">H11+H12</f>
        <v>85476.7382593202</v>
      </c>
      <c r="I13" s="0" t="n">
        <f aca="false">I11+I12</f>
        <v>86758.88933321</v>
      </c>
      <c r="J13" s="0" t="n">
        <f aca="false">J11+J12</f>
        <v>88060.2726732081</v>
      </c>
      <c r="K13" s="0" t="n">
        <f aca="false">K11+K12</f>
        <v>89381.1767633062</v>
      </c>
      <c r="L13" s="0" t="n">
        <f aca="false">L11+L12</f>
        <v>90721.8944147558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125237.015442</v>
      </c>
      <c r="D15" s="0" t="n">
        <f aca="false">D13-MAX(0,D13)*D14/100</f>
        <v>63870.87787542</v>
      </c>
      <c r="E15" s="0" t="n">
        <f aca="false">E13-MAX(0,E13)*E14/100</f>
        <v>54898.540269111</v>
      </c>
      <c r="F15" s="0" t="n">
        <f aca="false">F13-MAX(0,F13)*F14/100</f>
        <v>58365.8164966338</v>
      </c>
      <c r="G15" s="0" t="n">
        <f aca="false">G13-MAX(0,G13)*G14/100</f>
        <v>61896.9483946801</v>
      </c>
      <c r="H15" s="0" t="n">
        <f aca="false">H13-MAX(0,H13)*H14/100</f>
        <v>65817.0884596765</v>
      </c>
      <c r="I15" s="0" t="n">
        <f aca="false">I13-MAX(0,I13)*I14/100</f>
        <v>66804.3447865717</v>
      </c>
      <c r="J15" s="0" t="n">
        <f aca="false">J13-MAX(0,J13)*J14/100</f>
        <v>67806.4099583703</v>
      </c>
      <c r="K15" s="0" t="n">
        <f aca="false">K13-MAX(0,K13)*K14/100</f>
        <v>68823.5061077458</v>
      </c>
      <c r="L15" s="0" t="n">
        <f aca="false">L13-MAX(0,L13)*L14/100</f>
        <v>69855.858699362</v>
      </c>
    </row>
    <row r="16" customFormat="false" ht="15" hidden="false" customHeight="false" outlineLevel="0" collapsed="false">
      <c r="A16" s="0" t="s">
        <v>123</v>
      </c>
      <c r="C16" s="0" t="n">
        <f aca="false">-C12</f>
        <v>46470.1356</v>
      </c>
      <c r="D16" s="0" t="n">
        <f aca="false">-D12</f>
        <v>45424.557549</v>
      </c>
      <c r="E16" s="0" t="n">
        <f aca="false">-E12</f>
        <v>45029.5613964</v>
      </c>
      <c r="F16" s="0" t="n">
        <f aca="false">-F12</f>
        <v>45479.857010364</v>
      </c>
      <c r="G16" s="0" t="n">
        <f aca="false">-G12</f>
        <v>45934.6555804676</v>
      </c>
      <c r="H16" s="0" t="n">
        <f aca="false">-H12</f>
        <v>46623.6754141746</v>
      </c>
      <c r="I16" s="0" t="n">
        <f aca="false">-I12</f>
        <v>47323.0305453873</v>
      </c>
      <c r="J16" s="0" t="n">
        <f aca="false">-J12</f>
        <v>48032.8760035681</v>
      </c>
      <c r="K16" s="0" t="n">
        <f aca="false">-K12</f>
        <v>48753.3691436216</v>
      </c>
      <c r="L16" s="0" t="n">
        <f aca="false">-L12</f>
        <v>49484.6696807759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-76675.72374</v>
      </c>
      <c r="D17" s="4" t="n">
        <f aca="false">-D6*Assumptions!D18/100</f>
        <v>-71099.307468</v>
      </c>
      <c r="E17" s="4" t="n">
        <f aca="false">-E6*Assumptions!E18/100</f>
        <v>-67544.3420946</v>
      </c>
      <c r="F17" s="4" t="n">
        <f aca="false">-F6*Assumptions!F18/100</f>
        <v>-66324.7914734475</v>
      </c>
      <c r="G17" s="4" t="n">
        <f aca="false">-G6*Assumptions!G18/100</f>
        <v>-65074.0954056625</v>
      </c>
      <c r="H17" s="4" t="n">
        <f aca="false">-H6*Assumptions!H18/100</f>
        <v>-64107.5536944901</v>
      </c>
      <c r="I17" s="4" t="n">
        <f aca="false">-I6*Assumptions!I18/100</f>
        <v>-63097.3740605164</v>
      </c>
      <c r="J17" s="4" t="n">
        <f aca="false">-J6*Assumptions!J18/100</f>
        <v>-64043.8346714241</v>
      </c>
      <c r="K17" s="4" t="n">
        <f aca="false">-K6*Assumptions!K18/100</f>
        <v>-65004.4921914955</v>
      </c>
      <c r="L17" s="4" t="n">
        <f aca="false">-L6*Assumptions!L18/100</f>
        <v>-65979.5595743679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-71918.067</v>
      </c>
      <c r="D18" s="4" t="n">
        <f aca="false">(D6-C6)*Assumptions!$B$23/100</f>
        <v>52278.90255</v>
      </c>
      <c r="E18" s="4" t="n">
        <f aca="false">(E6-D6)*Assumptions!$B$23/100</f>
        <v>14812.3557225</v>
      </c>
      <c r="F18" s="4" t="n">
        <f aca="false">(F6-E6)*Assumptions!$B$23/100</f>
        <v>-2814.34758727499</v>
      </c>
      <c r="G18" s="4" t="n">
        <f aca="false">(G6-F6)*Assumptions!$B$23/100</f>
        <v>-2842.49106314775</v>
      </c>
      <c r="H18" s="4" t="n">
        <f aca="false">(H6-G6)*Assumptions!$B$23/100</f>
        <v>-4306.37396066882</v>
      </c>
      <c r="I18" s="4" t="n">
        <f aca="false">(I6-H6)*Assumptions!$B$23/100</f>
        <v>-4370.96957007885</v>
      </c>
      <c r="J18" s="4" t="n">
        <f aca="false">(J6-I6)*Assumptions!$B$23/100</f>
        <v>-4436.53411363004</v>
      </c>
      <c r="K18" s="4" t="n">
        <f aca="false">(K6-J6)*Assumptions!$B$23/100</f>
        <v>-4503.08212533449</v>
      </c>
      <c r="L18" s="4" t="n">
        <f aca="false">(L6-K6)*Assumptions!$B$23/100</f>
        <v>-4570.62835721449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23113.360302</v>
      </c>
      <c r="D19" s="0" t="n">
        <f aca="false">D15+D16+D17+D18</f>
        <v>90475.03050642</v>
      </c>
      <c r="E19" s="0" t="n">
        <f aca="false">E15+E16+E17+E18</f>
        <v>47196.115293411</v>
      </c>
      <c r="F19" s="0" t="n">
        <f aca="false">F15+F16+F17+F18</f>
        <v>34706.5344462753</v>
      </c>
      <c r="G19" s="0" t="n">
        <f aca="false">G15+G16+G17+G18</f>
        <v>39915.0175063375</v>
      </c>
      <c r="H19" s="0" t="n">
        <f aca="false">H15+H16+H17+H18</f>
        <v>44026.8362186922</v>
      </c>
      <c r="I19" s="0" t="n">
        <f aca="false">I15+I16+I17+I18</f>
        <v>46659.0317013637</v>
      </c>
      <c r="J19" s="0" t="n">
        <f aca="false">J15+J16+J17+J18</f>
        <v>47358.9171768842</v>
      </c>
      <c r="K19" s="0" t="n">
        <f aca="false">K15+K16+K17+K18</f>
        <v>48069.3009345374</v>
      </c>
      <c r="L19" s="0" t="n">
        <f aca="false">L15+L16+L17+L18</f>
        <v>48790.3404485555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21601.2713102804</v>
      </c>
      <c r="D21" s="0" t="n">
        <f aca="false">D19*D20</f>
        <v>79024.3955860075</v>
      </c>
      <c r="E21" s="0" t="n">
        <f aca="false">E19*E20</f>
        <v>38526.0887115073</v>
      </c>
      <c r="F21" s="0" t="n">
        <f aca="false">F19*F20</f>
        <v>26477.4489558259</v>
      </c>
      <c r="G21" s="0" t="n">
        <f aca="false">G19*G20</f>
        <v>28458.8558358673</v>
      </c>
      <c r="H21" s="0" t="n">
        <f aca="false">H19*H20</f>
        <v>29336.9399535687</v>
      </c>
      <c r="I21" s="0" t="n">
        <f aca="false">I19*I20</f>
        <v>29056.8999486092</v>
      </c>
      <c r="J21" s="0" t="n">
        <f aca="false">J19*J20</f>
        <v>27563.3209792882</v>
      </c>
      <c r="K21" s="0" t="n">
        <f aca="false">K19*K20</f>
        <v>26146.5147607266</v>
      </c>
      <c r="L21" s="0" t="n">
        <f aca="false">L19*L20</f>
        <v>24802.5350300351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330994.271071716</v>
      </c>
    </row>
    <row r="31" customFormat="false" ht="15" hidden="false" customHeight="false" outlineLevel="0" collapsed="false">
      <c r="A31" s="0" t="s">
        <v>132</v>
      </c>
      <c r="B31" s="0" t="n">
        <f aca="false">L19</f>
        <v>48790.3404485555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754373.725396897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536693.744934111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536693.744934111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272827.885330386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603822.156402102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38333.156402102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293.156595305154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-0.932452397395126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293.156595305154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338167.532074471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-1872.7955701684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30.1</v>
      </c>
      <c r="D5" s="4" t="n">
        <f aca="false">Assumptions!D27</f>
        <v>-8</v>
      </c>
      <c r="E5" s="4" t="n">
        <f aca="false">Assumptions!E27</f>
        <v>-3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1844053</v>
      </c>
      <c r="C6" s="0" t="n">
        <f aca="false">B6*(1+C5/100)</f>
        <v>2399112.953</v>
      </c>
      <c r="D6" s="0" t="n">
        <f aca="false">C6*(1+D5/100)</f>
        <v>2207183.91676</v>
      </c>
      <c r="E6" s="0" t="n">
        <f aca="false">D6*(1+E5/100)</f>
        <v>2140968.3992572</v>
      </c>
      <c r="F6" s="0" t="n">
        <f aca="false">E6*(1+F5/100)</f>
        <v>2183787.76724234</v>
      </c>
      <c r="G6" s="0" t="n">
        <f aca="false">F6*(1+G5/100)</f>
        <v>2227463.52258719</v>
      </c>
      <c r="H6" s="0" t="n">
        <f aca="false">G6*(1+H5/100)</f>
        <v>2272012.79303894</v>
      </c>
      <c r="I6" s="0" t="n">
        <f aca="false">H6*(1+I5/100)</f>
        <v>2317453.04889971</v>
      </c>
      <c r="J6" s="0" t="n">
        <f aca="false">I6*(1+J5/100)</f>
        <v>2352214.84463321</v>
      </c>
      <c r="K6" s="0" t="n">
        <f aca="false">J6*(1+K5/100)</f>
        <v>2387498.06730271</v>
      </c>
      <c r="L6" s="0" t="n">
        <f aca="false">K6*(1+L5/100)</f>
        <v>2423310.53831225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10</v>
      </c>
      <c r="D7" s="4" t="n">
        <f aca="false">Assumptions!D28</f>
        <v>8.5</v>
      </c>
      <c r="E7" s="4" t="n">
        <f aca="false">Assumptions!E28</f>
        <v>7.6</v>
      </c>
      <c r="F7" s="4" t="n">
        <f aca="false">Assumptions!F28</f>
        <v>7.6</v>
      </c>
      <c r="G7" s="4" t="n">
        <f aca="false">Assumptions!G28</f>
        <v>7.7</v>
      </c>
      <c r="H7" s="4" t="n">
        <f aca="false">Assumptions!H28</f>
        <v>7.7</v>
      </c>
      <c r="I7" s="4" t="n">
        <f aca="false">Assumptions!I28</f>
        <v>7.8</v>
      </c>
      <c r="J7" s="4" t="n">
        <f aca="false">Assumptions!J28</f>
        <v>7.8</v>
      </c>
      <c r="K7" s="4" t="n">
        <f aca="false">Assumptions!K28</f>
        <v>7.8</v>
      </c>
      <c r="L7" s="4" t="n">
        <f aca="false">Assumptions!L28</f>
        <v>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239911.2953</v>
      </c>
      <c r="D8" s="0" t="n">
        <f aca="false">D6*D7/100</f>
        <v>187610.6329246</v>
      </c>
      <c r="E8" s="0" t="n">
        <f aca="false">E6*E7/100</f>
        <v>162713.598343547</v>
      </c>
      <c r="F8" s="0" t="n">
        <f aca="false">F6*F7/100</f>
        <v>165967.870310418</v>
      </c>
      <c r="G8" s="0" t="n">
        <f aca="false">G6*G7/100</f>
        <v>171514.691239214</v>
      </c>
      <c r="H8" s="0" t="n">
        <f aca="false">H6*H7/100</f>
        <v>174944.985063998</v>
      </c>
      <c r="I8" s="0" t="n">
        <f aca="false">I6*I7/100</f>
        <v>180761.337814178</v>
      </c>
      <c r="J8" s="0" t="n">
        <f aca="false">J6*J7/100</f>
        <v>183472.75788139</v>
      </c>
      <c r="K8" s="0" t="n">
        <f aca="false">K6*K7/100</f>
        <v>186224.849249611</v>
      </c>
      <c r="L8" s="0" t="n">
        <f aca="false">L6*L7/100</f>
        <v>189018.221988355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239911.2953</v>
      </c>
      <c r="D11" s="0" t="n">
        <f aca="false">D8+D10+D24</f>
        <v>187610.6329246</v>
      </c>
      <c r="E11" s="0" t="n">
        <f aca="false">E8+E10+E24</f>
        <v>162713.598343547</v>
      </c>
      <c r="F11" s="0" t="n">
        <f aca="false">F8+F10+F24</f>
        <v>165967.870310418</v>
      </c>
      <c r="G11" s="0" t="n">
        <f aca="false">G8+G10+G24</f>
        <v>171514.691239214</v>
      </c>
      <c r="H11" s="0" t="n">
        <f aca="false">H8+H10+H24</f>
        <v>174944.985063998</v>
      </c>
      <c r="I11" s="0" t="n">
        <f aca="false">I8+I10+I24</f>
        <v>180761.337814178</v>
      </c>
      <c r="J11" s="0" t="n">
        <f aca="false">J8+J10+J24</f>
        <v>183472.75788139</v>
      </c>
      <c r="K11" s="0" t="n">
        <f aca="false">K8+K10+K24</f>
        <v>186224.849249611</v>
      </c>
      <c r="L11" s="0" t="n">
        <f aca="false">L8+L10+L24</f>
        <v>189018.221988355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-47982.25906</v>
      </c>
      <c r="D12" s="4" t="n">
        <f aca="false">-D6*Assumptions!D31/100</f>
        <v>-48558.04616872</v>
      </c>
      <c r="E12" s="4" t="n">
        <f aca="false">-E6*Assumptions!E31/100</f>
        <v>-49242.2731829156</v>
      </c>
      <c r="F12" s="4" t="n">
        <f aca="false">-F6*Assumptions!F31/100</f>
        <v>-50227.1186465739</v>
      </c>
      <c r="G12" s="4" t="n">
        <f aca="false">-G6*Assumptions!G31/100</f>
        <v>-51231.6610195054</v>
      </c>
      <c r="H12" s="4" t="n">
        <f aca="false">-H6*Assumptions!H31/100</f>
        <v>-54528.3070329344</v>
      </c>
      <c r="I12" s="4" t="n">
        <f aca="false">-I6*Assumptions!I31/100</f>
        <v>-55618.8731735931</v>
      </c>
      <c r="J12" s="4" t="n">
        <f aca="false">-J6*Assumptions!J31/100</f>
        <v>-56453.156271197</v>
      </c>
      <c r="K12" s="4" t="n">
        <f aca="false">-K6*Assumptions!K31/100</f>
        <v>-57299.953615265</v>
      </c>
      <c r="L12" s="4" t="n">
        <f aca="false">-L6*Assumptions!L31/100</f>
        <v>-58159.452919494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191929.03624</v>
      </c>
      <c r="D13" s="0" t="n">
        <f aca="false">D11+D12</f>
        <v>139052.58675588</v>
      </c>
      <c r="E13" s="0" t="n">
        <f aca="false">E11+E12</f>
        <v>113471.325160632</v>
      </c>
      <c r="F13" s="0" t="n">
        <f aca="false">F11+F12</f>
        <v>115740.751663844</v>
      </c>
      <c r="G13" s="0" t="n">
        <f aca="false">G11+G12</f>
        <v>120283.030219708</v>
      </c>
      <c r="H13" s="0" t="n">
        <f aca="false">H11+H12</f>
        <v>120416.678031064</v>
      </c>
      <c r="I13" s="0" t="n">
        <f aca="false">I11+I12</f>
        <v>125142.464640585</v>
      </c>
      <c r="J13" s="0" t="n">
        <f aca="false">J11+J12</f>
        <v>127019.601610193</v>
      </c>
      <c r="K13" s="0" t="n">
        <f aca="false">K11+K12</f>
        <v>128924.895634346</v>
      </c>
      <c r="L13" s="0" t="n">
        <f aca="false">L11+L12</f>
        <v>130858.769068861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147785.3579048</v>
      </c>
      <c r="D15" s="0" t="n">
        <f aca="false">D13-MAX(0,D13)*D14/100</f>
        <v>107070.491802028</v>
      </c>
      <c r="E15" s="0" t="n">
        <f aca="false">E13-MAX(0,E13)*E14/100</f>
        <v>87372.9203736863</v>
      </c>
      <c r="F15" s="0" t="n">
        <f aca="false">F13-MAX(0,F13)*F14/100</f>
        <v>89120.3787811601</v>
      </c>
      <c r="G15" s="0" t="n">
        <f aca="false">G13-MAX(0,G13)*G14/100</f>
        <v>92617.9332691754</v>
      </c>
      <c r="H15" s="0" t="n">
        <f aca="false">H13-MAX(0,H13)*H14/100</f>
        <v>92720.842083919</v>
      </c>
      <c r="I15" s="0" t="n">
        <f aca="false">I13-MAX(0,I13)*I14/100</f>
        <v>96359.6977732501</v>
      </c>
      <c r="J15" s="0" t="n">
        <f aca="false">J13-MAX(0,J13)*J14/100</f>
        <v>97805.0932398489</v>
      </c>
      <c r="K15" s="0" t="n">
        <f aca="false">K13-MAX(0,K13)*K14/100</f>
        <v>99272.1696384466</v>
      </c>
      <c r="L15" s="0" t="n">
        <f aca="false">L13-MAX(0,L13)*L14/100</f>
        <v>100761.252183023</v>
      </c>
    </row>
    <row r="16" customFormat="false" ht="15" hidden="false" customHeight="false" outlineLevel="0" collapsed="false">
      <c r="A16" s="0" t="s">
        <v>123</v>
      </c>
      <c r="C16" s="0" t="n">
        <f aca="false">-C12</f>
        <v>47982.25906</v>
      </c>
      <c r="D16" s="0" t="n">
        <f aca="false">-D12</f>
        <v>48558.04616872</v>
      </c>
      <c r="E16" s="0" t="n">
        <f aca="false">-E12</f>
        <v>49242.2731829156</v>
      </c>
      <c r="F16" s="0" t="n">
        <f aca="false">-F12</f>
        <v>50227.1186465739</v>
      </c>
      <c r="G16" s="0" t="n">
        <f aca="false">-G12</f>
        <v>51231.6610195054</v>
      </c>
      <c r="H16" s="0" t="n">
        <f aca="false">-H12</f>
        <v>54528.3070329344</v>
      </c>
      <c r="I16" s="0" t="n">
        <f aca="false">-I12</f>
        <v>55618.8731735931</v>
      </c>
      <c r="J16" s="0" t="n">
        <f aca="false">-J12</f>
        <v>56453.156271197</v>
      </c>
      <c r="K16" s="0" t="n">
        <f aca="false">-K12</f>
        <v>57299.953615265</v>
      </c>
      <c r="L16" s="0" t="n">
        <f aca="false">-L12</f>
        <v>58159.452919494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-79170.727449</v>
      </c>
      <c r="D17" s="4" t="n">
        <f aca="false">-D6*Assumptions!D32/100</f>
        <v>-75044.25316984</v>
      </c>
      <c r="E17" s="4" t="n">
        <f aca="false">-E6*Assumptions!E32/100</f>
        <v>-70651.9571754876</v>
      </c>
      <c r="F17" s="4" t="n">
        <f aca="false">-F6*Assumptions!F32/100</f>
        <v>-69881.208551755</v>
      </c>
      <c r="G17" s="4" t="n">
        <f aca="false">-G6*Assumptions!G32/100</f>
        <v>-69051.3692002029</v>
      </c>
      <c r="H17" s="4" t="n">
        <f aca="false">-H6*Assumptions!H32/100</f>
        <v>-68160.3837911681</v>
      </c>
      <c r="I17" s="4" t="n">
        <f aca="false">-I6*Assumptions!I32/100</f>
        <v>-69523.5914669914</v>
      </c>
      <c r="J17" s="4" t="n">
        <f aca="false">-J6*Assumptions!J32/100</f>
        <v>-70566.4453389963</v>
      </c>
      <c r="K17" s="4" t="n">
        <f aca="false">-K6*Assumptions!K32/100</f>
        <v>-71624.9420190812</v>
      </c>
      <c r="L17" s="4" t="n">
        <f aca="false">-L6*Assumptions!L32/100</f>
        <v>-72699.3161493674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-83258.99295</v>
      </c>
      <c r="D18" s="4" t="n">
        <f aca="false">(D6-C6)*Assumptions!$B$37/100</f>
        <v>28789.355436</v>
      </c>
      <c r="E18" s="4" t="n">
        <f aca="false">(E6-D6)*Assumptions!$B$37/100</f>
        <v>9932.32762542001</v>
      </c>
      <c r="F18" s="4" t="n">
        <f aca="false">(F6-E6)*Assumptions!$B$37/100</f>
        <v>-6422.90519777164</v>
      </c>
      <c r="G18" s="4" t="n">
        <f aca="false">(G6-F6)*Assumptions!$B$37/100</f>
        <v>-6551.36330172701</v>
      </c>
      <c r="H18" s="4" t="n">
        <f aca="false">(H6-G6)*Assumptions!$B$37/100</f>
        <v>-6682.39056776161</v>
      </c>
      <c r="I18" s="4" t="n">
        <f aca="false">(I6-H6)*Assumptions!$B$37/100</f>
        <v>-6816.03837911685</v>
      </c>
      <c r="J18" s="4" t="n">
        <f aca="false">(J6-I6)*Assumptions!$B$37/100</f>
        <v>-5214.26936002434</v>
      </c>
      <c r="K18" s="4" t="n">
        <f aca="false">(K6-J6)*Assumptions!$B$37/100</f>
        <v>-5292.48340042471</v>
      </c>
      <c r="L18" s="4" t="n">
        <f aca="false">(L6-K6)*Assumptions!$B$37/100</f>
        <v>-5371.87065143106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33337.8965658001</v>
      </c>
      <c r="D19" s="0" t="n">
        <f aca="false">D15+D16+D17+D18</f>
        <v>109373.640236908</v>
      </c>
      <c r="E19" s="0" t="n">
        <f aca="false">E15+E16+E17+E18</f>
        <v>75895.5640065343</v>
      </c>
      <c r="F19" s="0" t="n">
        <f aca="false">F15+F16+F17+F18</f>
        <v>63043.3836782073</v>
      </c>
      <c r="G19" s="0" t="n">
        <f aca="false">G15+G16+G17+G18</f>
        <v>68246.8617867508</v>
      </c>
      <c r="H19" s="0" t="n">
        <f aca="false">H15+H16+H17+H18</f>
        <v>72406.3747579237</v>
      </c>
      <c r="I19" s="0" t="n">
        <f aca="false">I15+I16+I17+I18</f>
        <v>75638.941100735</v>
      </c>
      <c r="J19" s="0" t="n">
        <f aca="false">J15+J16+J17+J18</f>
        <v>78477.5348120253</v>
      </c>
      <c r="K19" s="0" t="n">
        <f aca="false">K15+K16+K17+K18</f>
        <v>79654.6978342057</v>
      </c>
      <c r="L19" s="0" t="n">
        <f aca="false">L15+L16+L17+L18</f>
        <v>80849.5183017187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31156.9126783178</v>
      </c>
      <c r="D21" s="0" t="n">
        <f aca="false">D19*D20</f>
        <v>95531.1732351363</v>
      </c>
      <c r="E21" s="0" t="n">
        <f aca="false">E19*E20</f>
        <v>61953.3877639677</v>
      </c>
      <c r="F21" s="0" t="n">
        <f aca="false">F19*F20</f>
        <v>48095.4955593795</v>
      </c>
      <c r="G21" s="0" t="n">
        <f aca="false">G19*G20</f>
        <v>48659.0692470854</v>
      </c>
      <c r="H21" s="0" t="n">
        <f aca="false">H19*H20</f>
        <v>48247.4247746867</v>
      </c>
      <c r="I21" s="0" t="n">
        <f aca="false">I19*I20</f>
        <v>47104.1310469065</v>
      </c>
      <c r="J21" s="0" t="n">
        <f aca="false">J19*J20</f>
        <v>45674.6397644184</v>
      </c>
      <c r="K21" s="0" t="n">
        <f aca="false">K19*K20</f>
        <v>43326.8779073689</v>
      </c>
      <c r="L21" s="0" t="n">
        <f aca="false">L19*L20</f>
        <v>41099.7953981116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510848.907375379</v>
      </c>
    </row>
    <row r="31" customFormat="false" ht="15" hidden="false" customHeight="false" outlineLevel="0" collapsed="false">
      <c r="A31" s="0" t="s">
        <v>132</v>
      </c>
      <c r="B31" s="0" t="n">
        <f aca="false">L19</f>
        <v>80849.5183017187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1360966.89141227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970194.219620625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970194.219620625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493197.544777339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1004046.45215272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438557.452152718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3353.91138079472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-0.227209359263889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3353.91138079472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583271.524890971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-472.026326901787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30.1</v>
      </c>
      <c r="D5" s="4" t="n">
        <f aca="false">Assumptions!D41</f>
        <v>-2</v>
      </c>
      <c r="E5" s="4" t="n">
        <f aca="false">Assumptions!E41</f>
        <v>0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1844053</v>
      </c>
      <c r="C6" s="0" t="n">
        <f aca="false">B6*(1+C5/100)</f>
        <v>2399112.953</v>
      </c>
      <c r="D6" s="0" t="n">
        <f aca="false">C6*(1+D5/100)</f>
        <v>2351130.69394</v>
      </c>
      <c r="E6" s="0" t="n">
        <f aca="false">D6*(1+E5/100)</f>
        <v>2351130.69394</v>
      </c>
      <c r="F6" s="0" t="n">
        <f aca="false">E6*(1+F5/100)</f>
        <v>2421664.6147582</v>
      </c>
      <c r="G6" s="0" t="n">
        <f aca="false">F6*(1+G5/100)</f>
        <v>2494314.55320095</v>
      </c>
      <c r="H6" s="0" t="n">
        <f aca="false">G6*(1+H5/100)</f>
        <v>2569143.98979697</v>
      </c>
      <c r="I6" s="0" t="n">
        <f aca="false">H6*(1+I5/100)</f>
        <v>2633372.5895419</v>
      </c>
      <c r="J6" s="0" t="n">
        <f aca="false">I6*(1+J5/100)</f>
        <v>2686040.04133274</v>
      </c>
      <c r="K6" s="0" t="n">
        <f aca="false">J6*(1+K5/100)</f>
        <v>2739760.84215939</v>
      </c>
      <c r="L6" s="0" t="n">
        <f aca="false">K6*(1+L5/100)</f>
        <v>2794556.05900258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10.2</v>
      </c>
      <c r="D7" s="4" t="n">
        <f aca="false">Assumptions!D42</f>
        <v>9.8</v>
      </c>
      <c r="E7" s="4" t="n">
        <f aca="false">Assumptions!E42</f>
        <v>9.2</v>
      </c>
      <c r="F7" s="4" t="n">
        <f aca="false">Assumptions!F42</f>
        <v>9</v>
      </c>
      <c r="G7" s="4" t="n">
        <f aca="false">Assumptions!G42</f>
        <v>9</v>
      </c>
      <c r="H7" s="4" t="n">
        <f aca="false">Assumptions!H42</f>
        <v>9</v>
      </c>
      <c r="I7" s="4" t="n">
        <f aca="false">Assumptions!I42</f>
        <v>9</v>
      </c>
      <c r="J7" s="4" t="n">
        <f aca="false">Assumptions!J42</f>
        <v>9</v>
      </c>
      <c r="K7" s="4" t="n">
        <f aca="false">Assumptions!K42</f>
        <v>9</v>
      </c>
      <c r="L7" s="4" t="n">
        <f aca="false">Assumptions!L42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244709.521206</v>
      </c>
      <c r="D8" s="0" t="n">
        <f aca="false">D6*D7/100</f>
        <v>230410.80800612</v>
      </c>
      <c r="E8" s="0" t="n">
        <f aca="false">E6*E7/100</f>
        <v>216304.02384248</v>
      </c>
      <c r="F8" s="0" t="n">
        <f aca="false">F6*F7/100</f>
        <v>217949.815328238</v>
      </c>
      <c r="G8" s="0" t="n">
        <f aca="false">G6*G7/100</f>
        <v>224488.309788085</v>
      </c>
      <c r="H8" s="0" t="n">
        <f aca="false">H6*H7/100</f>
        <v>231222.959081728</v>
      </c>
      <c r="I8" s="0" t="n">
        <f aca="false">I6*I7/100</f>
        <v>237003.533058771</v>
      </c>
      <c r="J8" s="0" t="n">
        <f aca="false">J6*J7/100</f>
        <v>241743.603719946</v>
      </c>
      <c r="K8" s="0" t="n">
        <f aca="false">K6*K7/100</f>
        <v>246578.475794345</v>
      </c>
      <c r="L8" s="0" t="n">
        <f aca="false">L6*L7/100</f>
        <v>251510.045310232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244709.521206</v>
      </c>
      <c r="D11" s="0" t="n">
        <f aca="false">D8+D10+D24</f>
        <v>230410.80800612</v>
      </c>
      <c r="E11" s="0" t="n">
        <f aca="false">E8+E10+E24</f>
        <v>216304.02384248</v>
      </c>
      <c r="F11" s="0" t="n">
        <f aca="false">F8+F10+F24</f>
        <v>217949.815328238</v>
      </c>
      <c r="G11" s="0" t="n">
        <f aca="false">G8+G10+G24</f>
        <v>224488.309788085</v>
      </c>
      <c r="H11" s="0" t="n">
        <f aca="false">H8+H10+H24</f>
        <v>231222.959081728</v>
      </c>
      <c r="I11" s="0" t="n">
        <f aca="false">I8+I10+I24</f>
        <v>237003.533058771</v>
      </c>
      <c r="J11" s="0" t="n">
        <f aca="false">J8+J10+J24</f>
        <v>241743.603719946</v>
      </c>
      <c r="K11" s="0" t="n">
        <f aca="false">K8+K10+K24</f>
        <v>246578.475794345</v>
      </c>
      <c r="L11" s="0" t="n">
        <f aca="false">L8+L10+L24</f>
        <v>251510.045310232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-47982.25906</v>
      </c>
      <c r="D12" s="4" t="n">
        <f aca="false">-D6*Assumptions!D45/100</f>
        <v>-51724.87526668</v>
      </c>
      <c r="E12" s="4" t="n">
        <f aca="false">-E6*Assumptions!E45/100</f>
        <v>-54076.00596062</v>
      </c>
      <c r="F12" s="4" t="n">
        <f aca="false">-F6*Assumptions!F45/100</f>
        <v>-55698.2861394386</v>
      </c>
      <c r="G12" s="4" t="n">
        <f aca="false">-G6*Assumptions!G45/100</f>
        <v>-57369.2347236218</v>
      </c>
      <c r="H12" s="4" t="n">
        <f aca="false">-H6*Assumptions!H45/100</f>
        <v>-61659.4557551274</v>
      </c>
      <c r="I12" s="4" t="n">
        <f aca="false">-I6*Assumptions!I45/100</f>
        <v>-63200.9421490056</v>
      </c>
      <c r="J12" s="4" t="n">
        <f aca="false">-J6*Assumptions!J45/100</f>
        <v>-64464.9609919857</v>
      </c>
      <c r="K12" s="4" t="n">
        <f aca="false">-K6*Assumptions!K45/100</f>
        <v>-65754.2602118254</v>
      </c>
      <c r="L12" s="4" t="n">
        <f aca="false">-L6*Assumptions!L45/100</f>
        <v>-67069.3454160619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196727.262146</v>
      </c>
      <c r="D13" s="0" t="n">
        <f aca="false">D11+D12</f>
        <v>178685.93273944</v>
      </c>
      <c r="E13" s="0" t="n">
        <f aca="false">E11+E12</f>
        <v>162228.01788186</v>
      </c>
      <c r="F13" s="0" t="n">
        <f aca="false">F11+F12</f>
        <v>162251.529188799</v>
      </c>
      <c r="G13" s="0" t="n">
        <f aca="false">G11+G12</f>
        <v>167119.075064463</v>
      </c>
      <c r="H13" s="0" t="n">
        <f aca="false">H11+H12</f>
        <v>169563.5033266</v>
      </c>
      <c r="I13" s="0" t="n">
        <f aca="false">I11+I12</f>
        <v>173802.590909765</v>
      </c>
      <c r="J13" s="0" t="n">
        <f aca="false">J11+J12</f>
        <v>177278.642727961</v>
      </c>
      <c r="K13" s="0" t="n">
        <f aca="false">K11+K12</f>
        <v>180824.21558252</v>
      </c>
      <c r="L13" s="0" t="n">
        <f aca="false">L11+L12</f>
        <v>184440.69989417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151479.99185242</v>
      </c>
      <c r="D15" s="0" t="n">
        <f aca="false">D13-MAX(0,D13)*D14/100</f>
        <v>137588.168209369</v>
      </c>
      <c r="E15" s="0" t="n">
        <f aca="false">E13-MAX(0,E13)*E14/100</f>
        <v>124915.573769032</v>
      </c>
      <c r="F15" s="0" t="n">
        <f aca="false">F13-MAX(0,F13)*F14/100</f>
        <v>124933.677475376</v>
      </c>
      <c r="G15" s="0" t="n">
        <f aca="false">G13-MAX(0,G13)*G14/100</f>
        <v>128681.687799637</v>
      </c>
      <c r="H15" s="0" t="n">
        <f aca="false">H13-MAX(0,H13)*H14/100</f>
        <v>130563.897561482</v>
      </c>
      <c r="I15" s="0" t="n">
        <f aca="false">I13-MAX(0,I13)*I14/100</f>
        <v>133827.995000519</v>
      </c>
      <c r="J15" s="0" t="n">
        <f aca="false">J13-MAX(0,J13)*J14/100</f>
        <v>136504.55490053</v>
      </c>
      <c r="K15" s="0" t="n">
        <f aca="false">K13-MAX(0,K13)*K14/100</f>
        <v>139234.64599854</v>
      </c>
      <c r="L15" s="0" t="n">
        <f aca="false">L13-MAX(0,L13)*L14/100</f>
        <v>142019.338918511</v>
      </c>
    </row>
    <row r="16" customFormat="false" ht="15" hidden="false" customHeight="false" outlineLevel="0" collapsed="false">
      <c r="A16" s="0" t="s">
        <v>123</v>
      </c>
      <c r="C16" s="0" t="n">
        <f aca="false">-C12</f>
        <v>47982.25906</v>
      </c>
      <c r="D16" s="0" t="n">
        <f aca="false">-D12</f>
        <v>51724.87526668</v>
      </c>
      <c r="E16" s="0" t="n">
        <f aca="false">-E12</f>
        <v>54076.00596062</v>
      </c>
      <c r="F16" s="0" t="n">
        <f aca="false">-F12</f>
        <v>55698.2861394386</v>
      </c>
      <c r="G16" s="0" t="n">
        <f aca="false">-G12</f>
        <v>57369.2347236218</v>
      </c>
      <c r="H16" s="0" t="n">
        <f aca="false">-H12</f>
        <v>61659.4557551274</v>
      </c>
      <c r="I16" s="0" t="n">
        <f aca="false">-I12</f>
        <v>63200.9421490056</v>
      </c>
      <c r="J16" s="0" t="n">
        <f aca="false">-J12</f>
        <v>64464.9609919857</v>
      </c>
      <c r="K16" s="0" t="n">
        <f aca="false">-K12</f>
        <v>65754.2602118254</v>
      </c>
      <c r="L16" s="0" t="n">
        <f aca="false">-L12</f>
        <v>67069.3454160619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-79170.727449</v>
      </c>
      <c r="D17" s="4" t="n">
        <f aca="false">-D6*Assumptions!D46/100</f>
        <v>-79938.44359396</v>
      </c>
      <c r="E17" s="4" t="n">
        <f aca="false">-E6*Assumptions!E46/100</f>
        <v>-77587.31290002</v>
      </c>
      <c r="F17" s="4" t="n">
        <f aca="false">-F6*Assumptions!F46/100</f>
        <v>-77493.2676722624</v>
      </c>
      <c r="G17" s="4" t="n">
        <f aca="false">-G6*Assumptions!G46/100</f>
        <v>-74829.4365960284</v>
      </c>
      <c r="H17" s="4" t="n">
        <f aca="false">-H6*Assumptions!H46/100</f>
        <v>-74505.1757041123</v>
      </c>
      <c r="I17" s="4" t="n">
        <f aca="false">-I6*Assumptions!I46/100</f>
        <v>-76367.8050967151</v>
      </c>
      <c r="J17" s="4" t="n">
        <f aca="false">-J6*Assumptions!J46/100</f>
        <v>-77895.1611986494</v>
      </c>
      <c r="K17" s="4" t="n">
        <f aca="false">-K6*Assumptions!K46/100</f>
        <v>-79453.0644226224</v>
      </c>
      <c r="L17" s="4" t="n">
        <f aca="false">-L6*Assumptions!L46/100</f>
        <v>-81042.1257110748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-83258.99295</v>
      </c>
      <c r="D18" s="4" t="n">
        <f aca="false">(D6-C6)*Assumptions!$B$51/100</f>
        <v>7197.33885900001</v>
      </c>
      <c r="E18" s="4" t="n">
        <f aca="false">(E6-D6)*Assumptions!$B$51/100</f>
        <v>-0</v>
      </c>
      <c r="F18" s="4" t="n">
        <f aca="false">(F6-E6)*Assumptions!$B$51/100</f>
        <v>-10580.08812273</v>
      </c>
      <c r="G18" s="4" t="n">
        <f aca="false">(G6-F6)*Assumptions!$B$51/100</f>
        <v>-10897.4907664119</v>
      </c>
      <c r="H18" s="4" t="n">
        <f aca="false">(H6-G6)*Assumptions!$B$51/100</f>
        <v>-11224.4154894043</v>
      </c>
      <c r="I18" s="4" t="n">
        <f aca="false">(I6-H6)*Assumptions!$B$51/100</f>
        <v>-9634.28996173865</v>
      </c>
      <c r="J18" s="4" t="n">
        <f aca="false">(J6-I6)*Assumptions!$B$51/100</f>
        <v>-7900.11776862571</v>
      </c>
      <c r="K18" s="4" t="n">
        <f aca="false">(K6-J6)*Assumptions!$B$51/100</f>
        <v>-8058.12012399822</v>
      </c>
      <c r="L18" s="4" t="n">
        <f aca="false">(L6-K6)*Assumptions!$B$51/100</f>
        <v>-8219.28252647817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37032.53051342</v>
      </c>
      <c r="D19" s="0" t="n">
        <f aca="false">D15+D16+D17+D18</f>
        <v>116571.938741089</v>
      </c>
      <c r="E19" s="0" t="n">
        <f aca="false">E15+E16+E17+E18</f>
        <v>101404.266829632</v>
      </c>
      <c r="F19" s="0" t="n">
        <f aca="false">F15+F16+F17+F18</f>
        <v>92558.6078198217</v>
      </c>
      <c r="G19" s="0" t="n">
        <f aca="false">G15+G16+G17+G18</f>
        <v>100323.995160818</v>
      </c>
      <c r="H19" s="0" t="n">
        <f aca="false">H15+H16+H17+H18</f>
        <v>106493.762123093</v>
      </c>
      <c r="I19" s="0" t="n">
        <f aca="false">I15+I16+I17+I18</f>
        <v>111026.842091071</v>
      </c>
      <c r="J19" s="0" t="n">
        <f aca="false">J15+J16+J17+J18</f>
        <v>115174.23692524</v>
      </c>
      <c r="K19" s="0" t="n">
        <f aca="false">K15+K16+K17+K18</f>
        <v>117477.721663745</v>
      </c>
      <c r="L19" s="0" t="n">
        <f aca="false">L15+L16+L17+L18</f>
        <v>119827.27609702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34609.8416013272</v>
      </c>
      <c r="D21" s="0" t="n">
        <f aca="false">D19*D20</f>
        <v>101818.445926359</v>
      </c>
      <c r="E21" s="0" t="n">
        <f aca="false">E19*E20</f>
        <v>82776.0877207022</v>
      </c>
      <c r="F21" s="0" t="n">
        <f aca="false">F19*F20</f>
        <v>70612.5187395266</v>
      </c>
      <c r="G21" s="0" t="n">
        <f aca="false">G19*G20</f>
        <v>71529.6220202498</v>
      </c>
      <c r="H21" s="0" t="n">
        <f aca="false">H19*H20</f>
        <v>70961.2902756885</v>
      </c>
      <c r="I21" s="0" t="n">
        <f aca="false">I19*I20</f>
        <v>69141.9372544758</v>
      </c>
      <c r="J21" s="0" t="n">
        <f aca="false">J19*J20</f>
        <v>67032.4545018207</v>
      </c>
      <c r="K21" s="0" t="n">
        <f aca="false">K19*K20</f>
        <v>63900.0968148197</v>
      </c>
      <c r="L21" s="0" t="n">
        <f aca="false">L19*L20</f>
        <v>60914.1109823515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693296.405837321</v>
      </c>
    </row>
    <row r="31" customFormat="false" ht="15" hidden="false" customHeight="false" outlineLevel="0" collapsed="false">
      <c r="A31" s="0" t="s">
        <v>132</v>
      </c>
      <c r="B31" s="0" t="n">
        <f aca="false">L19</f>
        <v>119827.27609702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2211357.91342682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1557754.58926126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1557754.58926126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791883.442770569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1485179.84860789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919690.84860789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7033.42649593064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0.620605183394157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7033.42649593064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900923.594359076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1036.02926995826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293.156595305154</v>
      </c>
      <c r="C4" s="0" t="n">
        <f aca="false">B4/Assumptions!$B$2-1</f>
        <v>-0.932452397395126</v>
      </c>
      <c r="D4" s="4" t="n">
        <f aca="false">Assumptions!$B$24</f>
        <v>0.25</v>
      </c>
      <c r="E4" s="4" t="n">
        <f aca="false">DCF_Bear!$B$43</f>
        <v>293.156595305154</v>
      </c>
      <c r="F4" s="4" t="n">
        <f aca="false">DCF_Bear!$B$47</f>
        <v>-1872.7955701684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3353.91138079472</v>
      </c>
      <c r="C5" s="0" t="n">
        <f aca="false">B5/Assumptions!$B$2-1</f>
        <v>-0.227209359263889</v>
      </c>
      <c r="D5" s="4" t="n">
        <f aca="false">Assumptions!$B$38</f>
        <v>0.5</v>
      </c>
      <c r="E5" s="4" t="n">
        <f aca="false">DCF_Base!$B$43</f>
        <v>3353.91138079472</v>
      </c>
      <c r="F5" s="4" t="n">
        <f aca="false">DCF_Base!$B$47</f>
        <v>-472.026326901787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7033.42649593064</v>
      </c>
      <c r="C6" s="0" t="n">
        <f aca="false">B6/Assumptions!$B$2-1</f>
        <v>0.620605183394157</v>
      </c>
      <c r="D6" s="4" t="n">
        <f aca="false">Assumptions!$B$52</f>
        <v>0.25</v>
      </c>
      <c r="E6" s="4" t="n">
        <f aca="false">DCF_Bull!$B$43</f>
        <v>7033.42649593064</v>
      </c>
      <c r="F6" s="4" t="n">
        <f aca="false">DCF_Bull!$B$47</f>
        <v>1036.02926995826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3508.60146320631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3508.60146320631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-0.236960095215238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-445.204738503428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3353.91138079472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2365.85940392418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1749.18331476141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1126.00222901068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616.745345713914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-472.026326901787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4541.64510388511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4541.64510388511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4541.64510388511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4541.64510388511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4541.64510388511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3920.09881634241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3920.09881634241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3920.09881634241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3920.09881634241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3920.09881634241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3353.91138079472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3353.91138079472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3353.91138079472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3353.91138079472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3353.91138079472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2837.48953745793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2837.48953745793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2837.48953745793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2837.48953745793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2837.48953745793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2133.70067197791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2319.76906743485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2365.85940392418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2365.85940392418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2365.85940392418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2026-10-31T10:39:23Z</dcterms:created>
  <dc:creator>openpyxl</dc:creator>
  <dc:description/>
  <dc:language>en-NZ</dc:language>
  <cp:lastModifiedBy/>
  <dcterms:modified xsi:type="dcterms:W3CDTF">2026-10-31T10:39:23Z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