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<sst xmlns="http://schemas.openxmlformats.org/spreadsheetml/2006/main" count="390" uniqueCount="176">
  <si>
    <t xml:space="preserve">Ticker</t>
  </si>
  <si>
    <t xml:space="preserve">SPG</t>
  </si>
  <si>
    <t xml:space="preserve">Company</t>
  </si>
  <si>
    <t xml:space="preserve">Simon Property Group, Inc.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</si>
  <si>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</si>
  <si>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</si>
  <si>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</si>
  <si>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</si>
  <si>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2026-10-01T20:00:03Z regular close</t>
  </si>
  <si>
    <t xml:space="preserve">Balance sheet date</t>
  </si>
  <si>
    <t xml:space="preserve">2026-06-30</t>
  </si>
  <si>
    <t xml:space="preserve">Model</t>
  </si>
  <si>
    <t xml:space="preserve">REIT AFFO capitalisation at cost of equity (engine route)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</si>
  <si>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</si>
  <si>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</si>
  <si>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</si>
  <si>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</si>
  <si>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</si>
  <si>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</si>
  <si>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</si>
  <si>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</si>
  <si>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2026-10-02T08:53:18Z</t>
  </si>
  <si>
    <t xml:space="preserve">Drivers file</t>
  </si>
  <si>
    <t xml:space="preserve">SPG_Drivers.json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</si>
  <si>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</si>
  <si>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</si>
  <si>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</si>
  <si>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SPG is valued as a REIT: the stream an owner of a common share or OP unit actually receives the economic benefit of is AFFO -- Real Estate FFO less straight-line rent, recurring re-leasing capex, redevelopment spend and SBC -- and because it is already after interest it is capitalised at the cost of equity with no net-debt deduction. GAAP net income (revaluation and remeasurement gains) and consolidated FCF (before JV share and NCI) are not used.
key_risks_to_valuation: Cost of equity is the dominant lever: +/-50bp moves base IV roughly -/+8-9%; the 10y UST print (~5.24%) drives it.; Refinancing drag: $35.7B of our-share debt rolling to ~5.4% from a lower book rate compresses post-interest FFO margins; the base case assumes ~150bp over five years.; Anchor/department-store attrition (Macy's closures through 2028, Saks/Exemplar) and tenant bankruptcies in a consumer downturn.; Redevelopment execution and capital intensity: the capex path assumes ~$0.5B/yr SPG-share development through FY29; overruns or slow lease-up reduce AFFO conversion.; Other platform investments (retailer stakes) carried at zero -- an upside optionality not in the value, but their losses are also excluded from the stream.; Leadership transition after the death of David Simon (March 2026).</t>
  </si>
  <si>
    <t xml:space="preserve">Data sources</t>
  </si>
  <si>
    <t xml:space="preserve">price: Yahoo Finance chart API at inputs.price_as_of; 52-week range 172.19-238.50
financials: SEC XBRL (SPG_Metrics.csv / core_metrics) for revenue, FCF and balance-sheet history; Q2-2026 earnings 8-K ex99.1 supplemental (filed 2026-08-10, accession 0001104659-26-093361) for Real Estate FFO, FFO-&gt;FAD reconciliation (tenant allowances, operational capex, straight-line, SBC), unit counts and total debt (our share).
qualitative: SPG_Analysis.json (2026-10-02)</t>
  </si>
  <si>
    <t xml:space="preserve">Scenario narrative: bear</t>
  </si>
  <si>
    <t xml:space="preserve">A consumer recession plus tariff pressure on apparel tenants triggers a new wave of retailer and department-store bankruptcies; occupancy slips, percentage rent falls, and maturities refinance at 5.5-6%, compressing post-interest FFO margins by ~400bp. Leadership transition after David Simon's death loses deal-making edge. AFFO flat-to-down for three years, cost of equity 10.75%.</t>
  </si>
  <si>
    <t xml:space="preserve">Scenario narrative: base</t>
  </si>
  <si>
    <t xml:space="preserve">Class-A malls and Premium Outlets keep taking share from weaker retail real estate: occupancy holds ~96%, rent spreads stay positive, recaptured Saks/Macy's boxes re-lease at higher rents and the $2B+ mixed-use pipeline delivers. AFFO/unit compounds ~3-4% after refinancing drag, the dividend keeps rising, and Eli Simon's planned succession proves uneventful. Capitalised at a 9.75% cost of equity this is worth less than the current price: the market is pricing a lower discount rate than the house uses.</t>
  </si>
  <si>
    <t xml:space="preserve">Scenario narrative: bull</t>
  </si>
  <si>
    <t xml:space="preserve">Leasing momentum (new deals +20% y/y, retailer sales/sf +13.9%) persists, redevelopment yields 7-8% on cost, international outlets (Italy, Japan, Korea) add growth, and lower long rates compress the cost of equity to 9%. Real Estate FFO/unit grows 5-6% near term with margins held as NOI growth offsets refinancing.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</si>
  <si>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</si>
  <si>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</si>
  <si>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</si>
  <si>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</si>
  <si>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</si>
  <si>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</si>
  <si>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</si>
  <si>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</si>
  <si>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</si>
  <si>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</si>
  <si>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</si>
  <si>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</si>
  <si>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</si>
  <si>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</si>
  <si>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</si>
  <si>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</si>
  <si>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</si>
  <si>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</si>
  <si>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</si>
  <si>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</si>
  <si>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</si>
  <si>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</si>
  <si>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</si>
  <si>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</si>
  <si>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</si>
  <si>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</si>
  <si>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</si>
  <si>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</si>
  <si>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</si>
  <si>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</si>
  <si>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</si>
  <si>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</si>
  <si>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</si>
  <si>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</si>
  <si>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</si>
  <si>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</si>
  <si>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</si>
  <si>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</si>
  <si>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</si>
  <si>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</si>
  <si>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</si>
  <si>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</si>
  <si>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</si>
  <si>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</si>
  <si>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</si>
  <si>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</si>
  <si>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</si>
  <si>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</si>
  <si>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</si>
  <si>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</si>
  <si>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</si>
  <si>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</si>
  <si>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</si>
  <si>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</si>
  <si>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</si>
  <si>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</si>
  <si>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FY2026E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</si>
  <si>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</si>
  <si>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</si>
  <si>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</si>
  <si>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</si>
  <si>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</si>
  <si>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</si>
  <si>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</si>
  <si>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</si>
  <si>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</si>
  <si>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</si>
  <si>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</si>
  <si>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</si>
  <si>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</si>
  <si>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</si>
  <si>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</si>
  <si>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</si>
  <si>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</si>
  <si>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</si>
  <si>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</si>
  <si>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</si>
  <si>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</si>
  <si>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</si>
  <si>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</si>
  <si>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</si>
  <si>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</si>
  <si>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</si>
  <si>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</si>
  <si>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</si>
  <si>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SPG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</si>
  <si>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</si>
  <si>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</si>
  <si>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</si>
  <si>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</si>
  <si>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</si>
  <si>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</si>
  <si>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</si>
  <si>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</si>
  <si>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</si>
  <si>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</si>
  <si>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</si>
  <si>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</si>
  <si>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</si>
  <si>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</si>
  <si>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</si>
  <si>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</si>
  <si>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</si>
  <si>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</si>
  <si>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</si>
  <si>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</si>
  <si>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</si>
  <si>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</si>
  <si>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</si>
  <si>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</si>
  <si>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</si>
  <si>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</si>
  <si>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</si>
  <si>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</si>
  <si>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</si>
  <si>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</si>
  <si>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SPG owner-FCF component DCF: base case (millions, USD)</t>
  </si>
  <si>
    <t xml:space="preserve">SPG owner-FCF component DCF: bull case (millions, USD)</t>
  </si>
  <si>
    <t xml:space="preserve">SPG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</si>
  <si>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</si>
  <si>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</si>
  <si>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</si>
  <si>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</si>
  <si>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</si>
  <si>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</si>
  <si>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</si>
  <si>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</si>
  <si>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</si>
  <si>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</si>
  <si>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</si>
  <si>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</si>
  <si>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</si>
  <si>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</si>
  <si>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</si>
  <si>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9.75%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</si>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</sst>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200.81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4040.676</v>
      </c>
      <c r="S2" s="0" t="n">
        <v>929.36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3650.799</v>
      </c>
      <c r="F3" s="0" t="n">
        <v>1534.032</v>
      </c>
      <c r="G3" s="0" t="n">
        <v>42.0190758242237</v>
      </c>
      <c r="H3" s="0" t="n">
        <v>2439.668</v>
      </c>
      <c r="I3" s="0" t="n">
        <v>639.236</v>
      </c>
      <c r="J3" s="0" t="n">
        <v>17.5094821708892</v>
      </c>
      <c r="K3" s="0" t="n">
        <v>1.96</v>
      </c>
      <c r="L3" s="0" t="n">
        <v>1559.432</v>
      </c>
      <c r="O3" s="0" t="n">
        <v>3414.612</v>
      </c>
      <c r="S3" s="0" t="n">
        <v>501.982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3783.155</v>
      </c>
      <c r="F4" s="0" t="n">
        <v>1543.048</v>
      </c>
      <c r="G4" s="0" t="n">
        <v>40.7873322663227</v>
      </c>
      <c r="H4" s="0" t="n">
        <v>2512.525</v>
      </c>
      <c r="I4" s="0" t="n">
        <v>599.535</v>
      </c>
      <c r="J4" s="0" t="n">
        <v>15.847487084193</v>
      </c>
      <c r="K4" s="0" t="n">
        <v>1.88</v>
      </c>
      <c r="L4" s="0" t="n">
        <v>1635.887</v>
      </c>
      <c r="O4" s="0" t="n">
        <v>3101.967</v>
      </c>
      <c r="P4" s="0" t="n">
        <v>23422.749</v>
      </c>
      <c r="Q4" s="0" t="n">
        <v>19664.661</v>
      </c>
      <c r="S4" s="0" t="n">
        <v>773.544</v>
      </c>
      <c r="T4" s="0" t="n">
        <v>225.88365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3775.216</v>
      </c>
      <c r="F5" s="0" t="n">
        <v>1406.692</v>
      </c>
      <c r="G5" s="0" t="n">
        <v>37.2612322049917</v>
      </c>
      <c r="H5" s="0" t="n">
        <v>2404.29</v>
      </c>
      <c r="I5" s="0" t="n">
        <v>387.262</v>
      </c>
      <c r="J5" s="0" t="n">
        <v>10.2580090781561</v>
      </c>
      <c r="K5" s="0" t="n">
        <v>1.06</v>
      </c>
      <c r="L5" s="0" t="n">
        <v>1720.52</v>
      </c>
      <c r="O5" s="0" t="n">
        <v>5182.962</v>
      </c>
      <c r="P5" s="0" t="n">
        <v>25948.266</v>
      </c>
      <c r="Q5" s="0" t="n">
        <v>20234.931</v>
      </c>
      <c r="S5" s="0" t="n">
        <v>3957.718</v>
      </c>
      <c r="T5" s="0" t="n">
        <v>268.47215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3957.63</v>
      </c>
      <c r="F6" s="0" t="n">
        <v>1746.836</v>
      </c>
      <c r="G6" s="0" t="n">
        <v>44.1384363874339</v>
      </c>
      <c r="H6" s="0" t="n">
        <v>2729.656</v>
      </c>
      <c r="I6" s="0" t="n">
        <v>753.514</v>
      </c>
      <c r="J6" s="0" t="n">
        <v>19.039526181073</v>
      </c>
      <c r="K6" s="0" t="n">
        <v>2.1</v>
      </c>
      <c r="L6" s="0" t="n">
        <v>1755.21</v>
      </c>
      <c r="O6" s="0" t="n">
        <v>5633.752</v>
      </c>
      <c r="P6" s="0" t="n">
        <v>24857.429</v>
      </c>
      <c r="Q6" s="0" t="n">
        <v>19138.208</v>
      </c>
      <c r="R6" s="0" t="n">
        <v>17468.732</v>
      </c>
      <c r="S6" s="0" t="n">
        <v>796.718</v>
      </c>
      <c r="T6" s="0" t="n">
        <v>291.350468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4306.432</v>
      </c>
      <c r="F7" s="0" t="n">
        <v>1943.154</v>
      </c>
      <c r="G7" s="0" t="n">
        <v>45.1221335899417</v>
      </c>
      <c r="H7" s="0" t="n">
        <v>3009.1</v>
      </c>
      <c r="I7" s="0" t="n">
        <v>1245.9</v>
      </c>
      <c r="J7" s="0" t="n">
        <v>28.9311429972655</v>
      </c>
      <c r="K7" s="0" t="n">
        <v>3.48</v>
      </c>
      <c r="L7" s="0" t="n">
        <v>2005.887</v>
      </c>
      <c r="O7" s="0" t="n">
        <v>5544.288</v>
      </c>
      <c r="P7" s="0" t="n">
        <v>26216.925</v>
      </c>
      <c r="Q7" s="0" t="n">
        <v>20404.692</v>
      </c>
      <c r="R7" s="0" t="n">
        <v>18421.368</v>
      </c>
      <c r="S7" s="0" t="n">
        <v>798.65</v>
      </c>
      <c r="T7" s="0" t="n">
        <v>293.573472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4256.157</v>
      </c>
      <c r="F8" s="0" t="n">
        <v>2006.229</v>
      </c>
      <c r="G8" s="0" t="n">
        <v>47.1371004406088</v>
      </c>
      <c r="H8" s="0" t="n">
        <v>3074.611</v>
      </c>
      <c r="I8" s="0" t="n">
        <v>1719.632</v>
      </c>
      <c r="J8" s="0" t="n">
        <v>40.4033967731923</v>
      </c>
      <c r="K8" s="0" t="n">
        <v>4.72</v>
      </c>
      <c r="L8" s="0" t="n">
        <v>2513.072</v>
      </c>
      <c r="O8" s="0" t="n">
        <v>6893.089</v>
      </c>
      <c r="P8" s="0" t="n">
        <v>32586.606</v>
      </c>
      <c r="Q8" s="0" t="n">
        <v>25515.511</v>
      </c>
      <c r="S8" s="0" t="n">
        <v>1184.518</v>
      </c>
      <c r="T8" s="0" t="n">
        <v>303.138422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4543.849</v>
      </c>
      <c r="F9" s="0" t="n">
        <v>2188.669</v>
      </c>
      <c r="G9" s="0" t="n">
        <v>48.1677318062286</v>
      </c>
      <c r="H9" s="0" t="n">
        <v>3296.369</v>
      </c>
      <c r="I9" s="0" t="n">
        <v>1551.59</v>
      </c>
      <c r="J9" s="0" t="n">
        <v>34.1470414179697</v>
      </c>
      <c r="K9" s="0" t="n">
        <v>4.24</v>
      </c>
      <c r="L9" s="0" t="n">
        <v>2700.996</v>
      </c>
      <c r="O9" s="0" t="n">
        <v>6822.632</v>
      </c>
      <c r="P9" s="0" t="n">
        <v>33324.574</v>
      </c>
      <c r="Q9" s="0" t="n">
        <v>26311.457</v>
      </c>
      <c r="S9" s="0" t="n">
        <v>1691.006</v>
      </c>
      <c r="T9" s="0" t="n">
        <v>310.255218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4870.818</v>
      </c>
      <c r="F10" s="0" t="n">
        <v>2385.342</v>
      </c>
      <c r="G10" s="0" t="n">
        <v>48.9721028377574</v>
      </c>
      <c r="H10" s="0" t="n">
        <v>3529.169</v>
      </c>
      <c r="I10" s="0" t="n">
        <v>1651.526</v>
      </c>
      <c r="J10" s="0" t="n">
        <v>33.9065430077658</v>
      </c>
      <c r="L10" s="0" t="n">
        <v>2730.42</v>
      </c>
      <c r="M10" s="0" t="n">
        <v>796.736</v>
      </c>
      <c r="N10" s="0" t="n">
        <v>1933.684</v>
      </c>
      <c r="O10" s="0" t="n">
        <v>5951.505</v>
      </c>
      <c r="P10" s="0" t="n">
        <v>29532.33</v>
      </c>
      <c r="Q10" s="0" t="n">
        <v>23555.288</v>
      </c>
      <c r="S10" s="0" t="n">
        <v>612.282</v>
      </c>
      <c r="T10" s="0" t="n">
        <v>310.731032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5266.103</v>
      </c>
      <c r="F11" s="0" t="n">
        <v>2668.873</v>
      </c>
      <c r="G11" s="0" t="n">
        <v>50.6802278648937</v>
      </c>
      <c r="H11" s="0" t="n">
        <v>3846.441</v>
      </c>
      <c r="I11" s="0" t="n">
        <v>2139.375</v>
      </c>
      <c r="J11" s="0" t="n">
        <v>40.6253922492591</v>
      </c>
      <c r="L11" s="0" t="n">
        <v>3024.685</v>
      </c>
      <c r="M11" s="0" t="n">
        <v>1020.924</v>
      </c>
      <c r="N11" s="0" t="n">
        <v>2003.761</v>
      </c>
      <c r="O11" s="0" t="n">
        <v>5216.369</v>
      </c>
      <c r="P11" s="0" t="n">
        <v>30565.182</v>
      </c>
      <c r="Q11" s="0" t="n">
        <v>25323.276</v>
      </c>
      <c r="R11" s="0" t="n">
        <v>22416.682</v>
      </c>
      <c r="S11" s="0" t="n">
        <v>701.134</v>
      </c>
      <c r="T11" s="0" t="n">
        <v>310.102746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5435.229</v>
      </c>
      <c r="F12" s="0" t="n">
        <v>2720.828</v>
      </c>
      <c r="G12" s="0" t="n">
        <v>50.0591235438286</v>
      </c>
      <c r="H12" s="0" t="n">
        <v>3973.501</v>
      </c>
      <c r="I12" s="0" t="n">
        <v>2134.706</v>
      </c>
      <c r="J12" s="0" t="n">
        <v>39.2753644786632</v>
      </c>
      <c r="L12" s="0" t="n">
        <v>3372.694</v>
      </c>
      <c r="M12" s="0" t="n">
        <v>798.465</v>
      </c>
      <c r="N12" s="0" t="n">
        <v>2574.229</v>
      </c>
      <c r="O12" s="0" t="n">
        <v>4959.912</v>
      </c>
      <c r="P12" s="0" t="n">
        <v>31103.578</v>
      </c>
      <c r="Q12" s="0" t="n">
        <v>26005.904</v>
      </c>
      <c r="R12" s="0" t="n">
        <v>22977.104</v>
      </c>
      <c r="S12" s="0" t="n">
        <v>560.059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5527.336</v>
      </c>
      <c r="F13" s="0" t="n">
        <v>2802.34</v>
      </c>
      <c r="G13" s="0" t="n">
        <v>50.6996498855868</v>
      </c>
      <c r="H13" s="0" t="n">
        <v>4077.792</v>
      </c>
      <c r="I13" s="0" t="n">
        <v>2244.903</v>
      </c>
      <c r="J13" s="0" t="n">
        <v>40.614556451788</v>
      </c>
      <c r="L13" s="0" t="n">
        <v>3593.788</v>
      </c>
      <c r="M13" s="0" t="n">
        <v>732.1</v>
      </c>
      <c r="N13" s="0" t="n">
        <v>2861.688</v>
      </c>
      <c r="O13" s="0" t="n">
        <v>4238.764</v>
      </c>
      <c r="P13" s="0" t="n">
        <v>32257.638</v>
      </c>
      <c r="Q13" s="0" t="n">
        <v>27828.394</v>
      </c>
      <c r="R13" s="0" t="n">
        <v>24632.463</v>
      </c>
      <c r="S13" s="0" t="n">
        <v>1482.309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5645.288</v>
      </c>
      <c r="F14" s="0" t="n">
        <v>2926.299</v>
      </c>
      <c r="G14" s="0" t="n">
        <v>51.836133072396</v>
      </c>
      <c r="H14" s="0" t="n">
        <v>4208.753</v>
      </c>
      <c r="I14" s="0" t="n">
        <v>2822.343</v>
      </c>
      <c r="J14" s="0" t="n">
        <v>49.9946681196779</v>
      </c>
      <c r="L14" s="0" t="n">
        <v>3750.796</v>
      </c>
      <c r="M14" s="0" t="n">
        <v>781.909</v>
      </c>
      <c r="N14" s="0" t="n">
        <v>2968.887</v>
      </c>
      <c r="O14" s="0" t="n">
        <v>3796.956</v>
      </c>
      <c r="P14" s="0" t="n">
        <v>30686.223</v>
      </c>
      <c r="Q14" s="0" t="n">
        <v>26659.104</v>
      </c>
      <c r="R14" s="0" t="n">
        <v>23305.535</v>
      </c>
      <c r="S14" s="0" t="n">
        <v>514.335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5755.189</v>
      </c>
      <c r="F15" s="0" t="n">
        <v>2912.787</v>
      </c>
      <c r="G15" s="0" t="n">
        <v>50.6114916469294</v>
      </c>
      <c r="H15" s="0" t="n">
        <v>4253.29</v>
      </c>
      <c r="I15" s="0" t="n">
        <v>2423.188</v>
      </c>
      <c r="J15" s="0" t="n">
        <v>42.104403521761</v>
      </c>
      <c r="K15" s="0" t="n">
        <v>6.81</v>
      </c>
      <c r="L15" s="0" t="n">
        <v>3807.831</v>
      </c>
      <c r="M15" s="0" t="n">
        <v>876.011</v>
      </c>
      <c r="N15" s="0" t="n">
        <v>2931.82</v>
      </c>
      <c r="O15" s="0" t="n">
        <v>2911.25</v>
      </c>
      <c r="P15" s="0" t="n">
        <v>31231.63</v>
      </c>
      <c r="Q15" s="0" t="n">
        <v>28101.319</v>
      </c>
      <c r="R15" s="0" t="n">
        <v>24163.23</v>
      </c>
      <c r="S15" s="0" t="n">
        <v>669.373</v>
      </c>
      <c r="T15" s="0" t="n">
        <v>307.950112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4607.503</v>
      </c>
      <c r="F16" s="0" t="n">
        <v>1971.809</v>
      </c>
      <c r="G16" s="0" t="n">
        <v>42.7956096827284</v>
      </c>
      <c r="H16" s="0" t="n">
        <v>3289.817</v>
      </c>
      <c r="I16" s="0" t="n">
        <v>1277.324</v>
      </c>
      <c r="J16" s="0" t="n">
        <v>27.7226949173989</v>
      </c>
      <c r="K16" s="0" t="n">
        <v>3.59</v>
      </c>
      <c r="L16" s="0" t="n">
        <v>2326.698</v>
      </c>
      <c r="M16" s="0" t="n">
        <v>484.119</v>
      </c>
      <c r="N16" s="0" t="n">
        <v>1842.579</v>
      </c>
      <c r="O16" s="0" t="n">
        <v>3472.346</v>
      </c>
      <c r="P16" s="0" t="n">
        <v>34786.846</v>
      </c>
      <c r="Q16" s="0" t="n">
        <v>31128.608</v>
      </c>
      <c r="R16" s="0" t="n">
        <v>26723.361</v>
      </c>
      <c r="S16" s="0" t="n">
        <v>1011.613</v>
      </c>
      <c r="T16" s="0" t="n">
        <v>308.737625</v>
      </c>
      <c r="V16" s="0" t="n">
        <v>1.3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5116.789</v>
      </c>
      <c r="F17" s="0" t="n">
        <v>2413.19</v>
      </c>
      <c r="G17" s="0" t="n">
        <v>47.1621948843308</v>
      </c>
      <c r="H17" s="0" t="n">
        <v>3675.905</v>
      </c>
      <c r="I17" s="0" t="n">
        <v>2568.707</v>
      </c>
      <c r="J17" s="0" t="n">
        <v>50.2015424126342</v>
      </c>
      <c r="K17" s="0" t="n">
        <v>6.84</v>
      </c>
      <c r="L17" s="0" t="n">
        <v>3637.402</v>
      </c>
      <c r="M17" s="0" t="n">
        <v>527.935</v>
      </c>
      <c r="N17" s="0" t="n">
        <v>3109.467</v>
      </c>
      <c r="O17" s="0" t="n">
        <v>3852.985</v>
      </c>
      <c r="P17" s="0" t="n">
        <v>33777.379</v>
      </c>
      <c r="Q17" s="0" t="n">
        <v>29376.654</v>
      </c>
      <c r="R17" s="0" t="n">
        <v>25321.022</v>
      </c>
      <c r="S17" s="0" t="n">
        <v>533.936</v>
      </c>
      <c r="T17" s="0" t="n">
        <v>328.587137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5291.447</v>
      </c>
      <c r="F18" s="0" t="n">
        <v>2583.553</v>
      </c>
      <c r="G18" s="0" t="n">
        <v>48.8250756362107</v>
      </c>
      <c r="H18" s="0" t="n">
        <v>3810.924</v>
      </c>
      <c r="I18" s="0" t="n">
        <v>2452.385</v>
      </c>
      <c r="J18" s="0" t="n">
        <v>46.3462073795693</v>
      </c>
      <c r="K18" s="0" t="n">
        <v>6.52</v>
      </c>
      <c r="L18" s="0" t="n">
        <v>3766.604</v>
      </c>
      <c r="M18" s="0" t="n">
        <v>650.024</v>
      </c>
      <c r="N18" s="0" t="n">
        <v>3116.58</v>
      </c>
      <c r="O18" s="0" t="n">
        <v>3611.652</v>
      </c>
      <c r="P18" s="0" t="n">
        <v>33011.274</v>
      </c>
      <c r="Q18" s="0" t="n">
        <v>29187.383</v>
      </c>
      <c r="R18" s="0" t="n">
        <v>24960.286</v>
      </c>
      <c r="S18" s="0" t="n">
        <v>621.628</v>
      </c>
      <c r="T18" s="0" t="n">
        <v>327.816695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5658.836</v>
      </c>
      <c r="F19" s="0" t="n">
        <v>2807.022</v>
      </c>
      <c r="G19" s="0" t="n">
        <v>49.6042295624047</v>
      </c>
      <c r="H19" s="0" t="n">
        <v>4069.129</v>
      </c>
      <c r="I19" s="0" t="n">
        <v>2617.018</v>
      </c>
      <c r="J19" s="0" t="n">
        <v>46.2465779181443</v>
      </c>
      <c r="K19" s="0" t="n">
        <v>6.98</v>
      </c>
      <c r="L19" s="0" t="n">
        <v>3930.793</v>
      </c>
      <c r="M19" s="0" t="n">
        <v>793.283</v>
      </c>
      <c r="N19" s="0" t="n">
        <v>3137.51</v>
      </c>
      <c r="O19" s="0" t="n">
        <v>3491.649</v>
      </c>
      <c r="P19" s="0" t="n">
        <v>34283.495</v>
      </c>
      <c r="Q19" s="0" t="n">
        <v>30595.897</v>
      </c>
      <c r="R19" s="0" t="n">
        <v>26033.423</v>
      </c>
      <c r="S19" s="0" t="n">
        <v>1168.991</v>
      </c>
      <c r="T19" s="0" t="n">
        <v>326.807326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5963.798</v>
      </c>
      <c r="F20" s="0" t="n">
        <v>3092.796</v>
      </c>
      <c r="G20" s="0" t="n">
        <v>51.8595029543254</v>
      </c>
      <c r="H20" s="0" t="n">
        <v>4358.136</v>
      </c>
      <c r="I20" s="0" t="n">
        <v>2729.021</v>
      </c>
      <c r="J20" s="0" t="n">
        <v>45.7597826083311</v>
      </c>
      <c r="K20" s="0" t="n">
        <v>7.26</v>
      </c>
      <c r="L20" s="0" t="n">
        <v>3814.655</v>
      </c>
      <c r="M20" s="0" t="n">
        <v>755.584</v>
      </c>
      <c r="N20" s="0" t="n">
        <v>3059.071</v>
      </c>
      <c r="O20" s="0" t="n">
        <v>3414.723</v>
      </c>
      <c r="P20" s="0" t="n">
        <v>32405.691</v>
      </c>
      <c r="Q20" s="0" t="n">
        <v>28806.239</v>
      </c>
      <c r="R20" s="0" t="n">
        <v>24264.495</v>
      </c>
      <c r="S20" s="0" t="n">
        <v>1400.345</v>
      </c>
      <c r="T20" s="0" t="n">
        <v>326.097137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6364.505</v>
      </c>
      <c r="F21" s="0" t="n">
        <v>3175.396</v>
      </c>
      <c r="G21" s="0" t="n">
        <v>49.8922697051852</v>
      </c>
      <c r="H21" s="0" t="n">
        <v>4601.819</v>
      </c>
      <c r="I21" s="0" t="n">
        <v>5364.12</v>
      </c>
      <c r="J21" s="0" t="n">
        <v>84.281809818674</v>
      </c>
      <c r="K21" s="0" t="n">
        <v>14.17</v>
      </c>
      <c r="L21" s="0" t="n">
        <v>4136.551</v>
      </c>
      <c r="M21" s="0" t="n">
        <v>934.346</v>
      </c>
      <c r="N21" s="0" t="n">
        <v>3202.205</v>
      </c>
      <c r="O21" s="0" t="n">
        <v>6472.087</v>
      </c>
      <c r="P21" s="0" t="n">
        <v>40606.466</v>
      </c>
      <c r="Q21" s="0" t="n">
        <v>33901.073</v>
      </c>
      <c r="R21" s="0" t="n">
        <v>28430.175</v>
      </c>
      <c r="S21" s="0" t="n">
        <v>823.147</v>
      </c>
      <c r="T21" s="0" t="n">
        <v>326.366632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200.81</v>
      </c>
    </row>
    <row r="3" customFormat="false" ht="15" hidden="false" customHeight="false" outlineLevel="0" collapsed="false">
      <c r="A3" s="0" t="s">
        <v>86</v>
      </c>
      <c r="B3" s="3" t="n">
        <v>379.386</v>
      </c>
    </row>
    <row r="4" customFormat="false" ht="15" hidden="false" customHeight="false" outlineLevel="0" collapsed="false">
      <c r="A4" s="0" t="s">
        <v>87</v>
      </c>
      <c r="B4" s="3" t="n">
        <v>0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7220</v>
      </c>
    </row>
    <row r="8" customFormat="false" ht="15" hidden="false" customHeight="false" outlineLevel="0" collapsed="false">
      <c r="A8" s="0" t="s">
        <v>91</v>
      </c>
      <c r="B8" s="3" t="s">
        <v>92</v>
      </c>
    </row>
    <row r="9" customFormat="false" ht="15" hidden="false" customHeight="false" outlineLevel="0" collapsed="false">
      <c r="A9" s="0" t="s">
        <v>93</v>
      </c>
      <c r="B9" s="3" t="s">
        <v>94</v>
      </c>
    </row>
    <row r="10" customFormat="false" ht="15" hidden="false" customHeight="false" outlineLevel="0" collapsed="false">
      <c r="A10" s="0" t="s">
        <v>95</v>
      </c>
      <c r="B10" s="3" t="n">
        <v>1</v>
      </c>
    </row>
    <row r="12" customFormat="false" ht="15" hidden="false" customHeight="false" outlineLevel="0" collapsed="false">
      <c r="A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105</v>
      </c>
      <c r="L12" s="2" t="s">
        <v>106</v>
      </c>
    </row>
    <row r="13" customFormat="false" ht="15" hidden="false" customHeight="false" outlineLevel="0" collapsed="false">
      <c r="A13" s="0" t="s">
        <v>107</v>
      </c>
      <c r="C13" s="3" t="n">
        <v>2</v>
      </c>
      <c r="D13" s="3" t="n">
        <v>1</v>
      </c>
      <c r="E13" s="3" t="n">
        <v>0</v>
      </c>
      <c r="F13" s="3" t="n">
        <v>1</v>
      </c>
      <c r="G13" s="3" t="n">
        <v>1.5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108</v>
      </c>
      <c r="C14" s="3" t="n">
        <v>69.7</v>
      </c>
      <c r="D14" s="3" t="n">
        <v>69</v>
      </c>
      <c r="E14" s="3" t="n">
        <v>68.3</v>
      </c>
      <c r="F14" s="3" t="n">
        <v>67.6</v>
      </c>
      <c r="G14" s="3" t="n">
        <v>67</v>
      </c>
      <c r="H14" s="3" t="n">
        <v>66.5</v>
      </c>
      <c r="I14" s="3" t="n">
        <v>66.2</v>
      </c>
      <c r="J14" s="3" t="n">
        <v>66.2</v>
      </c>
      <c r="K14" s="3" t="n">
        <v>66.2</v>
      </c>
      <c r="L14" s="3" t="n">
        <v>66.2</v>
      </c>
    </row>
    <row r="15" customFormat="false" ht="15" hidden="false" customHeight="false" outlineLevel="0" collapsed="false">
      <c r="A15" s="0" t="s">
        <v>109</v>
      </c>
      <c r="C15" s="3" t="n">
        <v>1.2</v>
      </c>
      <c r="D15" s="3" t="n">
        <v>1.2</v>
      </c>
      <c r="E15" s="3" t="n">
        <v>1.2</v>
      </c>
      <c r="F15" s="3" t="n">
        <v>1.2</v>
      </c>
      <c r="G15" s="3" t="n">
        <v>1.2</v>
      </c>
      <c r="H15" s="3" t="n">
        <v>1.2</v>
      </c>
      <c r="I15" s="3" t="n">
        <v>1.2</v>
      </c>
      <c r="J15" s="3" t="n">
        <v>1.2</v>
      </c>
      <c r="K15" s="3" t="n">
        <v>1.2</v>
      </c>
      <c r="L15" s="3" t="n">
        <v>1.2</v>
      </c>
    </row>
    <row r="16" customFormat="false" ht="15" hidden="false" customHeight="false" outlineLevel="0" collapsed="false">
      <c r="A16" s="0" t="s">
        <v>110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111</v>
      </c>
      <c r="C17" s="3" t="n">
        <v>25.5</v>
      </c>
      <c r="D17" s="3" t="n">
        <v>25.5</v>
      </c>
      <c r="E17" s="3" t="n">
        <v>25.5</v>
      </c>
      <c r="F17" s="3" t="n">
        <v>25.5</v>
      </c>
      <c r="G17" s="3" t="n">
        <v>25.5</v>
      </c>
      <c r="H17" s="3" t="n">
        <v>25.5</v>
      </c>
      <c r="I17" s="3" t="n">
        <v>25.5</v>
      </c>
      <c r="J17" s="3" t="n">
        <v>25.5</v>
      </c>
      <c r="K17" s="3" t="n">
        <v>25.5</v>
      </c>
      <c r="L17" s="3" t="n">
        <v>25.5</v>
      </c>
    </row>
    <row r="18" customFormat="false" ht="15" hidden="false" customHeight="false" outlineLevel="0" collapsed="false">
      <c r="A18" s="0" t="s">
        <v>112</v>
      </c>
      <c r="C18" s="3" t="n">
        <v>15</v>
      </c>
      <c r="D18" s="3" t="n">
        <v>14.5</v>
      </c>
      <c r="E18" s="3" t="n">
        <v>13</v>
      </c>
      <c r="F18" s="3" t="n">
        <v>12</v>
      </c>
      <c r="G18" s="3" t="n">
        <v>11</v>
      </c>
      <c r="H18" s="3" t="n">
        <v>10.5</v>
      </c>
      <c r="I18" s="3" t="n">
        <v>10.5</v>
      </c>
      <c r="J18" s="3" t="n">
        <v>10.5</v>
      </c>
      <c r="K18" s="3" t="n">
        <v>10.5</v>
      </c>
      <c r="L18" s="3" t="n">
        <v>10.5</v>
      </c>
    </row>
    <row r="19" customFormat="false" ht="15" hidden="false" customHeight="false" outlineLevel="0" collapsed="false">
      <c r="A19" s="0" t="s">
        <v>113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 customFormat="false" ht="15" hidden="false" customHeight="false" outlineLevel="0" collapsed="false">
      <c r="A20" s="0" t="s">
        <v>114</v>
      </c>
      <c r="B20" s="3" t="n">
        <v>10.75</v>
      </c>
    </row>
    <row r="21" customFormat="false" ht="15" hidden="false" customHeight="false" outlineLevel="0" collapsed="false">
      <c r="A21" s="0" t="s">
        <v>115</v>
      </c>
      <c r="B21" s="3" t="n">
        <v>1.5</v>
      </c>
    </row>
    <row r="22" customFormat="false" ht="15" hidden="false" customHeight="false" outlineLevel="0" collapsed="false">
      <c r="A22" s="0" t="s">
        <v>116</v>
      </c>
      <c r="B22" s="3" t="n">
        <v>11</v>
      </c>
    </row>
    <row r="23" customFormat="false" ht="15" hidden="false" customHeight="false" outlineLevel="0" collapsed="false">
      <c r="A23" s="0" t="s">
        <v>117</v>
      </c>
      <c r="B23" s="3" t="n">
        <v>0</v>
      </c>
    </row>
    <row r="24" customFormat="false" ht="15" hidden="false" customHeight="false" outlineLevel="0" collapsed="false">
      <c r="A24" s="0" t="s">
        <v>118</v>
      </c>
      <c r="B24" s="3" t="n">
        <v>0.25</v>
      </c>
    </row>
    <row r="26" customFormat="false" ht="15" hidden="false" customHeight="false" outlineLevel="0" collapsed="false">
      <c r="A26" s="2" t="s">
        <v>119</v>
      </c>
      <c r="C26" s="2" t="s">
        <v>97</v>
      </c>
      <c r="D26" s="2" t="s">
        <v>98</v>
      </c>
      <c r="E26" s="2" t="s">
        <v>99</v>
      </c>
      <c r="F26" s="2" t="s">
        <v>100</v>
      </c>
      <c r="G26" s="2" t="s">
        <v>101</v>
      </c>
      <c r="H26" s="2" t="s">
        <v>102</v>
      </c>
      <c r="I26" s="2" t="s">
        <v>103</v>
      </c>
      <c r="J26" s="2" t="s">
        <v>104</v>
      </c>
      <c r="K26" s="2" t="s">
        <v>105</v>
      </c>
      <c r="L26" s="2" t="s">
        <v>106</v>
      </c>
    </row>
    <row r="27" customFormat="false" ht="15" hidden="false" customHeight="false" outlineLevel="0" collapsed="false">
      <c r="A27" s="0" t="s">
        <v>107</v>
      </c>
      <c r="C27" s="3" t="n">
        <v>4.5</v>
      </c>
      <c r="D27" s="3" t="n">
        <v>4.5</v>
      </c>
      <c r="E27" s="3" t="n">
        <v>4</v>
      </c>
      <c r="F27" s="3" t="n">
        <v>4</v>
      </c>
      <c r="G27" s="3" t="n">
        <v>3.5</v>
      </c>
      <c r="H27" s="3" t="n">
        <v>3.5</v>
      </c>
      <c r="I27" s="3" t="n">
        <v>3</v>
      </c>
      <c r="J27" s="3" t="n">
        <v>3</v>
      </c>
      <c r="K27" s="3" t="n">
        <v>2.75</v>
      </c>
      <c r="L27" s="3" t="n">
        <v>2.5</v>
      </c>
    </row>
    <row r="28" customFormat="false" ht="15" hidden="false" customHeight="false" outlineLevel="0" collapsed="false">
      <c r="A28" s="0" t="s">
        <v>108</v>
      </c>
      <c r="C28" s="3" t="n">
        <v>70.2</v>
      </c>
      <c r="D28" s="3" t="n">
        <v>69.9</v>
      </c>
      <c r="E28" s="3" t="n">
        <v>69.6</v>
      </c>
      <c r="F28" s="3" t="n">
        <v>69.3</v>
      </c>
      <c r="G28" s="3" t="n">
        <v>69</v>
      </c>
      <c r="H28" s="3" t="n">
        <v>68.8</v>
      </c>
      <c r="I28" s="3" t="n">
        <v>68.7</v>
      </c>
      <c r="J28" s="3" t="n">
        <v>68.7</v>
      </c>
      <c r="K28" s="3" t="n">
        <v>68.7</v>
      </c>
      <c r="L28" s="3" t="n">
        <v>68.7</v>
      </c>
    </row>
    <row r="29" customFormat="false" ht="15" hidden="false" customHeight="false" outlineLevel="0" collapsed="false">
      <c r="A29" s="0" t="s">
        <v>109</v>
      </c>
      <c r="C29" s="3" t="n">
        <v>1.16</v>
      </c>
      <c r="D29" s="3" t="n">
        <v>1.15</v>
      </c>
      <c r="E29" s="3" t="n">
        <v>1.15</v>
      </c>
      <c r="F29" s="3" t="n">
        <v>1.15</v>
      </c>
      <c r="G29" s="3" t="n">
        <v>1.15</v>
      </c>
      <c r="H29" s="3" t="n">
        <v>1.15</v>
      </c>
      <c r="I29" s="3" t="n">
        <v>1.15</v>
      </c>
      <c r="J29" s="3" t="n">
        <v>1.15</v>
      </c>
      <c r="K29" s="3" t="n">
        <v>1.15</v>
      </c>
      <c r="L29" s="3" t="n">
        <v>1.15</v>
      </c>
    </row>
    <row r="30" customFormat="false" ht="15" hidden="false" customHeight="false" outlineLevel="0" collapsed="false">
      <c r="A30" s="0" t="s">
        <v>110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111</v>
      </c>
      <c r="C31" s="3" t="n">
        <v>25.5</v>
      </c>
      <c r="D31" s="3" t="n">
        <v>25.5</v>
      </c>
      <c r="E31" s="3" t="n">
        <v>25.5</v>
      </c>
      <c r="F31" s="3" t="n">
        <v>25.5</v>
      </c>
      <c r="G31" s="3" t="n">
        <v>25.5</v>
      </c>
      <c r="H31" s="3" t="n">
        <v>25.5</v>
      </c>
      <c r="I31" s="3" t="n">
        <v>25.5</v>
      </c>
      <c r="J31" s="3" t="n">
        <v>25.5</v>
      </c>
      <c r="K31" s="3" t="n">
        <v>25.5</v>
      </c>
      <c r="L31" s="3" t="n">
        <v>25.5</v>
      </c>
    </row>
    <row r="32" customFormat="false" ht="15" hidden="false" customHeight="false" outlineLevel="0" collapsed="false">
      <c r="A32" s="0" t="s">
        <v>112</v>
      </c>
      <c r="C32" s="3" t="n">
        <v>15</v>
      </c>
      <c r="D32" s="3" t="n">
        <v>14</v>
      </c>
      <c r="E32" s="3" t="n">
        <v>12.5</v>
      </c>
      <c r="F32" s="3" t="n">
        <v>11</v>
      </c>
      <c r="G32" s="3" t="n">
        <v>10.5</v>
      </c>
      <c r="H32" s="3" t="n">
        <v>10</v>
      </c>
      <c r="I32" s="3" t="n">
        <v>10</v>
      </c>
      <c r="J32" s="3" t="n">
        <v>10</v>
      </c>
      <c r="K32" s="3" t="n">
        <v>10</v>
      </c>
      <c r="L32" s="3" t="n">
        <v>10</v>
      </c>
    </row>
    <row r="33" customFormat="false" ht="15" hidden="false" customHeight="false" outlineLevel="0" collapsed="false">
      <c r="A33" s="0" t="s">
        <v>113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r="34" customFormat="false" ht="15" hidden="false" customHeight="false" outlineLevel="0" collapsed="false">
      <c r="A34" s="0" t="s">
        <v>114</v>
      </c>
      <c r="B34" s="3" t="n">
        <v>9.75</v>
      </c>
    </row>
    <row r="35" customFormat="false" ht="15" hidden="false" customHeight="false" outlineLevel="0" collapsed="false">
      <c r="A35" s="0" t="s">
        <v>115</v>
      </c>
      <c r="B35" s="3" t="n">
        <v>2.5</v>
      </c>
    </row>
    <row r="36" customFormat="false" ht="15" hidden="false" customHeight="false" outlineLevel="0" collapsed="false">
      <c r="A36" s="0" t="s">
        <v>116</v>
      </c>
      <c r="B36" s="3" t="n">
        <v>16</v>
      </c>
    </row>
    <row r="37" customFormat="false" ht="15" hidden="false" customHeight="false" outlineLevel="0" collapsed="false">
      <c r="A37" s="0" t="s">
        <v>117</v>
      </c>
      <c r="B37" s="3" t="n">
        <v>0</v>
      </c>
    </row>
    <row r="38" customFormat="false" ht="15" hidden="false" customHeight="false" outlineLevel="0" collapsed="false">
      <c r="A38" s="0" t="s">
        <v>118</v>
      </c>
      <c r="B38" s="3" t="n">
        <v>0.5</v>
      </c>
    </row>
    <row r="40" customFormat="false" ht="15" hidden="false" customHeight="false" outlineLevel="0" collapsed="false">
      <c r="A40" s="2" t="s">
        <v>120</v>
      </c>
      <c r="C40" s="2" t="s">
        <v>97</v>
      </c>
      <c r="D40" s="2" t="s">
        <v>98</v>
      </c>
      <c r="E40" s="2" t="s">
        <v>99</v>
      </c>
      <c r="F40" s="2" t="s">
        <v>100</v>
      </c>
      <c r="G40" s="2" t="s">
        <v>101</v>
      </c>
      <c r="H40" s="2" t="s">
        <v>102</v>
      </c>
      <c r="I40" s="2" t="s">
        <v>103</v>
      </c>
      <c r="J40" s="2" t="s">
        <v>104</v>
      </c>
      <c r="K40" s="2" t="s">
        <v>105</v>
      </c>
      <c r="L40" s="2" t="s">
        <v>106</v>
      </c>
    </row>
    <row r="41" customFormat="false" ht="15" hidden="false" customHeight="false" outlineLevel="0" collapsed="false">
      <c r="A41" s="0" t="s">
        <v>107</v>
      </c>
      <c r="C41" s="3" t="n">
        <v>6</v>
      </c>
      <c r="D41" s="3" t="n">
        <v>5.5</v>
      </c>
      <c r="E41" s="3" t="n">
        <v>5</v>
      </c>
      <c r="F41" s="3" t="n">
        <v>4.5</v>
      </c>
      <c r="G41" s="3" t="n">
        <v>4</v>
      </c>
      <c r="H41" s="3" t="n">
        <v>3.5</v>
      </c>
      <c r="I41" s="3" t="n">
        <v>3.25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108</v>
      </c>
      <c r="C42" s="3" t="n">
        <v>70.5</v>
      </c>
      <c r="D42" s="3" t="n">
        <v>70.6</v>
      </c>
      <c r="E42" s="3" t="n">
        <v>70.7</v>
      </c>
      <c r="F42" s="3" t="n">
        <v>70.8</v>
      </c>
      <c r="G42" s="3" t="n">
        <v>70.8</v>
      </c>
      <c r="H42" s="3" t="n">
        <v>70.8</v>
      </c>
      <c r="I42" s="3" t="n">
        <v>70.8</v>
      </c>
      <c r="J42" s="3" t="n">
        <v>70.8</v>
      </c>
      <c r="K42" s="3" t="n">
        <v>70.8</v>
      </c>
      <c r="L42" s="3" t="n">
        <v>70.8</v>
      </c>
    </row>
    <row r="43" customFormat="false" ht="15" hidden="false" customHeight="false" outlineLevel="0" collapsed="false">
      <c r="A43" s="0" t="s">
        <v>109</v>
      </c>
      <c r="C43" s="3" t="n">
        <v>1.15</v>
      </c>
      <c r="D43" s="3" t="n">
        <v>1.15</v>
      </c>
      <c r="E43" s="3" t="n">
        <v>1.15</v>
      </c>
      <c r="F43" s="3" t="n">
        <v>1.15</v>
      </c>
      <c r="G43" s="3" t="n">
        <v>1.15</v>
      </c>
      <c r="H43" s="3" t="n">
        <v>1.15</v>
      </c>
      <c r="I43" s="3" t="n">
        <v>1.15</v>
      </c>
      <c r="J43" s="3" t="n">
        <v>1.15</v>
      </c>
      <c r="K43" s="3" t="n">
        <v>1.15</v>
      </c>
      <c r="L43" s="3" t="n">
        <v>1.15</v>
      </c>
    </row>
    <row r="44" customFormat="false" ht="15" hidden="false" customHeight="false" outlineLevel="0" collapsed="false">
      <c r="A44" s="0" t="s">
        <v>110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111</v>
      </c>
      <c r="C45" s="3" t="n">
        <v>25.5</v>
      </c>
      <c r="D45" s="3" t="n">
        <v>25.5</v>
      </c>
      <c r="E45" s="3" t="n">
        <v>25.5</v>
      </c>
      <c r="F45" s="3" t="n">
        <v>25.5</v>
      </c>
      <c r="G45" s="3" t="n">
        <v>25.5</v>
      </c>
      <c r="H45" s="3" t="n">
        <v>25.5</v>
      </c>
      <c r="I45" s="3" t="n">
        <v>25.5</v>
      </c>
      <c r="J45" s="3" t="n">
        <v>25.5</v>
      </c>
      <c r="K45" s="3" t="n">
        <v>25.5</v>
      </c>
      <c r="L45" s="3" t="n">
        <v>25.5</v>
      </c>
    </row>
    <row r="46" customFormat="false" ht="15" hidden="false" customHeight="false" outlineLevel="0" collapsed="false">
      <c r="A46" s="0" t="s">
        <v>112</v>
      </c>
      <c r="C46" s="3" t="n">
        <v>14.5</v>
      </c>
      <c r="D46" s="3" t="n">
        <v>13.5</v>
      </c>
      <c r="E46" s="3" t="n">
        <v>12</v>
      </c>
      <c r="F46" s="3" t="n">
        <v>10.5</v>
      </c>
      <c r="G46" s="3" t="n">
        <v>10</v>
      </c>
      <c r="H46" s="3" t="n">
        <v>9.75</v>
      </c>
      <c r="I46" s="3" t="n">
        <v>9.75</v>
      </c>
      <c r="J46" s="3" t="n">
        <v>9.75</v>
      </c>
      <c r="K46" s="3" t="n">
        <v>9.75</v>
      </c>
      <c r="L46" s="3" t="n">
        <v>9.75</v>
      </c>
    </row>
    <row r="47" customFormat="false" ht="15" hidden="false" customHeight="false" outlineLevel="0" collapsed="false">
      <c r="A47" s="0" t="s">
        <v>113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 customFormat="false" ht="15" hidden="false" customHeight="false" outlineLevel="0" collapsed="false">
      <c r="A48" s="0" t="s">
        <v>114</v>
      </c>
      <c r="B48" s="3" t="n">
        <v>9</v>
      </c>
    </row>
    <row r="49" customFormat="false" ht="15" hidden="false" customHeight="false" outlineLevel="0" collapsed="false">
      <c r="A49" s="0" t="s">
        <v>115</v>
      </c>
      <c r="B49" s="3" t="n">
        <v>3</v>
      </c>
    </row>
    <row r="50" customFormat="false" ht="15" hidden="false" customHeight="false" outlineLevel="0" collapsed="false">
      <c r="A50" s="0" t="s">
        <v>116</v>
      </c>
      <c r="B50" s="3" t="n">
        <v>17</v>
      </c>
    </row>
    <row r="51" customFormat="false" ht="15" hidden="false" customHeight="false" outlineLevel="0" collapsed="false">
      <c r="A51" s="0" t="s">
        <v>117</v>
      </c>
      <c r="B51" s="3" t="n">
        <v>0</v>
      </c>
    </row>
    <row r="52" customFormat="false" ht="15" hidden="false" customHeight="false" outlineLevel="0" collapsed="false">
      <c r="A52" s="0" t="s">
        <v>118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121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Assumptions!C13</f>
        <v>2</v>
      </c>
      <c r="D5" s="4" t="n">
        <f aca="false">Assumptions!D13</f>
        <v>1</v>
      </c>
      <c r="E5" s="4" t="n">
        <f aca="false">Assumptions!E13</f>
        <v>0</v>
      </c>
      <c r="F5" s="4" t="n">
        <f aca="false">Assumptions!F13</f>
        <v>1</v>
      </c>
      <c r="G5" s="4" t="n">
        <f aca="false">Assumptions!G13</f>
        <v>1.5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7220</v>
      </c>
      <c r="C6" s="0" t="n">
        <f aca="false">B6*(1+C5/100)</f>
        <v>7364.4</v>
      </c>
      <c r="D6" s="0" t="n">
        <f aca="false">C6*(1+D5/100)</f>
        <v>7438.044</v>
      </c>
      <c r="E6" s="0" t="n">
        <f aca="false">D6*(1+E5/100)</f>
        <v>7438.044</v>
      </c>
      <c r="F6" s="0" t="n">
        <f aca="false">E6*(1+F5/100)</f>
        <v>7512.42444</v>
      </c>
      <c r="G6" s="0" t="n">
        <f aca="false">F6*(1+G5/100)</f>
        <v>7625.1108066</v>
      </c>
      <c r="H6" s="0" t="n">
        <f aca="false">G6*(1+H5/100)</f>
        <v>7777.613022732</v>
      </c>
      <c r="I6" s="0" t="n">
        <f aca="false">H6*(1+I5/100)</f>
        <v>7933.16528318664</v>
      </c>
      <c r="J6" s="0" t="n">
        <f aca="false">I6*(1+J5/100)</f>
        <v>8091.82858885037</v>
      </c>
      <c r="K6" s="0" t="n">
        <f aca="false">J6*(1+K5/100)</f>
        <v>8253.66516062738</v>
      </c>
      <c r="L6" s="0" t="n">
        <f aca="false">K6*(1+L5/100)</f>
        <v>8418.73846383993</v>
      </c>
    </row>
    <row r="7" customFormat="false" ht="15" hidden="false" customHeight="false" outlineLevel="0" collapsed="false">
      <c r="A7" s="0" t="s">
        <v>108</v>
      </c>
      <c r="C7" s="4" t="n">
        <f aca="false">Assumptions!C14</f>
        <v>69.7</v>
      </c>
      <c r="D7" s="4" t="n">
        <f aca="false">Assumptions!D14</f>
        <v>69</v>
      </c>
      <c r="E7" s="4" t="n">
        <f aca="false">Assumptions!E14</f>
        <v>68.3</v>
      </c>
      <c r="F7" s="4" t="n">
        <f aca="false">Assumptions!F14</f>
        <v>67.6</v>
      </c>
      <c r="G7" s="4" t="n">
        <f aca="false">Assumptions!G14</f>
        <v>67</v>
      </c>
      <c r="H7" s="4" t="n">
        <f aca="false">Assumptions!H14</f>
        <v>66.5</v>
      </c>
      <c r="I7" s="4" t="n">
        <f aca="false">Assumptions!I14</f>
        <v>66.2</v>
      </c>
      <c r="J7" s="4" t="n">
        <f aca="false">Assumptions!J14</f>
        <v>66.2</v>
      </c>
      <c r="K7" s="4" t="n">
        <f aca="false">Assumptions!K14</f>
        <v>66.2</v>
      </c>
      <c r="L7" s="4" t="n">
        <f aca="false">Assumptions!L14</f>
        <v>66.2</v>
      </c>
    </row>
    <row r="8" customFormat="false" ht="15" hidden="false" customHeight="false" outlineLevel="0" collapsed="false">
      <c r="A8" s="0" t="s">
        <v>43</v>
      </c>
      <c r="C8" s="0" t="n">
        <f aca="false">C6*C7/100</f>
        <v>5132.9868</v>
      </c>
      <c r="D8" s="0" t="n">
        <f aca="false">D6*D7/100</f>
        <v>5132.25036</v>
      </c>
      <c r="E8" s="0" t="n">
        <f aca="false">E6*E7/100</f>
        <v>5080.184052</v>
      </c>
      <c r="F8" s="0" t="n">
        <f aca="false">F6*F7/100</f>
        <v>5078.39892144</v>
      </c>
      <c r="G8" s="0" t="n">
        <f aca="false">G6*G7/100</f>
        <v>5108.824240422</v>
      </c>
      <c r="H8" s="0" t="n">
        <f aca="false">H6*H7/100</f>
        <v>5172.11266011678</v>
      </c>
      <c r="I8" s="0" t="n">
        <f aca="false">I6*I7/100</f>
        <v>5251.75541746956</v>
      </c>
      <c r="J8" s="0" t="n">
        <f aca="false">J6*J7/100</f>
        <v>5356.79052581895</v>
      </c>
      <c r="K8" s="0" t="n">
        <f aca="false">K6*K7/100</f>
        <v>5463.92633633533</v>
      </c>
      <c r="L8" s="0" t="n">
        <f aca="false">L6*L7/100</f>
        <v>5573.20486306203</v>
      </c>
    </row>
    <row r="9" customFormat="false" ht="15" hidden="false" customHeight="false" outlineLevel="0" collapsed="false">
      <c r="A9" s="0" t="s">
        <v>109</v>
      </c>
      <c r="C9" s="4" t="n">
        <f aca="false">Assumptions!C15</f>
        <v>1.2</v>
      </c>
      <c r="D9" s="4" t="n">
        <f aca="false">Assumptions!D15</f>
        <v>1.2</v>
      </c>
      <c r="E9" s="4" t="n">
        <f aca="false">Assumptions!E15</f>
        <v>1.2</v>
      </c>
      <c r="F9" s="4" t="n">
        <f aca="false">Assumptions!F15</f>
        <v>1.2</v>
      </c>
      <c r="G9" s="4" t="n">
        <f aca="false">Assumptions!G15</f>
        <v>1.2</v>
      </c>
      <c r="H9" s="4" t="n">
        <f aca="false">Assumptions!H15</f>
        <v>1.2</v>
      </c>
      <c r="I9" s="4" t="n">
        <f aca="false">Assumptions!I15</f>
        <v>1.2</v>
      </c>
      <c r="J9" s="4" t="n">
        <f aca="false">Assumptions!J15</f>
        <v>1.2</v>
      </c>
      <c r="K9" s="4" t="n">
        <f aca="false">Assumptions!K15</f>
        <v>1.2</v>
      </c>
      <c r="L9" s="4" t="n">
        <f aca="false">Assumptions!L15</f>
        <v>1.2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-88.3728</v>
      </c>
      <c r="D10" s="0" t="n">
        <f aca="false">-D6*D9/100</f>
        <v>-89.256528</v>
      </c>
      <c r="E10" s="0" t="n">
        <f aca="false">-E6*E9/100</f>
        <v>-89.256528</v>
      </c>
      <c r="F10" s="0" t="n">
        <f aca="false">-F6*F9/100</f>
        <v>-90.14909328</v>
      </c>
      <c r="G10" s="0" t="n">
        <f aca="false">-G6*G9/100</f>
        <v>-91.5013296792</v>
      </c>
      <c r="H10" s="0" t="n">
        <f aca="false">-H6*H9/100</f>
        <v>-93.331356272784</v>
      </c>
      <c r="I10" s="0" t="n">
        <f aca="false">-I6*I9/100</f>
        <v>-95.1979833982397</v>
      </c>
      <c r="J10" s="0" t="n">
        <f aca="false">-J6*J9/100</f>
        <v>-97.1019430662045</v>
      </c>
      <c r="K10" s="0" t="n">
        <f aca="false">-K6*K9/100</f>
        <v>-99.0439819275286</v>
      </c>
      <c r="L10" s="0" t="n">
        <f aca="false">-L6*L9/100</f>
        <v>-101.024861566079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5044.614</v>
      </c>
      <c r="D11" s="0" t="n">
        <f aca="false">D8+D10+D24</f>
        <v>5042.993832</v>
      </c>
      <c r="E11" s="0" t="n">
        <f aca="false">E8+E10+E24</f>
        <v>4990.927524</v>
      </c>
      <c r="F11" s="0" t="n">
        <f aca="false">F8+F10+F24</f>
        <v>4988.24982816</v>
      </c>
      <c r="G11" s="0" t="n">
        <f aca="false">G8+G10+G24</f>
        <v>5017.3229107428</v>
      </c>
      <c r="H11" s="0" t="n">
        <f aca="false">H8+H10+H24</f>
        <v>5078.781303844</v>
      </c>
      <c r="I11" s="0" t="n">
        <f aca="false">I8+I10+I24</f>
        <v>5156.55743407132</v>
      </c>
      <c r="J11" s="0" t="n">
        <f aca="false">J8+J10+J24</f>
        <v>5259.68858275274</v>
      </c>
      <c r="K11" s="0" t="n">
        <f aca="false">K8+K10+K24</f>
        <v>5364.8823544078</v>
      </c>
      <c r="L11" s="0" t="n">
        <f aca="false">L8+L10+L24</f>
        <v>5472.18000149595</v>
      </c>
    </row>
    <row r="12" customFormat="false" ht="15" hidden="false" customHeight="false" outlineLevel="0" collapsed="false">
      <c r="A12" s="0" t="s">
        <v>126</v>
      </c>
      <c r="C12" s="4" t="n">
        <f aca="false">-C6*Assumptions!C17/100</f>
        <v>-1877.922</v>
      </c>
      <c r="D12" s="4" t="n">
        <f aca="false">-D6*Assumptions!D17/100</f>
        <v>-1896.70122</v>
      </c>
      <c r="E12" s="4" t="n">
        <f aca="false">-E6*Assumptions!E17/100</f>
        <v>-1896.70122</v>
      </c>
      <c r="F12" s="4" t="n">
        <f aca="false">-F6*Assumptions!F17/100</f>
        <v>-1915.6682322</v>
      </c>
      <c r="G12" s="4" t="n">
        <f aca="false">-G6*Assumptions!G17/100</f>
        <v>-1944.403255683</v>
      </c>
      <c r="H12" s="4" t="n">
        <f aca="false">-H6*Assumptions!H17/100</f>
        <v>-1983.29132079666</v>
      </c>
      <c r="I12" s="4" t="n">
        <f aca="false">-I6*Assumptions!I17/100</f>
        <v>-2022.95714721259</v>
      </c>
      <c r="J12" s="4" t="n">
        <f aca="false">-J6*Assumptions!J17/100</f>
        <v>-2063.41629015685</v>
      </c>
      <c r="K12" s="4" t="n">
        <f aca="false">-K6*Assumptions!K17/100</f>
        <v>-2104.68461595998</v>
      </c>
      <c r="L12" s="4" t="n">
        <f aca="false">-L6*Assumptions!L17/100</f>
        <v>-2146.77830827918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3166.692</v>
      </c>
      <c r="D13" s="0" t="n">
        <f aca="false">D11+D12</f>
        <v>3146.292612</v>
      </c>
      <c r="E13" s="0" t="n">
        <f aca="false">E11+E12</f>
        <v>3094.226304</v>
      </c>
      <c r="F13" s="0" t="n">
        <f aca="false">F11+F12</f>
        <v>3072.58159596</v>
      </c>
      <c r="G13" s="0" t="n">
        <f aca="false">G11+G12</f>
        <v>3072.9196550598</v>
      </c>
      <c r="H13" s="0" t="n">
        <f aca="false">H11+H12</f>
        <v>3095.48998304734</v>
      </c>
      <c r="I13" s="0" t="n">
        <f aca="false">I11+I12</f>
        <v>3133.60028685872</v>
      </c>
      <c r="J13" s="0" t="n">
        <f aca="false">J11+J12</f>
        <v>3196.2722925959</v>
      </c>
      <c r="K13" s="0" t="n">
        <f aca="false">K11+K12</f>
        <v>3260.19773844782</v>
      </c>
      <c r="L13" s="0" t="n">
        <f aca="false">L11+L12</f>
        <v>3325.40169321677</v>
      </c>
    </row>
    <row r="14" customFormat="false" ht="15" hidden="false" customHeight="false" outlineLevel="0" collapsed="false">
      <c r="A14" s="0" t="s">
        <v>113</v>
      </c>
      <c r="C14" s="4" t="n">
        <f aca="false">Assumptions!C19</f>
        <v>0</v>
      </c>
      <c r="D14" s="4" t="n">
        <f aca="false">Assumptions!D19</f>
        <v>0</v>
      </c>
      <c r="E14" s="4" t="n">
        <f aca="false">Assumptions!E19</f>
        <v>0</v>
      </c>
      <c r="F14" s="4" t="n">
        <f aca="false">Assumptions!F19</f>
        <v>0</v>
      </c>
      <c r="G14" s="4" t="n">
        <f aca="false">Assumptions!G19</f>
        <v>0</v>
      </c>
      <c r="H14" s="4" t="n">
        <f aca="false">Assumptions!H19</f>
        <v>0</v>
      </c>
      <c r="I14" s="4" t="n">
        <f aca="false">Assumptions!I19</f>
        <v>0</v>
      </c>
      <c r="J14" s="4" t="n">
        <f aca="false">Assumptions!J19</f>
        <v>0</v>
      </c>
      <c r="K14" s="4" t="n">
        <f aca="false">Assumptions!K19</f>
        <v>0</v>
      </c>
      <c r="L14" s="4" t="n">
        <f aca="false">Assumptions!L19</f>
        <v>0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3166.692</v>
      </c>
      <c r="D15" s="0" t="n">
        <f aca="false">D13-MAX(0,D13)*D14/100</f>
        <v>3146.292612</v>
      </c>
      <c r="E15" s="0" t="n">
        <f aca="false">E13-MAX(0,E13)*E14/100</f>
        <v>3094.226304</v>
      </c>
      <c r="F15" s="0" t="n">
        <f aca="false">F13-MAX(0,F13)*F14/100</f>
        <v>3072.58159596</v>
      </c>
      <c r="G15" s="0" t="n">
        <f aca="false">G13-MAX(0,G13)*G14/100</f>
        <v>3072.9196550598</v>
      </c>
      <c r="H15" s="0" t="n">
        <f aca="false">H13-MAX(0,H13)*H14/100</f>
        <v>3095.48998304734</v>
      </c>
      <c r="I15" s="0" t="n">
        <f aca="false">I13-MAX(0,I13)*I14/100</f>
        <v>3133.60028685872</v>
      </c>
      <c r="J15" s="0" t="n">
        <f aca="false">J13-MAX(0,J13)*J14/100</f>
        <v>3196.2722925959</v>
      </c>
      <c r="K15" s="0" t="n">
        <f aca="false">K13-MAX(0,K13)*K14/100</f>
        <v>3260.19773844782</v>
      </c>
      <c r="L15" s="0" t="n">
        <f aca="false">L13-MAX(0,L13)*L14/100</f>
        <v>3325.40169321677</v>
      </c>
    </row>
    <row r="16" customFormat="false" ht="15" hidden="false" customHeight="false" outlineLevel="0" collapsed="false">
      <c r="A16" s="0" t="s">
        <v>129</v>
      </c>
      <c r="C16" s="0" t="n">
        <f aca="false">-C12</f>
        <v>1877.922</v>
      </c>
      <c r="D16" s="0" t="n">
        <f aca="false">-D12</f>
        <v>1896.70122</v>
      </c>
      <c r="E16" s="0" t="n">
        <f aca="false">-E12</f>
        <v>1896.70122</v>
      </c>
      <c r="F16" s="0" t="n">
        <f aca="false">-F12</f>
        <v>1915.6682322</v>
      </c>
      <c r="G16" s="0" t="n">
        <f aca="false">-G12</f>
        <v>1944.403255683</v>
      </c>
      <c r="H16" s="0" t="n">
        <f aca="false">-H12</f>
        <v>1983.29132079666</v>
      </c>
      <c r="I16" s="0" t="n">
        <f aca="false">-I12</f>
        <v>2022.95714721259</v>
      </c>
      <c r="J16" s="0" t="n">
        <f aca="false">-J12</f>
        <v>2063.41629015685</v>
      </c>
      <c r="K16" s="0" t="n">
        <f aca="false">-K12</f>
        <v>2104.68461595998</v>
      </c>
      <c r="L16" s="0" t="n">
        <f aca="false">-L12</f>
        <v>2146.77830827918</v>
      </c>
    </row>
    <row r="17" customFormat="false" ht="15" hidden="false" customHeight="false" outlineLevel="0" collapsed="false">
      <c r="A17" s="0" t="s">
        <v>130</v>
      </c>
      <c r="C17" s="4" t="n">
        <f aca="false">-C6*Assumptions!C18/100</f>
        <v>-1104.66</v>
      </c>
      <c r="D17" s="4" t="n">
        <f aca="false">-D6*Assumptions!D18/100</f>
        <v>-1078.51638</v>
      </c>
      <c r="E17" s="4" t="n">
        <f aca="false">-E6*Assumptions!E18/100</f>
        <v>-966.94572</v>
      </c>
      <c r="F17" s="4" t="n">
        <f aca="false">-F6*Assumptions!F18/100</f>
        <v>-901.4909328</v>
      </c>
      <c r="G17" s="4" t="n">
        <f aca="false">-G6*Assumptions!G18/100</f>
        <v>-838.762188726</v>
      </c>
      <c r="H17" s="4" t="n">
        <f aca="false">-H6*Assumptions!H18/100</f>
        <v>-816.64936738686</v>
      </c>
      <c r="I17" s="4" t="n">
        <f aca="false">-I6*Assumptions!I18/100</f>
        <v>-832.982354734597</v>
      </c>
      <c r="J17" s="4" t="n">
        <f aca="false">-J6*Assumptions!J18/100</f>
        <v>-849.642001829289</v>
      </c>
      <c r="K17" s="4" t="n">
        <f aca="false">-K6*Assumptions!K18/100</f>
        <v>-866.634841865875</v>
      </c>
      <c r="L17" s="4" t="n">
        <f aca="false">-L6*Assumptions!L18/100</f>
        <v>-883.967538703193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3939.954</v>
      </c>
      <c r="D19" s="0" t="n">
        <f aca="false">D15+D16+D17+D18</f>
        <v>3964.477452</v>
      </c>
      <c r="E19" s="0" t="n">
        <f aca="false">E15+E16+E17+E18</f>
        <v>4023.981804</v>
      </c>
      <c r="F19" s="0" t="n">
        <f aca="false">F15+F16+F17+F18</f>
        <v>4086.75889536</v>
      </c>
      <c r="G19" s="0" t="n">
        <f aca="false">G15+G16+G17+G18</f>
        <v>4178.5607220168</v>
      </c>
      <c r="H19" s="0" t="n">
        <f aca="false">H15+H16+H17+H18</f>
        <v>4262.13193645714</v>
      </c>
      <c r="I19" s="0" t="n">
        <f aca="false">I15+I16+I17+I18</f>
        <v>4323.57507933672</v>
      </c>
      <c r="J19" s="0" t="n">
        <f aca="false">J15+J16+J17+J18</f>
        <v>4410.04658092345</v>
      </c>
      <c r="K19" s="0" t="n">
        <f aca="false">K15+K16+K17+K18</f>
        <v>4498.24751254192</v>
      </c>
      <c r="L19" s="0" t="n">
        <f aca="false">L15+L16+L17+L18</f>
        <v>4588.21246279276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0.90293453724605</v>
      </c>
      <c r="D20" s="0" t="n">
        <f aca="false">1/(1+$B$27/100)^D4</f>
        <v>0.815290778551738</v>
      </c>
      <c r="E20" s="0" t="n">
        <f aca="false">1/(1+$B$27/100)^E4</f>
        <v>0.736154201852585</v>
      </c>
      <c r="F20" s="0" t="n">
        <f aca="false">1/(1+$B$27/100)^F4</f>
        <v>0.664699053591499</v>
      </c>
      <c r="G20" s="0" t="n">
        <f aca="false">1/(1+$B$27/100)^G4</f>
        <v>0.600179732362527</v>
      </c>
      <c r="H20" s="0" t="n">
        <f aca="false">1/(1+$B$27/100)^H4</f>
        <v>0.541923008905217</v>
      </c>
      <c r="I20" s="0" t="n">
        <f aca="false">1/(1+$B$27/100)^I4</f>
        <v>0.489321001268819</v>
      </c>
      <c r="J20" s="0" t="n">
        <f aca="false">1/(1+$B$27/100)^J4</f>
        <v>0.441824831845435</v>
      </c>
      <c r="K20" s="0" t="n">
        <f aca="false">1/(1+$B$27/100)^K4</f>
        <v>0.398938900086171</v>
      </c>
      <c r="L20" s="0" t="n">
        <f aca="false">1/(1+$B$27/100)^L4</f>
        <v>0.360215711138755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3557.52054176072</v>
      </c>
      <c r="D21" s="0" t="n">
        <f aca="false">D19*D20</f>
        <v>3232.20190839189</v>
      </c>
      <c r="E21" s="0" t="n">
        <f aca="false">E19*E20</f>
        <v>2962.27111319295</v>
      </c>
      <c r="F21" s="0" t="n">
        <f aca="false">F19*F20</f>
        <v>2716.46477000243</v>
      </c>
      <c r="G21" s="0" t="n">
        <f aca="false">G19*G20</f>
        <v>2507.88745580061</v>
      </c>
      <c r="H21" s="0" t="n">
        <f aca="false">H19*H20</f>
        <v>2309.74736335587</v>
      </c>
      <c r="I21" s="0" t="n">
        <f aca="false">I19*I20</f>
        <v>2115.61608688196</v>
      </c>
      <c r="J21" s="0" t="n">
        <f aca="false">J19*J20</f>
        <v>1948.46808904704</v>
      </c>
      <c r="K21" s="0" t="n">
        <f aca="false">K19*K20</f>
        <v>1794.52591496883</v>
      </c>
      <c r="L21" s="0" t="n">
        <f aca="false">L19*L20</f>
        <v>1652.74621514059</v>
      </c>
    </row>
    <row r="23" customFormat="false" ht="15" hidden="false" customHeight="false" outlineLevel="0" collapsed="false">
      <c r="A23" s="0" t="s">
        <v>110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Assumptions!$B$20</f>
        <v>10.75</v>
      </c>
    </row>
    <row r="28" customFormat="false" ht="15" hidden="false" customHeight="false" outlineLevel="0" collapsed="false">
      <c r="A28" s="0" t="s">
        <v>115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116</v>
      </c>
      <c r="B29" s="4" t="n">
        <f aca="false">Assumptions!$B$22</f>
        <v>11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24797.4494585429</v>
      </c>
    </row>
    <row r="31" customFormat="false" ht="15" hidden="false" customHeight="false" outlineLevel="0" collapsed="false">
      <c r="A31" s="0" t="s">
        <v>138</v>
      </c>
      <c r="B31" s="0" t="n">
        <f aca="false">L19</f>
        <v>4588.21246279276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50346.3313484827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50470.3370907204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50346.3313484827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18135.5395499211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42932.989008464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42932.989008464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113.164399868377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-0.436460336296117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549.076777350965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399.314632291841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115.664205896124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34496.5603684048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77.3176073084496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Assumptions!C27</f>
        <v>4.5</v>
      </c>
      <c r="D5" s="4" t="n">
        <f aca="false">Assumptions!D27</f>
        <v>4.5</v>
      </c>
      <c r="E5" s="4" t="n">
        <f aca="false">Assumptions!E27</f>
        <v>4</v>
      </c>
      <c r="F5" s="4" t="n">
        <f aca="false">Assumptions!F27</f>
        <v>4</v>
      </c>
      <c r="G5" s="4" t="n">
        <f aca="false">Assumptions!G27</f>
        <v>3.5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2.75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7220</v>
      </c>
      <c r="C6" s="0" t="n">
        <f aca="false">B6*(1+C5/100)</f>
        <v>7544.9</v>
      </c>
      <c r="D6" s="0" t="n">
        <f aca="false">C6*(1+D5/100)</f>
        <v>7884.4205</v>
      </c>
      <c r="E6" s="0" t="n">
        <f aca="false">D6*(1+E5/100)</f>
        <v>8199.79732</v>
      </c>
      <c r="F6" s="0" t="n">
        <f aca="false">E6*(1+F5/100)</f>
        <v>8527.7892128</v>
      </c>
      <c r="G6" s="0" t="n">
        <f aca="false">F6*(1+G5/100)</f>
        <v>8826.261835248</v>
      </c>
      <c r="H6" s="0" t="n">
        <f aca="false">G6*(1+H5/100)</f>
        <v>9135.18099948168</v>
      </c>
      <c r="I6" s="0" t="n">
        <f aca="false">H6*(1+I5/100)</f>
        <v>9409.23642946613</v>
      </c>
      <c r="J6" s="0" t="n">
        <f aca="false">I6*(1+J5/100)</f>
        <v>9691.51352235011</v>
      </c>
      <c r="K6" s="0" t="n">
        <f aca="false">J6*(1+K5/100)</f>
        <v>9958.03014421474</v>
      </c>
      <c r="L6" s="0" t="n">
        <f aca="false">K6*(1+L5/100)</f>
        <v>10206.9808978201</v>
      </c>
    </row>
    <row r="7" customFormat="false" ht="15" hidden="false" customHeight="false" outlineLevel="0" collapsed="false">
      <c r="A7" s="0" t="s">
        <v>108</v>
      </c>
      <c r="C7" s="4" t="n">
        <f aca="false">Assumptions!C28</f>
        <v>70.2</v>
      </c>
      <c r="D7" s="4" t="n">
        <f aca="false">Assumptions!D28</f>
        <v>69.9</v>
      </c>
      <c r="E7" s="4" t="n">
        <f aca="false">Assumptions!E28</f>
        <v>69.6</v>
      </c>
      <c r="F7" s="4" t="n">
        <f aca="false">Assumptions!F28</f>
        <v>69.3</v>
      </c>
      <c r="G7" s="4" t="n">
        <f aca="false">Assumptions!G28</f>
        <v>69</v>
      </c>
      <c r="H7" s="4" t="n">
        <f aca="false">Assumptions!H28</f>
        <v>68.8</v>
      </c>
      <c r="I7" s="4" t="n">
        <f aca="false">Assumptions!I28</f>
        <v>68.7</v>
      </c>
      <c r="J7" s="4" t="n">
        <f aca="false">Assumptions!J28</f>
        <v>68.7</v>
      </c>
      <c r="K7" s="4" t="n">
        <f aca="false">Assumptions!K28</f>
        <v>68.7</v>
      </c>
      <c r="L7" s="4" t="n">
        <f aca="false">Assumptions!L28</f>
        <v>68.7</v>
      </c>
    </row>
    <row r="8" customFormat="false" ht="15" hidden="false" customHeight="false" outlineLevel="0" collapsed="false">
      <c r="A8" s="0" t="s">
        <v>43</v>
      </c>
      <c r="C8" s="0" t="n">
        <f aca="false">C6*C7/100</f>
        <v>5296.5198</v>
      </c>
      <c r="D8" s="0" t="n">
        <f aca="false">D6*D7/100</f>
        <v>5511.2099295</v>
      </c>
      <c r="E8" s="0" t="n">
        <f aca="false">E6*E7/100</f>
        <v>5707.05893472</v>
      </c>
      <c r="F8" s="0" t="n">
        <f aca="false">F6*F7/100</f>
        <v>5909.7579244704</v>
      </c>
      <c r="G8" s="0" t="n">
        <f aca="false">G6*G7/100</f>
        <v>6090.12066632112</v>
      </c>
      <c r="H8" s="0" t="n">
        <f aca="false">H6*H7/100</f>
        <v>6285.0045276434</v>
      </c>
      <c r="I8" s="0" t="n">
        <f aca="false">I6*I7/100</f>
        <v>6464.14542704323</v>
      </c>
      <c r="J8" s="0" t="n">
        <f aca="false">J6*J7/100</f>
        <v>6658.06978985453</v>
      </c>
      <c r="K8" s="0" t="n">
        <f aca="false">K6*K7/100</f>
        <v>6841.16670907553</v>
      </c>
      <c r="L8" s="0" t="n">
        <f aca="false">L6*L7/100</f>
        <v>7012.19587680242</v>
      </c>
    </row>
    <row r="9" customFormat="false" ht="15" hidden="false" customHeight="false" outlineLevel="0" collapsed="false">
      <c r="A9" s="0" t="s">
        <v>109</v>
      </c>
      <c r="C9" s="4" t="n">
        <f aca="false">Assumptions!C29</f>
        <v>1.16</v>
      </c>
      <c r="D9" s="4" t="n">
        <f aca="false">Assumptions!D29</f>
        <v>1.15</v>
      </c>
      <c r="E9" s="4" t="n">
        <f aca="false">Assumptions!E29</f>
        <v>1.15</v>
      </c>
      <c r="F9" s="4" t="n">
        <f aca="false">Assumptions!F29</f>
        <v>1.15</v>
      </c>
      <c r="G9" s="4" t="n">
        <f aca="false">Assumptions!G29</f>
        <v>1.15</v>
      </c>
      <c r="H9" s="4" t="n">
        <f aca="false">Assumptions!H29</f>
        <v>1.15</v>
      </c>
      <c r="I9" s="4" t="n">
        <f aca="false">Assumptions!I29</f>
        <v>1.15</v>
      </c>
      <c r="J9" s="4" t="n">
        <f aca="false">Assumptions!J29</f>
        <v>1.15</v>
      </c>
      <c r="K9" s="4" t="n">
        <f aca="false">Assumptions!K29</f>
        <v>1.15</v>
      </c>
      <c r="L9" s="4" t="n">
        <f aca="false">Assumptions!L29</f>
        <v>1.15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-87.52084</v>
      </c>
      <c r="D10" s="0" t="n">
        <f aca="false">-D6*D9/100</f>
        <v>-90.67083575</v>
      </c>
      <c r="E10" s="0" t="n">
        <f aca="false">-E6*E9/100</f>
        <v>-94.29766918</v>
      </c>
      <c r="F10" s="0" t="n">
        <f aca="false">-F6*F9/100</f>
        <v>-98.0695759472</v>
      </c>
      <c r="G10" s="0" t="n">
        <f aca="false">-G6*G9/100</f>
        <v>-101.502011105352</v>
      </c>
      <c r="H10" s="0" t="n">
        <f aca="false">-H6*H9/100</f>
        <v>-105.054581494039</v>
      </c>
      <c r="I10" s="0" t="n">
        <f aca="false">-I6*I9/100</f>
        <v>-108.20621893886</v>
      </c>
      <c r="J10" s="0" t="n">
        <f aca="false">-J6*J9/100</f>
        <v>-111.452405507026</v>
      </c>
      <c r="K10" s="0" t="n">
        <f aca="false">-K6*K9/100</f>
        <v>-114.51734665847</v>
      </c>
      <c r="L10" s="0" t="n">
        <f aca="false">-L6*L9/100</f>
        <v>-117.380280324931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5208.99896</v>
      </c>
      <c r="D11" s="0" t="n">
        <f aca="false">D8+D10+D24</f>
        <v>5420.53909375</v>
      </c>
      <c r="E11" s="0" t="n">
        <f aca="false">E8+E10+E24</f>
        <v>5612.76126554</v>
      </c>
      <c r="F11" s="0" t="n">
        <f aca="false">F8+F10+F24</f>
        <v>5811.6883485232</v>
      </c>
      <c r="G11" s="0" t="n">
        <f aca="false">G8+G10+G24</f>
        <v>5988.61865521577</v>
      </c>
      <c r="H11" s="0" t="n">
        <f aca="false">H8+H10+H24</f>
        <v>6179.94994614936</v>
      </c>
      <c r="I11" s="0" t="n">
        <f aca="false">I8+I10+I24</f>
        <v>6355.93920810437</v>
      </c>
      <c r="J11" s="0" t="n">
        <f aca="false">J8+J10+J24</f>
        <v>6546.6173843475</v>
      </c>
      <c r="K11" s="0" t="n">
        <f aca="false">K8+K10+K24</f>
        <v>6726.64936241706</v>
      </c>
      <c r="L11" s="0" t="n">
        <f aca="false">L8+L10+L24</f>
        <v>6894.81559647749</v>
      </c>
    </row>
    <row r="12" customFormat="false" ht="15" hidden="false" customHeight="false" outlineLevel="0" collapsed="false">
      <c r="A12" s="0" t="s">
        <v>126</v>
      </c>
      <c r="C12" s="4" t="n">
        <f aca="false">-C6*Assumptions!C31/100</f>
        <v>-1923.9495</v>
      </c>
      <c r="D12" s="4" t="n">
        <f aca="false">-D6*Assumptions!D31/100</f>
        <v>-2010.5272275</v>
      </c>
      <c r="E12" s="4" t="n">
        <f aca="false">-E6*Assumptions!E31/100</f>
        <v>-2090.9483166</v>
      </c>
      <c r="F12" s="4" t="n">
        <f aca="false">-F6*Assumptions!F31/100</f>
        <v>-2174.586249264</v>
      </c>
      <c r="G12" s="4" t="n">
        <f aca="false">-G6*Assumptions!G31/100</f>
        <v>-2250.69676798824</v>
      </c>
      <c r="H12" s="4" t="n">
        <f aca="false">-H6*Assumptions!H31/100</f>
        <v>-2329.47115486783</v>
      </c>
      <c r="I12" s="4" t="n">
        <f aca="false">-I6*Assumptions!I31/100</f>
        <v>-2399.35528951386</v>
      </c>
      <c r="J12" s="4" t="n">
        <f aca="false">-J6*Assumptions!J31/100</f>
        <v>-2471.33594819928</v>
      </c>
      <c r="K12" s="4" t="n">
        <f aca="false">-K6*Assumptions!K31/100</f>
        <v>-2539.29768677476</v>
      </c>
      <c r="L12" s="4" t="n">
        <f aca="false">-L6*Assumptions!L31/100</f>
        <v>-2602.78012894413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3285.04946</v>
      </c>
      <c r="D13" s="0" t="n">
        <f aca="false">D11+D12</f>
        <v>3410.01186625</v>
      </c>
      <c r="E13" s="0" t="n">
        <f aca="false">E11+E12</f>
        <v>3521.81294894</v>
      </c>
      <c r="F13" s="0" t="n">
        <f aca="false">F11+F12</f>
        <v>3637.1020992592</v>
      </c>
      <c r="G13" s="0" t="n">
        <f aca="false">G11+G12</f>
        <v>3737.92188722753</v>
      </c>
      <c r="H13" s="0" t="n">
        <f aca="false">H11+H12</f>
        <v>3850.47879128153</v>
      </c>
      <c r="I13" s="0" t="n">
        <f aca="false">I11+I12</f>
        <v>3956.58391859051</v>
      </c>
      <c r="J13" s="0" t="n">
        <f aca="false">J11+J12</f>
        <v>4075.28143614822</v>
      </c>
      <c r="K13" s="0" t="n">
        <f aca="false">K11+K12</f>
        <v>4187.3516756423</v>
      </c>
      <c r="L13" s="0" t="n">
        <f aca="false">L11+L12</f>
        <v>4292.03546753336</v>
      </c>
    </row>
    <row r="14" customFormat="false" ht="15" hidden="false" customHeight="false" outlineLevel="0" collapsed="false">
      <c r="A14" s="0" t="s">
        <v>113</v>
      </c>
      <c r="C14" s="4" t="n">
        <f aca="false">Assumptions!C33</f>
        <v>0</v>
      </c>
      <c r="D14" s="4" t="n">
        <f aca="false">Assumptions!D33</f>
        <v>0</v>
      </c>
      <c r="E14" s="4" t="n">
        <f aca="false">Assumptions!E33</f>
        <v>0</v>
      </c>
      <c r="F14" s="4" t="n">
        <f aca="false">Assumptions!F33</f>
        <v>0</v>
      </c>
      <c r="G14" s="4" t="n">
        <f aca="false">Assumptions!G33</f>
        <v>0</v>
      </c>
      <c r="H14" s="4" t="n">
        <f aca="false">Assumptions!H33</f>
        <v>0</v>
      </c>
      <c r="I14" s="4" t="n">
        <f aca="false">Assumptions!I33</f>
        <v>0</v>
      </c>
      <c r="J14" s="4" t="n">
        <f aca="false">Assumptions!J33</f>
        <v>0</v>
      </c>
      <c r="K14" s="4" t="n">
        <f aca="false">Assumptions!K33</f>
        <v>0</v>
      </c>
      <c r="L14" s="4" t="n">
        <f aca="false">Assumptions!L33</f>
        <v>0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3285.04946</v>
      </c>
      <c r="D15" s="0" t="n">
        <f aca="false">D13-MAX(0,D13)*D14/100</f>
        <v>3410.01186625</v>
      </c>
      <c r="E15" s="0" t="n">
        <f aca="false">E13-MAX(0,E13)*E14/100</f>
        <v>3521.81294894</v>
      </c>
      <c r="F15" s="0" t="n">
        <f aca="false">F13-MAX(0,F13)*F14/100</f>
        <v>3637.1020992592</v>
      </c>
      <c r="G15" s="0" t="n">
        <f aca="false">G13-MAX(0,G13)*G14/100</f>
        <v>3737.92188722753</v>
      </c>
      <c r="H15" s="0" t="n">
        <f aca="false">H13-MAX(0,H13)*H14/100</f>
        <v>3850.47879128153</v>
      </c>
      <c r="I15" s="0" t="n">
        <f aca="false">I13-MAX(0,I13)*I14/100</f>
        <v>3956.58391859051</v>
      </c>
      <c r="J15" s="0" t="n">
        <f aca="false">J13-MAX(0,J13)*J14/100</f>
        <v>4075.28143614822</v>
      </c>
      <c r="K15" s="0" t="n">
        <f aca="false">K13-MAX(0,K13)*K14/100</f>
        <v>4187.3516756423</v>
      </c>
      <c r="L15" s="0" t="n">
        <f aca="false">L13-MAX(0,L13)*L14/100</f>
        <v>4292.03546753336</v>
      </c>
    </row>
    <row r="16" customFormat="false" ht="15" hidden="false" customHeight="false" outlineLevel="0" collapsed="false">
      <c r="A16" s="0" t="s">
        <v>129</v>
      </c>
      <c r="C16" s="0" t="n">
        <f aca="false">-C12</f>
        <v>1923.9495</v>
      </c>
      <c r="D16" s="0" t="n">
        <f aca="false">-D12</f>
        <v>2010.5272275</v>
      </c>
      <c r="E16" s="0" t="n">
        <f aca="false">-E12</f>
        <v>2090.9483166</v>
      </c>
      <c r="F16" s="0" t="n">
        <f aca="false">-F12</f>
        <v>2174.586249264</v>
      </c>
      <c r="G16" s="0" t="n">
        <f aca="false">-G12</f>
        <v>2250.69676798824</v>
      </c>
      <c r="H16" s="0" t="n">
        <f aca="false">-H12</f>
        <v>2329.47115486783</v>
      </c>
      <c r="I16" s="0" t="n">
        <f aca="false">-I12</f>
        <v>2399.35528951386</v>
      </c>
      <c r="J16" s="0" t="n">
        <f aca="false">-J12</f>
        <v>2471.33594819928</v>
      </c>
      <c r="K16" s="0" t="n">
        <f aca="false">-K12</f>
        <v>2539.29768677476</v>
      </c>
      <c r="L16" s="0" t="n">
        <f aca="false">-L12</f>
        <v>2602.78012894413</v>
      </c>
    </row>
    <row r="17" customFormat="false" ht="15" hidden="false" customHeight="false" outlineLevel="0" collapsed="false">
      <c r="A17" s="0" t="s">
        <v>130</v>
      </c>
      <c r="C17" s="4" t="n">
        <f aca="false">-C6*Assumptions!C32/100</f>
        <v>-1131.735</v>
      </c>
      <c r="D17" s="4" t="n">
        <f aca="false">-D6*Assumptions!D32/100</f>
        <v>-1103.81887</v>
      </c>
      <c r="E17" s="4" t="n">
        <f aca="false">-E6*Assumptions!E32/100</f>
        <v>-1024.974665</v>
      </c>
      <c r="F17" s="4" t="n">
        <f aca="false">-F6*Assumptions!F32/100</f>
        <v>-938.056813408</v>
      </c>
      <c r="G17" s="4" t="n">
        <f aca="false">-G6*Assumptions!G32/100</f>
        <v>-926.75749270104</v>
      </c>
      <c r="H17" s="4" t="n">
        <f aca="false">-H6*Assumptions!H32/100</f>
        <v>-913.518099948168</v>
      </c>
      <c r="I17" s="4" t="n">
        <f aca="false">-I6*Assumptions!I32/100</f>
        <v>-940.923642946613</v>
      </c>
      <c r="J17" s="4" t="n">
        <f aca="false">-J6*Assumptions!J32/100</f>
        <v>-969.151352235011</v>
      </c>
      <c r="K17" s="4" t="n">
        <f aca="false">-K6*Assumptions!K32/100</f>
        <v>-995.803014421474</v>
      </c>
      <c r="L17" s="4" t="n">
        <f aca="false">-L6*Assumptions!L32/100</f>
        <v>-1020.69808978201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4077.26396</v>
      </c>
      <c r="D19" s="0" t="n">
        <f aca="false">D15+D16+D17+D18</f>
        <v>4316.72022375</v>
      </c>
      <c r="E19" s="0" t="n">
        <f aca="false">E15+E16+E17+E18</f>
        <v>4587.78660054</v>
      </c>
      <c r="F19" s="0" t="n">
        <f aca="false">F15+F16+F17+F18</f>
        <v>4873.6315351152</v>
      </c>
      <c r="G19" s="0" t="n">
        <f aca="false">G15+G16+G17+G18</f>
        <v>5061.86116251473</v>
      </c>
      <c r="H19" s="0" t="n">
        <f aca="false">H15+H16+H17+H18</f>
        <v>5266.43184620119</v>
      </c>
      <c r="I19" s="0" t="n">
        <f aca="false">I15+I16+I17+I18</f>
        <v>5415.01556515776</v>
      </c>
      <c r="J19" s="0" t="n">
        <f aca="false">J15+J16+J17+J18</f>
        <v>5577.46603211249</v>
      </c>
      <c r="K19" s="0" t="n">
        <f aca="false">K15+K16+K17+K18</f>
        <v>5730.84634799558</v>
      </c>
      <c r="L19" s="0" t="n">
        <f aca="false">L15+L16+L17+L18</f>
        <v>5874.11750669547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0.911161731207289</v>
      </c>
      <c r="D20" s="0" t="n">
        <f aca="false">1/(1+$B$27/100)^D4</f>
        <v>0.830215700416665</v>
      </c>
      <c r="E20" s="0" t="n">
        <f aca="false">1/(1+$B$27/100)^E4</f>
        <v>0.756460774867121</v>
      </c>
      <c r="F20" s="0" t="n">
        <f aca="false">1/(1+$B$27/100)^F4</f>
        <v>0.689258109218333</v>
      </c>
      <c r="G20" s="0" t="n">
        <f aca="false">1/(1+$B$27/100)^G4</f>
        <v>0.628025612044039</v>
      </c>
      <c r="H20" s="0" t="n">
        <f aca="false">1/(1+$B$27/100)^H4</f>
        <v>0.572232903912564</v>
      </c>
      <c r="I20" s="0" t="n">
        <f aca="false">1/(1+$B$27/100)^I4</f>
        <v>0.521396723382747</v>
      </c>
      <c r="J20" s="0" t="n">
        <f aca="false">1/(1+$B$27/100)^J4</f>
        <v>0.475076741123232</v>
      </c>
      <c r="K20" s="0" t="n">
        <f aca="false">1/(1+$B$27/100)^K4</f>
        <v>0.432871745898161</v>
      </c>
      <c r="L20" s="0" t="n">
        <f aca="false">1/(1+$B$27/100)^L4</f>
        <v>0.39441616938329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3715.04688838269</v>
      </c>
      <c r="D21" s="0" t="n">
        <f aca="false">D19*D20</f>
        <v>3583.80890406339</v>
      </c>
      <c r="E21" s="0" t="n">
        <f aca="false">E19*E20</f>
        <v>3470.48060676948</v>
      </c>
      <c r="F21" s="0" t="n">
        <f aca="false">F19*F20</f>
        <v>3359.19005692034</v>
      </c>
      <c r="G21" s="0" t="n">
        <f aca="false">G19*G20</f>
        <v>3178.97845467026</v>
      </c>
      <c r="H21" s="0" t="n">
        <f aca="false">H19*H20</f>
        <v>3013.62558860931</v>
      </c>
      <c r="I21" s="0" t="n">
        <f aca="false">I19*I20</f>
        <v>2823.37137273983</v>
      </c>
      <c r="J21" s="0" t="n">
        <f aca="false">J19*J20</f>
        <v>2649.72438626152</v>
      </c>
      <c r="K21" s="0" t="n">
        <f aca="false">K19*K20</f>
        <v>2480.72146413095</v>
      </c>
      <c r="L21" s="0" t="n">
        <f aca="false">L19*L20</f>
        <v>2316.84692549815</v>
      </c>
    </row>
    <row r="23" customFormat="false" ht="15" hidden="false" customHeight="false" outlineLevel="0" collapsed="false">
      <c r="A23" s="0" t="s">
        <v>110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Assumptions!$B$34</f>
        <v>9.75</v>
      </c>
    </row>
    <row r="28" customFormat="false" ht="15" hidden="false" customHeight="false" outlineLevel="0" collapsed="false">
      <c r="A28" s="0" t="s">
        <v>115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116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30591.7946480459</v>
      </c>
    </row>
    <row r="31" customFormat="false" ht="15" hidden="false" customHeight="false" outlineLevel="0" collapsed="false">
      <c r="A31" s="0" t="s">
        <v>138</v>
      </c>
      <c r="B31" s="0" t="n">
        <f aca="false">L19</f>
        <v>5874.11750669547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83047.8681981084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93985.8801071276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83047.8681981084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32755.4220501463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63347.2166981922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63347.2166981922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166.972995045131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-0.168502589287728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623.04609868529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654.539276414739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170.340503005626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48167.7635549029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95.5554737766068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Assumptions!C41</f>
        <v>6</v>
      </c>
      <c r="D5" s="4" t="n">
        <f aca="false">Assumptions!D41</f>
        <v>5.5</v>
      </c>
      <c r="E5" s="4" t="n">
        <f aca="false">Assumptions!E41</f>
        <v>5</v>
      </c>
      <c r="F5" s="4" t="n">
        <f aca="false">Assumptions!F41</f>
        <v>4.5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3.25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7220</v>
      </c>
      <c r="C6" s="0" t="n">
        <f aca="false">B6*(1+C5/100)</f>
        <v>7653.2</v>
      </c>
      <c r="D6" s="0" t="n">
        <f aca="false">C6*(1+D5/100)</f>
        <v>8074.126</v>
      </c>
      <c r="E6" s="0" t="n">
        <f aca="false">D6*(1+E5/100)</f>
        <v>8477.8323</v>
      </c>
      <c r="F6" s="0" t="n">
        <f aca="false">E6*(1+F5/100)</f>
        <v>8859.3347535</v>
      </c>
      <c r="G6" s="0" t="n">
        <f aca="false">F6*(1+G5/100)</f>
        <v>9213.70814364</v>
      </c>
      <c r="H6" s="0" t="n">
        <f aca="false">G6*(1+H5/100)</f>
        <v>9536.1879286674</v>
      </c>
      <c r="I6" s="0" t="n">
        <f aca="false">H6*(1+I5/100)</f>
        <v>9846.11403634909</v>
      </c>
      <c r="J6" s="0" t="n">
        <f aca="false">I6*(1+J5/100)</f>
        <v>10141.4974574396</v>
      </c>
      <c r="K6" s="0" t="n">
        <f aca="false">J6*(1+K5/100)</f>
        <v>10445.7423811628</v>
      </c>
      <c r="L6" s="0" t="n">
        <f aca="false">K6*(1+L5/100)</f>
        <v>10759.1146525976</v>
      </c>
    </row>
    <row r="7" customFormat="false" ht="15" hidden="false" customHeight="false" outlineLevel="0" collapsed="false">
      <c r="A7" s="0" t="s">
        <v>108</v>
      </c>
      <c r="C7" s="4" t="n">
        <f aca="false">Assumptions!C42</f>
        <v>70.5</v>
      </c>
      <c r="D7" s="4" t="n">
        <f aca="false">Assumptions!D42</f>
        <v>70.6</v>
      </c>
      <c r="E7" s="4" t="n">
        <f aca="false">Assumptions!E42</f>
        <v>70.7</v>
      </c>
      <c r="F7" s="4" t="n">
        <f aca="false">Assumptions!F42</f>
        <v>70.8</v>
      </c>
      <c r="G7" s="4" t="n">
        <f aca="false">Assumptions!G42</f>
        <v>70.8</v>
      </c>
      <c r="H7" s="4" t="n">
        <f aca="false">Assumptions!H42</f>
        <v>70.8</v>
      </c>
      <c r="I7" s="4" t="n">
        <f aca="false">Assumptions!I42</f>
        <v>70.8</v>
      </c>
      <c r="J7" s="4" t="n">
        <f aca="false">Assumptions!J42</f>
        <v>70.8</v>
      </c>
      <c r="K7" s="4" t="n">
        <f aca="false">Assumptions!K42</f>
        <v>70.8</v>
      </c>
      <c r="L7" s="4" t="n">
        <f aca="false">Assumptions!L42</f>
        <v>70.8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5395.506</v>
      </c>
      <c r="D8" s="0" t="n">
        <f aca="false">D6*D7/100</f>
        <v>5700.332956</v>
      </c>
      <c r="E8" s="0" t="n">
        <f aca="false">E6*E7/100</f>
        <v>5993.8274361</v>
      </c>
      <c r="F8" s="0" t="n">
        <f aca="false">F6*F7/100</f>
        <v>6272.409005478</v>
      </c>
      <c r="G8" s="0" t="n">
        <f aca="false">G6*G7/100</f>
        <v>6523.30536569712</v>
      </c>
      <c r="H8" s="0" t="n">
        <f aca="false">H6*H7/100</f>
        <v>6751.62105349652</v>
      </c>
      <c r="I8" s="0" t="n">
        <f aca="false">I6*I7/100</f>
        <v>6971.04873773516</v>
      </c>
      <c r="J8" s="0" t="n">
        <f aca="false">J6*J7/100</f>
        <v>7180.18019986721</v>
      </c>
      <c r="K8" s="0" t="n">
        <f aca="false">K6*K7/100</f>
        <v>7395.58560586323</v>
      </c>
      <c r="L8" s="0" t="n">
        <f aca="false">L6*L7/100</f>
        <v>7617.45317403912</v>
      </c>
    </row>
    <row r="9" customFormat="false" ht="15" hidden="false" customHeight="false" outlineLevel="0" collapsed="false">
      <c r="A9" s="0" t="s">
        <v>109</v>
      </c>
      <c r="C9" s="4" t="n">
        <f aca="false">Assumptions!C43</f>
        <v>1.15</v>
      </c>
      <c r="D9" s="4" t="n">
        <f aca="false">Assumptions!D43</f>
        <v>1.15</v>
      </c>
      <c r="E9" s="4" t="n">
        <f aca="false">Assumptions!E43</f>
        <v>1.15</v>
      </c>
      <c r="F9" s="4" t="n">
        <f aca="false">Assumptions!F43</f>
        <v>1.15</v>
      </c>
      <c r="G9" s="4" t="n">
        <f aca="false">Assumptions!G43</f>
        <v>1.15</v>
      </c>
      <c r="H9" s="4" t="n">
        <f aca="false">Assumptions!H43</f>
        <v>1.15</v>
      </c>
      <c r="I9" s="4" t="n">
        <f aca="false">Assumptions!I43</f>
        <v>1.15</v>
      </c>
      <c r="J9" s="4" t="n">
        <f aca="false">Assumptions!J43</f>
        <v>1.15</v>
      </c>
      <c r="K9" s="4" t="n">
        <f aca="false">Assumptions!K43</f>
        <v>1.15</v>
      </c>
      <c r="L9" s="4" t="n">
        <f aca="false">Assumptions!L43</f>
        <v>1.15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-88.0118</v>
      </c>
      <c r="D10" s="0" t="n">
        <f aca="false">-D6*D9/100</f>
        <v>-92.852449</v>
      </c>
      <c r="E10" s="0" t="n">
        <f aca="false">-E6*E9/100</f>
        <v>-97.49507145</v>
      </c>
      <c r="F10" s="0" t="n">
        <f aca="false">-F6*F9/100</f>
        <v>-101.88234966525</v>
      </c>
      <c r="G10" s="0" t="n">
        <f aca="false">-G6*G9/100</f>
        <v>-105.95764365186</v>
      </c>
      <c r="H10" s="0" t="n">
        <f aca="false">-H6*H9/100</f>
        <v>-109.666161179675</v>
      </c>
      <c r="I10" s="0" t="n">
        <f aca="false">-I6*I9/100</f>
        <v>-113.230311418015</v>
      </c>
      <c r="J10" s="0" t="n">
        <f aca="false">-J6*J9/100</f>
        <v>-116.627220760555</v>
      </c>
      <c r="K10" s="0" t="n">
        <f aca="false">-K6*K9/100</f>
        <v>-120.126037383372</v>
      </c>
      <c r="L10" s="0" t="n">
        <f aca="false">-L6*L9/100</f>
        <v>-123.729818504873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5307.4942</v>
      </c>
      <c r="D11" s="0" t="n">
        <f aca="false">D8+D10+D24</f>
        <v>5607.480507</v>
      </c>
      <c r="E11" s="0" t="n">
        <f aca="false">E8+E10+E24</f>
        <v>5896.33236465</v>
      </c>
      <c r="F11" s="0" t="n">
        <f aca="false">F8+F10+F24</f>
        <v>6170.52665581275</v>
      </c>
      <c r="G11" s="0" t="n">
        <f aca="false">G8+G10+G24</f>
        <v>6417.34772204526</v>
      </c>
      <c r="H11" s="0" t="n">
        <f aca="false">H8+H10+H24</f>
        <v>6641.95489231684</v>
      </c>
      <c r="I11" s="0" t="n">
        <f aca="false">I8+I10+I24</f>
        <v>6857.81842631714</v>
      </c>
      <c r="J11" s="0" t="n">
        <f aca="false">J8+J10+J24</f>
        <v>7063.55297910666</v>
      </c>
      <c r="K11" s="0" t="n">
        <f aca="false">K8+K10+K24</f>
        <v>7275.45956847986</v>
      </c>
      <c r="L11" s="0" t="n">
        <f aca="false">L8+L10+L24</f>
        <v>7493.72335553425</v>
      </c>
    </row>
    <row r="12" customFormat="false" ht="15" hidden="false" customHeight="false" outlineLevel="0" collapsed="false">
      <c r="A12" s="0" t="s">
        <v>126</v>
      </c>
      <c r="C12" s="4" t="n">
        <f aca="false">-C6*Assumptions!C45/100</f>
        <v>-1951.566</v>
      </c>
      <c r="D12" s="4" t="n">
        <f aca="false">-D6*Assumptions!D45/100</f>
        <v>-2058.90213</v>
      </c>
      <c r="E12" s="4" t="n">
        <f aca="false">-E6*Assumptions!E45/100</f>
        <v>-2161.8472365</v>
      </c>
      <c r="F12" s="4" t="n">
        <f aca="false">-F6*Assumptions!F45/100</f>
        <v>-2259.1303621425</v>
      </c>
      <c r="G12" s="4" t="n">
        <f aca="false">-G6*Assumptions!G45/100</f>
        <v>-2349.4955766282</v>
      </c>
      <c r="H12" s="4" t="n">
        <f aca="false">-H6*Assumptions!H45/100</f>
        <v>-2431.72792181019</v>
      </c>
      <c r="I12" s="4" t="n">
        <f aca="false">-I6*Assumptions!I45/100</f>
        <v>-2510.75907926902</v>
      </c>
      <c r="J12" s="4" t="n">
        <f aca="false">-J6*Assumptions!J45/100</f>
        <v>-2586.08185164709</v>
      </c>
      <c r="K12" s="4" t="n">
        <f aca="false">-K6*Assumptions!K45/100</f>
        <v>-2663.6643071965</v>
      </c>
      <c r="L12" s="4" t="n">
        <f aca="false">-L6*Assumptions!L45/100</f>
        <v>-2743.5742364124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3355.9282</v>
      </c>
      <c r="D13" s="0" t="n">
        <f aca="false">D11+D12</f>
        <v>3548.578377</v>
      </c>
      <c r="E13" s="0" t="n">
        <f aca="false">E11+E12</f>
        <v>3734.48512815</v>
      </c>
      <c r="F13" s="0" t="n">
        <f aca="false">F11+F12</f>
        <v>3911.39629367025</v>
      </c>
      <c r="G13" s="0" t="n">
        <f aca="false">G11+G12</f>
        <v>4067.85214541706</v>
      </c>
      <c r="H13" s="0" t="n">
        <f aca="false">H11+H12</f>
        <v>4210.22697050666</v>
      </c>
      <c r="I13" s="0" t="n">
        <f aca="false">I11+I12</f>
        <v>4347.05934704812</v>
      </c>
      <c r="J13" s="0" t="n">
        <f aca="false">J11+J12</f>
        <v>4477.47112745957</v>
      </c>
      <c r="K13" s="0" t="n">
        <f aca="false">K11+K12</f>
        <v>4611.79526128335</v>
      </c>
      <c r="L13" s="0" t="n">
        <f aca="false">L11+L12</f>
        <v>4750.14911912186</v>
      </c>
    </row>
    <row r="14" customFormat="false" ht="15" hidden="false" customHeight="false" outlineLevel="0" collapsed="false">
      <c r="A14" s="0" t="s">
        <v>113</v>
      </c>
      <c r="C14" s="4" t="n">
        <f aca="false">Assumptions!C47</f>
        <v>0</v>
      </c>
      <c r="D14" s="4" t="n">
        <f aca="false">Assumptions!D47</f>
        <v>0</v>
      </c>
      <c r="E14" s="4" t="n">
        <f aca="false">Assumptions!E47</f>
        <v>0</v>
      </c>
      <c r="F14" s="4" t="n">
        <f aca="false">Assumptions!F47</f>
        <v>0</v>
      </c>
      <c r="G14" s="4" t="n">
        <f aca="false">Assumptions!G47</f>
        <v>0</v>
      </c>
      <c r="H14" s="4" t="n">
        <f aca="false">Assumptions!H47</f>
        <v>0</v>
      </c>
      <c r="I14" s="4" t="n">
        <f aca="false">Assumptions!I47</f>
        <v>0</v>
      </c>
      <c r="J14" s="4" t="n">
        <f aca="false">Assumptions!J47</f>
        <v>0</v>
      </c>
      <c r="K14" s="4" t="n">
        <f aca="false">Assumptions!K47</f>
        <v>0</v>
      </c>
      <c r="L14" s="4" t="n">
        <f aca="false">Assumptions!L47</f>
        <v>0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3355.9282</v>
      </c>
      <c r="D15" s="0" t="n">
        <f aca="false">D13-MAX(0,D13)*D14/100</f>
        <v>3548.578377</v>
      </c>
      <c r="E15" s="0" t="n">
        <f aca="false">E13-MAX(0,E13)*E14/100</f>
        <v>3734.48512815</v>
      </c>
      <c r="F15" s="0" t="n">
        <f aca="false">F13-MAX(0,F13)*F14/100</f>
        <v>3911.39629367025</v>
      </c>
      <c r="G15" s="0" t="n">
        <f aca="false">G13-MAX(0,G13)*G14/100</f>
        <v>4067.85214541706</v>
      </c>
      <c r="H15" s="0" t="n">
        <f aca="false">H13-MAX(0,H13)*H14/100</f>
        <v>4210.22697050666</v>
      </c>
      <c r="I15" s="0" t="n">
        <f aca="false">I13-MAX(0,I13)*I14/100</f>
        <v>4347.05934704812</v>
      </c>
      <c r="J15" s="0" t="n">
        <f aca="false">J13-MAX(0,J13)*J14/100</f>
        <v>4477.47112745957</v>
      </c>
      <c r="K15" s="0" t="n">
        <f aca="false">K13-MAX(0,K13)*K14/100</f>
        <v>4611.79526128335</v>
      </c>
      <c r="L15" s="0" t="n">
        <f aca="false">L13-MAX(0,L13)*L14/100</f>
        <v>4750.14911912186</v>
      </c>
    </row>
    <row r="16" customFormat="false" ht="15" hidden="false" customHeight="false" outlineLevel="0" collapsed="false">
      <c r="A16" s="0" t="s">
        <v>129</v>
      </c>
      <c r="C16" s="0" t="n">
        <f aca="false">-C12</f>
        <v>1951.566</v>
      </c>
      <c r="D16" s="0" t="n">
        <f aca="false">-D12</f>
        <v>2058.90213</v>
      </c>
      <c r="E16" s="0" t="n">
        <f aca="false">-E12</f>
        <v>2161.8472365</v>
      </c>
      <c r="F16" s="0" t="n">
        <f aca="false">-F12</f>
        <v>2259.1303621425</v>
      </c>
      <c r="G16" s="0" t="n">
        <f aca="false">-G12</f>
        <v>2349.4955766282</v>
      </c>
      <c r="H16" s="0" t="n">
        <f aca="false">-H12</f>
        <v>2431.72792181019</v>
      </c>
      <c r="I16" s="0" t="n">
        <f aca="false">-I12</f>
        <v>2510.75907926902</v>
      </c>
      <c r="J16" s="0" t="n">
        <f aca="false">-J12</f>
        <v>2586.08185164709</v>
      </c>
      <c r="K16" s="0" t="n">
        <f aca="false">-K12</f>
        <v>2663.6643071965</v>
      </c>
      <c r="L16" s="0" t="n">
        <f aca="false">-L12</f>
        <v>2743.5742364124</v>
      </c>
    </row>
    <row r="17" customFormat="false" ht="15" hidden="false" customHeight="false" outlineLevel="0" collapsed="false">
      <c r="A17" s="0" t="s">
        <v>130</v>
      </c>
      <c r="C17" s="4" t="n">
        <f aca="false">-C6*Assumptions!C46/100</f>
        <v>-1109.714</v>
      </c>
      <c r="D17" s="4" t="n">
        <f aca="false">-D6*Assumptions!D46/100</f>
        <v>-1090.00701</v>
      </c>
      <c r="E17" s="4" t="n">
        <f aca="false">-E6*Assumptions!E46/100</f>
        <v>-1017.339876</v>
      </c>
      <c r="F17" s="4" t="n">
        <f aca="false">-F6*Assumptions!F46/100</f>
        <v>-930.2301491175</v>
      </c>
      <c r="G17" s="4" t="n">
        <f aca="false">-G6*Assumptions!G46/100</f>
        <v>-921.370814364</v>
      </c>
      <c r="H17" s="4" t="n">
        <f aca="false">-H6*Assumptions!H46/100</f>
        <v>-929.778323045072</v>
      </c>
      <c r="I17" s="4" t="n">
        <f aca="false">-I6*Assumptions!I46/100</f>
        <v>-959.996118544036</v>
      </c>
      <c r="J17" s="4" t="n">
        <f aca="false">-J6*Assumptions!J46/100</f>
        <v>-988.796002100357</v>
      </c>
      <c r="K17" s="4" t="n">
        <f aca="false">-K6*Assumptions!K46/100</f>
        <v>-1018.45988216337</v>
      </c>
      <c r="L17" s="4" t="n">
        <f aca="false">-L6*Assumptions!L46/100</f>
        <v>-1049.01367862827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4197.7802</v>
      </c>
      <c r="D19" s="0" t="n">
        <f aca="false">D15+D16+D17+D18</f>
        <v>4517.473497</v>
      </c>
      <c r="E19" s="0" t="n">
        <f aca="false">E15+E16+E17+E18</f>
        <v>4878.99248865</v>
      </c>
      <c r="F19" s="0" t="n">
        <f aca="false">F15+F16+F17+F18</f>
        <v>5240.29650669525</v>
      </c>
      <c r="G19" s="0" t="n">
        <f aca="false">G15+G16+G17+G18</f>
        <v>5495.97690768126</v>
      </c>
      <c r="H19" s="0" t="n">
        <f aca="false">H15+H16+H17+H18</f>
        <v>5712.17656927177</v>
      </c>
      <c r="I19" s="0" t="n">
        <f aca="false">I15+I16+I17+I18</f>
        <v>5897.8223077731</v>
      </c>
      <c r="J19" s="0" t="n">
        <f aca="false">J15+J16+J17+J18</f>
        <v>6074.7569770063</v>
      </c>
      <c r="K19" s="0" t="n">
        <f aca="false">K15+K16+K17+K18</f>
        <v>6256.99968631649</v>
      </c>
      <c r="L19" s="0" t="n">
        <f aca="false">L15+L16+L17+L18</f>
        <v>6444.70967690598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3851.17449541285</v>
      </c>
      <c r="D21" s="0" t="n">
        <f aca="false">D19*D20</f>
        <v>3802.26706253682</v>
      </c>
      <c r="E21" s="0" t="n">
        <f aca="false">E19*E20</f>
        <v>3767.47739907755</v>
      </c>
      <c r="F21" s="0" t="n">
        <f aca="false">F19*F20</f>
        <v>3712.35815879979</v>
      </c>
      <c r="G21" s="0" t="n">
        <f aca="false">G19*G20</f>
        <v>3572.00789067297</v>
      </c>
      <c r="H21" s="0" t="n">
        <f aca="false">H19*H20</f>
        <v>3405.98425362177</v>
      </c>
      <c r="I21" s="0" t="n">
        <f aca="false">I19*I20</f>
        <v>3226.31077235273</v>
      </c>
      <c r="J21" s="0" t="n">
        <f aca="false">J19*J20</f>
        <v>3048.71568396634</v>
      </c>
      <c r="K21" s="0" t="n">
        <f aca="false">K19*K20</f>
        <v>2880.89647200489</v>
      </c>
      <c r="L21" s="0" t="n">
        <f aca="false">L19*L20</f>
        <v>2722.31501483031</v>
      </c>
    </row>
    <row r="23" customFormat="false" ht="15" hidden="false" customHeight="false" outlineLevel="0" collapsed="false">
      <c r="A23" s="0" t="s">
        <v>110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115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116</v>
      </c>
      <c r="B29" s="4" t="n">
        <f aca="false">Assumptions!$B$50</f>
        <v>17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33989.507203276</v>
      </c>
    </row>
    <row r="31" customFormat="false" ht="15" hidden="false" customHeight="false" outlineLevel="0" collapsed="false">
      <c r="A31" s="0" t="s">
        <v>138</v>
      </c>
      <c r="B31" s="0" t="n">
        <f aca="false">L19</f>
        <v>6444.70967690598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110634.182786886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109560.064507402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109560.064507402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46279.3552521153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80268.8624553913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80268.8624553913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211.575710372526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0.0536114255889963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668.658779338881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897.212614097524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215.703093548069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55317.091393443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104.696906332019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2" t="s">
        <v>155</v>
      </c>
      <c r="B3" s="2" t="s">
        <v>156</v>
      </c>
      <c r="C3" s="2" t="s">
        <v>146</v>
      </c>
      <c r="D3" s="2" t="s">
        <v>157</v>
      </c>
      <c r="E3" s="2" t="s">
        <v>149</v>
      </c>
      <c r="F3" s="2" t="s">
        <v>158</v>
      </c>
    </row>
    <row r="4" customFormat="false" ht="15" hidden="false" customHeight="false" outlineLevel="0" collapsed="false">
      <c r="A4" s="0" t="s">
        <v>159</v>
      </c>
      <c r="B4" s="4" t="n">
        <f aca="false">DCF_Bear!$B$38</f>
        <v>113.164399868377</v>
      </c>
      <c r="C4" s="0" t="n">
        <f aca="false">B4/Assumptions!$B$2-1</f>
        <v>-0.436460336296117</v>
      </c>
      <c r="D4" s="4" t="n">
        <f aca="false">Assumptions!$B$24</f>
        <v>0.25</v>
      </c>
      <c r="E4" s="4" t="n">
        <f aca="false">DCF_Bear!$B$43</f>
        <v>115.664205896124</v>
      </c>
      <c r="F4" s="4" t="n">
        <f aca="false">DCF_Bear!$B$47</f>
        <v>77.3176073084496</v>
      </c>
    </row>
    <row r="5" customFormat="false" ht="15" hidden="false" customHeight="false" outlineLevel="0" collapsed="false">
      <c r="A5" s="0" t="s">
        <v>160</v>
      </c>
      <c r="B5" s="4" t="n">
        <f aca="false">DCF_Base!$B$38</f>
        <v>166.972995045131</v>
      </c>
      <c r="C5" s="0" t="n">
        <f aca="false">B5/Assumptions!$B$2-1</f>
        <v>-0.168502589287728</v>
      </c>
      <c r="D5" s="4" t="n">
        <f aca="false">Assumptions!$B$38</f>
        <v>0.5</v>
      </c>
      <c r="E5" s="4" t="n">
        <f aca="false">DCF_Base!$B$43</f>
        <v>170.340503005626</v>
      </c>
      <c r="F5" s="4" t="n">
        <f aca="false">DCF_Base!$B$47</f>
        <v>95.5554737766068</v>
      </c>
    </row>
    <row r="6" customFormat="false" ht="15" hidden="false" customHeight="false" outlineLevel="0" collapsed="false">
      <c r="A6" s="0" t="s">
        <v>161</v>
      </c>
      <c r="B6" s="4" t="n">
        <f aca="false">DCF_Bull!$B$38</f>
        <v>211.575710372526</v>
      </c>
      <c r="C6" s="0" t="n">
        <f aca="false">B6/Assumptions!$B$2-1</f>
        <v>0.0536114255889963</v>
      </c>
      <c r="D6" s="4" t="n">
        <f aca="false">Assumptions!$B$52</f>
        <v>0.25</v>
      </c>
      <c r="E6" s="4" t="n">
        <f aca="false">DCF_Bull!$B$43</f>
        <v>215.703093548069</v>
      </c>
      <c r="F6" s="4" t="n">
        <f aca="false">DCF_Bull!$B$47</f>
        <v>104.696906332019</v>
      </c>
    </row>
    <row r="8" customFormat="false" ht="15" hidden="false" customHeight="false" outlineLevel="0" collapsed="false">
      <c r="A8" s="0" t="s">
        <v>162</v>
      </c>
      <c r="B8" s="0" t="n">
        <f aca="false">SUMPRODUCT(B4:B6,D4:D6)</f>
        <v>164.671525082791</v>
      </c>
    </row>
    <row r="9" customFormat="false" ht="15" hidden="false" customHeight="false" outlineLevel="0" collapsed="false">
      <c r="A9" s="0" t="s">
        <v>163</v>
      </c>
      <c r="B9" s="0" t="n">
        <f aca="false">SUMPRODUCT(E4:E6,D4:D6)</f>
        <v>168.012076363861</v>
      </c>
    </row>
    <row r="10" customFormat="false" ht="15" hidden="false" customHeight="false" outlineLevel="0" collapsed="false">
      <c r="A10" s="0" t="s">
        <v>164</v>
      </c>
      <c r="B10" s="0" t="n">
        <f aca="false">1-Assumptions!$B$2/B8</f>
        <v>-0.219457947565855</v>
      </c>
    </row>
    <row r="11" customFormat="false" ht="15" hidden="false" customHeight="false" outlineLevel="0" collapsed="false">
      <c r="A11" s="0" t="s">
        <v>165</v>
      </c>
      <c r="B11" s="0" t="n">
        <f aca="false">IF(ABS(B9-B8)&gt;0.01*ABS(B8),(Assumptions!$B$2-B8)/(B9-B8)*100,"n/a")</f>
        <v>1081.81170940262</v>
      </c>
    </row>
    <row r="12" customFormat="false" ht="15" hidden="false" customHeight="false" outlineLevel="0" collapsed="false">
      <c r="A12" s="0" t="s">
        <v>166</v>
      </c>
      <c r="B12" s="0" t="n">
        <f aca="false">SUMPRODUCT(F4:F6,D4:D6)</f>
        <v>93.2813652984205</v>
      </c>
    </row>
    <row r="14" customFormat="false" ht="15" hidden="false" customHeight="false" outlineLevel="0" collapsed="false">
      <c r="A14" s="2" t="s">
        <v>167</v>
      </c>
      <c r="C14" s="0" t="s">
        <v>168</v>
      </c>
    </row>
    <row r="15" customFormat="false" ht="15" hidden="false" customHeight="false" outlineLevel="0" collapsed="false">
      <c r="A15" s="0" t="s">
        <v>169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186.639741307677</v>
      </c>
      <c r="C15" s="3" t="n">
        <v>9</v>
      </c>
    </row>
    <row r="16" customFormat="false" ht="15" hidden="false" customHeight="false" outlineLevel="0" collapsed="false">
      <c r="A16" s="0" t="s">
        <v>170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166.972995045131</v>
      </c>
      <c r="C16" s="3" t="n">
        <v>9.75</v>
      </c>
    </row>
    <row r="17" customFormat="false" ht="15" hidden="false" customHeight="false" outlineLevel="0" collapsed="false">
      <c r="A17" s="0" t="s">
        <v>171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161.293949587992</v>
      </c>
      <c r="C17" s="3" t="n">
        <v>10</v>
      </c>
    </row>
    <row r="18" customFormat="false" ht="15" hidden="false" customHeight="false" outlineLevel="0" collapsed="false">
      <c r="A18" s="0" t="s">
        <v>172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141.928819583819</v>
      </c>
      <c r="C18" s="3" t="n">
        <v>11</v>
      </c>
    </row>
    <row r="19" customFormat="false" ht="15" hidden="false" customHeight="false" outlineLevel="0" collapsed="false">
      <c r="A19" s="0" t="s">
        <v>173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126.654871800573</v>
      </c>
      <c r="C19" s="3" t="n">
        <v>12</v>
      </c>
    </row>
    <row r="20" customFormat="false" ht="15" hidden="false" customHeight="false" outlineLevel="0" collapsed="false">
      <c r="A20" s="0" t="s">
        <v>174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95.5554737766068</v>
      </c>
      <c r="C20" s="3" t="n">
        <v>15</v>
      </c>
    </row>
    <row r="22" customFormat="false" ht="15" hidden="false" customHeight="false" outlineLevel="0" collapsed="false">
      <c r="A22" s="2" t="s">
        <v>175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7.75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206.076880999205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206.076880999205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206.076880999205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206.076880999205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206.076880999205</v>
      </c>
    </row>
    <row r="25" customFormat="false" ht="15" hidden="false" customHeight="false" outlineLevel="0" collapsed="false">
      <c r="A25" s="3" t="n">
        <v>8.75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178.185969078288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185.621742771858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191.570361726714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191.570361726714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191.570361726714</v>
      </c>
    </row>
    <row r="26" customFormat="false" ht="15" hidden="false" customHeight="false" outlineLevel="0" collapsed="false">
      <c r="A26" s="3" t="n">
        <v>9.75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155.76756279866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161.008813365558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166.972995045131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173.820759195753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178.344339158578</v>
      </c>
    </row>
    <row r="27" customFormat="false" ht="15" hidden="false" customHeight="false" outlineLevel="0" collapsed="false">
      <c r="A27" s="3" t="n">
        <v>10.75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138.234238710971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142.050059184476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146.328403351738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151.15879192768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156.655440996854</v>
      </c>
    </row>
    <row r="28" customFormat="false" ht="15" hidden="false" customHeight="false" outlineLevel="0" collapsed="false">
      <c r="A28" s="3" t="n">
        <v>11.75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124.153893015719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127.00409124768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130.162419018232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133.681698533989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137.62755738499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2026-10-02T08:53:18Z</dcterms:created>
  <dc:creator>openpyxl</dc:creator>
  <dc:description/>
  <dc:language>en-NZ</dc:language>
  <cp:lastModifiedBy/>
  <dcterms:modified xsi:type="dcterms:W3CDTF">2026-10-02T08:53:18Z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