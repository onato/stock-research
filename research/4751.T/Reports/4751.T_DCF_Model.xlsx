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<sst xmlns="http://schemas.openxmlformats.org/spreadsheetml/2006/main" count="350" uniqueCount="164">
  <si>
    <t xml:space="preserve">Ticker</t>
  </si>
  <si>
    <t xml:space="preserve">4751.T</t>
  </si>
  <si>
    <t xml:space="preserve">Company</t>
  </si>
  <si>
    <t xml:space="preserve">CyberAgent, Inc.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</si>
  <si>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</si>
  <si>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</si>
  <si>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</si>
  <si>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</si>
  <si>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regular close (TSE)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</si>
  <si>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</si>
  <si>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</si>
  <si>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</si>
  <si>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</si>
  <si>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</si>
  <si>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</si>
  <si>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</si>
  <si>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</si>
  <si>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</si>
  <si>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</si>
  <si>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</si>
  <si>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</si>
  <si>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2026-10-31T06:16:12Z</t>
  </si>
  <si>
    <t xml:space="preserve">Drivers file</t>
  </si>
  <si>
    <t xml:space="preserve">4751.T_Drivers.json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</si>
  <si>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</si>
  <si>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</si>
  <si>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</si>
  <si>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CyberAgent on attributable owner FCF at a mid-cycle margin, not on the FY2026 peak. The segment mix matters more than the consolidated line: the Advertising agency is low-margin but steady, ABEMA is a decade-long investment that has just turned profitable, and Cygames supplies most of the profit and most of the volatility, with a ~22% minority sharing it. Interest and dividend income are stripped and their source assets (cash, investment securities) added back once; NCI is charged once through the leakage rate; SBC is structurally nil under J-GAAP so house and street coincide.
convertible_bond_treatment: Debt basis is binding: the CB is out of the money at the price and at the weighted value (&lt; ~1,512 conversion price), so it sits in net debt and its 26.54m shares are excluded (509.8m shares). The if-converted alternative (536.4m shares, net debt -155,462) gave a weighted IV ~1.2% higher and only becomes the more dilutive basis above ~1,512/share.
key_risks_to_valuation: Games hit-cycle: a FY2023-style halving of Games segment profit is the bear case and carries 25% weight; the base already assumes a ~25% normalisation from FY2026; ABEMA margin durability through sports-rights and content-cost inflation; the base needs it to roughly double segment profit by FY2031; NCI leakage rate: each 1pp of NCI share is ~1.3% of value; the FY2025 subsidiary treasury-stock purchase (9,746) moves it the right way; Combined leakage assumes a 32% cash tax rate; FY2025's 39% current-tax rate was lifted by non-deductible impairments; Terminal value is capped at 15x FCF (Gordon at 8.5%/2.0% is 15.7x), so the cap binds and the valuation is not sensitive to terminal growth above 2%; June-2026 balance sheet and FY2026 guidance anchors should be replaced with FY2026 actuals in November 2026</t>
  </si>
  <si>
    <t xml:space="preserve">Data sources</t>
  </si>
  <si>
    <t xml:space="preserve">price: Yahoo Finance chart API at inputs.price_as_of; 52-week range 1203.5-1588.5
financials: 4751.T_Metrics.csv (FY2020-9M FY2026, corrected for the CyberOwl restatement); FY2025 tanshin (balance sheet, cash flow, diluted-EPS note); Q3 FY2026 tanshin of 7 Aug 2026 (June-2026 balance sheet, segment table, FY2026 guidance); H1 FY2026 tanshin (cash taxes paid)
qualitative: 4751.T_Analysis.json (2026-10-31)</t>
  </si>
  <si>
    <t xml:space="preserve">Scenario narrative: bear</t>
  </si>
  <si>
    <t xml:space="preserve">FY2023 repeats: flagship games fade and new launches miss, ABEMA profit stalls on content-cost inflation, Advertising margin stays compressed. Revenue flat in FY2027 then 2-2.5%, EBITDA margin to 6.5%.</t>
  </si>
  <si>
    <t xml:space="preserve">Scenario narrative: base</t>
  </si>
  <si>
    <t xml:space="preserve">Mid-cycle blend: Games normalises from the FY2026 hit peak, ABEMA's newly profitable base scales to replace it, Advertising grows with the Japanese digital-ad shift. Revenue 5% -&gt; 2.5%, EBITDA margin ~8.6% (the FY2022-FY2026 average), operating margin ~7.4%.</t>
  </si>
  <si>
    <t xml:space="preserve">Scenario narrative: bull</t>
  </si>
  <si>
    <t xml:space="preserve">Multi-layer IP strategy works: Games stays at the FY2026 level with new global hits, ABEMA margin reaches 12%, AI ad products hold Advertising share. Revenue 9% -&gt; 3%, EBITDA margin to 10.5%.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</si>
  <si>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</si>
  <si>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</si>
  <si>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</si>
  <si>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</si>
  <si>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</si>
  <si>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</si>
  <si>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</si>
  <si>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</si>
  <si>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</si>
  <si>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</si>
  <si>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</si>
  <si>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</si>
  <si>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</si>
  <si>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</si>
  <si>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</si>
  <si>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</si>
  <si>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</si>
  <si>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</si>
  <si>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</si>
  <si>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</si>
  <si>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</si>
  <si>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</si>
  <si>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</si>
  <si>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</si>
  <si>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</si>
  <si>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</si>
  <si>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</si>
  <si>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SegmentRevenueGames</t>
  </si>
  <si>
    <t xml:space="preserve">SegmentRevenueMedia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</si>
  <si>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</si>
  <si>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</si>
  <si>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</si>
  <si>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</si>
  <si>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</si>
  <si>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</si>
  <si>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</si>
  <si>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</si>
  <si>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</si>
  <si>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</si>
  <si>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</si>
  <si>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</si>
  <si>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</si>
  <si>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</si>
  <si>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</si>
  <si>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</si>
  <si>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</si>
  <si>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</si>
  <si>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</si>
  <si>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</si>
  <si>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</si>
  <si>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</si>
  <si>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</si>
  <si>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</si>
  <si>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</si>
  <si>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</si>
  <si>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</si>
  <si>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</si>
  <si>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</si>
  <si>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</si>
  <si>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</si>
  <si>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</si>
  <si>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</si>
  <si>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</si>
  <si>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</si>
  <si>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</si>
  <si>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</si>
  <si>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</si>
  <si>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</si>
  <si>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</si>
  <si>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</si>
  <si>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</si>
  <si>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</si>
  <si>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</si>
  <si>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4751.T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</si>
  <si>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</si>
  <si>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</si>
  <si>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</si>
  <si>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</si>
  <si>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</si>
  <si>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</si>
  <si>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</si>
  <si>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</si>
  <si>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</si>
  <si>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</si>
  <si>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</si>
  <si>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</si>
  <si>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</si>
  <si>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</si>
  <si>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</si>
  <si>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</si>
  <si>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</si>
  <si>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</si>
  <si>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</si>
  <si>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</si>
  <si>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</si>
  <si>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</si>
  <si>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</si>
  <si>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</si>
  <si>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</si>
  <si>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</si>
  <si>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</si>
  <si>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</si>
  <si>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</si>
  <si>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</si>
  <si>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4751.T owner-FCF component DCF: base case (millions, JPY)</t>
  </si>
  <si>
    <t xml:space="preserve">4751.T owner-FCF component DCF: bull case (millions, JPY)</t>
  </si>
  <si>
    <t xml:space="preserve">4751.T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</si>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</sst>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1269.5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35.0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478526</v>
      </c>
      <c r="C2" s="0" t="n">
        <v>337918</v>
      </c>
      <c r="D2" s="0" t="n">
        <v>140608</v>
      </c>
      <c r="E2" s="0" t="n">
        <v>29.4</v>
      </c>
      <c r="F2" s="0" t="n">
        <v>33839</v>
      </c>
      <c r="G2" s="0" t="n">
        <v>7.1</v>
      </c>
      <c r="H2" s="0" t="n">
        <v>42558</v>
      </c>
      <c r="I2" s="0" t="n">
        <v>6567</v>
      </c>
      <c r="J2" s="0" t="n">
        <v>1.4</v>
      </c>
      <c r="K2" s="0" t="n">
        <v>12.2</v>
      </c>
      <c r="L2" s="0" t="n">
        <v>37028</v>
      </c>
      <c r="M2" s="0" t="n">
        <v>14034</v>
      </c>
      <c r="N2" s="0" t="n">
        <v>22994</v>
      </c>
      <c r="O2" s="0" t="n">
        <v>89487</v>
      </c>
      <c r="P2" s="0" t="n">
        <v>260725</v>
      </c>
      <c r="Q2" s="0" t="n">
        <v>133088</v>
      </c>
      <c r="R2" s="0" t="n">
        <v>41433</v>
      </c>
      <c r="S2" s="0" t="n">
        <v>102368</v>
      </c>
      <c r="T2" s="0" t="n">
        <v>538.3</v>
      </c>
      <c r="V2" s="0" t="n">
        <v>8.5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666149</v>
      </c>
      <c r="C3" s="0" t="n">
        <v>434465</v>
      </c>
      <c r="D3" s="0" t="n">
        <v>231683</v>
      </c>
      <c r="E3" s="0" t="n">
        <v>34.8</v>
      </c>
      <c r="F3" s="0" t="n">
        <v>104070</v>
      </c>
      <c r="G3" s="0" t="n">
        <v>15.6</v>
      </c>
      <c r="H3" s="0" t="n">
        <v>114181</v>
      </c>
      <c r="I3" s="0" t="n">
        <v>41242</v>
      </c>
      <c r="J3" s="0" t="n">
        <v>6.2</v>
      </c>
      <c r="K3" s="0" t="n">
        <v>77.31</v>
      </c>
      <c r="L3" s="0" t="n">
        <v>109609</v>
      </c>
      <c r="M3" s="0" t="n">
        <v>12466</v>
      </c>
      <c r="N3" s="0" t="n">
        <v>97143</v>
      </c>
      <c r="O3" s="0" t="n">
        <v>128531</v>
      </c>
      <c r="P3" s="0" t="n">
        <v>382225</v>
      </c>
      <c r="Q3" s="0" t="n">
        <v>188433</v>
      </c>
      <c r="R3" s="0" t="n">
        <v>42439</v>
      </c>
      <c r="S3" s="0" t="n">
        <v>184082</v>
      </c>
      <c r="T3" s="0" t="n">
        <v>533.5</v>
      </c>
      <c r="V3" s="0" t="n">
        <v>11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67</v>
      </c>
      <c r="B4" s="0" t="n">
        <v>709923</v>
      </c>
      <c r="C4" s="0" t="n">
        <v>491417</v>
      </c>
      <c r="D4" s="0" t="n">
        <v>218505</v>
      </c>
      <c r="E4" s="0" t="n">
        <v>30.8</v>
      </c>
      <c r="F4" s="0" t="n">
        <v>67552</v>
      </c>
      <c r="G4" s="0" t="n">
        <v>9.5</v>
      </c>
      <c r="H4" s="0" t="n">
        <v>76237</v>
      </c>
      <c r="I4" s="0" t="n">
        <v>22901</v>
      </c>
      <c r="J4" s="0" t="n">
        <v>3.2</v>
      </c>
      <c r="K4" s="0" t="n">
        <v>42.86</v>
      </c>
      <c r="L4" s="0" t="n">
        <v>17946</v>
      </c>
      <c r="M4" s="0" t="n">
        <v>26090</v>
      </c>
      <c r="N4" s="0" t="n">
        <v>-8144</v>
      </c>
      <c r="O4" s="0" t="n">
        <v>142595</v>
      </c>
      <c r="P4" s="0" t="n">
        <v>381933</v>
      </c>
      <c r="Q4" s="0" t="n">
        <v>160687</v>
      </c>
      <c r="R4" s="0" t="n">
        <v>46255</v>
      </c>
      <c r="S4" s="0" t="n">
        <v>168035</v>
      </c>
      <c r="T4" s="0" t="n">
        <v>534.3</v>
      </c>
      <c r="V4" s="0" t="n">
        <v>14</v>
      </c>
      <c r="AA4" s="0" t="s">
        <v>17</v>
      </c>
      <c r="AB4" s="0" t="s">
        <v>14</v>
      </c>
      <c r="AC4" s="0" t="n">
        <v>228387</v>
      </c>
      <c r="AD4" s="0" t="n">
        <v>112253</v>
      </c>
    </row>
    <row r="5" customFormat="false" ht="15" hidden="false" customHeight="false" outlineLevel="0" collapsed="false">
      <c r="A5" s="0" t="s">
        <v>68</v>
      </c>
      <c r="B5" s="0" t="n">
        <v>719451</v>
      </c>
      <c r="C5" s="0" t="n">
        <v>527802</v>
      </c>
      <c r="D5" s="0" t="n">
        <v>191648</v>
      </c>
      <c r="E5" s="0" t="n">
        <v>26.6</v>
      </c>
      <c r="F5" s="0" t="n">
        <v>22351</v>
      </c>
      <c r="G5" s="0" t="n">
        <v>3.1</v>
      </c>
      <c r="H5" s="0" t="n">
        <v>30455</v>
      </c>
      <c r="I5" s="0" t="n">
        <v>3540</v>
      </c>
      <c r="J5" s="0" t="n">
        <v>0.5</v>
      </c>
      <c r="K5" s="0" t="n">
        <v>6.3</v>
      </c>
      <c r="L5" s="0" t="n">
        <v>20822</v>
      </c>
      <c r="M5" s="0" t="n">
        <v>25575</v>
      </c>
      <c r="N5" s="0" t="n">
        <v>-4753</v>
      </c>
      <c r="O5" s="0" t="n">
        <v>140961</v>
      </c>
      <c r="P5" s="0" t="n">
        <v>475222</v>
      </c>
      <c r="Q5" s="0" t="n">
        <v>246772</v>
      </c>
      <c r="R5" s="0" t="n">
        <v>107081</v>
      </c>
      <c r="S5" s="0" t="n">
        <v>201780</v>
      </c>
      <c r="T5" s="0" t="n">
        <v>561.9</v>
      </c>
      <c r="V5" s="0" t="n">
        <v>15</v>
      </c>
      <c r="AA5" s="0" t="s">
        <v>17</v>
      </c>
      <c r="AB5" s="0" t="s">
        <v>14</v>
      </c>
      <c r="AC5" s="0" t="n">
        <v>179119</v>
      </c>
      <c r="AD5" s="0" t="n">
        <v>141263</v>
      </c>
    </row>
    <row r="6" customFormat="false" ht="15" hidden="false" customHeight="false" outlineLevel="0" collapsed="false">
      <c r="A6" s="0" t="s">
        <v>69</v>
      </c>
      <c r="B6" s="0" t="n">
        <v>801236</v>
      </c>
      <c r="C6" s="0" t="n">
        <v>582472</v>
      </c>
      <c r="D6" s="0" t="n">
        <v>218764</v>
      </c>
      <c r="E6" s="0" t="n">
        <v>27.3</v>
      </c>
      <c r="F6" s="0" t="n">
        <v>40083</v>
      </c>
      <c r="G6" s="0" t="n">
        <v>5</v>
      </c>
      <c r="H6" s="0" t="n">
        <v>50519</v>
      </c>
      <c r="I6" s="0" t="n">
        <v>15977</v>
      </c>
      <c r="J6" s="0" t="n">
        <v>2</v>
      </c>
      <c r="K6" s="0" t="n">
        <v>28.99</v>
      </c>
      <c r="L6" s="0" t="n">
        <v>53231</v>
      </c>
      <c r="M6" s="0" t="n">
        <v>20916</v>
      </c>
      <c r="N6" s="0" t="n">
        <v>32315</v>
      </c>
      <c r="O6" s="0" t="n">
        <v>155634</v>
      </c>
      <c r="P6" s="0" t="n">
        <v>516686</v>
      </c>
      <c r="Q6" s="0" t="n">
        <v>266181</v>
      </c>
      <c r="R6" s="0" t="n">
        <v>106777</v>
      </c>
      <c r="S6" s="0" t="n">
        <v>211135</v>
      </c>
      <c r="T6" s="0" t="n">
        <v>551.1</v>
      </c>
      <c r="V6" s="0" t="n">
        <v>16</v>
      </c>
      <c r="AA6" s="0" t="s">
        <v>17</v>
      </c>
      <c r="AB6" s="0" t="s">
        <v>14</v>
      </c>
      <c r="AC6" s="0" t="n">
        <v>195985</v>
      </c>
      <c r="AD6" s="0" t="n">
        <v>200178</v>
      </c>
    </row>
    <row r="7" customFormat="false" ht="15" hidden="false" customHeight="false" outlineLevel="0" collapsed="false">
      <c r="A7" s="0" t="s">
        <v>70</v>
      </c>
      <c r="B7" s="0" t="n">
        <v>874030</v>
      </c>
      <c r="C7" s="0" t="n">
        <v>609978</v>
      </c>
      <c r="D7" s="0" t="n">
        <v>264051</v>
      </c>
      <c r="E7" s="0" t="n">
        <v>30.2</v>
      </c>
      <c r="F7" s="0" t="n">
        <v>71702</v>
      </c>
      <c r="G7" s="0" t="n">
        <v>8.2</v>
      </c>
      <c r="H7" s="0" t="n">
        <v>80817</v>
      </c>
      <c r="I7" s="0" t="n">
        <v>31667</v>
      </c>
      <c r="J7" s="0" t="n">
        <v>3.6</v>
      </c>
      <c r="K7" s="0" t="n">
        <v>58.96</v>
      </c>
      <c r="L7" s="0" t="n">
        <v>79518</v>
      </c>
      <c r="M7" s="0" t="n">
        <v>27777</v>
      </c>
      <c r="N7" s="0" t="n">
        <v>51741</v>
      </c>
      <c r="O7" s="0" t="n">
        <v>179992</v>
      </c>
      <c r="P7" s="0" t="n">
        <v>557162</v>
      </c>
      <c r="Q7" s="0" t="n">
        <v>281481</v>
      </c>
      <c r="R7" s="0" t="n">
        <v>93371</v>
      </c>
      <c r="S7" s="0" t="n">
        <v>226151</v>
      </c>
      <c r="T7" s="0" t="n">
        <v>537.1</v>
      </c>
      <c r="V7" s="0" t="n">
        <v>17</v>
      </c>
      <c r="AA7" s="0" t="s">
        <v>17</v>
      </c>
      <c r="AB7" s="0" t="s">
        <v>14</v>
      </c>
      <c r="AC7" s="0" t="n">
        <v>216710</v>
      </c>
      <c r="AD7" s="0" t="n">
        <v>231543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1269.5</v>
      </c>
    </row>
    <row r="3" customFormat="false" ht="15" hidden="false" customHeight="false" outlineLevel="0" collapsed="false">
      <c r="A3" s="0" t="s">
        <v>74</v>
      </c>
      <c r="B3" s="3" t="n">
        <v>509.8</v>
      </c>
    </row>
    <row r="4" customFormat="false" ht="15" hidden="false" customHeight="false" outlineLevel="0" collapsed="false">
      <c r="A4" s="0" t="s">
        <v>75</v>
      </c>
      <c r="B4" s="3" t="n">
        <v>-115223</v>
      </c>
    </row>
    <row r="5" customFormat="false" ht="15" hidden="false" customHeight="false" outlineLevel="0" collapsed="false">
      <c r="A5" s="0" t="s">
        <v>76</v>
      </c>
      <c r="B5" s="3" t="n">
        <v>36500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950000</v>
      </c>
    </row>
    <row r="8" customFormat="false" ht="15" hidden="false" customHeight="false" outlineLevel="0" collapsed="false">
      <c r="A8" s="0" t="s">
        <v>79</v>
      </c>
      <c r="B8" s="3" t="s">
        <v>80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0</v>
      </c>
      <c r="D13" s="3" t="n">
        <v>2</v>
      </c>
      <c r="E13" s="3" t="n">
        <v>2.5</v>
      </c>
      <c r="F13" s="3" t="n">
        <v>2.5</v>
      </c>
      <c r="G13" s="3" t="n">
        <v>2.5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96</v>
      </c>
      <c r="C14" s="3" t="n">
        <v>7.5</v>
      </c>
      <c r="D14" s="3" t="n">
        <v>7</v>
      </c>
      <c r="E14" s="3" t="n">
        <v>6.5</v>
      </c>
      <c r="F14" s="3" t="n">
        <v>6.5</v>
      </c>
      <c r="G14" s="3" t="n">
        <v>6.5</v>
      </c>
      <c r="H14" s="3" t="n">
        <v>6.5</v>
      </c>
      <c r="I14" s="3" t="n">
        <v>6.5</v>
      </c>
      <c r="J14" s="3" t="n">
        <v>6.5</v>
      </c>
      <c r="K14" s="3" t="n">
        <v>6.5</v>
      </c>
      <c r="L14" s="3" t="n">
        <v>6.5</v>
      </c>
    </row>
    <row r="15" customFormat="false" ht="15" hidden="false" customHeight="false" outlineLevel="0" collapsed="false">
      <c r="A15" s="0" t="s">
        <v>97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1.2</v>
      </c>
      <c r="D17" s="3" t="n">
        <v>1.3</v>
      </c>
      <c r="E17" s="3" t="n">
        <v>1.5</v>
      </c>
      <c r="F17" s="3" t="n">
        <v>1.6</v>
      </c>
      <c r="G17" s="3" t="n">
        <v>1.8</v>
      </c>
      <c r="H17" s="3" t="n">
        <v>1.9</v>
      </c>
      <c r="I17" s="3" t="n">
        <v>2</v>
      </c>
      <c r="J17" s="3" t="n">
        <v>2.1</v>
      </c>
      <c r="K17" s="3" t="n">
        <v>2.1</v>
      </c>
      <c r="L17" s="3" t="n">
        <v>2.2</v>
      </c>
    </row>
    <row r="18" customFormat="false" ht="15" hidden="false" customHeight="false" outlineLevel="0" collapsed="false">
      <c r="A18" s="0" t="s">
        <v>100</v>
      </c>
      <c r="C18" s="3" t="n">
        <v>3</v>
      </c>
      <c r="D18" s="3" t="n">
        <v>2.9</v>
      </c>
      <c r="E18" s="3" t="n">
        <v>2.8</v>
      </c>
      <c r="F18" s="3" t="n">
        <v>2.7</v>
      </c>
      <c r="G18" s="3" t="n">
        <v>2.6</v>
      </c>
      <c r="H18" s="3" t="n">
        <v>2.5</v>
      </c>
      <c r="I18" s="3" t="n">
        <v>2.5</v>
      </c>
      <c r="J18" s="3" t="n">
        <v>2.5</v>
      </c>
      <c r="K18" s="3" t="n">
        <v>2.5</v>
      </c>
      <c r="L18" s="3" t="n">
        <v>2.5</v>
      </c>
    </row>
    <row r="19" customFormat="false" ht="15" hidden="false" customHeight="false" outlineLevel="0" collapsed="false">
      <c r="A19" s="0" t="s">
        <v>101</v>
      </c>
      <c r="C19" s="3" t="n">
        <v>44</v>
      </c>
      <c r="D19" s="3" t="n">
        <v>44</v>
      </c>
      <c r="E19" s="3" t="n">
        <v>44</v>
      </c>
      <c r="F19" s="3" t="n">
        <v>44</v>
      </c>
      <c r="G19" s="3" t="n">
        <v>44</v>
      </c>
      <c r="H19" s="3" t="n">
        <v>44</v>
      </c>
      <c r="I19" s="3" t="n">
        <v>44</v>
      </c>
      <c r="J19" s="3" t="n">
        <v>44</v>
      </c>
      <c r="K19" s="3" t="n">
        <v>44</v>
      </c>
      <c r="L19" s="3" t="n">
        <v>44</v>
      </c>
    </row>
    <row r="20" customFormat="false" ht="15" hidden="false" customHeight="false" outlineLevel="0" collapsed="false">
      <c r="A20" s="0" t="s">
        <v>102</v>
      </c>
      <c r="B20" s="3" t="n">
        <v>8.5</v>
      </c>
    </row>
    <row r="21" customFormat="false" ht="15" hidden="false" customHeight="false" outlineLevel="0" collapsed="false">
      <c r="A21" s="0" t="s">
        <v>103</v>
      </c>
      <c r="B21" s="3" t="n">
        <v>2</v>
      </c>
    </row>
    <row r="22" customFormat="false" ht="15" hidden="false" customHeight="false" outlineLevel="0" collapsed="false">
      <c r="A22" s="0" t="s">
        <v>104</v>
      </c>
      <c r="B22" s="3" t="n">
        <v>15</v>
      </c>
    </row>
    <row r="23" customFormat="false" ht="15" hidden="false" customHeight="false" outlineLevel="0" collapsed="false">
      <c r="A23" s="0" t="s">
        <v>105</v>
      </c>
      <c r="B23" s="3" t="n">
        <v>0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5</v>
      </c>
      <c r="D27" s="3" t="n">
        <v>5</v>
      </c>
      <c r="E27" s="3" t="n">
        <v>4.5</v>
      </c>
      <c r="F27" s="3" t="n">
        <v>4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96</v>
      </c>
      <c r="C28" s="3" t="n">
        <v>8.8</v>
      </c>
      <c r="D28" s="3" t="n">
        <v>8.7</v>
      </c>
      <c r="E28" s="3" t="n">
        <v>8.6</v>
      </c>
      <c r="F28" s="3" t="n">
        <v>8.6</v>
      </c>
      <c r="G28" s="3" t="n">
        <v>8.6</v>
      </c>
      <c r="H28" s="3" t="n">
        <v>8.6</v>
      </c>
      <c r="I28" s="3" t="n">
        <v>8.6</v>
      </c>
      <c r="J28" s="3" t="n">
        <v>8.6</v>
      </c>
      <c r="K28" s="3" t="n">
        <v>8.6</v>
      </c>
      <c r="L28" s="3" t="n">
        <v>8.6</v>
      </c>
    </row>
    <row r="29" customFormat="false" ht="15" hidden="false" customHeight="false" outlineLevel="0" collapsed="false">
      <c r="A29" s="0" t="s">
        <v>97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1.2</v>
      </c>
      <c r="D31" s="3" t="n">
        <v>1.3</v>
      </c>
      <c r="E31" s="3" t="n">
        <v>1.5</v>
      </c>
      <c r="F31" s="3" t="n">
        <v>1.6</v>
      </c>
      <c r="G31" s="3" t="n">
        <v>1.8</v>
      </c>
      <c r="H31" s="3" t="n">
        <v>1.9</v>
      </c>
      <c r="I31" s="3" t="n">
        <v>2</v>
      </c>
      <c r="J31" s="3" t="n">
        <v>2.1</v>
      </c>
      <c r="K31" s="3" t="n">
        <v>2.1</v>
      </c>
      <c r="L31" s="3" t="n">
        <v>2.2</v>
      </c>
    </row>
    <row r="32" customFormat="false" ht="15" hidden="false" customHeight="false" outlineLevel="0" collapsed="false">
      <c r="A32" s="0" t="s">
        <v>100</v>
      </c>
      <c r="C32" s="3" t="n">
        <v>3</v>
      </c>
      <c r="D32" s="3" t="n">
        <v>3</v>
      </c>
      <c r="E32" s="3" t="n">
        <v>2.9</v>
      </c>
      <c r="F32" s="3" t="n">
        <v>2.8</v>
      </c>
      <c r="G32" s="3" t="n">
        <v>2.7</v>
      </c>
      <c r="H32" s="3" t="n">
        <v>2.6</v>
      </c>
      <c r="I32" s="3" t="n">
        <v>2.5</v>
      </c>
      <c r="J32" s="3" t="n">
        <v>2.5</v>
      </c>
      <c r="K32" s="3" t="n">
        <v>2.5</v>
      </c>
      <c r="L32" s="3" t="n">
        <v>2.5</v>
      </c>
    </row>
    <row r="33" customFormat="false" ht="15" hidden="false" customHeight="false" outlineLevel="0" collapsed="false">
      <c r="A33" s="0" t="s">
        <v>101</v>
      </c>
      <c r="C33" s="3" t="n">
        <v>46</v>
      </c>
      <c r="D33" s="3" t="n">
        <v>46</v>
      </c>
      <c r="E33" s="3" t="n">
        <v>46</v>
      </c>
      <c r="F33" s="3" t="n">
        <v>46</v>
      </c>
      <c r="G33" s="3" t="n">
        <v>46</v>
      </c>
      <c r="H33" s="3" t="n">
        <v>46</v>
      </c>
      <c r="I33" s="3" t="n">
        <v>46</v>
      </c>
      <c r="J33" s="3" t="n">
        <v>46</v>
      </c>
      <c r="K33" s="3" t="n">
        <v>46</v>
      </c>
      <c r="L33" s="3" t="n">
        <v>46</v>
      </c>
    </row>
    <row r="34" customFormat="false" ht="15" hidden="false" customHeight="false" outlineLevel="0" collapsed="false">
      <c r="A34" s="0" t="s">
        <v>102</v>
      </c>
      <c r="B34" s="3" t="n">
        <v>8.5</v>
      </c>
    </row>
    <row r="35" customFormat="false" ht="15" hidden="false" customHeight="false" outlineLevel="0" collapsed="false">
      <c r="A35" s="0" t="s">
        <v>103</v>
      </c>
      <c r="B35" s="3" t="n">
        <v>2</v>
      </c>
    </row>
    <row r="36" customFormat="false" ht="15" hidden="false" customHeight="false" outlineLevel="0" collapsed="false">
      <c r="A36" s="0" t="s">
        <v>104</v>
      </c>
      <c r="B36" s="3" t="n">
        <v>15</v>
      </c>
    </row>
    <row r="37" customFormat="false" ht="15" hidden="false" customHeight="false" outlineLevel="0" collapsed="false">
      <c r="A37" s="0" t="s">
        <v>105</v>
      </c>
      <c r="B37" s="3" t="n">
        <v>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9</v>
      </c>
      <c r="D41" s="3" t="n">
        <v>8</v>
      </c>
      <c r="E41" s="3" t="n">
        <v>7</v>
      </c>
      <c r="F41" s="3" t="n">
        <v>6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9.6</v>
      </c>
      <c r="D42" s="3" t="n">
        <v>9.9</v>
      </c>
      <c r="E42" s="3" t="n">
        <v>10.2</v>
      </c>
      <c r="F42" s="3" t="n">
        <v>10.4</v>
      </c>
      <c r="G42" s="3" t="n">
        <v>10.5</v>
      </c>
      <c r="H42" s="3" t="n">
        <v>10.5</v>
      </c>
      <c r="I42" s="3" t="n">
        <v>10.5</v>
      </c>
      <c r="J42" s="3" t="n">
        <v>10.5</v>
      </c>
      <c r="K42" s="3" t="n">
        <v>10.5</v>
      </c>
      <c r="L42" s="3" t="n">
        <v>10.5</v>
      </c>
    </row>
    <row r="43" customFormat="false" ht="15" hidden="false" customHeight="false" outlineLevel="0" collapsed="false">
      <c r="A43" s="0" t="s">
        <v>97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1.2</v>
      </c>
      <c r="D45" s="3" t="n">
        <v>1.3</v>
      </c>
      <c r="E45" s="3" t="n">
        <v>1.5</v>
      </c>
      <c r="F45" s="3" t="n">
        <v>1.6</v>
      </c>
      <c r="G45" s="3" t="n">
        <v>1.8</v>
      </c>
      <c r="H45" s="3" t="n">
        <v>1.9</v>
      </c>
      <c r="I45" s="3" t="n">
        <v>2</v>
      </c>
      <c r="J45" s="3" t="n">
        <v>2.1</v>
      </c>
      <c r="K45" s="3" t="n">
        <v>2.1</v>
      </c>
      <c r="L45" s="3" t="n">
        <v>2.2</v>
      </c>
    </row>
    <row r="46" customFormat="false" ht="15" hidden="false" customHeight="false" outlineLevel="0" collapsed="false">
      <c r="A46" s="0" t="s">
        <v>100</v>
      </c>
      <c r="C46" s="3" t="n">
        <v>3</v>
      </c>
      <c r="D46" s="3" t="n">
        <v>3</v>
      </c>
      <c r="E46" s="3" t="n">
        <v>2.9</v>
      </c>
      <c r="F46" s="3" t="n">
        <v>2.8</v>
      </c>
      <c r="G46" s="3" t="n">
        <v>2.7</v>
      </c>
      <c r="H46" s="3" t="n">
        <v>2.6</v>
      </c>
      <c r="I46" s="3" t="n">
        <v>2.5</v>
      </c>
      <c r="J46" s="3" t="n">
        <v>2.5</v>
      </c>
      <c r="K46" s="3" t="n">
        <v>2.5</v>
      </c>
      <c r="L46" s="3" t="n">
        <v>2.5</v>
      </c>
    </row>
    <row r="47" customFormat="false" ht="15" hidden="false" customHeight="false" outlineLevel="0" collapsed="false">
      <c r="A47" s="0" t="s">
        <v>101</v>
      </c>
      <c r="C47" s="3" t="n">
        <v>47.5</v>
      </c>
      <c r="D47" s="3" t="n">
        <v>47.5</v>
      </c>
      <c r="E47" s="3" t="n">
        <v>47.5</v>
      </c>
      <c r="F47" s="3" t="n">
        <v>47.5</v>
      </c>
      <c r="G47" s="3" t="n">
        <v>47.5</v>
      </c>
      <c r="H47" s="3" t="n">
        <v>47.5</v>
      </c>
      <c r="I47" s="3" t="n">
        <v>47.5</v>
      </c>
      <c r="J47" s="3" t="n">
        <v>47.5</v>
      </c>
      <c r="K47" s="3" t="n">
        <v>47.5</v>
      </c>
      <c r="L47" s="3" t="n">
        <v>47.5</v>
      </c>
    </row>
    <row r="48" customFormat="false" ht="15" hidden="false" customHeight="false" outlineLevel="0" collapsed="false">
      <c r="A48" s="0" t="s">
        <v>102</v>
      </c>
      <c r="B48" s="3" t="n">
        <v>8.5</v>
      </c>
    </row>
    <row r="49" customFormat="false" ht="15" hidden="false" customHeight="false" outlineLevel="0" collapsed="false">
      <c r="A49" s="0" t="s">
        <v>103</v>
      </c>
      <c r="B49" s="3" t="n">
        <v>2</v>
      </c>
    </row>
    <row r="50" customFormat="false" ht="15" hidden="false" customHeight="false" outlineLevel="0" collapsed="false">
      <c r="A50" s="0" t="s">
        <v>104</v>
      </c>
      <c r="B50" s="3" t="n">
        <v>15</v>
      </c>
    </row>
    <row r="51" customFormat="false" ht="15" hidden="false" customHeight="false" outlineLevel="0" collapsed="false">
      <c r="A51" s="0" t="s">
        <v>105</v>
      </c>
      <c r="B51" s="3" t="n">
        <v>0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80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0</v>
      </c>
      <c r="D5" s="4" t="n">
        <f aca="false">Assumptions!D13</f>
        <v>2</v>
      </c>
      <c r="E5" s="4" t="n">
        <f aca="false">Assumptions!E13</f>
        <v>2.5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950000</v>
      </c>
      <c r="C6" s="0" t="n">
        <f aca="false">B6*(1+C5/100)</f>
        <v>950000</v>
      </c>
      <c r="D6" s="0" t="n">
        <f aca="false">C6*(1+D5/100)</f>
        <v>969000</v>
      </c>
      <c r="E6" s="0" t="n">
        <f aca="false">D6*(1+E5/100)</f>
        <v>993225</v>
      </c>
      <c r="F6" s="0" t="n">
        <f aca="false">E6*(1+F5/100)</f>
        <v>1018055.625</v>
      </c>
      <c r="G6" s="0" t="n">
        <f aca="false">F6*(1+G5/100)</f>
        <v>1043507.015625</v>
      </c>
      <c r="H6" s="0" t="n">
        <f aca="false">G6*(1+H5/100)</f>
        <v>1064377.1559375</v>
      </c>
      <c r="I6" s="0" t="n">
        <f aca="false">H6*(1+I5/100)</f>
        <v>1085664.69905625</v>
      </c>
      <c r="J6" s="0" t="n">
        <f aca="false">I6*(1+J5/100)</f>
        <v>1107377.99303737</v>
      </c>
      <c r="K6" s="0" t="n">
        <f aca="false">J6*(1+K5/100)</f>
        <v>1129525.55289812</v>
      </c>
      <c r="L6" s="0" t="n">
        <f aca="false">K6*(1+L5/100)</f>
        <v>1152116.06395608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7.5</v>
      </c>
      <c r="D7" s="4" t="n">
        <f aca="false">Assumptions!D14</f>
        <v>7</v>
      </c>
      <c r="E7" s="4" t="n">
        <f aca="false">Assumptions!E14</f>
        <v>6.5</v>
      </c>
      <c r="F7" s="4" t="n">
        <f aca="false">Assumptions!F14</f>
        <v>6.5</v>
      </c>
      <c r="G7" s="4" t="n">
        <f aca="false">Assumptions!G14</f>
        <v>6.5</v>
      </c>
      <c r="H7" s="4" t="n">
        <f aca="false">Assumptions!H14</f>
        <v>6.5</v>
      </c>
      <c r="I7" s="4" t="n">
        <f aca="false">Assumptions!I14</f>
        <v>6.5</v>
      </c>
      <c r="J7" s="4" t="n">
        <f aca="false">Assumptions!J14</f>
        <v>6.5</v>
      </c>
      <c r="K7" s="4" t="n">
        <f aca="false">Assumptions!K14</f>
        <v>6.5</v>
      </c>
      <c r="L7" s="4" t="n">
        <f aca="false">Assumptions!L14</f>
        <v>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71250</v>
      </c>
      <c r="D8" s="0" t="n">
        <f aca="false">D6*D7/100</f>
        <v>67830</v>
      </c>
      <c r="E8" s="0" t="n">
        <f aca="false">E6*E7/100</f>
        <v>64559.625</v>
      </c>
      <c r="F8" s="0" t="n">
        <f aca="false">F6*F7/100</f>
        <v>66173.615625</v>
      </c>
      <c r="G8" s="0" t="n">
        <f aca="false">G6*G7/100</f>
        <v>67827.956015625</v>
      </c>
      <c r="H8" s="0" t="n">
        <f aca="false">H6*H7/100</f>
        <v>69184.5151359375</v>
      </c>
      <c r="I8" s="0" t="n">
        <f aca="false">I6*I7/100</f>
        <v>70568.2054386562</v>
      </c>
      <c r="J8" s="0" t="n">
        <f aca="false">J6*J7/100</f>
        <v>71979.5695474294</v>
      </c>
      <c r="K8" s="0" t="n">
        <f aca="false">K6*K7/100</f>
        <v>73419.1609383779</v>
      </c>
      <c r="L8" s="0" t="n">
        <f aca="false">L6*L7/100</f>
        <v>74887.5441571455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71250</v>
      </c>
      <c r="D11" s="0" t="n">
        <f aca="false">D8+D10+D24</f>
        <v>67830</v>
      </c>
      <c r="E11" s="0" t="n">
        <f aca="false">E8+E10+E24</f>
        <v>64559.625</v>
      </c>
      <c r="F11" s="0" t="n">
        <f aca="false">F8+F10+F24</f>
        <v>66173.615625</v>
      </c>
      <c r="G11" s="0" t="n">
        <f aca="false">G8+G10+G24</f>
        <v>67827.956015625</v>
      </c>
      <c r="H11" s="0" t="n">
        <f aca="false">H8+H10+H24</f>
        <v>69184.5151359375</v>
      </c>
      <c r="I11" s="0" t="n">
        <f aca="false">I8+I10+I24</f>
        <v>70568.2054386562</v>
      </c>
      <c r="J11" s="0" t="n">
        <f aca="false">J8+J10+J24</f>
        <v>71979.5695474294</v>
      </c>
      <c r="K11" s="0" t="n">
        <f aca="false">K8+K10+K24</f>
        <v>73419.1609383779</v>
      </c>
      <c r="L11" s="0" t="n">
        <f aca="false">L8+L10+L24</f>
        <v>74887.5441571455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-11400</v>
      </c>
      <c r="D12" s="4" t="n">
        <f aca="false">-D6*Assumptions!D17/100</f>
        <v>-12597</v>
      </c>
      <c r="E12" s="4" t="n">
        <f aca="false">-E6*Assumptions!E17/100</f>
        <v>-14898.375</v>
      </c>
      <c r="F12" s="4" t="n">
        <f aca="false">-F6*Assumptions!F17/100</f>
        <v>-16288.89</v>
      </c>
      <c r="G12" s="4" t="n">
        <f aca="false">-G6*Assumptions!G17/100</f>
        <v>-18783.12628125</v>
      </c>
      <c r="H12" s="4" t="n">
        <f aca="false">-H6*Assumptions!H17/100</f>
        <v>-20223.1659628125</v>
      </c>
      <c r="I12" s="4" t="n">
        <f aca="false">-I6*Assumptions!I17/100</f>
        <v>-21713.293981125</v>
      </c>
      <c r="J12" s="4" t="n">
        <f aca="false">-J6*Assumptions!J17/100</f>
        <v>-23254.9378537849</v>
      </c>
      <c r="K12" s="4" t="n">
        <f aca="false">-K6*Assumptions!K17/100</f>
        <v>-23720.0366108606</v>
      </c>
      <c r="L12" s="4" t="n">
        <f aca="false">-L6*Assumptions!L17/100</f>
        <v>-25346.5534070339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59850</v>
      </c>
      <c r="D13" s="0" t="n">
        <f aca="false">D11+D12</f>
        <v>55233</v>
      </c>
      <c r="E13" s="0" t="n">
        <f aca="false">E11+E12</f>
        <v>49661.25</v>
      </c>
      <c r="F13" s="0" t="n">
        <f aca="false">F11+F12</f>
        <v>49884.725625</v>
      </c>
      <c r="G13" s="0" t="n">
        <f aca="false">G11+G12</f>
        <v>49044.829734375</v>
      </c>
      <c r="H13" s="0" t="n">
        <f aca="false">H11+H12</f>
        <v>48961.349173125</v>
      </c>
      <c r="I13" s="0" t="n">
        <f aca="false">I11+I12</f>
        <v>48854.9114575312</v>
      </c>
      <c r="J13" s="0" t="n">
        <f aca="false">J11+J12</f>
        <v>48724.6316936445</v>
      </c>
      <c r="K13" s="0" t="n">
        <f aca="false">K11+K12</f>
        <v>49699.1243275174</v>
      </c>
      <c r="L13" s="0" t="n">
        <f aca="false">L11+L12</f>
        <v>49540.9907501116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44</v>
      </c>
      <c r="D14" s="4" t="n">
        <f aca="false">Assumptions!D19</f>
        <v>44</v>
      </c>
      <c r="E14" s="4" t="n">
        <f aca="false">Assumptions!E19</f>
        <v>44</v>
      </c>
      <c r="F14" s="4" t="n">
        <f aca="false">Assumptions!F19</f>
        <v>44</v>
      </c>
      <c r="G14" s="4" t="n">
        <f aca="false">Assumptions!G19</f>
        <v>44</v>
      </c>
      <c r="H14" s="4" t="n">
        <f aca="false">Assumptions!H19</f>
        <v>44</v>
      </c>
      <c r="I14" s="4" t="n">
        <f aca="false">Assumptions!I19</f>
        <v>44</v>
      </c>
      <c r="J14" s="4" t="n">
        <f aca="false">Assumptions!J19</f>
        <v>44</v>
      </c>
      <c r="K14" s="4" t="n">
        <f aca="false">Assumptions!K19</f>
        <v>44</v>
      </c>
      <c r="L14" s="4" t="n">
        <f aca="false">Assumptions!L19</f>
        <v>44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33516</v>
      </c>
      <c r="D15" s="0" t="n">
        <f aca="false">D13-MAX(0,D13)*D14/100</f>
        <v>30930.48</v>
      </c>
      <c r="E15" s="0" t="n">
        <f aca="false">E13-MAX(0,E13)*E14/100</f>
        <v>27810.3</v>
      </c>
      <c r="F15" s="0" t="n">
        <f aca="false">F13-MAX(0,F13)*F14/100</f>
        <v>27935.44635</v>
      </c>
      <c r="G15" s="0" t="n">
        <f aca="false">G13-MAX(0,G13)*G14/100</f>
        <v>27465.10465125</v>
      </c>
      <c r="H15" s="0" t="n">
        <f aca="false">H13-MAX(0,H13)*H14/100</f>
        <v>27418.35553695</v>
      </c>
      <c r="I15" s="0" t="n">
        <f aca="false">I13-MAX(0,I13)*I14/100</f>
        <v>27358.7504162175</v>
      </c>
      <c r="J15" s="0" t="n">
        <f aca="false">J13-MAX(0,J13)*J14/100</f>
        <v>27285.7937484409</v>
      </c>
      <c r="K15" s="0" t="n">
        <f aca="false">K13-MAX(0,K13)*K14/100</f>
        <v>27831.5096234097</v>
      </c>
      <c r="L15" s="0" t="n">
        <f aca="false">L13-MAX(0,L13)*L14/100</f>
        <v>27742.9548200625</v>
      </c>
    </row>
    <row r="16" customFormat="false" ht="15" hidden="false" customHeight="false" outlineLevel="0" collapsed="false">
      <c r="A16" s="0" t="s">
        <v>117</v>
      </c>
      <c r="C16" s="0" t="n">
        <f aca="false">-C12</f>
        <v>11400</v>
      </c>
      <c r="D16" s="0" t="n">
        <f aca="false">-D12</f>
        <v>12597</v>
      </c>
      <c r="E16" s="0" t="n">
        <f aca="false">-E12</f>
        <v>14898.375</v>
      </c>
      <c r="F16" s="0" t="n">
        <f aca="false">-F12</f>
        <v>16288.89</v>
      </c>
      <c r="G16" s="0" t="n">
        <f aca="false">-G12</f>
        <v>18783.12628125</v>
      </c>
      <c r="H16" s="0" t="n">
        <f aca="false">-H12</f>
        <v>20223.1659628125</v>
      </c>
      <c r="I16" s="0" t="n">
        <f aca="false">-I12</f>
        <v>21713.293981125</v>
      </c>
      <c r="J16" s="0" t="n">
        <f aca="false">-J12</f>
        <v>23254.9378537849</v>
      </c>
      <c r="K16" s="0" t="n">
        <f aca="false">-K12</f>
        <v>23720.0366108606</v>
      </c>
      <c r="L16" s="0" t="n">
        <f aca="false">-L12</f>
        <v>25346.5534070339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-28500</v>
      </c>
      <c r="D17" s="4" t="n">
        <f aca="false">-D6*Assumptions!D18/100</f>
        <v>-28101</v>
      </c>
      <c r="E17" s="4" t="n">
        <f aca="false">-E6*Assumptions!E18/100</f>
        <v>-27810.3</v>
      </c>
      <c r="F17" s="4" t="n">
        <f aca="false">-F6*Assumptions!F18/100</f>
        <v>-27487.501875</v>
      </c>
      <c r="G17" s="4" t="n">
        <f aca="false">-G6*Assumptions!G18/100</f>
        <v>-27131.18240625</v>
      </c>
      <c r="H17" s="4" t="n">
        <f aca="false">-H6*Assumptions!H18/100</f>
        <v>-26609.4288984375</v>
      </c>
      <c r="I17" s="4" t="n">
        <f aca="false">-I6*Assumptions!I18/100</f>
        <v>-27141.6174764062</v>
      </c>
      <c r="J17" s="4" t="n">
        <f aca="false">-J6*Assumptions!J18/100</f>
        <v>-27684.4498259344</v>
      </c>
      <c r="K17" s="4" t="n">
        <f aca="false">-K6*Assumptions!K18/100</f>
        <v>-28238.1388224531</v>
      </c>
      <c r="L17" s="4" t="n">
        <f aca="false">-L6*Assumptions!L18/100</f>
        <v>-28802.9015989021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16416</v>
      </c>
      <c r="D19" s="0" t="n">
        <f aca="false">D15+D16+D17+D18</f>
        <v>15426.48</v>
      </c>
      <c r="E19" s="0" t="n">
        <f aca="false">E15+E16+E17+E18</f>
        <v>14898.375</v>
      </c>
      <c r="F19" s="0" t="n">
        <f aca="false">F15+F16+F17+F18</f>
        <v>16736.834475</v>
      </c>
      <c r="G19" s="0" t="n">
        <f aca="false">G15+G16+G17+G18</f>
        <v>19117.04852625</v>
      </c>
      <c r="H19" s="0" t="n">
        <f aca="false">H15+H16+H17+H18</f>
        <v>21032.092601325</v>
      </c>
      <c r="I19" s="0" t="n">
        <f aca="false">I15+I16+I17+I18</f>
        <v>21930.4269209362</v>
      </c>
      <c r="J19" s="0" t="n">
        <f aca="false">J15+J16+J17+J18</f>
        <v>22856.2817762914</v>
      </c>
      <c r="K19" s="0" t="n">
        <f aca="false">K15+K16+K17+K18</f>
        <v>23313.4074118172</v>
      </c>
      <c r="L19" s="0" t="n">
        <f aca="false">L15+L16+L17+L18</f>
        <v>24286.6066281943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15129.9539170507</v>
      </c>
      <c r="D21" s="0" t="n">
        <f aca="false">D19*D20</f>
        <v>13104.1049926734</v>
      </c>
      <c r="E21" s="0" t="n">
        <f aca="false">E19*E20</f>
        <v>11664.0584409579</v>
      </c>
      <c r="F21" s="0" t="n">
        <f aca="false">F19*F20</f>
        <v>12076.8693572093</v>
      </c>
      <c r="G21" s="0" t="n">
        <f aca="false">G19*G20</f>
        <v>12713.7056291655</v>
      </c>
      <c r="H21" s="0" t="n">
        <f aca="false">H19*H20</f>
        <v>12891.5179047832</v>
      </c>
      <c r="I21" s="0" t="n">
        <f aca="false">I19*I20</f>
        <v>12389.0760513327</v>
      </c>
      <c r="J21" s="0" t="n">
        <f aca="false">J19*J20</f>
        <v>11900.5676093214</v>
      </c>
      <c r="K21" s="0" t="n">
        <f aca="false">K19*K20</f>
        <v>11187.6303792699</v>
      </c>
      <c r="L21" s="0" t="n">
        <f aca="false">L19*L20</f>
        <v>10741.6118923887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123799.096174153</v>
      </c>
    </row>
    <row r="31" customFormat="false" ht="15" hidden="false" customHeight="false" outlineLevel="0" collapsed="false">
      <c r="A31" s="0" t="s">
        <v>126</v>
      </c>
      <c r="B31" s="0" t="n">
        <f aca="false">L19</f>
        <v>24286.6066281943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381112.904011664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364299.099422914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364299.099422914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161124.178385831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284923.274559984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436646.274559984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856.505050137276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-0.32532095302302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856.505050137276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190556.452005832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570.957726517352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80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5</v>
      </c>
      <c r="D5" s="4" t="n">
        <f aca="false">Assumptions!D27</f>
        <v>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950000</v>
      </c>
      <c r="C6" s="0" t="n">
        <f aca="false">B6*(1+C5/100)</f>
        <v>997500</v>
      </c>
      <c r="D6" s="0" t="n">
        <f aca="false">C6*(1+D5/100)</f>
        <v>1047375</v>
      </c>
      <c r="E6" s="0" t="n">
        <f aca="false">D6*(1+E5/100)</f>
        <v>1094506.875</v>
      </c>
      <c r="F6" s="0" t="n">
        <f aca="false">E6*(1+F5/100)</f>
        <v>1138287.15</v>
      </c>
      <c r="G6" s="0" t="n">
        <f aca="false">F6*(1+G5/100)</f>
        <v>1183818.636</v>
      </c>
      <c r="H6" s="0" t="n">
        <f aca="false">G6*(1+H5/100)</f>
        <v>1225252.28826</v>
      </c>
      <c r="I6" s="0" t="n">
        <f aca="false">H6*(1+I5/100)</f>
        <v>1262009.8569078</v>
      </c>
      <c r="J6" s="0" t="n">
        <f aca="false">I6*(1+J5/100)</f>
        <v>1299870.15261503</v>
      </c>
      <c r="K6" s="0" t="n">
        <f aca="false">J6*(1+K5/100)</f>
        <v>1332366.90643041</v>
      </c>
      <c r="L6" s="0" t="n">
        <f aca="false">K6*(1+L5/100)</f>
        <v>1365676.07909117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8.8</v>
      </c>
      <c r="D7" s="4" t="n">
        <f aca="false">Assumptions!D28</f>
        <v>8.7</v>
      </c>
      <c r="E7" s="4" t="n">
        <f aca="false">Assumptions!E28</f>
        <v>8.6</v>
      </c>
      <c r="F7" s="4" t="n">
        <f aca="false">Assumptions!F28</f>
        <v>8.6</v>
      </c>
      <c r="G7" s="4" t="n">
        <f aca="false">Assumptions!G28</f>
        <v>8.6</v>
      </c>
      <c r="H7" s="4" t="n">
        <f aca="false">Assumptions!H28</f>
        <v>8.6</v>
      </c>
      <c r="I7" s="4" t="n">
        <f aca="false">Assumptions!I28</f>
        <v>8.6</v>
      </c>
      <c r="J7" s="4" t="n">
        <f aca="false">Assumptions!J28</f>
        <v>8.6</v>
      </c>
      <c r="K7" s="4" t="n">
        <f aca="false">Assumptions!K28</f>
        <v>8.6</v>
      </c>
      <c r="L7" s="4" t="n">
        <f aca="false">Assumptions!L28</f>
        <v>8.6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87780</v>
      </c>
      <c r="D8" s="0" t="n">
        <f aca="false">D6*D7/100</f>
        <v>91121.625</v>
      </c>
      <c r="E8" s="0" t="n">
        <f aca="false">E6*E7/100</f>
        <v>94127.59125</v>
      </c>
      <c r="F8" s="0" t="n">
        <f aca="false">F6*F7/100</f>
        <v>97892.6949</v>
      </c>
      <c r="G8" s="0" t="n">
        <f aca="false">G6*G7/100</f>
        <v>101808.402696</v>
      </c>
      <c r="H8" s="0" t="n">
        <f aca="false">H6*H7/100</f>
        <v>105371.69679036</v>
      </c>
      <c r="I8" s="0" t="n">
        <f aca="false">I6*I7/100</f>
        <v>108532.847694071</v>
      </c>
      <c r="J8" s="0" t="n">
        <f aca="false">J6*J7/100</f>
        <v>111788.833124893</v>
      </c>
      <c r="K8" s="0" t="n">
        <f aca="false">K6*K7/100</f>
        <v>114583.553953015</v>
      </c>
      <c r="L8" s="0" t="n">
        <f aca="false">L6*L7/100</f>
        <v>117448.142801841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87780</v>
      </c>
      <c r="D11" s="0" t="n">
        <f aca="false">D8+D10+D24</f>
        <v>91121.625</v>
      </c>
      <c r="E11" s="0" t="n">
        <f aca="false">E8+E10+E24</f>
        <v>94127.59125</v>
      </c>
      <c r="F11" s="0" t="n">
        <f aca="false">F8+F10+F24</f>
        <v>97892.6949</v>
      </c>
      <c r="G11" s="0" t="n">
        <f aca="false">G8+G10+G24</f>
        <v>101808.402696</v>
      </c>
      <c r="H11" s="0" t="n">
        <f aca="false">H8+H10+H24</f>
        <v>105371.69679036</v>
      </c>
      <c r="I11" s="0" t="n">
        <f aca="false">I8+I10+I24</f>
        <v>108532.847694071</v>
      </c>
      <c r="J11" s="0" t="n">
        <f aca="false">J8+J10+J24</f>
        <v>111788.833124893</v>
      </c>
      <c r="K11" s="0" t="n">
        <f aca="false">K8+K10+K24</f>
        <v>114583.553953015</v>
      </c>
      <c r="L11" s="0" t="n">
        <f aca="false">L8+L10+L24</f>
        <v>117448.142801841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-11970</v>
      </c>
      <c r="D12" s="4" t="n">
        <f aca="false">-D6*Assumptions!D31/100</f>
        <v>-13615.875</v>
      </c>
      <c r="E12" s="4" t="n">
        <f aca="false">-E6*Assumptions!E31/100</f>
        <v>-16417.603125</v>
      </c>
      <c r="F12" s="4" t="n">
        <f aca="false">-F6*Assumptions!F31/100</f>
        <v>-18212.5944</v>
      </c>
      <c r="G12" s="4" t="n">
        <f aca="false">-G6*Assumptions!G31/100</f>
        <v>-21308.735448</v>
      </c>
      <c r="H12" s="4" t="n">
        <f aca="false">-H6*Assumptions!H31/100</f>
        <v>-23279.79347694</v>
      </c>
      <c r="I12" s="4" t="n">
        <f aca="false">-I6*Assumptions!I31/100</f>
        <v>-25240.197138156</v>
      </c>
      <c r="J12" s="4" t="n">
        <f aca="false">-J6*Assumptions!J31/100</f>
        <v>-27297.2732049157</v>
      </c>
      <c r="K12" s="4" t="n">
        <f aca="false">-K6*Assumptions!K31/100</f>
        <v>-27979.7050350386</v>
      </c>
      <c r="L12" s="4" t="n">
        <f aca="false">-L6*Assumptions!L31/100</f>
        <v>-30044.8737400057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75810</v>
      </c>
      <c r="D13" s="0" t="n">
        <f aca="false">D11+D12</f>
        <v>77505.75</v>
      </c>
      <c r="E13" s="0" t="n">
        <f aca="false">E11+E12</f>
        <v>77709.988125</v>
      </c>
      <c r="F13" s="0" t="n">
        <f aca="false">F11+F12</f>
        <v>79680.1005</v>
      </c>
      <c r="G13" s="0" t="n">
        <f aca="false">G11+G12</f>
        <v>80499.667248</v>
      </c>
      <c r="H13" s="0" t="n">
        <f aca="false">H11+H12</f>
        <v>82091.90331342</v>
      </c>
      <c r="I13" s="0" t="n">
        <f aca="false">I11+I12</f>
        <v>83292.6505559148</v>
      </c>
      <c r="J13" s="0" t="n">
        <f aca="false">J11+J12</f>
        <v>84491.5599199772</v>
      </c>
      <c r="K13" s="0" t="n">
        <f aca="false">K11+K12</f>
        <v>86603.8489179766</v>
      </c>
      <c r="L13" s="0" t="n">
        <f aca="false">L11+L12</f>
        <v>87403.2690618349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46</v>
      </c>
      <c r="D14" s="4" t="n">
        <f aca="false">Assumptions!D33</f>
        <v>46</v>
      </c>
      <c r="E14" s="4" t="n">
        <f aca="false">Assumptions!E33</f>
        <v>46</v>
      </c>
      <c r="F14" s="4" t="n">
        <f aca="false">Assumptions!F33</f>
        <v>46</v>
      </c>
      <c r="G14" s="4" t="n">
        <f aca="false">Assumptions!G33</f>
        <v>46</v>
      </c>
      <c r="H14" s="4" t="n">
        <f aca="false">Assumptions!H33</f>
        <v>46</v>
      </c>
      <c r="I14" s="4" t="n">
        <f aca="false">Assumptions!I33</f>
        <v>46</v>
      </c>
      <c r="J14" s="4" t="n">
        <f aca="false">Assumptions!J33</f>
        <v>46</v>
      </c>
      <c r="K14" s="4" t="n">
        <f aca="false">Assumptions!K33</f>
        <v>46</v>
      </c>
      <c r="L14" s="4" t="n">
        <f aca="false">Assumptions!L33</f>
        <v>46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40937.4</v>
      </c>
      <c r="D15" s="0" t="n">
        <f aca="false">D13-MAX(0,D13)*D14/100</f>
        <v>41853.105</v>
      </c>
      <c r="E15" s="0" t="n">
        <f aca="false">E13-MAX(0,E13)*E14/100</f>
        <v>41963.3935875</v>
      </c>
      <c r="F15" s="0" t="n">
        <f aca="false">F13-MAX(0,F13)*F14/100</f>
        <v>43027.25427</v>
      </c>
      <c r="G15" s="0" t="n">
        <f aca="false">G13-MAX(0,G13)*G14/100</f>
        <v>43469.82031392</v>
      </c>
      <c r="H15" s="0" t="n">
        <f aca="false">H13-MAX(0,H13)*H14/100</f>
        <v>44329.6277892468</v>
      </c>
      <c r="I15" s="0" t="n">
        <f aca="false">I13-MAX(0,I13)*I14/100</f>
        <v>44978.031300194</v>
      </c>
      <c r="J15" s="0" t="n">
        <f aca="false">J13-MAX(0,J13)*J14/100</f>
        <v>45625.4423567877</v>
      </c>
      <c r="K15" s="0" t="n">
        <f aca="false">K13-MAX(0,K13)*K14/100</f>
        <v>46766.0784157074</v>
      </c>
      <c r="L15" s="0" t="n">
        <f aca="false">L13-MAX(0,L13)*L14/100</f>
        <v>47197.7652933908</v>
      </c>
    </row>
    <row r="16" customFormat="false" ht="15" hidden="false" customHeight="false" outlineLevel="0" collapsed="false">
      <c r="A16" s="0" t="s">
        <v>117</v>
      </c>
      <c r="C16" s="0" t="n">
        <f aca="false">-C12</f>
        <v>11970</v>
      </c>
      <c r="D16" s="0" t="n">
        <f aca="false">-D12</f>
        <v>13615.875</v>
      </c>
      <c r="E16" s="0" t="n">
        <f aca="false">-E12</f>
        <v>16417.603125</v>
      </c>
      <c r="F16" s="0" t="n">
        <f aca="false">-F12</f>
        <v>18212.5944</v>
      </c>
      <c r="G16" s="0" t="n">
        <f aca="false">-G12</f>
        <v>21308.735448</v>
      </c>
      <c r="H16" s="0" t="n">
        <f aca="false">-H12</f>
        <v>23279.79347694</v>
      </c>
      <c r="I16" s="0" t="n">
        <f aca="false">-I12</f>
        <v>25240.197138156</v>
      </c>
      <c r="J16" s="0" t="n">
        <f aca="false">-J12</f>
        <v>27297.2732049157</v>
      </c>
      <c r="K16" s="0" t="n">
        <f aca="false">-K12</f>
        <v>27979.7050350386</v>
      </c>
      <c r="L16" s="0" t="n">
        <f aca="false">-L12</f>
        <v>30044.8737400057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-29925</v>
      </c>
      <c r="D17" s="4" t="n">
        <f aca="false">-D6*Assumptions!D32/100</f>
        <v>-31421.25</v>
      </c>
      <c r="E17" s="4" t="n">
        <f aca="false">-E6*Assumptions!E32/100</f>
        <v>-31740.699375</v>
      </c>
      <c r="F17" s="4" t="n">
        <f aca="false">-F6*Assumptions!F32/100</f>
        <v>-31872.0402</v>
      </c>
      <c r="G17" s="4" t="n">
        <f aca="false">-G6*Assumptions!G32/100</f>
        <v>-31963.103172</v>
      </c>
      <c r="H17" s="4" t="n">
        <f aca="false">-H6*Assumptions!H32/100</f>
        <v>-31856.55949476</v>
      </c>
      <c r="I17" s="4" t="n">
        <f aca="false">-I6*Assumptions!I32/100</f>
        <v>-31550.246422695</v>
      </c>
      <c r="J17" s="4" t="n">
        <f aca="false">-J6*Assumptions!J32/100</f>
        <v>-32496.7538153759</v>
      </c>
      <c r="K17" s="4" t="n">
        <f aca="false">-K6*Assumptions!K32/100</f>
        <v>-33309.1726607603</v>
      </c>
      <c r="L17" s="4" t="n">
        <f aca="false">-L6*Assumptions!L32/100</f>
        <v>-34141.9019772792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22982.4</v>
      </c>
      <c r="D19" s="0" t="n">
        <f aca="false">D15+D16+D17+D18</f>
        <v>24047.73</v>
      </c>
      <c r="E19" s="0" t="n">
        <f aca="false">E15+E16+E17+E18</f>
        <v>26640.2973375</v>
      </c>
      <c r="F19" s="0" t="n">
        <f aca="false">F15+F16+F17+F18</f>
        <v>29367.80847</v>
      </c>
      <c r="G19" s="0" t="n">
        <f aca="false">G15+G16+G17+G18</f>
        <v>32815.45258992</v>
      </c>
      <c r="H19" s="0" t="n">
        <f aca="false">H15+H16+H17+H18</f>
        <v>35752.8617714268</v>
      </c>
      <c r="I19" s="0" t="n">
        <f aca="false">I15+I16+I17+I18</f>
        <v>38667.982015655</v>
      </c>
      <c r="J19" s="0" t="n">
        <f aca="false">J15+J16+J17+J18</f>
        <v>40425.9617463276</v>
      </c>
      <c r="K19" s="0" t="n">
        <f aca="false">K15+K16+K17+K18</f>
        <v>41436.6107899857</v>
      </c>
      <c r="L19" s="0" t="n">
        <f aca="false">L15+L16+L17+L18</f>
        <v>43100.7370561173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21181.935483871</v>
      </c>
      <c r="D21" s="0" t="n">
        <f aca="false">D19*D20</f>
        <v>20427.471383975</v>
      </c>
      <c r="E21" s="0" t="n">
        <f aca="false">E19*E20</f>
        <v>20856.9045301314</v>
      </c>
      <c r="F21" s="0" t="n">
        <f aca="false">F19*F20</f>
        <v>21191.0553772586</v>
      </c>
      <c r="G21" s="0" t="n">
        <f aca="false">G19*G20</f>
        <v>21823.766558065</v>
      </c>
      <c r="H21" s="0" t="n">
        <f aca="false">H19*H20</f>
        <v>21914.5410972825</v>
      </c>
      <c r="I21" s="0" t="n">
        <f aca="false">I19*I20</f>
        <v>21844.5619718498</v>
      </c>
      <c r="J21" s="0" t="n">
        <f aca="false">J19*J20</f>
        <v>21048.5631758812</v>
      </c>
      <c r="K21" s="0" t="n">
        <f aca="false">K19*K20</f>
        <v>19884.5873320537</v>
      </c>
      <c r="L21" s="0" t="n">
        <f aca="false">L19*L20</f>
        <v>19062.8273772609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209236.214287629</v>
      </c>
    </row>
    <row r="31" customFormat="false" ht="15" hidden="false" customHeight="false" outlineLevel="0" collapsed="false">
      <c r="A31" s="0" t="s">
        <v>126</v>
      </c>
      <c r="B31" s="0" t="n">
        <f aca="false">L19</f>
        <v>43100.7370561173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676350.027649841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646511.05584176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646511.05584176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285942.410658914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495178.624946543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646901.624946543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1268.93217918114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-0.00044727910111364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1268.93217918114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338175.013824921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764.510163158015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80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9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950000</v>
      </c>
      <c r="C6" s="0" t="n">
        <f aca="false">B6*(1+C5/100)</f>
        <v>1035500</v>
      </c>
      <c r="D6" s="0" t="n">
        <f aca="false">C6*(1+D5/100)</f>
        <v>1118340</v>
      </c>
      <c r="E6" s="0" t="n">
        <f aca="false">D6*(1+E5/100)</f>
        <v>1196623.8</v>
      </c>
      <c r="F6" s="0" t="n">
        <f aca="false">E6*(1+F5/100)</f>
        <v>1268421.228</v>
      </c>
      <c r="G6" s="0" t="n">
        <f aca="false">F6*(1+G5/100)</f>
        <v>1331842.2894</v>
      </c>
      <c r="H6" s="0" t="n">
        <f aca="false">G6*(1+H5/100)</f>
        <v>1391775.192423</v>
      </c>
      <c r="I6" s="0" t="n">
        <f aca="false">H6*(1+I5/100)</f>
        <v>1447446.20011992</v>
      </c>
      <c r="J6" s="0" t="n">
        <f aca="false">I6*(1+J5/100)</f>
        <v>1498106.81712412</v>
      </c>
      <c r="K6" s="0" t="n">
        <f aca="false">J6*(1+K5/100)</f>
        <v>1543050.02163784</v>
      </c>
      <c r="L6" s="0" t="n">
        <f aca="false">K6*(1+L5/100)</f>
        <v>1589341.52228698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9.6</v>
      </c>
      <c r="D7" s="4" t="n">
        <f aca="false">Assumptions!D42</f>
        <v>9.9</v>
      </c>
      <c r="E7" s="4" t="n">
        <f aca="false">Assumptions!E42</f>
        <v>10.2</v>
      </c>
      <c r="F7" s="4" t="n">
        <f aca="false">Assumptions!F42</f>
        <v>10.4</v>
      </c>
      <c r="G7" s="4" t="n">
        <f aca="false">Assumptions!G42</f>
        <v>10.5</v>
      </c>
      <c r="H7" s="4" t="n">
        <f aca="false">Assumptions!H42</f>
        <v>10.5</v>
      </c>
      <c r="I7" s="4" t="n">
        <f aca="false">Assumptions!I42</f>
        <v>10.5</v>
      </c>
      <c r="J7" s="4" t="n">
        <f aca="false">Assumptions!J42</f>
        <v>10.5</v>
      </c>
      <c r="K7" s="4" t="n">
        <f aca="false">Assumptions!K42</f>
        <v>10.5</v>
      </c>
      <c r="L7" s="4" t="n">
        <f aca="false">Assumptions!L42</f>
        <v>10.5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99408</v>
      </c>
      <c r="D8" s="0" t="n">
        <f aca="false">D6*D7/100</f>
        <v>110715.66</v>
      </c>
      <c r="E8" s="0" t="n">
        <f aca="false">E6*E7/100</f>
        <v>122055.6276</v>
      </c>
      <c r="F8" s="0" t="n">
        <f aca="false">F6*F7/100</f>
        <v>131915.807712</v>
      </c>
      <c r="G8" s="0" t="n">
        <f aca="false">G6*G7/100</f>
        <v>139843.440387</v>
      </c>
      <c r="H8" s="0" t="n">
        <f aca="false">H6*H7/100</f>
        <v>146136.395204415</v>
      </c>
      <c r="I8" s="0" t="n">
        <f aca="false">I6*I7/100</f>
        <v>151981.851012592</v>
      </c>
      <c r="J8" s="0" t="n">
        <f aca="false">J6*J7/100</f>
        <v>157301.215798032</v>
      </c>
      <c r="K8" s="0" t="n">
        <f aca="false">K6*K7/100</f>
        <v>162020.252271973</v>
      </c>
      <c r="L8" s="0" t="n">
        <f aca="false">L6*L7/100</f>
        <v>166880.859840133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99408</v>
      </c>
      <c r="D11" s="0" t="n">
        <f aca="false">D8+D10+D24</f>
        <v>110715.66</v>
      </c>
      <c r="E11" s="0" t="n">
        <f aca="false">E8+E10+E24</f>
        <v>122055.6276</v>
      </c>
      <c r="F11" s="0" t="n">
        <f aca="false">F8+F10+F24</f>
        <v>131915.807712</v>
      </c>
      <c r="G11" s="0" t="n">
        <f aca="false">G8+G10+G24</f>
        <v>139843.440387</v>
      </c>
      <c r="H11" s="0" t="n">
        <f aca="false">H8+H10+H24</f>
        <v>146136.395204415</v>
      </c>
      <c r="I11" s="0" t="n">
        <f aca="false">I8+I10+I24</f>
        <v>151981.851012592</v>
      </c>
      <c r="J11" s="0" t="n">
        <f aca="false">J8+J10+J24</f>
        <v>157301.215798032</v>
      </c>
      <c r="K11" s="0" t="n">
        <f aca="false">K8+K10+K24</f>
        <v>162020.252271973</v>
      </c>
      <c r="L11" s="0" t="n">
        <f aca="false">L8+L10+L24</f>
        <v>166880.859840133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-12426</v>
      </c>
      <c r="D12" s="4" t="n">
        <f aca="false">-D6*Assumptions!D45/100</f>
        <v>-14538.42</v>
      </c>
      <c r="E12" s="4" t="n">
        <f aca="false">-E6*Assumptions!E45/100</f>
        <v>-17949.357</v>
      </c>
      <c r="F12" s="4" t="n">
        <f aca="false">-F6*Assumptions!F45/100</f>
        <v>-20294.739648</v>
      </c>
      <c r="G12" s="4" t="n">
        <f aca="false">-G6*Assumptions!G45/100</f>
        <v>-23973.1612092</v>
      </c>
      <c r="H12" s="4" t="n">
        <f aca="false">-H6*Assumptions!H45/100</f>
        <v>-26443.728656037</v>
      </c>
      <c r="I12" s="4" t="n">
        <f aca="false">-I6*Assumptions!I45/100</f>
        <v>-28948.9240023984</v>
      </c>
      <c r="J12" s="4" t="n">
        <f aca="false">-J6*Assumptions!J45/100</f>
        <v>-31460.2431596065</v>
      </c>
      <c r="K12" s="4" t="n">
        <f aca="false">-K6*Assumptions!K45/100</f>
        <v>-32404.0504543947</v>
      </c>
      <c r="L12" s="4" t="n">
        <f aca="false">-L6*Assumptions!L45/100</f>
        <v>-34965.5134903135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86982</v>
      </c>
      <c r="D13" s="0" t="n">
        <f aca="false">D11+D12</f>
        <v>96177.24</v>
      </c>
      <c r="E13" s="0" t="n">
        <f aca="false">E11+E12</f>
        <v>104106.2706</v>
      </c>
      <c r="F13" s="0" t="n">
        <f aca="false">F11+F12</f>
        <v>111621.068064</v>
      </c>
      <c r="G13" s="0" t="n">
        <f aca="false">G11+G12</f>
        <v>115870.2791778</v>
      </c>
      <c r="H13" s="0" t="n">
        <f aca="false">H11+H12</f>
        <v>119692.666548378</v>
      </c>
      <c r="I13" s="0" t="n">
        <f aca="false">I11+I12</f>
        <v>123032.927010193</v>
      </c>
      <c r="J13" s="0" t="n">
        <f aca="false">J11+J12</f>
        <v>125840.972638426</v>
      </c>
      <c r="K13" s="0" t="n">
        <f aca="false">K11+K12</f>
        <v>129616.201817579</v>
      </c>
      <c r="L13" s="0" t="n">
        <f aca="false">L11+L12</f>
        <v>131915.346349819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47.5</v>
      </c>
      <c r="D14" s="4" t="n">
        <f aca="false">Assumptions!D47</f>
        <v>47.5</v>
      </c>
      <c r="E14" s="4" t="n">
        <f aca="false">Assumptions!E47</f>
        <v>47.5</v>
      </c>
      <c r="F14" s="4" t="n">
        <f aca="false">Assumptions!F47</f>
        <v>47.5</v>
      </c>
      <c r="G14" s="4" t="n">
        <f aca="false">Assumptions!G47</f>
        <v>47.5</v>
      </c>
      <c r="H14" s="4" t="n">
        <f aca="false">Assumptions!H47</f>
        <v>47.5</v>
      </c>
      <c r="I14" s="4" t="n">
        <f aca="false">Assumptions!I47</f>
        <v>47.5</v>
      </c>
      <c r="J14" s="4" t="n">
        <f aca="false">Assumptions!J47</f>
        <v>47.5</v>
      </c>
      <c r="K14" s="4" t="n">
        <f aca="false">Assumptions!K47</f>
        <v>47.5</v>
      </c>
      <c r="L14" s="4" t="n">
        <f aca="false">Assumptions!L47</f>
        <v>47.5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45665.55</v>
      </c>
      <c r="D15" s="0" t="n">
        <f aca="false">D13-MAX(0,D13)*D14/100</f>
        <v>50493.051</v>
      </c>
      <c r="E15" s="0" t="n">
        <f aca="false">E13-MAX(0,E13)*E14/100</f>
        <v>54655.792065</v>
      </c>
      <c r="F15" s="0" t="n">
        <f aca="false">F13-MAX(0,F13)*F14/100</f>
        <v>58601.0607336</v>
      </c>
      <c r="G15" s="0" t="n">
        <f aca="false">G13-MAX(0,G13)*G14/100</f>
        <v>60831.896568345</v>
      </c>
      <c r="H15" s="0" t="n">
        <f aca="false">H13-MAX(0,H13)*H14/100</f>
        <v>62838.6499378985</v>
      </c>
      <c r="I15" s="0" t="n">
        <f aca="false">I13-MAX(0,I13)*I14/100</f>
        <v>64592.2866803514</v>
      </c>
      <c r="J15" s="0" t="n">
        <f aca="false">J13-MAX(0,J13)*J14/100</f>
        <v>66066.5106351736</v>
      </c>
      <c r="K15" s="0" t="n">
        <f aca="false">K13-MAX(0,K13)*K14/100</f>
        <v>68048.5059542288</v>
      </c>
      <c r="L15" s="0" t="n">
        <f aca="false">L13-MAX(0,L13)*L14/100</f>
        <v>69255.556833655</v>
      </c>
    </row>
    <row r="16" customFormat="false" ht="15" hidden="false" customHeight="false" outlineLevel="0" collapsed="false">
      <c r="A16" s="0" t="s">
        <v>117</v>
      </c>
      <c r="C16" s="0" t="n">
        <f aca="false">-C12</f>
        <v>12426</v>
      </c>
      <c r="D16" s="0" t="n">
        <f aca="false">-D12</f>
        <v>14538.42</v>
      </c>
      <c r="E16" s="0" t="n">
        <f aca="false">-E12</f>
        <v>17949.357</v>
      </c>
      <c r="F16" s="0" t="n">
        <f aca="false">-F12</f>
        <v>20294.739648</v>
      </c>
      <c r="G16" s="0" t="n">
        <f aca="false">-G12</f>
        <v>23973.1612092</v>
      </c>
      <c r="H16" s="0" t="n">
        <f aca="false">-H12</f>
        <v>26443.728656037</v>
      </c>
      <c r="I16" s="0" t="n">
        <f aca="false">-I12</f>
        <v>28948.9240023984</v>
      </c>
      <c r="J16" s="0" t="n">
        <f aca="false">-J12</f>
        <v>31460.2431596065</v>
      </c>
      <c r="K16" s="0" t="n">
        <f aca="false">-K12</f>
        <v>32404.0504543947</v>
      </c>
      <c r="L16" s="0" t="n">
        <f aca="false">-L12</f>
        <v>34965.5134903135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-31065</v>
      </c>
      <c r="D17" s="4" t="n">
        <f aca="false">-D6*Assumptions!D46/100</f>
        <v>-33550.2</v>
      </c>
      <c r="E17" s="4" t="n">
        <f aca="false">-E6*Assumptions!E46/100</f>
        <v>-34702.0902</v>
      </c>
      <c r="F17" s="4" t="n">
        <f aca="false">-F6*Assumptions!F46/100</f>
        <v>-35515.794384</v>
      </c>
      <c r="G17" s="4" t="n">
        <f aca="false">-G6*Assumptions!G46/100</f>
        <v>-35959.7418138</v>
      </c>
      <c r="H17" s="4" t="n">
        <f aca="false">-H6*Assumptions!H46/100</f>
        <v>-36186.155002998</v>
      </c>
      <c r="I17" s="4" t="n">
        <f aca="false">-I6*Assumptions!I46/100</f>
        <v>-36186.155002998</v>
      </c>
      <c r="J17" s="4" t="n">
        <f aca="false">-J6*Assumptions!J46/100</f>
        <v>-37452.6704281029</v>
      </c>
      <c r="K17" s="4" t="n">
        <f aca="false">-K6*Assumptions!K46/100</f>
        <v>-38576.250540946</v>
      </c>
      <c r="L17" s="4" t="n">
        <f aca="false">-L6*Assumptions!L46/100</f>
        <v>-39733.5380571744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27026.55</v>
      </c>
      <c r="D19" s="0" t="n">
        <f aca="false">D15+D16+D17+D18</f>
        <v>31481.271</v>
      </c>
      <c r="E19" s="0" t="n">
        <f aca="false">E15+E16+E17+E18</f>
        <v>37903.058865</v>
      </c>
      <c r="F19" s="0" t="n">
        <f aca="false">F15+F16+F17+F18</f>
        <v>43380.0059976</v>
      </c>
      <c r="G19" s="0" t="n">
        <f aca="false">G15+G16+G17+G18</f>
        <v>48845.315963745</v>
      </c>
      <c r="H19" s="0" t="n">
        <f aca="false">H15+H16+H17+H18</f>
        <v>53096.2235909375</v>
      </c>
      <c r="I19" s="0" t="n">
        <f aca="false">I15+I16+I17+I18</f>
        <v>57355.0556797518</v>
      </c>
      <c r="J19" s="0" t="n">
        <f aca="false">J15+J16+J17+J18</f>
        <v>60074.0833666771</v>
      </c>
      <c r="K19" s="0" t="n">
        <f aca="false">K15+K16+K17+K18</f>
        <v>61876.3058676774</v>
      </c>
      <c r="L19" s="0" t="n">
        <f aca="false">L15+L16+L17+L18</f>
        <v>64487.5322667941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24909.2626728111</v>
      </c>
      <c r="D21" s="0" t="n">
        <f aca="false">D19*D20</f>
        <v>26741.9320860498</v>
      </c>
      <c r="E21" s="0" t="n">
        <f aca="false">E19*E20</f>
        <v>29674.6117407052</v>
      </c>
      <c r="F21" s="0" t="n">
        <f aca="false">F19*F20</f>
        <v>31301.8967792578</v>
      </c>
      <c r="G21" s="0" t="n">
        <f aca="false">G19*G20</f>
        <v>32484.3538307662</v>
      </c>
      <c r="H21" s="0" t="n">
        <f aca="false">H19*H20</f>
        <v>32545.0695788502</v>
      </c>
      <c r="I21" s="0" t="n">
        <f aca="false">I19*I20</f>
        <v>32401.3823035294</v>
      </c>
      <c r="J21" s="0" t="n">
        <f aca="false">J19*J20</f>
        <v>31278.7398086213</v>
      </c>
      <c r="K21" s="0" t="n">
        <f aca="false">K19*K20</f>
        <v>29693.1815694746</v>
      </c>
      <c r="L21" s="0" t="n">
        <f aca="false">L19*L20</f>
        <v>28521.8949733242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299552.32534339</v>
      </c>
    </row>
    <row r="31" customFormat="false" ht="15" hidden="false" customHeight="false" outlineLevel="0" collapsed="false">
      <c r="A31" s="0" t="s">
        <v>126</v>
      </c>
      <c r="B31" s="0" t="n">
        <f aca="false">L19</f>
        <v>64487.5322667941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1011958.19864815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967312.984001911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967312.984001911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427828.424599863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727380.749943253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879103.749943253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1724.40908188163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0.358337205105652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1724.40908188163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505979.099324077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972.524349837321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856.505050137276</v>
      </c>
      <c r="C4" s="0" t="n">
        <f aca="false">B4/Assumptions!$B$2-1</f>
        <v>-0.32532095302302</v>
      </c>
      <c r="D4" s="4" t="n">
        <f aca="false">Assumptions!$B$24</f>
        <v>0.25</v>
      </c>
      <c r="E4" s="4" t="n">
        <f aca="false">DCF_Bear!$B$43</f>
        <v>856.505050137276</v>
      </c>
      <c r="F4" s="4" t="n">
        <f aca="false">DCF_Bear!$B$47</f>
        <v>570.957726517352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1268.93217918114</v>
      </c>
      <c r="C5" s="0" t="n">
        <f aca="false">B5/Assumptions!$B$2-1</f>
        <v>-0.00044727910111364</v>
      </c>
      <c r="D5" s="4" t="n">
        <f aca="false">Assumptions!$B$38</f>
        <v>0.5</v>
      </c>
      <c r="E5" s="4" t="n">
        <f aca="false">DCF_Base!$B$43</f>
        <v>1268.93217918114</v>
      </c>
      <c r="F5" s="4" t="n">
        <f aca="false">DCF_Base!$B$47</f>
        <v>764.510163158015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1724.40908188163</v>
      </c>
      <c r="C6" s="0" t="n">
        <f aca="false">B6/Assumptions!$B$2-1</f>
        <v>0.358337205105652</v>
      </c>
      <c r="D6" s="4" t="n">
        <f aca="false">Assumptions!$B$52</f>
        <v>0.25</v>
      </c>
      <c r="E6" s="4" t="n">
        <f aca="false">DCF_Bull!$B$43</f>
        <v>1724.40908188163</v>
      </c>
      <c r="F6" s="4" t="n">
        <f aca="false">DCF_Bull!$B$47</f>
        <v>972.524349837321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1279.69462259529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1279.69462259529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0.00796644950700687</v>
      </c>
    </row>
    <row r="11" customFormat="false" ht="15" hidden="false" customHeight="false" outlineLevel="0" collapsed="false">
      <c r="A11" s="0" t="s">
        <v>153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768.125600667676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1268.93217918114</v>
      </c>
      <c r="C15" s="3" t="n">
        <v>8.5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1218.29526611388</v>
      </c>
      <c r="C16" s="3" t="n">
        <v>9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1094.317269783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998.308120737134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921.852158617731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764.510163158015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1428.07794289315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1428.07794289315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1428.07794289315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1428.07794289315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1428.07794289315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1344.74891225301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1344.74891225301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1344.74891225301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1344.74891225301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1344.74891225301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1211.59661887291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1250.23580081976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1268.93217918114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1268.93217918114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1268.93217918114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1093.51144792903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1120.97893222632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1152.10874776325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1187.68567980545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1199.86956064182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1000.8087328469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1020.93801341718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1043.43544464279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1068.74505477159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1097.42927958424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2026-10-31T06:16:12Z</dcterms:created>
  <dc:creator>openpyxl</dc:creator>
  <dc:description/>
  <dc:language>en-NZ</dc:language>
  <cp:lastModifiedBy/>
  <dcterms:modified xsi:type="dcterms:W3CDTF">2026-10-31T06:16:12Z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