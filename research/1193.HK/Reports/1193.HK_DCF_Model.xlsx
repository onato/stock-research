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<sst xmlns="http://schemas.openxmlformats.org/spreadsheetml/2006/main" count="354" uniqueCount="163">
  <si>
    <t xml:space="preserve">Ticker</t>
  </si>
  <si>
    <t xml:space="preserve">1193.HK</t>
  </si>
  <si>
    <t xml:space="preserve">Company</t>
  </si>
  <si>
    <t xml:space="preserve">China Resources Gas Group Limited</t>
  </si>
  <si>
    <t xml:space="preserve">Valuation date</t>
  </si>
  <si>
    <t xml:space="preserve">2026-10-16</t>
  </si>
  <si>
    <t xml:space="preserve">Current price</t>
  </si>
  <si>
    <t xml:space="preserve">Price as of</t>
  </si>
  <si>
    <t xml:space="preserve">2026-10-16T05:53:50Z (HKEX regular session, intraday print; 52-week range 14.53-23.38)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</si>
  <si>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</si>
  <si>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</si>
  <si>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</si>
  <si>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</si>
  <si>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</si>
  <si>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</si>
  <si>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</si>
  <si>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</si>
  <si>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</si>
  <si>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</si>
  <si>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</si>
  <si>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</si>
  <si>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2026-10-16T06:15:27Z</t>
  </si>
  <si>
    <t xml:space="preserve">Drivers file</t>
  </si>
  <si>
    <t xml:space="preserve">1193.HK_Drivers.json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</si>
  <si>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</si>
  <si>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</si>
  <si>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</si>
  <si>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CR Gas as the owner of ~70% of a regulated, slow-growth cash stream: attributable owner FCF built from a pre-lease IFRS-16 EBITDA margin, with cash tax and the 30% minority share charged together, net debt deducted in full, and the HK$23.6bn of JV/associate book carried at an earnings-based HK$7.8bn rather than at book. The terminal multiple is capped at 15x FCF (12x bear) because the Gordon value at 7.5%/2% implies a multiple a buyer of an ex-growth Chinese utility is unlikely to pay. The resulting base case sits near the top of the sell-side HK$20-23 target range; the probability weighting (30% bear) is what brings the weighted value down toward the current price.
key_risks_to_valuation: Tariff pass-through lag: a 0.5pp EBITDA-margin miss on HK$100bn of revenue is HK$500m of EBITDA and ~HK$250m of attributable FCF (~HK$1.6/share at 15x); Connection-fee run-off faster than services growth: each HK$500m of lost connection profit not replaced is ~HK$1.6/share; NCI leakage rising above 30% if the fully-owned parent-level profit (connection, trading) shrinks while project-level JV profit holds; JV/associate value: carried at 0.33x book; the gap to book is HK$6.9/share either way; 100% of net debt deducted against 70% of flows: conservative by up to HK$2.4/share; Capex: if accrual additions (HK$5.9bn FY2025) rather than cash capex (HK$3.2bn) are the true maintenance level, FCF is ~HK$1.5bn/yr lower and the base value falls by roughly a third; Terminal cap: at the uncapped Gordon value the base case is ~HK$3-4/share higher; at a 12x cap it is ~HK$3/share lower</t>
  </si>
  <si>
    <t xml:space="preserve">Data sources</t>
  </si>
  <si>
    <t xml:space="preserve">price: Yahoo Finance chart API (query1.finance.yahoo.com v8 chart, 1193.HK) at inputs.price_as_of; 52-week range 14.53-23.38
financials: 1193.HK_Annual_FY2025.txt (income statement 5140-5165; balance sheet 5255-5335; cash flow 5540-5700; segment note 8520-8650; EPS note 9405-9436), 1193.HK_HalfYear_H1-2026.txt (balance sheet 1897-1994; MD&amp;A 655-690; buyback 1236-1253; segment 2700-2730; EPS 3020-3034; structured deposits 3199), 1193.HK_Metrics.csv / core_metrics via make dcf-context
qualitative: 1193.HK_Analysis.json (2026-10-16)</t>
  </si>
  <si>
    <t xml:space="preserve">Scenario narrative: bear</t>
  </si>
  <si>
    <t xml:space="preserve">Structural demand decline plus regulatory lag: flat revenue, 9.6% EBITDA margin, capex above D&amp;A for mandated safety work, 12x exit. No solvency question (A2/A-, HK$85bn of facilities), so the floor is a low-return regulated asset rather than distress.</t>
  </si>
  <si>
    <t xml:space="preserve">Scenario narrative: base</t>
  </si>
  <si>
    <t xml:space="preserve">A mature regulated distributor: volume growth ~1%, tariff pass-through roughly keeps pace with procurement cost, connection-fee profit continues to erode but is progressively replaced by services/integrated-energy profit, margin dips then stabilises, capex converges to D&amp;A, and 30% of every dollar leaks to project-level minorities. Value is essentially a 15x multiple on ~HK$4bn of attributable owner FCF less HK$18.5bn of net debt plus HK$14bn of JV, loan and deposit assets.</t>
  </si>
  <si>
    <t xml:space="preserve">Scenario narrative: bull</t>
  </si>
  <si>
    <t xml:space="preserve">Pricing reform and policy support restore the dollar margin, industrial volume growth resumes and the 'two new engines' scale, taking EBITDA margin to 11.8% on 3-5% revenue growth. The bull case needs three independent things (pass-through, volume, services margin) to go right.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</si>
  <si>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</si>
  <si>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</si>
  <si>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</si>
  <si>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</si>
  <si>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</si>
  <si>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</si>
  <si>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</si>
  <si>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</si>
  <si>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</si>
  <si>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</si>
  <si>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</si>
  <si>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</si>
  <si>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</si>
  <si>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</si>
  <si>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</si>
  <si>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</si>
  <si>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</si>
  <si>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</si>
  <si>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</si>
  <si>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</si>
  <si>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</si>
  <si>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</si>
  <si>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</si>
  <si>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</si>
  <si>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</si>
  <si>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</si>
  <si>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</si>
  <si>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</si>
  <si>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</si>
  <si>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</si>
  <si>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</si>
  <si>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</si>
  <si>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</si>
  <si>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</si>
  <si>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</si>
  <si>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</si>
  <si>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</si>
  <si>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</si>
  <si>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</si>
  <si>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</si>
  <si>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</si>
  <si>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</si>
  <si>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</si>
  <si>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</si>
  <si>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</si>
  <si>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</si>
  <si>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</si>
  <si>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</si>
  <si>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</si>
  <si>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</si>
  <si>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</si>
  <si>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</si>
  <si>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</si>
  <si>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</si>
  <si>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</si>
  <si>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</si>
  <si>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</si>
  <si>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</si>
  <si>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</si>
  <si>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</si>
  <si>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</si>
  <si>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</si>
  <si>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</si>
  <si>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</si>
  <si>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</si>
  <si>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</si>
  <si>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</si>
  <si>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</si>
  <si>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</si>
  <si>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</si>
  <si>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</si>
  <si>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</si>
  <si>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1193.HK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</si>
  <si>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</si>
  <si>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</si>
  <si>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</si>
  <si>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</si>
  <si>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</si>
  <si>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</si>
  <si>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</si>
  <si>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</si>
  <si>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</si>
  <si>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</si>
  <si>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</si>
  <si>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</si>
  <si>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</si>
  <si>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</si>
  <si>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</si>
  <si>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</si>
  <si>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</si>
  <si>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</si>
  <si>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</si>
  <si>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</si>
  <si>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</si>
  <si>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</si>
  <si>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</si>
  <si>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</si>
  <si>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</si>
  <si>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</si>
  <si>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</si>
  <si>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</si>
  <si>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</si>
  <si>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</si>
  <si>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1193.HK owner-FCF component DCF: base case (millions, HKD)</t>
  </si>
  <si>
    <t xml:space="preserve">1193.HK owner-FCF component DCF: bull case (millions, HKD)</t>
  </si>
  <si>
    <t xml:space="preserve">1193.HK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</si>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</sst>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16.73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51165.371</v>
      </c>
      <c r="C2" s="0" t="n">
        <v>-37543.643</v>
      </c>
      <c r="D2" s="0" t="n">
        <v>13621.728</v>
      </c>
      <c r="E2" s="0" t="n">
        <v>26.6</v>
      </c>
      <c r="I2" s="0" t="n">
        <v>4450.101</v>
      </c>
      <c r="J2" s="0" t="n">
        <v>8.7</v>
      </c>
      <c r="K2" s="0" t="n">
        <v>2.04</v>
      </c>
      <c r="L2" s="0" t="n">
        <v>8341.53</v>
      </c>
      <c r="M2" s="0" t="n">
        <v>5462.599</v>
      </c>
      <c r="N2" s="0" t="n">
        <v>2878.931</v>
      </c>
      <c r="O2" s="0" t="n">
        <v>24081.12</v>
      </c>
      <c r="P2" s="0" t="n">
        <v>73571.778</v>
      </c>
      <c r="Q2" s="0" t="n">
        <v>41963.298</v>
      </c>
      <c r="R2" s="0" t="n">
        <v>11638.022</v>
      </c>
      <c r="S2" s="0" t="n">
        <v>10392.696</v>
      </c>
      <c r="T2" s="0" t="n">
        <v>2178.215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55835.113</v>
      </c>
      <c r="C3" s="0" t="n">
        <v>-41904.294</v>
      </c>
      <c r="D3" s="0" t="n">
        <v>13930.819</v>
      </c>
      <c r="E3" s="0" t="n">
        <v>24.9</v>
      </c>
      <c r="I3" s="0" t="n">
        <v>5043.477</v>
      </c>
      <c r="J3" s="0" t="n">
        <v>9</v>
      </c>
      <c r="K3" s="0" t="n">
        <v>2.32</v>
      </c>
      <c r="L3" s="0" t="n">
        <v>8490.918</v>
      </c>
      <c r="M3" s="0" t="n">
        <v>3919.712</v>
      </c>
      <c r="N3" s="0" t="n">
        <v>4571.206</v>
      </c>
      <c r="O3" s="0" t="n">
        <v>26795.437</v>
      </c>
      <c r="P3" s="0" t="n">
        <v>81023.956</v>
      </c>
      <c r="Q3" s="0" t="n">
        <v>45667.173</v>
      </c>
      <c r="R3" s="0" t="n">
        <v>12889.152</v>
      </c>
      <c r="S3" s="0" t="n">
        <v>13236.655</v>
      </c>
      <c r="T3" s="0" t="n">
        <v>2178.215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55864.169</v>
      </c>
      <c r="C4" s="0" t="n">
        <v>-40836.692</v>
      </c>
      <c r="D4" s="0" t="n">
        <v>15027.477</v>
      </c>
      <c r="E4" s="0" t="n">
        <v>26.9</v>
      </c>
      <c r="I4" s="0" t="n">
        <v>5151.292</v>
      </c>
      <c r="J4" s="0" t="n">
        <v>9.2</v>
      </c>
      <c r="K4" s="0" t="n">
        <v>2.31</v>
      </c>
      <c r="L4" s="0" t="n">
        <v>8616.03</v>
      </c>
      <c r="M4" s="0" t="n">
        <v>4283.076</v>
      </c>
      <c r="N4" s="0" t="n">
        <v>4332.954</v>
      </c>
      <c r="O4" s="0" t="n">
        <v>36274.287</v>
      </c>
      <c r="P4" s="0" t="n">
        <v>93870.809</v>
      </c>
      <c r="Q4" s="0" t="n">
        <v>47002.45</v>
      </c>
      <c r="R4" s="0" t="n">
        <v>10893.434</v>
      </c>
      <c r="S4" s="0" t="n">
        <v>13442.206</v>
      </c>
      <c r="T4" s="0" t="n">
        <v>2232.314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78175.136</v>
      </c>
      <c r="C5" s="0" t="n">
        <v>-59879.86</v>
      </c>
      <c r="D5" s="0" t="n">
        <v>18295.276</v>
      </c>
      <c r="E5" s="0" t="n">
        <v>23.4</v>
      </c>
      <c r="I5" s="0" t="n">
        <v>6395.368</v>
      </c>
      <c r="J5" s="0" t="n">
        <v>8.2</v>
      </c>
      <c r="K5" s="0" t="n">
        <v>2.82</v>
      </c>
      <c r="L5" s="0" t="n">
        <v>8390.058</v>
      </c>
      <c r="M5" s="0" t="n">
        <v>5682.82</v>
      </c>
      <c r="N5" s="0" t="n">
        <v>2707.238</v>
      </c>
      <c r="O5" s="0" t="n">
        <v>41256.915</v>
      </c>
      <c r="P5" s="0" t="n">
        <v>106136.308</v>
      </c>
      <c r="Q5" s="0" t="n">
        <v>52098.646</v>
      </c>
      <c r="R5" s="0" t="n">
        <v>11510.903</v>
      </c>
      <c r="S5" s="0" t="n">
        <v>7562.95</v>
      </c>
      <c r="T5" s="0" t="n">
        <v>2268.215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94338.329</v>
      </c>
      <c r="C6" s="0" t="n">
        <v>-76256.478</v>
      </c>
      <c r="D6" s="0" t="n">
        <v>18081.851</v>
      </c>
      <c r="E6" s="0" t="n">
        <v>19.2</v>
      </c>
      <c r="I6" s="0" t="n">
        <v>4733.455</v>
      </c>
      <c r="J6" s="0" t="n">
        <v>5</v>
      </c>
      <c r="K6" s="0" t="n">
        <v>2.09</v>
      </c>
      <c r="L6" s="0" t="n">
        <v>4351.39</v>
      </c>
      <c r="M6" s="0" t="n">
        <v>6238.706</v>
      </c>
      <c r="N6" s="0" t="n">
        <v>-1887.316</v>
      </c>
      <c r="O6" s="0" t="n">
        <v>39307.612</v>
      </c>
      <c r="P6" s="0" t="n">
        <v>112303.585</v>
      </c>
      <c r="Q6" s="0" t="n">
        <v>59758.162</v>
      </c>
      <c r="R6" s="0" t="n">
        <v>22462.82</v>
      </c>
      <c r="S6" s="0" t="n">
        <v>6437.479</v>
      </c>
      <c r="T6" s="0" t="n">
        <v>2268.215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101271.905</v>
      </c>
      <c r="C7" s="0" t="n">
        <v>-82820.234</v>
      </c>
      <c r="D7" s="0" t="n">
        <v>18451.671</v>
      </c>
      <c r="E7" s="0" t="n">
        <v>18.2</v>
      </c>
      <c r="I7" s="0" t="n">
        <v>5223.705</v>
      </c>
      <c r="J7" s="0" t="n">
        <v>5.2</v>
      </c>
      <c r="K7" s="0" t="n">
        <v>2.3</v>
      </c>
      <c r="L7" s="0" t="n">
        <v>10156.593</v>
      </c>
      <c r="M7" s="0" t="n">
        <v>5148.99</v>
      </c>
      <c r="N7" s="0" t="n">
        <v>5007.603</v>
      </c>
      <c r="O7" s="0" t="n">
        <v>40772.231</v>
      </c>
      <c r="P7" s="0" t="n">
        <v>137871.085</v>
      </c>
      <c r="Q7" s="0" t="n">
        <v>74487.403</v>
      </c>
      <c r="R7" s="0" t="n">
        <v>26528.718</v>
      </c>
      <c r="S7" s="0" t="n">
        <v>9978.468</v>
      </c>
      <c r="T7" s="0" t="n">
        <v>2268.215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102675.888</v>
      </c>
      <c r="C8" s="0" t="n">
        <v>-84417.51</v>
      </c>
      <c r="D8" s="0" t="n">
        <v>18258.378</v>
      </c>
      <c r="E8" s="0" t="n">
        <v>17.8</v>
      </c>
      <c r="I8" s="0" t="n">
        <v>4088.148</v>
      </c>
      <c r="J8" s="0" t="n">
        <v>4</v>
      </c>
      <c r="K8" s="0" t="n">
        <v>1.8</v>
      </c>
      <c r="L8" s="0" t="n">
        <v>7001.826</v>
      </c>
      <c r="M8" s="0" t="n">
        <v>4197.563</v>
      </c>
      <c r="N8" s="0" t="n">
        <v>2804.263</v>
      </c>
      <c r="O8" s="0" t="n">
        <v>41171.967</v>
      </c>
      <c r="P8" s="0" t="n">
        <v>132482.695</v>
      </c>
      <c r="Q8" s="0" t="n">
        <v>68511.719</v>
      </c>
      <c r="R8" s="0" t="n">
        <v>23000.859</v>
      </c>
      <c r="S8" s="0" t="n">
        <v>7530.584</v>
      </c>
      <c r="T8" s="0" t="n">
        <v>2268.243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97732.605</v>
      </c>
      <c r="C9" s="0" t="n">
        <v>-80312.837</v>
      </c>
      <c r="D9" s="0" t="n">
        <v>17419.768</v>
      </c>
      <c r="E9" s="0" t="n">
        <v>17.8</v>
      </c>
      <c r="I9" s="0" t="n">
        <v>3546.793</v>
      </c>
      <c r="J9" s="0" t="n">
        <v>3.6</v>
      </c>
      <c r="K9" s="0" t="n">
        <v>1.55</v>
      </c>
      <c r="L9" s="0" t="n">
        <v>6575.111</v>
      </c>
      <c r="M9" s="0" t="n">
        <v>3210.946</v>
      </c>
      <c r="N9" s="0" t="n">
        <v>3364.165</v>
      </c>
      <c r="O9" s="0" t="n">
        <v>44176.114</v>
      </c>
      <c r="P9" s="0" t="n">
        <v>136407.044</v>
      </c>
      <c r="Q9" s="0" t="n">
        <v>68378.846</v>
      </c>
      <c r="R9" s="0" t="n">
        <v>23700.953</v>
      </c>
      <c r="S9" s="0" t="n">
        <v>7692.509</v>
      </c>
      <c r="T9" s="0" t="n">
        <v>2288.985</v>
      </c>
      <c r="AA9" s="0" t="s">
        <v>17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16.73</v>
      </c>
    </row>
    <row r="3" customFormat="false" ht="15" hidden="false" customHeight="false" outlineLevel="0" collapsed="false">
      <c r="A3" s="0" t="s">
        <v>74</v>
      </c>
      <c r="B3" s="3" t="n">
        <v>2276.159</v>
      </c>
    </row>
    <row r="4" customFormat="false" ht="15" hidden="false" customHeight="false" outlineLevel="0" collapsed="false">
      <c r="A4" s="0" t="s">
        <v>75</v>
      </c>
      <c r="B4" s="3" t="n">
        <v>18474.141</v>
      </c>
    </row>
    <row r="5" customFormat="false" ht="15" hidden="false" customHeight="false" outlineLevel="0" collapsed="false">
      <c r="A5" s="0" t="s">
        <v>76</v>
      </c>
      <c r="B5" s="3" t="n">
        <v>14116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97732.605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2</v>
      </c>
      <c r="D13" s="3" t="n">
        <v>0</v>
      </c>
      <c r="E13" s="3" t="n">
        <v>0</v>
      </c>
      <c r="F13" s="3" t="n">
        <v>0.5</v>
      </c>
      <c r="G13" s="3" t="n">
        <v>0.5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95</v>
      </c>
      <c r="C14" s="3" t="n">
        <v>10.6</v>
      </c>
      <c r="D14" s="3" t="n">
        <v>10.2</v>
      </c>
      <c r="E14" s="3" t="n">
        <v>9.9</v>
      </c>
      <c r="F14" s="3" t="n">
        <v>9.7</v>
      </c>
      <c r="G14" s="3" t="n">
        <v>9.6</v>
      </c>
      <c r="H14" s="3" t="n">
        <v>9.6</v>
      </c>
      <c r="I14" s="3" t="n">
        <v>9.6</v>
      </c>
      <c r="J14" s="3" t="n">
        <v>9.6</v>
      </c>
      <c r="K14" s="3" t="n">
        <v>9.6</v>
      </c>
      <c r="L14" s="3" t="n">
        <v>9.6</v>
      </c>
    </row>
    <row r="15" customFormat="false" ht="15" hidden="false" customHeight="false" outlineLevel="0" collapsed="false">
      <c r="A15" s="0" t="s">
        <v>96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97</v>
      </c>
      <c r="C16" s="3" t="n">
        <v>0.2</v>
      </c>
      <c r="D16" s="3" t="n">
        <v>0.2</v>
      </c>
      <c r="E16" s="3" t="n">
        <v>0.2</v>
      </c>
      <c r="F16" s="3" t="n">
        <v>0.2</v>
      </c>
      <c r="G16" s="3" t="n">
        <v>0.2</v>
      </c>
      <c r="H16" s="3" t="n">
        <v>0.2</v>
      </c>
      <c r="I16" s="3" t="n">
        <v>0.2</v>
      </c>
      <c r="J16" s="3" t="n">
        <v>0.2</v>
      </c>
      <c r="K16" s="3" t="n">
        <v>0.2</v>
      </c>
      <c r="L16" s="3" t="n">
        <v>0.2</v>
      </c>
    </row>
    <row r="17" customFormat="false" ht="15" hidden="false" customHeight="false" outlineLevel="0" collapsed="false">
      <c r="A17" s="0" t="s">
        <v>98</v>
      </c>
      <c r="C17" s="3" t="n">
        <v>3.8</v>
      </c>
      <c r="D17" s="3" t="n">
        <v>3.8</v>
      </c>
      <c r="E17" s="3" t="n">
        <v>3.9</v>
      </c>
      <c r="F17" s="3" t="n">
        <v>3.9</v>
      </c>
      <c r="G17" s="3" t="n">
        <v>3.9</v>
      </c>
      <c r="H17" s="3" t="n">
        <v>3.9</v>
      </c>
      <c r="I17" s="3" t="n">
        <v>3.9</v>
      </c>
      <c r="J17" s="3" t="n">
        <v>3.9</v>
      </c>
      <c r="K17" s="3" t="n">
        <v>3.9</v>
      </c>
      <c r="L17" s="3" t="n">
        <v>3.9</v>
      </c>
    </row>
    <row r="18" customFormat="false" ht="15" hidden="false" customHeight="false" outlineLevel="0" collapsed="false">
      <c r="A18" s="0" t="s">
        <v>99</v>
      </c>
      <c r="C18" s="3" t="n">
        <v>3.8</v>
      </c>
      <c r="D18" s="3" t="n">
        <v>4</v>
      </c>
      <c r="E18" s="3" t="n">
        <v>4.2</v>
      </c>
      <c r="F18" s="3" t="n">
        <v>4.2</v>
      </c>
      <c r="G18" s="3" t="n">
        <v>4.2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 customFormat="false" ht="15" hidden="false" customHeight="false" outlineLevel="0" collapsed="false">
      <c r="A19" s="0" t="s">
        <v>100</v>
      </c>
      <c r="C19" s="3" t="n">
        <v>50</v>
      </c>
      <c r="D19" s="3" t="n">
        <v>50</v>
      </c>
      <c r="E19" s="3" t="n">
        <v>50</v>
      </c>
      <c r="F19" s="3" t="n">
        <v>50</v>
      </c>
      <c r="G19" s="3" t="n">
        <v>50</v>
      </c>
      <c r="H19" s="3" t="n">
        <v>50</v>
      </c>
      <c r="I19" s="3" t="n">
        <v>50</v>
      </c>
      <c r="J19" s="3" t="n">
        <v>50</v>
      </c>
      <c r="K19" s="3" t="n">
        <v>50</v>
      </c>
      <c r="L19" s="3" t="n">
        <v>50</v>
      </c>
    </row>
    <row r="20" customFormat="false" ht="15" hidden="false" customHeight="false" outlineLevel="0" collapsed="false">
      <c r="A20" s="0" t="s">
        <v>101</v>
      </c>
      <c r="B20" s="3" t="n">
        <v>7.5</v>
      </c>
    </row>
    <row r="21" customFormat="false" ht="15" hidden="false" customHeight="false" outlineLevel="0" collapsed="false">
      <c r="A21" s="0" t="s">
        <v>102</v>
      </c>
      <c r="B21" s="3" t="n">
        <v>1</v>
      </c>
    </row>
    <row r="22" customFormat="false" ht="15" hidden="false" customHeight="false" outlineLevel="0" collapsed="false">
      <c r="A22" s="0" t="s">
        <v>103</v>
      </c>
      <c r="B22" s="3" t="n">
        <v>12</v>
      </c>
    </row>
    <row r="23" customFormat="false" ht="15" hidden="false" customHeight="false" outlineLevel="0" collapsed="false">
      <c r="A23" s="0" t="s">
        <v>104</v>
      </c>
      <c r="B23" s="3" t="n">
        <v>0</v>
      </c>
    </row>
    <row r="24" customFormat="false" ht="15" hidden="false" customHeight="false" outlineLevel="0" collapsed="false">
      <c r="A24" s="0" t="s">
        <v>105</v>
      </c>
      <c r="B24" s="3" t="n">
        <v>0.3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3.5</v>
      </c>
      <c r="D27" s="3" t="n">
        <v>2.5</v>
      </c>
      <c r="E27" s="3" t="n">
        <v>2.5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95</v>
      </c>
      <c r="C28" s="3" t="n">
        <v>10.9</v>
      </c>
      <c r="D28" s="3" t="n">
        <v>10.7</v>
      </c>
      <c r="E28" s="3" t="n">
        <v>10.6</v>
      </c>
      <c r="F28" s="3" t="n">
        <v>10.6</v>
      </c>
      <c r="G28" s="3" t="n">
        <v>10.6</v>
      </c>
      <c r="H28" s="3" t="n">
        <v>10.7</v>
      </c>
      <c r="I28" s="3" t="n">
        <v>10.7</v>
      </c>
      <c r="J28" s="3" t="n">
        <v>10.8</v>
      </c>
      <c r="K28" s="3" t="n">
        <v>10.8</v>
      </c>
      <c r="L28" s="3" t="n">
        <v>10.8</v>
      </c>
    </row>
    <row r="29" customFormat="false" ht="15" hidden="false" customHeight="false" outlineLevel="0" collapsed="false">
      <c r="A29" s="0" t="s">
        <v>96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97</v>
      </c>
      <c r="C30" s="3" t="n">
        <v>0.2</v>
      </c>
      <c r="D30" s="3" t="n">
        <v>0.2</v>
      </c>
      <c r="E30" s="3" t="n">
        <v>0.2</v>
      </c>
      <c r="F30" s="3" t="n">
        <v>0.2</v>
      </c>
      <c r="G30" s="3" t="n">
        <v>0.2</v>
      </c>
      <c r="H30" s="3" t="n">
        <v>0.2</v>
      </c>
      <c r="I30" s="3" t="n">
        <v>0.2</v>
      </c>
      <c r="J30" s="3" t="n">
        <v>0.2</v>
      </c>
      <c r="K30" s="3" t="n">
        <v>0.2</v>
      </c>
      <c r="L30" s="3" t="n">
        <v>0.2</v>
      </c>
    </row>
    <row r="31" customFormat="false" ht="15" hidden="false" customHeight="false" outlineLevel="0" collapsed="false">
      <c r="A31" s="0" t="s">
        <v>98</v>
      </c>
      <c r="C31" s="3" t="n">
        <v>3.8</v>
      </c>
      <c r="D31" s="3" t="n">
        <v>3.8</v>
      </c>
      <c r="E31" s="3" t="n">
        <v>3.8</v>
      </c>
      <c r="F31" s="3" t="n">
        <v>3.8</v>
      </c>
      <c r="G31" s="3" t="n">
        <v>3.8</v>
      </c>
      <c r="H31" s="3" t="n">
        <v>3.8</v>
      </c>
      <c r="I31" s="3" t="n">
        <v>3.8</v>
      </c>
      <c r="J31" s="3" t="n">
        <v>3.8</v>
      </c>
      <c r="K31" s="3" t="n">
        <v>3.8</v>
      </c>
      <c r="L31" s="3" t="n">
        <v>3.8</v>
      </c>
    </row>
    <row r="32" customFormat="false" ht="15" hidden="false" customHeight="false" outlineLevel="0" collapsed="false">
      <c r="A32" s="0" t="s">
        <v>99</v>
      </c>
      <c r="C32" s="3" t="n">
        <v>3.6</v>
      </c>
      <c r="D32" s="3" t="n">
        <v>3.7</v>
      </c>
      <c r="E32" s="3" t="n">
        <v>3.7</v>
      </c>
      <c r="F32" s="3" t="n">
        <v>3.8</v>
      </c>
      <c r="G32" s="3" t="n">
        <v>3.8</v>
      </c>
      <c r="H32" s="3" t="n">
        <v>3.8</v>
      </c>
      <c r="I32" s="3" t="n">
        <v>3.8</v>
      </c>
      <c r="J32" s="3" t="n">
        <v>3.8</v>
      </c>
      <c r="K32" s="3" t="n">
        <v>3.8</v>
      </c>
      <c r="L32" s="3" t="n">
        <v>3.8</v>
      </c>
    </row>
    <row r="33" customFormat="false" ht="15" hidden="false" customHeight="false" outlineLevel="0" collapsed="false">
      <c r="A33" s="0" t="s">
        <v>100</v>
      </c>
      <c r="C33" s="3" t="n">
        <v>50</v>
      </c>
      <c r="D33" s="3" t="n">
        <v>50</v>
      </c>
      <c r="E33" s="3" t="n">
        <v>50</v>
      </c>
      <c r="F33" s="3" t="n">
        <v>50</v>
      </c>
      <c r="G33" s="3" t="n">
        <v>50</v>
      </c>
      <c r="H33" s="3" t="n">
        <v>50</v>
      </c>
      <c r="I33" s="3" t="n">
        <v>50</v>
      </c>
      <c r="J33" s="3" t="n">
        <v>50</v>
      </c>
      <c r="K33" s="3" t="n">
        <v>50</v>
      </c>
      <c r="L33" s="3" t="n">
        <v>50</v>
      </c>
    </row>
    <row r="34" customFormat="false" ht="15" hidden="false" customHeight="false" outlineLevel="0" collapsed="false">
      <c r="A34" s="0" t="s">
        <v>101</v>
      </c>
      <c r="B34" s="3" t="n">
        <v>7.5</v>
      </c>
    </row>
    <row r="35" customFormat="false" ht="15" hidden="false" customHeight="false" outlineLevel="0" collapsed="false">
      <c r="A35" s="0" t="s">
        <v>102</v>
      </c>
      <c r="B35" s="3" t="n">
        <v>2</v>
      </c>
    </row>
    <row r="36" customFormat="false" ht="15" hidden="false" customHeight="false" outlineLevel="0" collapsed="false">
      <c r="A36" s="0" t="s">
        <v>103</v>
      </c>
      <c r="B36" s="3" t="n">
        <v>15</v>
      </c>
    </row>
    <row r="37" customFormat="false" ht="15" hidden="false" customHeight="false" outlineLevel="0" collapsed="false">
      <c r="A37" s="0" t="s">
        <v>104</v>
      </c>
      <c r="B37" s="3" t="n">
        <v>0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5</v>
      </c>
      <c r="D41" s="3" t="n">
        <v>4.5</v>
      </c>
      <c r="E41" s="3" t="n">
        <v>4</v>
      </c>
      <c r="F41" s="3" t="n">
        <v>4</v>
      </c>
      <c r="G41" s="3" t="n">
        <v>3.5</v>
      </c>
      <c r="H41" s="3" t="n">
        <v>3</v>
      </c>
      <c r="I41" s="3" t="n">
        <v>3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95</v>
      </c>
      <c r="C42" s="3" t="n">
        <v>11.2</v>
      </c>
      <c r="D42" s="3" t="n">
        <v>11.4</v>
      </c>
      <c r="E42" s="3" t="n">
        <v>11.5</v>
      </c>
      <c r="F42" s="3" t="n">
        <v>11.6</v>
      </c>
      <c r="G42" s="3" t="n">
        <v>11.7</v>
      </c>
      <c r="H42" s="3" t="n">
        <v>11.8</v>
      </c>
      <c r="I42" s="3" t="n">
        <v>11.8</v>
      </c>
      <c r="J42" s="3" t="n">
        <v>11.8</v>
      </c>
      <c r="K42" s="3" t="n">
        <v>11.8</v>
      </c>
      <c r="L42" s="3" t="n">
        <v>11.8</v>
      </c>
    </row>
    <row r="43" customFormat="false" ht="15" hidden="false" customHeight="false" outlineLevel="0" collapsed="false">
      <c r="A43" s="0" t="s">
        <v>96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97</v>
      </c>
      <c r="C44" s="3" t="n">
        <v>0.2</v>
      </c>
      <c r="D44" s="3" t="n">
        <v>0.2</v>
      </c>
      <c r="E44" s="3" t="n">
        <v>0.2</v>
      </c>
      <c r="F44" s="3" t="n">
        <v>0.2</v>
      </c>
      <c r="G44" s="3" t="n">
        <v>0.2</v>
      </c>
      <c r="H44" s="3" t="n">
        <v>0.2</v>
      </c>
      <c r="I44" s="3" t="n">
        <v>0.2</v>
      </c>
      <c r="J44" s="3" t="n">
        <v>0.2</v>
      </c>
      <c r="K44" s="3" t="n">
        <v>0.2</v>
      </c>
      <c r="L44" s="3" t="n">
        <v>0.2</v>
      </c>
    </row>
    <row r="45" customFormat="false" ht="15" hidden="false" customHeight="false" outlineLevel="0" collapsed="false">
      <c r="A45" s="0" t="s">
        <v>98</v>
      </c>
      <c r="C45" s="3" t="n">
        <v>3.8</v>
      </c>
      <c r="D45" s="3" t="n">
        <v>3.8</v>
      </c>
      <c r="E45" s="3" t="n">
        <v>3.8</v>
      </c>
      <c r="F45" s="3" t="n">
        <v>3.8</v>
      </c>
      <c r="G45" s="3" t="n">
        <v>3.8</v>
      </c>
      <c r="H45" s="3" t="n">
        <v>3.8</v>
      </c>
      <c r="I45" s="3" t="n">
        <v>3.8</v>
      </c>
      <c r="J45" s="3" t="n">
        <v>3.8</v>
      </c>
      <c r="K45" s="3" t="n">
        <v>3.8</v>
      </c>
      <c r="L45" s="3" t="n">
        <v>3.8</v>
      </c>
    </row>
    <row r="46" customFormat="false" ht="15" hidden="false" customHeight="false" outlineLevel="0" collapsed="false">
      <c r="A46" s="0" t="s">
        <v>99</v>
      </c>
      <c r="C46" s="3" t="n">
        <v>3.8</v>
      </c>
      <c r="D46" s="3" t="n">
        <v>3.9</v>
      </c>
      <c r="E46" s="3" t="n">
        <v>4</v>
      </c>
      <c r="F46" s="3" t="n">
        <v>4</v>
      </c>
      <c r="G46" s="3" t="n">
        <v>4</v>
      </c>
      <c r="H46" s="3" t="n">
        <v>3.9</v>
      </c>
      <c r="I46" s="3" t="n">
        <v>3.9</v>
      </c>
      <c r="J46" s="3" t="n">
        <v>3.8</v>
      </c>
      <c r="K46" s="3" t="n">
        <v>3.8</v>
      </c>
      <c r="L46" s="3" t="n">
        <v>3.8</v>
      </c>
    </row>
    <row r="47" customFormat="false" ht="15" hidden="false" customHeight="false" outlineLevel="0" collapsed="false">
      <c r="A47" s="0" t="s">
        <v>100</v>
      </c>
      <c r="C47" s="3" t="n">
        <v>50</v>
      </c>
      <c r="D47" s="3" t="n">
        <v>50</v>
      </c>
      <c r="E47" s="3" t="n">
        <v>50</v>
      </c>
      <c r="F47" s="3" t="n">
        <v>50</v>
      </c>
      <c r="G47" s="3" t="n">
        <v>50</v>
      </c>
      <c r="H47" s="3" t="n">
        <v>50</v>
      </c>
      <c r="I47" s="3" t="n">
        <v>50</v>
      </c>
      <c r="J47" s="3" t="n">
        <v>50</v>
      </c>
      <c r="K47" s="3" t="n">
        <v>50</v>
      </c>
      <c r="L47" s="3" t="n">
        <v>50</v>
      </c>
    </row>
    <row r="48" customFormat="false" ht="15" hidden="false" customHeight="false" outlineLevel="0" collapsed="false">
      <c r="A48" s="0" t="s">
        <v>101</v>
      </c>
      <c r="B48" s="3" t="n">
        <v>7.5</v>
      </c>
    </row>
    <row r="49" customFormat="false" ht="15" hidden="false" customHeight="false" outlineLevel="0" collapsed="false">
      <c r="A49" s="0" t="s">
        <v>102</v>
      </c>
      <c r="B49" s="3" t="n">
        <v>2.5</v>
      </c>
    </row>
    <row r="50" customFormat="false" ht="15" hidden="false" customHeight="false" outlineLevel="0" collapsed="false">
      <c r="A50" s="0" t="s">
        <v>103</v>
      </c>
      <c r="B50" s="3" t="n">
        <v>15</v>
      </c>
    </row>
    <row r="51" customFormat="false" ht="15" hidden="false" customHeight="false" outlineLevel="0" collapsed="false">
      <c r="A51" s="0" t="s">
        <v>104</v>
      </c>
      <c r="B51" s="3" t="n">
        <v>0</v>
      </c>
    </row>
    <row r="52" customFormat="false" ht="15" hidden="false" customHeight="false" outlineLevel="0" collapsed="false">
      <c r="A52" s="0" t="s">
        <v>105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2</v>
      </c>
      <c r="D5" s="4" t="n">
        <f aca="false">Assumptions!D13</f>
        <v>0</v>
      </c>
      <c r="E5" s="4" t="n">
        <f aca="false">Assumptions!E13</f>
        <v>0</v>
      </c>
      <c r="F5" s="4" t="n">
        <f aca="false">Assumptions!F13</f>
        <v>0.5</v>
      </c>
      <c r="G5" s="4" t="n">
        <f aca="false">Assumptions!G13</f>
        <v>0.5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97732.605</v>
      </c>
      <c r="C6" s="0" t="n">
        <f aca="false">B6*(1+C5/100)</f>
        <v>99687.2571</v>
      </c>
      <c r="D6" s="0" t="n">
        <f aca="false">C6*(1+D5/100)</f>
        <v>99687.2571</v>
      </c>
      <c r="E6" s="0" t="n">
        <f aca="false">D6*(1+E5/100)</f>
        <v>99687.2571</v>
      </c>
      <c r="F6" s="0" t="n">
        <f aca="false">E6*(1+F5/100)</f>
        <v>100185.6933855</v>
      </c>
      <c r="G6" s="0" t="n">
        <f aca="false">F6*(1+G5/100)</f>
        <v>100686.621852427</v>
      </c>
      <c r="H6" s="0" t="n">
        <f aca="false">G6*(1+H5/100)</f>
        <v>101693.488070952</v>
      </c>
      <c r="I6" s="0" t="n">
        <f aca="false">H6*(1+I5/100)</f>
        <v>102710.422951661</v>
      </c>
      <c r="J6" s="0" t="n">
        <f aca="false">I6*(1+J5/100)</f>
        <v>103737.527181178</v>
      </c>
      <c r="K6" s="0" t="n">
        <f aca="false">J6*(1+K5/100)</f>
        <v>104774.90245299</v>
      </c>
      <c r="L6" s="0" t="n">
        <f aca="false">K6*(1+L5/100)</f>
        <v>105822.65147752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10.6</v>
      </c>
      <c r="D7" s="4" t="n">
        <f aca="false">Assumptions!D14</f>
        <v>10.2</v>
      </c>
      <c r="E7" s="4" t="n">
        <f aca="false">Assumptions!E14</f>
        <v>9.9</v>
      </c>
      <c r="F7" s="4" t="n">
        <f aca="false">Assumptions!F14</f>
        <v>9.7</v>
      </c>
      <c r="G7" s="4" t="n">
        <f aca="false">Assumptions!G14</f>
        <v>9.6</v>
      </c>
      <c r="H7" s="4" t="n">
        <f aca="false">Assumptions!H14</f>
        <v>9.6</v>
      </c>
      <c r="I7" s="4" t="n">
        <f aca="false">Assumptions!I14</f>
        <v>9.6</v>
      </c>
      <c r="J7" s="4" t="n">
        <f aca="false">Assumptions!J14</f>
        <v>9.6</v>
      </c>
      <c r="K7" s="4" t="n">
        <f aca="false">Assumptions!K14</f>
        <v>9.6</v>
      </c>
      <c r="L7" s="4" t="n">
        <f aca="false">Assumptions!L14</f>
        <v>9.6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10566.8492526</v>
      </c>
      <c r="D8" s="0" t="n">
        <f aca="false">D6*D7/100</f>
        <v>10168.1002242</v>
      </c>
      <c r="E8" s="0" t="n">
        <f aca="false">E6*E7/100</f>
        <v>9869.0384529</v>
      </c>
      <c r="F8" s="0" t="n">
        <f aca="false">F6*F7/100</f>
        <v>9718.0122583935</v>
      </c>
      <c r="G8" s="0" t="n">
        <f aca="false">G6*G7/100</f>
        <v>9665.91569783304</v>
      </c>
      <c r="H8" s="0" t="n">
        <f aca="false">H6*H7/100</f>
        <v>9762.57485481137</v>
      </c>
      <c r="I8" s="0" t="n">
        <f aca="false">I6*I7/100</f>
        <v>9860.20060335948</v>
      </c>
      <c r="J8" s="0" t="n">
        <f aca="false">J6*J7/100</f>
        <v>9958.80260939308</v>
      </c>
      <c r="K8" s="0" t="n">
        <f aca="false">K6*K7/100</f>
        <v>10058.390635487</v>
      </c>
      <c r="L8" s="0" t="n">
        <f aca="false">L6*L7/100</f>
        <v>10158.9745418419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10367.4747384</v>
      </c>
      <c r="D11" s="0" t="n">
        <f aca="false">D8+D10+D24</f>
        <v>9968.72571</v>
      </c>
      <c r="E11" s="0" t="n">
        <f aca="false">E8+E10+E24</f>
        <v>9669.6639387</v>
      </c>
      <c r="F11" s="0" t="n">
        <f aca="false">F8+F10+F24</f>
        <v>9517.6408716225</v>
      </c>
      <c r="G11" s="0" t="n">
        <f aca="false">G8+G10+G24</f>
        <v>9464.54245412819</v>
      </c>
      <c r="H11" s="0" t="n">
        <f aca="false">H8+H10+H24</f>
        <v>9559.18787866947</v>
      </c>
      <c r="I11" s="0" t="n">
        <f aca="false">I8+I10+I24</f>
        <v>9654.77975745616</v>
      </c>
      <c r="J11" s="0" t="n">
        <f aca="false">J8+J10+J24</f>
        <v>9751.32755503072</v>
      </c>
      <c r="K11" s="0" t="n">
        <f aca="false">K8+K10+K24</f>
        <v>9848.84083058103</v>
      </c>
      <c r="L11" s="0" t="n">
        <f aca="false">L8+L10+L24</f>
        <v>9947.32923888684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-3788.1157698</v>
      </c>
      <c r="D12" s="4" t="n">
        <f aca="false">-D6*Assumptions!D17/100</f>
        <v>-3788.1157698</v>
      </c>
      <c r="E12" s="4" t="n">
        <f aca="false">-E6*Assumptions!E17/100</f>
        <v>-3887.8030269</v>
      </c>
      <c r="F12" s="4" t="n">
        <f aca="false">-F6*Assumptions!F17/100</f>
        <v>-3907.2420420345</v>
      </c>
      <c r="G12" s="4" t="n">
        <f aca="false">-G6*Assumptions!G17/100</f>
        <v>-3926.77825224467</v>
      </c>
      <c r="H12" s="4" t="n">
        <f aca="false">-H6*Assumptions!H17/100</f>
        <v>-3966.04603476712</v>
      </c>
      <c r="I12" s="4" t="n">
        <f aca="false">-I6*Assumptions!I17/100</f>
        <v>-4005.70649511479</v>
      </c>
      <c r="J12" s="4" t="n">
        <f aca="false">-J6*Assumptions!J17/100</f>
        <v>-4045.76356006594</v>
      </c>
      <c r="K12" s="4" t="n">
        <f aca="false">-K6*Assumptions!K17/100</f>
        <v>-4086.2211956666</v>
      </c>
      <c r="L12" s="4" t="n">
        <f aca="false">-L6*Assumptions!L17/100</f>
        <v>-4127.08340762326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6579.3589686</v>
      </c>
      <c r="D13" s="0" t="n">
        <f aca="false">D11+D12</f>
        <v>6180.6099402</v>
      </c>
      <c r="E13" s="0" t="n">
        <f aca="false">E11+E12</f>
        <v>5781.8609118</v>
      </c>
      <c r="F13" s="0" t="n">
        <f aca="false">F11+F12</f>
        <v>5610.398829588</v>
      </c>
      <c r="G13" s="0" t="n">
        <f aca="false">G11+G12</f>
        <v>5537.76420188351</v>
      </c>
      <c r="H13" s="0" t="n">
        <f aca="false">H11+H12</f>
        <v>5593.14184390235</v>
      </c>
      <c r="I13" s="0" t="n">
        <f aca="false">I11+I12</f>
        <v>5649.07326234137</v>
      </c>
      <c r="J13" s="0" t="n">
        <f aca="false">J11+J12</f>
        <v>5705.56399496478</v>
      </c>
      <c r="K13" s="0" t="n">
        <f aca="false">K11+K12</f>
        <v>5762.61963491443</v>
      </c>
      <c r="L13" s="0" t="n">
        <f aca="false">L11+L12</f>
        <v>5820.24583126358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50</v>
      </c>
      <c r="D14" s="4" t="n">
        <f aca="false">Assumptions!D19</f>
        <v>50</v>
      </c>
      <c r="E14" s="4" t="n">
        <f aca="false">Assumptions!E19</f>
        <v>50</v>
      </c>
      <c r="F14" s="4" t="n">
        <f aca="false">Assumptions!F19</f>
        <v>50</v>
      </c>
      <c r="G14" s="4" t="n">
        <f aca="false">Assumptions!G19</f>
        <v>50</v>
      </c>
      <c r="H14" s="4" t="n">
        <f aca="false">Assumptions!H19</f>
        <v>50</v>
      </c>
      <c r="I14" s="4" t="n">
        <f aca="false">Assumptions!I19</f>
        <v>50</v>
      </c>
      <c r="J14" s="4" t="n">
        <f aca="false">Assumptions!J19</f>
        <v>50</v>
      </c>
      <c r="K14" s="4" t="n">
        <f aca="false">Assumptions!K19</f>
        <v>50</v>
      </c>
      <c r="L14" s="4" t="n">
        <f aca="false">Assumptions!L19</f>
        <v>50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3289.6794843</v>
      </c>
      <c r="D15" s="0" t="n">
        <f aca="false">D13-MAX(0,D13)*D14/100</f>
        <v>3090.3049701</v>
      </c>
      <c r="E15" s="0" t="n">
        <f aca="false">E13-MAX(0,E13)*E14/100</f>
        <v>2890.9304559</v>
      </c>
      <c r="F15" s="0" t="n">
        <f aca="false">F13-MAX(0,F13)*F14/100</f>
        <v>2805.199414794</v>
      </c>
      <c r="G15" s="0" t="n">
        <f aca="false">G13-MAX(0,G13)*G14/100</f>
        <v>2768.88210094176</v>
      </c>
      <c r="H15" s="0" t="n">
        <f aca="false">H13-MAX(0,H13)*H14/100</f>
        <v>2796.57092195117</v>
      </c>
      <c r="I15" s="0" t="n">
        <f aca="false">I13-MAX(0,I13)*I14/100</f>
        <v>2824.53663117069</v>
      </c>
      <c r="J15" s="0" t="n">
        <f aca="false">J13-MAX(0,J13)*J14/100</f>
        <v>2852.78199748239</v>
      </c>
      <c r="K15" s="0" t="n">
        <f aca="false">K13-MAX(0,K13)*K14/100</f>
        <v>2881.30981745721</v>
      </c>
      <c r="L15" s="0" t="n">
        <f aca="false">L13-MAX(0,L13)*L14/100</f>
        <v>2910.12291563179</v>
      </c>
    </row>
    <row r="16" customFormat="false" ht="15" hidden="false" customHeight="false" outlineLevel="0" collapsed="false">
      <c r="A16" s="0" t="s">
        <v>116</v>
      </c>
      <c r="C16" s="0" t="n">
        <f aca="false">-C12</f>
        <v>3788.1157698</v>
      </c>
      <c r="D16" s="0" t="n">
        <f aca="false">-D12</f>
        <v>3788.1157698</v>
      </c>
      <c r="E16" s="0" t="n">
        <f aca="false">-E12</f>
        <v>3887.8030269</v>
      </c>
      <c r="F16" s="0" t="n">
        <f aca="false">-F12</f>
        <v>3907.2420420345</v>
      </c>
      <c r="G16" s="0" t="n">
        <f aca="false">-G12</f>
        <v>3926.77825224467</v>
      </c>
      <c r="H16" s="0" t="n">
        <f aca="false">-H12</f>
        <v>3966.04603476712</v>
      </c>
      <c r="I16" s="0" t="n">
        <f aca="false">-I12</f>
        <v>4005.70649511479</v>
      </c>
      <c r="J16" s="0" t="n">
        <f aca="false">-J12</f>
        <v>4045.76356006594</v>
      </c>
      <c r="K16" s="0" t="n">
        <f aca="false">-K12</f>
        <v>4086.2211956666</v>
      </c>
      <c r="L16" s="0" t="n">
        <f aca="false">-L12</f>
        <v>4127.08340762326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-3788.1157698</v>
      </c>
      <c r="D17" s="4" t="n">
        <f aca="false">-D6*Assumptions!D18/100</f>
        <v>-3987.490284</v>
      </c>
      <c r="E17" s="4" t="n">
        <f aca="false">-E6*Assumptions!E18/100</f>
        <v>-4186.8647982</v>
      </c>
      <c r="F17" s="4" t="n">
        <f aca="false">-F6*Assumptions!F18/100</f>
        <v>-4207.799122191</v>
      </c>
      <c r="G17" s="4" t="n">
        <f aca="false">-G6*Assumptions!G18/100</f>
        <v>-4228.83811780195</v>
      </c>
      <c r="H17" s="4" t="n">
        <f aca="false">-H6*Assumptions!H18/100</f>
        <v>-4067.73952283807</v>
      </c>
      <c r="I17" s="4" t="n">
        <f aca="false">-I6*Assumptions!I18/100</f>
        <v>-4108.41691806645</v>
      </c>
      <c r="J17" s="4" t="n">
        <f aca="false">-J6*Assumptions!J18/100</f>
        <v>-4149.50108724712</v>
      </c>
      <c r="K17" s="4" t="n">
        <f aca="false">-K6*Assumptions!K18/100</f>
        <v>-4190.99609811959</v>
      </c>
      <c r="L17" s="4" t="n">
        <f aca="false">-L6*Assumptions!L18/100</f>
        <v>-4232.90605910078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3289.6794843</v>
      </c>
      <c r="D19" s="0" t="n">
        <f aca="false">D15+D16+D17+D18</f>
        <v>2890.9304559</v>
      </c>
      <c r="E19" s="0" t="n">
        <f aca="false">E15+E16+E17+E18</f>
        <v>2591.8686846</v>
      </c>
      <c r="F19" s="0" t="n">
        <f aca="false">F15+F16+F17+F18</f>
        <v>2504.6423346375</v>
      </c>
      <c r="G19" s="0" t="n">
        <f aca="false">G15+G16+G17+G18</f>
        <v>2466.82223538447</v>
      </c>
      <c r="H19" s="0" t="n">
        <f aca="false">H15+H16+H17+H18</f>
        <v>2694.87743388022</v>
      </c>
      <c r="I19" s="0" t="n">
        <f aca="false">I15+I16+I17+I18</f>
        <v>2721.82620821902</v>
      </c>
      <c r="J19" s="0" t="n">
        <f aca="false">J15+J16+J17+J18</f>
        <v>2749.04447030121</v>
      </c>
      <c r="K19" s="0" t="n">
        <f aca="false">K15+K16+K17+K18</f>
        <v>2776.53491500423</v>
      </c>
      <c r="L19" s="0" t="n">
        <f aca="false">L15+L16+L17+L18</f>
        <v>2804.30026415427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3060.16696213953</v>
      </c>
      <c r="D21" s="0" t="n">
        <f aca="false">D19*D20</f>
        <v>2501.61640315846</v>
      </c>
      <c r="E21" s="0" t="n">
        <f aca="false">E19*E20</f>
        <v>2086.35209244972</v>
      </c>
      <c r="F21" s="0" t="n">
        <f aca="false">F19*F20</f>
        <v>1875.4775070769</v>
      </c>
      <c r="G21" s="0" t="n">
        <f aca="false">G19*G20</f>
        <v>1718.28632253027</v>
      </c>
      <c r="H21" s="0" t="n">
        <f aca="false">H19*H20</f>
        <v>1746.1768741347</v>
      </c>
      <c r="I21" s="0" t="n">
        <f aca="false">I19*I20</f>
        <v>1640.59408639632</v>
      </c>
      <c r="J21" s="0" t="n">
        <f aca="false">J19*J20</f>
        <v>1541.39537419561</v>
      </c>
      <c r="K21" s="0" t="n">
        <f aca="false">K19*K20</f>
        <v>1448.19472366285</v>
      </c>
      <c r="L21" s="0" t="n">
        <f aca="false">L19*L20</f>
        <v>1360.62946130184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0.2</v>
      </c>
      <c r="D23" s="4" t="n">
        <f aca="false">Assumptions!D16</f>
        <v>0.2</v>
      </c>
      <c r="E23" s="4" t="n">
        <f aca="false">Assumptions!E16</f>
        <v>0.2</v>
      </c>
      <c r="F23" s="4" t="n">
        <f aca="false">Assumptions!F16</f>
        <v>0.2</v>
      </c>
      <c r="G23" s="4" t="n">
        <f aca="false">Assumptions!G16</f>
        <v>0.2</v>
      </c>
      <c r="H23" s="4" t="n">
        <f aca="false">Assumptions!H16</f>
        <v>0.2</v>
      </c>
      <c r="I23" s="4" t="n">
        <f aca="false">Assumptions!I16</f>
        <v>0.2</v>
      </c>
      <c r="J23" s="4" t="n">
        <f aca="false">Assumptions!J16</f>
        <v>0.2</v>
      </c>
      <c r="K23" s="4" t="n">
        <f aca="false">Assumptions!K16</f>
        <v>0.2</v>
      </c>
      <c r="L23" s="4" t="n">
        <f aca="false">Assumptions!L16</f>
        <v>0.2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-199.3745142</v>
      </c>
      <c r="D24" s="0" t="n">
        <f aca="false">-D6*D23/100</f>
        <v>-199.3745142</v>
      </c>
      <c r="E24" s="0" t="n">
        <f aca="false">-E6*E23/100</f>
        <v>-199.3745142</v>
      </c>
      <c r="F24" s="0" t="n">
        <f aca="false">-F6*F23/100</f>
        <v>-200.371386771</v>
      </c>
      <c r="G24" s="0" t="n">
        <f aca="false">-G6*G23/100</f>
        <v>-201.373243704855</v>
      </c>
      <c r="H24" s="0" t="n">
        <f aca="false">-H6*H23/100</f>
        <v>-203.386976141904</v>
      </c>
      <c r="I24" s="0" t="n">
        <f aca="false">-I6*I23/100</f>
        <v>-205.420845903323</v>
      </c>
      <c r="J24" s="0" t="n">
        <f aca="false">-J6*J23/100</f>
        <v>-207.475054362356</v>
      </c>
      <c r="K24" s="0" t="n">
        <f aca="false">-K6*K23/100</f>
        <v>-209.549804905979</v>
      </c>
      <c r="L24" s="0" t="n">
        <f aca="false">-L6*L23/100</f>
        <v>-211.645302955039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18978.8898070462</v>
      </c>
    </row>
    <row r="31" customFormat="false" ht="15" hidden="false" customHeight="false" outlineLevel="0" collapsed="false">
      <c r="A31" s="0" t="s">
        <v>125</v>
      </c>
      <c r="B31" s="0" t="n">
        <f aca="false">L19</f>
        <v>2804.30026415427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43574.5117968586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33651.6031698512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33651.6031698512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16327.5535356221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35306.4433426683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30948.3023426683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13.5967225236323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-0.187284965712356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13.5967225236323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20231.0233342558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6.4236748156268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3.5</v>
      </c>
      <c r="D5" s="4" t="n">
        <f aca="false">Assumptions!D27</f>
        <v>2.5</v>
      </c>
      <c r="E5" s="4" t="n">
        <f aca="false">Assumptions!E27</f>
        <v>2.5</v>
      </c>
      <c r="F5" s="4" t="n">
        <f aca="false">Assumptions!F27</f>
        <v>2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97732.605</v>
      </c>
      <c r="C6" s="0" t="n">
        <f aca="false">B6*(1+C5/100)</f>
        <v>101153.246175</v>
      </c>
      <c r="D6" s="0" t="n">
        <f aca="false">C6*(1+D5/100)</f>
        <v>103682.077329375</v>
      </c>
      <c r="E6" s="0" t="n">
        <f aca="false">D6*(1+E5/100)</f>
        <v>106274.129262609</v>
      </c>
      <c r="F6" s="0" t="n">
        <f aca="false">E6*(1+F5/100)</f>
        <v>108399.611847862</v>
      </c>
      <c r="G6" s="0" t="n">
        <f aca="false">F6*(1+G5/100)</f>
        <v>110567.604084819</v>
      </c>
      <c r="H6" s="0" t="n">
        <f aca="false">G6*(1+H5/100)</f>
        <v>112778.956166515</v>
      </c>
      <c r="I6" s="0" t="n">
        <f aca="false">H6*(1+I5/100)</f>
        <v>115034.535289845</v>
      </c>
      <c r="J6" s="0" t="n">
        <f aca="false">I6*(1+J5/100)</f>
        <v>117335.225995642</v>
      </c>
      <c r="K6" s="0" t="n">
        <f aca="false">J6*(1+K5/100)</f>
        <v>119681.930515555</v>
      </c>
      <c r="L6" s="0" t="n">
        <f aca="false">K6*(1+L5/100)</f>
        <v>122075.569125866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10.9</v>
      </c>
      <c r="D7" s="4" t="n">
        <f aca="false">Assumptions!D28</f>
        <v>10.7</v>
      </c>
      <c r="E7" s="4" t="n">
        <f aca="false">Assumptions!E28</f>
        <v>10.6</v>
      </c>
      <c r="F7" s="4" t="n">
        <f aca="false">Assumptions!F28</f>
        <v>10.6</v>
      </c>
      <c r="G7" s="4" t="n">
        <f aca="false">Assumptions!G28</f>
        <v>10.6</v>
      </c>
      <c r="H7" s="4" t="n">
        <f aca="false">Assumptions!H28</f>
        <v>10.7</v>
      </c>
      <c r="I7" s="4" t="n">
        <f aca="false">Assumptions!I28</f>
        <v>10.7</v>
      </c>
      <c r="J7" s="4" t="n">
        <f aca="false">Assumptions!J28</f>
        <v>10.8</v>
      </c>
      <c r="K7" s="4" t="n">
        <f aca="false">Assumptions!K28</f>
        <v>10.8</v>
      </c>
      <c r="L7" s="4" t="n">
        <f aca="false">Assumptions!L28</f>
        <v>10.8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11025.703833075</v>
      </c>
      <c r="D8" s="0" t="n">
        <f aca="false">D6*D7/100</f>
        <v>11093.9822742431</v>
      </c>
      <c r="E8" s="0" t="n">
        <f aca="false">E6*E7/100</f>
        <v>11265.0577018366</v>
      </c>
      <c r="F8" s="0" t="n">
        <f aca="false">F6*F7/100</f>
        <v>11490.3588558733</v>
      </c>
      <c r="G8" s="0" t="n">
        <f aca="false">G6*G7/100</f>
        <v>11720.1660329908</v>
      </c>
      <c r="H8" s="0" t="n">
        <f aca="false">H6*H7/100</f>
        <v>12067.3483098171</v>
      </c>
      <c r="I8" s="0" t="n">
        <f aca="false">I6*I7/100</f>
        <v>12308.6952760135</v>
      </c>
      <c r="J8" s="0" t="n">
        <f aca="false">J6*J7/100</f>
        <v>12672.2044075294</v>
      </c>
      <c r="K8" s="0" t="n">
        <f aca="false">K6*K7/100</f>
        <v>12925.64849568</v>
      </c>
      <c r="L8" s="0" t="n">
        <f aca="false">L6*L7/100</f>
        <v>13184.1614655936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10823.397340725</v>
      </c>
      <c r="D11" s="0" t="n">
        <f aca="false">D8+D10+D24</f>
        <v>10886.6181195844</v>
      </c>
      <c r="E11" s="0" t="n">
        <f aca="false">E8+E10+E24</f>
        <v>11052.5094433114</v>
      </c>
      <c r="F11" s="0" t="n">
        <f aca="false">F8+F10+F24</f>
        <v>11273.5596321776</v>
      </c>
      <c r="G11" s="0" t="n">
        <f aca="false">G8+G10+G24</f>
        <v>11499.0308248212</v>
      </c>
      <c r="H11" s="0" t="n">
        <f aca="false">H8+H10+H24</f>
        <v>11841.7903974841</v>
      </c>
      <c r="I11" s="0" t="n">
        <f aca="false">I8+I10+I24</f>
        <v>12078.6262054338</v>
      </c>
      <c r="J11" s="0" t="n">
        <f aca="false">J8+J10+J24</f>
        <v>12437.5339555381</v>
      </c>
      <c r="K11" s="0" t="n">
        <f aca="false">K8+K10+K24</f>
        <v>12686.2846346489</v>
      </c>
      <c r="L11" s="0" t="n">
        <f aca="false">L8+L10+L24</f>
        <v>12940.0103273418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-3843.82335465</v>
      </c>
      <c r="D12" s="4" t="n">
        <f aca="false">-D6*Assumptions!D31/100</f>
        <v>-3939.91893851625</v>
      </c>
      <c r="E12" s="4" t="n">
        <f aca="false">-E6*Assumptions!E31/100</f>
        <v>-4038.41691197916</v>
      </c>
      <c r="F12" s="4" t="n">
        <f aca="false">-F6*Assumptions!F31/100</f>
        <v>-4119.18525021874</v>
      </c>
      <c r="G12" s="4" t="n">
        <f aca="false">-G6*Assumptions!G31/100</f>
        <v>-4201.56895522311</v>
      </c>
      <c r="H12" s="4" t="n">
        <f aca="false">-H6*Assumptions!H31/100</f>
        <v>-4285.60033432758</v>
      </c>
      <c r="I12" s="4" t="n">
        <f aca="false">-I6*Assumptions!I31/100</f>
        <v>-4371.31234101413</v>
      </c>
      <c r="J12" s="4" t="n">
        <f aca="false">-J6*Assumptions!J31/100</f>
        <v>-4458.73858783441</v>
      </c>
      <c r="K12" s="4" t="n">
        <f aca="false">-K6*Assumptions!K31/100</f>
        <v>-4547.9133595911</v>
      </c>
      <c r="L12" s="4" t="n">
        <f aca="false">-L6*Assumptions!L31/100</f>
        <v>-4638.87162678292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6979.573986075</v>
      </c>
      <c r="D13" s="0" t="n">
        <f aca="false">D11+D12</f>
        <v>6946.69918106812</v>
      </c>
      <c r="E13" s="0" t="n">
        <f aca="false">E11+E12</f>
        <v>7014.09253133222</v>
      </c>
      <c r="F13" s="0" t="n">
        <f aca="false">F11+F12</f>
        <v>7154.37438195886</v>
      </c>
      <c r="G13" s="0" t="n">
        <f aca="false">G11+G12</f>
        <v>7297.46186959804</v>
      </c>
      <c r="H13" s="0" t="n">
        <f aca="false">H11+H12</f>
        <v>7556.19006315651</v>
      </c>
      <c r="I13" s="0" t="n">
        <f aca="false">I11+I12</f>
        <v>7707.31386441964</v>
      </c>
      <c r="J13" s="0" t="n">
        <f aca="false">J11+J12</f>
        <v>7978.79536770368</v>
      </c>
      <c r="K13" s="0" t="n">
        <f aca="false">K11+K12</f>
        <v>8138.37127505776</v>
      </c>
      <c r="L13" s="0" t="n">
        <f aca="false">L11+L12</f>
        <v>8301.13870055891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50</v>
      </c>
      <c r="D14" s="4" t="n">
        <f aca="false">Assumptions!D33</f>
        <v>50</v>
      </c>
      <c r="E14" s="4" t="n">
        <f aca="false">Assumptions!E33</f>
        <v>50</v>
      </c>
      <c r="F14" s="4" t="n">
        <f aca="false">Assumptions!F33</f>
        <v>50</v>
      </c>
      <c r="G14" s="4" t="n">
        <f aca="false">Assumptions!G33</f>
        <v>50</v>
      </c>
      <c r="H14" s="4" t="n">
        <f aca="false">Assumptions!H33</f>
        <v>50</v>
      </c>
      <c r="I14" s="4" t="n">
        <f aca="false">Assumptions!I33</f>
        <v>50</v>
      </c>
      <c r="J14" s="4" t="n">
        <f aca="false">Assumptions!J33</f>
        <v>50</v>
      </c>
      <c r="K14" s="4" t="n">
        <f aca="false">Assumptions!K33</f>
        <v>50</v>
      </c>
      <c r="L14" s="4" t="n">
        <f aca="false">Assumptions!L33</f>
        <v>50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3489.7869930375</v>
      </c>
      <c r="D15" s="0" t="n">
        <f aca="false">D13-MAX(0,D13)*D14/100</f>
        <v>3473.34959053406</v>
      </c>
      <c r="E15" s="0" t="n">
        <f aca="false">E13-MAX(0,E13)*E14/100</f>
        <v>3507.04626566611</v>
      </c>
      <c r="F15" s="0" t="n">
        <f aca="false">F13-MAX(0,F13)*F14/100</f>
        <v>3577.18719097943</v>
      </c>
      <c r="G15" s="0" t="n">
        <f aca="false">G13-MAX(0,G13)*G14/100</f>
        <v>3648.73093479902</v>
      </c>
      <c r="H15" s="0" t="n">
        <f aca="false">H13-MAX(0,H13)*H14/100</f>
        <v>3778.09503157826</v>
      </c>
      <c r="I15" s="0" t="n">
        <f aca="false">I13-MAX(0,I13)*I14/100</f>
        <v>3853.65693220982</v>
      </c>
      <c r="J15" s="0" t="n">
        <f aca="false">J13-MAX(0,J13)*J14/100</f>
        <v>3989.39768385184</v>
      </c>
      <c r="K15" s="0" t="n">
        <f aca="false">K13-MAX(0,K13)*K14/100</f>
        <v>4069.18563752888</v>
      </c>
      <c r="L15" s="0" t="n">
        <f aca="false">L13-MAX(0,L13)*L14/100</f>
        <v>4150.56935027946</v>
      </c>
    </row>
    <row r="16" customFormat="false" ht="15" hidden="false" customHeight="false" outlineLevel="0" collapsed="false">
      <c r="A16" s="0" t="s">
        <v>116</v>
      </c>
      <c r="C16" s="0" t="n">
        <f aca="false">-C12</f>
        <v>3843.82335465</v>
      </c>
      <c r="D16" s="0" t="n">
        <f aca="false">-D12</f>
        <v>3939.91893851625</v>
      </c>
      <c r="E16" s="0" t="n">
        <f aca="false">-E12</f>
        <v>4038.41691197916</v>
      </c>
      <c r="F16" s="0" t="n">
        <f aca="false">-F12</f>
        <v>4119.18525021874</v>
      </c>
      <c r="G16" s="0" t="n">
        <f aca="false">-G12</f>
        <v>4201.56895522311</v>
      </c>
      <c r="H16" s="0" t="n">
        <f aca="false">-H12</f>
        <v>4285.60033432758</v>
      </c>
      <c r="I16" s="0" t="n">
        <f aca="false">-I12</f>
        <v>4371.31234101413</v>
      </c>
      <c r="J16" s="0" t="n">
        <f aca="false">-J12</f>
        <v>4458.73858783441</v>
      </c>
      <c r="K16" s="0" t="n">
        <f aca="false">-K12</f>
        <v>4547.9133595911</v>
      </c>
      <c r="L16" s="0" t="n">
        <f aca="false">-L12</f>
        <v>4638.87162678292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-3641.5168623</v>
      </c>
      <c r="D17" s="4" t="n">
        <f aca="false">-D6*Assumptions!D32/100</f>
        <v>-3836.23686118687</v>
      </c>
      <c r="E17" s="4" t="n">
        <f aca="false">-E6*Assumptions!E32/100</f>
        <v>-3932.14278271655</v>
      </c>
      <c r="F17" s="4" t="n">
        <f aca="false">-F6*Assumptions!F32/100</f>
        <v>-4119.18525021874</v>
      </c>
      <c r="G17" s="4" t="n">
        <f aca="false">-G6*Assumptions!G32/100</f>
        <v>-4201.56895522311</v>
      </c>
      <c r="H17" s="4" t="n">
        <f aca="false">-H6*Assumptions!H32/100</f>
        <v>-4285.60033432758</v>
      </c>
      <c r="I17" s="4" t="n">
        <f aca="false">-I6*Assumptions!I32/100</f>
        <v>-4371.31234101413</v>
      </c>
      <c r="J17" s="4" t="n">
        <f aca="false">-J6*Assumptions!J32/100</f>
        <v>-4458.73858783441</v>
      </c>
      <c r="K17" s="4" t="n">
        <f aca="false">-K6*Assumptions!K32/100</f>
        <v>-4547.9133595911</v>
      </c>
      <c r="L17" s="4" t="n">
        <f aca="false">-L6*Assumptions!L32/100</f>
        <v>-4638.87162678292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3692.0934853875</v>
      </c>
      <c r="D19" s="0" t="n">
        <f aca="false">D15+D16+D17+D18</f>
        <v>3577.03166786344</v>
      </c>
      <c r="E19" s="0" t="n">
        <f aca="false">E15+E16+E17+E18</f>
        <v>3613.32039492872</v>
      </c>
      <c r="F19" s="0" t="n">
        <f aca="false">F15+F16+F17+F18</f>
        <v>3577.18719097943</v>
      </c>
      <c r="G19" s="0" t="n">
        <f aca="false">G15+G16+G17+G18</f>
        <v>3648.73093479902</v>
      </c>
      <c r="H19" s="0" t="n">
        <f aca="false">H15+H16+H17+H18</f>
        <v>3778.09503157826</v>
      </c>
      <c r="I19" s="0" t="n">
        <f aca="false">I15+I16+I17+I18</f>
        <v>3853.65693220982</v>
      </c>
      <c r="J19" s="0" t="n">
        <f aca="false">J15+J16+J17+J18</f>
        <v>3989.39768385184</v>
      </c>
      <c r="K19" s="0" t="n">
        <f aca="false">K15+K16+K17+K18</f>
        <v>4069.18563752888</v>
      </c>
      <c r="L19" s="0" t="n">
        <f aca="false">L15+L16+L17+L18</f>
        <v>4150.56935027946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3434.50556780233</v>
      </c>
      <c r="D21" s="0" t="n">
        <f aca="false">D19*D20</f>
        <v>3095.32215715603</v>
      </c>
      <c r="E21" s="0" t="n">
        <f aca="false">E19*E20</f>
        <v>2908.58044292248</v>
      </c>
      <c r="F21" s="0" t="n">
        <f aca="false">F19*F20</f>
        <v>2678.59966371466</v>
      </c>
      <c r="G21" s="0" t="n">
        <f aca="false">G19*G20</f>
        <v>2541.55502975717</v>
      </c>
      <c r="H21" s="0" t="n">
        <f aca="false">H19*H20</f>
        <v>2448.06019356737</v>
      </c>
      <c r="I21" s="0" t="n">
        <f aca="false">I19*I20</f>
        <v>2322.81060226857</v>
      </c>
      <c r="J21" s="0" t="n">
        <f aca="false">J19*J20</f>
        <v>2236.8641912301</v>
      </c>
      <c r="K21" s="0" t="n">
        <f aca="false">K19*K20</f>
        <v>2122.41997679508</v>
      </c>
      <c r="L21" s="0" t="n">
        <f aca="false">L19*L20</f>
        <v>2013.83104774975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0.2</v>
      </c>
      <c r="D23" s="4" t="n">
        <f aca="false">Assumptions!D30</f>
        <v>0.2</v>
      </c>
      <c r="E23" s="4" t="n">
        <f aca="false">Assumptions!E30</f>
        <v>0.2</v>
      </c>
      <c r="F23" s="4" t="n">
        <f aca="false">Assumptions!F30</f>
        <v>0.2</v>
      </c>
      <c r="G23" s="4" t="n">
        <f aca="false">Assumptions!G30</f>
        <v>0.2</v>
      </c>
      <c r="H23" s="4" t="n">
        <f aca="false">Assumptions!H30</f>
        <v>0.2</v>
      </c>
      <c r="I23" s="4" t="n">
        <f aca="false">Assumptions!I30</f>
        <v>0.2</v>
      </c>
      <c r="J23" s="4" t="n">
        <f aca="false">Assumptions!J30</f>
        <v>0.2</v>
      </c>
      <c r="K23" s="4" t="n">
        <f aca="false">Assumptions!K30</f>
        <v>0.2</v>
      </c>
      <c r="L23" s="4" t="n">
        <f aca="false">Assumptions!L30</f>
        <v>0.2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-202.30649235</v>
      </c>
      <c r="D24" s="0" t="n">
        <f aca="false">-D6*D23/100</f>
        <v>-207.36415465875</v>
      </c>
      <c r="E24" s="0" t="n">
        <f aca="false">-E6*E23/100</f>
        <v>-212.548258525219</v>
      </c>
      <c r="F24" s="0" t="n">
        <f aca="false">-F6*F23/100</f>
        <v>-216.799223695723</v>
      </c>
      <c r="G24" s="0" t="n">
        <f aca="false">-G6*G23/100</f>
        <v>-221.135208169638</v>
      </c>
      <c r="H24" s="0" t="n">
        <f aca="false">-H6*H23/100</f>
        <v>-225.55791233303</v>
      </c>
      <c r="I24" s="0" t="n">
        <f aca="false">-I6*I23/100</f>
        <v>-230.069070579691</v>
      </c>
      <c r="J24" s="0" t="n">
        <f aca="false">-J6*J23/100</f>
        <v>-234.670451991285</v>
      </c>
      <c r="K24" s="0" t="n">
        <f aca="false">-K6*K23/100</f>
        <v>-239.36386103111</v>
      </c>
      <c r="L24" s="0" t="n">
        <f aca="false">-L6*L23/100</f>
        <v>-244.151138251733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25802.5488729635</v>
      </c>
    </row>
    <row r="31" customFormat="false" ht="15" hidden="false" customHeight="false" outlineLevel="0" collapsed="false">
      <c r="A31" s="0" t="s">
        <v>125</v>
      </c>
      <c r="B31" s="0" t="n">
        <f aca="false">L19</f>
        <v>4150.56935027946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76974.1952233644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62258.5402541918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62258.5402541918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30207.4657162462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56010.0145892097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51651.8735892097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22.6925595220763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0.356399254158775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22.6925595220763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32566.0056714234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9.84597951346305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5</v>
      </c>
      <c r="D5" s="4" t="n">
        <f aca="false">Assumptions!D41</f>
        <v>4.5</v>
      </c>
      <c r="E5" s="4" t="n">
        <f aca="false">Assumptions!E41</f>
        <v>4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97732.605</v>
      </c>
      <c r="C6" s="0" t="n">
        <f aca="false">B6*(1+C5/100)</f>
        <v>102619.23525</v>
      </c>
      <c r="D6" s="0" t="n">
        <f aca="false">C6*(1+D5/100)</f>
        <v>107237.10083625</v>
      </c>
      <c r="E6" s="0" t="n">
        <f aca="false">D6*(1+E5/100)</f>
        <v>111526.5848697</v>
      </c>
      <c r="F6" s="0" t="n">
        <f aca="false">E6*(1+F5/100)</f>
        <v>115987.648264488</v>
      </c>
      <c r="G6" s="0" t="n">
        <f aca="false">F6*(1+G5/100)</f>
        <v>120047.215953745</v>
      </c>
      <c r="H6" s="0" t="n">
        <f aca="false">G6*(1+H5/100)</f>
        <v>123648.632432357</v>
      </c>
      <c r="I6" s="0" t="n">
        <f aca="false">H6*(1+I5/100)</f>
        <v>127358.091405328</v>
      </c>
      <c r="J6" s="0" t="n">
        <f aca="false">I6*(1+J5/100)</f>
        <v>130542.043690461</v>
      </c>
      <c r="K6" s="0" t="n">
        <f aca="false">J6*(1+K5/100)</f>
        <v>133805.594782723</v>
      </c>
      <c r="L6" s="0" t="n">
        <f aca="false">K6*(1+L5/100)</f>
        <v>137150.734652291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11.2</v>
      </c>
      <c r="D7" s="4" t="n">
        <f aca="false">Assumptions!D42</f>
        <v>11.4</v>
      </c>
      <c r="E7" s="4" t="n">
        <f aca="false">Assumptions!E42</f>
        <v>11.5</v>
      </c>
      <c r="F7" s="4" t="n">
        <f aca="false">Assumptions!F42</f>
        <v>11.6</v>
      </c>
      <c r="G7" s="4" t="n">
        <f aca="false">Assumptions!G42</f>
        <v>11.7</v>
      </c>
      <c r="H7" s="4" t="n">
        <f aca="false">Assumptions!H42</f>
        <v>11.8</v>
      </c>
      <c r="I7" s="4" t="n">
        <f aca="false">Assumptions!I42</f>
        <v>11.8</v>
      </c>
      <c r="J7" s="4" t="n">
        <f aca="false">Assumptions!J42</f>
        <v>11.8</v>
      </c>
      <c r="K7" s="4" t="n">
        <f aca="false">Assumptions!K42</f>
        <v>11.8</v>
      </c>
      <c r="L7" s="4" t="n">
        <f aca="false">Assumptions!L42</f>
        <v>11.8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11493.354348</v>
      </c>
      <c r="D8" s="0" t="n">
        <f aca="false">D6*D7/100</f>
        <v>12225.0294953325</v>
      </c>
      <c r="E8" s="0" t="n">
        <f aca="false">E6*E7/100</f>
        <v>12825.5572600155</v>
      </c>
      <c r="F8" s="0" t="n">
        <f aca="false">F6*F7/100</f>
        <v>13454.5671986806</v>
      </c>
      <c r="G8" s="0" t="n">
        <f aca="false">G6*G7/100</f>
        <v>14045.5242665882</v>
      </c>
      <c r="H8" s="0" t="n">
        <f aca="false">H6*H7/100</f>
        <v>14590.5386270182</v>
      </c>
      <c r="I8" s="0" t="n">
        <f aca="false">I6*I7/100</f>
        <v>15028.2547858287</v>
      </c>
      <c r="J8" s="0" t="n">
        <f aca="false">J6*J7/100</f>
        <v>15403.9611554744</v>
      </c>
      <c r="K8" s="0" t="n">
        <f aca="false">K6*K7/100</f>
        <v>15789.0601843613</v>
      </c>
      <c r="L8" s="0" t="n">
        <f aca="false">L6*L7/100</f>
        <v>16183.7866889703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11288.1158775</v>
      </c>
      <c r="D11" s="0" t="n">
        <f aca="false">D8+D10+D24</f>
        <v>12010.55529366</v>
      </c>
      <c r="E11" s="0" t="n">
        <f aca="false">E8+E10+E24</f>
        <v>12602.5040902761</v>
      </c>
      <c r="F11" s="0" t="n">
        <f aca="false">F8+F10+F24</f>
        <v>13222.5919021516</v>
      </c>
      <c r="G11" s="0" t="n">
        <f aca="false">G8+G10+G24</f>
        <v>13805.4298346807</v>
      </c>
      <c r="H11" s="0" t="n">
        <f aca="false">H8+H10+H24</f>
        <v>14343.2413621535</v>
      </c>
      <c r="I11" s="0" t="n">
        <f aca="false">I8+I10+I24</f>
        <v>14773.5386030181</v>
      </c>
      <c r="J11" s="0" t="n">
        <f aca="false">J8+J10+J24</f>
        <v>15142.8770680935</v>
      </c>
      <c r="K11" s="0" t="n">
        <f aca="false">K8+K10+K24</f>
        <v>15521.4489947959</v>
      </c>
      <c r="L11" s="0" t="n">
        <f aca="false">L8+L10+L24</f>
        <v>15909.4852196657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-3899.5309395</v>
      </c>
      <c r="D12" s="4" t="n">
        <f aca="false">-D6*Assumptions!D45/100</f>
        <v>-4075.0098317775</v>
      </c>
      <c r="E12" s="4" t="n">
        <f aca="false">-E6*Assumptions!E45/100</f>
        <v>-4238.0102250486</v>
      </c>
      <c r="F12" s="4" t="n">
        <f aca="false">-F6*Assumptions!F45/100</f>
        <v>-4407.53063405054</v>
      </c>
      <c r="G12" s="4" t="n">
        <f aca="false">-G6*Assumptions!G45/100</f>
        <v>-4561.79420624231</v>
      </c>
      <c r="H12" s="4" t="n">
        <f aca="false">-H6*Assumptions!H45/100</f>
        <v>-4698.64803242958</v>
      </c>
      <c r="I12" s="4" t="n">
        <f aca="false">-I6*Assumptions!I45/100</f>
        <v>-4839.60747340247</v>
      </c>
      <c r="J12" s="4" t="n">
        <f aca="false">-J6*Assumptions!J45/100</f>
        <v>-4960.59766023753</v>
      </c>
      <c r="K12" s="4" t="n">
        <f aca="false">-K6*Assumptions!K45/100</f>
        <v>-5084.61260174347</v>
      </c>
      <c r="L12" s="4" t="n">
        <f aca="false">-L6*Assumptions!L45/100</f>
        <v>-5211.72791678706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7388.584938</v>
      </c>
      <c r="D13" s="0" t="n">
        <f aca="false">D11+D12</f>
        <v>7935.5454618825</v>
      </c>
      <c r="E13" s="0" t="n">
        <f aca="false">E11+E12</f>
        <v>8364.4938652275</v>
      </c>
      <c r="F13" s="0" t="n">
        <f aca="false">F11+F12</f>
        <v>8815.06126810109</v>
      </c>
      <c r="G13" s="0" t="n">
        <f aca="false">G11+G12</f>
        <v>9243.63562843837</v>
      </c>
      <c r="H13" s="0" t="n">
        <f aca="false">H11+H12</f>
        <v>9644.59332972388</v>
      </c>
      <c r="I13" s="0" t="n">
        <f aca="false">I11+I12</f>
        <v>9933.9311296156</v>
      </c>
      <c r="J13" s="0" t="n">
        <f aca="false">J11+J12</f>
        <v>10182.279407856</v>
      </c>
      <c r="K13" s="0" t="n">
        <f aca="false">K11+K12</f>
        <v>10436.8363930524</v>
      </c>
      <c r="L13" s="0" t="n">
        <f aca="false">L11+L12</f>
        <v>10697.7573028787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50</v>
      </c>
      <c r="D14" s="4" t="n">
        <f aca="false">Assumptions!D47</f>
        <v>50</v>
      </c>
      <c r="E14" s="4" t="n">
        <f aca="false">Assumptions!E47</f>
        <v>50</v>
      </c>
      <c r="F14" s="4" t="n">
        <f aca="false">Assumptions!F47</f>
        <v>50</v>
      </c>
      <c r="G14" s="4" t="n">
        <f aca="false">Assumptions!G47</f>
        <v>50</v>
      </c>
      <c r="H14" s="4" t="n">
        <f aca="false">Assumptions!H47</f>
        <v>50</v>
      </c>
      <c r="I14" s="4" t="n">
        <f aca="false">Assumptions!I47</f>
        <v>50</v>
      </c>
      <c r="J14" s="4" t="n">
        <f aca="false">Assumptions!J47</f>
        <v>50</v>
      </c>
      <c r="K14" s="4" t="n">
        <f aca="false">Assumptions!K47</f>
        <v>50</v>
      </c>
      <c r="L14" s="4" t="n">
        <f aca="false">Assumptions!L47</f>
        <v>50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3694.292469</v>
      </c>
      <c r="D15" s="0" t="n">
        <f aca="false">D13-MAX(0,D13)*D14/100</f>
        <v>3967.77273094125</v>
      </c>
      <c r="E15" s="0" t="n">
        <f aca="false">E13-MAX(0,E13)*E14/100</f>
        <v>4182.24693261375</v>
      </c>
      <c r="F15" s="0" t="n">
        <f aca="false">F13-MAX(0,F13)*F14/100</f>
        <v>4407.53063405054</v>
      </c>
      <c r="G15" s="0" t="n">
        <f aca="false">G13-MAX(0,G13)*G14/100</f>
        <v>4621.81781421919</v>
      </c>
      <c r="H15" s="0" t="n">
        <f aca="false">H13-MAX(0,H13)*H14/100</f>
        <v>4822.29666486194</v>
      </c>
      <c r="I15" s="0" t="n">
        <f aca="false">I13-MAX(0,I13)*I14/100</f>
        <v>4966.9655648078</v>
      </c>
      <c r="J15" s="0" t="n">
        <f aca="false">J13-MAX(0,J13)*J14/100</f>
        <v>5091.13970392799</v>
      </c>
      <c r="K15" s="0" t="n">
        <f aca="false">K13-MAX(0,K13)*K14/100</f>
        <v>5218.41819652619</v>
      </c>
      <c r="L15" s="0" t="n">
        <f aca="false">L13-MAX(0,L13)*L14/100</f>
        <v>5348.87865143935</v>
      </c>
    </row>
    <row r="16" customFormat="false" ht="15" hidden="false" customHeight="false" outlineLevel="0" collapsed="false">
      <c r="A16" s="0" t="s">
        <v>116</v>
      </c>
      <c r="C16" s="0" t="n">
        <f aca="false">-C12</f>
        <v>3899.5309395</v>
      </c>
      <c r="D16" s="0" t="n">
        <f aca="false">-D12</f>
        <v>4075.0098317775</v>
      </c>
      <c r="E16" s="0" t="n">
        <f aca="false">-E12</f>
        <v>4238.0102250486</v>
      </c>
      <c r="F16" s="0" t="n">
        <f aca="false">-F12</f>
        <v>4407.53063405054</v>
      </c>
      <c r="G16" s="0" t="n">
        <f aca="false">-G12</f>
        <v>4561.79420624231</v>
      </c>
      <c r="H16" s="0" t="n">
        <f aca="false">-H12</f>
        <v>4698.64803242958</v>
      </c>
      <c r="I16" s="0" t="n">
        <f aca="false">-I12</f>
        <v>4839.60747340247</v>
      </c>
      <c r="J16" s="0" t="n">
        <f aca="false">-J12</f>
        <v>4960.59766023753</v>
      </c>
      <c r="K16" s="0" t="n">
        <f aca="false">-K12</f>
        <v>5084.61260174347</v>
      </c>
      <c r="L16" s="0" t="n">
        <f aca="false">-L12</f>
        <v>5211.72791678706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-3899.5309395</v>
      </c>
      <c r="D17" s="4" t="n">
        <f aca="false">-D6*Assumptions!D46/100</f>
        <v>-4182.24693261375</v>
      </c>
      <c r="E17" s="4" t="n">
        <f aca="false">-E6*Assumptions!E46/100</f>
        <v>-4461.063394788</v>
      </c>
      <c r="F17" s="4" t="n">
        <f aca="false">-F6*Assumptions!F46/100</f>
        <v>-4639.50593057952</v>
      </c>
      <c r="G17" s="4" t="n">
        <f aca="false">-G6*Assumptions!G46/100</f>
        <v>-4801.8886381498</v>
      </c>
      <c r="H17" s="4" t="n">
        <f aca="false">-H6*Assumptions!H46/100</f>
        <v>-4822.29666486194</v>
      </c>
      <c r="I17" s="4" t="n">
        <f aca="false">-I6*Assumptions!I46/100</f>
        <v>-4966.9655648078</v>
      </c>
      <c r="J17" s="4" t="n">
        <f aca="false">-J6*Assumptions!J46/100</f>
        <v>-4960.59766023753</v>
      </c>
      <c r="K17" s="4" t="n">
        <f aca="false">-K6*Assumptions!K46/100</f>
        <v>-5084.61260174347</v>
      </c>
      <c r="L17" s="4" t="n">
        <f aca="false">-L6*Assumptions!L46/100</f>
        <v>-5211.72791678706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3694.292469</v>
      </c>
      <c r="D19" s="0" t="n">
        <f aca="false">D15+D16+D17+D18</f>
        <v>3860.535630105</v>
      </c>
      <c r="E19" s="0" t="n">
        <f aca="false">E15+E16+E17+E18</f>
        <v>3959.19376287435</v>
      </c>
      <c r="F19" s="0" t="n">
        <f aca="false">F15+F16+F17+F18</f>
        <v>4175.55533752157</v>
      </c>
      <c r="G19" s="0" t="n">
        <f aca="false">G15+G16+G17+G18</f>
        <v>4381.72338231169</v>
      </c>
      <c r="H19" s="0" t="n">
        <f aca="false">H15+H16+H17+H18</f>
        <v>4698.64803242958</v>
      </c>
      <c r="I19" s="0" t="n">
        <f aca="false">I15+I16+I17+I18</f>
        <v>4839.60747340247</v>
      </c>
      <c r="J19" s="0" t="n">
        <f aca="false">J15+J16+J17+J18</f>
        <v>5091.13970392799</v>
      </c>
      <c r="K19" s="0" t="n">
        <f aca="false">K15+K16+K17+K18</f>
        <v>5218.41819652619</v>
      </c>
      <c r="L19" s="0" t="n">
        <f aca="false">L15+L16+L17+L18</f>
        <v>5348.87865143935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3436.55113395349</v>
      </c>
      <c r="D21" s="0" t="n">
        <f aca="false">D19*D20</f>
        <v>3340.64738137804</v>
      </c>
      <c r="E21" s="0" t="n">
        <f aca="false">E19*E20</f>
        <v>3186.9948661622</v>
      </c>
      <c r="F21" s="0" t="n">
        <f aca="false">F19*F20</f>
        <v>3126.65804884672</v>
      </c>
      <c r="G21" s="0" t="n">
        <f aca="false">G19*G20</f>
        <v>3052.12724651956</v>
      </c>
      <c r="H21" s="0" t="n">
        <f aca="false">H19*H20</f>
        <v>3044.54311382671</v>
      </c>
      <c r="I21" s="0" t="n">
        <f aca="false">I19*I20</f>
        <v>2917.09712301536</v>
      </c>
      <c r="J21" s="0" t="n">
        <f aca="false">J19*J20</f>
        <v>2854.61340251013</v>
      </c>
      <c r="K21" s="0" t="n">
        <f aca="false">K19*K20</f>
        <v>2721.84068611432</v>
      </c>
      <c r="L21" s="0" t="n">
        <f aca="false">L19*L20</f>
        <v>2595.2434448997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0.2</v>
      </c>
      <c r="D23" s="4" t="n">
        <f aca="false">Assumptions!D44</f>
        <v>0.2</v>
      </c>
      <c r="E23" s="4" t="n">
        <f aca="false">Assumptions!E44</f>
        <v>0.2</v>
      </c>
      <c r="F23" s="4" t="n">
        <f aca="false">Assumptions!F44</f>
        <v>0.2</v>
      </c>
      <c r="G23" s="4" t="n">
        <f aca="false">Assumptions!G44</f>
        <v>0.2</v>
      </c>
      <c r="H23" s="4" t="n">
        <f aca="false">Assumptions!H44</f>
        <v>0.2</v>
      </c>
      <c r="I23" s="4" t="n">
        <f aca="false">Assumptions!I44</f>
        <v>0.2</v>
      </c>
      <c r="J23" s="4" t="n">
        <f aca="false">Assumptions!J44</f>
        <v>0.2</v>
      </c>
      <c r="K23" s="4" t="n">
        <f aca="false">Assumptions!K44</f>
        <v>0.2</v>
      </c>
      <c r="L23" s="4" t="n">
        <f aca="false">Assumptions!L44</f>
        <v>0.2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-205.2384705</v>
      </c>
      <c r="D24" s="0" t="n">
        <f aca="false">-D6*D23/100</f>
        <v>-214.4742016725</v>
      </c>
      <c r="E24" s="0" t="n">
        <f aca="false">-E6*E23/100</f>
        <v>-223.0531697394</v>
      </c>
      <c r="F24" s="0" t="n">
        <f aca="false">-F6*F23/100</f>
        <v>-231.975296528976</v>
      </c>
      <c r="G24" s="0" t="n">
        <f aca="false">-G6*G23/100</f>
        <v>-240.09443190749</v>
      </c>
      <c r="H24" s="0" t="n">
        <f aca="false">-H6*H23/100</f>
        <v>-247.297264864715</v>
      </c>
      <c r="I24" s="0" t="n">
        <f aca="false">-I6*I23/100</f>
        <v>-254.716182810656</v>
      </c>
      <c r="J24" s="0" t="n">
        <f aca="false">-J6*J23/100</f>
        <v>-261.084087380923</v>
      </c>
      <c r="K24" s="0" t="n">
        <f aca="false">-K6*K23/100</f>
        <v>-267.611189565446</v>
      </c>
      <c r="L24" s="0" t="n">
        <f aca="false">-L6*L23/100</f>
        <v>-274.301469304582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30276.3164472262</v>
      </c>
    </row>
    <row r="31" customFormat="false" ht="15" hidden="false" customHeight="false" outlineLevel="0" collapsed="false">
      <c r="A31" s="0" t="s">
        <v>125</v>
      </c>
      <c r="B31" s="0" t="n">
        <f aca="false">L19</f>
        <v>5348.87865143935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109652.012354507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80233.1797715902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80233.1797715902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38928.6516734954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69204.9681207217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64846.8271207217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28.4895857981458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0.70290411226215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28.4895857981458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43860.8049418026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12.3474880484516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13.5967225236323</v>
      </c>
      <c r="C4" s="0" t="n">
        <f aca="false">B4/Assumptions!$B$2-1</f>
        <v>-0.187284965712356</v>
      </c>
      <c r="D4" s="4" t="n">
        <f aca="false">Assumptions!$B$24</f>
        <v>0.3</v>
      </c>
      <c r="E4" s="4" t="n">
        <f aca="false">DCF_Bear!$B$43</f>
        <v>13.5967225236323</v>
      </c>
      <c r="F4" s="4" t="n">
        <f aca="false">DCF_Bear!$B$47</f>
        <v>6.4236748156268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22.6925595220763</v>
      </c>
      <c r="C5" s="0" t="n">
        <f aca="false">B5/Assumptions!$B$2-1</f>
        <v>0.356399254158775</v>
      </c>
      <c r="D5" s="4" t="n">
        <f aca="false">Assumptions!$B$38</f>
        <v>0.5</v>
      </c>
      <c r="E5" s="4" t="n">
        <f aca="false">DCF_Base!$B$43</f>
        <v>22.6925595220763</v>
      </c>
      <c r="F5" s="4" t="n">
        <f aca="false">DCF_Base!$B$47</f>
        <v>9.84597951346305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28.4895857981458</v>
      </c>
      <c r="C6" s="0" t="n">
        <f aca="false">B6/Assumptions!$B$2-1</f>
        <v>0.70290411226215</v>
      </c>
      <c r="D6" s="4" t="n">
        <f aca="false">Assumptions!$B$52</f>
        <v>0.2</v>
      </c>
      <c r="E6" s="4" t="n">
        <f aca="false">DCF_Bull!$B$43</f>
        <v>28.4895857981458</v>
      </c>
      <c r="F6" s="4" t="n">
        <f aca="false">DCF_Bull!$B$47</f>
        <v>12.3474880484516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21.123213677757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21.123213677757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0.207980364388545</v>
      </c>
    </row>
    <row r="11" customFormat="false" ht="15" hidden="false" customHeight="false" outlineLevel="0" collapsed="false">
      <c r="A11" s="0" t="s">
        <v>152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9.31958981110988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22.6925595220763</v>
      </c>
      <c r="C15" s="3" t="n">
        <v>7.5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19.8899282995378</v>
      </c>
      <c r="C16" s="3" t="n">
        <v>9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17.1684773131527</v>
      </c>
      <c r="C17" s="3" t="n">
        <v>10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15.0522942543921</v>
      </c>
      <c r="C18" s="3" t="n">
        <v>11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13.3597487057286</v>
      </c>
      <c r="C19" s="3" t="n">
        <v>12</v>
      </c>
    </row>
    <row r="20" customFormat="false" ht="15" hidden="false" customHeight="false" outlineLevel="0" collapsed="false">
      <c r="A20" s="0" t="s">
        <v>161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9.84597951346305</v>
      </c>
      <c r="C20" s="3" t="n">
        <v>15</v>
      </c>
    </row>
    <row r="22" customFormat="false" ht="15" hidden="false" customHeight="false" outlineLevel="0" collapsed="false">
      <c r="A22" s="2" t="s">
        <v>162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26.5761777556807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26.5761777556807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26.5761777556807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26.5761777556807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26.5761777556807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24.5429010112656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24.5429010112656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24.5429010112656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24.5429010112656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24.5429010112656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22.6925595220763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22.6925595220763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22.6925595220763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22.6925595220763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22.6925595220763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19.7699605248783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20.6033502385664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21.0066033258349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21.0066033258349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21.0066033258349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17.1745515369892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17.7669843401924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18.4384081838228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19.2057497194004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19.468537916516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2026-10-16T06:15:27Z</dcterms:created>
  <dc:creator>openpyxl</dc:creator>
  <dc:description/>
  <dc:language>en-NZ</dc:language>
  <cp:lastModifiedBy/>
  <dcterms:modified xsi:type="dcterms:W3CDTF">2026-10-16T06:15:27Z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