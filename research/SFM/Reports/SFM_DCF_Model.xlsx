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Model_Info" sheetId="1" state="visible" r:id="rId3"/>
    <sheet name="Reconciliation" sheetId="2" state="visible" r:id="rId4"/>
    <sheet name="Actuals" sheetId="3" state="visible" r:id="rId5"/>
    <sheet name="Assumptions" sheetId="4" state="visible" r:id="rId6"/>
    <sheet name="DCF_Bear" sheetId="5" state="visible" r:id="rId7"/>
    <sheet name="DCF_Base" sheetId="6" state="visible" r:id="rId8"/>
    <sheet name="DCF_Bull" sheetId="7" state="visible" r:id="rId9"/>
    <sheet name="Valuatio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<sst xmlns="http://schemas.openxmlformats.org/spreadsheetml/2006/main" count="401" uniqueCount="194">
  <si>
    <t xml:space="preserve">Ticker</t>
  </si>
  <si>
    <t xml:space="preserve">SFM</t>
  </si>
  <si>
    <t xml:space="preserve">Company</t>
  </si>
  <si>
    <t xml:space="preserve">Sprouts Farmers Market, Inc.</t>
  </si>
  <si>
    <t xml:space="preserve">Valuation date</t>
  </si>
  <si>
    <t xml:space="preserve">2026-09-28</t>
  </si>
  <si>
    <t xml:space="preserve">Current price</t>
  </si>
  <si>
    <t xml:space="preserve">Price as of</t>
  </si>
  <si>
    <t xml:space="preserve">2026-09-25T20:00:00Z regular close (Yahoo Finance chart API); Friday close, not after-hours</t>
  </si>
  <si>
    <t xml:space="preserve">Balance sheet date</t>
  </si>
  <si>
    <t xml:space="preserve">2026-06-28</t>
  </si>
  <si>
    <t xml:space="preserve">Model</t>
  </si>
  <si>
    <t xml:space="preserve">owner_fcf_dcf_component</t>
  </si>
  <si>
    <t xml:space="preserve">Currency (model)</t>
  </si>
  <si>
    <t xml:space="preserve">USD</t>
  </si>
  <si>
    <t xml:space="preserve">Currency (quote)</t>
  </si>
  <si>
    <t xml:space="preserve">Units</t>
  </si>
  <si>
    <t xml:space="preserve">millions</t>
  </si>
  <si>
    <t xml:space="preserve">Engine</t>
  </si>
  <si>
    <t xml:space="preserve">dcf_engine v1</t>
  </si>
  <si>
    <t xml:space="preserve">Built at</t>
  </si>
  <si>
    <t xml:space="preserve">2026-09-28T07:48:46Z</t>
  </si>
  <si>
    <t xml:space="preserve">Drivers file</t>
  </si>
  <si>
    <t xml:space="preserve">SFM_Drivers.json</t>
  </si>
  <si>
    <t xml:space="preserve">Convention</t>
  </si>
  <si>
    <t xml:space="preserve">Percents stored as percents; formulas divide by 100. Blue = input, green = link, black = formula.</t>
  </si>
  <si>
    <t xml:space="preserve">Methodology</t>
  </si>
  <si>
    <t xml:space="preserve">summary: Value Sprouts as a self-funded store-growth compounder whose comps have gone to zero, not as the +7% comp business of FY2025 and not as a broken retailer. The owner-FCF build charges SBC ($31m, 0.35% of sales) in the flows and holds the share count flat; buybacks ($472m in FY2025, $210m in H1-2026) are how the count stays flat, not a source of value. FY2026 is the guided year (53 weeks, flat comps, EPS ~$5.36, capex up on a completed distribution centre); after that growth is new-store arithmetic on a 500-store base fading from 6% to 3%, margins hold below the FY2025 peak, and a 10-year horizon lets the owner-FCF margin mature (~4.9%) before a Gordon terminal at 2.5% on a 9% USD WACC. Leases are in the flows under ASC 842; only finance obligations are debt.
key_risks_to_valuation: Comps: every 1pp of sustained comp is roughly 1pp of revenue growth AND ~30-40bp of EBITDA margin through fixed-cost leverage; the bear path (comps -1 to -2% through FY2027) is what takes the value to the low $50s.; Harvest Sherwood adversary proceeding ($1bn+ claimed, ~$42m withheld payments; trial 2026-09-21): not modelled. A judgment of even $200-300m would be ~$2-3/share of cash and is not in any scenario.; New-store productivity and cannibalisation as 40+/yr openings move into the Northeast; the base assumes new stores keep earning near-chain-average returns.; Capex: FY2026 gross capex ~$330m is 3.5% of sales vs 2.8% in FY2025; the base assumes it eases to 2.8% -- if openings and remodels keep capex at 3.5% the owner-FCF margin matures ~0.7pp lower (~$10/share).; Cash tax: FY2025's 17.5% cash rate on EBIT depended on stock-comp deductions at ~$150 share prices; the model ramps to 24%, so a return of that benefit is upside, not risk.; CEO succession (Nick Konat, January 2027) during the slowdown; an internal, planned handover but the strategic response to affordability is his to set.</t>
  </si>
  <si>
    <t xml:space="preserve">Data sources</t>
  </si>
  <si>
    <t xml:space="preserve">price: Yahoo Finance chart API at inputs.price_as_of (Friday 2026-09-25 regular close); 52-week range 62.485-114.34, so the price sits at the bottom of the range.
financials: SFM_Metrics.csv re-exported 2026-09-28 from corrected core_metrics (52/53-week labelling fix); FY2025 10-K (SFM_10K_FY2025.txt: cash flow statement lines ~3120-3420, interest income ~2136-2148, diluted shares ~1918-1928, finance obligations ~4455-4470); Q1-2026 10-Q (SFM_10Q_Q1-2026.txt) for Q1 diluted shares and finance obligations; Q2-2026 balance sheet cash $223.9m and diluted 94.41m shares from the CSV/DB; Q2-2026 total finance obligations $113.8m carried from the 2026-08-28 build's Q2 10-Q read (not re-extracted; Q1-2026 verified $97.0m; the difference is ~$0.18/share).
qualitative: SFM_Analysis.json refreshed 2026-09-28 (Q2-2026 results and guidance, CEO succession, 500th store, Harvest Sherwood trial, Burry position, Deutsche Bank target cut).</t>
  </si>
  <si>
    <t xml:space="preserve">Scenario narrative: bear</t>
  </si>
  <si>
    <t xml:space="preserve">The affordability gap to Walmart, Aldi and Costco is structural for a secondary-destination grocer; comps stay negative through FY2027, the new CEO slows openings, and the margin gives back most of the 2023-25 expansion (pre-SBC EBITDA 8.3%). Revenue growth is 2-3%, the owner-FCF margin settles near 3.5%, and the business is a slow-growth grocer valued at a mid-teens FCF multiple. The Harvest Sherwood $1bn+ claim (trial 2026-09-21, outcome unconfirmed) and the securities class action are tail risks on top of this path, not inside it.</t>
  </si>
  <si>
    <t xml:space="preserve">Scenario narrative: base</t>
  </si>
  <si>
    <t xml:space="preserve">Sprouts is a unit-growth story whose comp engine has stalled: after +7.3% comps in FY2025 the company has printed -1.7% and -1.0% and guides flat for the year, so FY2026 revenue growth (~6.7% including a 53rd week) is all new stores. The base case assumes the 2024-25 customer surge finishes unwinding in FY2026, comps settle at +1-2% from FY2027, and 40 stores a year on a 500-store base carries revenue growth of 5-6% through the decade, fading to 3%. Margins do not recover to the FY2025 peak: the pre-SBC EBITDA margin dips to ~9.45% on deleverage and rebuilds to 9.8% as private label and self-distribution offset the price investment management has admitted it needs. Capex stays above D&amp;A for a growing store base, cash taxes normalise to 24% as the 2025 stock-comp deductions fade, and the owner-FCF margin matures at ~4.9%. The axes that matter are (1) whether comps are cyclical or structural, (2) new-store productivity as the format goes east, and (3) how much price Sprouts must give back to keep the less-loyal shopper.</t>
  </si>
  <si>
    <t xml:space="preserve">Scenario narrative: bull</t>
  </si>
  <si>
    <t xml:space="preserve">Comps re-accelerate to +3-4% once the FY2025 comparison is lapped: Sprouts Rewards (chainwide since Q4-2025) turns customer data into personalised offers that recover basket size, private label climbs past 30% of sales, and completed meat/seafood self-distribution adds gross margin. Unit growth steps up to 45/yr with the Northeast proving out, revenue compounds at 7-8% mid-decade and the EBITDA margin reaches 10.8%, above the FY2025 peak. The stock's 60% fall from the January 2026 high then reverses on both earnings and multiple.</t>
  </si>
  <si>
    <t xml:space="preserve">Item</t>
  </si>
  <si>
    <t xml:space="preserve">Value</t>
  </si>
  <si>
    <t xml:space="preserve">Note</t>
  </si>
  <si>
    <t xml:space="preserve">Prior valuation_date</t>
  </si>
  <si>
    <t xml:space="preserve">2026-08-28</t>
  </si>
  <si>
    <t xml:space="preserve">Prior price_then</t>
  </si>
  <si>
    <t xml:space="preserve">Prior bear</t>
  </si>
  <si>
    <t xml:space="preserve">Prior base</t>
  </si>
  <si>
    <t xml:space="preserve">Prior bull</t>
  </si>
  <si>
    <t xml:space="preserve">Prior weighted</t>
  </si>
  <si>
    <t xml:space="preserve">Prior note</t>
  </si>
  <si>
    <t xml:space="preserve">Prior was a hand-written 4-year model on reported FCF (SBC not deducted) at a flat 5.3% FCF margin, WACC 8.5% base/bull and 9.5% bear, no terminal cap, built on the pre-fix CSV (FY2020-22 mislabeled/missing). Its JSON also carried a 'weighted_iv_as_published' of 102.64 from an earlier draft; 78.50 is the value the file reported.</t>
  </si>
  <si>
    <t xml:space="preserve">New valuation_date</t>
  </si>
  <si>
    <t xml:space="preserve">New price_then</t>
  </si>
  <si>
    <t xml:space="preserve">New bear</t>
  </si>
  <si>
    <t xml:space="preserve">New base</t>
  </si>
  <si>
    <t xml:space="preserve">New bull</t>
  </si>
  <si>
    <t xml:space="preserve">New weighted</t>
  </si>
  <si>
    <t xml:space="preserve">Bridge</t>
  </si>
  <si>
    <t xml:space="preserve">Prior weighted IV</t>
  </si>
  <si>
    <t xml:space="preserve">Anchor refresh: diluted shares 93.25m -&gt; 94.41m (Q2-2026 diluted weighted average); net debt unchanged at -$110.1m, same 2026-06-28 balance sheet</t>
  </si>
  <si>
    <t xml:space="preserve">Discount rate: uniform 9.0% USD WACC in all scenarios replaces 8.5% base/bull and 9.5% bear (risk charged once, via weights)</t>
  </si>
  <si>
    <t xml:space="preserve">Methodology + driver re-judgment on the corrected series: 10-year component owner-FCF build (SBC $31m expensed, flat count, cash tax ramp 21-&gt;24%, capex 3.5%-&gt;2.8% gross, EBITDA 9.45%-&gt;9.8% pre-SBC) with Gordon/16x-cap terminal replaces a 4-year flat 5.3% reported-FCF margin with no cap; the longer horizon and mature ~4.9% owner-FCF margin (vs the prior's FY2026-trough 5.3% reported margin, which was 4.6% after SBC) is most of this</t>
  </si>
  <si>
    <t xml:space="preserve">Price move 81.85 -&gt; 62.49 (upside changes from -4% to +35%; no effect on IV)</t>
  </si>
  <si>
    <t xml:space="preserve">New weighted IV</t>
  </si>
  <si>
    <t xml:space="preserve">ties to probability_weighted.weighted_iv</t>
  </si>
  <si>
    <t xml:space="preserve">Period</t>
  </si>
  <si>
    <t xml:space="preserve">Revenue</t>
  </si>
  <si>
    <t xml:space="preserve">CostOfRevenue</t>
  </si>
  <si>
    <t xml:space="preserve">GrossProfit</t>
  </si>
  <si>
    <t xml:space="preserve">GrossMargin</t>
  </si>
  <si>
    <t xml:space="preserve">OperatingIncome</t>
  </si>
  <si>
    <t xml:space="preserve">OperatingMargin</t>
  </si>
  <si>
    <t xml:space="preserve">EBITDA</t>
  </si>
  <si>
    <t xml:space="preserve">NetIncome</t>
  </si>
  <si>
    <t xml:space="preserve">NetMargin</t>
  </si>
  <si>
    <t xml:space="preserve">EPS</t>
  </si>
  <si>
    <t xml:space="preserve">OperatingCashFlow</t>
  </si>
  <si>
    <t xml:space="preserve">CapEx</t>
  </si>
  <si>
    <t xml:space="preserve">FreeCashFlow</t>
  </si>
  <si>
    <t xml:space="preserve">ShareholdersEquity</t>
  </si>
  <si>
    <t xml:space="preserve">TotalAssets</t>
  </si>
  <si>
    <t xml:space="preserve">TotalLiabilities</t>
  </si>
  <si>
    <t xml:space="preserve">TotalDebt</t>
  </si>
  <si>
    <t xml:space="preserve">CashAndEquivalents</t>
  </si>
  <si>
    <t xml:space="preserve">SharesOutstanding</t>
  </si>
  <si>
    <t xml:space="preserve">StockBasedComp</t>
  </si>
  <si>
    <t xml:space="preserve">DividendPerShare</t>
  </si>
  <si>
    <t xml:space="preserve">EBITDABeforeSignificant</t>
  </si>
  <si>
    <t xml:space="preserve">RevenueContinuing</t>
  </si>
  <si>
    <t xml:space="preserve">EBITDAContinuingBeforeSignificant</t>
  </si>
  <si>
    <t xml:space="preserve">EBITContinuingBeforeSignificant</t>
  </si>
  <si>
    <t xml:space="preserve">Currency</t>
  </si>
  <si>
    <t xml:space="preserve">FY2011</t>
  </si>
  <si>
    <t xml:space="preserve">FY2012</t>
  </si>
  <si>
    <t xml:space="preserve">FY2013</t>
  </si>
  <si>
    <t xml:space="preserve">FY2014</t>
  </si>
  <si>
    <t xml:space="preserve">FY2015</t>
  </si>
  <si>
    <t xml:space="preserve">FY2016</t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</si>
  <si>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</si>
  <si>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</si>
  <si>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</si>
  <si>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</si>
  <si>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</si>
  <si>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</si>
  <si>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</si>
  <si>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</si>
  <si>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</si>
  <si>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Input</t>
  </si>
  <si>
    <t xml:space="preserve">Current price (quote currency)</t>
  </si>
  <si>
    <t xml:space="preserve">Shares, final projected (m)</t>
  </si>
  <si>
    <t xml:space="preserve">Net debt (m, model currency)</t>
  </si>
  <si>
    <t xml:space="preserve">Equity bridge total (m, + adds)</t>
  </si>
  <si>
    <t xml:space="preserve">Hurdle rate (%)</t>
  </si>
  <si>
    <t xml:space="preserve">Base revenue FY0 (m)</t>
  </si>
  <si>
    <t xml:space="preserve">FY0</t>
  </si>
  <si>
    <t xml:space="preserve">Currency / units</t>
  </si>
  <si>
    <t xml:space="preserve">USD millions</t>
  </si>
  <si>
    <t xml:space="preserve">FX rate (model -&gt; quote)</t>
  </si>
  <si>
    <t xml:space="preserve">BEAR</t>
  </si>
  <si>
    <t xml:space="preserve">FY2026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</si>
  <si>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</si>
  <si>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</si>
  <si>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</si>
  <si>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</si>
  <si>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</si>
  <si>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</si>
  <si>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t xml:space="preserve">FY2033</t>
  </si>
  <si>
    <t xml:space="preserve">FY2034</t>
  </si>
  <si>
    <t xml:space="preserve">FY2035</t>
  </si>
  <si>
    <t xml:space="preserve">Revenue growth (%)</t>
  </si>
  <si>
    <t xml:space="preserve">EBITDA margin (%)</t>
  </si>
  <si>
    <t xml:space="preserve">SBC (% of revenue)</t>
  </si>
  <si>
    <t xml:space="preserve">Lease cost (% of revenue)</t>
  </si>
  <si>
    <t xml:space="preserve">D&amp;A (% of revenue)</t>
  </si>
  <si>
    <t xml:space="preserve">Capex (% of revenue)</t>
  </si>
  <si>
    <t xml:space="preserve">Cash tax rate (%)</t>
  </si>
  <si>
    <t xml:space="preserve">WACC (%)</t>
  </si>
  <si>
    <t xml:space="preserve">Terminal growth (%)</t>
  </si>
  <si>
    <t xml:space="preserve">Terminal cap multiple (x FCF)</t>
  </si>
  <si>
    <t xml:space="preserve">Working-capital capture (% of revenue change)</t>
  </si>
  <si>
    <t xml:space="preserve">Scenario weight</t>
  </si>
  <si>
    <t xml:space="preserve">BASE</t>
  </si>
  <si>
    <t xml:space="preserve">BULL</t>
  </si>
  <si>
    <t xml:space="preserve">SFM owner-FCF component DCF: bear case (millions, USD)</t>
  </si>
  <si>
    <t xml:space="preserve">Line</t>
  </si>
  <si>
    <t xml:space="preserve">Year index (discount exponent)</t>
  </si>
  <si>
    <t xml:space="preserve">SBC charge</t>
  </si>
  <si>
    <t xml:space="preserve">Owner EBITDA (after SBC and leases)</t>
  </si>
  <si>
    <t xml:space="preserve">D&amp;A</t>
  </si>
  <si>
    <t xml:space="preserve">EBIT</t>
  </si>
  <si>
    <t xml:space="preserve">NOPAT</t>
  </si>
  <si>
    <t xml:space="preserve">D&amp;A add-back</t>
  </si>
  <si>
    <t xml:space="preserve">Capex</t>
  </si>
  <si>
    <t xml:space="preserve">Working capital</t>
  </si>
  <si>
    <t xml:space="preserve">Unlevered owner FCF</t>
  </si>
  <si>
    <t xml:space="preserve">Discount factor</t>
  </si>
  <si>
    <t xml:space="preserve">PV of FCF</t>
  </si>
  <si>
    <t xml:space="preserve">Lease cost</t>
  </si>
  <si>
    <t xml:space="preserve">Valuation</t>
  </si>
  <si>
    <t xml:space="preserve">Sum of PV of FCF</t>
  </si>
  <si>
    <t xml:space="preserve">Terminal-year FCF</t>
  </si>
  <si>
    <t xml:space="preserve">Gordon terminal value</t>
  </si>
  <si>
    <t xml:space="preserve">Cap terminal value</t>
  </si>
  <si>
    <t xml:space="preserve">Terminal value used: MAX(0,MIN(Gordon,cap))</t>
  </si>
  <si>
    <t xml:space="preserve">PV of terminal value</t>
  </si>
  <si>
    <t xml:space="preserve">Enterprise value</t>
  </si>
  <si>
    <t xml:space="preserve">Equity value (EV + bridge - net debt)</t>
  </si>
  <si>
    <t xml:space="preserve">Value per share (quote currency)</t>
  </si>
  <si>
    <t xml:space="preserve">Upside vs price</t>
  </si>
  <si>
    <t xml:space="preserve">Street memo: PV of explicit-period SBC</t>
  </si>
  <si>
    <t xml:space="preserve">Street memo: PV of terminal SBC (Gordon)</t>
  </si>
  <si>
    <t xml:space="preserve">Street value per share</t>
  </si>
  <si>
    <t xml:space="preserve">Terminal value at hurdle: MAX(0,MIN(Gordon@hurdle,cap))</t>
  </si>
  <si>
    <t xml:space="preserve">Hurdle entry price (quote currency)</t>
  </si>
  <si>
    <t xml:space="preserve">SFM owner-FCF component DCF: base case (millions, USD)</t>
  </si>
  <si>
    <t xml:space="preserve">SFM owner-FCF component DCF: bull case (millions, USD)</t>
  </si>
  <si>
    <t xml:space="preserve">SFM valuation summary</t>
  </si>
  <si>
    <t xml:space="preserve">Scenario</t>
  </si>
  <si>
    <t xml:space="preserve">Value per share</t>
  </si>
  <si>
    <t xml:space="preserve">Weight</t>
  </si>
  <si>
    <t xml:space="preserve">Hurdle entry price</t>
  </si>
  <si>
    <t xml:space="preserve">Bear</t>
  </si>
  <si>
    <t xml:space="preserve">Base</t>
  </si>
  <si>
    <t xml:space="preserve">Bull</t>
  </si>
  <si>
    <t xml:space="preserve">Probability-weighted value per share</t>
  </si>
  <si>
    <t xml:space="preserve">Street weighted value per share</t>
  </si>
  <si>
    <t xml:space="preserve">Margin of safety (1 - price/weighted)</t>
  </si>
  <si>
    <t xml:space="preserve">Band position (%; 0 = house, 100 = street)</t>
  </si>
  <si>
    <t xml:space="preserve">Weighted 15% hurdle entry price</t>
  </si>
  <si>
    <t xml:space="preserve">Required-return table (base case; each row rebuilds its own terminal value)</t>
  </si>
  <si>
    <t xml:space="preserve">Rate (%)</t>
  </si>
  <si>
    <t xml:space="preserve">Value per share at 9% (WACC)</t>
  </si>
  <si>
    <t xml:space="preserve">Value per share at 10%</t>
  </si>
  <si>
    <t xml:space="preserve">Value per share at 11%</t>
  </si>
  <si>
    <t xml:space="preserve">Value per share at 12%</t>
  </si>
  <si>
    <t xml:space="preserve">Value per share at 15%</t>
  </si>
  <si>
    <t xml:space="preserve">Sensitivity: value per share, rows WACC (%) x columns terminal growth (%)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</si>
</sst>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0" t="s">
        <v>0</v>
      </c>
      <c r="B1" s="0" t="s">
        <v>1</v>
      </c>
    </row>
    <row r="2" customFormat="false" ht="15" hidden="false" customHeight="false" outlineLevel="0" collapsed="false">
      <c r="A2" s="0" t="s">
        <v>2</v>
      </c>
      <c r="B2" s="0" t="s">
        <v>3</v>
      </c>
    </row>
    <row r="3" customFormat="false" ht="15" hidden="false" customHeight="false" outlineLevel="0" collapsed="false">
      <c r="A3" s="0" t="s">
        <v>4</v>
      </c>
      <c r="B3" s="0" t="s">
        <v>5</v>
      </c>
    </row>
    <row r="4" customFormat="false" ht="15" hidden="false" customHeight="false" outlineLevel="0" collapsed="false">
      <c r="A4" s="0" t="s">
        <v>6</v>
      </c>
      <c r="B4" s="0" t="n">
        <v>62.49</v>
      </c>
    </row>
    <row r="5" customFormat="false" ht="15" hidden="false" customHeight="false" outlineLevel="0" collapsed="false">
      <c r="A5" s="0" t="s">
        <v>7</v>
      </c>
      <c r="B5" s="0" t="s">
        <v>8</v>
      </c>
    </row>
    <row r="6" customFormat="false" ht="15" hidden="false" customHeight="false" outlineLevel="0" collapsed="false">
      <c r="A6" s="0" t="s">
        <v>9</v>
      </c>
      <c r="B6" s="0" t="s">
        <v>10</v>
      </c>
    </row>
    <row r="7" customFormat="false" ht="15" hidden="false" customHeight="false" outlineLevel="0" collapsed="false">
      <c r="A7" s="0" t="s">
        <v>11</v>
      </c>
      <c r="B7" s="0" t="s">
        <v>12</v>
      </c>
    </row>
    <row r="8" customFormat="false" ht="15" hidden="false" customHeight="false" outlineLevel="0" collapsed="false">
      <c r="A8" s="0" t="s">
        <v>13</v>
      </c>
      <c r="B8" s="0" t="s">
        <v>14</v>
      </c>
    </row>
    <row r="9" customFormat="false" ht="15" hidden="false" customHeight="false" outlineLevel="0" collapsed="false">
      <c r="A9" s="0" t="s">
        <v>15</v>
      </c>
      <c r="B9" s="0" t="s">
        <v>14</v>
      </c>
    </row>
    <row r="10" customFormat="false" ht="15" hidden="false" customHeight="false" outlineLevel="0" collapsed="false">
      <c r="A10" s="0" t="s">
        <v>16</v>
      </c>
      <c r="B10" s="0" t="s">
        <v>17</v>
      </c>
    </row>
    <row r="11" customFormat="false" ht="15" hidden="false" customHeight="false" outlineLevel="0" collapsed="false">
      <c r="A11" s="0" t="s">
        <v>18</v>
      </c>
      <c r="B11" s="0" t="s">
        <v>19</v>
      </c>
    </row>
    <row r="12" customFormat="false" ht="15" hidden="false" customHeight="false" outlineLevel="0" collapsed="false">
      <c r="A12" s="0" t="s">
        <v>20</v>
      </c>
      <c r="B12" s="0" t="s">
        <v>21</v>
      </c>
    </row>
    <row r="13" customFormat="false" ht="15" hidden="false" customHeight="false" outlineLevel="0" collapsed="false">
      <c r="A13" s="0" t="s">
        <v>22</v>
      </c>
      <c r="B13" s="0" t="s">
        <v>23</v>
      </c>
    </row>
    <row r="14" customFormat="false" ht="15" hidden="false" customHeight="false" outlineLevel="0" collapsed="false">
      <c r="A14" s="0" t="s">
        <v>24</v>
      </c>
      <c r="B14" s="0" t="s">
        <v>25</v>
      </c>
    </row>
    <row r="15" customFormat="false" ht="23.85" hidden="false" customHeight="false" outlineLevel="0" collapsed="false">
      <c r="A15" s="0" t="s">
        <v>26</v>
      </c>
      <c r="B15" s="1" t="s">
        <v>27</v>
      </c>
    </row>
    <row r="16" customFormat="false" ht="35.05" hidden="false" customHeight="false" outlineLevel="0" collapsed="false">
      <c r="A16" s="0" t="s">
        <v>28</v>
      </c>
      <c r="B16" s="1" t="s">
        <v>29</v>
      </c>
    </row>
    <row r="17" customFormat="false" ht="15" hidden="false" customHeight="false" outlineLevel="0" collapsed="false">
      <c r="A17" s="0" t="s">
        <v>30</v>
      </c>
      <c r="B17" s="0" t="s">
        <v>31</v>
      </c>
    </row>
    <row r="18" customFormat="false" ht="15" hidden="false" customHeight="false" outlineLevel="0" collapsed="false">
      <c r="A18" s="0" t="s">
        <v>32</v>
      </c>
      <c r="B18" s="0" t="s">
        <v>33</v>
      </c>
    </row>
    <row r="19" customFormat="false" ht="15" hidden="false" customHeight="false" outlineLevel="0" collapsed="false">
      <c r="A19" s="0" t="s">
        <v>34</v>
      </c>
      <c r="B19" s="0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8"/>
  </cols>
  <sheetData>
    <row r="1" customFormat="false" ht="15" hidden="false" customHeight="false" outlineLevel="0" collapsed="false">
      <c r="A1" s="2" t="s">
        <v>36</v>
      </c>
      <c r="B1" s="2" t="s">
        <v>37</v>
      </c>
      <c r="C1" s="2" t="s">
        <v>38</v>
      </c>
    </row>
    <row r="2" customFormat="false" ht="15" hidden="false" customHeight="false" outlineLevel="0" collapsed="false">
      <c r="A2" s="0" t="s">
        <v>39</v>
      </c>
      <c r="B2" s="0" t="s">
        <v>40</v>
      </c>
    </row>
    <row r="3" customFormat="false" ht="15" hidden="false" customHeight="false" outlineLevel="0" collapsed="false">
      <c r="A3" s="0" t="s">
        <v>41</v>
      </c>
      <c r="B3" s="0" t="n">
        <v>81.85</v>
      </c>
    </row>
    <row r="4" customFormat="false" ht="15" hidden="false" customHeight="false" outlineLevel="0" collapsed="false">
      <c r="A4" s="0" t="s">
        <v>42</v>
      </c>
      <c r="B4" s="0" t="n">
        <v>54.03</v>
      </c>
    </row>
    <row r="5" customFormat="false" ht="15" hidden="false" customHeight="false" outlineLevel="0" collapsed="false">
      <c r="A5" s="0" t="s">
        <v>43</v>
      </c>
      <c r="B5" s="0" t="n">
        <v>79.95</v>
      </c>
    </row>
    <row r="6" customFormat="false" ht="15" hidden="false" customHeight="false" outlineLevel="0" collapsed="false">
      <c r="A6" s="0" t="s">
        <v>44</v>
      </c>
      <c r="B6" s="0" t="n">
        <v>100.08</v>
      </c>
    </row>
    <row r="7" customFormat="false" ht="15" hidden="false" customHeight="false" outlineLevel="0" collapsed="false">
      <c r="A7" s="0" t="s">
        <v>45</v>
      </c>
      <c r="B7" s="0" t="n">
        <v>78.5</v>
      </c>
    </row>
    <row r="8" customFormat="false" ht="15" hidden="false" customHeight="false" outlineLevel="0" collapsed="false">
      <c r="A8" s="0" t="s">
        <v>46</v>
      </c>
      <c r="B8" s="0" t="s">
        <v>47</v>
      </c>
    </row>
    <row r="9" customFormat="false" ht="15" hidden="false" customHeight="false" outlineLevel="0" collapsed="false">
      <c r="A9" s="0" t="s">
        <v>48</v>
      </c>
      <c r="B9" s="0" t="s">
        <v>5</v>
      </c>
    </row>
    <row r="10" customFormat="false" ht="15" hidden="false" customHeight="false" outlineLevel="0" collapsed="false">
      <c r="A10" s="0" t="s">
        <v>49</v>
      </c>
      <c r="B10" s="0" t="n">
        <v>62.49</v>
      </c>
    </row>
    <row r="11" customFormat="false" ht="15" hidden="false" customHeight="false" outlineLevel="0" collapsed="false">
      <c r="A11" s="0" t="s">
        <v>50</v>
      </c>
      <c r="B11" s="0" t="n">
        <v>59.52</v>
      </c>
    </row>
    <row r="12" customFormat="false" ht="15" hidden="false" customHeight="false" outlineLevel="0" collapsed="false">
      <c r="A12" s="0" t="s">
        <v>51</v>
      </c>
      <c r="B12" s="0" t="n">
        <v>85.24</v>
      </c>
    </row>
    <row r="13" customFormat="false" ht="15" hidden="false" customHeight="false" outlineLevel="0" collapsed="false">
      <c r="A13" s="0" t="s">
        <v>52</v>
      </c>
      <c r="B13" s="0" t="n">
        <v>107.72</v>
      </c>
    </row>
    <row r="14" customFormat="false" ht="15" hidden="false" customHeight="false" outlineLevel="0" collapsed="false">
      <c r="A14" s="0" t="s">
        <v>53</v>
      </c>
      <c r="B14" s="0" t="n">
        <v>84.43</v>
      </c>
    </row>
    <row r="16" customFormat="false" ht="15" hidden="false" customHeight="false" outlineLevel="0" collapsed="false">
      <c r="A16" s="2" t="s">
        <v>54</v>
      </c>
    </row>
    <row r="17" customFormat="false" ht="15" hidden="false" customHeight="false" outlineLevel="0" collapsed="false">
      <c r="A17" s="0" t="s">
        <v>55</v>
      </c>
      <c r="B17" s="0" t="n">
        <v>78.5</v>
      </c>
    </row>
    <row r="18" customFormat="false" ht="15" hidden="false" customHeight="false" outlineLevel="0" collapsed="false">
      <c r="A18" s="0" t="s">
        <v>56</v>
      </c>
      <c r="B18" s="0" t="n">
        <v>-1.05</v>
      </c>
    </row>
    <row r="19" customFormat="false" ht="15" hidden="false" customHeight="false" outlineLevel="0" collapsed="false">
      <c r="A19" s="0" t="s">
        <v>57</v>
      </c>
      <c r="B19" s="0" t="n">
        <v>-2.27</v>
      </c>
    </row>
    <row r="20" customFormat="false" ht="15" hidden="false" customHeight="false" outlineLevel="0" collapsed="false">
      <c r="A20" s="0" t="s">
        <v>58</v>
      </c>
      <c r="B20" s="0" t="n">
        <v>9.25</v>
      </c>
    </row>
    <row r="21" customFormat="false" ht="15" hidden="false" customHeight="false" outlineLevel="0" collapsed="false">
      <c r="A21" s="0" t="s">
        <v>59</v>
      </c>
      <c r="B21" s="0" t="n">
        <v>0</v>
      </c>
    </row>
    <row r="22" customFormat="false" ht="15" hidden="false" customHeight="false" outlineLevel="0" collapsed="false">
      <c r="A22" s="0" t="s">
        <v>60</v>
      </c>
      <c r="B22" s="0" t="n">
        <v>84.43</v>
      </c>
      <c r="C22" s="0" t="s">
        <v>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2" t="s">
        <v>62</v>
      </c>
      <c r="B1" s="2" t="s">
        <v>63</v>
      </c>
      <c r="C1" s="2" t="s">
        <v>64</v>
      </c>
      <c r="D1" s="2" t="s">
        <v>65</v>
      </c>
      <c r="E1" s="2" t="s">
        <v>66</v>
      </c>
      <c r="F1" s="2" t="s">
        <v>67</v>
      </c>
      <c r="G1" s="2" t="s">
        <v>68</v>
      </c>
      <c r="H1" s="2" t="s">
        <v>69</v>
      </c>
      <c r="I1" s="2" t="s">
        <v>70</v>
      </c>
      <c r="J1" s="2" t="s">
        <v>71</v>
      </c>
      <c r="K1" s="2" t="s">
        <v>72</v>
      </c>
      <c r="L1" s="2" t="s">
        <v>73</v>
      </c>
      <c r="M1" s="2" t="s">
        <v>74</v>
      </c>
      <c r="N1" s="2" t="s">
        <v>75</v>
      </c>
      <c r="O1" s="2" t="s">
        <v>76</v>
      </c>
      <c r="P1" s="2" t="s">
        <v>77</v>
      </c>
      <c r="Q1" s="2" t="s">
        <v>78</v>
      </c>
      <c r="R1" s="2" t="s">
        <v>79</v>
      </c>
      <c r="S1" s="2" t="s">
        <v>80</v>
      </c>
      <c r="T1" s="2" t="s">
        <v>81</v>
      </c>
      <c r="U1" s="2" t="s">
        <v>82</v>
      </c>
      <c r="V1" s="2" t="s">
        <v>83</v>
      </c>
      <c r="W1" s="2" t="s">
        <v>84</v>
      </c>
      <c r="X1" s="2" t="s">
        <v>85</v>
      </c>
      <c r="Y1" s="2" t="s">
        <v>86</v>
      </c>
      <c r="Z1" s="2" t="s">
        <v>87</v>
      </c>
      <c r="AA1" s="2" t="s">
        <v>16</v>
      </c>
      <c r="AB1" s="2" t="s">
        <v>88</v>
      </c>
    </row>
    <row r="2" customFormat="false" ht="15" hidden="false" customHeight="false" outlineLevel="0" collapsed="false">
      <c r="A2" s="0" t="s">
        <v>89</v>
      </c>
      <c r="D2" s="0" t="n">
        <v>310.974</v>
      </c>
      <c r="F2" s="0" t="n">
        <v>-25.721</v>
      </c>
      <c r="H2" s="0" t="n">
        <v>28.924</v>
      </c>
      <c r="I2" s="0" t="n">
        <v>-27.445</v>
      </c>
      <c r="K2" s="0" t="n">
        <v>-0.28</v>
      </c>
      <c r="L2" s="0" t="n">
        <v>52.384</v>
      </c>
      <c r="M2" s="0" t="n">
        <v>27.594</v>
      </c>
      <c r="N2" s="0" t="n">
        <v>24.79</v>
      </c>
      <c r="O2" s="0" t="n">
        <v>267.453</v>
      </c>
      <c r="S2" s="0" t="n">
        <v>14.542</v>
      </c>
      <c r="T2" s="0" t="n">
        <v>96.954</v>
      </c>
      <c r="U2" s="0" t="n">
        <v>3.774</v>
      </c>
      <c r="AA2" s="0" t="s">
        <v>17</v>
      </c>
      <c r="AB2" s="0" t="s">
        <v>14</v>
      </c>
    </row>
    <row r="3" customFormat="false" ht="15" hidden="false" customHeight="false" outlineLevel="0" collapsed="false">
      <c r="A3" s="0" t="s">
        <v>90</v>
      </c>
      <c r="D3" s="0" t="n">
        <v>530.309</v>
      </c>
      <c r="F3" s="0" t="n">
        <v>70.685</v>
      </c>
      <c r="H3" s="0" t="n">
        <v>106.458</v>
      </c>
      <c r="I3" s="0" t="n">
        <v>19.5</v>
      </c>
      <c r="K3" s="0" t="n">
        <v>0.16</v>
      </c>
      <c r="L3" s="0" t="n">
        <v>84.431</v>
      </c>
      <c r="M3" s="0" t="n">
        <v>46.485</v>
      </c>
      <c r="N3" s="0" t="n">
        <v>37.946</v>
      </c>
      <c r="O3" s="0" t="n">
        <v>386.755</v>
      </c>
      <c r="P3" s="0" t="n">
        <v>1103.236</v>
      </c>
      <c r="Q3" s="0" t="n">
        <v>716.481</v>
      </c>
      <c r="R3" s="0" t="n">
        <v>428.332</v>
      </c>
      <c r="S3" s="0" t="n">
        <v>67.211</v>
      </c>
      <c r="T3" s="0" t="n">
        <v>125.956721</v>
      </c>
      <c r="U3" s="0" t="n">
        <v>4.653</v>
      </c>
      <c r="AA3" s="0" t="s">
        <v>17</v>
      </c>
      <c r="AB3" s="0" t="s">
        <v>14</v>
      </c>
    </row>
    <row r="4" customFormat="false" ht="15" hidden="false" customHeight="false" outlineLevel="0" collapsed="false">
      <c r="A4" s="0" t="s">
        <v>91</v>
      </c>
      <c r="D4" s="0" t="n">
        <v>725.267</v>
      </c>
      <c r="F4" s="0" t="n">
        <v>139.504</v>
      </c>
      <c r="H4" s="0" t="n">
        <v>186.721</v>
      </c>
      <c r="I4" s="0" t="n">
        <v>51.326</v>
      </c>
      <c r="K4" s="0" t="n">
        <v>0.38</v>
      </c>
      <c r="L4" s="0" t="n">
        <v>160.588</v>
      </c>
      <c r="M4" s="0" t="n">
        <v>87.463</v>
      </c>
      <c r="N4" s="0" t="n">
        <v>73.125</v>
      </c>
      <c r="O4" s="0" t="n">
        <v>513.771</v>
      </c>
      <c r="P4" s="0" t="n">
        <v>1172.404</v>
      </c>
      <c r="Q4" s="0" t="n">
        <v>658.633</v>
      </c>
      <c r="R4" s="0" t="n">
        <v>317.062</v>
      </c>
      <c r="S4" s="0" t="n">
        <v>77.652</v>
      </c>
      <c r="T4" s="0" t="n">
        <v>147.61656</v>
      </c>
      <c r="U4" s="0" t="n">
        <v>5.78</v>
      </c>
      <c r="AA4" s="0" t="s">
        <v>17</v>
      </c>
      <c r="AB4" s="0" t="s">
        <v>14</v>
      </c>
    </row>
    <row r="5" customFormat="false" ht="15" hidden="false" customHeight="false" outlineLevel="0" collapsed="false">
      <c r="A5" s="0" t="s">
        <v>92</v>
      </c>
      <c r="D5" s="0" t="n">
        <v>885.203</v>
      </c>
      <c r="F5" s="0" t="n">
        <v>199.711</v>
      </c>
      <c r="H5" s="0" t="n">
        <v>260.073</v>
      </c>
      <c r="I5" s="0" t="n">
        <v>107.692</v>
      </c>
      <c r="K5" s="0" t="n">
        <v>0.72</v>
      </c>
      <c r="M5" s="0" t="n">
        <v>127.065</v>
      </c>
      <c r="O5" s="0" t="n">
        <v>685.389</v>
      </c>
      <c r="P5" s="0" t="n">
        <v>1369.073</v>
      </c>
      <c r="Q5" s="0" t="n">
        <v>683.684</v>
      </c>
      <c r="R5" s="0" t="n">
        <v>264.103</v>
      </c>
      <c r="S5" s="0" t="n">
        <v>130.513</v>
      </c>
      <c r="T5" s="0" t="n">
        <v>154.328</v>
      </c>
      <c r="U5" s="0" t="n">
        <v>5.355</v>
      </c>
      <c r="AA5" s="0" t="s">
        <v>17</v>
      </c>
      <c r="AB5" s="0" t="s">
        <v>14</v>
      </c>
    </row>
    <row r="6" customFormat="false" ht="15" hidden="false" customHeight="false" outlineLevel="0" collapsed="false">
      <c r="A6" s="0" t="s">
        <v>93</v>
      </c>
      <c r="D6" s="0" t="n">
        <v>1051.628</v>
      </c>
      <c r="F6" s="0" t="n">
        <v>228.754</v>
      </c>
      <c r="H6" s="0" t="n">
        <v>297.923</v>
      </c>
      <c r="I6" s="0" t="n">
        <v>128.991</v>
      </c>
      <c r="K6" s="0" t="n">
        <v>0.84</v>
      </c>
      <c r="M6" s="0" t="n">
        <v>125.313</v>
      </c>
      <c r="O6" s="0" t="n">
        <v>822.992</v>
      </c>
      <c r="P6" s="0" t="n">
        <v>1426.364</v>
      </c>
      <c r="Q6" s="0" t="n">
        <v>603.372</v>
      </c>
      <c r="R6" s="0" t="n">
        <v>160</v>
      </c>
      <c r="S6" s="0" t="n">
        <v>136.069</v>
      </c>
      <c r="T6" s="0" t="n">
        <v>155.877</v>
      </c>
      <c r="U6" s="0" t="n">
        <v>8.018</v>
      </c>
      <c r="AA6" s="0" t="s">
        <v>17</v>
      </c>
      <c r="AB6" s="0" t="s">
        <v>14</v>
      </c>
    </row>
    <row r="7" customFormat="false" ht="15" hidden="false" customHeight="false" outlineLevel="0" collapsed="false">
      <c r="A7" s="0" t="s">
        <v>94</v>
      </c>
      <c r="B7" s="0" t="n">
        <v>4046.385</v>
      </c>
      <c r="C7" s="0" t="n">
        <v>2682.937</v>
      </c>
      <c r="D7" s="0" t="n">
        <v>1363.448</v>
      </c>
      <c r="E7" s="0" t="n">
        <v>33.6954590331864</v>
      </c>
      <c r="F7" s="0" t="n">
        <v>212.932</v>
      </c>
      <c r="G7" s="0" t="n">
        <v>5.2622773166666</v>
      </c>
      <c r="H7" s="0" t="n">
        <v>293.655</v>
      </c>
      <c r="I7" s="0" t="n">
        <v>124.306</v>
      </c>
      <c r="J7" s="0" t="n">
        <v>3.07202601828546</v>
      </c>
      <c r="K7" s="0" t="n">
        <v>0.84</v>
      </c>
      <c r="L7" s="0" t="n">
        <v>254.351</v>
      </c>
      <c r="M7" s="0" t="n">
        <v>181.018</v>
      </c>
      <c r="N7" s="0" t="n">
        <v>73.333</v>
      </c>
      <c r="O7" s="0" t="n">
        <v>672.909</v>
      </c>
      <c r="P7" s="0" t="n">
        <v>1439.893</v>
      </c>
      <c r="Q7" s="0" t="n">
        <v>766.984</v>
      </c>
      <c r="R7" s="0" t="n">
        <v>255</v>
      </c>
      <c r="S7" s="0" t="n">
        <v>12.465</v>
      </c>
      <c r="T7" s="0" t="n">
        <v>149.653</v>
      </c>
      <c r="U7" s="0" t="n">
        <v>13.399</v>
      </c>
      <c r="AA7" s="0" t="s">
        <v>17</v>
      </c>
      <c r="AB7" s="0" t="s">
        <v>14</v>
      </c>
    </row>
    <row r="8" customFormat="false" ht="15" hidden="false" customHeight="false" outlineLevel="0" collapsed="false">
      <c r="A8" s="0" t="s">
        <v>95</v>
      </c>
      <c r="B8" s="0" t="n">
        <v>4664.612</v>
      </c>
      <c r="C8" s="0" t="n">
        <v>3097.582</v>
      </c>
      <c r="D8" s="0" t="n">
        <v>1567.03</v>
      </c>
      <c r="E8" s="0" t="n">
        <v>33.5940052463099</v>
      </c>
      <c r="F8" s="0" t="n">
        <v>226.07</v>
      </c>
      <c r="G8" s="0" t="n">
        <v>4.84649098360164</v>
      </c>
      <c r="H8" s="0" t="n">
        <v>323.057</v>
      </c>
      <c r="I8" s="0" t="n">
        <v>158.44</v>
      </c>
      <c r="J8" s="0" t="n">
        <v>3.39663834848429</v>
      </c>
      <c r="K8" s="0" t="n">
        <v>1.17</v>
      </c>
      <c r="L8" s="0" t="n">
        <v>309.567</v>
      </c>
      <c r="M8" s="0" t="n">
        <v>198.624</v>
      </c>
      <c r="N8" s="0" t="n">
        <v>110.943</v>
      </c>
      <c r="O8" s="0" t="n">
        <v>650.694</v>
      </c>
      <c r="P8" s="0" t="n">
        <v>1581.603</v>
      </c>
      <c r="Q8" s="0" t="n">
        <v>930.909</v>
      </c>
      <c r="R8" s="0" t="n">
        <v>348</v>
      </c>
      <c r="S8" s="0" t="n">
        <v>19.479</v>
      </c>
      <c r="T8" s="0" t="n">
        <v>137.884</v>
      </c>
      <c r="U8" s="0" t="n">
        <v>14.221</v>
      </c>
      <c r="AA8" s="0" t="s">
        <v>17</v>
      </c>
      <c r="AB8" s="0" t="s">
        <v>14</v>
      </c>
    </row>
    <row r="9" customFormat="false" ht="15" hidden="false" customHeight="false" outlineLevel="0" collapsed="false">
      <c r="A9" s="0" t="s">
        <v>96</v>
      </c>
      <c r="B9" s="0" t="n">
        <v>5207.336</v>
      </c>
      <c r="C9" s="0" t="n">
        <v>3459.861</v>
      </c>
      <c r="D9" s="0" t="n">
        <v>1747.475</v>
      </c>
      <c r="E9" s="0" t="n">
        <v>33.5579459439529</v>
      </c>
      <c r="F9" s="0" t="n">
        <v>222.911</v>
      </c>
      <c r="G9" s="0" t="n">
        <v>4.28071090476973</v>
      </c>
      <c r="H9" s="0" t="n">
        <v>333.66</v>
      </c>
      <c r="I9" s="0" t="n">
        <v>158.536</v>
      </c>
      <c r="J9" s="0" t="n">
        <v>3.04447418027183</v>
      </c>
      <c r="K9" s="0" t="n">
        <v>1.23</v>
      </c>
      <c r="L9" s="0" t="n">
        <v>294.379</v>
      </c>
      <c r="M9" s="0" t="n">
        <v>177.082</v>
      </c>
      <c r="N9" s="0" t="n">
        <v>117.297</v>
      </c>
      <c r="O9" s="0" t="n">
        <v>589.196</v>
      </c>
      <c r="P9" s="0" t="n">
        <v>1675.614</v>
      </c>
      <c r="Q9" s="0" t="n">
        <v>1086.418</v>
      </c>
      <c r="R9" s="0" t="n">
        <v>453</v>
      </c>
      <c r="S9" s="0" t="n">
        <v>1.588</v>
      </c>
      <c r="T9" s="0" t="n">
        <v>129.776</v>
      </c>
      <c r="U9" s="0" t="n">
        <v>14.512</v>
      </c>
      <c r="AA9" s="0" t="s">
        <v>17</v>
      </c>
      <c r="AB9" s="0" t="s">
        <v>14</v>
      </c>
    </row>
    <row r="10" customFormat="false" ht="15" hidden="false" customHeight="false" outlineLevel="0" collapsed="false">
      <c r="A10" s="0" t="s">
        <v>97</v>
      </c>
      <c r="B10" s="0" t="n">
        <v>5634.835</v>
      </c>
      <c r="C10" s="0" t="n">
        <v>3740.017</v>
      </c>
      <c r="D10" s="0" t="n">
        <v>1894.818</v>
      </c>
      <c r="E10" s="0" t="n">
        <v>33.6268586391616</v>
      </c>
      <c r="F10" s="0" t="n">
        <v>217.36</v>
      </c>
      <c r="G10" s="0" t="n">
        <v>3.85743327000702</v>
      </c>
      <c r="H10" s="0" t="n">
        <v>340.164</v>
      </c>
      <c r="I10" s="0" t="n">
        <v>149.629</v>
      </c>
      <c r="J10" s="0" t="n">
        <v>2.65542824235315</v>
      </c>
      <c r="K10" s="0" t="n">
        <v>1.25</v>
      </c>
      <c r="L10" s="0" t="n">
        <v>355.21</v>
      </c>
      <c r="M10" s="0" t="n">
        <v>183.232</v>
      </c>
      <c r="N10" s="0" t="n">
        <v>171.978</v>
      </c>
      <c r="O10" s="0" t="n">
        <v>581.952</v>
      </c>
      <c r="P10" s="0" t="n">
        <v>2722.983</v>
      </c>
      <c r="Q10" s="0" t="n">
        <v>2141.031</v>
      </c>
      <c r="S10" s="0" t="n">
        <v>85.314</v>
      </c>
      <c r="T10" s="0" t="n">
        <v>119.742</v>
      </c>
      <c r="U10" s="0" t="n">
        <v>8.949</v>
      </c>
      <c r="AA10" s="0" t="s">
        <v>17</v>
      </c>
      <c r="AB10" s="0" t="s">
        <v>14</v>
      </c>
    </row>
    <row r="11" customFormat="false" ht="15" hidden="false" customHeight="false" outlineLevel="0" collapsed="false">
      <c r="A11" s="0" t="s">
        <v>98</v>
      </c>
      <c r="B11" s="0" t="n">
        <v>6468.759</v>
      </c>
      <c r="C11" s="0" t="n">
        <v>4089.47</v>
      </c>
      <c r="D11" s="0" t="n">
        <v>2379.289</v>
      </c>
      <c r="E11" s="0" t="n">
        <v>36.7812280531706</v>
      </c>
      <c r="F11" s="0" t="n">
        <v>391.665</v>
      </c>
      <c r="G11" s="0" t="n">
        <v>6.05471621372817</v>
      </c>
      <c r="H11" s="0" t="n">
        <v>518.172</v>
      </c>
      <c r="I11" s="0" t="n">
        <v>287.45</v>
      </c>
      <c r="J11" s="0" t="n">
        <v>4.44366531509367</v>
      </c>
      <c r="K11" s="0" t="n">
        <v>2.44</v>
      </c>
      <c r="L11" s="0" t="n">
        <v>494.035</v>
      </c>
      <c r="M11" s="0" t="n">
        <v>121.968</v>
      </c>
      <c r="N11" s="0" t="n">
        <v>372.067</v>
      </c>
      <c r="O11" s="0" t="n">
        <v>881.293</v>
      </c>
      <c r="P11" s="0" t="n">
        <v>2806.404</v>
      </c>
      <c r="Q11" s="0" t="n">
        <v>1925.111</v>
      </c>
      <c r="S11" s="0" t="n">
        <v>169.697</v>
      </c>
      <c r="T11" s="0" t="n">
        <v>118.224</v>
      </c>
      <c r="U11" s="0" t="n">
        <v>14.339</v>
      </c>
      <c r="AA11" s="0" t="s">
        <v>17</v>
      </c>
      <c r="AB11" s="0" t="s">
        <v>14</v>
      </c>
    </row>
    <row r="12" customFormat="false" ht="15" hidden="false" customHeight="false" outlineLevel="0" collapsed="false">
      <c r="A12" s="0" t="s">
        <v>99</v>
      </c>
      <c r="B12" s="0" t="n">
        <v>6099.869</v>
      </c>
      <c r="C12" s="0" t="n">
        <v>3890.657</v>
      </c>
      <c r="D12" s="0" t="n">
        <v>2209.212</v>
      </c>
      <c r="E12" s="0" t="n">
        <v>36.2173679467543</v>
      </c>
      <c r="F12" s="0" t="n">
        <v>334.076</v>
      </c>
      <c r="G12" s="0" t="n">
        <v>5.47677335365727</v>
      </c>
      <c r="H12" s="0" t="n">
        <v>459.617</v>
      </c>
      <c r="I12" s="0" t="n">
        <v>244.157</v>
      </c>
      <c r="J12" s="0" t="n">
        <v>4.00265972924992</v>
      </c>
      <c r="K12" s="0" t="n">
        <v>2.12</v>
      </c>
      <c r="L12" s="0" t="n">
        <v>364.799</v>
      </c>
      <c r="M12" s="0" t="n">
        <v>102.378</v>
      </c>
      <c r="N12" s="0" t="n">
        <v>262.421</v>
      </c>
      <c r="O12" s="0" t="n">
        <v>959.876</v>
      </c>
      <c r="P12" s="0" t="n">
        <v>2923.115</v>
      </c>
      <c r="Q12" s="0" t="n">
        <v>1963.239</v>
      </c>
      <c r="R12" s="0" t="n">
        <v>250</v>
      </c>
      <c r="S12" s="0" t="n">
        <v>245.287</v>
      </c>
      <c r="T12" s="0" t="n">
        <v>116.077</v>
      </c>
      <c r="U12" s="0" t="n">
        <v>15.883</v>
      </c>
      <c r="AA12" s="0" t="s">
        <v>17</v>
      </c>
      <c r="AB12" s="0" t="s">
        <v>14</v>
      </c>
    </row>
    <row r="13" customFormat="false" ht="15" hidden="false" customHeight="false" outlineLevel="0" collapsed="false">
      <c r="A13" s="0" t="s">
        <v>100</v>
      </c>
      <c r="B13" s="0" t="n">
        <v>6404.223</v>
      </c>
      <c r="C13" s="0" t="n">
        <v>4055.659</v>
      </c>
      <c r="D13" s="0" t="n">
        <v>2348.564</v>
      </c>
      <c r="E13" s="0" t="n">
        <v>36.6721146343592</v>
      </c>
      <c r="F13" s="0" t="n">
        <v>358.36</v>
      </c>
      <c r="G13" s="0" t="n">
        <v>5.59568272372777</v>
      </c>
      <c r="H13" s="0" t="n">
        <v>485.427</v>
      </c>
      <c r="I13" s="0" t="n">
        <v>261.164</v>
      </c>
      <c r="J13" s="0" t="n">
        <v>4.07799665939178</v>
      </c>
      <c r="K13" s="0" t="n">
        <v>2.41</v>
      </c>
      <c r="L13" s="0" t="n">
        <v>371.329</v>
      </c>
      <c r="M13" s="0" t="n">
        <v>124.01</v>
      </c>
      <c r="N13" s="0" t="n">
        <v>247.319</v>
      </c>
      <c r="O13" s="0" t="n">
        <v>1046.462</v>
      </c>
      <c r="P13" s="0" t="n">
        <v>3070.38</v>
      </c>
      <c r="Q13" s="0" t="n">
        <v>2023.918</v>
      </c>
      <c r="R13" s="0" t="n">
        <v>250</v>
      </c>
      <c r="S13" s="0" t="n">
        <v>293.233</v>
      </c>
      <c r="T13" s="0" t="n">
        <v>109.139</v>
      </c>
      <c r="U13" s="0" t="n">
        <v>16.603</v>
      </c>
      <c r="AA13" s="0" t="s">
        <v>17</v>
      </c>
      <c r="AB13" s="0" t="s">
        <v>14</v>
      </c>
    </row>
    <row r="14" customFormat="false" ht="15" hidden="false" customHeight="false" outlineLevel="0" collapsed="false">
      <c r="A14" s="0" t="s">
        <v>101</v>
      </c>
      <c r="B14" s="0" t="n">
        <v>6837.384</v>
      </c>
      <c r="C14" s="0" t="n">
        <v>4315.543</v>
      </c>
      <c r="D14" s="0" t="n">
        <v>2521.841</v>
      </c>
      <c r="E14" s="0" t="n">
        <v>36.8831266460974</v>
      </c>
      <c r="F14" s="0" t="n">
        <v>350.231</v>
      </c>
      <c r="G14" s="0" t="n">
        <v>5.12229531060417</v>
      </c>
      <c r="H14" s="0" t="n">
        <v>488.042</v>
      </c>
      <c r="I14" s="0" t="n">
        <v>258.856</v>
      </c>
      <c r="J14" s="0" t="n">
        <v>3.78589238223274</v>
      </c>
      <c r="K14" s="0" t="n">
        <v>2.53</v>
      </c>
      <c r="L14" s="0" t="n">
        <v>465.068</v>
      </c>
      <c r="M14" s="0" t="n">
        <v>225.31</v>
      </c>
      <c r="N14" s="0" t="n">
        <v>239.758</v>
      </c>
      <c r="O14" s="0" t="n">
        <v>1148.547</v>
      </c>
      <c r="P14" s="0" t="n">
        <v>3327.428</v>
      </c>
      <c r="Q14" s="0" t="n">
        <v>2178.881</v>
      </c>
      <c r="R14" s="0" t="n">
        <v>125</v>
      </c>
      <c r="S14" s="0" t="n">
        <v>201.794</v>
      </c>
      <c r="T14" s="0" t="n">
        <v>103.39</v>
      </c>
      <c r="U14" s="0" t="n">
        <v>18.898</v>
      </c>
      <c r="AA14" s="0" t="s">
        <v>17</v>
      </c>
      <c r="AB14" s="0" t="s">
        <v>14</v>
      </c>
    </row>
    <row r="15" customFormat="false" ht="15" hidden="false" customHeight="false" outlineLevel="0" collapsed="false">
      <c r="A15" s="0" t="s">
        <v>102</v>
      </c>
      <c r="B15" s="0" t="n">
        <v>7719.29</v>
      </c>
      <c r="C15" s="0" t="n">
        <v>4777.799</v>
      </c>
      <c r="D15" s="0" t="n">
        <v>2941.491</v>
      </c>
      <c r="E15" s="0" t="n">
        <v>38.1057195674732</v>
      </c>
      <c r="F15" s="0" t="n">
        <v>504.497</v>
      </c>
      <c r="G15" s="0" t="n">
        <v>6.53553629932287</v>
      </c>
      <c r="H15" s="0" t="n">
        <v>644.661</v>
      </c>
      <c r="I15" s="0" t="n">
        <v>380.601</v>
      </c>
      <c r="J15" s="0" t="n">
        <v>4.93051822123537</v>
      </c>
      <c r="K15" s="0" t="n">
        <v>3.79</v>
      </c>
      <c r="L15" s="0" t="n">
        <v>645.214</v>
      </c>
      <c r="M15" s="0" t="n">
        <v>230.375</v>
      </c>
      <c r="N15" s="0" t="n">
        <v>414.839</v>
      </c>
      <c r="O15" s="0" t="n">
        <v>1321.893</v>
      </c>
      <c r="P15" s="0" t="n">
        <v>3640.699</v>
      </c>
      <c r="Q15" s="0" t="n">
        <v>2318.806</v>
      </c>
      <c r="S15" s="0" t="n">
        <v>265.159</v>
      </c>
      <c r="T15" s="0" t="n">
        <v>101.379</v>
      </c>
      <c r="U15" s="0" t="n">
        <v>28.417</v>
      </c>
      <c r="AA15" s="0" t="s">
        <v>17</v>
      </c>
      <c r="AB15" s="0" t="s">
        <v>14</v>
      </c>
    </row>
    <row r="16" customFormat="false" ht="15" hidden="false" customHeight="false" outlineLevel="0" collapsed="false">
      <c r="A16" s="0" t="s">
        <v>103</v>
      </c>
      <c r="B16" s="0" t="n">
        <v>8806.159</v>
      </c>
      <c r="C16" s="0" t="n">
        <v>5389.77</v>
      </c>
      <c r="D16" s="0" t="n">
        <v>3416.389</v>
      </c>
      <c r="E16" s="0" t="n">
        <v>38.7954498663947</v>
      </c>
      <c r="F16" s="0" t="n">
        <v>686.158</v>
      </c>
      <c r="G16" s="0" t="n">
        <v>7.79179662779198</v>
      </c>
      <c r="H16" s="0" t="n">
        <v>843.88</v>
      </c>
      <c r="I16" s="0" t="n">
        <v>523.67</v>
      </c>
      <c r="J16" s="0" t="n">
        <v>5.94663348685846</v>
      </c>
      <c r="K16" s="0" t="n">
        <v>5.36</v>
      </c>
      <c r="L16" s="0" t="n">
        <v>715.998</v>
      </c>
      <c r="M16" s="0" t="n">
        <v>248.267</v>
      </c>
      <c r="N16" s="0" t="n">
        <v>467.731</v>
      </c>
      <c r="O16" s="0" t="n">
        <v>1403.074</v>
      </c>
      <c r="P16" s="0" t="n">
        <v>4158.649</v>
      </c>
      <c r="Q16" s="0" t="n">
        <v>2755.575</v>
      </c>
      <c r="S16" s="0" t="n">
        <v>257.282</v>
      </c>
      <c r="T16" s="0" t="n">
        <v>98.704</v>
      </c>
      <c r="U16" s="0" t="n">
        <v>31.103</v>
      </c>
      <c r="AA16" s="0" t="s">
        <v>17</v>
      </c>
      <c r="AB16" s="0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4"/>
  </cols>
  <sheetData>
    <row r="1" customFormat="false" ht="15" hidden="false" customHeight="false" outlineLevel="0" collapsed="false">
      <c r="A1" s="2" t="s">
        <v>104</v>
      </c>
      <c r="B1" s="2" t="s">
        <v>37</v>
      </c>
    </row>
    <row r="2" customFormat="false" ht="15" hidden="false" customHeight="false" outlineLevel="0" collapsed="false">
      <c r="A2" s="0" t="s">
        <v>105</v>
      </c>
      <c r="B2" s="3" t="n">
        <v>62.49</v>
      </c>
    </row>
    <row r="3" customFormat="false" ht="15" hidden="false" customHeight="false" outlineLevel="0" collapsed="false">
      <c r="A3" s="0" t="s">
        <v>106</v>
      </c>
      <c r="B3" s="3" t="n">
        <v>94.41</v>
      </c>
    </row>
    <row r="4" customFormat="false" ht="15" hidden="false" customHeight="false" outlineLevel="0" collapsed="false">
      <c r="A4" s="0" t="s">
        <v>107</v>
      </c>
      <c r="B4" s="3" t="n">
        <v>-110.104</v>
      </c>
    </row>
    <row r="5" customFormat="false" ht="15" hidden="false" customHeight="false" outlineLevel="0" collapsed="false">
      <c r="A5" s="0" t="s">
        <v>108</v>
      </c>
      <c r="B5" s="3" t="n">
        <v>0</v>
      </c>
    </row>
    <row r="6" customFormat="false" ht="15" hidden="false" customHeight="false" outlineLevel="0" collapsed="false">
      <c r="A6" s="0" t="s">
        <v>109</v>
      </c>
      <c r="B6" s="3" t="n">
        <v>15</v>
      </c>
    </row>
    <row r="7" customFormat="false" ht="15" hidden="false" customHeight="false" outlineLevel="0" collapsed="false">
      <c r="A7" s="0" t="s">
        <v>110</v>
      </c>
      <c r="B7" s="3" t="n">
        <v>8806.159</v>
      </c>
    </row>
    <row r="8" customFormat="false" ht="15" hidden="false" customHeight="false" outlineLevel="0" collapsed="false">
      <c r="A8" s="0" t="s">
        <v>111</v>
      </c>
      <c r="B8" s="3" t="s">
        <v>103</v>
      </c>
    </row>
    <row r="9" customFormat="false" ht="15" hidden="false" customHeight="false" outlineLevel="0" collapsed="false">
      <c r="A9" s="0" t="s">
        <v>112</v>
      </c>
      <c r="B9" s="3" t="s">
        <v>113</v>
      </c>
    </row>
    <row r="10" customFormat="false" ht="15" hidden="false" customHeight="false" outlineLevel="0" collapsed="false">
      <c r="A10" s="0" t="s">
        <v>114</v>
      </c>
      <c r="B10" s="3" t="n">
        <v>1</v>
      </c>
    </row>
    <row r="12" customFormat="false" ht="15" hidden="false" customHeight="false" outlineLevel="0" collapsed="false">
      <c r="A12" s="2" t="s">
        <v>115</v>
      </c>
      <c r="C12" s="2" t="s">
        <v>116</v>
      </c>
      <c r="D12" s="2" t="s">
        <v>117</v>
      </c>
      <c r="E12" s="2" t="s">
        <v>118</v>
      </c>
      <c r="F12" s="2" t="s">
        <v>119</v>
      </c>
      <c r="G12" s="2" t="s">
        <v>120</v>
      </c>
      <c r="H12" s="2" t="s">
        <v>121</v>
      </c>
      <c r="I12" s="2" t="s">
        <v>122</v>
      </c>
      <c r="J12" s="2" t="s">
        <v>123</v>
      </c>
      <c r="K12" s="2" t="s">
        <v>124</v>
      </c>
      <c r="L12" s="2" t="s">
        <v>125</v>
      </c>
    </row>
    <row r="13" customFormat="false" ht="15" hidden="false" customHeight="false" outlineLevel="0" collapsed="false">
      <c r="A13" s="0" t="s">
        <v>126</v>
      </c>
      <c r="C13" s="3" t="n">
        <v>6</v>
      </c>
      <c r="D13" s="3" t="n">
        <v>1.5</v>
      </c>
      <c r="E13" s="3" t="n">
        <v>2.5</v>
      </c>
      <c r="F13" s="3" t="n">
        <v>3</v>
      </c>
      <c r="G13" s="3" t="n">
        <v>3</v>
      </c>
      <c r="H13" s="3" t="n">
        <v>3</v>
      </c>
      <c r="I13" s="3" t="n">
        <v>2.5</v>
      </c>
      <c r="J13" s="3" t="n">
        <v>2.5</v>
      </c>
      <c r="K13" s="3" t="n">
        <v>2</v>
      </c>
      <c r="L13" s="3" t="n">
        <v>2</v>
      </c>
    </row>
    <row r="14" customFormat="false" ht="15" hidden="false" customHeight="false" outlineLevel="0" collapsed="false">
      <c r="A14" s="0" t="s">
        <v>127</v>
      </c>
      <c r="C14" s="3" t="n">
        <v>9.2</v>
      </c>
      <c r="D14" s="3" t="n">
        <v>8.7</v>
      </c>
      <c r="E14" s="3" t="n">
        <v>8.4</v>
      </c>
      <c r="F14" s="3" t="n">
        <v>8.3</v>
      </c>
      <c r="G14" s="3" t="n">
        <v>8.3</v>
      </c>
      <c r="H14" s="3" t="n">
        <v>8.3</v>
      </c>
      <c r="I14" s="3" t="n">
        <v>8.3</v>
      </c>
      <c r="J14" s="3" t="n">
        <v>8.3</v>
      </c>
      <c r="K14" s="3" t="n">
        <v>8.3</v>
      </c>
      <c r="L14" s="3" t="n">
        <v>8.3</v>
      </c>
    </row>
    <row r="15" customFormat="false" ht="15" hidden="false" customHeight="false" outlineLevel="0" collapsed="false">
      <c r="A15" s="0" t="s">
        <v>128</v>
      </c>
      <c r="C15" s="3" t="n">
        <v>0.35</v>
      </c>
      <c r="D15" s="3" t="n">
        <v>0.35</v>
      </c>
      <c r="E15" s="3" t="n">
        <v>0.35</v>
      </c>
      <c r="F15" s="3" t="n">
        <v>0.35</v>
      </c>
      <c r="G15" s="3" t="n">
        <v>0.35</v>
      </c>
      <c r="H15" s="3" t="n">
        <v>0.35</v>
      </c>
      <c r="I15" s="3" t="n">
        <v>0.35</v>
      </c>
      <c r="J15" s="3" t="n">
        <v>0.35</v>
      </c>
      <c r="K15" s="3" t="n">
        <v>0.35</v>
      </c>
      <c r="L15" s="3" t="n">
        <v>0.35</v>
      </c>
    </row>
    <row r="16" customFormat="false" ht="15" hidden="false" customHeight="false" outlineLevel="0" collapsed="false">
      <c r="A16" s="0" t="s">
        <v>129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3" t="n">
        <v>0</v>
      </c>
      <c r="L16" s="3" t="n">
        <v>0</v>
      </c>
    </row>
    <row r="17" customFormat="false" ht="15" hidden="false" customHeight="false" outlineLevel="0" collapsed="false">
      <c r="A17" s="0" t="s">
        <v>130</v>
      </c>
      <c r="C17" s="3" t="n">
        <v>2</v>
      </c>
      <c r="D17" s="3" t="n">
        <v>2.1</v>
      </c>
      <c r="E17" s="3" t="n">
        <v>2.15</v>
      </c>
      <c r="F17" s="3" t="n">
        <v>2.2</v>
      </c>
      <c r="G17" s="3" t="n">
        <v>2.2</v>
      </c>
      <c r="H17" s="3" t="n">
        <v>2.2</v>
      </c>
      <c r="I17" s="3" t="n">
        <v>2.2</v>
      </c>
      <c r="J17" s="3" t="n">
        <v>2.2</v>
      </c>
      <c r="K17" s="3" t="n">
        <v>2.2</v>
      </c>
      <c r="L17" s="3" t="n">
        <v>2.2</v>
      </c>
    </row>
    <row r="18" customFormat="false" ht="15" hidden="false" customHeight="false" outlineLevel="0" collapsed="false">
      <c r="A18" s="0" t="s">
        <v>131</v>
      </c>
      <c r="C18" s="3" t="n">
        <v>3.4</v>
      </c>
      <c r="D18" s="3" t="n">
        <v>3</v>
      </c>
      <c r="E18" s="3" t="n">
        <v>2.7</v>
      </c>
      <c r="F18" s="3" t="n">
        <v>2.6</v>
      </c>
      <c r="G18" s="3" t="n">
        <v>2.5</v>
      </c>
      <c r="H18" s="3" t="n">
        <v>2.5</v>
      </c>
      <c r="I18" s="3" t="n">
        <v>2.5</v>
      </c>
      <c r="J18" s="3" t="n">
        <v>2.5</v>
      </c>
      <c r="K18" s="3" t="n">
        <v>2.5</v>
      </c>
      <c r="L18" s="3" t="n">
        <v>2.5</v>
      </c>
    </row>
    <row r="19" customFormat="false" ht="15" hidden="false" customHeight="false" outlineLevel="0" collapsed="false">
      <c r="A19" s="0" t="s">
        <v>132</v>
      </c>
      <c r="C19" s="3" t="n">
        <v>21</v>
      </c>
      <c r="D19" s="3" t="n">
        <v>22</v>
      </c>
      <c r="E19" s="3" t="n">
        <v>23</v>
      </c>
      <c r="F19" s="3" t="n">
        <v>24</v>
      </c>
      <c r="G19" s="3" t="n">
        <v>24</v>
      </c>
      <c r="H19" s="3" t="n">
        <v>24</v>
      </c>
      <c r="I19" s="3" t="n">
        <v>24</v>
      </c>
      <c r="J19" s="3" t="n">
        <v>24</v>
      </c>
      <c r="K19" s="3" t="n">
        <v>24</v>
      </c>
      <c r="L19" s="3" t="n">
        <v>24</v>
      </c>
    </row>
    <row r="20" customFormat="false" ht="15" hidden="false" customHeight="false" outlineLevel="0" collapsed="false">
      <c r="A20" s="0" t="s">
        <v>133</v>
      </c>
      <c r="B20" s="3" t="n">
        <v>9</v>
      </c>
    </row>
    <row r="21" customFormat="false" ht="15" hidden="false" customHeight="false" outlineLevel="0" collapsed="false">
      <c r="A21" s="0" t="s">
        <v>134</v>
      </c>
      <c r="B21" s="3" t="n">
        <v>2</v>
      </c>
    </row>
    <row r="22" customFormat="false" ht="15" hidden="false" customHeight="false" outlineLevel="0" collapsed="false">
      <c r="A22" s="0" t="s">
        <v>135</v>
      </c>
      <c r="B22" s="3" t="n">
        <v>14</v>
      </c>
    </row>
    <row r="23" customFormat="false" ht="15" hidden="false" customHeight="false" outlineLevel="0" collapsed="false">
      <c r="A23" s="0" t="s">
        <v>136</v>
      </c>
      <c r="B23" s="3" t="n">
        <v>2</v>
      </c>
    </row>
    <row r="24" customFormat="false" ht="15" hidden="false" customHeight="false" outlineLevel="0" collapsed="false">
      <c r="A24" s="0" t="s">
        <v>137</v>
      </c>
      <c r="B24" s="3" t="n">
        <v>0.25</v>
      </c>
    </row>
    <row r="26" customFormat="false" ht="15" hidden="false" customHeight="false" outlineLevel="0" collapsed="false">
      <c r="A26" s="2" t="s">
        <v>138</v>
      </c>
      <c r="C26" s="2" t="s">
        <v>116</v>
      </c>
      <c r="D26" s="2" t="s">
        <v>117</v>
      </c>
      <c r="E26" s="2" t="s">
        <v>118</v>
      </c>
      <c r="F26" s="2" t="s">
        <v>119</v>
      </c>
      <c r="G26" s="2" t="s">
        <v>120</v>
      </c>
      <c r="H26" s="2" t="s">
        <v>121</v>
      </c>
      <c r="I26" s="2" t="s">
        <v>122</v>
      </c>
      <c r="J26" s="2" t="s">
        <v>123</v>
      </c>
      <c r="K26" s="2" t="s">
        <v>124</v>
      </c>
      <c r="L26" s="2" t="s">
        <v>125</v>
      </c>
    </row>
    <row r="27" customFormat="false" ht="15" hidden="false" customHeight="false" outlineLevel="0" collapsed="false">
      <c r="A27" s="0" t="s">
        <v>126</v>
      </c>
      <c r="C27" s="3" t="n">
        <v>6.7</v>
      </c>
      <c r="D27" s="3" t="n">
        <v>4.5</v>
      </c>
      <c r="E27" s="3" t="n">
        <v>6</v>
      </c>
      <c r="F27" s="3" t="n">
        <v>5.5</v>
      </c>
      <c r="G27" s="3" t="n">
        <v>5</v>
      </c>
      <c r="H27" s="3" t="n">
        <v>4.5</v>
      </c>
      <c r="I27" s="3" t="n">
        <v>4</v>
      </c>
      <c r="J27" s="3" t="n">
        <v>3.5</v>
      </c>
      <c r="K27" s="3" t="n">
        <v>3</v>
      </c>
      <c r="L27" s="3" t="n">
        <v>3</v>
      </c>
    </row>
    <row r="28" customFormat="false" ht="15" hidden="false" customHeight="false" outlineLevel="0" collapsed="false">
      <c r="A28" s="0" t="s">
        <v>127</v>
      </c>
      <c r="C28" s="3" t="n">
        <v>9.45</v>
      </c>
      <c r="D28" s="3" t="n">
        <v>9.55</v>
      </c>
      <c r="E28" s="3" t="n">
        <v>9.65</v>
      </c>
      <c r="F28" s="3" t="n">
        <v>9.75</v>
      </c>
      <c r="G28" s="3" t="n">
        <v>9.8</v>
      </c>
      <c r="H28" s="3" t="n">
        <v>9.8</v>
      </c>
      <c r="I28" s="3" t="n">
        <v>9.8</v>
      </c>
      <c r="J28" s="3" t="n">
        <v>9.8</v>
      </c>
      <c r="K28" s="3" t="n">
        <v>9.8</v>
      </c>
      <c r="L28" s="3" t="n">
        <v>9.8</v>
      </c>
    </row>
    <row r="29" customFormat="false" ht="15" hidden="false" customHeight="false" outlineLevel="0" collapsed="false">
      <c r="A29" s="0" t="s">
        <v>128</v>
      </c>
      <c r="C29" s="3" t="n">
        <v>0.35</v>
      </c>
      <c r="D29" s="3" t="n">
        <v>0.35</v>
      </c>
      <c r="E29" s="3" t="n">
        <v>0.35</v>
      </c>
      <c r="F29" s="3" t="n">
        <v>0.35</v>
      </c>
      <c r="G29" s="3" t="n">
        <v>0.35</v>
      </c>
      <c r="H29" s="3" t="n">
        <v>0.35</v>
      </c>
      <c r="I29" s="3" t="n">
        <v>0.35</v>
      </c>
      <c r="J29" s="3" t="n">
        <v>0.35</v>
      </c>
      <c r="K29" s="3" t="n">
        <v>0.35</v>
      </c>
      <c r="L29" s="3" t="n">
        <v>0.35</v>
      </c>
    </row>
    <row r="30" customFormat="false" ht="15" hidden="false" customHeight="false" outlineLevel="0" collapsed="false">
      <c r="A30" s="0" t="s">
        <v>129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 t="n">
        <v>0</v>
      </c>
    </row>
    <row r="31" customFormat="false" ht="15" hidden="false" customHeight="false" outlineLevel="0" collapsed="false">
      <c r="A31" s="0" t="s">
        <v>130</v>
      </c>
      <c r="C31" s="3" t="n">
        <v>2</v>
      </c>
      <c r="D31" s="3" t="n">
        <v>2.05</v>
      </c>
      <c r="E31" s="3" t="n">
        <v>2.1</v>
      </c>
      <c r="F31" s="3" t="n">
        <v>2.1</v>
      </c>
      <c r="G31" s="3" t="n">
        <v>2.1</v>
      </c>
      <c r="H31" s="3" t="n">
        <v>2.1</v>
      </c>
      <c r="I31" s="3" t="n">
        <v>2.1</v>
      </c>
      <c r="J31" s="3" t="n">
        <v>2.1</v>
      </c>
      <c r="K31" s="3" t="n">
        <v>2.1</v>
      </c>
      <c r="L31" s="3" t="n">
        <v>2.1</v>
      </c>
    </row>
    <row r="32" customFormat="false" ht="15" hidden="false" customHeight="false" outlineLevel="0" collapsed="false">
      <c r="A32" s="0" t="s">
        <v>131</v>
      </c>
      <c r="C32" s="3" t="n">
        <v>3.5</v>
      </c>
      <c r="D32" s="3" t="n">
        <v>3.3</v>
      </c>
      <c r="E32" s="3" t="n">
        <v>3.2</v>
      </c>
      <c r="F32" s="3" t="n">
        <v>3.1</v>
      </c>
      <c r="G32" s="3" t="n">
        <v>3</v>
      </c>
      <c r="H32" s="3" t="n">
        <v>3</v>
      </c>
      <c r="I32" s="3" t="n">
        <v>2.9</v>
      </c>
      <c r="J32" s="3" t="n">
        <v>2.8</v>
      </c>
      <c r="K32" s="3" t="n">
        <v>2.8</v>
      </c>
      <c r="L32" s="3" t="n">
        <v>2.8</v>
      </c>
    </row>
    <row r="33" customFormat="false" ht="15" hidden="false" customHeight="false" outlineLevel="0" collapsed="false">
      <c r="A33" s="0" t="s">
        <v>132</v>
      </c>
      <c r="C33" s="3" t="n">
        <v>21</v>
      </c>
      <c r="D33" s="3" t="n">
        <v>22</v>
      </c>
      <c r="E33" s="3" t="n">
        <v>23</v>
      </c>
      <c r="F33" s="3" t="n">
        <v>24</v>
      </c>
      <c r="G33" s="3" t="n">
        <v>24</v>
      </c>
      <c r="H33" s="3" t="n">
        <v>24</v>
      </c>
      <c r="I33" s="3" t="n">
        <v>24</v>
      </c>
      <c r="J33" s="3" t="n">
        <v>24</v>
      </c>
      <c r="K33" s="3" t="n">
        <v>24</v>
      </c>
      <c r="L33" s="3" t="n">
        <v>24</v>
      </c>
    </row>
    <row r="34" customFormat="false" ht="15" hidden="false" customHeight="false" outlineLevel="0" collapsed="false">
      <c r="A34" s="0" t="s">
        <v>133</v>
      </c>
      <c r="B34" s="3" t="n">
        <v>9</v>
      </c>
    </row>
    <row r="35" customFormat="false" ht="15" hidden="false" customHeight="false" outlineLevel="0" collapsed="false">
      <c r="A35" s="0" t="s">
        <v>134</v>
      </c>
      <c r="B35" s="3" t="n">
        <v>2.5</v>
      </c>
    </row>
    <row r="36" customFormat="false" ht="15" hidden="false" customHeight="false" outlineLevel="0" collapsed="false">
      <c r="A36" s="0" t="s">
        <v>135</v>
      </c>
      <c r="B36" s="3" t="n">
        <v>16</v>
      </c>
    </row>
    <row r="37" customFormat="false" ht="15" hidden="false" customHeight="false" outlineLevel="0" collapsed="false">
      <c r="A37" s="0" t="s">
        <v>136</v>
      </c>
      <c r="B37" s="3" t="n">
        <v>2</v>
      </c>
    </row>
    <row r="38" customFormat="false" ht="15" hidden="false" customHeight="false" outlineLevel="0" collapsed="false">
      <c r="A38" s="0" t="s">
        <v>137</v>
      </c>
      <c r="B38" s="3" t="n">
        <v>0.5</v>
      </c>
    </row>
    <row r="40" customFormat="false" ht="15" hidden="false" customHeight="false" outlineLevel="0" collapsed="false">
      <c r="A40" s="2" t="s">
        <v>139</v>
      </c>
      <c r="C40" s="2" t="s">
        <v>116</v>
      </c>
      <c r="D40" s="2" t="s">
        <v>117</v>
      </c>
      <c r="E40" s="2" t="s">
        <v>118</v>
      </c>
      <c r="F40" s="2" t="s">
        <v>119</v>
      </c>
      <c r="G40" s="2" t="s">
        <v>120</v>
      </c>
      <c r="H40" s="2" t="s">
        <v>121</v>
      </c>
      <c r="I40" s="2" t="s">
        <v>122</v>
      </c>
      <c r="J40" s="2" t="s">
        <v>123</v>
      </c>
      <c r="K40" s="2" t="s">
        <v>124</v>
      </c>
      <c r="L40" s="2" t="s">
        <v>125</v>
      </c>
    </row>
    <row r="41" customFormat="false" ht="15" hidden="false" customHeight="false" outlineLevel="0" collapsed="false">
      <c r="A41" s="0" t="s">
        <v>126</v>
      </c>
      <c r="C41" s="3" t="n">
        <v>7</v>
      </c>
      <c r="D41" s="3" t="n">
        <v>6</v>
      </c>
      <c r="E41" s="3" t="n">
        <v>8</v>
      </c>
      <c r="F41" s="3" t="n">
        <v>7.5</v>
      </c>
      <c r="G41" s="3" t="n">
        <v>7</v>
      </c>
      <c r="H41" s="3" t="n">
        <v>6.5</v>
      </c>
      <c r="I41" s="3" t="n">
        <v>6</v>
      </c>
      <c r="J41" s="3" t="n">
        <v>5</v>
      </c>
      <c r="K41" s="3" t="n">
        <v>4</v>
      </c>
      <c r="L41" s="3" t="n">
        <v>3.5</v>
      </c>
    </row>
    <row r="42" customFormat="false" ht="15" hidden="false" customHeight="false" outlineLevel="0" collapsed="false">
      <c r="A42" s="0" t="s">
        <v>127</v>
      </c>
      <c r="C42" s="3" t="n">
        <v>9.5</v>
      </c>
      <c r="D42" s="3" t="n">
        <v>9.8</v>
      </c>
      <c r="E42" s="3" t="n">
        <v>10.1</v>
      </c>
      <c r="F42" s="3" t="n">
        <v>10.4</v>
      </c>
      <c r="G42" s="3" t="n">
        <v>10.6</v>
      </c>
      <c r="H42" s="3" t="n">
        <v>10.8</v>
      </c>
      <c r="I42" s="3" t="n">
        <v>10.8</v>
      </c>
      <c r="J42" s="3" t="n">
        <v>10.8</v>
      </c>
      <c r="K42" s="3" t="n">
        <v>10.8</v>
      </c>
      <c r="L42" s="3" t="n">
        <v>10.8</v>
      </c>
    </row>
    <row r="43" customFormat="false" ht="15" hidden="false" customHeight="false" outlineLevel="0" collapsed="false">
      <c r="A43" s="0" t="s">
        <v>128</v>
      </c>
      <c r="C43" s="3" t="n">
        <v>0.35</v>
      </c>
      <c r="D43" s="3" t="n">
        <v>0.35</v>
      </c>
      <c r="E43" s="3" t="n">
        <v>0.35</v>
      </c>
      <c r="F43" s="3" t="n">
        <v>0.35</v>
      </c>
      <c r="G43" s="3" t="n">
        <v>0.35</v>
      </c>
      <c r="H43" s="3" t="n">
        <v>0.35</v>
      </c>
      <c r="I43" s="3" t="n">
        <v>0.35</v>
      </c>
      <c r="J43" s="3" t="n">
        <v>0.35</v>
      </c>
      <c r="K43" s="3" t="n">
        <v>0.35</v>
      </c>
      <c r="L43" s="3" t="n">
        <v>0.35</v>
      </c>
    </row>
    <row r="44" customFormat="false" ht="15" hidden="false" customHeight="false" outlineLevel="0" collapsed="false">
      <c r="A44" s="0" t="s">
        <v>129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 t="n">
        <v>0</v>
      </c>
    </row>
    <row r="45" customFormat="false" ht="15" hidden="false" customHeight="false" outlineLevel="0" collapsed="false">
      <c r="A45" s="0" t="s">
        <v>130</v>
      </c>
      <c r="C45" s="3" t="n">
        <v>2</v>
      </c>
      <c r="D45" s="3" t="n">
        <v>2.05</v>
      </c>
      <c r="E45" s="3" t="n">
        <v>2.1</v>
      </c>
      <c r="F45" s="3" t="n">
        <v>2.1</v>
      </c>
      <c r="G45" s="3" t="n">
        <v>2.1</v>
      </c>
      <c r="H45" s="3" t="n">
        <v>2.1</v>
      </c>
      <c r="I45" s="3" t="n">
        <v>2.1</v>
      </c>
      <c r="J45" s="3" t="n">
        <v>2.1</v>
      </c>
      <c r="K45" s="3" t="n">
        <v>2.1</v>
      </c>
      <c r="L45" s="3" t="n">
        <v>2.1</v>
      </c>
    </row>
    <row r="46" customFormat="false" ht="15" hidden="false" customHeight="false" outlineLevel="0" collapsed="false">
      <c r="A46" s="0" t="s">
        <v>131</v>
      </c>
      <c r="C46" s="3" t="n">
        <v>3.5</v>
      </c>
      <c r="D46" s="3" t="n">
        <v>3.4</v>
      </c>
      <c r="E46" s="3" t="n">
        <v>3.3</v>
      </c>
      <c r="F46" s="3" t="n">
        <v>3.2</v>
      </c>
      <c r="G46" s="3" t="n">
        <v>3.1</v>
      </c>
      <c r="H46" s="3" t="n">
        <v>3</v>
      </c>
      <c r="I46" s="3" t="n">
        <v>3</v>
      </c>
      <c r="J46" s="3" t="n">
        <v>2.9</v>
      </c>
      <c r="K46" s="3" t="n">
        <v>2.9</v>
      </c>
      <c r="L46" s="3" t="n">
        <v>2.9</v>
      </c>
    </row>
    <row r="47" customFormat="false" ht="15" hidden="false" customHeight="false" outlineLevel="0" collapsed="false">
      <c r="A47" s="0" t="s">
        <v>132</v>
      </c>
      <c r="C47" s="3" t="n">
        <v>21</v>
      </c>
      <c r="D47" s="3" t="n">
        <v>22</v>
      </c>
      <c r="E47" s="3" t="n">
        <v>23</v>
      </c>
      <c r="F47" s="3" t="n">
        <v>24</v>
      </c>
      <c r="G47" s="3" t="n">
        <v>24</v>
      </c>
      <c r="H47" s="3" t="n">
        <v>24</v>
      </c>
      <c r="I47" s="3" t="n">
        <v>24</v>
      </c>
      <c r="J47" s="3" t="n">
        <v>24</v>
      </c>
      <c r="K47" s="3" t="n">
        <v>24</v>
      </c>
      <c r="L47" s="3" t="n">
        <v>24</v>
      </c>
    </row>
    <row r="48" customFormat="false" ht="15" hidden="false" customHeight="false" outlineLevel="0" collapsed="false">
      <c r="A48" s="0" t="s">
        <v>133</v>
      </c>
      <c r="B48" s="3" t="n">
        <v>9</v>
      </c>
    </row>
    <row r="49" customFormat="false" ht="15" hidden="false" customHeight="false" outlineLevel="0" collapsed="false">
      <c r="A49" s="0" t="s">
        <v>134</v>
      </c>
      <c r="B49" s="3" t="n">
        <v>3</v>
      </c>
    </row>
    <row r="50" customFormat="false" ht="15" hidden="false" customHeight="false" outlineLevel="0" collapsed="false">
      <c r="A50" s="0" t="s">
        <v>135</v>
      </c>
      <c r="B50" s="3" t="n">
        <v>16</v>
      </c>
    </row>
    <row r="51" customFormat="false" ht="15" hidden="false" customHeight="false" outlineLevel="0" collapsed="false">
      <c r="A51" s="0" t="s">
        <v>136</v>
      </c>
      <c r="B51" s="3" t="n">
        <v>2</v>
      </c>
    </row>
    <row r="52" customFormat="false" ht="15" hidden="false" customHeight="false" outlineLevel="0" collapsed="false">
      <c r="A52" s="0" t="s">
        <v>137</v>
      </c>
      <c r="B52" s="3" t="n">
        <v>0.25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2" t="s">
        <v>140</v>
      </c>
    </row>
    <row r="3" customFormat="false" ht="15" hidden="false" customHeight="false" outlineLevel="0" collapsed="false">
      <c r="A3" s="0" t="s">
        <v>141</v>
      </c>
      <c r="B3" s="0" t="s">
        <v>103</v>
      </c>
      <c r="C3" s="2" t="s">
        <v>116</v>
      </c>
      <c r="D3" s="2" t="s">
        <v>117</v>
      </c>
      <c r="E3" s="2" t="s">
        <v>118</v>
      </c>
      <c r="F3" s="2" t="s">
        <v>119</v>
      </c>
      <c r="G3" s="2" t="s">
        <v>120</v>
      </c>
      <c r="H3" s="2" t="s">
        <v>121</v>
      </c>
      <c r="I3" s="2" t="s">
        <v>122</v>
      </c>
      <c r="J3" s="2" t="s">
        <v>123</v>
      </c>
      <c r="K3" s="2" t="s">
        <v>124</v>
      </c>
      <c r="L3" s="2" t="s">
        <v>125</v>
      </c>
    </row>
    <row r="4" customFormat="false" ht="15" hidden="false" customHeight="false" outlineLevel="0" collapsed="false">
      <c r="A4" s="0" t="s">
        <v>142</v>
      </c>
      <c r="B4" s="0" t="n">
        <v>0</v>
      </c>
      <c r="C4" s="0" t="n">
        <f aca="false">B4+1</f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</row>
    <row r="5" customFormat="false" ht="15" hidden="false" customHeight="false" outlineLevel="0" collapsed="false">
      <c r="A5" s="0" t="s">
        <v>126</v>
      </c>
      <c r="C5" s="4" t="n">
        <f aca="false">Assumptions!C13</f>
        <v>6</v>
      </c>
      <c r="D5" s="4" t="n">
        <f aca="false">Assumptions!D13</f>
        <v>1.5</v>
      </c>
      <c r="E5" s="4" t="n">
        <f aca="false">Assumptions!E13</f>
        <v>2.5</v>
      </c>
      <c r="F5" s="4" t="n">
        <f aca="false">Assumptions!F13</f>
        <v>3</v>
      </c>
      <c r="G5" s="4" t="n">
        <f aca="false">Assumptions!G13</f>
        <v>3</v>
      </c>
      <c r="H5" s="4" t="n">
        <f aca="false">Assumptions!H13</f>
        <v>3</v>
      </c>
      <c r="I5" s="4" t="n">
        <f aca="false">Assumptions!I13</f>
        <v>2.5</v>
      </c>
      <c r="J5" s="4" t="n">
        <f aca="false">Assumptions!J13</f>
        <v>2.5</v>
      </c>
      <c r="K5" s="4" t="n">
        <f aca="false">Assumptions!K13</f>
        <v>2</v>
      </c>
      <c r="L5" s="4" t="n">
        <f aca="false">Assumptions!L13</f>
        <v>2</v>
      </c>
    </row>
    <row r="6" customFormat="false" ht="15" hidden="false" customHeight="false" outlineLevel="0" collapsed="false">
      <c r="A6" s="0" t="s">
        <v>63</v>
      </c>
      <c r="B6" s="3" t="n">
        <v>8806.159</v>
      </c>
      <c r="C6" s="0" t="n">
        <f aca="false">B6*(1+C5/100)</f>
        <v>9334.52854</v>
      </c>
      <c r="D6" s="0" t="n">
        <f aca="false">C6*(1+D5/100)</f>
        <v>9474.5464681</v>
      </c>
      <c r="E6" s="0" t="n">
        <f aca="false">D6*(1+E5/100)</f>
        <v>9711.4101298025</v>
      </c>
      <c r="F6" s="0" t="n">
        <f aca="false">E6*(1+F5/100)</f>
        <v>10002.7524336966</v>
      </c>
      <c r="G6" s="0" t="n">
        <f aca="false">F6*(1+G5/100)</f>
        <v>10302.8350067075</v>
      </c>
      <c r="H6" s="0" t="n">
        <f aca="false">G6*(1+H5/100)</f>
        <v>10611.9200569087</v>
      </c>
      <c r="I6" s="0" t="n">
        <f aca="false">H6*(1+I5/100)</f>
        <v>10877.2180583314</v>
      </c>
      <c r="J6" s="0" t="n">
        <f aca="false">I6*(1+J5/100)</f>
        <v>11149.1485097897</v>
      </c>
      <c r="K6" s="0" t="n">
        <f aca="false">J6*(1+K5/100)</f>
        <v>11372.1314799855</v>
      </c>
      <c r="L6" s="0" t="n">
        <f aca="false">K6*(1+L5/100)</f>
        <v>11599.5741095852</v>
      </c>
    </row>
    <row r="7" customFormat="false" ht="15" hidden="false" customHeight="false" outlineLevel="0" collapsed="false">
      <c r="A7" s="0" t="s">
        <v>127</v>
      </c>
      <c r="C7" s="4" t="n">
        <f aca="false">Assumptions!C14</f>
        <v>9.2</v>
      </c>
      <c r="D7" s="4" t="n">
        <f aca="false">Assumptions!D14</f>
        <v>8.7</v>
      </c>
      <c r="E7" s="4" t="n">
        <f aca="false">Assumptions!E14</f>
        <v>8.4</v>
      </c>
      <c r="F7" s="4" t="n">
        <f aca="false">Assumptions!F14</f>
        <v>8.3</v>
      </c>
      <c r="G7" s="4" t="n">
        <f aca="false">Assumptions!G14</f>
        <v>8.3</v>
      </c>
      <c r="H7" s="4" t="n">
        <f aca="false">Assumptions!H14</f>
        <v>8.3</v>
      </c>
      <c r="I7" s="4" t="n">
        <f aca="false">Assumptions!I14</f>
        <v>8.3</v>
      </c>
      <c r="J7" s="4" t="n">
        <f aca="false">Assumptions!J14</f>
        <v>8.3</v>
      </c>
      <c r="K7" s="4" t="n">
        <f aca="false">Assumptions!K14</f>
        <v>8.3</v>
      </c>
      <c r="L7" s="4" t="n">
        <f aca="false">Assumptions!L14</f>
        <v>8.3</v>
      </c>
    </row>
    <row r="8" customFormat="false" ht="15" hidden="false" customHeight="false" outlineLevel="0" collapsed="false">
      <c r="A8" s="0" t="s">
        <v>69</v>
      </c>
      <c r="C8" s="0" t="n">
        <f aca="false">C6*C7/100</f>
        <v>858.77662568</v>
      </c>
      <c r="D8" s="0" t="n">
        <f aca="false">D6*D7/100</f>
        <v>824.2855427247</v>
      </c>
      <c r="E8" s="0" t="n">
        <f aca="false">E6*E7/100</f>
        <v>815.75845090341</v>
      </c>
      <c r="F8" s="0" t="n">
        <f aca="false">F6*F7/100</f>
        <v>830.228451996816</v>
      </c>
      <c r="G8" s="0" t="n">
        <f aca="false">G6*G7/100</f>
        <v>855.13530555672</v>
      </c>
      <c r="H8" s="0" t="n">
        <f aca="false">H6*H7/100</f>
        <v>880.789364723422</v>
      </c>
      <c r="I8" s="0" t="n">
        <f aca="false">I6*I7/100</f>
        <v>902.809098841507</v>
      </c>
      <c r="J8" s="0" t="n">
        <f aca="false">J6*J7/100</f>
        <v>925.379326312544</v>
      </c>
      <c r="K8" s="0" t="n">
        <f aca="false">K6*K7/100</f>
        <v>943.886912838795</v>
      </c>
      <c r="L8" s="0" t="n">
        <f aca="false">L6*L7/100</f>
        <v>962.764651095571</v>
      </c>
    </row>
    <row r="9" customFormat="false" ht="15" hidden="false" customHeight="false" outlineLevel="0" collapsed="false">
      <c r="A9" s="0" t="s">
        <v>128</v>
      </c>
      <c r="C9" s="4" t="n">
        <f aca="false">Assumptions!C15</f>
        <v>0.35</v>
      </c>
      <c r="D9" s="4" t="n">
        <f aca="false">Assumptions!D15</f>
        <v>0.35</v>
      </c>
      <c r="E9" s="4" t="n">
        <f aca="false">Assumptions!E15</f>
        <v>0.35</v>
      </c>
      <c r="F9" s="4" t="n">
        <f aca="false">Assumptions!F15</f>
        <v>0.35</v>
      </c>
      <c r="G9" s="4" t="n">
        <f aca="false">Assumptions!G15</f>
        <v>0.35</v>
      </c>
      <c r="H9" s="4" t="n">
        <f aca="false">Assumptions!H15</f>
        <v>0.35</v>
      </c>
      <c r="I9" s="4" t="n">
        <f aca="false">Assumptions!I15</f>
        <v>0.35</v>
      </c>
      <c r="J9" s="4" t="n">
        <f aca="false">Assumptions!J15</f>
        <v>0.35</v>
      </c>
      <c r="K9" s="4" t="n">
        <f aca="false">Assumptions!K15</f>
        <v>0.35</v>
      </c>
      <c r="L9" s="4" t="n">
        <f aca="false">Assumptions!L15</f>
        <v>0.35</v>
      </c>
    </row>
    <row r="10" customFormat="false" ht="15" hidden="false" customHeight="false" outlineLevel="0" collapsed="false">
      <c r="A10" s="0" t="s">
        <v>143</v>
      </c>
      <c r="C10" s="0" t="n">
        <f aca="false">-C6*C9/100</f>
        <v>-32.67084989</v>
      </c>
      <c r="D10" s="0" t="n">
        <f aca="false">-D6*D9/100</f>
        <v>-33.16091263835</v>
      </c>
      <c r="E10" s="0" t="n">
        <f aca="false">-E6*E9/100</f>
        <v>-33.9899354543087</v>
      </c>
      <c r="F10" s="0" t="n">
        <f aca="false">-F6*F9/100</f>
        <v>-35.009633517938</v>
      </c>
      <c r="G10" s="0" t="n">
        <f aca="false">-G6*G9/100</f>
        <v>-36.0599225234761</v>
      </c>
      <c r="H10" s="0" t="n">
        <f aca="false">-H6*H9/100</f>
        <v>-37.1417201991804</v>
      </c>
      <c r="I10" s="0" t="n">
        <f aca="false">-I6*I9/100</f>
        <v>-38.0702632041599</v>
      </c>
      <c r="J10" s="0" t="n">
        <f aca="false">-J6*J9/100</f>
        <v>-39.0220197842639</v>
      </c>
      <c r="K10" s="0" t="n">
        <f aca="false">-K6*K9/100</f>
        <v>-39.8024601799492</v>
      </c>
      <c r="L10" s="0" t="n">
        <f aca="false">-L6*L9/100</f>
        <v>-40.5985093835482</v>
      </c>
    </row>
    <row r="11" customFormat="false" ht="15" hidden="false" customHeight="false" outlineLevel="0" collapsed="false">
      <c r="A11" s="0" t="s">
        <v>144</v>
      </c>
      <c r="C11" s="0" t="n">
        <f aca="false">C8+C10+C24</f>
        <v>826.10577579</v>
      </c>
      <c r="D11" s="0" t="n">
        <f aca="false">D8+D10+D24</f>
        <v>791.12463008635</v>
      </c>
      <c r="E11" s="0" t="n">
        <f aca="false">E8+E10+E24</f>
        <v>781.768515449101</v>
      </c>
      <c r="F11" s="0" t="n">
        <f aca="false">F8+F10+F24</f>
        <v>795.218818478877</v>
      </c>
      <c r="G11" s="0" t="n">
        <f aca="false">G8+G10+G24</f>
        <v>819.075383033244</v>
      </c>
      <c r="H11" s="0" t="n">
        <f aca="false">H8+H10+H24</f>
        <v>843.647644524241</v>
      </c>
      <c r="I11" s="0" t="n">
        <f aca="false">I8+I10+I24</f>
        <v>864.738835637347</v>
      </c>
      <c r="J11" s="0" t="n">
        <f aca="false">J8+J10+J24</f>
        <v>886.357306528281</v>
      </c>
      <c r="K11" s="0" t="n">
        <f aca="false">K8+K10+K24</f>
        <v>904.084452658846</v>
      </c>
      <c r="L11" s="0" t="n">
        <f aca="false">L8+L10+L24</f>
        <v>922.166141712023</v>
      </c>
    </row>
    <row r="12" customFormat="false" ht="15" hidden="false" customHeight="false" outlineLevel="0" collapsed="false">
      <c r="A12" s="0" t="s">
        <v>145</v>
      </c>
      <c r="C12" s="4" t="n">
        <f aca="false">-C6*Assumptions!C17/100</f>
        <v>-186.6905708</v>
      </c>
      <c r="D12" s="4" t="n">
        <f aca="false">-D6*Assumptions!D17/100</f>
        <v>-198.9654758301</v>
      </c>
      <c r="E12" s="4" t="n">
        <f aca="false">-E6*Assumptions!E17/100</f>
        <v>-208.795317790754</v>
      </c>
      <c r="F12" s="4" t="n">
        <f aca="false">-F6*Assumptions!F17/100</f>
        <v>-220.060553541325</v>
      </c>
      <c r="G12" s="4" t="n">
        <f aca="false">-G6*Assumptions!G17/100</f>
        <v>-226.662370147564</v>
      </c>
      <c r="H12" s="4" t="n">
        <f aca="false">-H6*Assumptions!H17/100</f>
        <v>-233.462241251991</v>
      </c>
      <c r="I12" s="4" t="n">
        <f aca="false">-I6*Assumptions!I17/100</f>
        <v>-239.298797283291</v>
      </c>
      <c r="J12" s="4" t="n">
        <f aca="false">-J6*Assumptions!J17/100</f>
        <v>-245.281267215373</v>
      </c>
      <c r="K12" s="4" t="n">
        <f aca="false">-K6*Assumptions!K17/100</f>
        <v>-250.186892559681</v>
      </c>
      <c r="L12" s="4" t="n">
        <f aca="false">-L6*Assumptions!L17/100</f>
        <v>-255.190630410874</v>
      </c>
    </row>
    <row r="13" customFormat="false" ht="15" hidden="false" customHeight="false" outlineLevel="0" collapsed="false">
      <c r="A13" s="0" t="s">
        <v>146</v>
      </c>
      <c r="C13" s="0" t="n">
        <f aca="false">C11+C12</f>
        <v>639.41520499</v>
      </c>
      <c r="D13" s="0" t="n">
        <f aca="false">D11+D12</f>
        <v>592.15915425625</v>
      </c>
      <c r="E13" s="0" t="n">
        <f aca="false">E11+E12</f>
        <v>572.973197658347</v>
      </c>
      <c r="F13" s="0" t="n">
        <f aca="false">F11+F12</f>
        <v>575.158264937553</v>
      </c>
      <c r="G13" s="0" t="n">
        <f aca="false">G11+G12</f>
        <v>592.41301288568</v>
      </c>
      <c r="H13" s="0" t="n">
        <f aca="false">H11+H12</f>
        <v>610.18540327225</v>
      </c>
      <c r="I13" s="0" t="n">
        <f aca="false">I11+I12</f>
        <v>625.440038354056</v>
      </c>
      <c r="J13" s="0" t="n">
        <f aca="false">J11+J12</f>
        <v>641.076039312907</v>
      </c>
      <c r="K13" s="0" t="n">
        <f aca="false">K11+K12</f>
        <v>653.897560099165</v>
      </c>
      <c r="L13" s="0" t="n">
        <f aca="false">L11+L12</f>
        <v>666.975511301149</v>
      </c>
    </row>
    <row r="14" customFormat="false" ht="15" hidden="false" customHeight="false" outlineLevel="0" collapsed="false">
      <c r="A14" s="0" t="s">
        <v>132</v>
      </c>
      <c r="C14" s="4" t="n">
        <f aca="false">Assumptions!C19</f>
        <v>21</v>
      </c>
      <c r="D14" s="4" t="n">
        <f aca="false">Assumptions!D19</f>
        <v>22</v>
      </c>
      <c r="E14" s="4" t="n">
        <f aca="false">Assumptions!E19</f>
        <v>23</v>
      </c>
      <c r="F14" s="4" t="n">
        <f aca="false">Assumptions!F19</f>
        <v>24</v>
      </c>
      <c r="G14" s="4" t="n">
        <f aca="false">Assumptions!G19</f>
        <v>24</v>
      </c>
      <c r="H14" s="4" t="n">
        <f aca="false">Assumptions!H19</f>
        <v>24</v>
      </c>
      <c r="I14" s="4" t="n">
        <f aca="false">Assumptions!I19</f>
        <v>24</v>
      </c>
      <c r="J14" s="4" t="n">
        <f aca="false">Assumptions!J19</f>
        <v>24</v>
      </c>
      <c r="K14" s="4" t="n">
        <f aca="false">Assumptions!K19</f>
        <v>24</v>
      </c>
      <c r="L14" s="4" t="n">
        <f aca="false">Assumptions!L19</f>
        <v>24</v>
      </c>
    </row>
    <row r="15" customFormat="false" ht="15" hidden="false" customHeight="false" outlineLevel="0" collapsed="false">
      <c r="A15" s="0" t="s">
        <v>147</v>
      </c>
      <c r="C15" s="0" t="n">
        <f aca="false">C13-MAX(0,C13)*C14/100</f>
        <v>505.1380119421</v>
      </c>
      <c r="D15" s="0" t="n">
        <f aca="false">D13-MAX(0,D13)*D14/100</f>
        <v>461.884140319875</v>
      </c>
      <c r="E15" s="0" t="n">
        <f aca="false">E13-MAX(0,E13)*E14/100</f>
        <v>441.189362196927</v>
      </c>
      <c r="F15" s="0" t="n">
        <f aca="false">F13-MAX(0,F13)*F14/100</f>
        <v>437.12028135254</v>
      </c>
      <c r="G15" s="0" t="n">
        <f aca="false">G13-MAX(0,G13)*G14/100</f>
        <v>450.233889793117</v>
      </c>
      <c r="H15" s="0" t="n">
        <f aca="false">H13-MAX(0,H13)*H14/100</f>
        <v>463.74090648691</v>
      </c>
      <c r="I15" s="0" t="n">
        <f aca="false">I13-MAX(0,I13)*I14/100</f>
        <v>475.334429149083</v>
      </c>
      <c r="J15" s="0" t="n">
        <f aca="false">J13-MAX(0,J13)*J14/100</f>
        <v>487.21778987781</v>
      </c>
      <c r="K15" s="0" t="n">
        <f aca="false">K13-MAX(0,K13)*K14/100</f>
        <v>496.962145675366</v>
      </c>
      <c r="L15" s="0" t="n">
        <f aca="false">L13-MAX(0,L13)*L14/100</f>
        <v>506.901388588873</v>
      </c>
    </row>
    <row r="16" customFormat="false" ht="15" hidden="false" customHeight="false" outlineLevel="0" collapsed="false">
      <c r="A16" s="0" t="s">
        <v>148</v>
      </c>
      <c r="C16" s="0" t="n">
        <f aca="false">-C12</f>
        <v>186.6905708</v>
      </c>
      <c r="D16" s="0" t="n">
        <f aca="false">-D12</f>
        <v>198.9654758301</v>
      </c>
      <c r="E16" s="0" t="n">
        <f aca="false">-E12</f>
        <v>208.795317790754</v>
      </c>
      <c r="F16" s="0" t="n">
        <f aca="false">-F12</f>
        <v>220.060553541325</v>
      </c>
      <c r="G16" s="0" t="n">
        <f aca="false">-G12</f>
        <v>226.662370147564</v>
      </c>
      <c r="H16" s="0" t="n">
        <f aca="false">-H12</f>
        <v>233.462241251991</v>
      </c>
      <c r="I16" s="0" t="n">
        <f aca="false">-I12</f>
        <v>239.298797283291</v>
      </c>
      <c r="J16" s="0" t="n">
        <f aca="false">-J12</f>
        <v>245.281267215373</v>
      </c>
      <c r="K16" s="0" t="n">
        <f aca="false">-K12</f>
        <v>250.186892559681</v>
      </c>
      <c r="L16" s="0" t="n">
        <f aca="false">-L12</f>
        <v>255.190630410874</v>
      </c>
    </row>
    <row r="17" customFormat="false" ht="15" hidden="false" customHeight="false" outlineLevel="0" collapsed="false">
      <c r="A17" s="0" t="s">
        <v>149</v>
      </c>
      <c r="C17" s="4" t="n">
        <f aca="false">-C6*Assumptions!C18/100</f>
        <v>-317.37397036</v>
      </c>
      <c r="D17" s="4" t="n">
        <f aca="false">-D6*Assumptions!D18/100</f>
        <v>-284.236394043</v>
      </c>
      <c r="E17" s="4" t="n">
        <f aca="false">-E6*Assumptions!E18/100</f>
        <v>-262.208073504667</v>
      </c>
      <c r="F17" s="4" t="n">
        <f aca="false">-F6*Assumptions!F18/100</f>
        <v>-260.071563276111</v>
      </c>
      <c r="G17" s="4" t="n">
        <f aca="false">-G6*Assumptions!G18/100</f>
        <v>-257.570875167687</v>
      </c>
      <c r="H17" s="4" t="n">
        <f aca="false">-H6*Assumptions!H18/100</f>
        <v>-265.298001422717</v>
      </c>
      <c r="I17" s="4" t="n">
        <f aca="false">-I6*Assumptions!I18/100</f>
        <v>-271.930451458285</v>
      </c>
      <c r="J17" s="4" t="n">
        <f aca="false">-J6*Assumptions!J18/100</f>
        <v>-278.728712744742</v>
      </c>
      <c r="K17" s="4" t="n">
        <f aca="false">-K6*Assumptions!K18/100</f>
        <v>-284.303286999637</v>
      </c>
      <c r="L17" s="4" t="n">
        <f aca="false">-L6*Assumptions!L18/100</f>
        <v>-289.98935273963</v>
      </c>
    </row>
    <row r="18" customFormat="false" ht="15" hidden="false" customHeight="false" outlineLevel="0" collapsed="false">
      <c r="A18" s="0" t="s">
        <v>150</v>
      </c>
      <c r="C18" s="4" t="n">
        <f aca="false">(C6-B6)*Assumptions!$B$23/100</f>
        <v>10.5673908</v>
      </c>
      <c r="D18" s="4" t="n">
        <f aca="false">(D6-C6)*Assumptions!$B$23/100</f>
        <v>2.80035856199997</v>
      </c>
      <c r="E18" s="4" t="n">
        <f aca="false">(E6-D6)*Assumptions!$B$23/100</f>
        <v>4.73727323404997</v>
      </c>
      <c r="F18" s="4" t="n">
        <f aca="false">(F6-E6)*Assumptions!$B$23/100</f>
        <v>5.82684607788149</v>
      </c>
      <c r="G18" s="4" t="n">
        <f aca="false">(G6-F6)*Assumptions!$B$23/100</f>
        <v>6.00165146021795</v>
      </c>
      <c r="H18" s="4" t="n">
        <f aca="false">(H6-G6)*Assumptions!$B$23/100</f>
        <v>6.18170100402447</v>
      </c>
      <c r="I18" s="4" t="n">
        <f aca="false">(I6-H6)*Assumptions!$B$23/100</f>
        <v>5.30596002845432</v>
      </c>
      <c r="J18" s="4" t="n">
        <f aca="false">(J6-I6)*Assumptions!$B$23/100</f>
        <v>5.43860902916567</v>
      </c>
      <c r="K18" s="4" t="n">
        <f aca="false">(K6-J6)*Assumptions!$B$23/100</f>
        <v>4.45965940391587</v>
      </c>
      <c r="L18" s="4" t="n">
        <f aca="false">(L6-K6)*Assumptions!$B$23/100</f>
        <v>4.54885259199418</v>
      </c>
    </row>
    <row r="19" customFormat="false" ht="15" hidden="false" customHeight="false" outlineLevel="0" collapsed="false">
      <c r="A19" s="0" t="s">
        <v>151</v>
      </c>
      <c r="C19" s="0" t="n">
        <f aca="false">C15+C16+C17+C18</f>
        <v>385.0220031821</v>
      </c>
      <c r="D19" s="0" t="n">
        <f aca="false">D15+D16+D17+D18</f>
        <v>379.413580668975</v>
      </c>
      <c r="E19" s="0" t="n">
        <f aca="false">E15+E16+E17+E18</f>
        <v>392.513879717064</v>
      </c>
      <c r="F19" s="0" t="n">
        <f aca="false">F15+F16+F17+F18</f>
        <v>402.936117695635</v>
      </c>
      <c r="G19" s="0" t="n">
        <f aca="false">G15+G16+G17+G18</f>
        <v>425.327036233212</v>
      </c>
      <c r="H19" s="0" t="n">
        <f aca="false">H15+H16+H17+H18</f>
        <v>438.086847320208</v>
      </c>
      <c r="I19" s="0" t="n">
        <f aca="false">I15+I16+I17+I18</f>
        <v>448.008735002543</v>
      </c>
      <c r="J19" s="0" t="n">
        <f aca="false">J15+J16+J17+J18</f>
        <v>459.208953377606</v>
      </c>
      <c r="K19" s="0" t="n">
        <f aca="false">K15+K16+K17+K18</f>
        <v>467.305410639325</v>
      </c>
      <c r="L19" s="0" t="n">
        <f aca="false">L15+L16+L17+L18</f>
        <v>476.651518852112</v>
      </c>
    </row>
    <row r="20" customFormat="false" ht="15" hidden="false" customHeight="false" outlineLevel="0" collapsed="false">
      <c r="A20" s="0" t="s">
        <v>152</v>
      </c>
      <c r="C20" s="0" t="n">
        <f aca="false">1/(1+$B$27/100)^C4</f>
        <v>0.91743119266055</v>
      </c>
      <c r="D20" s="0" t="n">
        <f aca="false">1/(1+$B$27/100)^D4</f>
        <v>0.84167999326656</v>
      </c>
      <c r="E20" s="0" t="n">
        <f aca="false">1/(1+$B$27/100)^E4</f>
        <v>0.772183480061064</v>
      </c>
      <c r="F20" s="0" t="n">
        <f aca="false">1/(1+$B$27/100)^F4</f>
        <v>0.708425211065196</v>
      </c>
      <c r="G20" s="0" t="n">
        <f aca="false">1/(1+$B$27/100)^G4</f>
        <v>0.649931386298345</v>
      </c>
      <c r="H20" s="0" t="n">
        <f aca="false">1/(1+$B$27/100)^H4</f>
        <v>0.596267326879216</v>
      </c>
      <c r="I20" s="0" t="n">
        <f aca="false">1/(1+$B$27/100)^I4</f>
        <v>0.547034244843317</v>
      </c>
      <c r="J20" s="0" t="n">
        <f aca="false">1/(1+$B$27/100)^J4</f>
        <v>0.501866279672768</v>
      </c>
      <c r="K20" s="0" t="n">
        <f aca="false">1/(1+$B$27/100)^K4</f>
        <v>0.460427779516301</v>
      </c>
      <c r="L20" s="0" t="n">
        <f aca="false">1/(1+$B$27/100)^L4</f>
        <v>0.422410806895689</v>
      </c>
    </row>
    <row r="21" customFormat="false" ht="15" hidden="false" customHeight="false" outlineLevel="0" collapsed="false">
      <c r="A21" s="0" t="s">
        <v>153</v>
      </c>
      <c r="C21" s="0" t="n">
        <f aca="false">C19*C20</f>
        <v>353.231195579908</v>
      </c>
      <c r="D21" s="0" t="n">
        <f aca="false">D19*D20</f>
        <v>319.344820022704</v>
      </c>
      <c r="E21" s="0" t="n">
        <f aca="false">E19*E20</f>
        <v>303.092733612192</v>
      </c>
      <c r="F21" s="0" t="n">
        <f aca="false">F19*F20</f>
        <v>285.450104224321</v>
      </c>
      <c r="G21" s="0" t="n">
        <f aca="false">G19*G20</f>
        <v>276.433390289218</v>
      </c>
      <c r="H21" s="0" t="n">
        <f aca="false">H19*H20</f>
        <v>261.216873392564</v>
      </c>
      <c r="I21" s="0" t="n">
        <f aca="false">I19*I20</f>
        <v>245.076120035326</v>
      </c>
      <c r="J21" s="0" t="n">
        <f aca="false">J19*J20</f>
        <v>230.461489024045</v>
      </c>
      <c r="K21" s="0" t="n">
        <f aca="false">K19*K20</f>
        <v>215.160392576618</v>
      </c>
      <c r="L21" s="0" t="n">
        <f aca="false">L19*L20</f>
        <v>201.342752686376</v>
      </c>
    </row>
    <row r="23" customFormat="false" ht="15" hidden="false" customHeight="false" outlineLevel="0" collapsed="false">
      <c r="A23" s="0" t="s">
        <v>129</v>
      </c>
      <c r="C23" s="4" t="n">
        <f aca="false">Assumptions!C16</f>
        <v>0</v>
      </c>
      <c r="D23" s="4" t="n">
        <f aca="false">Assumptions!D16</f>
        <v>0</v>
      </c>
      <c r="E23" s="4" t="n">
        <f aca="false">Assumptions!E16</f>
        <v>0</v>
      </c>
      <c r="F23" s="4" t="n">
        <f aca="false">Assumptions!F16</f>
        <v>0</v>
      </c>
      <c r="G23" s="4" t="n">
        <f aca="false">Assumptions!G16</f>
        <v>0</v>
      </c>
      <c r="H23" s="4" t="n">
        <f aca="false">Assumptions!H16</f>
        <v>0</v>
      </c>
      <c r="I23" s="4" t="n">
        <f aca="false">Assumptions!I16</f>
        <v>0</v>
      </c>
      <c r="J23" s="4" t="n">
        <f aca="false">Assumptions!J16</f>
        <v>0</v>
      </c>
      <c r="K23" s="4" t="n">
        <f aca="false">Assumptions!K16</f>
        <v>0</v>
      </c>
      <c r="L23" s="4" t="n">
        <f aca="false">Assumptions!L16</f>
        <v>0</v>
      </c>
    </row>
    <row r="24" customFormat="false" ht="15" hidden="false" customHeight="false" outlineLevel="0" collapsed="false">
      <c r="A24" s="0" t="s">
        <v>154</v>
      </c>
      <c r="C24" s="0" t="n">
        <f aca="false">-C6*C23/100</f>
        <v>-0</v>
      </c>
      <c r="D24" s="0" t="n">
        <f aca="false">-D6*D23/100</f>
        <v>-0</v>
      </c>
      <c r="E24" s="0" t="n">
        <f aca="false">-E6*E23/100</f>
        <v>-0</v>
      </c>
      <c r="F24" s="0" t="n">
        <f aca="false">-F6*F23/100</f>
        <v>-0</v>
      </c>
      <c r="G24" s="0" t="n">
        <f aca="false">-G6*G23/100</f>
        <v>-0</v>
      </c>
      <c r="H24" s="0" t="n">
        <f aca="false">-H6*H23/100</f>
        <v>-0</v>
      </c>
      <c r="I24" s="0" t="n">
        <f aca="false">-I6*I23/100</f>
        <v>-0</v>
      </c>
      <c r="J24" s="0" t="n">
        <f aca="false">-J6*J23/100</f>
        <v>-0</v>
      </c>
      <c r="K24" s="0" t="n">
        <f aca="false">-K6*K23/100</f>
        <v>-0</v>
      </c>
      <c r="L24" s="0" t="n">
        <f aca="false">-L6*L23/100</f>
        <v>-0</v>
      </c>
    </row>
    <row r="26" customFormat="false" ht="15" hidden="false" customHeight="false" outlineLevel="0" collapsed="false">
      <c r="A26" s="2" t="s">
        <v>155</v>
      </c>
    </row>
    <row r="27" customFormat="false" ht="15" hidden="false" customHeight="false" outlineLevel="0" collapsed="false">
      <c r="A27" s="0" t="s">
        <v>133</v>
      </c>
      <c r="B27" s="4" t="n">
        <f aca="false">Assumptions!$B$20</f>
        <v>9</v>
      </c>
    </row>
    <row r="28" customFormat="false" ht="15" hidden="false" customHeight="false" outlineLevel="0" collapsed="false">
      <c r="A28" s="0" t="s">
        <v>134</v>
      </c>
      <c r="B28" s="4" t="n">
        <f aca="false">Assumptions!$B$21</f>
        <v>2</v>
      </c>
    </row>
    <row r="29" customFormat="false" ht="15" hidden="false" customHeight="false" outlineLevel="0" collapsed="false">
      <c r="A29" s="0" t="s">
        <v>135</v>
      </c>
      <c r="B29" s="4" t="n">
        <f aca="false">Assumptions!$B$22</f>
        <v>14</v>
      </c>
    </row>
    <row r="30" customFormat="false" ht="15" hidden="false" customHeight="false" outlineLevel="0" collapsed="false">
      <c r="A30" s="0" t="s">
        <v>156</v>
      </c>
      <c r="B30" s="0" t="n">
        <f aca="false">SUM(C21:L21)</f>
        <v>2690.80987144327</v>
      </c>
    </row>
    <row r="31" customFormat="false" ht="15" hidden="false" customHeight="false" outlineLevel="0" collapsed="false">
      <c r="A31" s="0" t="s">
        <v>157</v>
      </c>
      <c r="B31" s="0" t="n">
        <f aca="false">L19</f>
        <v>476.651518852112</v>
      </c>
    </row>
    <row r="32" customFormat="false" ht="15" hidden="false" customHeight="false" outlineLevel="0" collapsed="false">
      <c r="A32" s="0" t="s">
        <v>158</v>
      </c>
      <c r="B32" s="0" t="n">
        <f aca="false">IF(B27&gt;B28,B31*(1+B28/100)/((B27-B28)/100),B31*B29)</f>
        <v>6945.49356041648</v>
      </c>
    </row>
    <row r="33" customFormat="false" ht="15" hidden="false" customHeight="false" outlineLevel="0" collapsed="false">
      <c r="A33" s="0" t="s">
        <v>159</v>
      </c>
      <c r="B33" s="0" t="n">
        <f aca="false">B31*B29</f>
        <v>6673.12126392956</v>
      </c>
    </row>
    <row r="34" customFormat="false" ht="15" hidden="false" customHeight="false" outlineLevel="0" collapsed="false">
      <c r="A34" s="0" t="s">
        <v>160</v>
      </c>
      <c r="B34" s="0" t="n">
        <f aca="false">MAX(0,MIN(B32,B33))</f>
        <v>6673.12126392956</v>
      </c>
    </row>
    <row r="35" customFormat="false" ht="15" hidden="false" customHeight="false" outlineLevel="0" collapsed="false">
      <c r="A35" s="0" t="s">
        <v>161</v>
      </c>
      <c r="B35" s="0" t="n">
        <f aca="false">B34/(1+B27/100)^L4</f>
        <v>2818.79853760927</v>
      </c>
    </row>
    <row r="36" customFormat="false" ht="15" hidden="false" customHeight="false" outlineLevel="0" collapsed="false">
      <c r="A36" s="0" t="s">
        <v>162</v>
      </c>
      <c r="B36" s="0" t="n">
        <f aca="false">B30+B35</f>
        <v>5509.60840905254</v>
      </c>
    </row>
    <row r="37" customFormat="false" ht="15" hidden="false" customHeight="false" outlineLevel="0" collapsed="false">
      <c r="A37" s="0" t="s">
        <v>163</v>
      </c>
      <c r="B37" s="0" t="n">
        <f aca="false">B36+Assumptions!$B$5-Assumptions!$B$4</f>
        <v>5619.71240905254</v>
      </c>
    </row>
    <row r="38" customFormat="false" ht="15" hidden="false" customHeight="false" outlineLevel="0" collapsed="false">
      <c r="A38" s="0" t="s">
        <v>164</v>
      </c>
      <c r="B38" s="0" t="n">
        <f aca="false">B37/Assumptions!$B$3*Assumptions!$B$10</f>
        <v>59.5245462244735</v>
      </c>
    </row>
    <row r="39" customFormat="false" ht="15" hidden="false" customHeight="false" outlineLevel="0" collapsed="false">
      <c r="A39" s="0" t="s">
        <v>165</v>
      </c>
      <c r="B39" s="4" t="n">
        <f aca="false">B38/Assumptions!$B$2-1</f>
        <v>-0.0474548531849344</v>
      </c>
    </row>
    <row r="41" customFormat="false" ht="15" hidden="false" customHeight="false" outlineLevel="0" collapsed="false">
      <c r="A41" s="0" t="s">
        <v>166</v>
      </c>
      <c r="B41" s="0" t="n">
        <f aca="false">SUMPRODUCT(-C10:L10/(1+$B$27/100)^C4:L4)</f>
        <v>230.400157865477</v>
      </c>
    </row>
    <row r="42" customFormat="false" ht="15" hidden="false" customHeight="false" outlineLevel="0" collapsed="false">
      <c r="A42" s="0" t="s">
        <v>167</v>
      </c>
      <c r="B42" s="0" t="n">
        <f aca="false">IF(B27&gt;B28,-L10*(1+B28/100)/((B27-B28)/100),-L10*20)/(1+B27/100)^L4</f>
        <v>249.889058423087</v>
      </c>
    </row>
    <row r="43" customFormat="false" ht="15" hidden="false" customHeight="false" outlineLevel="0" collapsed="false">
      <c r="A43" s="0" t="s">
        <v>168</v>
      </c>
      <c r="B43" s="0" t="n">
        <f aca="false">(B37+B41+B42)/Assumptions!$B$3*Assumptions!$B$10</f>
        <v>64.611816813273</v>
      </c>
    </row>
    <row r="45" customFormat="false" ht="15" hidden="false" customHeight="false" outlineLevel="0" collapsed="false">
      <c r="A45" s="0" t="s">
        <v>109</v>
      </c>
      <c r="B45" s="4" t="n">
        <f aca="false">Assumptions!$B$6</f>
        <v>15</v>
      </c>
    </row>
    <row r="46" customFormat="false" ht="15" hidden="false" customHeight="false" outlineLevel="0" collapsed="false">
      <c r="A46" s="0" t="s">
        <v>169</v>
      </c>
      <c r="B46" s="0" t="n">
        <f aca="false">MAX(0,MIN(IF(B45&gt;B28,B31*(1+B28/100)/((B45-B28)/100),B31*B29),B31*B29))</f>
        <v>3739.88114791657</v>
      </c>
    </row>
    <row r="47" customFormat="false" ht="15" hidden="false" customHeight="false" outlineLevel="0" collapsed="false">
      <c r="A47" s="0" t="s">
        <v>170</v>
      </c>
      <c r="B47" s="0" t="n">
        <f aca="false">(SUMPRODUCT(C19:L19/(1+B45/100)^C4:L4)+B46/(1+B45/100)^L4+Assumptions!$B$5-Assumptions!$B$4)/Assumptions!$B$3*Assumptions!$B$10</f>
        <v>32.9918439767351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2" t="s">
        <v>171</v>
      </c>
    </row>
    <row r="3" customFormat="false" ht="15" hidden="false" customHeight="false" outlineLevel="0" collapsed="false">
      <c r="A3" s="0" t="s">
        <v>141</v>
      </c>
      <c r="B3" s="0" t="s">
        <v>103</v>
      </c>
      <c r="C3" s="2" t="s">
        <v>116</v>
      </c>
      <c r="D3" s="2" t="s">
        <v>117</v>
      </c>
      <c r="E3" s="2" t="s">
        <v>118</v>
      </c>
      <c r="F3" s="2" t="s">
        <v>119</v>
      </c>
      <c r="G3" s="2" t="s">
        <v>120</v>
      </c>
      <c r="H3" s="2" t="s">
        <v>121</v>
      </c>
      <c r="I3" s="2" t="s">
        <v>122</v>
      </c>
      <c r="J3" s="2" t="s">
        <v>123</v>
      </c>
      <c r="K3" s="2" t="s">
        <v>124</v>
      </c>
      <c r="L3" s="2" t="s">
        <v>125</v>
      </c>
    </row>
    <row r="4" customFormat="false" ht="15" hidden="false" customHeight="false" outlineLevel="0" collapsed="false">
      <c r="A4" s="0" t="s">
        <v>142</v>
      </c>
      <c r="B4" s="0" t="n">
        <v>0</v>
      </c>
      <c r="C4" s="0" t="n">
        <f aca="false">B4+1</f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</row>
    <row r="5" customFormat="false" ht="15" hidden="false" customHeight="false" outlineLevel="0" collapsed="false">
      <c r="A5" s="0" t="s">
        <v>126</v>
      </c>
      <c r="C5" s="4" t="n">
        <f aca="false">Assumptions!C27</f>
        <v>6.7</v>
      </c>
      <c r="D5" s="4" t="n">
        <f aca="false">Assumptions!D27</f>
        <v>4.5</v>
      </c>
      <c r="E5" s="4" t="n">
        <f aca="false">Assumptions!E27</f>
        <v>6</v>
      </c>
      <c r="F5" s="4" t="n">
        <f aca="false">Assumptions!F27</f>
        <v>5.5</v>
      </c>
      <c r="G5" s="4" t="n">
        <f aca="false">Assumptions!G27</f>
        <v>5</v>
      </c>
      <c r="H5" s="4" t="n">
        <f aca="false">Assumptions!H27</f>
        <v>4.5</v>
      </c>
      <c r="I5" s="4" t="n">
        <f aca="false">Assumptions!I27</f>
        <v>4</v>
      </c>
      <c r="J5" s="4" t="n">
        <f aca="false">Assumptions!J27</f>
        <v>3.5</v>
      </c>
      <c r="K5" s="4" t="n">
        <f aca="false">Assumptions!K27</f>
        <v>3</v>
      </c>
      <c r="L5" s="4" t="n">
        <f aca="false">Assumptions!L27</f>
        <v>3</v>
      </c>
    </row>
    <row r="6" customFormat="false" ht="15" hidden="false" customHeight="false" outlineLevel="0" collapsed="false">
      <c r="A6" s="0" t="s">
        <v>63</v>
      </c>
      <c r="B6" s="3" t="n">
        <v>8806.159</v>
      </c>
      <c r="C6" s="0" t="n">
        <f aca="false">B6*(1+C5/100)</f>
        <v>9396.171653</v>
      </c>
      <c r="D6" s="0" t="n">
        <f aca="false">C6*(1+D5/100)</f>
        <v>9818.999377385</v>
      </c>
      <c r="E6" s="0" t="n">
        <f aca="false">D6*(1+E5/100)</f>
        <v>10408.1393400281</v>
      </c>
      <c r="F6" s="0" t="n">
        <f aca="false">E6*(1+F5/100)</f>
        <v>10980.5870037296</v>
      </c>
      <c r="G6" s="0" t="n">
        <f aca="false">F6*(1+G5/100)</f>
        <v>11529.6163539161</v>
      </c>
      <c r="H6" s="0" t="n">
        <f aca="false">G6*(1+H5/100)</f>
        <v>12048.4490898424</v>
      </c>
      <c r="I6" s="0" t="n">
        <f aca="false">H6*(1+I5/100)</f>
        <v>12530.387053436</v>
      </c>
      <c r="J6" s="0" t="n">
        <f aca="false">I6*(1+J5/100)</f>
        <v>12968.9506003063</v>
      </c>
      <c r="K6" s="0" t="n">
        <f aca="false">J6*(1+K5/100)</f>
        <v>13358.0191183155</v>
      </c>
      <c r="L6" s="0" t="n">
        <f aca="false">K6*(1+L5/100)</f>
        <v>13758.759691865</v>
      </c>
    </row>
    <row r="7" customFormat="false" ht="15" hidden="false" customHeight="false" outlineLevel="0" collapsed="false">
      <c r="A7" s="0" t="s">
        <v>127</v>
      </c>
      <c r="C7" s="4" t="n">
        <f aca="false">Assumptions!C28</f>
        <v>9.45</v>
      </c>
      <c r="D7" s="4" t="n">
        <f aca="false">Assumptions!D28</f>
        <v>9.55</v>
      </c>
      <c r="E7" s="4" t="n">
        <f aca="false">Assumptions!E28</f>
        <v>9.65</v>
      </c>
      <c r="F7" s="4" t="n">
        <f aca="false">Assumptions!F28</f>
        <v>9.75</v>
      </c>
      <c r="G7" s="4" t="n">
        <f aca="false">Assumptions!G28</f>
        <v>9.8</v>
      </c>
      <c r="H7" s="4" t="n">
        <f aca="false">Assumptions!H28</f>
        <v>9.8</v>
      </c>
      <c r="I7" s="4" t="n">
        <f aca="false">Assumptions!I28</f>
        <v>9.8</v>
      </c>
      <c r="J7" s="4" t="n">
        <f aca="false">Assumptions!J28</f>
        <v>9.8</v>
      </c>
      <c r="K7" s="4" t="n">
        <f aca="false">Assumptions!K28</f>
        <v>9.8</v>
      </c>
      <c r="L7" s="4" t="n">
        <f aca="false">Assumptions!L28</f>
        <v>9.8</v>
      </c>
    </row>
    <row r="8" customFormat="false" ht="15" hidden="false" customHeight="false" outlineLevel="0" collapsed="false">
      <c r="A8" s="0" t="s">
        <v>69</v>
      </c>
      <c r="C8" s="0" t="n">
        <f aca="false">C6*C7/100</f>
        <v>887.9382212085</v>
      </c>
      <c r="D8" s="0" t="n">
        <f aca="false">D6*D7/100</f>
        <v>937.714440540267</v>
      </c>
      <c r="E8" s="0" t="n">
        <f aca="false">E6*E7/100</f>
        <v>1004.38544631271</v>
      </c>
      <c r="F8" s="0" t="n">
        <f aca="false">F6*F7/100</f>
        <v>1070.60723286364</v>
      </c>
      <c r="G8" s="0" t="n">
        <f aca="false">G6*G7/100</f>
        <v>1129.90240268378</v>
      </c>
      <c r="H8" s="0" t="n">
        <f aca="false">H6*H7/100</f>
        <v>1180.74801080455</v>
      </c>
      <c r="I8" s="0" t="n">
        <f aca="false">I6*I7/100</f>
        <v>1227.97793123673</v>
      </c>
      <c r="J8" s="0" t="n">
        <f aca="false">J6*J7/100</f>
        <v>1270.95715883002</v>
      </c>
      <c r="K8" s="0" t="n">
        <f aca="false">K6*K7/100</f>
        <v>1309.08587359492</v>
      </c>
      <c r="L8" s="0" t="n">
        <f aca="false">L6*L7/100</f>
        <v>1348.35844980277</v>
      </c>
    </row>
    <row r="9" customFormat="false" ht="15" hidden="false" customHeight="false" outlineLevel="0" collapsed="false">
      <c r="A9" s="0" t="s">
        <v>128</v>
      </c>
      <c r="C9" s="4" t="n">
        <f aca="false">Assumptions!C29</f>
        <v>0.35</v>
      </c>
      <c r="D9" s="4" t="n">
        <f aca="false">Assumptions!D29</f>
        <v>0.35</v>
      </c>
      <c r="E9" s="4" t="n">
        <f aca="false">Assumptions!E29</f>
        <v>0.35</v>
      </c>
      <c r="F9" s="4" t="n">
        <f aca="false">Assumptions!F29</f>
        <v>0.35</v>
      </c>
      <c r="G9" s="4" t="n">
        <f aca="false">Assumptions!G29</f>
        <v>0.35</v>
      </c>
      <c r="H9" s="4" t="n">
        <f aca="false">Assumptions!H29</f>
        <v>0.35</v>
      </c>
      <c r="I9" s="4" t="n">
        <f aca="false">Assumptions!I29</f>
        <v>0.35</v>
      </c>
      <c r="J9" s="4" t="n">
        <f aca="false">Assumptions!J29</f>
        <v>0.35</v>
      </c>
      <c r="K9" s="4" t="n">
        <f aca="false">Assumptions!K29</f>
        <v>0.35</v>
      </c>
      <c r="L9" s="4" t="n">
        <f aca="false">Assumptions!L29</f>
        <v>0.35</v>
      </c>
    </row>
    <row r="10" customFormat="false" ht="15" hidden="false" customHeight="false" outlineLevel="0" collapsed="false">
      <c r="A10" s="0" t="s">
        <v>143</v>
      </c>
      <c r="C10" s="0" t="n">
        <f aca="false">-C6*C9/100</f>
        <v>-32.8866007855</v>
      </c>
      <c r="D10" s="0" t="n">
        <f aca="false">-D6*D9/100</f>
        <v>-34.3664978208475</v>
      </c>
      <c r="E10" s="0" t="n">
        <f aca="false">-E6*E9/100</f>
        <v>-36.4284876900983</v>
      </c>
      <c r="F10" s="0" t="n">
        <f aca="false">-F6*F9/100</f>
        <v>-38.4320545130538</v>
      </c>
      <c r="G10" s="0" t="n">
        <f aca="false">-G6*G9/100</f>
        <v>-40.3536572387065</v>
      </c>
      <c r="H10" s="0" t="n">
        <f aca="false">-H6*H9/100</f>
        <v>-42.1695718144482</v>
      </c>
      <c r="I10" s="0" t="n">
        <f aca="false">-I6*I9/100</f>
        <v>-43.8563546870262</v>
      </c>
      <c r="J10" s="0" t="n">
        <f aca="false">-J6*J9/100</f>
        <v>-45.3913271010721</v>
      </c>
      <c r="K10" s="0" t="n">
        <f aca="false">-K6*K9/100</f>
        <v>-46.7530669141042</v>
      </c>
      <c r="L10" s="0" t="n">
        <f aca="false">-L6*L9/100</f>
        <v>-48.1556589215274</v>
      </c>
    </row>
    <row r="11" customFormat="false" ht="15" hidden="false" customHeight="false" outlineLevel="0" collapsed="false">
      <c r="A11" s="0" t="s">
        <v>144</v>
      </c>
      <c r="C11" s="0" t="n">
        <f aca="false">C8+C10+C24</f>
        <v>855.051620423</v>
      </c>
      <c r="D11" s="0" t="n">
        <f aca="false">D8+D10+D24</f>
        <v>903.34794271942</v>
      </c>
      <c r="E11" s="0" t="n">
        <f aca="false">E8+E10+E24</f>
        <v>967.956958622613</v>
      </c>
      <c r="F11" s="0" t="n">
        <f aca="false">F8+F10+F24</f>
        <v>1032.17517835059</v>
      </c>
      <c r="G11" s="0" t="n">
        <f aca="false">G8+G10+G24</f>
        <v>1089.54874544507</v>
      </c>
      <c r="H11" s="0" t="n">
        <f aca="false">H8+H10+H24</f>
        <v>1138.5784389901</v>
      </c>
      <c r="I11" s="0" t="n">
        <f aca="false">I8+I10+I24</f>
        <v>1184.12157654971</v>
      </c>
      <c r="J11" s="0" t="n">
        <f aca="false">J8+J10+J24</f>
        <v>1225.56583172895</v>
      </c>
      <c r="K11" s="0" t="n">
        <f aca="false">K8+K10+K24</f>
        <v>1262.33280668081</v>
      </c>
      <c r="L11" s="0" t="n">
        <f aca="false">L8+L10+L24</f>
        <v>1300.20279088124</v>
      </c>
    </row>
    <row r="12" customFormat="false" ht="15" hidden="false" customHeight="false" outlineLevel="0" collapsed="false">
      <c r="A12" s="0" t="s">
        <v>145</v>
      </c>
      <c r="C12" s="4" t="n">
        <f aca="false">-C6*Assumptions!C31/100</f>
        <v>-187.92343306</v>
      </c>
      <c r="D12" s="4" t="n">
        <f aca="false">-D6*Assumptions!D31/100</f>
        <v>-201.289487236392</v>
      </c>
      <c r="E12" s="4" t="n">
        <f aca="false">-E6*Assumptions!E31/100</f>
        <v>-218.57092614059</v>
      </c>
      <c r="F12" s="4" t="n">
        <f aca="false">-F6*Assumptions!F31/100</f>
        <v>-230.592327078323</v>
      </c>
      <c r="G12" s="4" t="n">
        <f aca="false">-G6*Assumptions!G31/100</f>
        <v>-242.121943432239</v>
      </c>
      <c r="H12" s="4" t="n">
        <f aca="false">-H6*Assumptions!H31/100</f>
        <v>-253.017430886689</v>
      </c>
      <c r="I12" s="4" t="n">
        <f aca="false">-I6*Assumptions!I31/100</f>
        <v>-263.138128122157</v>
      </c>
      <c r="J12" s="4" t="n">
        <f aca="false">-J6*Assumptions!J31/100</f>
        <v>-272.347962606433</v>
      </c>
      <c r="K12" s="4" t="n">
        <f aca="false">-K6*Assumptions!K31/100</f>
        <v>-280.518401484626</v>
      </c>
      <c r="L12" s="4" t="n">
        <f aca="false">-L6*Assumptions!L31/100</f>
        <v>-288.933953529164</v>
      </c>
    </row>
    <row r="13" customFormat="false" ht="15" hidden="false" customHeight="false" outlineLevel="0" collapsed="false">
      <c r="A13" s="0" t="s">
        <v>146</v>
      </c>
      <c r="C13" s="0" t="n">
        <f aca="false">C11+C12</f>
        <v>667.128187363</v>
      </c>
      <c r="D13" s="0" t="n">
        <f aca="false">D11+D12</f>
        <v>702.058455483027</v>
      </c>
      <c r="E13" s="0" t="n">
        <f aca="false">E11+E12</f>
        <v>749.386032482023</v>
      </c>
      <c r="F13" s="0" t="n">
        <f aca="false">F11+F12</f>
        <v>801.582851272264</v>
      </c>
      <c r="G13" s="0" t="n">
        <f aca="false">G11+G12</f>
        <v>847.426802012835</v>
      </c>
      <c r="H13" s="0" t="n">
        <f aca="false">H11+H12</f>
        <v>885.561008103413</v>
      </c>
      <c r="I13" s="0" t="n">
        <f aca="false">I11+I12</f>
        <v>920.98344842755</v>
      </c>
      <c r="J13" s="0" t="n">
        <f aca="false">J11+J12</f>
        <v>953.217869122514</v>
      </c>
      <c r="K13" s="0" t="n">
        <f aca="false">K11+K12</f>
        <v>981.814405196189</v>
      </c>
      <c r="L13" s="0" t="n">
        <f aca="false">L11+L12</f>
        <v>1011.26883735207</v>
      </c>
    </row>
    <row r="14" customFormat="false" ht="15" hidden="false" customHeight="false" outlineLevel="0" collapsed="false">
      <c r="A14" s="0" t="s">
        <v>132</v>
      </c>
      <c r="C14" s="4" t="n">
        <f aca="false">Assumptions!C33</f>
        <v>21</v>
      </c>
      <c r="D14" s="4" t="n">
        <f aca="false">Assumptions!D33</f>
        <v>22</v>
      </c>
      <c r="E14" s="4" t="n">
        <f aca="false">Assumptions!E33</f>
        <v>23</v>
      </c>
      <c r="F14" s="4" t="n">
        <f aca="false">Assumptions!F33</f>
        <v>24</v>
      </c>
      <c r="G14" s="4" t="n">
        <f aca="false">Assumptions!G33</f>
        <v>24</v>
      </c>
      <c r="H14" s="4" t="n">
        <f aca="false">Assumptions!H33</f>
        <v>24</v>
      </c>
      <c r="I14" s="4" t="n">
        <f aca="false">Assumptions!I33</f>
        <v>24</v>
      </c>
      <c r="J14" s="4" t="n">
        <f aca="false">Assumptions!J33</f>
        <v>24</v>
      </c>
      <c r="K14" s="4" t="n">
        <f aca="false">Assumptions!K33</f>
        <v>24</v>
      </c>
      <c r="L14" s="4" t="n">
        <f aca="false">Assumptions!L33</f>
        <v>24</v>
      </c>
    </row>
    <row r="15" customFormat="false" ht="15" hidden="false" customHeight="false" outlineLevel="0" collapsed="false">
      <c r="A15" s="0" t="s">
        <v>147</v>
      </c>
      <c r="C15" s="0" t="n">
        <f aca="false">C13-MAX(0,C13)*C14/100</f>
        <v>527.03126801677</v>
      </c>
      <c r="D15" s="0" t="n">
        <f aca="false">D13-MAX(0,D13)*D14/100</f>
        <v>547.605595276761</v>
      </c>
      <c r="E15" s="0" t="n">
        <f aca="false">E13-MAX(0,E13)*E14/100</f>
        <v>577.027245011158</v>
      </c>
      <c r="F15" s="0" t="n">
        <f aca="false">F13-MAX(0,F13)*F14/100</f>
        <v>609.202966966921</v>
      </c>
      <c r="G15" s="0" t="n">
        <f aca="false">G13-MAX(0,G13)*G14/100</f>
        <v>644.044369529755</v>
      </c>
      <c r="H15" s="0" t="n">
        <f aca="false">H13-MAX(0,H13)*H14/100</f>
        <v>673.026366158594</v>
      </c>
      <c r="I15" s="0" t="n">
        <f aca="false">I13-MAX(0,I13)*I14/100</f>
        <v>699.947420804938</v>
      </c>
      <c r="J15" s="0" t="n">
        <f aca="false">J13-MAX(0,J13)*J14/100</f>
        <v>724.44558053311</v>
      </c>
      <c r="K15" s="0" t="n">
        <f aca="false">K13-MAX(0,K13)*K14/100</f>
        <v>746.178947949104</v>
      </c>
      <c r="L15" s="0" t="n">
        <f aca="false">L13-MAX(0,L13)*L14/100</f>
        <v>768.564316387577</v>
      </c>
    </row>
    <row r="16" customFormat="false" ht="15" hidden="false" customHeight="false" outlineLevel="0" collapsed="false">
      <c r="A16" s="0" t="s">
        <v>148</v>
      </c>
      <c r="C16" s="0" t="n">
        <f aca="false">-C12</f>
        <v>187.92343306</v>
      </c>
      <c r="D16" s="0" t="n">
        <f aca="false">-D12</f>
        <v>201.289487236392</v>
      </c>
      <c r="E16" s="0" t="n">
        <f aca="false">-E12</f>
        <v>218.57092614059</v>
      </c>
      <c r="F16" s="0" t="n">
        <f aca="false">-F12</f>
        <v>230.592327078323</v>
      </c>
      <c r="G16" s="0" t="n">
        <f aca="false">-G12</f>
        <v>242.121943432239</v>
      </c>
      <c r="H16" s="0" t="n">
        <f aca="false">-H12</f>
        <v>253.017430886689</v>
      </c>
      <c r="I16" s="0" t="n">
        <f aca="false">-I12</f>
        <v>263.138128122157</v>
      </c>
      <c r="J16" s="0" t="n">
        <f aca="false">-J12</f>
        <v>272.347962606433</v>
      </c>
      <c r="K16" s="0" t="n">
        <f aca="false">-K12</f>
        <v>280.518401484626</v>
      </c>
      <c r="L16" s="0" t="n">
        <f aca="false">-L12</f>
        <v>288.933953529164</v>
      </c>
    </row>
    <row r="17" customFormat="false" ht="15" hidden="false" customHeight="false" outlineLevel="0" collapsed="false">
      <c r="A17" s="0" t="s">
        <v>149</v>
      </c>
      <c r="C17" s="4" t="n">
        <f aca="false">-C6*Assumptions!C32/100</f>
        <v>-328.866007855</v>
      </c>
      <c r="D17" s="4" t="n">
        <f aca="false">-D6*Assumptions!D32/100</f>
        <v>-324.026979453705</v>
      </c>
      <c r="E17" s="4" t="n">
        <f aca="false">-E6*Assumptions!E32/100</f>
        <v>-333.060458880899</v>
      </c>
      <c r="F17" s="4" t="n">
        <f aca="false">-F6*Assumptions!F32/100</f>
        <v>-340.398197115619</v>
      </c>
      <c r="G17" s="4" t="n">
        <f aca="false">-G6*Assumptions!G32/100</f>
        <v>-345.888490617484</v>
      </c>
      <c r="H17" s="4" t="n">
        <f aca="false">-H6*Assumptions!H32/100</f>
        <v>-361.453472695271</v>
      </c>
      <c r="I17" s="4" t="n">
        <f aca="false">-I6*Assumptions!I32/100</f>
        <v>-363.381224549645</v>
      </c>
      <c r="J17" s="4" t="n">
        <f aca="false">-J6*Assumptions!J32/100</f>
        <v>-363.130616808577</v>
      </c>
      <c r="K17" s="4" t="n">
        <f aca="false">-K6*Assumptions!K32/100</f>
        <v>-374.024535312834</v>
      </c>
      <c r="L17" s="4" t="n">
        <f aca="false">-L6*Assumptions!L32/100</f>
        <v>-385.245271372219</v>
      </c>
    </row>
    <row r="18" customFormat="false" ht="15" hidden="false" customHeight="false" outlineLevel="0" collapsed="false">
      <c r="A18" s="0" t="s">
        <v>150</v>
      </c>
      <c r="C18" s="4" t="n">
        <f aca="false">(C6-B6)*Assumptions!$B$37/100</f>
        <v>11.80025306</v>
      </c>
      <c r="D18" s="4" t="n">
        <f aca="false">(D6-C6)*Assumptions!$B$37/100</f>
        <v>8.45655448769998</v>
      </c>
      <c r="E18" s="4" t="n">
        <f aca="false">(E6-D6)*Assumptions!$B$37/100</f>
        <v>11.782799252862</v>
      </c>
      <c r="F18" s="4" t="n">
        <f aca="false">(F6-E6)*Assumptions!$B$37/100</f>
        <v>11.4489532740309</v>
      </c>
      <c r="G18" s="4" t="n">
        <f aca="false">(G6-F6)*Assumptions!$B$37/100</f>
        <v>10.9805870037297</v>
      </c>
      <c r="H18" s="4" t="n">
        <f aca="false">(H6-G6)*Assumptions!$B$37/100</f>
        <v>10.3766547185245</v>
      </c>
      <c r="I18" s="4" t="n">
        <f aca="false">(I6-H6)*Assumptions!$B$37/100</f>
        <v>9.6387592718739</v>
      </c>
      <c r="J18" s="4" t="n">
        <f aca="false">(J6-I6)*Assumptions!$B$37/100</f>
        <v>8.77127093740521</v>
      </c>
      <c r="K18" s="4" t="n">
        <f aca="false">(K6-J6)*Assumptions!$B$37/100</f>
        <v>7.78137036018379</v>
      </c>
      <c r="L18" s="4" t="n">
        <f aca="false">(L6-K6)*Assumptions!$B$37/100</f>
        <v>8.0148114709893</v>
      </c>
    </row>
    <row r="19" customFormat="false" ht="15" hidden="false" customHeight="false" outlineLevel="0" collapsed="false">
      <c r="A19" s="0" t="s">
        <v>151</v>
      </c>
      <c r="C19" s="0" t="n">
        <f aca="false">C15+C16+C17+C18</f>
        <v>397.88894628177</v>
      </c>
      <c r="D19" s="0" t="n">
        <f aca="false">D15+D16+D17+D18</f>
        <v>433.324657547149</v>
      </c>
      <c r="E19" s="0" t="n">
        <f aca="false">E15+E16+E17+E18</f>
        <v>474.320511523711</v>
      </c>
      <c r="F19" s="0" t="n">
        <f aca="false">F15+F16+F17+F18</f>
        <v>510.846050203655</v>
      </c>
      <c r="G19" s="0" t="n">
        <f aca="false">G15+G16+G17+G18</f>
        <v>551.258409348239</v>
      </c>
      <c r="H19" s="0" t="n">
        <f aca="false">H15+H16+H17+H18</f>
        <v>574.966979068537</v>
      </c>
      <c r="I19" s="0" t="n">
        <f aca="false">I15+I16+I17+I18</f>
        <v>609.343083649323</v>
      </c>
      <c r="J19" s="0" t="n">
        <f aca="false">J15+J16+J17+J18</f>
        <v>642.434197268372</v>
      </c>
      <c r="K19" s="0" t="n">
        <f aca="false">K15+K16+K17+K18</f>
        <v>660.454184481079</v>
      </c>
      <c r="L19" s="0" t="n">
        <f aca="false">L15+L16+L17+L18</f>
        <v>680.267810015512</v>
      </c>
    </row>
    <row r="20" customFormat="false" ht="15" hidden="false" customHeight="false" outlineLevel="0" collapsed="false">
      <c r="A20" s="0" t="s">
        <v>152</v>
      </c>
      <c r="C20" s="0" t="n">
        <f aca="false">1/(1+$B$27/100)^C4</f>
        <v>0.91743119266055</v>
      </c>
      <c r="D20" s="0" t="n">
        <f aca="false">1/(1+$B$27/100)^D4</f>
        <v>0.84167999326656</v>
      </c>
      <c r="E20" s="0" t="n">
        <f aca="false">1/(1+$B$27/100)^E4</f>
        <v>0.772183480061064</v>
      </c>
      <c r="F20" s="0" t="n">
        <f aca="false">1/(1+$B$27/100)^F4</f>
        <v>0.708425211065196</v>
      </c>
      <c r="G20" s="0" t="n">
        <f aca="false">1/(1+$B$27/100)^G4</f>
        <v>0.649931386298345</v>
      </c>
      <c r="H20" s="0" t="n">
        <f aca="false">1/(1+$B$27/100)^H4</f>
        <v>0.596267326879216</v>
      </c>
      <c r="I20" s="0" t="n">
        <f aca="false">1/(1+$B$27/100)^I4</f>
        <v>0.547034244843317</v>
      </c>
      <c r="J20" s="0" t="n">
        <f aca="false">1/(1+$B$27/100)^J4</f>
        <v>0.501866279672768</v>
      </c>
      <c r="K20" s="0" t="n">
        <f aca="false">1/(1+$B$27/100)^K4</f>
        <v>0.460427779516301</v>
      </c>
      <c r="L20" s="0" t="n">
        <f aca="false">1/(1+$B$27/100)^L4</f>
        <v>0.422410806895689</v>
      </c>
    </row>
    <row r="21" customFormat="false" ht="15" hidden="false" customHeight="false" outlineLevel="0" collapsed="false">
      <c r="A21" s="0" t="s">
        <v>153</v>
      </c>
      <c r="C21" s="0" t="n">
        <f aca="false">C19*C20</f>
        <v>365.035730533734</v>
      </c>
      <c r="D21" s="0" t="n">
        <f aca="false">D19*D20</f>
        <v>364.720694846519</v>
      </c>
      <c r="E21" s="0" t="n">
        <f aca="false">E19*E20</f>
        <v>366.262463252723</v>
      </c>
      <c r="F21" s="0" t="n">
        <f aca="false">F19*F20</f>
        <v>361.896220937346</v>
      </c>
      <c r="G21" s="0" t="n">
        <f aca="false">G19*G20</f>
        <v>358.280142196322</v>
      </c>
      <c r="H21" s="0" t="n">
        <f aca="false">H19*H20</f>
        <v>342.834023653015</v>
      </c>
      <c r="I21" s="0" t="n">
        <f aca="false">I19*I20</f>
        <v>333.331533614606</v>
      </c>
      <c r="J21" s="0" t="n">
        <f aca="false">J19*J20</f>
        <v>322.416060517639</v>
      </c>
      <c r="K21" s="0" t="n">
        <f aca="false">K19*K20</f>
        <v>304.091453632873</v>
      </c>
      <c r="L21" s="0" t="n">
        <f aca="false">L19*L20</f>
        <v>287.352474533815</v>
      </c>
    </row>
    <row r="23" customFormat="false" ht="15" hidden="false" customHeight="false" outlineLevel="0" collapsed="false">
      <c r="A23" s="0" t="s">
        <v>129</v>
      </c>
      <c r="C23" s="4" t="n">
        <f aca="false">Assumptions!C30</f>
        <v>0</v>
      </c>
      <c r="D23" s="4" t="n">
        <f aca="false">Assumptions!D30</f>
        <v>0</v>
      </c>
      <c r="E23" s="4" t="n">
        <f aca="false">Assumptions!E30</f>
        <v>0</v>
      </c>
      <c r="F23" s="4" t="n">
        <f aca="false">Assumptions!F30</f>
        <v>0</v>
      </c>
      <c r="G23" s="4" t="n">
        <f aca="false">Assumptions!G30</f>
        <v>0</v>
      </c>
      <c r="H23" s="4" t="n">
        <f aca="false">Assumptions!H30</f>
        <v>0</v>
      </c>
      <c r="I23" s="4" t="n">
        <f aca="false">Assumptions!I30</f>
        <v>0</v>
      </c>
      <c r="J23" s="4" t="n">
        <f aca="false">Assumptions!J30</f>
        <v>0</v>
      </c>
      <c r="K23" s="4" t="n">
        <f aca="false">Assumptions!K30</f>
        <v>0</v>
      </c>
      <c r="L23" s="4" t="n">
        <f aca="false">Assumptions!L30</f>
        <v>0</v>
      </c>
    </row>
    <row r="24" customFormat="false" ht="15" hidden="false" customHeight="false" outlineLevel="0" collapsed="false">
      <c r="A24" s="0" t="s">
        <v>154</v>
      </c>
      <c r="C24" s="0" t="n">
        <f aca="false">-C6*C23/100</f>
        <v>-0</v>
      </c>
      <c r="D24" s="0" t="n">
        <f aca="false">-D6*D23/100</f>
        <v>-0</v>
      </c>
      <c r="E24" s="0" t="n">
        <f aca="false">-E6*E23/100</f>
        <v>-0</v>
      </c>
      <c r="F24" s="0" t="n">
        <f aca="false">-F6*F23/100</f>
        <v>-0</v>
      </c>
      <c r="G24" s="0" t="n">
        <f aca="false">-G6*G23/100</f>
        <v>-0</v>
      </c>
      <c r="H24" s="0" t="n">
        <f aca="false">-H6*H23/100</f>
        <v>-0</v>
      </c>
      <c r="I24" s="0" t="n">
        <f aca="false">-I6*I23/100</f>
        <v>-0</v>
      </c>
      <c r="J24" s="0" t="n">
        <f aca="false">-J6*J23/100</f>
        <v>-0</v>
      </c>
      <c r="K24" s="0" t="n">
        <f aca="false">-K6*K23/100</f>
        <v>-0</v>
      </c>
      <c r="L24" s="0" t="n">
        <f aca="false">-L6*L23/100</f>
        <v>-0</v>
      </c>
    </row>
    <row r="26" customFormat="false" ht="15" hidden="false" customHeight="false" outlineLevel="0" collapsed="false">
      <c r="A26" s="2" t="s">
        <v>155</v>
      </c>
    </row>
    <row r="27" customFormat="false" ht="15" hidden="false" customHeight="false" outlineLevel="0" collapsed="false">
      <c r="A27" s="0" t="s">
        <v>133</v>
      </c>
      <c r="B27" s="4" t="n">
        <f aca="false">Assumptions!$B$34</f>
        <v>9</v>
      </c>
    </row>
    <row r="28" customFormat="false" ht="15" hidden="false" customHeight="false" outlineLevel="0" collapsed="false">
      <c r="A28" s="0" t="s">
        <v>134</v>
      </c>
      <c r="B28" s="4" t="n">
        <f aca="false">Assumptions!$B$35</f>
        <v>2.5</v>
      </c>
    </row>
    <row r="29" customFormat="false" ht="15" hidden="false" customHeight="false" outlineLevel="0" collapsed="false">
      <c r="A29" s="0" t="s">
        <v>135</v>
      </c>
      <c r="B29" s="4" t="n">
        <f aca="false">Assumptions!$B$36</f>
        <v>16</v>
      </c>
    </row>
    <row r="30" customFormat="false" ht="15" hidden="false" customHeight="false" outlineLevel="0" collapsed="false">
      <c r="A30" s="0" t="s">
        <v>156</v>
      </c>
      <c r="B30" s="0" t="n">
        <f aca="false">SUM(C21:L21)</f>
        <v>3406.22079771859</v>
      </c>
    </row>
    <row r="31" customFormat="false" ht="15" hidden="false" customHeight="false" outlineLevel="0" collapsed="false">
      <c r="A31" s="0" t="s">
        <v>157</v>
      </c>
      <c r="B31" s="0" t="n">
        <f aca="false">L19</f>
        <v>680.267810015512</v>
      </c>
    </row>
    <row r="32" customFormat="false" ht="15" hidden="false" customHeight="false" outlineLevel="0" collapsed="false">
      <c r="A32" s="0" t="s">
        <v>158</v>
      </c>
      <c r="B32" s="0" t="n">
        <f aca="false">IF(B27&gt;B28,B31*(1+B28/100)/((B27-B28)/100),B31*B29)</f>
        <v>10727.3000810138</v>
      </c>
    </row>
    <row r="33" customFormat="false" ht="15" hidden="false" customHeight="false" outlineLevel="0" collapsed="false">
      <c r="A33" s="0" t="s">
        <v>159</v>
      </c>
      <c r="B33" s="0" t="n">
        <f aca="false">B31*B29</f>
        <v>10884.2849602482</v>
      </c>
    </row>
    <row r="34" customFormat="false" ht="15" hidden="false" customHeight="false" outlineLevel="0" collapsed="false">
      <c r="A34" s="0" t="s">
        <v>160</v>
      </c>
      <c r="B34" s="0" t="n">
        <f aca="false">MAX(0,MIN(B32,B33))</f>
        <v>10727.3000810138</v>
      </c>
    </row>
    <row r="35" customFormat="false" ht="15" hidden="false" customHeight="false" outlineLevel="0" collapsed="false">
      <c r="A35" s="0" t="s">
        <v>161</v>
      </c>
      <c r="B35" s="0" t="n">
        <f aca="false">B34/(1+B27/100)^L4</f>
        <v>4531.32748303324</v>
      </c>
    </row>
    <row r="36" customFormat="false" ht="15" hidden="false" customHeight="false" outlineLevel="0" collapsed="false">
      <c r="A36" s="0" t="s">
        <v>162</v>
      </c>
      <c r="B36" s="0" t="n">
        <f aca="false">B30+B35</f>
        <v>7937.54828075183</v>
      </c>
    </row>
    <row r="37" customFormat="false" ht="15" hidden="false" customHeight="false" outlineLevel="0" collapsed="false">
      <c r="A37" s="0" t="s">
        <v>163</v>
      </c>
      <c r="B37" s="0" t="n">
        <f aca="false">B36+Assumptions!$B$5-Assumptions!$B$4</f>
        <v>8047.65228075183</v>
      </c>
    </row>
    <row r="38" customFormat="false" ht="15" hidden="false" customHeight="false" outlineLevel="0" collapsed="false">
      <c r="A38" s="0" t="s">
        <v>164</v>
      </c>
      <c r="B38" s="0" t="n">
        <f aca="false">B37/Assumptions!$B$3*Assumptions!$B$10</f>
        <v>85.2415239990661</v>
      </c>
    </row>
    <row r="39" customFormat="false" ht="15" hidden="false" customHeight="false" outlineLevel="0" collapsed="false">
      <c r="A39" s="0" t="s">
        <v>165</v>
      </c>
      <c r="B39" s="4" t="n">
        <f aca="false">B38/Assumptions!$B$2-1</f>
        <v>0.364082637207011</v>
      </c>
    </row>
    <row r="41" customFormat="false" ht="15" hidden="false" customHeight="false" outlineLevel="0" collapsed="false">
      <c r="A41" s="0" t="s">
        <v>166</v>
      </c>
      <c r="B41" s="0" t="n">
        <f aca="false">SUMPRODUCT(-C10:L10/(1+$B$27/100)^C4:L4)</f>
        <v>254.46313187232</v>
      </c>
    </row>
    <row r="42" customFormat="false" ht="15" hidden="false" customHeight="false" outlineLevel="0" collapsed="false">
      <c r="A42" s="0" t="s">
        <v>167</v>
      </c>
      <c r="B42" s="0" t="n">
        <f aca="false">IF(B27&gt;B28,-L10*(1+B28/100)/((B27-B28)/100),-L10*20)/(1+B27/100)^L4</f>
        <v>320.769346310413</v>
      </c>
    </row>
    <row r="43" customFormat="false" ht="15" hidden="false" customHeight="false" outlineLevel="0" collapsed="false">
      <c r="A43" s="0" t="s">
        <v>168</v>
      </c>
      <c r="B43" s="0" t="n">
        <f aca="false">(B37+B41+B42)/Assumptions!$B$3*Assumptions!$B$10</f>
        <v>91.3344429502655</v>
      </c>
    </row>
    <row r="45" customFormat="false" ht="15" hidden="false" customHeight="false" outlineLevel="0" collapsed="false">
      <c r="A45" s="0" t="s">
        <v>109</v>
      </c>
      <c r="B45" s="4" t="n">
        <f aca="false">Assumptions!$B$6</f>
        <v>15</v>
      </c>
    </row>
    <row r="46" customFormat="false" ht="15" hidden="false" customHeight="false" outlineLevel="0" collapsed="false">
      <c r="A46" s="0" t="s">
        <v>169</v>
      </c>
      <c r="B46" s="0" t="n">
        <f aca="false">MAX(0,MIN(IF(B45&gt;B28,B31*(1+B28/100)/((B45-B28)/100),B31*B29),B31*B29))</f>
        <v>5578.19604212719</v>
      </c>
    </row>
    <row r="47" customFormat="false" ht="15" hidden="false" customHeight="false" outlineLevel="0" collapsed="false">
      <c r="A47" s="0" t="s">
        <v>170</v>
      </c>
      <c r="B47" s="0" t="n">
        <f aca="false">(SUMPRODUCT(C19:L19/(1+B45/100)^C4:L4)+B46/(1+B45/100)^L4+Assumptions!$B$5-Assumptions!$B$4)/Assumptions!$B$3*Assumptions!$B$10</f>
        <v>43.2599800459514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52"/>
  </cols>
  <sheetData>
    <row r="1" customFormat="false" ht="15" hidden="false" customHeight="false" outlineLevel="0" collapsed="false">
      <c r="A1" s="2" t="s">
        <v>172</v>
      </c>
    </row>
    <row r="3" customFormat="false" ht="15" hidden="false" customHeight="false" outlineLevel="0" collapsed="false">
      <c r="A3" s="0" t="s">
        <v>141</v>
      </c>
      <c r="B3" s="0" t="s">
        <v>103</v>
      </c>
      <c r="C3" s="2" t="s">
        <v>116</v>
      </c>
      <c r="D3" s="2" t="s">
        <v>117</v>
      </c>
      <c r="E3" s="2" t="s">
        <v>118</v>
      </c>
      <c r="F3" s="2" t="s">
        <v>119</v>
      </c>
      <c r="G3" s="2" t="s">
        <v>120</v>
      </c>
      <c r="H3" s="2" t="s">
        <v>121</v>
      </c>
      <c r="I3" s="2" t="s">
        <v>122</v>
      </c>
      <c r="J3" s="2" t="s">
        <v>123</v>
      </c>
      <c r="K3" s="2" t="s">
        <v>124</v>
      </c>
      <c r="L3" s="2" t="s">
        <v>125</v>
      </c>
    </row>
    <row r="4" customFormat="false" ht="15" hidden="false" customHeight="false" outlineLevel="0" collapsed="false">
      <c r="A4" s="0" t="s">
        <v>142</v>
      </c>
      <c r="B4" s="0" t="n">
        <v>0</v>
      </c>
      <c r="C4" s="0" t="n">
        <f aca="false">B4+1</f>
        <v>1</v>
      </c>
      <c r="D4" s="0" t="n">
        <f aca="false">C4+1</f>
        <v>2</v>
      </c>
      <c r="E4" s="0" t="n">
        <f aca="false">D4+1</f>
        <v>3</v>
      </c>
      <c r="F4" s="0" t="n">
        <f aca="false">E4+1</f>
        <v>4</v>
      </c>
      <c r="G4" s="0" t="n">
        <f aca="false">F4+1</f>
        <v>5</v>
      </c>
      <c r="H4" s="0" t="n">
        <f aca="false">G4+1</f>
        <v>6</v>
      </c>
      <c r="I4" s="0" t="n">
        <f aca="false">H4+1</f>
        <v>7</v>
      </c>
      <c r="J4" s="0" t="n">
        <f aca="false">I4+1</f>
        <v>8</v>
      </c>
      <c r="K4" s="0" t="n">
        <f aca="false">J4+1</f>
        <v>9</v>
      </c>
      <c r="L4" s="0" t="n">
        <f aca="false">K4+1</f>
        <v>10</v>
      </c>
    </row>
    <row r="5" customFormat="false" ht="15" hidden="false" customHeight="false" outlineLevel="0" collapsed="false">
      <c r="A5" s="0" t="s">
        <v>126</v>
      </c>
      <c r="C5" s="4" t="n">
        <f aca="false">Assumptions!C41</f>
        <v>7</v>
      </c>
      <c r="D5" s="4" t="n">
        <f aca="false">Assumptions!D41</f>
        <v>6</v>
      </c>
      <c r="E5" s="4" t="n">
        <f aca="false">Assumptions!E41</f>
        <v>8</v>
      </c>
      <c r="F5" s="4" t="n">
        <f aca="false">Assumptions!F41</f>
        <v>7.5</v>
      </c>
      <c r="G5" s="4" t="n">
        <f aca="false">Assumptions!G41</f>
        <v>7</v>
      </c>
      <c r="H5" s="4" t="n">
        <f aca="false">Assumptions!H41</f>
        <v>6.5</v>
      </c>
      <c r="I5" s="4" t="n">
        <f aca="false">Assumptions!I41</f>
        <v>6</v>
      </c>
      <c r="J5" s="4" t="n">
        <f aca="false">Assumptions!J41</f>
        <v>5</v>
      </c>
      <c r="K5" s="4" t="n">
        <f aca="false">Assumptions!K41</f>
        <v>4</v>
      </c>
      <c r="L5" s="4" t="n">
        <f aca="false">Assumptions!L41</f>
        <v>3.5</v>
      </c>
    </row>
    <row r="6" customFormat="false" ht="15" hidden="false" customHeight="false" outlineLevel="0" collapsed="false">
      <c r="A6" s="0" t="s">
        <v>63</v>
      </c>
      <c r="B6" s="3" t="n">
        <v>8806.159</v>
      </c>
      <c r="C6" s="0" t="n">
        <f aca="false">B6*(1+C5/100)</f>
        <v>9422.59013</v>
      </c>
      <c r="D6" s="0" t="n">
        <f aca="false">C6*(1+D5/100)</f>
        <v>9987.9455378</v>
      </c>
      <c r="E6" s="0" t="n">
        <f aca="false">D6*(1+E5/100)</f>
        <v>10786.981180824</v>
      </c>
      <c r="F6" s="0" t="n">
        <f aca="false">E6*(1+F5/100)</f>
        <v>11596.0047693858</v>
      </c>
      <c r="G6" s="0" t="n">
        <f aca="false">F6*(1+G5/100)</f>
        <v>12407.7251032428</v>
      </c>
      <c r="H6" s="0" t="n">
        <f aca="false">G6*(1+H5/100)</f>
        <v>13214.2272349536</v>
      </c>
      <c r="I6" s="0" t="n">
        <f aca="false">H6*(1+I5/100)</f>
        <v>14007.0808690508</v>
      </c>
      <c r="J6" s="0" t="n">
        <f aca="false">I6*(1+J5/100)</f>
        <v>14707.4349125033</v>
      </c>
      <c r="K6" s="0" t="n">
        <f aca="false">J6*(1+K5/100)</f>
        <v>15295.7323090035</v>
      </c>
      <c r="L6" s="0" t="n">
        <f aca="false">K6*(1+L5/100)</f>
        <v>15831.0829398186</v>
      </c>
    </row>
    <row r="7" customFormat="false" ht="15" hidden="false" customHeight="false" outlineLevel="0" collapsed="false">
      <c r="A7" s="0" t="s">
        <v>127</v>
      </c>
      <c r="C7" s="4" t="n">
        <f aca="false">Assumptions!C42</f>
        <v>9.5</v>
      </c>
      <c r="D7" s="4" t="n">
        <f aca="false">Assumptions!D42</f>
        <v>9.8</v>
      </c>
      <c r="E7" s="4" t="n">
        <f aca="false">Assumptions!E42</f>
        <v>10.1</v>
      </c>
      <c r="F7" s="4" t="n">
        <f aca="false">Assumptions!F42</f>
        <v>10.4</v>
      </c>
      <c r="G7" s="4" t="n">
        <f aca="false">Assumptions!G42</f>
        <v>10.6</v>
      </c>
      <c r="H7" s="4" t="n">
        <f aca="false">Assumptions!H42</f>
        <v>10.8</v>
      </c>
      <c r="I7" s="4" t="n">
        <f aca="false">Assumptions!I42</f>
        <v>10.8</v>
      </c>
      <c r="J7" s="4" t="n">
        <f aca="false">Assumptions!J42</f>
        <v>10.8</v>
      </c>
      <c r="K7" s="4" t="n">
        <f aca="false">Assumptions!K42</f>
        <v>10.8</v>
      </c>
      <c r="L7" s="4" t="n">
        <f aca="false">Assumptions!L42</f>
        <v>10.8</v>
      </c>
    </row>
    <row r="8" customFormat="false" ht="15" hidden="false" customHeight="false" outlineLevel="0" collapsed="false">
      <c r="A8" s="0" t="s">
        <v>69</v>
      </c>
      <c r="C8" s="0" t="n">
        <f aca="false">C6*C7/100</f>
        <v>895.14606235</v>
      </c>
      <c r="D8" s="0" t="n">
        <f aca="false">D6*D7/100</f>
        <v>978.8186627044</v>
      </c>
      <c r="E8" s="0" t="n">
        <f aca="false">E6*E7/100</f>
        <v>1089.48509926322</v>
      </c>
      <c r="F8" s="0" t="n">
        <f aca="false">F6*F7/100</f>
        <v>1205.98449601612</v>
      </c>
      <c r="G8" s="0" t="n">
        <f aca="false">G6*G7/100</f>
        <v>1315.21886094374</v>
      </c>
      <c r="H8" s="0" t="n">
        <f aca="false">H6*H7/100</f>
        <v>1427.13654137499</v>
      </c>
      <c r="I8" s="0" t="n">
        <f aca="false">I6*I7/100</f>
        <v>1512.76473385749</v>
      </c>
      <c r="J8" s="0" t="n">
        <f aca="false">J6*J7/100</f>
        <v>1588.40297055036</v>
      </c>
      <c r="K8" s="0" t="n">
        <f aca="false">K6*K7/100</f>
        <v>1651.93908937238</v>
      </c>
      <c r="L8" s="0" t="n">
        <f aca="false">L6*L7/100</f>
        <v>1709.75695750041</v>
      </c>
    </row>
    <row r="9" customFormat="false" ht="15" hidden="false" customHeight="false" outlineLevel="0" collapsed="false">
      <c r="A9" s="0" t="s">
        <v>128</v>
      </c>
      <c r="C9" s="4" t="n">
        <f aca="false">Assumptions!C43</f>
        <v>0.35</v>
      </c>
      <c r="D9" s="4" t="n">
        <f aca="false">Assumptions!D43</f>
        <v>0.35</v>
      </c>
      <c r="E9" s="4" t="n">
        <f aca="false">Assumptions!E43</f>
        <v>0.35</v>
      </c>
      <c r="F9" s="4" t="n">
        <f aca="false">Assumptions!F43</f>
        <v>0.35</v>
      </c>
      <c r="G9" s="4" t="n">
        <f aca="false">Assumptions!G43</f>
        <v>0.35</v>
      </c>
      <c r="H9" s="4" t="n">
        <f aca="false">Assumptions!H43</f>
        <v>0.35</v>
      </c>
      <c r="I9" s="4" t="n">
        <f aca="false">Assumptions!I43</f>
        <v>0.35</v>
      </c>
      <c r="J9" s="4" t="n">
        <f aca="false">Assumptions!J43</f>
        <v>0.35</v>
      </c>
      <c r="K9" s="4" t="n">
        <f aca="false">Assumptions!K43</f>
        <v>0.35</v>
      </c>
      <c r="L9" s="4" t="n">
        <f aca="false">Assumptions!L43</f>
        <v>0.35</v>
      </c>
    </row>
    <row r="10" customFormat="false" ht="15" hidden="false" customHeight="false" outlineLevel="0" collapsed="false">
      <c r="A10" s="0" t="s">
        <v>143</v>
      </c>
      <c r="C10" s="0" t="n">
        <f aca="false">-C6*C9/100</f>
        <v>-32.979065455</v>
      </c>
      <c r="D10" s="0" t="n">
        <f aca="false">-D6*D9/100</f>
        <v>-34.9578093823</v>
      </c>
      <c r="E10" s="0" t="n">
        <f aca="false">-E6*E9/100</f>
        <v>-37.754434132884</v>
      </c>
      <c r="F10" s="0" t="n">
        <f aca="false">-F6*F9/100</f>
        <v>-40.5860166928503</v>
      </c>
      <c r="G10" s="0" t="n">
        <f aca="false">-G6*G9/100</f>
        <v>-43.4270378613498</v>
      </c>
      <c r="H10" s="0" t="n">
        <f aca="false">-H6*H9/100</f>
        <v>-46.2497953223376</v>
      </c>
      <c r="I10" s="0" t="n">
        <f aca="false">-I6*I9/100</f>
        <v>-49.0247830416778</v>
      </c>
      <c r="J10" s="0" t="n">
        <f aca="false">-J6*J9/100</f>
        <v>-51.4760221937617</v>
      </c>
      <c r="K10" s="0" t="n">
        <f aca="false">-K6*K9/100</f>
        <v>-53.5350630815122</v>
      </c>
      <c r="L10" s="0" t="n">
        <f aca="false">-L6*L9/100</f>
        <v>-55.4087902893651</v>
      </c>
    </row>
    <row r="11" customFormat="false" ht="15" hidden="false" customHeight="false" outlineLevel="0" collapsed="false">
      <c r="A11" s="0" t="s">
        <v>144</v>
      </c>
      <c r="C11" s="0" t="n">
        <f aca="false">C8+C10+C24</f>
        <v>862.166996895</v>
      </c>
      <c r="D11" s="0" t="n">
        <f aca="false">D8+D10+D24</f>
        <v>943.8608533221</v>
      </c>
      <c r="E11" s="0" t="n">
        <f aca="false">E8+E10+E24</f>
        <v>1051.73066513034</v>
      </c>
      <c r="F11" s="0" t="n">
        <f aca="false">F8+F10+F24</f>
        <v>1165.39847932327</v>
      </c>
      <c r="G11" s="0" t="n">
        <f aca="false">G8+G10+G24</f>
        <v>1271.79182308239</v>
      </c>
      <c r="H11" s="0" t="n">
        <f aca="false">H8+H10+H24</f>
        <v>1380.88674605265</v>
      </c>
      <c r="I11" s="0" t="n">
        <f aca="false">I8+I10+I24</f>
        <v>1463.73995081581</v>
      </c>
      <c r="J11" s="0" t="n">
        <f aca="false">J8+J10+J24</f>
        <v>1536.9269483566</v>
      </c>
      <c r="K11" s="0" t="n">
        <f aca="false">K8+K10+K24</f>
        <v>1598.40402629086</v>
      </c>
      <c r="L11" s="0" t="n">
        <f aca="false">L8+L10+L24</f>
        <v>1654.34816721104</v>
      </c>
    </row>
    <row r="12" customFormat="false" ht="15" hidden="false" customHeight="false" outlineLevel="0" collapsed="false">
      <c r="A12" s="0" t="s">
        <v>145</v>
      </c>
      <c r="C12" s="4" t="n">
        <f aca="false">-C6*Assumptions!C45/100</f>
        <v>-188.4518026</v>
      </c>
      <c r="D12" s="4" t="n">
        <f aca="false">-D6*Assumptions!D45/100</f>
        <v>-204.7528835249</v>
      </c>
      <c r="E12" s="4" t="n">
        <f aca="false">-E6*Assumptions!E45/100</f>
        <v>-226.526604797304</v>
      </c>
      <c r="F12" s="4" t="n">
        <f aca="false">-F6*Assumptions!F45/100</f>
        <v>-243.516100157102</v>
      </c>
      <c r="G12" s="4" t="n">
        <f aca="false">-G6*Assumptions!G45/100</f>
        <v>-260.562227168099</v>
      </c>
      <c r="H12" s="4" t="n">
        <f aca="false">-H6*Assumptions!H45/100</f>
        <v>-277.498771934025</v>
      </c>
      <c r="I12" s="4" t="n">
        <f aca="false">-I6*Assumptions!I45/100</f>
        <v>-294.148698250067</v>
      </c>
      <c r="J12" s="4" t="n">
        <f aca="false">-J6*Assumptions!J45/100</f>
        <v>-308.85613316257</v>
      </c>
      <c r="K12" s="4" t="n">
        <f aca="false">-K6*Assumptions!K45/100</f>
        <v>-321.210378489073</v>
      </c>
      <c r="L12" s="4" t="n">
        <f aca="false">-L6*Assumptions!L45/100</f>
        <v>-332.452741736191</v>
      </c>
    </row>
    <row r="13" customFormat="false" ht="15" hidden="false" customHeight="false" outlineLevel="0" collapsed="false">
      <c r="A13" s="0" t="s">
        <v>146</v>
      </c>
      <c r="C13" s="0" t="n">
        <f aca="false">C11+C12</f>
        <v>673.715194295</v>
      </c>
      <c r="D13" s="0" t="n">
        <f aca="false">D11+D12</f>
        <v>739.1079697972</v>
      </c>
      <c r="E13" s="0" t="n">
        <f aca="false">E11+E12</f>
        <v>825.204060333036</v>
      </c>
      <c r="F13" s="0" t="n">
        <f aca="false">F11+F12</f>
        <v>921.882379166171</v>
      </c>
      <c r="G13" s="0" t="n">
        <f aca="false">G11+G12</f>
        <v>1011.22959591429</v>
      </c>
      <c r="H13" s="0" t="n">
        <f aca="false">H11+H12</f>
        <v>1103.38797411863</v>
      </c>
      <c r="I13" s="0" t="n">
        <f aca="false">I11+I12</f>
        <v>1169.59125256574</v>
      </c>
      <c r="J13" s="0" t="n">
        <f aca="false">J11+J12</f>
        <v>1228.07081519403</v>
      </c>
      <c r="K13" s="0" t="n">
        <f aca="false">K11+K12</f>
        <v>1277.19364780179</v>
      </c>
      <c r="L13" s="0" t="n">
        <f aca="false">L11+L12</f>
        <v>1321.89542547485</v>
      </c>
    </row>
    <row r="14" customFormat="false" ht="15" hidden="false" customHeight="false" outlineLevel="0" collapsed="false">
      <c r="A14" s="0" t="s">
        <v>132</v>
      </c>
      <c r="C14" s="4" t="n">
        <f aca="false">Assumptions!C47</f>
        <v>21</v>
      </c>
      <c r="D14" s="4" t="n">
        <f aca="false">Assumptions!D47</f>
        <v>22</v>
      </c>
      <c r="E14" s="4" t="n">
        <f aca="false">Assumptions!E47</f>
        <v>23</v>
      </c>
      <c r="F14" s="4" t="n">
        <f aca="false">Assumptions!F47</f>
        <v>24</v>
      </c>
      <c r="G14" s="4" t="n">
        <f aca="false">Assumptions!G47</f>
        <v>24</v>
      </c>
      <c r="H14" s="4" t="n">
        <f aca="false">Assumptions!H47</f>
        <v>24</v>
      </c>
      <c r="I14" s="4" t="n">
        <f aca="false">Assumptions!I47</f>
        <v>24</v>
      </c>
      <c r="J14" s="4" t="n">
        <f aca="false">Assumptions!J47</f>
        <v>24</v>
      </c>
      <c r="K14" s="4" t="n">
        <f aca="false">Assumptions!K47</f>
        <v>24</v>
      </c>
      <c r="L14" s="4" t="n">
        <f aca="false">Assumptions!L47</f>
        <v>24</v>
      </c>
    </row>
    <row r="15" customFormat="false" ht="15" hidden="false" customHeight="false" outlineLevel="0" collapsed="false">
      <c r="A15" s="0" t="s">
        <v>147</v>
      </c>
      <c r="C15" s="0" t="n">
        <f aca="false">C13-MAX(0,C13)*C14/100</f>
        <v>532.23500349305</v>
      </c>
      <c r="D15" s="0" t="n">
        <f aca="false">D13-MAX(0,D13)*D14/100</f>
        <v>576.504216441816</v>
      </c>
      <c r="E15" s="0" t="n">
        <f aca="false">E13-MAX(0,E13)*E14/100</f>
        <v>635.407126456438</v>
      </c>
      <c r="F15" s="0" t="n">
        <f aca="false">F13-MAX(0,F13)*F14/100</f>
        <v>700.63060816629</v>
      </c>
      <c r="G15" s="0" t="n">
        <f aca="false">G13-MAX(0,G13)*G14/100</f>
        <v>768.53449289486</v>
      </c>
      <c r="H15" s="0" t="n">
        <f aca="false">H13-MAX(0,H13)*H14/100</f>
        <v>838.574860330155</v>
      </c>
      <c r="I15" s="0" t="n">
        <f aca="false">I13-MAX(0,I13)*I14/100</f>
        <v>888.889351949965</v>
      </c>
      <c r="J15" s="0" t="n">
        <f aca="false">J13-MAX(0,J13)*J14/100</f>
        <v>933.333819547463</v>
      </c>
      <c r="K15" s="0" t="n">
        <f aca="false">K13-MAX(0,K13)*K14/100</f>
        <v>970.667172329361</v>
      </c>
      <c r="L15" s="0" t="n">
        <f aca="false">L13-MAX(0,L13)*L14/100</f>
        <v>1004.64052336089</v>
      </c>
    </row>
    <row r="16" customFormat="false" ht="15" hidden="false" customHeight="false" outlineLevel="0" collapsed="false">
      <c r="A16" s="0" t="s">
        <v>148</v>
      </c>
      <c r="C16" s="0" t="n">
        <f aca="false">-C12</f>
        <v>188.4518026</v>
      </c>
      <c r="D16" s="0" t="n">
        <f aca="false">-D12</f>
        <v>204.7528835249</v>
      </c>
      <c r="E16" s="0" t="n">
        <f aca="false">-E12</f>
        <v>226.526604797304</v>
      </c>
      <c r="F16" s="0" t="n">
        <f aca="false">-F12</f>
        <v>243.516100157102</v>
      </c>
      <c r="G16" s="0" t="n">
        <f aca="false">-G12</f>
        <v>260.562227168099</v>
      </c>
      <c r="H16" s="0" t="n">
        <f aca="false">-H12</f>
        <v>277.498771934025</v>
      </c>
      <c r="I16" s="0" t="n">
        <f aca="false">-I12</f>
        <v>294.148698250067</v>
      </c>
      <c r="J16" s="0" t="n">
        <f aca="false">-J12</f>
        <v>308.85613316257</v>
      </c>
      <c r="K16" s="0" t="n">
        <f aca="false">-K12</f>
        <v>321.210378489073</v>
      </c>
      <c r="L16" s="0" t="n">
        <f aca="false">-L12</f>
        <v>332.452741736191</v>
      </c>
    </row>
    <row r="17" customFormat="false" ht="15" hidden="false" customHeight="false" outlineLevel="0" collapsed="false">
      <c r="A17" s="0" t="s">
        <v>149</v>
      </c>
      <c r="C17" s="4" t="n">
        <f aca="false">-C6*Assumptions!C46/100</f>
        <v>-329.79065455</v>
      </c>
      <c r="D17" s="4" t="n">
        <f aca="false">-D6*Assumptions!D46/100</f>
        <v>-339.5901482852</v>
      </c>
      <c r="E17" s="4" t="n">
        <f aca="false">-E6*Assumptions!E46/100</f>
        <v>-355.970378967192</v>
      </c>
      <c r="F17" s="4" t="n">
        <f aca="false">-F6*Assumptions!F46/100</f>
        <v>-371.072152620346</v>
      </c>
      <c r="G17" s="4" t="n">
        <f aca="false">-G6*Assumptions!G46/100</f>
        <v>-384.639478200527</v>
      </c>
      <c r="H17" s="4" t="n">
        <f aca="false">-H6*Assumptions!H46/100</f>
        <v>-396.426817048608</v>
      </c>
      <c r="I17" s="4" t="n">
        <f aca="false">-I6*Assumptions!I46/100</f>
        <v>-420.212426071524</v>
      </c>
      <c r="J17" s="4" t="n">
        <f aca="false">-J6*Assumptions!J46/100</f>
        <v>-426.515612462597</v>
      </c>
      <c r="K17" s="4" t="n">
        <f aca="false">-K6*Assumptions!K46/100</f>
        <v>-443.576236961101</v>
      </c>
      <c r="L17" s="4" t="n">
        <f aca="false">-L6*Assumptions!L46/100</f>
        <v>-459.10140525474</v>
      </c>
    </row>
    <row r="18" customFormat="false" ht="15" hidden="false" customHeight="false" outlineLevel="0" collapsed="false">
      <c r="A18" s="0" t="s">
        <v>150</v>
      </c>
      <c r="C18" s="4" t="n">
        <f aca="false">(C6-B6)*Assumptions!$B$51/100</f>
        <v>12.3286226</v>
      </c>
      <c r="D18" s="4" t="n">
        <f aca="false">(D6-C6)*Assumptions!$B$51/100</f>
        <v>11.307108156</v>
      </c>
      <c r="E18" s="4" t="n">
        <f aca="false">(E6-D6)*Assumptions!$B$51/100</f>
        <v>15.98071286048</v>
      </c>
      <c r="F18" s="4" t="n">
        <f aca="false">(F6-E6)*Assumptions!$B$51/100</f>
        <v>16.180471771236</v>
      </c>
      <c r="G18" s="4" t="n">
        <f aca="false">(G6-F6)*Assumptions!$B$51/100</f>
        <v>16.2344066771401</v>
      </c>
      <c r="H18" s="4" t="n">
        <f aca="false">(H6-G6)*Assumptions!$B$51/100</f>
        <v>16.1300426342156</v>
      </c>
      <c r="I18" s="4" t="n">
        <f aca="false">(I6-H6)*Assumptions!$B$51/100</f>
        <v>15.8570726819443</v>
      </c>
      <c r="J18" s="4" t="n">
        <f aca="false">(J6-I6)*Assumptions!$B$51/100</f>
        <v>14.0070808690508</v>
      </c>
      <c r="K18" s="4" t="n">
        <f aca="false">(K6-J6)*Assumptions!$B$51/100</f>
        <v>11.7659479300027</v>
      </c>
      <c r="L18" s="4" t="n">
        <f aca="false">(L6-K6)*Assumptions!$B$51/100</f>
        <v>10.7070126163024</v>
      </c>
    </row>
    <row r="19" customFormat="false" ht="15" hidden="false" customHeight="false" outlineLevel="0" collapsed="false">
      <c r="A19" s="0" t="s">
        <v>151</v>
      </c>
      <c r="C19" s="0" t="n">
        <f aca="false">C15+C16+C17+C18</f>
        <v>403.22477414305</v>
      </c>
      <c r="D19" s="0" t="n">
        <f aca="false">D15+D16+D17+D18</f>
        <v>452.974059837516</v>
      </c>
      <c r="E19" s="0" t="n">
        <f aca="false">E15+E16+E17+E18</f>
        <v>521.94406514703</v>
      </c>
      <c r="F19" s="0" t="n">
        <f aca="false">F15+F16+F17+F18</f>
        <v>589.255027474282</v>
      </c>
      <c r="G19" s="0" t="n">
        <f aca="false">G15+G16+G17+G18</f>
        <v>660.691648539572</v>
      </c>
      <c r="H19" s="0" t="n">
        <f aca="false">H15+H16+H17+H18</f>
        <v>735.776857849788</v>
      </c>
      <c r="I19" s="0" t="n">
        <f aca="false">I15+I16+I17+I18</f>
        <v>778.682696810452</v>
      </c>
      <c r="J19" s="0" t="n">
        <f aca="false">J15+J16+J17+J18</f>
        <v>829.681421116487</v>
      </c>
      <c r="K19" s="0" t="n">
        <f aca="false">K15+K16+K17+K18</f>
        <v>860.067261787336</v>
      </c>
      <c r="L19" s="0" t="n">
        <f aca="false">L15+L16+L17+L18</f>
        <v>888.698872458642</v>
      </c>
    </row>
    <row r="20" customFormat="false" ht="15" hidden="false" customHeight="false" outlineLevel="0" collapsed="false">
      <c r="A20" s="0" t="s">
        <v>152</v>
      </c>
      <c r="C20" s="0" t="n">
        <f aca="false">1/(1+$B$27/100)^C4</f>
        <v>0.91743119266055</v>
      </c>
      <c r="D20" s="0" t="n">
        <f aca="false">1/(1+$B$27/100)^D4</f>
        <v>0.84167999326656</v>
      </c>
      <c r="E20" s="0" t="n">
        <f aca="false">1/(1+$B$27/100)^E4</f>
        <v>0.772183480061064</v>
      </c>
      <c r="F20" s="0" t="n">
        <f aca="false">1/(1+$B$27/100)^F4</f>
        <v>0.708425211065196</v>
      </c>
      <c r="G20" s="0" t="n">
        <f aca="false">1/(1+$B$27/100)^G4</f>
        <v>0.649931386298345</v>
      </c>
      <c r="H20" s="0" t="n">
        <f aca="false">1/(1+$B$27/100)^H4</f>
        <v>0.596267326879216</v>
      </c>
      <c r="I20" s="0" t="n">
        <f aca="false">1/(1+$B$27/100)^I4</f>
        <v>0.547034244843317</v>
      </c>
      <c r="J20" s="0" t="n">
        <f aca="false">1/(1+$B$27/100)^J4</f>
        <v>0.501866279672768</v>
      </c>
      <c r="K20" s="0" t="n">
        <f aca="false">1/(1+$B$27/100)^K4</f>
        <v>0.460427779516301</v>
      </c>
      <c r="L20" s="0" t="n">
        <f aca="false">1/(1+$B$27/100)^L4</f>
        <v>0.422410806895689</v>
      </c>
    </row>
    <row r="21" customFormat="false" ht="15" hidden="false" customHeight="false" outlineLevel="0" collapsed="false">
      <c r="A21" s="0" t="s">
        <v>153</v>
      </c>
      <c r="C21" s="0" t="n">
        <f aca="false">C19*C20</f>
        <v>369.930985452339</v>
      </c>
      <c r="D21" s="0" t="n">
        <f aca="false">D19*D20</f>
        <v>381.259203633967</v>
      </c>
      <c r="E21" s="0" t="n">
        <f aca="false">E19*E20</f>
        <v>403.036584622452</v>
      </c>
      <c r="F21" s="0" t="n">
        <f aca="false">F19*F20</f>
        <v>417.443117209697</v>
      </c>
      <c r="G21" s="0" t="n">
        <f aca="false">G19*G20</f>
        <v>429.404239051063</v>
      </c>
      <c r="H21" s="0" t="n">
        <f aca="false">H19*H20</f>
        <v>438.719700209682</v>
      </c>
      <c r="I21" s="0" t="n">
        <f aca="false">I19*I20</f>
        <v>425.966101022263</v>
      </c>
      <c r="J21" s="0" t="n">
        <f aca="false">J19*J20</f>
        <v>416.389128129346</v>
      </c>
      <c r="K21" s="0" t="n">
        <f aca="false">K19*K20</f>
        <v>395.998859579408</v>
      </c>
      <c r="L21" s="0" t="n">
        <f aca="false">L19*L20</f>
        <v>375.396007802544</v>
      </c>
    </row>
    <row r="23" customFormat="false" ht="15" hidden="false" customHeight="false" outlineLevel="0" collapsed="false">
      <c r="A23" s="0" t="s">
        <v>129</v>
      </c>
      <c r="C23" s="4" t="n">
        <f aca="false">Assumptions!C44</f>
        <v>0</v>
      </c>
      <c r="D23" s="4" t="n">
        <f aca="false">Assumptions!D44</f>
        <v>0</v>
      </c>
      <c r="E23" s="4" t="n">
        <f aca="false">Assumptions!E44</f>
        <v>0</v>
      </c>
      <c r="F23" s="4" t="n">
        <f aca="false">Assumptions!F44</f>
        <v>0</v>
      </c>
      <c r="G23" s="4" t="n">
        <f aca="false">Assumptions!G44</f>
        <v>0</v>
      </c>
      <c r="H23" s="4" t="n">
        <f aca="false">Assumptions!H44</f>
        <v>0</v>
      </c>
      <c r="I23" s="4" t="n">
        <f aca="false">Assumptions!I44</f>
        <v>0</v>
      </c>
      <c r="J23" s="4" t="n">
        <f aca="false">Assumptions!J44</f>
        <v>0</v>
      </c>
      <c r="K23" s="4" t="n">
        <f aca="false">Assumptions!K44</f>
        <v>0</v>
      </c>
      <c r="L23" s="4" t="n">
        <f aca="false">Assumptions!L44</f>
        <v>0</v>
      </c>
    </row>
    <row r="24" customFormat="false" ht="15" hidden="false" customHeight="false" outlineLevel="0" collapsed="false">
      <c r="A24" s="0" t="s">
        <v>154</v>
      </c>
      <c r="C24" s="0" t="n">
        <f aca="false">-C6*C23/100</f>
        <v>-0</v>
      </c>
      <c r="D24" s="0" t="n">
        <f aca="false">-D6*D23/100</f>
        <v>-0</v>
      </c>
      <c r="E24" s="0" t="n">
        <f aca="false">-E6*E23/100</f>
        <v>-0</v>
      </c>
      <c r="F24" s="0" t="n">
        <f aca="false">-F6*F23/100</f>
        <v>-0</v>
      </c>
      <c r="G24" s="0" t="n">
        <f aca="false">-G6*G23/100</f>
        <v>-0</v>
      </c>
      <c r="H24" s="0" t="n">
        <f aca="false">-H6*H23/100</f>
        <v>-0</v>
      </c>
      <c r="I24" s="0" t="n">
        <f aca="false">-I6*I23/100</f>
        <v>-0</v>
      </c>
      <c r="J24" s="0" t="n">
        <f aca="false">-J6*J23/100</f>
        <v>-0</v>
      </c>
      <c r="K24" s="0" t="n">
        <f aca="false">-K6*K23/100</f>
        <v>-0</v>
      </c>
      <c r="L24" s="0" t="n">
        <f aca="false">-L6*L23/100</f>
        <v>-0</v>
      </c>
    </row>
    <row r="26" customFormat="false" ht="15" hidden="false" customHeight="false" outlineLevel="0" collapsed="false">
      <c r="A26" s="2" t="s">
        <v>155</v>
      </c>
    </row>
    <row r="27" customFormat="false" ht="15" hidden="false" customHeight="false" outlineLevel="0" collapsed="false">
      <c r="A27" s="0" t="s">
        <v>133</v>
      </c>
      <c r="B27" s="4" t="n">
        <f aca="false">Assumptions!$B$48</f>
        <v>9</v>
      </c>
    </row>
    <row r="28" customFormat="false" ht="15" hidden="false" customHeight="false" outlineLevel="0" collapsed="false">
      <c r="A28" s="0" t="s">
        <v>134</v>
      </c>
      <c r="B28" s="4" t="n">
        <f aca="false">Assumptions!$B$49</f>
        <v>3</v>
      </c>
    </row>
    <row r="29" customFormat="false" ht="15" hidden="false" customHeight="false" outlineLevel="0" collapsed="false">
      <c r="A29" s="0" t="s">
        <v>135</v>
      </c>
      <c r="B29" s="4" t="n">
        <f aca="false">Assumptions!$B$50</f>
        <v>16</v>
      </c>
    </row>
    <row r="30" customFormat="false" ht="15" hidden="false" customHeight="false" outlineLevel="0" collapsed="false">
      <c r="A30" s="0" t="s">
        <v>156</v>
      </c>
      <c r="B30" s="0" t="n">
        <f aca="false">SUM(C21:L21)</f>
        <v>4053.54392671276</v>
      </c>
    </row>
    <row r="31" customFormat="false" ht="15" hidden="false" customHeight="false" outlineLevel="0" collapsed="false">
      <c r="A31" s="0" t="s">
        <v>157</v>
      </c>
      <c r="B31" s="0" t="n">
        <f aca="false">L19</f>
        <v>888.698872458642</v>
      </c>
    </row>
    <row r="32" customFormat="false" ht="15" hidden="false" customHeight="false" outlineLevel="0" collapsed="false">
      <c r="A32" s="0" t="s">
        <v>158</v>
      </c>
      <c r="B32" s="0" t="n">
        <f aca="false">IF(B27&gt;B28,B31*(1+B28/100)/((B27-B28)/100),B31*B29)</f>
        <v>15255.99731054</v>
      </c>
    </row>
    <row r="33" customFormat="false" ht="15" hidden="false" customHeight="false" outlineLevel="0" collapsed="false">
      <c r="A33" s="0" t="s">
        <v>159</v>
      </c>
      <c r="B33" s="0" t="n">
        <f aca="false">B31*B29</f>
        <v>14219.1819593383</v>
      </c>
    </row>
    <row r="34" customFormat="false" ht="15" hidden="false" customHeight="false" outlineLevel="0" collapsed="false">
      <c r="A34" s="0" t="s">
        <v>160</v>
      </c>
      <c r="B34" s="0" t="n">
        <f aca="false">MAX(0,MIN(B32,B33))</f>
        <v>14219.1819593383</v>
      </c>
    </row>
    <row r="35" customFormat="false" ht="15" hidden="false" customHeight="false" outlineLevel="0" collapsed="false">
      <c r="A35" s="0" t="s">
        <v>161</v>
      </c>
      <c r="B35" s="0" t="n">
        <f aca="false">B34/(1+B27/100)^L4</f>
        <v>6006.3361248407</v>
      </c>
    </row>
    <row r="36" customFormat="false" ht="15" hidden="false" customHeight="false" outlineLevel="0" collapsed="false">
      <c r="A36" s="0" t="s">
        <v>162</v>
      </c>
      <c r="B36" s="0" t="n">
        <f aca="false">B30+B35</f>
        <v>10059.8800515535</v>
      </c>
    </row>
    <row r="37" customFormat="false" ht="15" hidden="false" customHeight="false" outlineLevel="0" collapsed="false">
      <c r="A37" s="0" t="s">
        <v>163</v>
      </c>
      <c r="B37" s="0" t="n">
        <f aca="false">B36+Assumptions!$B$5-Assumptions!$B$4</f>
        <v>10169.9840515535</v>
      </c>
    </row>
    <row r="38" customFormat="false" ht="15" hidden="false" customHeight="false" outlineLevel="0" collapsed="false">
      <c r="A38" s="0" t="s">
        <v>164</v>
      </c>
      <c r="B38" s="0" t="n">
        <f aca="false">B37/Assumptions!$B$3*Assumptions!$B$10</f>
        <v>107.721470729303</v>
      </c>
    </row>
    <row r="39" customFormat="false" ht="15" hidden="false" customHeight="false" outlineLevel="0" collapsed="false">
      <c r="A39" s="0" t="s">
        <v>165</v>
      </c>
      <c r="B39" s="4" t="n">
        <f aca="false">B38/Assumptions!$B$2-1</f>
        <v>0.723819342763685</v>
      </c>
    </row>
    <row r="41" customFormat="false" ht="15" hidden="false" customHeight="false" outlineLevel="0" collapsed="false">
      <c r="A41" s="0" t="s">
        <v>166</v>
      </c>
      <c r="B41" s="0" t="n">
        <f aca="false">SUMPRODUCT(-C10:L10/(1+$B$27/100)^C4:L4)</f>
        <v>274.093273599411</v>
      </c>
    </row>
    <row r="42" customFormat="false" ht="15" hidden="false" customHeight="false" outlineLevel="0" collapsed="false">
      <c r="A42" s="0" t="s">
        <v>167</v>
      </c>
      <c r="B42" s="0" t="n">
        <f aca="false">IF(B27&gt;B28,-L10*(1+B28/100)/((B27-B28)/100),-L10*20)/(1+B27/100)^L4</f>
        <v>401.790499495034</v>
      </c>
    </row>
    <row r="43" customFormat="false" ht="15" hidden="false" customHeight="false" outlineLevel="0" collapsed="false">
      <c r="A43" s="0" t="s">
        <v>168</v>
      </c>
      <c r="B43" s="0" t="n">
        <f aca="false">(B37+B41+B42)/Assumptions!$B$3*Assumptions!$B$10</f>
        <v>114.880498089693</v>
      </c>
    </row>
    <row r="45" customFormat="false" ht="15" hidden="false" customHeight="false" outlineLevel="0" collapsed="false">
      <c r="A45" s="0" t="s">
        <v>109</v>
      </c>
      <c r="B45" s="4" t="n">
        <f aca="false">Assumptions!$B$6</f>
        <v>15</v>
      </c>
    </row>
    <row r="46" customFormat="false" ht="15" hidden="false" customHeight="false" outlineLevel="0" collapsed="false">
      <c r="A46" s="0" t="s">
        <v>169</v>
      </c>
      <c r="B46" s="0" t="n">
        <f aca="false">MAX(0,MIN(IF(B45&gt;B28,B31*(1+B28/100)/((B45-B28)/100),B31*B29),B31*B29))</f>
        <v>7627.99865527001</v>
      </c>
    </row>
    <row r="47" customFormat="false" ht="15" hidden="false" customHeight="false" outlineLevel="0" collapsed="false">
      <c r="A47" s="0" t="s">
        <v>170</v>
      </c>
      <c r="B47" s="0" t="n">
        <f aca="false">(SUMPRODUCT(C19:L19/(1+B45/100)^C4:L4)+B46/(1+B45/100)^L4+Assumptions!$B$5-Assumptions!$B$4)/Assumptions!$B$3*Assumptions!$B$10</f>
        <v>53.421906557143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60"/>
  </cols>
  <sheetData>
    <row r="1" customFormat="false" ht="15" hidden="false" customHeight="false" outlineLevel="0" collapsed="false">
      <c r="A1" s="2" t="s">
        <v>173</v>
      </c>
    </row>
    <row r="3" customFormat="false" ht="15" hidden="false" customHeight="false" outlineLevel="0" collapsed="false">
      <c r="A3" s="2" t="s">
        <v>174</v>
      </c>
      <c r="B3" s="2" t="s">
        <v>175</v>
      </c>
      <c r="C3" s="2" t="s">
        <v>165</v>
      </c>
      <c r="D3" s="2" t="s">
        <v>176</v>
      </c>
      <c r="E3" s="2" t="s">
        <v>168</v>
      </c>
      <c r="F3" s="2" t="s">
        <v>177</v>
      </c>
    </row>
    <row r="4" customFormat="false" ht="15" hidden="false" customHeight="false" outlineLevel="0" collapsed="false">
      <c r="A4" s="0" t="s">
        <v>178</v>
      </c>
      <c r="B4" s="4" t="n">
        <f aca="false">DCF_Bear!$B$38</f>
        <v>59.5245462244735</v>
      </c>
      <c r="C4" s="0" t="n">
        <f aca="false">B4/Assumptions!$B$2-1</f>
        <v>-0.0474548531849344</v>
      </c>
      <c r="D4" s="4" t="n">
        <f aca="false">Assumptions!$B$24</f>
        <v>0.25</v>
      </c>
      <c r="E4" s="4" t="n">
        <f aca="false">DCF_Bear!$B$43</f>
        <v>64.611816813273</v>
      </c>
      <c r="F4" s="4" t="n">
        <f aca="false">DCF_Bear!$B$47</f>
        <v>32.9918439767351</v>
      </c>
    </row>
    <row r="5" customFormat="false" ht="15" hidden="false" customHeight="false" outlineLevel="0" collapsed="false">
      <c r="A5" s="0" t="s">
        <v>179</v>
      </c>
      <c r="B5" s="4" t="n">
        <f aca="false">DCF_Base!$B$38</f>
        <v>85.2415239990661</v>
      </c>
      <c r="C5" s="0" t="n">
        <f aca="false">B5/Assumptions!$B$2-1</f>
        <v>0.364082637207011</v>
      </c>
      <c r="D5" s="4" t="n">
        <f aca="false">Assumptions!$B$38</f>
        <v>0.5</v>
      </c>
      <c r="E5" s="4" t="n">
        <f aca="false">DCF_Base!$B$43</f>
        <v>91.3344429502655</v>
      </c>
      <c r="F5" s="4" t="n">
        <f aca="false">DCF_Base!$B$47</f>
        <v>43.2599800459514</v>
      </c>
    </row>
    <row r="6" customFormat="false" ht="15" hidden="false" customHeight="false" outlineLevel="0" collapsed="false">
      <c r="A6" s="0" t="s">
        <v>180</v>
      </c>
      <c r="B6" s="4" t="n">
        <f aca="false">DCF_Bull!$B$38</f>
        <v>107.721470729303</v>
      </c>
      <c r="C6" s="0" t="n">
        <f aca="false">B6/Assumptions!$B$2-1</f>
        <v>0.723819342763685</v>
      </c>
      <c r="D6" s="4" t="n">
        <f aca="false">Assumptions!$B$52</f>
        <v>0.25</v>
      </c>
      <c r="E6" s="4" t="n">
        <f aca="false">DCF_Bull!$B$43</f>
        <v>114.880498089693</v>
      </c>
      <c r="F6" s="4" t="n">
        <f aca="false">DCF_Bull!$B$47</f>
        <v>53.421906557143</v>
      </c>
    </row>
    <row r="8" customFormat="false" ht="15" hidden="false" customHeight="false" outlineLevel="0" collapsed="false">
      <c r="A8" s="0" t="s">
        <v>181</v>
      </c>
      <c r="B8" s="0" t="n">
        <f aca="false">SUMPRODUCT(B4:B6,D4:D6)</f>
        <v>84.4322662379771</v>
      </c>
    </row>
    <row r="9" customFormat="false" ht="15" hidden="false" customHeight="false" outlineLevel="0" collapsed="false">
      <c r="A9" s="0" t="s">
        <v>182</v>
      </c>
      <c r="B9" s="0" t="n">
        <f aca="false">SUMPRODUCT(E4:E6,D4:D6)</f>
        <v>90.5403002008742</v>
      </c>
    </row>
    <row r="10" customFormat="false" ht="15" hidden="false" customHeight="false" outlineLevel="0" collapsed="false">
      <c r="A10" s="0" t="s">
        <v>183</v>
      </c>
      <c r="B10" s="0" t="n">
        <f aca="false">1-Assumptions!$B$2/B8</f>
        <v>0.259880105268424</v>
      </c>
    </row>
    <row r="11" customFormat="false" ht="15" hidden="false" customHeight="false" outlineLevel="0" collapsed="false">
      <c r="A11" s="0" t="s">
        <v>184</v>
      </c>
      <c r="B11" s="0" t="n">
        <f aca="false">IF(ABS(B9-B8)&gt;0.01*ABS(B8),(Assumptions!$B$2-B8)/(B9-B8)*100,"n/a")</f>
        <v>-359.236153093844</v>
      </c>
    </row>
    <row r="12" customFormat="false" ht="15" hidden="false" customHeight="false" outlineLevel="0" collapsed="false">
      <c r="A12" s="0" t="s">
        <v>185</v>
      </c>
      <c r="B12" s="0" t="n">
        <f aca="false">SUMPRODUCT(F4:F6,D4:D6)</f>
        <v>43.2334276564452</v>
      </c>
    </row>
    <row r="14" customFormat="false" ht="15" hidden="false" customHeight="false" outlineLevel="0" collapsed="false">
      <c r="A14" s="2" t="s">
        <v>186</v>
      </c>
      <c r="C14" s="0" t="s">
        <v>187</v>
      </c>
    </row>
    <row r="15" customFormat="false" ht="15" hidden="false" customHeight="false" outlineLevel="0" collapsed="false">
      <c r="A15" s="0" t="s">
        <v>188</v>
      </c>
      <c r="B15" s="0" t="n">
        <f aca="false">(SUMPRODUCT(DCF_Base!$C$19:$L$19/(1+$C$15/100)^DCF_Base!$C$4:$L$4)+MAX(0,MIN(IF($C$15&gt;DCF_Base!$B$28,DCF_Base!$L$19*(1+DCF_Base!$B$28/100)/(($C$15-DCF_Base!$B$28)/100),DCF_Base!$L$19*DCF_Base!$B$29),DCF_Base!$L$19*DCF_Base!$B$29))/(1+$C$15/100)^DCF_Base!$L$4+Assumptions!$B$5-Assumptions!$B$4)/Assumptions!$B$3*Assumptions!$B$10</f>
        <v>85.2415239990661</v>
      </c>
      <c r="C15" s="3" t="n">
        <v>9</v>
      </c>
    </row>
    <row r="16" customFormat="false" ht="15" hidden="false" customHeight="false" outlineLevel="0" collapsed="false">
      <c r="A16" s="0" t="s">
        <v>189</v>
      </c>
      <c r="B16" s="0" t="n">
        <f aca="false">(SUMPRODUCT(DCF_Base!$C$19:$L$19/(1+$C$16/100)^DCF_Base!$C$4:$L$4)+MAX(0,MIN(IF($C$16&gt;DCF_Base!$B$28,DCF_Base!$L$19*(1+DCF_Base!$B$28/100)/(($C$16-DCF_Base!$B$28)/100),DCF_Base!$L$19*DCF_Base!$B$29),DCF_Base!$L$19*DCF_Base!$B$29))/(1+$C$16/100)^DCF_Base!$L$4+Assumptions!$B$5-Assumptions!$B$4)/Assumptions!$B$3*Assumptions!$B$10</f>
        <v>73.52202406866</v>
      </c>
      <c r="C16" s="3" t="n">
        <v>10</v>
      </c>
    </row>
    <row r="17" customFormat="false" ht="15" hidden="false" customHeight="false" outlineLevel="0" collapsed="false">
      <c r="A17" s="0" t="s">
        <v>190</v>
      </c>
      <c r="B17" s="0" t="n">
        <f aca="false">(SUMPRODUCT(DCF_Base!$C$19:$L$19/(1+$C$17/100)^DCF_Base!$C$4:$L$4)+MAX(0,MIN(IF($C$17&gt;DCF_Base!$B$28,DCF_Base!$L$19*(1+DCF_Base!$B$28/100)/(($C$17-DCF_Base!$B$28)/100),DCF_Base!$L$19*DCF_Base!$B$29),DCF_Base!$L$19*DCF_Base!$B$29))/(1+$C$17/100)^DCF_Base!$L$4+Assumptions!$B$5-Assumptions!$B$4)/Assumptions!$B$3*Assumptions!$B$10</f>
        <v>64.5823088052167</v>
      </c>
      <c r="C17" s="3" t="n">
        <v>11</v>
      </c>
    </row>
    <row r="18" customFormat="false" ht="15" hidden="false" customHeight="false" outlineLevel="0" collapsed="false">
      <c r="A18" s="0" t="s">
        <v>191</v>
      </c>
      <c r="B18" s="0" t="n">
        <f aca="false">(SUMPRODUCT(DCF_Base!$C$19:$L$19/(1+$C$18/100)^DCF_Base!$C$4:$L$4)+MAX(0,MIN(IF($C$18&gt;DCF_Base!$B$28,DCF_Base!$L$19*(1+DCF_Base!$B$28/100)/(($C$18-DCF_Base!$B$28)/100),DCF_Base!$L$19*DCF_Base!$B$29),DCF_Base!$L$19*DCF_Base!$B$29))/(1+$C$18/100)^DCF_Base!$L$4+Assumptions!$B$5-Assumptions!$B$4)/Assumptions!$B$3*Assumptions!$B$10</f>
        <v>57.5432735511123</v>
      </c>
      <c r="C18" s="3" t="n">
        <v>12</v>
      </c>
    </row>
    <row r="19" customFormat="false" ht="15" hidden="false" customHeight="false" outlineLevel="0" collapsed="false">
      <c r="A19" s="0" t="s">
        <v>192</v>
      </c>
      <c r="B19" s="0" t="n">
        <f aca="false">(SUMPRODUCT(DCF_Base!$C$19:$L$19/(1+$C$19/100)^DCF_Base!$C$4:$L$4)+MAX(0,MIN(IF($C$19&gt;DCF_Base!$B$28,DCF_Base!$L$19*(1+DCF_Base!$B$28/100)/(($C$19-DCF_Base!$B$28)/100),DCF_Base!$L$19*DCF_Base!$B$29),DCF_Base!$L$19*DCF_Base!$B$29))/(1+$C$19/100)^DCF_Base!$L$4+Assumptions!$B$5-Assumptions!$B$4)/Assumptions!$B$3*Assumptions!$B$10</f>
        <v>43.2599800459514</v>
      </c>
      <c r="C19" s="3" t="n">
        <v>15</v>
      </c>
    </row>
    <row r="21" customFormat="false" ht="15" hidden="false" customHeight="false" outlineLevel="0" collapsed="false">
      <c r="A21" s="2" t="s">
        <v>193</v>
      </c>
    </row>
    <row r="22" customFormat="false" ht="15" hidden="false" customHeight="false" outlineLevel="0" collapsed="false">
      <c r="B22" s="3" t="n">
        <v>1.5</v>
      </c>
      <c r="C22" s="3" t="n">
        <v>2</v>
      </c>
      <c r="D22" s="3" t="n">
        <v>2.5</v>
      </c>
      <c r="E22" s="3" t="n">
        <v>3</v>
      </c>
      <c r="F22" s="3" t="n">
        <v>3.5</v>
      </c>
    </row>
    <row r="23" customFormat="false" ht="15" hidden="false" customHeight="false" outlineLevel="0" collapsed="false">
      <c r="A23" s="3" t="n">
        <v>7</v>
      </c>
      <c r="B23" s="0" t="n">
        <f aca="false">(SUMPRODUCT(DCF_Base!$C$19:$L$19/(1+$A$23/100)^DCF_Base!$C$4:$L$4)+MAX(0,MIN(IF($A$23&gt;$B$22,DCF_Base!$L$19*(1+$B$22/100)/(($A$23-$B$22)/100),DCF_Base!$L$19*DCF_Base!$B$29),DCF_Base!$L$19*DCF_Base!$B$29))/(1+$A$23/100)^DCF_Base!$L$4+Assumptions!$B$5-Assumptions!$B$4)/Assumptions!$B$3*Assumptions!$B$10</f>
        <v>99.6183130179187</v>
      </c>
      <c r="C23" s="0" t="n">
        <f aca="false">(SUMPRODUCT(DCF_Base!$C$19:$L$19/(1+$A$23/100)^DCF_Base!$C$4:$L$4)+MAX(0,MIN(IF($A$23&gt;$C$22,DCF_Base!$L$19*(1+$C$22/100)/(($A$23-$C$22)/100),DCF_Base!$L$19*DCF_Base!$B$29),DCF_Base!$L$19*DCF_Base!$B$29))/(1+$A$23/100)^DCF_Base!$L$4+Assumptions!$B$5-Assumptions!$B$4)/Assumptions!$B$3*Assumptions!$B$10</f>
        <v>99.6183130179187</v>
      </c>
      <c r="D23" s="0" t="n">
        <f aca="false">(SUMPRODUCT(DCF_Base!$C$19:$L$19/(1+$A$23/100)^DCF_Base!$C$4:$L$4)+MAX(0,MIN(IF($A$23&gt;$D$22,DCF_Base!$L$19*(1+$D$22/100)/(($A$23-$D$22)/100),DCF_Base!$L$19*DCF_Base!$B$29),DCF_Base!$L$19*DCF_Base!$B$29))/(1+$A$23/100)^DCF_Base!$L$4+Assumptions!$B$5-Assumptions!$B$4)/Assumptions!$B$3*Assumptions!$B$10</f>
        <v>99.6183130179187</v>
      </c>
      <c r="E23" s="0" t="n">
        <f aca="false">(SUMPRODUCT(DCF_Base!$C$19:$L$19/(1+$A$23/100)^DCF_Base!$C$4:$L$4)+MAX(0,MIN(IF($A$23&gt;$E$22,DCF_Base!$L$19*(1+$E$22/100)/(($A$23-$E$22)/100),DCF_Base!$L$19*DCF_Base!$B$29),DCF_Base!$L$19*DCF_Base!$B$29))/(1+$A$23/100)^DCF_Base!$L$4+Assumptions!$B$5-Assumptions!$B$4)/Assumptions!$B$3*Assumptions!$B$10</f>
        <v>99.6183130179187</v>
      </c>
      <c r="F23" s="0" t="n">
        <f aca="false">(SUMPRODUCT(DCF_Base!$C$19:$L$19/(1+$A$23/100)^DCF_Base!$C$4:$L$4)+MAX(0,MIN(IF($A$23&gt;$F$22,DCF_Base!$L$19*(1+$F$22/100)/(($A$23-$F$22)/100),DCF_Base!$L$19*DCF_Base!$B$29),DCF_Base!$L$19*DCF_Base!$B$29))/(1+$A$23/100)^DCF_Base!$L$4+Assumptions!$B$5-Assumptions!$B$4)/Assumptions!$B$3*Assumptions!$B$10</f>
        <v>99.6183130179187</v>
      </c>
    </row>
    <row r="24" customFormat="false" ht="15" hidden="false" customHeight="false" outlineLevel="0" collapsed="false">
      <c r="A24" s="3" t="n">
        <v>8</v>
      </c>
      <c r="B24" s="0" t="n">
        <f aca="false">(SUMPRODUCT(DCF_Base!$C$19:$L$19/(1+$A$24/100)^DCF_Base!$C$4:$L$4)+MAX(0,MIN(IF($A$24&gt;$B$22,DCF_Base!$L$19*(1+$B$22/100)/(($A$24-$B$22)/100),DCF_Base!$L$19*DCF_Base!$B$29),DCF_Base!$L$19*DCF_Base!$B$29))/(1+$A$24/100)^DCF_Base!$L$4+Assumptions!$B$5-Assumptions!$B$4)/Assumptions!$B$3*Assumptions!$B$10</f>
        <v>91.1768580765513</v>
      </c>
      <c r="C24" s="0" t="n">
        <f aca="false">(SUMPRODUCT(DCF_Base!$C$19:$L$19/(1+$A$24/100)^DCF_Base!$C$4:$L$4)+MAX(0,MIN(IF($A$24&gt;$C$22,DCF_Base!$L$19*(1+$C$22/100)/(($A$24-$C$22)/100),DCF_Base!$L$19*DCF_Base!$B$29),DCF_Base!$L$19*DCF_Base!$B$29))/(1+$A$24/100)^DCF_Base!$L$4+Assumptions!$B$5-Assumptions!$B$4)/Assumptions!$B$3*Assumptions!$B$10</f>
        <v>92.4605210675677</v>
      </c>
      <c r="D24" s="0" t="n">
        <f aca="false">(SUMPRODUCT(DCF_Base!$C$19:$L$19/(1+$A$24/100)^DCF_Base!$C$4:$L$4)+MAX(0,MIN(IF($A$24&gt;$D$22,DCF_Base!$L$19*(1+$D$22/100)/(($A$24-$D$22)/100),DCF_Base!$L$19*DCF_Base!$B$29),DCF_Base!$L$19*DCF_Base!$B$29))/(1+$A$24/100)^DCF_Base!$L$4+Assumptions!$B$5-Assumptions!$B$4)/Assumptions!$B$3*Assumptions!$B$10</f>
        <v>92.4605210675677</v>
      </c>
      <c r="E24" s="0" t="n">
        <f aca="false">(SUMPRODUCT(DCF_Base!$C$19:$L$19/(1+$A$24/100)^DCF_Base!$C$4:$L$4)+MAX(0,MIN(IF($A$24&gt;$E$22,DCF_Base!$L$19*(1+$E$22/100)/(($A$24-$E$22)/100),DCF_Base!$L$19*DCF_Base!$B$29),DCF_Base!$L$19*DCF_Base!$B$29))/(1+$A$24/100)^DCF_Base!$L$4+Assumptions!$B$5-Assumptions!$B$4)/Assumptions!$B$3*Assumptions!$B$10</f>
        <v>92.4605210675677</v>
      </c>
      <c r="F24" s="0" t="n">
        <f aca="false">(SUMPRODUCT(DCF_Base!$C$19:$L$19/(1+$A$24/100)^DCF_Base!$C$4:$L$4)+MAX(0,MIN(IF($A$24&gt;$F$22,DCF_Base!$L$19*(1+$F$22/100)/(($A$24-$F$22)/100),DCF_Base!$L$19*DCF_Base!$B$29),DCF_Base!$L$19*DCF_Base!$B$29))/(1+$A$24/100)^DCF_Base!$L$4+Assumptions!$B$5-Assumptions!$B$4)/Assumptions!$B$3*Assumptions!$B$10</f>
        <v>92.4605210675677</v>
      </c>
    </row>
    <row r="25" customFormat="false" ht="15" hidden="false" customHeight="false" outlineLevel="0" collapsed="false">
      <c r="A25" s="3" t="n">
        <v>9</v>
      </c>
      <c r="B25" s="0" t="n">
        <f aca="false">(SUMPRODUCT(DCF_Base!$C$19:$L$19/(1+$A$25/100)^DCF_Base!$C$4:$L$4)+MAX(0,MIN(IF($A$25&gt;$B$22,DCF_Base!$L$19*(1+$B$22/100)/(($A$25-$B$22)/100),DCF_Base!$L$19*DCF_Base!$B$29),DCF_Base!$L$19*DCF_Base!$B$29))/(1+$A$25/100)^DCF_Base!$L$4+Assumptions!$B$5-Assumptions!$B$4)/Assumptions!$B$3*Assumptions!$B$10</f>
        <v>78.4361997642505</v>
      </c>
      <c r="C25" s="0" t="n">
        <f aca="false">(SUMPRODUCT(DCF_Base!$C$19:$L$19/(1+$A$25/100)^DCF_Base!$C$4:$L$4)+MAX(0,MIN(IF($A$25&gt;$C$22,DCF_Base!$L$19*(1+$C$22/100)/(($A$25-$C$22)/100),DCF_Base!$L$19*DCF_Base!$B$29),DCF_Base!$L$19*DCF_Base!$B$29))/(1+$A$25/100)^DCF_Base!$L$4+Assumptions!$B$5-Assumptions!$B$4)/Assumptions!$B$3*Assumptions!$B$10</f>
        <v>81.5958145875578</v>
      </c>
      <c r="D25" s="0" t="n">
        <f aca="false">(SUMPRODUCT(DCF_Base!$C$19:$L$19/(1+$A$25/100)^DCF_Base!$C$4:$L$4)+MAX(0,MIN(IF($A$25&gt;$D$22,DCF_Base!$L$19*(1+$D$22/100)/(($A$25-$D$22)/100),DCF_Base!$L$19*DCF_Base!$B$29),DCF_Base!$L$19*DCF_Base!$B$29))/(1+$A$25/100)^DCF_Base!$L$4+Assumptions!$B$5-Assumptions!$B$4)/Assumptions!$B$3*Assumptions!$B$10</f>
        <v>85.2415239990661</v>
      </c>
      <c r="E25" s="0" t="n">
        <f aca="false">(SUMPRODUCT(DCF_Base!$C$19:$L$19/(1+$A$25/100)^DCF_Base!$C$4:$L$4)+MAX(0,MIN(IF($A$25&gt;$E$22,DCF_Base!$L$19*(1+$E$22/100)/(($A$25-$E$22)/100),DCF_Base!$L$19*DCF_Base!$B$29),DCF_Base!$L$19*DCF_Base!$B$29))/(1+$A$25/100)^DCF_Base!$L$4+Assumptions!$B$5-Assumptions!$B$4)/Assumptions!$B$3*Assumptions!$B$10</f>
        <v>85.9439083810999</v>
      </c>
      <c r="F25" s="0" t="n">
        <f aca="false">(SUMPRODUCT(DCF_Base!$C$19:$L$19/(1+$A$25/100)^DCF_Base!$C$4:$L$4)+MAX(0,MIN(IF($A$25&gt;$F$22,DCF_Base!$L$19*(1+$F$22/100)/(($A$25-$F$22)/100),DCF_Base!$L$19*DCF_Base!$B$29),DCF_Base!$L$19*DCF_Base!$B$29))/(1+$A$25/100)^DCF_Base!$L$4+Assumptions!$B$5-Assumptions!$B$4)/Assumptions!$B$3*Assumptions!$B$10</f>
        <v>85.9439083810999</v>
      </c>
    </row>
    <row r="26" customFormat="false" ht="15" hidden="false" customHeight="false" outlineLevel="0" collapsed="false">
      <c r="A26" s="3" t="n">
        <v>10</v>
      </c>
      <c r="B26" s="0" t="n">
        <f aca="false">(SUMPRODUCT(DCF_Base!$C$19:$L$19/(1+$A$26/100)^DCF_Base!$C$4:$L$4)+MAX(0,MIN(IF($A$26&gt;$B$22,DCF_Base!$L$19*(1+$B$22/100)/(($A$26-$B$22)/100),DCF_Base!$L$19*DCF_Base!$B$29),DCF_Base!$L$19*DCF_Base!$B$29))/(1+$A$26/100)^DCF_Base!$L$4+Assumptions!$B$5-Assumptions!$B$4)/Assumptions!$B$3*Assumptions!$B$10</f>
        <v>68.7285810662688</v>
      </c>
      <c r="C26" s="0" t="n">
        <f aca="false">(SUMPRODUCT(DCF_Base!$C$19:$L$19/(1+$A$26/100)^DCF_Base!$C$4:$L$4)+MAX(0,MIN(IF($A$26&gt;$C$22,DCF_Base!$L$19*(1+$C$22/100)/(($A$26-$C$22)/100),DCF_Base!$L$19*DCF_Base!$B$29),DCF_Base!$L$19*DCF_Base!$B$29))/(1+$A$26/100)^DCF_Base!$L$4+Assumptions!$B$5-Assumptions!$B$4)/Assumptions!$B$3*Assumptions!$B$10</f>
        <v>70.9755074736396</v>
      </c>
      <c r="D26" s="0" t="n">
        <f aca="false">(SUMPRODUCT(DCF_Base!$C$19:$L$19/(1+$A$26/100)^DCF_Base!$C$4:$L$4)+MAX(0,MIN(IF($A$26&gt;$D$22,DCF_Base!$L$19*(1+$D$22/100)/(($A$26-$D$22)/100),DCF_Base!$L$19*DCF_Base!$B$29),DCF_Base!$L$19*DCF_Base!$B$29))/(1+$A$26/100)^DCF_Base!$L$4+Assumptions!$B$5-Assumptions!$B$4)/Assumptions!$B$3*Assumptions!$B$10</f>
        <v>73.52202406866</v>
      </c>
      <c r="E26" s="0" t="n">
        <f aca="false">(SUMPRODUCT(DCF_Base!$C$19:$L$19/(1+$A$26/100)^DCF_Base!$C$4:$L$4)+MAX(0,MIN(IF($A$26&gt;$E$22,DCF_Base!$L$19*(1+$E$22/100)/(($A$26-$E$22)/100),DCF_Base!$L$19*DCF_Base!$B$29),DCF_Base!$L$19*DCF_Base!$B$29))/(1+$A$26/100)^DCF_Base!$L$4+Assumptions!$B$5-Assumptions!$B$4)/Assumptions!$B$3*Assumptions!$B$10</f>
        <v>76.4323287486832</v>
      </c>
      <c r="F26" s="0" t="n">
        <f aca="false">(SUMPRODUCT(DCF_Base!$C$19:$L$19/(1+$A$26/100)^DCF_Base!$C$4:$L$4)+MAX(0,MIN(IF($A$26&gt;$F$22,DCF_Base!$L$19*(1+$F$22/100)/(($A$26-$F$22)/100),DCF_Base!$L$19*DCF_Base!$B$29),DCF_Base!$L$19*DCF_Base!$B$29))/(1+$A$26/100)^DCF_Base!$L$4+Assumptions!$B$5-Assumptions!$B$4)/Assumptions!$B$3*Assumptions!$B$10</f>
        <v>79.7903726102485</v>
      </c>
    </row>
    <row r="27" customFormat="false" ht="15" hidden="false" customHeight="false" outlineLevel="0" collapsed="false">
      <c r="A27" s="3" t="n">
        <v>11</v>
      </c>
      <c r="B27" s="0" t="n">
        <f aca="false">(SUMPRODUCT(DCF_Base!$C$19:$L$19/(1+$A$27/100)^DCF_Base!$C$4:$L$4)+MAX(0,MIN(IF($A$27&gt;$B$22,DCF_Base!$L$19*(1+$B$22/100)/(($A$27-$B$22)/100),DCF_Base!$L$19*DCF_Base!$B$29),DCF_Base!$L$19*DCF_Base!$B$29))/(1+$A$27/100)^DCF_Base!$L$4+Assumptions!$B$5-Assumptions!$B$4)/Assumptions!$B$3*Assumptions!$B$10</f>
        <v>61.0940188040844</v>
      </c>
      <c r="C27" s="0" t="n">
        <f aca="false">(SUMPRODUCT(DCF_Base!$C$19:$L$19/(1+$A$27/100)^DCF_Base!$C$4:$L$4)+MAX(0,MIN(IF($A$27&gt;$C$22,DCF_Base!$L$19*(1+$C$22/100)/(($A$27-$C$22)/100),DCF_Base!$L$19*DCF_Base!$B$29),DCF_Base!$L$19*DCF_Base!$B$29))/(1+$A$27/100)^DCF_Base!$L$4+Assumptions!$B$5-Assumptions!$B$4)/Assumptions!$B$3*Assumptions!$B$10</f>
        <v>62.7412668601746</v>
      </c>
      <c r="D27" s="0" t="n">
        <f aca="false">(SUMPRODUCT(DCF_Base!$C$19:$L$19/(1+$A$27/100)^DCF_Base!$C$4:$L$4)+MAX(0,MIN(IF($A$27&gt;$D$22,DCF_Base!$L$19*(1+$D$22/100)/(($A$27-$D$22)/100),DCF_Base!$L$19*DCF_Base!$B$29),DCF_Base!$L$19*DCF_Base!$B$29))/(1+$A$27/100)^DCF_Base!$L$4+Assumptions!$B$5-Assumptions!$B$4)/Assumptions!$B$3*Assumptions!$B$10</f>
        <v>64.5823088052167</v>
      </c>
      <c r="E27" s="0" t="n">
        <f aca="false">(SUMPRODUCT(DCF_Base!$C$19:$L$19/(1+$A$27/100)^DCF_Base!$C$4:$L$4)+MAX(0,MIN(IF($A$27&gt;$E$22,DCF_Base!$L$19*(1+$E$22/100)/(($A$27-$E$22)/100),DCF_Base!$L$19*DCF_Base!$B$29),DCF_Base!$L$19*DCF_Base!$B$29))/(1+$A$27/100)^DCF_Base!$L$4+Assumptions!$B$5-Assumptions!$B$4)/Assumptions!$B$3*Assumptions!$B$10</f>
        <v>66.653480993389</v>
      </c>
      <c r="F27" s="0" t="n">
        <f aca="false">(SUMPRODUCT(DCF_Base!$C$19:$L$19/(1+$A$27/100)^DCF_Base!$C$4:$L$4)+MAX(0,MIN(IF($A$27&gt;$F$22,DCF_Base!$L$19*(1+$F$22/100)/(($A$27-$F$22)/100),DCF_Base!$L$19*DCF_Base!$B$29),DCF_Base!$L$19*DCF_Base!$B$29))/(1+$A$27/100)^DCF_Base!$L$4+Assumptions!$B$5-Assumptions!$B$4)/Assumptions!$B$3*Assumptions!$B$10</f>
        <v>69.0008094733176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2026-09-28T07:48:46Z</dcterms:created>
  <dc:creator>openpyxl</dc:creator>
  <dc:description/>
  <dc:language>en-NZ</dc:language>
  <cp:lastModifiedBy/>
  <dcterms:modified xsi:type="dcterms:W3CDTF">2026-09-28T07:48:46Z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