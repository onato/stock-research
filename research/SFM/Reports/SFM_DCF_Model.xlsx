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Reconciliation" sheetId="2" state="visible" r:id="rId4"/>
    <sheet name="Actuals" sheetId="3" state="visible" r:id="rId5"/>
    <sheet name="Assumptions" sheetId="4" state="visible" r:id="rId6"/>
    <sheet name="DCF_Bear" sheetId="5" state="visible" r:id="rId7"/>
    <sheet name="DCF_Base" sheetId="6" state="visible" r:id="rId8"/>
    <sheet name="DCF_Bull" sheetId="7" state="visible" r:id="rId9"/>
    <sheet name="Valu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<sst xmlns="http://schemas.openxmlformats.org/spreadsheetml/2006/main" count="408" uniqueCount="201">
  <si>
    <t xml:space="preserve">Ticker</t>
  </si>
  <si>
    <t xml:space="preserve">SFM</t>
  </si>
  <si>
    <t xml:space="preserve">Company</t>
  </si>
  <si>
    <t xml:space="preserve">Sprouts Farmers Market, Inc.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</si>
  <si>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</si>
  <si>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</si>
  <si>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</si>
  <si>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</si>
  <si>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2026-10-30T20:00:01Z regular close (Yahoo Finance chart API); Friday close, two days after the Q3 release and guidance cut, not an after-hours print</t>
  </si>
  <si>
    <t xml:space="preserve">Balance sheet date</t>
  </si>
  <si>
    <t xml:space="preserve">2026-09-27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</si>
  <si>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</si>
  <si>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</si>
  <si>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</si>
  <si>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</si>
  <si>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</si>
  <si>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</si>
  <si>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</si>
  <si>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</si>
  <si>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</si>
  <si>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</si>
  <si>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2026-10-30T22:01:25Z</t>
  </si>
  <si>
    <t xml:space="preserve">Drivers file</t>
  </si>
  <si>
    <t xml:space="preserve">SFM_Drivers.json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</si>
  <si>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</si>
  <si>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</si>
  <si>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</si>
  <si>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Sprouts as a self-funded store-growth compounder whose comps have gone negative and whose margin is being reinvested in price, not as the +7% comp business of FY2025 and not as a broken retailer. The owner-FCF build charges SBC (~$25m, 0.3% of sales) in the flows and holds the share count flat; buybacks ($472m in FY2025, ~$330m in FY2026 to date) are how the count stays flat, not a source of value. FY2026 is the guided year (53 weeks, comps -1.7%, EBIT ~$605m, EPS ~$4.80, capex up on a completed distribution centre); FY2027 is management's 'above 5%' EBIT-margin year with the 53rd week lapped; after that growth is new-store arithmetic on a 500-store base fading from ~5.5% to 3%, margins rebuild only to the FY2024 level, and a 10-year horizon lets the owner-FCF margin mature (~4.0%) before a Gordon terminal at 2.5% on a 9% USD WACC. Leases are in the flows under ASC 842; only finance obligations are debt.
key_risks_to_valuation: Comps and traffic: every 1pp of sustained comp is roughly 1pp of revenue growth AND ~30-40bp of EBITDA margin through fixed-cost leverage; the bear path (comps -2%/-1% through FY2028, floor-level margin) is what takes the value to the high $40s -- roughly today's price.; The price reset is a one-way bet on margin: ~90bp of Q4 gross-margin deleverage is committed before any traffic response is visible; if traffic does not respond the base case's recovery from 7.9% to 8.5% pre-SBC EBITDA does not happen (each 50bp of mature margin is ~$5/share).; Unit growth: no FY2027 opening target; the base assumes ~32-35 stores/yr (~7% unit growth) fading, the bull ~40, the bear ~25. The ~10% aspiration is not in any scenario.; New-store productivity and cannibalisation as openings move into the Northeast; the base assumes new stores keep earning near-chain-average returns (ROIC incl. leases 16.1%, down from 18.3%).; Capex: FY2026 gross capex ~$340m is 3.6% of sales vs 2.8% in FY2025; the base assumes it eases to 2.8% -- if openings and the tech/supply-chain programme keep capex at 3.5% the owner-FCF margin matures ~0.7pp lower (~$9/share).; Cash tax: the model ramps to 24%; the 10-Q already notes shrinking stock-comp and transferable-credit benefits, so a return of those benefits is upside, not risk.; Leadership: CEO handover (Nick Konat, 2027-01-04) coincides with the price reset, the CTO left 2026-10-12 with no successor, and the executive chairman has a 10b5-1 selling plan; the securities class action (amended complaint due 2026-11-10) is an unmodelled tail.</t>
  </si>
  <si>
    <t xml:space="preserve">Data sources</t>
  </si>
  <si>
    <t xml:space="preserve">price: Yahoo Finance chart API at inputs.price_as_of (Friday 2026-10-30 regular close); 52-week range 47.35-94.89, so the price sits within 5% of the two-year low set on the guidance cut.
financials: SFM_Metrics.csv (includes Q1-Q3 FY2026; Q3 is the 13 weeks ended 2026-09-27); FY2025 10-K (SFM_Annual_FY2025.txt) for FY0 flows; Q3-2026 10-Q (SFM_Quarterly_Q3-2026.txt) for the 2026-09-27 balance sheet (cash line 829, finance obligations lines 846/849/1081-1083), diluted shares (line 1315), 39-week SBC (946), buybacks (966), capex (962), cash taxes (976), the 53-week statement (999) and the ~$310m net capex guide (1893).
qualitative: SFM_Analysis.json refreshed 2026-10-31 (Q3-2026 results, 2026-10-28 guidance cut and strategy reset, CEO succession, CTO departure, Harvest Sherwood settlement, downgrades). The 8-K earnings release is not in Extracted; the 53rd-week basis of the EPS and EBIT guide was resolved arithmetically from the 10-Q's YTD figures plus the Q4 guide quoted in the Analysis JSON.</t>
  </si>
  <si>
    <t xml:space="preserve">Scenario narrative: bear</t>
  </si>
  <si>
    <t xml:space="preserve">The affordability gap to Walmart, Costco and Aldi is structural for a secondary-destination grocer, and management has admitted its pricing strategy 'has not delivered'; the reset buys margin away without buying traffic back. Comps stay negative through FY2028, the new CEO (January 2027, with the CTO seat vacant) slows openings to ~25/yr, the FY2027 'above 5%' EBIT floor becomes the permanent level (~4.8-5.0%), revenue growth is 2-3%, the owner-FCF margin settles near 3.4%, and the business is a slow-growth grocer capped at 14x owner FCF. The securities class action (amended complaint due 2026-11-10) is a tail risk on top of this path, not inside it; Harvest Sherwood is settled and no longer a risk.</t>
  </si>
  <si>
    <t xml:space="preserve">Scenario narrative: base</t>
  </si>
  <si>
    <t xml:space="preserve">Sprouts is a unit-growth story whose comp engine has stalled and whose margin is now being spent to restart it: after +7.3% comps in FY2025 the company has printed -1.7%, -1.0% and -0.9%, guides Q4 at -2% to -4% on traffic down 3.3%, and on 2026-10-28 cut FY2026 EPS to ~$4.80 (incl. the 53rd week) while announcing a broader price reset for January 2027 with only an 'above 5%' FY2027 EBIT-margin floor (vs ~6.4% FY2026, 7.8% FY2025). The base case takes management at its word: FY2027 EBIT 5.5% on revenue that is flat-ish after lapping the 53rd week, then a partial recovery -- comps back to +1-1.5%, unit growth ~7% fading, EBIT rebuilding to ~6.1% (the FY2024 level) by FY2030 and no further. Capex stays above D&amp;A for a growing store base, cash taxes normalise to 24%, and the owner-FCF margin matures at ~4.0% (vs ~4.9% in the prior build). The axes that matter are (1) whether the price reset restores traffic or only resets margin, (2) whether the new CEO keeps opening 35-40 stores a year or slows to protect cash, and (3) how much of the FY2024-25 margin was the +7-11% comp cycle rather than the format.</t>
  </si>
  <si>
    <t xml:space="preserve">Scenario narrative: bull</t>
  </si>
  <si>
    <t xml:space="preserve">The January 2027 affordability reset works the way key-value-item investment has for other grocers: transactions turn positive within two to three quarters, comps run +3% in FY2028-29 on a smaller-store format whose unit economics are intact (ROIC 16% even in a down year), openings hold at ~40/yr with the Northeast proving out, and revenue compounds at 7-8% mid-decade. The margin dips in FY2027 and then rebuilds to a 9.6% pre-SBC EBITDA margin (EBIT ~7.2%) on fixed-cost leverage, private label past 30% of sales and the completed self-distribution network -- below the FY2025 peak. With the stock at ~10x the reset EPS, net cash and $537m of buyback authorization, both earnings and the multiple recover.</t>
  </si>
  <si>
    <t xml:space="preserve">Item</t>
  </si>
  <si>
    <t xml:space="preserve">Value</t>
  </si>
  <si>
    <t xml:space="preserve">Note</t>
  </si>
  <si>
    <t xml:space="preserve">Prior valuation_date</t>
  </si>
  <si>
    <t xml:space="preserve">2026-09-28</t>
  </si>
  <si>
    <t xml:space="preserve">Prior price_then</t>
  </si>
  <si>
    <t xml:space="preserve">Prior bear</t>
  </si>
  <si>
    <t xml:space="preserve">Prior base</t>
  </si>
  <si>
    <t xml:space="preserve">Prior bull</t>
  </si>
  <si>
    <t xml:space="preserve">Prior weighted</t>
  </si>
  <si>
    <t xml:space="preserve">Prior note</t>
  </si>
  <si>
    <t xml:space="preserve">Prior Drivers build of 2026-09-28 (10-year component owner-FCF model, 9% WACC, 25/50/25). Its DCF JSON last carried a refreshed price of 65.20 (2026-10-18) with the same values.</t>
  </si>
  <si>
    <t xml:space="preserve">New valuation_date</t>
  </si>
  <si>
    <t xml:space="preserve">New price_then</t>
  </si>
  <si>
    <t xml:space="preserve">New bear</t>
  </si>
  <si>
    <t xml:space="preserve">New base</t>
  </si>
  <si>
    <t xml:space="preserve">New bull</t>
  </si>
  <si>
    <t xml:space="preserve">New weighted</t>
  </si>
  <si>
    <t xml:space="preserve">Bridge</t>
  </si>
  <si>
    <t xml:space="preserve">Prior weighted IV</t>
  </si>
  <si>
    <t xml:space="preserve">Anchor refresh: diluted shares 94.41m -&gt; 93.666m (Q3-2026 diluted weighted average), net cash $110.1m -&gt; $95.6m (2026-09-27 balance sheet: cash $228.7m less $133.1m finance obligations incl. the completed DC)</t>
  </si>
  <si>
    <t xml:space="preserve">FY2026 rebuilt to the 2026-10-28 guide (all scenarios): growth 6.7% -&gt; 6.4% (net sales +4.3% on 52 weeks + 53rd week), pre-SBC EBITDA 9.45% -&gt; 8.7% (EBIT ~$605m), capex 3.5% -&gt; 3.6% gross</t>
  </si>
  <si>
    <t xml:space="preserve">FY2027+ margin and capex re-judgment (all scenarios): base pre-SBC EBITDA 7.9% in FY2027 (management's &gt;5% EBIT floor) rebuilding only to 8.5% vs the prior 9.55% -&gt; 9.8%; bull matures at 9.6% not 10.8%; bear at 7.3% not 8.3%; capex 3.4% -&gt; 2.8% path slightly higher in years 2-3</t>
  </si>
  <si>
    <t xml:space="preserve">FY2027+ growth re-judgment (all scenarios): base 3.0/5.5/5.0/4.5/4.0/3.5 for FY2027-32 vs prior 4.5/6.0/5.5/5.0/4.5/4.0 (53rd-week lap, comps -0.5% in FY2027, unit growth ~7% not ~9%); bull and bear shaded likewise</t>
  </si>
  <si>
    <t xml:space="preserve">SBC % of revenue 0.35% -&gt; 0.30% on the 39-week FY2026 actual ($19.5m, 0.28%)</t>
  </si>
  <si>
    <t xml:space="preserve">Probability weights 25/50/25 -&gt; 30/50/20 (bear: management has delivered the prior bear; bull: price reset unproven)</t>
  </si>
  <si>
    <t xml:space="preserve">Price move 62.49 -&gt; 49.70 (upside changes from +35% to the new figure; no effect on IV)</t>
  </si>
  <si>
    <t xml:space="preserve">New weighted IV</t>
  </si>
  <si>
    <t xml:space="preserve">ties to probability_weighted.weighted_iv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</si>
  <si>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</si>
  <si>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</si>
  <si>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</si>
  <si>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</si>
  <si>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</si>
  <si>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</si>
  <si>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</si>
  <si>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</si>
  <si>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</si>
  <si>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</si>
  <si>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</si>
  <si>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</si>
  <si>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</si>
  <si>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</si>
  <si>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</si>
  <si>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</si>
  <si>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</si>
  <si>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</si>
  <si>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</si>
  <si>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</si>
  <si>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</si>
  <si>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</si>
  <si>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</si>
  <si>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</si>
  <si>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</si>
  <si>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</si>
  <si>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</si>
  <si>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BookValuePerShare</t>
  </si>
  <si>
    <t xml:space="preserve">EPSBasic</t>
  </si>
  <si>
    <t xml:space="preserve">StoreCount</t>
  </si>
  <si>
    <t xml:space="preserve">SameStoreSalesGrowth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</si>
  <si>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</si>
  <si>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</si>
  <si>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</si>
  <si>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</si>
  <si>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</si>
  <si>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</si>
  <si>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</si>
  <si>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</si>
  <si>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</si>
  <si>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</si>
  <si>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</si>
  <si>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</si>
  <si>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</si>
  <si>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</si>
  <si>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</si>
  <si>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</si>
  <si>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</si>
  <si>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</si>
  <si>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</si>
  <si>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</si>
  <si>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</si>
  <si>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</si>
  <si>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</si>
  <si>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</si>
  <si>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</si>
  <si>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</si>
  <si>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</si>
  <si>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</si>
  <si>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</si>
  <si>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</si>
  <si>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</si>
  <si>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</si>
  <si>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</si>
  <si>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</si>
  <si>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</si>
  <si>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</si>
  <si>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</si>
  <si>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</si>
  <si>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</si>
  <si>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</si>
  <si>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</si>
  <si>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</si>
  <si>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</si>
  <si>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</si>
  <si>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</si>
  <si>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</si>
  <si>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</si>
  <si>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</si>
  <si>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</si>
  <si>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</si>
  <si>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</si>
  <si>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SFM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</si>
  <si>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</si>
  <si>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</si>
  <si>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</si>
  <si>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</si>
  <si>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</si>
  <si>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</si>
  <si>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</si>
  <si>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</si>
  <si>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</si>
  <si>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</si>
  <si>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</si>
  <si>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</si>
  <si>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</si>
  <si>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</si>
  <si>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</si>
  <si>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</si>
  <si>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</si>
  <si>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</si>
  <si>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</si>
  <si>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</si>
  <si>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</si>
  <si>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</si>
  <si>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</si>
  <si>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</si>
  <si>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</si>
  <si>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</si>
  <si>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</si>
  <si>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</si>
  <si>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</si>
  <si>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</si>
  <si>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SFM owner-FCF component DCF: base case (millions, USD)</t>
  </si>
  <si>
    <t xml:space="preserve">SFM owner-FCF component DCF: bull case (millions, USD)</t>
  </si>
  <si>
    <t xml:space="preserve">SFM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</si>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</sst>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49.7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</cols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</row>
    <row r="2" customFormat="false" ht="15" hidden="false" customHeight="false" outlineLevel="0" collapsed="false">
      <c r="A2" s="0" t="s">
        <v>39</v>
      </c>
      <c r="B2" s="0" t="s">
        <v>40</v>
      </c>
    </row>
    <row r="3" customFormat="false" ht="15" hidden="false" customHeight="false" outlineLevel="0" collapsed="false">
      <c r="A3" s="0" t="s">
        <v>41</v>
      </c>
      <c r="B3" s="0" t="n">
        <v>62.49</v>
      </c>
    </row>
    <row r="4" customFormat="false" ht="15" hidden="false" customHeight="false" outlineLevel="0" collapsed="false">
      <c r="A4" s="0" t="s">
        <v>42</v>
      </c>
      <c r="B4" s="0" t="n">
        <v>59.52</v>
      </c>
    </row>
    <row r="5" customFormat="false" ht="15" hidden="false" customHeight="false" outlineLevel="0" collapsed="false">
      <c r="A5" s="0" t="s">
        <v>43</v>
      </c>
      <c r="B5" s="0" t="n">
        <v>85.24</v>
      </c>
    </row>
    <row r="6" customFormat="false" ht="15" hidden="false" customHeight="false" outlineLevel="0" collapsed="false">
      <c r="A6" s="0" t="s">
        <v>44</v>
      </c>
      <c r="B6" s="0" t="n">
        <v>107.72</v>
      </c>
    </row>
    <row r="7" customFormat="false" ht="15" hidden="false" customHeight="false" outlineLevel="0" collapsed="false">
      <c r="A7" s="0" t="s">
        <v>45</v>
      </c>
      <c r="B7" s="0" t="n">
        <v>84.43</v>
      </c>
    </row>
    <row r="8" customFormat="false" ht="15" hidden="false" customHeight="false" outlineLevel="0" collapsed="false">
      <c r="A8" s="0" t="s">
        <v>46</v>
      </c>
      <c r="B8" s="0" t="s">
        <v>47</v>
      </c>
    </row>
    <row r="9" customFormat="false" ht="15" hidden="false" customHeight="false" outlineLevel="0" collapsed="false">
      <c r="A9" s="0" t="s">
        <v>48</v>
      </c>
      <c r="B9" s="0" t="s">
        <v>5</v>
      </c>
    </row>
    <row r="10" customFormat="false" ht="15" hidden="false" customHeight="false" outlineLevel="0" collapsed="false">
      <c r="A10" s="0" t="s">
        <v>49</v>
      </c>
      <c r="B10" s="0" t="n">
        <v>49.7</v>
      </c>
    </row>
    <row r="11" customFormat="false" ht="15" hidden="false" customHeight="false" outlineLevel="0" collapsed="false">
      <c r="A11" s="0" t="s">
        <v>50</v>
      </c>
      <c r="B11" s="0" t="n">
        <v>48.63</v>
      </c>
    </row>
    <row r="12" customFormat="false" ht="15" hidden="false" customHeight="false" outlineLevel="0" collapsed="false">
      <c r="A12" s="0" t="s">
        <v>51</v>
      </c>
      <c r="B12" s="0" t="n">
        <v>66.05</v>
      </c>
    </row>
    <row r="13" customFormat="false" ht="15" hidden="false" customHeight="false" outlineLevel="0" collapsed="false">
      <c r="A13" s="0" t="s">
        <v>52</v>
      </c>
      <c r="B13" s="0" t="n">
        <v>86.74</v>
      </c>
    </row>
    <row r="14" customFormat="false" ht="15" hidden="false" customHeight="false" outlineLevel="0" collapsed="false">
      <c r="A14" s="0" t="s">
        <v>53</v>
      </c>
      <c r="B14" s="0" t="n">
        <v>64.96</v>
      </c>
    </row>
    <row r="16" customFormat="false" ht="15" hidden="false" customHeight="false" outlineLevel="0" collapsed="false">
      <c r="A16" s="2" t="s">
        <v>54</v>
      </c>
    </row>
    <row r="17" customFormat="false" ht="15" hidden="false" customHeight="false" outlineLevel="0" collapsed="false">
      <c r="A17" s="0" t="s">
        <v>55</v>
      </c>
      <c r="B17" s="0" t="n">
        <v>84.43</v>
      </c>
    </row>
    <row r="18" customFormat="false" ht="15" hidden="false" customHeight="false" outlineLevel="0" collapsed="false">
      <c r="A18" s="0" t="s">
        <v>56</v>
      </c>
      <c r="B18" s="0" t="n">
        <v>0.52</v>
      </c>
    </row>
    <row r="19" customFormat="false" ht="15" hidden="false" customHeight="false" outlineLevel="0" collapsed="false">
      <c r="A19" s="0" t="s">
        <v>57</v>
      </c>
      <c r="B19" s="0" t="n">
        <v>-0.82</v>
      </c>
    </row>
    <row r="20" customFormat="false" ht="15" hidden="false" customHeight="false" outlineLevel="0" collapsed="false">
      <c r="A20" s="0" t="s">
        <v>58</v>
      </c>
      <c r="B20" s="0" t="n">
        <v>-15.64</v>
      </c>
    </row>
    <row r="21" customFormat="false" ht="15" hidden="false" customHeight="false" outlineLevel="0" collapsed="false">
      <c r="A21" s="0" t="s">
        <v>59</v>
      </c>
      <c r="B21" s="0" t="n">
        <v>-2.26</v>
      </c>
    </row>
    <row r="22" customFormat="false" ht="15" hidden="false" customHeight="false" outlineLevel="0" collapsed="false">
      <c r="A22" s="0" t="s">
        <v>60</v>
      </c>
      <c r="B22" s="0" t="n">
        <v>0.64</v>
      </c>
    </row>
    <row r="23" customFormat="false" ht="15" hidden="false" customHeight="false" outlineLevel="0" collapsed="false">
      <c r="A23" s="0" t="s">
        <v>61</v>
      </c>
      <c r="B23" s="0" t="n">
        <v>-1.91</v>
      </c>
    </row>
    <row r="24" customFormat="false" ht="15" hidden="false" customHeight="false" outlineLevel="0" collapsed="false">
      <c r="A24" s="0" t="s">
        <v>62</v>
      </c>
      <c r="B24" s="0" t="n">
        <v>0</v>
      </c>
    </row>
    <row r="25" customFormat="false" ht="15" hidden="false" customHeight="false" outlineLevel="0" collapsed="false">
      <c r="A25" s="0" t="s">
        <v>63</v>
      </c>
      <c r="B25" s="0" t="n">
        <v>64.96</v>
      </c>
      <c r="C25" s="0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  <c r="M1" s="2" t="s">
        <v>77</v>
      </c>
      <c r="N1" s="2" t="s">
        <v>78</v>
      </c>
      <c r="O1" s="2" t="s">
        <v>79</v>
      </c>
      <c r="P1" s="2" t="s">
        <v>80</v>
      </c>
      <c r="Q1" s="2" t="s">
        <v>81</v>
      </c>
      <c r="R1" s="2" t="s">
        <v>82</v>
      </c>
      <c r="S1" s="2" t="s">
        <v>83</v>
      </c>
      <c r="T1" s="2" t="s">
        <v>84</v>
      </c>
      <c r="U1" s="2" t="s">
        <v>85</v>
      </c>
      <c r="V1" s="2" t="s">
        <v>86</v>
      </c>
      <c r="W1" s="2" t="s">
        <v>87</v>
      </c>
      <c r="X1" s="2" t="s">
        <v>88</v>
      </c>
      <c r="Y1" s="2" t="s">
        <v>89</v>
      </c>
      <c r="Z1" s="2" t="s">
        <v>90</v>
      </c>
      <c r="AA1" s="2" t="s">
        <v>16</v>
      </c>
      <c r="AB1" s="2" t="s">
        <v>91</v>
      </c>
      <c r="AC1" s="2" t="s">
        <v>92</v>
      </c>
      <c r="AD1" s="2" t="s">
        <v>93</v>
      </c>
      <c r="AE1" s="2" t="s">
        <v>94</v>
      </c>
      <c r="AF1" s="2" t="s">
        <v>95</v>
      </c>
    </row>
    <row r="2" customFormat="false" ht="15" hidden="false" customHeight="false" outlineLevel="0" collapsed="false">
      <c r="A2" s="0" t="s">
        <v>96</v>
      </c>
      <c r="D2" s="0" t="n">
        <v>310.974</v>
      </c>
      <c r="F2" s="0" t="n">
        <v>-25.721</v>
      </c>
      <c r="H2" s="0" t="n">
        <v>28.924</v>
      </c>
      <c r="I2" s="0" t="n">
        <v>-27.445</v>
      </c>
      <c r="K2" s="0" t="n">
        <v>-0.28</v>
      </c>
      <c r="L2" s="0" t="n">
        <v>52.384</v>
      </c>
      <c r="M2" s="0" t="n">
        <v>27.594</v>
      </c>
      <c r="N2" s="0" t="n">
        <v>24.79</v>
      </c>
      <c r="O2" s="0" t="n">
        <v>267.453</v>
      </c>
      <c r="S2" s="0" t="n">
        <v>14.542</v>
      </c>
      <c r="T2" s="0" t="n">
        <v>96.954</v>
      </c>
      <c r="U2" s="0" t="n">
        <v>3.774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97</v>
      </c>
      <c r="D3" s="0" t="n">
        <v>530.309</v>
      </c>
      <c r="F3" s="0" t="n">
        <v>70.685</v>
      </c>
      <c r="H3" s="0" t="n">
        <v>106.458</v>
      </c>
      <c r="I3" s="0" t="n">
        <v>19.5</v>
      </c>
      <c r="K3" s="0" t="n">
        <v>0.16</v>
      </c>
      <c r="L3" s="0" t="n">
        <v>84.431</v>
      </c>
      <c r="M3" s="0" t="n">
        <v>46.485</v>
      </c>
      <c r="N3" s="0" t="n">
        <v>37.946</v>
      </c>
      <c r="O3" s="0" t="n">
        <v>386.755</v>
      </c>
      <c r="P3" s="0" t="n">
        <v>1103.236</v>
      </c>
      <c r="Q3" s="0" t="n">
        <v>716.481</v>
      </c>
      <c r="R3" s="0" t="n">
        <v>426.544</v>
      </c>
      <c r="S3" s="0" t="n">
        <v>67.211</v>
      </c>
      <c r="T3" s="0" t="n">
        <v>125.956721</v>
      </c>
      <c r="U3" s="0" t="n">
        <v>4.653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98</v>
      </c>
      <c r="B4" s="0" t="n">
        <v>2437.911</v>
      </c>
      <c r="D4" s="0" t="n">
        <v>725.267</v>
      </c>
      <c r="E4" s="0" t="n">
        <v>29.7495273617454</v>
      </c>
      <c r="F4" s="0" t="n">
        <v>139.504</v>
      </c>
      <c r="G4" s="0" t="n">
        <v>5.72227616184512</v>
      </c>
      <c r="H4" s="0" t="n">
        <v>186.721</v>
      </c>
      <c r="I4" s="0" t="n">
        <v>51.326</v>
      </c>
      <c r="J4" s="0" t="n">
        <v>2.10532706074996</v>
      </c>
      <c r="K4" s="0" t="n">
        <v>0.38</v>
      </c>
      <c r="L4" s="0" t="n">
        <v>160.588</v>
      </c>
      <c r="M4" s="0" t="n">
        <v>87.463</v>
      </c>
      <c r="N4" s="0" t="n">
        <v>73.125</v>
      </c>
      <c r="O4" s="0" t="n">
        <v>513.771</v>
      </c>
      <c r="P4" s="0" t="n">
        <v>1172.404</v>
      </c>
      <c r="Q4" s="0" t="n">
        <v>658.633</v>
      </c>
      <c r="R4" s="0" t="n">
        <v>311.24</v>
      </c>
      <c r="S4" s="0" t="n">
        <v>77.652</v>
      </c>
      <c r="T4" s="0" t="n">
        <v>147.61656</v>
      </c>
      <c r="U4" s="0" t="n">
        <v>5.78</v>
      </c>
      <c r="AA4" s="0" t="s">
        <v>17</v>
      </c>
      <c r="AB4" s="0" t="s">
        <v>14</v>
      </c>
      <c r="AD4" s="0" t="n">
        <v>0.38</v>
      </c>
      <c r="AE4" s="0" t="n">
        <v>178</v>
      </c>
    </row>
    <row r="5" customFormat="false" ht="15" hidden="false" customHeight="false" outlineLevel="0" collapsed="false">
      <c r="A5" s="0" t="s">
        <v>99</v>
      </c>
      <c r="B5" s="0" t="n">
        <v>2967.424</v>
      </c>
      <c r="D5" s="0" t="n">
        <v>885.203</v>
      </c>
      <c r="E5" s="0" t="n">
        <v>29.8306881658974</v>
      </c>
      <c r="F5" s="0" t="n">
        <v>199.711</v>
      </c>
      <c r="G5" s="0" t="n">
        <v>6.73011339127809</v>
      </c>
      <c r="H5" s="0" t="n">
        <v>260.073</v>
      </c>
      <c r="I5" s="0" t="n">
        <v>107.692</v>
      </c>
      <c r="J5" s="0" t="n">
        <v>3.62914096536255</v>
      </c>
      <c r="K5" s="0" t="n">
        <v>0.72</v>
      </c>
      <c r="L5" s="0" t="n">
        <v>181.218</v>
      </c>
      <c r="M5" s="0" t="n">
        <v>127.065</v>
      </c>
      <c r="N5" s="0" t="n">
        <v>54.153</v>
      </c>
      <c r="O5" s="0" t="n">
        <v>685.389</v>
      </c>
      <c r="P5" s="0" t="n">
        <v>1369.073</v>
      </c>
      <c r="Q5" s="0" t="n">
        <v>683.684</v>
      </c>
      <c r="R5" s="0" t="n">
        <v>256.357</v>
      </c>
      <c r="S5" s="0" t="n">
        <v>130.513</v>
      </c>
      <c r="T5" s="0" t="n">
        <v>154.328</v>
      </c>
      <c r="U5" s="0" t="n">
        <v>5.355</v>
      </c>
      <c r="AA5" s="0" t="s">
        <v>17</v>
      </c>
      <c r="AB5" s="0" t="s">
        <v>14</v>
      </c>
      <c r="AC5" s="0" t="n">
        <v>4.44</v>
      </c>
      <c r="AD5" s="0" t="n">
        <v>0.72</v>
      </c>
      <c r="AE5" s="0" t="n">
        <v>203</v>
      </c>
    </row>
    <row r="6" customFormat="false" ht="15" hidden="false" customHeight="false" outlineLevel="0" collapsed="false">
      <c r="A6" s="0" t="s">
        <v>100</v>
      </c>
      <c r="B6" s="0" t="n">
        <v>3593.031</v>
      </c>
      <c r="D6" s="0" t="n">
        <v>1051.628</v>
      </c>
      <c r="E6" s="0" t="n">
        <v>29.2685479195699</v>
      </c>
      <c r="F6" s="0" t="n">
        <v>228.754</v>
      </c>
      <c r="G6" s="0" t="n">
        <v>6.36660245903807</v>
      </c>
      <c r="H6" s="0" t="n">
        <v>297.923</v>
      </c>
      <c r="I6" s="0" t="n">
        <v>128.991</v>
      </c>
      <c r="J6" s="0" t="n">
        <v>3.59003303895792</v>
      </c>
      <c r="K6" s="0" t="n">
        <v>0.84</v>
      </c>
      <c r="L6" s="0" t="n">
        <v>239.898</v>
      </c>
      <c r="M6" s="0" t="n">
        <v>125.313</v>
      </c>
      <c r="N6" s="0" t="n">
        <v>114.585</v>
      </c>
      <c r="O6" s="0" t="n">
        <v>822.992</v>
      </c>
      <c r="P6" s="0" t="n">
        <v>1426.364</v>
      </c>
      <c r="Q6" s="0" t="n">
        <v>603.372</v>
      </c>
      <c r="R6" s="0" t="n">
        <v>160</v>
      </c>
      <c r="S6" s="0" t="n">
        <v>136.069</v>
      </c>
      <c r="T6" s="0" t="n">
        <v>155.877</v>
      </c>
      <c r="U6" s="0" t="n">
        <v>8.018</v>
      </c>
      <c r="AA6" s="0" t="s">
        <v>17</v>
      </c>
      <c r="AB6" s="0" t="s">
        <v>14</v>
      </c>
      <c r="AC6" s="0" t="n">
        <v>5.28</v>
      </c>
      <c r="AD6" s="0" t="n">
        <v>0.84</v>
      </c>
      <c r="AE6" s="0" t="n">
        <v>217</v>
      </c>
    </row>
    <row r="7" customFormat="false" ht="15" hidden="false" customHeight="false" outlineLevel="0" collapsed="false">
      <c r="A7" s="0" t="s">
        <v>101</v>
      </c>
      <c r="B7" s="0" t="n">
        <v>4046.385</v>
      </c>
      <c r="C7" s="0" t="n">
        <v>2682.937</v>
      </c>
      <c r="D7" s="0" t="n">
        <v>1363.448</v>
      </c>
      <c r="E7" s="0" t="n">
        <v>33.6954590331864</v>
      </c>
      <c r="F7" s="0" t="n">
        <v>212.932</v>
      </c>
      <c r="G7" s="0" t="n">
        <v>5.2622773166666</v>
      </c>
      <c r="H7" s="0" t="n">
        <v>293.655</v>
      </c>
      <c r="I7" s="0" t="n">
        <v>124.306</v>
      </c>
      <c r="J7" s="0" t="n">
        <v>3.07202601828546</v>
      </c>
      <c r="K7" s="0" t="n">
        <v>0.84</v>
      </c>
      <c r="L7" s="0" t="n">
        <v>254.351</v>
      </c>
      <c r="M7" s="0" t="n">
        <v>181.018</v>
      </c>
      <c r="N7" s="0" t="n">
        <v>73.333</v>
      </c>
      <c r="O7" s="0" t="n">
        <v>672.909</v>
      </c>
      <c r="P7" s="0" t="n">
        <v>1439.893</v>
      </c>
      <c r="Q7" s="0" t="n">
        <v>766.984</v>
      </c>
      <c r="R7" s="0" t="n">
        <v>255</v>
      </c>
      <c r="S7" s="0" t="n">
        <v>12.465</v>
      </c>
      <c r="T7" s="0" t="n">
        <v>149.653</v>
      </c>
      <c r="U7" s="0" t="n">
        <v>13.399</v>
      </c>
      <c r="AA7" s="0" t="s">
        <v>17</v>
      </c>
      <c r="AB7" s="0" t="s">
        <v>14</v>
      </c>
      <c r="AC7" s="0" t="n">
        <v>4.5</v>
      </c>
      <c r="AD7" s="0" t="n">
        <v>0.84</v>
      </c>
      <c r="AE7" s="0" t="n">
        <v>253</v>
      </c>
    </row>
    <row r="8" customFormat="false" ht="15" hidden="false" customHeight="false" outlineLevel="0" collapsed="false">
      <c r="A8" s="0" t="s">
        <v>102</v>
      </c>
      <c r="B8" s="0" t="n">
        <v>4664.612</v>
      </c>
      <c r="C8" s="0" t="n">
        <v>3097.582</v>
      </c>
      <c r="D8" s="0" t="n">
        <v>1567.03</v>
      </c>
      <c r="E8" s="0" t="n">
        <v>33.5940052463099</v>
      </c>
      <c r="F8" s="0" t="n">
        <v>226.07</v>
      </c>
      <c r="G8" s="0" t="n">
        <v>4.84649098360164</v>
      </c>
      <c r="H8" s="0" t="n">
        <v>323.057</v>
      </c>
      <c r="I8" s="0" t="n">
        <v>158.44</v>
      </c>
      <c r="J8" s="0" t="n">
        <v>3.39663834848429</v>
      </c>
      <c r="K8" s="0" t="n">
        <v>1.17</v>
      </c>
      <c r="L8" s="0" t="n">
        <v>309.567</v>
      </c>
      <c r="M8" s="0" t="n">
        <v>198.624</v>
      </c>
      <c r="N8" s="0" t="n">
        <v>110.943</v>
      </c>
      <c r="O8" s="0" t="n">
        <v>650.694</v>
      </c>
      <c r="P8" s="0" t="n">
        <v>1581.603</v>
      </c>
      <c r="Q8" s="0" t="n">
        <v>930.909</v>
      </c>
      <c r="R8" s="0" t="n">
        <v>348</v>
      </c>
      <c r="S8" s="0" t="n">
        <v>19.479</v>
      </c>
      <c r="T8" s="0" t="n">
        <v>137.884</v>
      </c>
      <c r="U8" s="0" t="n">
        <v>14.221</v>
      </c>
      <c r="AA8" s="0" t="s">
        <v>17</v>
      </c>
      <c r="AB8" s="0" t="s">
        <v>14</v>
      </c>
      <c r="AE8" s="0" t="n">
        <v>285</v>
      </c>
    </row>
    <row r="9" customFormat="false" ht="15" hidden="false" customHeight="false" outlineLevel="0" collapsed="false">
      <c r="A9" s="0" t="s">
        <v>103</v>
      </c>
      <c r="B9" s="0" t="n">
        <v>5207.336</v>
      </c>
      <c r="C9" s="0" t="n">
        <v>3459.861</v>
      </c>
      <c r="D9" s="0" t="n">
        <v>1747.475</v>
      </c>
      <c r="E9" s="0" t="n">
        <v>33.5579459439529</v>
      </c>
      <c r="F9" s="0" t="n">
        <v>222.911</v>
      </c>
      <c r="G9" s="0" t="n">
        <v>4.28071090476973</v>
      </c>
      <c r="H9" s="0" t="n">
        <v>333.66</v>
      </c>
      <c r="I9" s="0" t="n">
        <v>158.536</v>
      </c>
      <c r="J9" s="0" t="n">
        <v>3.04447418027183</v>
      </c>
      <c r="K9" s="0" t="n">
        <v>1.23</v>
      </c>
      <c r="L9" s="0" t="n">
        <v>294.379</v>
      </c>
      <c r="M9" s="0" t="n">
        <v>177.082</v>
      </c>
      <c r="N9" s="0" t="n">
        <v>117.297</v>
      </c>
      <c r="O9" s="0" t="n">
        <v>589.196</v>
      </c>
      <c r="P9" s="0" t="n">
        <v>1675.614</v>
      </c>
      <c r="Q9" s="0" t="n">
        <v>1086.418</v>
      </c>
      <c r="R9" s="0" t="n">
        <v>453</v>
      </c>
      <c r="S9" s="0" t="n">
        <v>1.588</v>
      </c>
      <c r="T9" s="0" t="n">
        <v>129.776</v>
      </c>
      <c r="U9" s="0" t="n">
        <v>14.512</v>
      </c>
      <c r="AA9" s="0" t="s">
        <v>17</v>
      </c>
      <c r="AB9" s="0" t="s">
        <v>14</v>
      </c>
      <c r="AE9" s="0" t="n">
        <v>313</v>
      </c>
      <c r="AF9" s="0" t="n">
        <v>2.1</v>
      </c>
    </row>
    <row r="10" customFormat="false" ht="15" hidden="false" customHeight="false" outlineLevel="0" collapsed="false">
      <c r="A10" s="0" t="s">
        <v>104</v>
      </c>
      <c r="B10" s="0" t="n">
        <v>5634.835</v>
      </c>
      <c r="C10" s="0" t="n">
        <v>3740.017</v>
      </c>
      <c r="D10" s="0" t="n">
        <v>1894.818</v>
      </c>
      <c r="E10" s="0" t="n">
        <v>33.6268586391616</v>
      </c>
      <c r="F10" s="0" t="n">
        <v>217.36</v>
      </c>
      <c r="G10" s="0" t="n">
        <v>3.85743327000702</v>
      </c>
      <c r="H10" s="0" t="n">
        <v>340.164</v>
      </c>
      <c r="I10" s="0" t="n">
        <v>149.629</v>
      </c>
      <c r="J10" s="0" t="n">
        <v>2.65542824235315</v>
      </c>
      <c r="K10" s="0" t="n">
        <v>1.25</v>
      </c>
      <c r="L10" s="0" t="n">
        <v>355.21</v>
      </c>
      <c r="M10" s="0" t="n">
        <v>183.232</v>
      </c>
      <c r="N10" s="0" t="n">
        <v>171.978</v>
      </c>
      <c r="O10" s="0" t="n">
        <v>581.952</v>
      </c>
      <c r="P10" s="0" t="n">
        <v>2722.983</v>
      </c>
      <c r="Q10" s="0" t="n">
        <v>2141.031</v>
      </c>
      <c r="S10" s="0" t="n">
        <v>85.314</v>
      </c>
      <c r="T10" s="0" t="n">
        <v>119.742</v>
      </c>
      <c r="U10" s="0" t="n">
        <v>8.949</v>
      </c>
      <c r="AA10" s="0" t="s">
        <v>17</v>
      </c>
      <c r="AB10" s="0" t="s">
        <v>14</v>
      </c>
      <c r="AD10" s="0" t="n">
        <v>1.25</v>
      </c>
      <c r="AE10" s="0" t="n">
        <v>340</v>
      </c>
      <c r="AF10" s="0" t="n">
        <v>1.1</v>
      </c>
    </row>
    <row r="11" customFormat="false" ht="15" hidden="false" customHeight="false" outlineLevel="0" collapsed="false">
      <c r="A11" s="0" t="s">
        <v>105</v>
      </c>
      <c r="B11" s="0" t="n">
        <v>6468.759</v>
      </c>
      <c r="C11" s="0" t="n">
        <v>4089.47</v>
      </c>
      <c r="D11" s="0" t="n">
        <v>2379.289</v>
      </c>
      <c r="E11" s="0" t="n">
        <v>36.7812280531706</v>
      </c>
      <c r="F11" s="0" t="n">
        <v>391.665</v>
      </c>
      <c r="G11" s="0" t="n">
        <v>6.05471621372817</v>
      </c>
      <c r="H11" s="0" t="n">
        <v>518.172</v>
      </c>
      <c r="I11" s="0" t="n">
        <v>287.45</v>
      </c>
      <c r="J11" s="0" t="n">
        <v>4.44366531509367</v>
      </c>
      <c r="K11" s="0" t="n">
        <v>2.44</v>
      </c>
      <c r="L11" s="0" t="n">
        <v>494.035</v>
      </c>
      <c r="M11" s="0" t="n">
        <v>121.968</v>
      </c>
      <c r="N11" s="0" t="n">
        <v>372.067</v>
      </c>
      <c r="O11" s="0" t="n">
        <v>881.293</v>
      </c>
      <c r="P11" s="0" t="n">
        <v>2806.404</v>
      </c>
      <c r="Q11" s="0" t="n">
        <v>1925.111</v>
      </c>
      <c r="R11" s="0" t="n">
        <v>250</v>
      </c>
      <c r="S11" s="0" t="n">
        <v>169.697</v>
      </c>
      <c r="T11" s="0" t="n">
        <v>118.224</v>
      </c>
      <c r="U11" s="0" t="n">
        <v>14.339</v>
      </c>
      <c r="AA11" s="0" t="s">
        <v>17</v>
      </c>
      <c r="AB11" s="0" t="s">
        <v>14</v>
      </c>
      <c r="AC11" s="0" t="n">
        <v>7.45</v>
      </c>
      <c r="AD11" s="0" t="n">
        <v>2.44</v>
      </c>
      <c r="AE11" s="0" t="n">
        <v>362</v>
      </c>
      <c r="AF11" s="0" t="n">
        <v>6.9</v>
      </c>
    </row>
    <row r="12" customFormat="false" ht="15" hidden="false" customHeight="false" outlineLevel="0" collapsed="false">
      <c r="A12" s="0" t="s">
        <v>106</v>
      </c>
      <c r="B12" s="0" t="n">
        <v>6099.869</v>
      </c>
      <c r="C12" s="0" t="n">
        <v>3890.657</v>
      </c>
      <c r="D12" s="0" t="n">
        <v>2209.212</v>
      </c>
      <c r="E12" s="0" t="n">
        <v>36.2173679467543</v>
      </c>
      <c r="F12" s="0" t="n">
        <v>334.076</v>
      </c>
      <c r="G12" s="0" t="n">
        <v>5.47677335365727</v>
      </c>
      <c r="H12" s="0" t="n">
        <v>459.617</v>
      </c>
      <c r="I12" s="0" t="n">
        <v>244.157</v>
      </c>
      <c r="J12" s="0" t="n">
        <v>4.00265972924992</v>
      </c>
      <c r="K12" s="0" t="n">
        <v>2.12</v>
      </c>
      <c r="L12" s="0" t="n">
        <v>364.799</v>
      </c>
      <c r="M12" s="0" t="n">
        <v>102.378</v>
      </c>
      <c r="N12" s="0" t="n">
        <v>262.421</v>
      </c>
      <c r="O12" s="0" t="n">
        <v>959.876</v>
      </c>
      <c r="P12" s="0" t="n">
        <v>2923.115</v>
      </c>
      <c r="Q12" s="0" t="n">
        <v>1963.239</v>
      </c>
      <c r="R12" s="0" t="n">
        <v>250</v>
      </c>
      <c r="S12" s="0" t="n">
        <v>245.287</v>
      </c>
      <c r="T12" s="0" t="n">
        <v>116.077</v>
      </c>
      <c r="U12" s="0" t="n">
        <v>15.883</v>
      </c>
      <c r="AA12" s="0" t="s">
        <v>17</v>
      </c>
      <c r="AB12" s="0" t="s">
        <v>14</v>
      </c>
      <c r="AC12" s="0" t="n">
        <v>8.27</v>
      </c>
      <c r="AD12" s="0" t="n">
        <v>2.12</v>
      </c>
      <c r="AE12" s="0" t="n">
        <v>374</v>
      </c>
      <c r="AF12" s="0" t="n">
        <v>-6.7</v>
      </c>
    </row>
    <row r="13" customFormat="false" ht="15" hidden="false" customHeight="false" outlineLevel="0" collapsed="false">
      <c r="A13" s="0" t="s">
        <v>107</v>
      </c>
      <c r="B13" s="0" t="n">
        <v>6404.223</v>
      </c>
      <c r="C13" s="0" t="n">
        <v>4055.659</v>
      </c>
      <c r="D13" s="0" t="n">
        <v>2348.564</v>
      </c>
      <c r="E13" s="0" t="n">
        <v>36.6721146343592</v>
      </c>
      <c r="F13" s="0" t="n">
        <v>358.36</v>
      </c>
      <c r="G13" s="0" t="n">
        <v>5.59568272372777</v>
      </c>
      <c r="H13" s="0" t="n">
        <v>485.427</v>
      </c>
      <c r="I13" s="0" t="n">
        <v>261.164</v>
      </c>
      <c r="J13" s="0" t="n">
        <v>4.07799665939178</v>
      </c>
      <c r="K13" s="0" t="n">
        <v>2.41</v>
      </c>
      <c r="L13" s="0" t="n">
        <v>371.329</v>
      </c>
      <c r="M13" s="0" t="n">
        <v>124.01</v>
      </c>
      <c r="N13" s="0" t="n">
        <v>247.319</v>
      </c>
      <c r="O13" s="0" t="n">
        <v>1046.462</v>
      </c>
      <c r="P13" s="0" t="n">
        <v>3070.38</v>
      </c>
      <c r="Q13" s="0" t="n">
        <v>2023.918</v>
      </c>
      <c r="R13" s="0" t="n">
        <v>250</v>
      </c>
      <c r="S13" s="0" t="n">
        <v>293.233</v>
      </c>
      <c r="T13" s="0" t="n">
        <v>109.139</v>
      </c>
      <c r="U13" s="0" t="n">
        <v>16.603</v>
      </c>
      <c r="AA13" s="0" t="s">
        <v>17</v>
      </c>
      <c r="AB13" s="0" t="s">
        <v>14</v>
      </c>
      <c r="AC13" s="0" t="n">
        <v>9.59</v>
      </c>
      <c r="AD13" s="0" t="n">
        <v>2.41</v>
      </c>
      <c r="AE13" s="0" t="n">
        <v>386</v>
      </c>
      <c r="AF13" s="0" t="n">
        <v>2.2</v>
      </c>
    </row>
    <row r="14" customFormat="false" ht="15" hidden="false" customHeight="false" outlineLevel="0" collapsed="false">
      <c r="A14" s="0" t="s">
        <v>108</v>
      </c>
      <c r="B14" s="0" t="n">
        <v>6837.384</v>
      </c>
      <c r="C14" s="0" t="n">
        <v>4315.543</v>
      </c>
      <c r="D14" s="0" t="n">
        <v>2521.841</v>
      </c>
      <c r="E14" s="0" t="n">
        <v>36.8831266460974</v>
      </c>
      <c r="F14" s="0" t="n">
        <v>350.231</v>
      </c>
      <c r="G14" s="0" t="n">
        <v>5.12229531060417</v>
      </c>
      <c r="H14" s="0" t="n">
        <v>488.042</v>
      </c>
      <c r="I14" s="0" t="n">
        <v>258.856</v>
      </c>
      <c r="J14" s="0" t="n">
        <v>3.78589238223274</v>
      </c>
      <c r="K14" s="0" t="n">
        <v>2.53</v>
      </c>
      <c r="L14" s="0" t="n">
        <v>465.068</v>
      </c>
      <c r="M14" s="0" t="n">
        <v>225.31</v>
      </c>
      <c r="N14" s="0" t="n">
        <v>239.758</v>
      </c>
      <c r="O14" s="0" t="n">
        <v>1148.547</v>
      </c>
      <c r="P14" s="0" t="n">
        <v>3327.428</v>
      </c>
      <c r="Q14" s="0" t="n">
        <v>2178.881</v>
      </c>
      <c r="R14" s="0" t="n">
        <v>125</v>
      </c>
      <c r="S14" s="0" t="n">
        <v>201.794</v>
      </c>
      <c r="T14" s="0" t="n">
        <v>103.39</v>
      </c>
      <c r="U14" s="0" t="n">
        <v>18.898</v>
      </c>
      <c r="AA14" s="0" t="s">
        <v>17</v>
      </c>
      <c r="AB14" s="0" t="s">
        <v>14</v>
      </c>
      <c r="AC14" s="0" t="n">
        <v>11.11</v>
      </c>
      <c r="AD14" s="0" t="n">
        <v>2.53</v>
      </c>
      <c r="AE14" s="0" t="n">
        <v>407</v>
      </c>
      <c r="AF14" s="0" t="n">
        <v>3.4</v>
      </c>
    </row>
    <row r="15" customFormat="false" ht="15" hidden="false" customHeight="false" outlineLevel="0" collapsed="false">
      <c r="A15" s="0" t="s">
        <v>109</v>
      </c>
      <c r="B15" s="0" t="n">
        <v>7719.29</v>
      </c>
      <c r="C15" s="0" t="n">
        <v>4777.799</v>
      </c>
      <c r="D15" s="0" t="n">
        <v>2941.491</v>
      </c>
      <c r="E15" s="0" t="n">
        <v>38.1057195674732</v>
      </c>
      <c r="F15" s="0" t="n">
        <v>504.497</v>
      </c>
      <c r="G15" s="0" t="n">
        <v>6.53553629932287</v>
      </c>
      <c r="H15" s="0" t="n">
        <v>644.661</v>
      </c>
      <c r="I15" s="0" t="n">
        <v>380.601</v>
      </c>
      <c r="J15" s="0" t="n">
        <v>4.93051822123537</v>
      </c>
      <c r="K15" s="0" t="n">
        <v>3.79</v>
      </c>
      <c r="L15" s="0" t="n">
        <v>645.214</v>
      </c>
      <c r="M15" s="0" t="n">
        <v>230.375</v>
      </c>
      <c r="N15" s="0" t="n">
        <v>414.839</v>
      </c>
      <c r="O15" s="0" t="n">
        <v>1321.893</v>
      </c>
      <c r="P15" s="0" t="n">
        <v>3640.699</v>
      </c>
      <c r="Q15" s="0" t="n">
        <v>2318.806</v>
      </c>
      <c r="R15" s="0" t="n">
        <v>0</v>
      </c>
      <c r="S15" s="0" t="n">
        <v>265.159</v>
      </c>
      <c r="T15" s="0" t="n">
        <v>101.379</v>
      </c>
      <c r="U15" s="0" t="n">
        <v>28.417</v>
      </c>
      <c r="AA15" s="0" t="s">
        <v>17</v>
      </c>
      <c r="AB15" s="0" t="s">
        <v>14</v>
      </c>
      <c r="AC15" s="0" t="n">
        <v>13.31</v>
      </c>
      <c r="AD15" s="0" t="n">
        <v>3.79</v>
      </c>
      <c r="AE15" s="0" t="n">
        <v>440</v>
      </c>
      <c r="AF15" s="0" t="n">
        <v>7.6</v>
      </c>
    </row>
    <row r="16" customFormat="false" ht="15" hidden="false" customHeight="false" outlineLevel="0" collapsed="false">
      <c r="A16" s="0" t="s">
        <v>110</v>
      </c>
      <c r="B16" s="0" t="n">
        <v>8806.159</v>
      </c>
      <c r="C16" s="0" t="n">
        <v>5389.77</v>
      </c>
      <c r="D16" s="0" t="n">
        <v>3416.389</v>
      </c>
      <c r="E16" s="0" t="n">
        <v>38.7954498663947</v>
      </c>
      <c r="F16" s="0" t="n">
        <v>686.158</v>
      </c>
      <c r="G16" s="0" t="n">
        <v>7.79179662779198</v>
      </c>
      <c r="H16" s="0" t="n">
        <v>843.88</v>
      </c>
      <c r="I16" s="0" t="n">
        <v>523.67</v>
      </c>
      <c r="J16" s="0" t="n">
        <v>5.94663348685846</v>
      </c>
      <c r="K16" s="0" t="n">
        <v>5.36</v>
      </c>
      <c r="L16" s="0" t="n">
        <v>715.998</v>
      </c>
      <c r="M16" s="0" t="n">
        <v>248.267</v>
      </c>
      <c r="N16" s="0" t="n">
        <v>467.731</v>
      </c>
      <c r="O16" s="0" t="n">
        <v>1403.074</v>
      </c>
      <c r="P16" s="0" t="n">
        <v>4158.649</v>
      </c>
      <c r="Q16" s="0" t="n">
        <v>2755.575</v>
      </c>
      <c r="R16" s="0" t="n">
        <v>0</v>
      </c>
      <c r="S16" s="0" t="n">
        <v>257.282</v>
      </c>
      <c r="T16" s="0" t="n">
        <v>98.704</v>
      </c>
      <c r="U16" s="0" t="n">
        <v>31.103</v>
      </c>
      <c r="AA16" s="0" t="s">
        <v>17</v>
      </c>
      <c r="AB16" s="0" t="s">
        <v>14</v>
      </c>
      <c r="AC16" s="0" t="n">
        <v>14.63</v>
      </c>
      <c r="AD16" s="0" t="n">
        <v>5.36</v>
      </c>
      <c r="AE16" s="0" t="n">
        <v>477</v>
      </c>
      <c r="AF16" s="0" t="n">
        <v>7.3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111</v>
      </c>
      <c r="B1" s="2" t="s">
        <v>37</v>
      </c>
    </row>
    <row r="2" customFormat="false" ht="15" hidden="false" customHeight="false" outlineLevel="0" collapsed="false">
      <c r="A2" s="0" t="s">
        <v>112</v>
      </c>
      <c r="B2" s="3" t="n">
        <v>49.7</v>
      </c>
    </row>
    <row r="3" customFormat="false" ht="15" hidden="false" customHeight="false" outlineLevel="0" collapsed="false">
      <c r="A3" s="0" t="s">
        <v>113</v>
      </c>
      <c r="B3" s="3" t="n">
        <v>93.666</v>
      </c>
    </row>
    <row r="4" customFormat="false" ht="15" hidden="false" customHeight="false" outlineLevel="0" collapsed="false">
      <c r="A4" s="0" t="s">
        <v>114</v>
      </c>
      <c r="B4" s="3" t="n">
        <v>-95.578</v>
      </c>
    </row>
    <row r="5" customFormat="false" ht="15" hidden="false" customHeight="false" outlineLevel="0" collapsed="false">
      <c r="A5" s="0" t="s">
        <v>115</v>
      </c>
      <c r="B5" s="3" t="n">
        <v>0</v>
      </c>
    </row>
    <row r="6" customFormat="false" ht="15" hidden="false" customHeight="false" outlineLevel="0" collapsed="false">
      <c r="A6" s="0" t="s">
        <v>116</v>
      </c>
      <c r="B6" s="3" t="n">
        <v>15</v>
      </c>
    </row>
    <row r="7" customFormat="false" ht="15" hidden="false" customHeight="false" outlineLevel="0" collapsed="false">
      <c r="A7" s="0" t="s">
        <v>117</v>
      </c>
      <c r="B7" s="3" t="n">
        <v>8806.159</v>
      </c>
    </row>
    <row r="8" customFormat="false" ht="15" hidden="false" customHeight="false" outlineLevel="0" collapsed="false">
      <c r="A8" s="0" t="s">
        <v>118</v>
      </c>
      <c r="B8" s="3" t="s">
        <v>110</v>
      </c>
    </row>
    <row r="9" customFormat="false" ht="15" hidden="false" customHeight="false" outlineLevel="0" collapsed="false">
      <c r="A9" s="0" t="s">
        <v>119</v>
      </c>
      <c r="B9" s="3" t="s">
        <v>120</v>
      </c>
    </row>
    <row r="10" customFormat="false" ht="15" hidden="false" customHeight="false" outlineLevel="0" collapsed="false">
      <c r="A10" s="0" t="s">
        <v>121</v>
      </c>
      <c r="B10" s="3" t="n">
        <v>1</v>
      </c>
    </row>
    <row r="12" customFormat="false" ht="15" hidden="false" customHeight="false" outlineLevel="0" collapsed="false">
      <c r="A12" s="2" t="s">
        <v>122</v>
      </c>
      <c r="C12" s="2" t="s">
        <v>123</v>
      </c>
      <c r="D12" s="2" t="s">
        <v>124</v>
      </c>
      <c r="E12" s="2" t="s">
        <v>125</v>
      </c>
      <c r="F12" s="2" t="s">
        <v>126</v>
      </c>
      <c r="G12" s="2" t="s">
        <v>127</v>
      </c>
      <c r="H12" s="2" t="s">
        <v>128</v>
      </c>
      <c r="I12" s="2" t="s">
        <v>129</v>
      </c>
      <c r="J12" s="2" t="s">
        <v>130</v>
      </c>
      <c r="K12" s="2" t="s">
        <v>131</v>
      </c>
      <c r="L12" s="2" t="s">
        <v>132</v>
      </c>
    </row>
    <row r="13" customFormat="false" ht="15" hidden="false" customHeight="false" outlineLevel="0" collapsed="false">
      <c r="A13" s="0" t="s">
        <v>133</v>
      </c>
      <c r="C13" s="3" t="n">
        <v>6.2</v>
      </c>
      <c r="D13" s="3" t="n">
        <v>0.5</v>
      </c>
      <c r="E13" s="3" t="n">
        <v>3</v>
      </c>
      <c r="F13" s="3" t="n">
        <v>3</v>
      </c>
      <c r="G13" s="3" t="n">
        <v>3</v>
      </c>
      <c r="H13" s="3" t="n">
        <v>2.5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134</v>
      </c>
      <c r="C14" s="3" t="n">
        <v>8.6</v>
      </c>
      <c r="D14" s="3" t="n">
        <v>7.4</v>
      </c>
      <c r="E14" s="3" t="n">
        <v>7.3</v>
      </c>
      <c r="F14" s="3" t="n">
        <v>7.3</v>
      </c>
      <c r="G14" s="3" t="n">
        <v>7.3</v>
      </c>
      <c r="H14" s="3" t="n">
        <v>7.3</v>
      </c>
      <c r="I14" s="3" t="n">
        <v>7.3</v>
      </c>
      <c r="J14" s="3" t="n">
        <v>7.3</v>
      </c>
      <c r="K14" s="3" t="n">
        <v>7.3</v>
      </c>
      <c r="L14" s="3" t="n">
        <v>7.3</v>
      </c>
    </row>
    <row r="15" customFormat="false" ht="15" hidden="false" customHeight="false" outlineLevel="0" collapsed="false">
      <c r="A15" s="0" t="s">
        <v>135</v>
      </c>
      <c r="C15" s="3" t="n">
        <v>0.3</v>
      </c>
      <c r="D15" s="3" t="n">
        <v>0.3</v>
      </c>
      <c r="E15" s="3" t="n">
        <v>0.3</v>
      </c>
      <c r="F15" s="3" t="n">
        <v>0.3</v>
      </c>
      <c r="G15" s="3" t="n">
        <v>0.3</v>
      </c>
      <c r="H15" s="3" t="n">
        <v>0.3</v>
      </c>
      <c r="I15" s="3" t="n">
        <v>0.3</v>
      </c>
      <c r="J15" s="3" t="n">
        <v>0.3</v>
      </c>
      <c r="K15" s="3" t="n">
        <v>0.3</v>
      </c>
      <c r="L15" s="3" t="n">
        <v>0.3</v>
      </c>
    </row>
    <row r="16" customFormat="false" ht="15" hidden="false" customHeight="false" outlineLevel="0" collapsed="false">
      <c r="A16" s="0" t="s">
        <v>136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137</v>
      </c>
      <c r="C17" s="3" t="n">
        <v>2</v>
      </c>
      <c r="D17" s="3" t="n">
        <v>2.1</v>
      </c>
      <c r="E17" s="3" t="n">
        <v>2.15</v>
      </c>
      <c r="F17" s="3" t="n">
        <v>2.2</v>
      </c>
      <c r="G17" s="3" t="n">
        <v>2.2</v>
      </c>
      <c r="H17" s="3" t="n">
        <v>2.2</v>
      </c>
      <c r="I17" s="3" t="n">
        <v>2.2</v>
      </c>
      <c r="J17" s="3" t="n">
        <v>2.2</v>
      </c>
      <c r="K17" s="3" t="n">
        <v>2.2</v>
      </c>
      <c r="L17" s="3" t="n">
        <v>2.2</v>
      </c>
    </row>
    <row r="18" customFormat="false" ht="15" hidden="false" customHeight="false" outlineLevel="0" collapsed="false">
      <c r="A18" s="0" t="s">
        <v>138</v>
      </c>
      <c r="C18" s="3" t="n">
        <v>3.6</v>
      </c>
      <c r="D18" s="3" t="n">
        <v>3.1</v>
      </c>
      <c r="E18" s="3" t="n">
        <v>2.8</v>
      </c>
      <c r="F18" s="3" t="n">
        <v>2.6</v>
      </c>
      <c r="G18" s="3" t="n">
        <v>2.5</v>
      </c>
      <c r="H18" s="3" t="n">
        <v>2.5</v>
      </c>
      <c r="I18" s="3" t="n">
        <v>2.5</v>
      </c>
      <c r="J18" s="3" t="n">
        <v>2.5</v>
      </c>
      <c r="K18" s="3" t="n">
        <v>2.5</v>
      </c>
      <c r="L18" s="3" t="n">
        <v>2.5</v>
      </c>
    </row>
    <row r="19" customFormat="false" ht="15" hidden="false" customHeight="false" outlineLevel="0" collapsed="false">
      <c r="A19" s="0" t="s">
        <v>139</v>
      </c>
      <c r="C19" s="3" t="n">
        <v>21</v>
      </c>
      <c r="D19" s="3" t="n">
        <v>22</v>
      </c>
      <c r="E19" s="3" t="n">
        <v>23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140</v>
      </c>
      <c r="B20" s="3" t="n">
        <v>9</v>
      </c>
    </row>
    <row r="21" customFormat="false" ht="15" hidden="false" customHeight="false" outlineLevel="0" collapsed="false">
      <c r="A21" s="0" t="s">
        <v>141</v>
      </c>
      <c r="B21" s="3" t="n">
        <v>2</v>
      </c>
    </row>
    <row r="22" customFormat="false" ht="15" hidden="false" customHeight="false" outlineLevel="0" collapsed="false">
      <c r="A22" s="0" t="s">
        <v>142</v>
      </c>
      <c r="B22" s="3" t="n">
        <v>14</v>
      </c>
    </row>
    <row r="23" customFormat="false" ht="15" hidden="false" customHeight="false" outlineLevel="0" collapsed="false">
      <c r="A23" s="0" t="s">
        <v>143</v>
      </c>
      <c r="B23" s="3" t="n">
        <v>2</v>
      </c>
    </row>
    <row r="24" customFormat="false" ht="15" hidden="false" customHeight="false" outlineLevel="0" collapsed="false">
      <c r="A24" s="0" t="s">
        <v>144</v>
      </c>
      <c r="B24" s="3" t="n">
        <v>0.3</v>
      </c>
    </row>
    <row r="26" customFormat="false" ht="15" hidden="false" customHeight="false" outlineLevel="0" collapsed="false">
      <c r="A26" s="2" t="s">
        <v>145</v>
      </c>
      <c r="C26" s="2" t="s">
        <v>123</v>
      </c>
      <c r="D26" s="2" t="s">
        <v>124</v>
      </c>
      <c r="E26" s="2" t="s">
        <v>125</v>
      </c>
      <c r="F26" s="2" t="s">
        <v>126</v>
      </c>
      <c r="G26" s="2" t="s">
        <v>127</v>
      </c>
      <c r="H26" s="2" t="s">
        <v>128</v>
      </c>
      <c r="I26" s="2" t="s">
        <v>129</v>
      </c>
      <c r="J26" s="2" t="s">
        <v>130</v>
      </c>
      <c r="K26" s="2" t="s">
        <v>131</v>
      </c>
      <c r="L26" s="2" t="s">
        <v>132</v>
      </c>
    </row>
    <row r="27" customFormat="false" ht="15" hidden="false" customHeight="false" outlineLevel="0" collapsed="false">
      <c r="A27" s="0" t="s">
        <v>133</v>
      </c>
      <c r="C27" s="3" t="n">
        <v>6.4</v>
      </c>
      <c r="D27" s="3" t="n">
        <v>3</v>
      </c>
      <c r="E27" s="3" t="n">
        <v>5.5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134</v>
      </c>
      <c r="C28" s="3" t="n">
        <v>8.7</v>
      </c>
      <c r="D28" s="3" t="n">
        <v>7.9</v>
      </c>
      <c r="E28" s="3" t="n">
        <v>8.1</v>
      </c>
      <c r="F28" s="3" t="n">
        <v>8.3</v>
      </c>
      <c r="G28" s="3" t="n">
        <v>8.5</v>
      </c>
      <c r="H28" s="3" t="n">
        <v>8.5</v>
      </c>
      <c r="I28" s="3" t="n">
        <v>8.5</v>
      </c>
      <c r="J28" s="3" t="n">
        <v>8.5</v>
      </c>
      <c r="K28" s="3" t="n">
        <v>8.5</v>
      </c>
      <c r="L28" s="3" t="n">
        <v>8.5</v>
      </c>
    </row>
    <row r="29" customFormat="false" ht="15" hidden="false" customHeight="false" outlineLevel="0" collapsed="false">
      <c r="A29" s="0" t="s">
        <v>135</v>
      </c>
      <c r="C29" s="3" t="n">
        <v>0.3</v>
      </c>
      <c r="D29" s="3" t="n">
        <v>0.3</v>
      </c>
      <c r="E29" s="3" t="n">
        <v>0.3</v>
      </c>
      <c r="F29" s="3" t="n">
        <v>0.3</v>
      </c>
      <c r="G29" s="3" t="n">
        <v>0.3</v>
      </c>
      <c r="H29" s="3" t="n">
        <v>0.3</v>
      </c>
      <c r="I29" s="3" t="n">
        <v>0.3</v>
      </c>
      <c r="J29" s="3" t="n">
        <v>0.3</v>
      </c>
      <c r="K29" s="3" t="n">
        <v>0.3</v>
      </c>
      <c r="L29" s="3" t="n">
        <v>0.3</v>
      </c>
    </row>
    <row r="30" customFormat="false" ht="15" hidden="false" customHeight="false" outlineLevel="0" collapsed="false">
      <c r="A30" s="0" t="s">
        <v>136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137</v>
      </c>
      <c r="C31" s="3" t="n">
        <v>2</v>
      </c>
      <c r="D31" s="3" t="n">
        <v>2.05</v>
      </c>
      <c r="E31" s="3" t="n">
        <v>2.1</v>
      </c>
      <c r="F31" s="3" t="n">
        <v>2.1</v>
      </c>
      <c r="G31" s="3" t="n">
        <v>2.1</v>
      </c>
      <c r="H31" s="3" t="n">
        <v>2.1</v>
      </c>
      <c r="I31" s="3" t="n">
        <v>2.1</v>
      </c>
      <c r="J31" s="3" t="n">
        <v>2.1</v>
      </c>
      <c r="K31" s="3" t="n">
        <v>2.1</v>
      </c>
      <c r="L31" s="3" t="n">
        <v>2.1</v>
      </c>
    </row>
    <row r="32" customFormat="false" ht="15" hidden="false" customHeight="false" outlineLevel="0" collapsed="false">
      <c r="A32" s="0" t="s">
        <v>138</v>
      </c>
      <c r="C32" s="3" t="n">
        <v>3.6</v>
      </c>
      <c r="D32" s="3" t="n">
        <v>3.4</v>
      </c>
      <c r="E32" s="3" t="n">
        <v>3.2</v>
      </c>
      <c r="F32" s="3" t="n">
        <v>3.1</v>
      </c>
      <c r="G32" s="3" t="n">
        <v>3</v>
      </c>
      <c r="H32" s="3" t="n">
        <v>3</v>
      </c>
      <c r="I32" s="3" t="n">
        <v>2.9</v>
      </c>
      <c r="J32" s="3" t="n">
        <v>2.8</v>
      </c>
      <c r="K32" s="3" t="n">
        <v>2.8</v>
      </c>
      <c r="L32" s="3" t="n">
        <v>2.8</v>
      </c>
    </row>
    <row r="33" customFormat="false" ht="15" hidden="false" customHeight="false" outlineLevel="0" collapsed="false">
      <c r="A33" s="0" t="s">
        <v>139</v>
      </c>
      <c r="C33" s="3" t="n">
        <v>21</v>
      </c>
      <c r="D33" s="3" t="n">
        <v>22</v>
      </c>
      <c r="E33" s="3" t="n">
        <v>23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140</v>
      </c>
      <c r="B34" s="3" t="n">
        <v>9</v>
      </c>
    </row>
    <row r="35" customFormat="false" ht="15" hidden="false" customHeight="false" outlineLevel="0" collapsed="false">
      <c r="A35" s="0" t="s">
        <v>141</v>
      </c>
      <c r="B35" s="3" t="n">
        <v>2.5</v>
      </c>
    </row>
    <row r="36" customFormat="false" ht="15" hidden="false" customHeight="false" outlineLevel="0" collapsed="false">
      <c r="A36" s="0" t="s">
        <v>142</v>
      </c>
      <c r="B36" s="3" t="n">
        <v>16</v>
      </c>
    </row>
    <row r="37" customFormat="false" ht="15" hidden="false" customHeight="false" outlineLevel="0" collapsed="false">
      <c r="A37" s="0" t="s">
        <v>143</v>
      </c>
      <c r="B37" s="3" t="n">
        <v>2</v>
      </c>
    </row>
    <row r="38" customFormat="false" ht="15" hidden="false" customHeight="false" outlineLevel="0" collapsed="false">
      <c r="A38" s="0" t="s">
        <v>144</v>
      </c>
      <c r="B38" s="3" t="n">
        <v>0.5</v>
      </c>
    </row>
    <row r="40" customFormat="false" ht="15" hidden="false" customHeight="false" outlineLevel="0" collapsed="false">
      <c r="A40" s="2" t="s">
        <v>146</v>
      </c>
      <c r="C40" s="2" t="s">
        <v>123</v>
      </c>
      <c r="D40" s="2" t="s">
        <v>124</v>
      </c>
      <c r="E40" s="2" t="s">
        <v>125</v>
      </c>
      <c r="F40" s="2" t="s">
        <v>126</v>
      </c>
      <c r="G40" s="2" t="s">
        <v>127</v>
      </c>
      <c r="H40" s="2" t="s">
        <v>128</v>
      </c>
      <c r="I40" s="2" t="s">
        <v>129</v>
      </c>
      <c r="J40" s="2" t="s">
        <v>130</v>
      </c>
      <c r="K40" s="2" t="s">
        <v>131</v>
      </c>
      <c r="L40" s="2" t="s">
        <v>132</v>
      </c>
    </row>
    <row r="41" customFormat="false" ht="15" hidden="false" customHeight="false" outlineLevel="0" collapsed="false">
      <c r="A41" s="0" t="s">
        <v>133</v>
      </c>
      <c r="C41" s="3" t="n">
        <v>6.6</v>
      </c>
      <c r="D41" s="3" t="n">
        <v>5</v>
      </c>
      <c r="E41" s="3" t="n">
        <v>8</v>
      </c>
      <c r="F41" s="3" t="n">
        <v>7</v>
      </c>
      <c r="G41" s="3" t="n">
        <v>6</v>
      </c>
      <c r="H41" s="3" t="n">
        <v>5.5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134</v>
      </c>
      <c r="C42" s="3" t="n">
        <v>8.8</v>
      </c>
      <c r="D42" s="3" t="n">
        <v>8.3</v>
      </c>
      <c r="E42" s="3" t="n">
        <v>8.8</v>
      </c>
      <c r="F42" s="3" t="n">
        <v>9.2</v>
      </c>
      <c r="G42" s="3" t="n">
        <v>9.5</v>
      </c>
      <c r="H42" s="3" t="n">
        <v>9.6</v>
      </c>
      <c r="I42" s="3" t="n">
        <v>9.6</v>
      </c>
      <c r="J42" s="3" t="n">
        <v>9.6</v>
      </c>
      <c r="K42" s="3" t="n">
        <v>9.6</v>
      </c>
      <c r="L42" s="3" t="n">
        <v>9.6</v>
      </c>
    </row>
    <row r="43" customFormat="false" ht="15" hidden="false" customHeight="false" outlineLevel="0" collapsed="false">
      <c r="A43" s="0" t="s">
        <v>135</v>
      </c>
      <c r="C43" s="3" t="n">
        <v>0.3</v>
      </c>
      <c r="D43" s="3" t="n">
        <v>0.3</v>
      </c>
      <c r="E43" s="3" t="n">
        <v>0.3</v>
      </c>
      <c r="F43" s="3" t="n">
        <v>0.3</v>
      </c>
      <c r="G43" s="3" t="n">
        <v>0.3</v>
      </c>
      <c r="H43" s="3" t="n">
        <v>0.3</v>
      </c>
      <c r="I43" s="3" t="n">
        <v>0.3</v>
      </c>
      <c r="J43" s="3" t="n">
        <v>0.3</v>
      </c>
      <c r="K43" s="3" t="n">
        <v>0.3</v>
      </c>
      <c r="L43" s="3" t="n">
        <v>0.3</v>
      </c>
    </row>
    <row r="44" customFormat="false" ht="15" hidden="false" customHeight="false" outlineLevel="0" collapsed="false">
      <c r="A44" s="0" t="s">
        <v>136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137</v>
      </c>
      <c r="C45" s="3" t="n">
        <v>2</v>
      </c>
      <c r="D45" s="3" t="n">
        <v>2.05</v>
      </c>
      <c r="E45" s="3" t="n">
        <v>2.1</v>
      </c>
      <c r="F45" s="3" t="n">
        <v>2.1</v>
      </c>
      <c r="G45" s="3" t="n">
        <v>2.1</v>
      </c>
      <c r="H45" s="3" t="n">
        <v>2.1</v>
      </c>
      <c r="I45" s="3" t="n">
        <v>2.1</v>
      </c>
      <c r="J45" s="3" t="n">
        <v>2.1</v>
      </c>
      <c r="K45" s="3" t="n">
        <v>2.1</v>
      </c>
      <c r="L45" s="3" t="n">
        <v>2.1</v>
      </c>
    </row>
    <row r="46" customFormat="false" ht="15" hidden="false" customHeight="false" outlineLevel="0" collapsed="false">
      <c r="A46" s="0" t="s">
        <v>138</v>
      </c>
      <c r="C46" s="3" t="n">
        <v>3.6</v>
      </c>
      <c r="D46" s="3" t="n">
        <v>3.5</v>
      </c>
      <c r="E46" s="3" t="n">
        <v>3.4</v>
      </c>
      <c r="F46" s="3" t="n">
        <v>3.3</v>
      </c>
      <c r="G46" s="3" t="n">
        <v>3.2</v>
      </c>
      <c r="H46" s="3" t="n">
        <v>3.1</v>
      </c>
      <c r="I46" s="3" t="n">
        <v>3</v>
      </c>
      <c r="J46" s="3" t="n">
        <v>3</v>
      </c>
      <c r="K46" s="3" t="n">
        <v>2.9</v>
      </c>
      <c r="L46" s="3" t="n">
        <v>2.9</v>
      </c>
    </row>
    <row r="47" customFormat="false" ht="15" hidden="false" customHeight="false" outlineLevel="0" collapsed="false">
      <c r="A47" s="0" t="s">
        <v>139</v>
      </c>
      <c r="C47" s="3" t="n">
        <v>21</v>
      </c>
      <c r="D47" s="3" t="n">
        <v>22</v>
      </c>
      <c r="E47" s="3" t="n">
        <v>23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140</v>
      </c>
      <c r="B48" s="3" t="n">
        <v>9</v>
      </c>
    </row>
    <row r="49" customFormat="false" ht="15" hidden="false" customHeight="false" outlineLevel="0" collapsed="false">
      <c r="A49" s="0" t="s">
        <v>141</v>
      </c>
      <c r="B49" s="3" t="n">
        <v>3</v>
      </c>
    </row>
    <row r="50" customFormat="false" ht="15" hidden="false" customHeight="false" outlineLevel="0" collapsed="false">
      <c r="A50" s="0" t="s">
        <v>142</v>
      </c>
      <c r="B50" s="3" t="n">
        <v>16</v>
      </c>
    </row>
    <row r="51" customFormat="false" ht="15" hidden="false" customHeight="false" outlineLevel="0" collapsed="false">
      <c r="A51" s="0" t="s">
        <v>143</v>
      </c>
      <c r="B51" s="3" t="n">
        <v>2</v>
      </c>
    </row>
    <row r="52" customFormat="false" ht="15" hidden="false" customHeight="false" outlineLevel="0" collapsed="false">
      <c r="A52" s="0" t="s">
        <v>144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148</v>
      </c>
      <c r="B3" s="0" t="s">
        <v>110</v>
      </c>
      <c r="C3" s="2" t="s">
        <v>123</v>
      </c>
      <c r="D3" s="2" t="s">
        <v>124</v>
      </c>
      <c r="E3" s="2" t="s">
        <v>125</v>
      </c>
      <c r="F3" s="2" t="s">
        <v>126</v>
      </c>
      <c r="G3" s="2" t="s">
        <v>127</v>
      </c>
      <c r="H3" s="2" t="s">
        <v>128</v>
      </c>
      <c r="I3" s="2" t="s">
        <v>129</v>
      </c>
      <c r="J3" s="2" t="s">
        <v>130</v>
      </c>
      <c r="K3" s="2" t="s">
        <v>131</v>
      </c>
      <c r="L3" s="2" t="s">
        <v>132</v>
      </c>
    </row>
    <row r="4" customFormat="false" ht="15" hidden="false" customHeight="false" outlineLevel="0" collapsed="false">
      <c r="A4" s="0" t="s">
        <v>149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133</v>
      </c>
      <c r="C5" s="4" t="n">
        <f aca="false">Assumptions!C13</f>
        <v>6.2</v>
      </c>
      <c r="D5" s="4" t="n">
        <f aca="false">Assumptions!D13</f>
        <v>0.5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66</v>
      </c>
      <c r="B6" s="3" t="n">
        <v>8806.159</v>
      </c>
      <c r="C6" s="0" t="n">
        <f aca="false">B6*(1+C5/100)</f>
        <v>9352.140858</v>
      </c>
      <c r="D6" s="0" t="n">
        <f aca="false">C6*(1+D5/100)</f>
        <v>9398.90156229</v>
      </c>
      <c r="E6" s="0" t="n">
        <f aca="false">D6*(1+E5/100)</f>
        <v>9680.8686091587</v>
      </c>
      <c r="F6" s="0" t="n">
        <f aca="false">E6*(1+F5/100)</f>
        <v>9971.29466743346</v>
      </c>
      <c r="G6" s="0" t="n">
        <f aca="false">F6*(1+G5/100)</f>
        <v>10270.4335074565</v>
      </c>
      <c r="H6" s="0" t="n">
        <f aca="false">G6*(1+H5/100)</f>
        <v>10527.1943451429</v>
      </c>
      <c r="I6" s="0" t="n">
        <f aca="false">H6*(1+I5/100)</f>
        <v>10790.3742037714</v>
      </c>
      <c r="J6" s="0" t="n">
        <f aca="false">I6*(1+J5/100)</f>
        <v>11006.1816878469</v>
      </c>
      <c r="K6" s="0" t="n">
        <f aca="false">J6*(1+K5/100)</f>
        <v>11226.3053216038</v>
      </c>
      <c r="L6" s="0" t="n">
        <f aca="false">K6*(1+L5/100)</f>
        <v>11450.8314280359</v>
      </c>
    </row>
    <row r="7" customFormat="false" ht="15" hidden="false" customHeight="false" outlineLevel="0" collapsed="false">
      <c r="A7" s="0" t="s">
        <v>134</v>
      </c>
      <c r="C7" s="4" t="n">
        <f aca="false">Assumptions!C14</f>
        <v>8.6</v>
      </c>
      <c r="D7" s="4" t="n">
        <f aca="false">Assumptions!D14</f>
        <v>7.4</v>
      </c>
      <c r="E7" s="4" t="n">
        <f aca="false">Assumptions!E14</f>
        <v>7.3</v>
      </c>
      <c r="F7" s="4" t="n">
        <f aca="false">Assumptions!F14</f>
        <v>7.3</v>
      </c>
      <c r="G7" s="4" t="n">
        <f aca="false">Assumptions!G14</f>
        <v>7.3</v>
      </c>
      <c r="H7" s="4" t="n">
        <f aca="false">Assumptions!H14</f>
        <v>7.3</v>
      </c>
      <c r="I7" s="4" t="n">
        <f aca="false">Assumptions!I14</f>
        <v>7.3</v>
      </c>
      <c r="J7" s="4" t="n">
        <f aca="false">Assumptions!J14</f>
        <v>7.3</v>
      </c>
      <c r="K7" s="4" t="n">
        <f aca="false">Assumptions!K14</f>
        <v>7.3</v>
      </c>
      <c r="L7" s="4" t="n">
        <f aca="false">Assumptions!L14</f>
        <v>7.3</v>
      </c>
    </row>
    <row r="8" customFormat="false" ht="15" hidden="false" customHeight="false" outlineLevel="0" collapsed="false">
      <c r="A8" s="0" t="s">
        <v>72</v>
      </c>
      <c r="C8" s="0" t="n">
        <f aca="false">C6*C7/100</f>
        <v>804.284113788</v>
      </c>
      <c r="D8" s="0" t="n">
        <f aca="false">D6*D7/100</f>
        <v>695.51871560946</v>
      </c>
      <c r="E8" s="0" t="n">
        <f aca="false">E6*E7/100</f>
        <v>706.703408468585</v>
      </c>
      <c r="F8" s="0" t="n">
        <f aca="false">F6*F7/100</f>
        <v>727.904510722643</v>
      </c>
      <c r="G8" s="0" t="n">
        <f aca="false">G6*G7/100</f>
        <v>749.741646044322</v>
      </c>
      <c r="H8" s="0" t="n">
        <f aca="false">H6*H7/100</f>
        <v>768.48518719543</v>
      </c>
      <c r="I8" s="0" t="n">
        <f aca="false">I6*I7/100</f>
        <v>787.697316875315</v>
      </c>
      <c r="J8" s="0" t="n">
        <f aca="false">J6*J7/100</f>
        <v>803.451263212822</v>
      </c>
      <c r="K8" s="0" t="n">
        <f aca="false">K6*K7/100</f>
        <v>819.520288477078</v>
      </c>
      <c r="L8" s="0" t="n">
        <f aca="false">L6*L7/100</f>
        <v>835.91069424662</v>
      </c>
    </row>
    <row r="9" customFormat="false" ht="15" hidden="false" customHeight="false" outlineLevel="0" collapsed="false">
      <c r="A9" s="0" t="s">
        <v>135</v>
      </c>
      <c r="C9" s="4" t="n">
        <f aca="false">Assumptions!C15</f>
        <v>0.3</v>
      </c>
      <c r="D9" s="4" t="n">
        <f aca="false">Assumptions!D15</f>
        <v>0.3</v>
      </c>
      <c r="E9" s="4" t="n">
        <f aca="false">Assumptions!E15</f>
        <v>0.3</v>
      </c>
      <c r="F9" s="4" t="n">
        <f aca="false">Assumptions!F15</f>
        <v>0.3</v>
      </c>
      <c r="G9" s="4" t="n">
        <f aca="false">Assumptions!G15</f>
        <v>0.3</v>
      </c>
      <c r="H9" s="4" t="n">
        <f aca="false">Assumptions!H15</f>
        <v>0.3</v>
      </c>
      <c r="I9" s="4" t="n">
        <f aca="false">Assumptions!I15</f>
        <v>0.3</v>
      </c>
      <c r="J9" s="4" t="n">
        <f aca="false">Assumptions!J15</f>
        <v>0.3</v>
      </c>
      <c r="K9" s="4" t="n">
        <f aca="false">Assumptions!K15</f>
        <v>0.3</v>
      </c>
      <c r="L9" s="4" t="n">
        <f aca="false">Assumptions!L15</f>
        <v>0.3</v>
      </c>
    </row>
    <row r="10" customFormat="false" ht="15" hidden="false" customHeight="false" outlineLevel="0" collapsed="false">
      <c r="A10" s="0" t="s">
        <v>150</v>
      </c>
      <c r="C10" s="0" t="n">
        <f aca="false">-C6*C9/100</f>
        <v>-28.056422574</v>
      </c>
      <c r="D10" s="0" t="n">
        <f aca="false">-D6*D9/100</f>
        <v>-28.19670468687</v>
      </c>
      <c r="E10" s="0" t="n">
        <f aca="false">-E6*E9/100</f>
        <v>-29.0426058274761</v>
      </c>
      <c r="F10" s="0" t="n">
        <f aca="false">-F6*F9/100</f>
        <v>-29.9138840023004</v>
      </c>
      <c r="G10" s="0" t="n">
        <f aca="false">-G6*G9/100</f>
        <v>-30.8113005223694</v>
      </c>
      <c r="H10" s="0" t="n">
        <f aca="false">-H6*H9/100</f>
        <v>-31.5815830354286</v>
      </c>
      <c r="I10" s="0" t="n">
        <f aca="false">-I6*I9/100</f>
        <v>-32.3711226113143</v>
      </c>
      <c r="J10" s="0" t="n">
        <f aca="false">-J6*J9/100</f>
        <v>-33.0185450635406</v>
      </c>
      <c r="K10" s="0" t="n">
        <f aca="false">-K6*K9/100</f>
        <v>-33.6789159648114</v>
      </c>
      <c r="L10" s="0" t="n">
        <f aca="false">-L6*L9/100</f>
        <v>-34.3524942841077</v>
      </c>
    </row>
    <row r="11" customFormat="false" ht="15" hidden="false" customHeight="false" outlineLevel="0" collapsed="false">
      <c r="A11" s="0" t="s">
        <v>151</v>
      </c>
      <c r="C11" s="0" t="n">
        <f aca="false">C8+C10+C24</f>
        <v>776.227691214</v>
      </c>
      <c r="D11" s="0" t="n">
        <f aca="false">D8+D10+D24</f>
        <v>667.32201092259</v>
      </c>
      <c r="E11" s="0" t="n">
        <f aca="false">E8+E10+E24</f>
        <v>677.660802641109</v>
      </c>
      <c r="F11" s="0" t="n">
        <f aca="false">F8+F10+F24</f>
        <v>697.990626720342</v>
      </c>
      <c r="G11" s="0" t="n">
        <f aca="false">G8+G10+G24</f>
        <v>718.930345521952</v>
      </c>
      <c r="H11" s="0" t="n">
        <f aca="false">H8+H10+H24</f>
        <v>736.903604160001</v>
      </c>
      <c r="I11" s="0" t="n">
        <f aca="false">I8+I10+I24</f>
        <v>755.326194264001</v>
      </c>
      <c r="J11" s="0" t="n">
        <f aca="false">J8+J10+J24</f>
        <v>770.432718149281</v>
      </c>
      <c r="K11" s="0" t="n">
        <f aca="false">K8+K10+K24</f>
        <v>785.841372512267</v>
      </c>
      <c r="L11" s="0" t="n">
        <f aca="false">L8+L10+L24</f>
        <v>801.558199962512</v>
      </c>
    </row>
    <row r="12" customFormat="false" ht="15" hidden="false" customHeight="false" outlineLevel="0" collapsed="false">
      <c r="A12" s="0" t="s">
        <v>152</v>
      </c>
      <c r="C12" s="4" t="n">
        <f aca="false">-C6*Assumptions!C17/100</f>
        <v>-187.04281716</v>
      </c>
      <c r="D12" s="4" t="n">
        <f aca="false">-D6*Assumptions!D17/100</f>
        <v>-197.37693280809</v>
      </c>
      <c r="E12" s="4" t="n">
        <f aca="false">-E6*Assumptions!E17/100</f>
        <v>-208.138675096912</v>
      </c>
      <c r="F12" s="4" t="n">
        <f aca="false">-F6*Assumptions!F17/100</f>
        <v>-219.368482683536</v>
      </c>
      <c r="G12" s="4" t="n">
        <f aca="false">-G6*Assumptions!G17/100</f>
        <v>-225.949537164042</v>
      </c>
      <c r="H12" s="4" t="n">
        <f aca="false">-H6*Assumptions!H17/100</f>
        <v>-231.598275593143</v>
      </c>
      <c r="I12" s="4" t="n">
        <f aca="false">-I6*Assumptions!I17/100</f>
        <v>-237.388232482972</v>
      </c>
      <c r="J12" s="4" t="n">
        <f aca="false">-J6*Assumptions!J17/100</f>
        <v>-242.135997132631</v>
      </c>
      <c r="K12" s="4" t="n">
        <f aca="false">-K6*Assumptions!K17/100</f>
        <v>-246.978717075284</v>
      </c>
      <c r="L12" s="4" t="n">
        <f aca="false">-L6*Assumptions!L17/100</f>
        <v>-251.91829141679</v>
      </c>
    </row>
    <row r="13" customFormat="false" ht="15" hidden="false" customHeight="false" outlineLevel="0" collapsed="false">
      <c r="A13" s="0" t="s">
        <v>153</v>
      </c>
      <c r="C13" s="0" t="n">
        <f aca="false">C11+C12</f>
        <v>589.184874054</v>
      </c>
      <c r="D13" s="0" t="n">
        <f aca="false">D11+D12</f>
        <v>469.9450781145</v>
      </c>
      <c r="E13" s="0" t="n">
        <f aca="false">E11+E12</f>
        <v>469.522127544197</v>
      </c>
      <c r="F13" s="0" t="n">
        <f aca="false">F11+F12</f>
        <v>478.622144036806</v>
      </c>
      <c r="G13" s="0" t="n">
        <f aca="false">G11+G12</f>
        <v>492.98080835791</v>
      </c>
      <c r="H13" s="0" t="n">
        <f aca="false">H11+H12</f>
        <v>505.305328566858</v>
      </c>
      <c r="I13" s="0" t="n">
        <f aca="false">I11+I12</f>
        <v>517.937961781029</v>
      </c>
      <c r="J13" s="0" t="n">
        <f aca="false">J11+J12</f>
        <v>528.29672101665</v>
      </c>
      <c r="K13" s="0" t="n">
        <f aca="false">K11+K12</f>
        <v>538.862655436983</v>
      </c>
      <c r="L13" s="0" t="n">
        <f aca="false">L11+L12</f>
        <v>549.639908545723</v>
      </c>
    </row>
    <row r="14" customFormat="false" ht="15" hidden="false" customHeight="false" outlineLevel="0" collapsed="false">
      <c r="A14" s="0" t="s">
        <v>139</v>
      </c>
      <c r="C14" s="4" t="n">
        <f aca="false">Assumptions!C19</f>
        <v>21</v>
      </c>
      <c r="D14" s="4" t="n">
        <f aca="false">Assumptions!D19</f>
        <v>22</v>
      </c>
      <c r="E14" s="4" t="n">
        <f aca="false">Assumptions!E19</f>
        <v>23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154</v>
      </c>
      <c r="C15" s="0" t="n">
        <f aca="false">C13-MAX(0,C13)*C14/100</f>
        <v>465.45605050266</v>
      </c>
      <c r="D15" s="0" t="n">
        <f aca="false">D13-MAX(0,D13)*D14/100</f>
        <v>366.55716092931</v>
      </c>
      <c r="E15" s="0" t="n">
        <f aca="false">E13-MAX(0,E13)*E14/100</f>
        <v>361.532038209032</v>
      </c>
      <c r="F15" s="0" t="n">
        <f aca="false">F13-MAX(0,F13)*F14/100</f>
        <v>363.752829467973</v>
      </c>
      <c r="G15" s="0" t="n">
        <f aca="false">G13-MAX(0,G13)*G14/100</f>
        <v>374.665414352012</v>
      </c>
      <c r="H15" s="0" t="n">
        <f aca="false">H13-MAX(0,H13)*H14/100</f>
        <v>384.032049710812</v>
      </c>
      <c r="I15" s="0" t="n">
        <f aca="false">I13-MAX(0,I13)*I14/100</f>
        <v>393.632850953582</v>
      </c>
      <c r="J15" s="0" t="n">
        <f aca="false">J13-MAX(0,J13)*J14/100</f>
        <v>401.505507972654</v>
      </c>
      <c r="K15" s="0" t="n">
        <f aca="false">K13-MAX(0,K13)*K14/100</f>
        <v>409.535618132107</v>
      </c>
      <c r="L15" s="0" t="n">
        <f aca="false">L13-MAX(0,L13)*L14/100</f>
        <v>417.726330494749</v>
      </c>
    </row>
    <row r="16" customFormat="false" ht="15" hidden="false" customHeight="false" outlineLevel="0" collapsed="false">
      <c r="A16" s="0" t="s">
        <v>155</v>
      </c>
      <c r="C16" s="0" t="n">
        <f aca="false">-C12</f>
        <v>187.04281716</v>
      </c>
      <c r="D16" s="0" t="n">
        <f aca="false">-D12</f>
        <v>197.37693280809</v>
      </c>
      <c r="E16" s="0" t="n">
        <f aca="false">-E12</f>
        <v>208.138675096912</v>
      </c>
      <c r="F16" s="0" t="n">
        <f aca="false">-F12</f>
        <v>219.368482683536</v>
      </c>
      <c r="G16" s="0" t="n">
        <f aca="false">-G12</f>
        <v>225.949537164042</v>
      </c>
      <c r="H16" s="0" t="n">
        <f aca="false">-H12</f>
        <v>231.598275593143</v>
      </c>
      <c r="I16" s="0" t="n">
        <f aca="false">-I12</f>
        <v>237.388232482972</v>
      </c>
      <c r="J16" s="0" t="n">
        <f aca="false">-J12</f>
        <v>242.135997132631</v>
      </c>
      <c r="K16" s="0" t="n">
        <f aca="false">-K12</f>
        <v>246.978717075284</v>
      </c>
      <c r="L16" s="0" t="n">
        <f aca="false">-L12</f>
        <v>251.91829141679</v>
      </c>
    </row>
    <row r="17" customFormat="false" ht="15" hidden="false" customHeight="false" outlineLevel="0" collapsed="false">
      <c r="A17" s="0" t="s">
        <v>156</v>
      </c>
      <c r="C17" s="4" t="n">
        <f aca="false">-C6*Assumptions!C18/100</f>
        <v>-336.677070888</v>
      </c>
      <c r="D17" s="4" t="n">
        <f aca="false">-D6*Assumptions!D18/100</f>
        <v>-291.36594843099</v>
      </c>
      <c r="E17" s="4" t="n">
        <f aca="false">-E6*Assumptions!E18/100</f>
        <v>-271.064321056444</v>
      </c>
      <c r="F17" s="4" t="n">
        <f aca="false">-F6*Assumptions!F18/100</f>
        <v>-259.25366135327</v>
      </c>
      <c r="G17" s="4" t="n">
        <f aca="false">-G6*Assumptions!G18/100</f>
        <v>-256.760837686412</v>
      </c>
      <c r="H17" s="4" t="n">
        <f aca="false">-H6*Assumptions!H18/100</f>
        <v>-263.179858628572</v>
      </c>
      <c r="I17" s="4" t="n">
        <f aca="false">-I6*Assumptions!I18/100</f>
        <v>-269.759355094286</v>
      </c>
      <c r="J17" s="4" t="n">
        <f aca="false">-J6*Assumptions!J18/100</f>
        <v>-275.154542196172</v>
      </c>
      <c r="K17" s="4" t="n">
        <f aca="false">-K6*Assumptions!K18/100</f>
        <v>-280.657633040095</v>
      </c>
      <c r="L17" s="4" t="n">
        <f aca="false">-L6*Assumptions!L18/100</f>
        <v>-286.270785700897</v>
      </c>
    </row>
    <row r="18" customFormat="false" ht="15" hidden="false" customHeight="false" outlineLevel="0" collapsed="false">
      <c r="A18" s="0" t="s">
        <v>157</v>
      </c>
      <c r="C18" s="4" t="n">
        <f aca="false">(C6-B6)*Assumptions!$B$23/100</f>
        <v>10.91963716</v>
      </c>
      <c r="D18" s="4" t="n">
        <f aca="false">(D6-C6)*Assumptions!$B$23/100</f>
        <v>0.935214085799962</v>
      </c>
      <c r="E18" s="4" t="n">
        <f aca="false">(E6-D6)*Assumptions!$B$23/100</f>
        <v>5.639340937374</v>
      </c>
      <c r="F18" s="4" t="n">
        <f aca="false">(F6-E6)*Assumptions!$B$23/100</f>
        <v>5.80852116549522</v>
      </c>
      <c r="G18" s="4" t="n">
        <f aca="false">(G6-F6)*Assumptions!$B$23/100</f>
        <v>5.98277680046009</v>
      </c>
      <c r="H18" s="4" t="n">
        <f aca="false">(H6-G6)*Assumptions!$B$23/100</f>
        <v>5.1352167537282</v>
      </c>
      <c r="I18" s="4" t="n">
        <f aca="false">(I6-H6)*Assumptions!$B$23/100</f>
        <v>5.26359717257143</v>
      </c>
      <c r="J18" s="4" t="n">
        <f aca="false">(J6-I6)*Assumptions!$B$23/100</f>
        <v>4.31614968150858</v>
      </c>
      <c r="K18" s="4" t="n">
        <f aca="false">(K6-J6)*Assumptions!$B$23/100</f>
        <v>4.40247267513874</v>
      </c>
      <c r="L18" s="4" t="n">
        <f aca="false">(L6-K6)*Assumptions!$B$23/100</f>
        <v>4.49052212864153</v>
      </c>
    </row>
    <row r="19" customFormat="false" ht="15" hidden="false" customHeight="false" outlineLevel="0" collapsed="false">
      <c r="A19" s="0" t="s">
        <v>158</v>
      </c>
      <c r="C19" s="0" t="n">
        <f aca="false">C15+C16+C17+C18</f>
        <v>326.74143393466</v>
      </c>
      <c r="D19" s="0" t="n">
        <f aca="false">D15+D16+D17+D18</f>
        <v>273.50335939221</v>
      </c>
      <c r="E19" s="0" t="n">
        <f aca="false">E15+E16+E17+E18</f>
        <v>304.245733186874</v>
      </c>
      <c r="F19" s="0" t="n">
        <f aca="false">F15+F16+F17+F18</f>
        <v>329.676171963734</v>
      </c>
      <c r="G19" s="0" t="n">
        <f aca="false">G15+G16+G17+G18</f>
        <v>349.836890630102</v>
      </c>
      <c r="H19" s="0" t="n">
        <f aca="false">H15+H16+H17+H18</f>
        <v>357.585683429112</v>
      </c>
      <c r="I19" s="0" t="n">
        <f aca="false">I15+I16+I17+I18</f>
        <v>366.525325514839</v>
      </c>
      <c r="J19" s="0" t="n">
        <f aca="false">J15+J16+J17+J18</f>
        <v>372.803112590622</v>
      </c>
      <c r="K19" s="0" t="n">
        <f aca="false">K15+K16+K17+K18</f>
        <v>380.259174842434</v>
      </c>
      <c r="L19" s="0" t="n">
        <f aca="false">L15+L16+L17+L18</f>
        <v>387.864358339283</v>
      </c>
    </row>
    <row r="20" customFormat="false" ht="15" hidden="false" customHeight="false" outlineLevel="0" collapsed="false">
      <c r="A20" s="0" t="s">
        <v>159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160</v>
      </c>
      <c r="C21" s="0" t="n">
        <f aca="false">C19*C20</f>
        <v>299.762783426294</v>
      </c>
      <c r="D21" s="0" t="n">
        <f aca="false">D19*D20</f>
        <v>230.202305691617</v>
      </c>
      <c r="E21" s="0" t="n">
        <f aca="false">E19*E20</f>
        <v>234.93352904597</v>
      </c>
      <c r="F21" s="0" t="n">
        <f aca="false">F19*F20</f>
        <v>233.550911706574</v>
      </c>
      <c r="G21" s="0" t="n">
        <f aca="false">G19*G20</f>
        <v>227.369975305525</v>
      </c>
      <c r="H21" s="0" t="n">
        <f aca="false">H19*H20</f>
        <v>213.216659588554</v>
      </c>
      <c r="I21" s="0" t="n">
        <f aca="false">I19*I20</f>
        <v>200.501904658961</v>
      </c>
      <c r="J21" s="0" t="n">
        <f aca="false">J19*J20</f>
        <v>187.097311166283</v>
      </c>
      <c r="K21" s="0" t="n">
        <f aca="false">K19*K20</f>
        <v>175.081887513403</v>
      </c>
      <c r="L21" s="0" t="n">
        <f aca="false">L19*L20</f>
        <v>163.838096572175</v>
      </c>
    </row>
    <row r="23" customFormat="false" ht="15" hidden="false" customHeight="false" outlineLevel="0" collapsed="false">
      <c r="A23" s="0" t="s">
        <v>136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161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162</v>
      </c>
    </row>
    <row r="27" customFormat="false" ht="15" hidden="false" customHeight="false" outlineLevel="0" collapsed="false">
      <c r="A27" s="0" t="s">
        <v>140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141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142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163</v>
      </c>
      <c r="B30" s="0" t="n">
        <f aca="false">SUM(C21:L21)</f>
        <v>2165.55536467536</v>
      </c>
    </row>
    <row r="31" customFormat="false" ht="15" hidden="false" customHeight="false" outlineLevel="0" collapsed="false">
      <c r="A31" s="0" t="s">
        <v>164</v>
      </c>
      <c r="B31" s="0" t="n">
        <f aca="false">L19</f>
        <v>387.864358339283</v>
      </c>
    </row>
    <row r="32" customFormat="false" ht="15" hidden="false" customHeight="false" outlineLevel="0" collapsed="false">
      <c r="A32" s="0" t="s">
        <v>165</v>
      </c>
      <c r="B32" s="0" t="n">
        <f aca="false">IF(B27&gt;B28,B31*(1+B28/100)/((B27-B28)/100),B31*B29)</f>
        <v>5651.73779294384</v>
      </c>
    </row>
    <row r="33" customFormat="false" ht="15" hidden="false" customHeight="false" outlineLevel="0" collapsed="false">
      <c r="A33" s="0" t="s">
        <v>166</v>
      </c>
      <c r="B33" s="0" t="n">
        <f aca="false">B31*B29</f>
        <v>5430.10101674996</v>
      </c>
    </row>
    <row r="34" customFormat="false" ht="15" hidden="false" customHeight="false" outlineLevel="0" collapsed="false">
      <c r="A34" s="0" t="s">
        <v>167</v>
      </c>
      <c r="B34" s="0" t="n">
        <f aca="false">MAX(0,MIN(B32,B33))</f>
        <v>5430.10101674996</v>
      </c>
    </row>
    <row r="35" customFormat="false" ht="15" hidden="false" customHeight="false" outlineLevel="0" collapsed="false">
      <c r="A35" s="0" t="s">
        <v>168</v>
      </c>
      <c r="B35" s="0" t="n">
        <f aca="false">B34/(1+B27/100)^L4</f>
        <v>2293.73335201045</v>
      </c>
    </row>
    <row r="36" customFormat="false" ht="15" hidden="false" customHeight="false" outlineLevel="0" collapsed="false">
      <c r="A36" s="0" t="s">
        <v>169</v>
      </c>
      <c r="B36" s="0" t="n">
        <f aca="false">B30+B35</f>
        <v>4459.28871668581</v>
      </c>
    </row>
    <row r="37" customFormat="false" ht="15" hidden="false" customHeight="false" outlineLevel="0" collapsed="false">
      <c r="A37" s="0" t="s">
        <v>170</v>
      </c>
      <c r="B37" s="0" t="n">
        <f aca="false">B36+Assumptions!$B$5-Assumptions!$B$4</f>
        <v>4554.86671668581</v>
      </c>
    </row>
    <row r="38" customFormat="false" ht="15" hidden="false" customHeight="false" outlineLevel="0" collapsed="false">
      <c r="A38" s="0" t="s">
        <v>171</v>
      </c>
      <c r="B38" s="0" t="n">
        <f aca="false">B37/Assumptions!$B$3*Assumptions!$B$10</f>
        <v>48.6288163974741</v>
      </c>
    </row>
    <row r="39" customFormat="false" ht="15" hidden="false" customHeight="false" outlineLevel="0" collapsed="false">
      <c r="A39" s="0" t="s">
        <v>172</v>
      </c>
      <c r="B39" s="4" t="n">
        <f aca="false">B38/Assumptions!$B$2-1</f>
        <v>-0.0215529899904607</v>
      </c>
    </row>
    <row r="41" customFormat="false" ht="15" hidden="false" customHeight="false" outlineLevel="0" collapsed="false">
      <c r="A41" s="0" t="s">
        <v>173</v>
      </c>
      <c r="B41" s="0" t="n">
        <f aca="false">SUMPRODUCT(-C10:L10/(1+$B$27/100)^C4:L4)</f>
        <v>196.243287125438</v>
      </c>
    </row>
    <row r="42" customFormat="false" ht="15" hidden="false" customHeight="false" outlineLevel="0" collapsed="false">
      <c r="A42" s="0" t="s">
        <v>174</v>
      </c>
      <c r="B42" s="0" t="n">
        <f aca="false">IF(B27&gt;B28,-L10*(1+B28/100)/((B27-B28)/100),-L10*20)/(1+B27/100)^L4</f>
        <v>211.444030371686</v>
      </c>
    </row>
    <row r="43" customFormat="false" ht="15" hidden="false" customHeight="false" outlineLevel="0" collapsed="false">
      <c r="A43" s="0" t="s">
        <v>175</v>
      </c>
      <c r="B43" s="0" t="n">
        <f aca="false">(B37+B41+B42)/Assumptions!$B$3*Assumptions!$B$10</f>
        <v>52.981381015341</v>
      </c>
    </row>
    <row r="45" customFormat="false" ht="15" hidden="false" customHeight="false" outlineLevel="0" collapsed="false">
      <c r="A45" s="0" t="s">
        <v>116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176</v>
      </c>
      <c r="B46" s="0" t="n">
        <f aca="false">MAX(0,MIN(IF(B45&gt;B28,B31*(1+B28/100)/((B45-B28)/100),B31*B29),B31*B29))</f>
        <v>3043.24342696976</v>
      </c>
    </row>
    <row r="47" customFormat="false" ht="15" hidden="false" customHeight="false" outlineLevel="0" collapsed="false">
      <c r="A47" s="0" t="s">
        <v>177</v>
      </c>
      <c r="B47" s="0" t="n">
        <f aca="false">(SUMPRODUCT(C19:L19/(1+B45/100)^C4:L4)+B46/(1+B45/100)^L4+Assumptions!$B$5-Assumptions!$B$4)/Assumptions!$B$3*Assumptions!$B$10</f>
        <v>26.898179438958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178</v>
      </c>
    </row>
    <row r="3" customFormat="false" ht="15" hidden="false" customHeight="false" outlineLevel="0" collapsed="false">
      <c r="A3" s="0" t="s">
        <v>148</v>
      </c>
      <c r="B3" s="0" t="s">
        <v>110</v>
      </c>
      <c r="C3" s="2" t="s">
        <v>123</v>
      </c>
      <c r="D3" s="2" t="s">
        <v>124</v>
      </c>
      <c r="E3" s="2" t="s">
        <v>125</v>
      </c>
      <c r="F3" s="2" t="s">
        <v>126</v>
      </c>
      <c r="G3" s="2" t="s">
        <v>127</v>
      </c>
      <c r="H3" s="2" t="s">
        <v>128</v>
      </c>
      <c r="I3" s="2" t="s">
        <v>129</v>
      </c>
      <c r="J3" s="2" t="s">
        <v>130</v>
      </c>
      <c r="K3" s="2" t="s">
        <v>131</v>
      </c>
      <c r="L3" s="2" t="s">
        <v>132</v>
      </c>
    </row>
    <row r="4" customFormat="false" ht="15" hidden="false" customHeight="false" outlineLevel="0" collapsed="false">
      <c r="A4" s="0" t="s">
        <v>149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133</v>
      </c>
      <c r="C5" s="4" t="n">
        <f aca="false">Assumptions!C27</f>
        <v>6.4</v>
      </c>
      <c r="D5" s="4" t="n">
        <f aca="false">Assumptions!D27</f>
        <v>3</v>
      </c>
      <c r="E5" s="4" t="n">
        <f aca="false">Assumptions!E27</f>
        <v>5.5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66</v>
      </c>
      <c r="B6" s="3" t="n">
        <v>8806.159</v>
      </c>
      <c r="C6" s="0" t="n">
        <f aca="false">B6*(1+C5/100)</f>
        <v>9369.753176</v>
      </c>
      <c r="D6" s="0" t="n">
        <f aca="false">C6*(1+D5/100)</f>
        <v>9650.84577128</v>
      </c>
      <c r="E6" s="0" t="n">
        <f aca="false">D6*(1+E5/100)</f>
        <v>10181.6422887004</v>
      </c>
      <c r="F6" s="0" t="n">
        <f aca="false">E6*(1+F5/100)</f>
        <v>10690.7244031354</v>
      </c>
      <c r="G6" s="0" t="n">
        <f aca="false">F6*(1+G5/100)</f>
        <v>11171.8070012765</v>
      </c>
      <c r="H6" s="0" t="n">
        <f aca="false">G6*(1+H5/100)</f>
        <v>11618.6792813276</v>
      </c>
      <c r="I6" s="0" t="n">
        <f aca="false">H6*(1+I5/100)</f>
        <v>12025.333056174</v>
      </c>
      <c r="J6" s="0" t="n">
        <f aca="false">I6*(1+J5/100)</f>
        <v>12386.0930478593</v>
      </c>
      <c r="K6" s="0" t="n">
        <f aca="false">J6*(1+K5/100)</f>
        <v>12757.675839295</v>
      </c>
      <c r="L6" s="0" t="n">
        <f aca="false">K6*(1+L5/100)</f>
        <v>13140.4061144739</v>
      </c>
    </row>
    <row r="7" customFormat="false" ht="15" hidden="false" customHeight="false" outlineLevel="0" collapsed="false">
      <c r="A7" s="0" t="s">
        <v>134</v>
      </c>
      <c r="C7" s="4" t="n">
        <f aca="false">Assumptions!C28</f>
        <v>8.7</v>
      </c>
      <c r="D7" s="4" t="n">
        <f aca="false">Assumptions!D28</f>
        <v>7.9</v>
      </c>
      <c r="E7" s="4" t="n">
        <f aca="false">Assumptions!E28</f>
        <v>8.1</v>
      </c>
      <c r="F7" s="4" t="n">
        <f aca="false">Assumptions!F28</f>
        <v>8.3</v>
      </c>
      <c r="G7" s="4" t="n">
        <f aca="false">Assumptions!G28</f>
        <v>8.5</v>
      </c>
      <c r="H7" s="4" t="n">
        <f aca="false">Assumptions!H28</f>
        <v>8.5</v>
      </c>
      <c r="I7" s="4" t="n">
        <f aca="false">Assumptions!I28</f>
        <v>8.5</v>
      </c>
      <c r="J7" s="4" t="n">
        <f aca="false">Assumptions!J28</f>
        <v>8.5</v>
      </c>
      <c r="K7" s="4" t="n">
        <f aca="false">Assumptions!K28</f>
        <v>8.5</v>
      </c>
      <c r="L7" s="4" t="n">
        <f aca="false">Assumptions!L28</f>
        <v>8.5</v>
      </c>
    </row>
    <row r="8" customFormat="false" ht="15" hidden="false" customHeight="false" outlineLevel="0" collapsed="false">
      <c r="A8" s="0" t="s">
        <v>72</v>
      </c>
      <c r="C8" s="0" t="n">
        <f aca="false">C6*C7/100</f>
        <v>815.168526312</v>
      </c>
      <c r="D8" s="0" t="n">
        <f aca="false">D6*D7/100</f>
        <v>762.41681593112</v>
      </c>
      <c r="E8" s="0" t="n">
        <f aca="false">E6*E7/100</f>
        <v>824.713025384732</v>
      </c>
      <c r="F8" s="0" t="n">
        <f aca="false">F6*F7/100</f>
        <v>887.33012546024</v>
      </c>
      <c r="G8" s="0" t="n">
        <f aca="false">G6*G7/100</f>
        <v>949.603595108504</v>
      </c>
      <c r="H8" s="0" t="n">
        <f aca="false">H6*H7/100</f>
        <v>987.587738912844</v>
      </c>
      <c r="I8" s="0" t="n">
        <f aca="false">I6*I7/100</f>
        <v>1022.15330977479</v>
      </c>
      <c r="J8" s="0" t="n">
        <f aca="false">J6*J7/100</f>
        <v>1052.81790906804</v>
      </c>
      <c r="K8" s="0" t="n">
        <f aca="false">K6*K7/100</f>
        <v>1084.40244634008</v>
      </c>
      <c r="L8" s="0" t="n">
        <f aca="false">L6*L7/100</f>
        <v>1116.93451973028</v>
      </c>
    </row>
    <row r="9" customFormat="false" ht="15" hidden="false" customHeight="false" outlineLevel="0" collapsed="false">
      <c r="A9" s="0" t="s">
        <v>135</v>
      </c>
      <c r="C9" s="4" t="n">
        <f aca="false">Assumptions!C29</f>
        <v>0.3</v>
      </c>
      <c r="D9" s="4" t="n">
        <f aca="false">Assumptions!D29</f>
        <v>0.3</v>
      </c>
      <c r="E9" s="4" t="n">
        <f aca="false">Assumptions!E29</f>
        <v>0.3</v>
      </c>
      <c r="F9" s="4" t="n">
        <f aca="false">Assumptions!F29</f>
        <v>0.3</v>
      </c>
      <c r="G9" s="4" t="n">
        <f aca="false">Assumptions!G29</f>
        <v>0.3</v>
      </c>
      <c r="H9" s="4" t="n">
        <f aca="false">Assumptions!H29</f>
        <v>0.3</v>
      </c>
      <c r="I9" s="4" t="n">
        <f aca="false">Assumptions!I29</f>
        <v>0.3</v>
      </c>
      <c r="J9" s="4" t="n">
        <f aca="false">Assumptions!J29</f>
        <v>0.3</v>
      </c>
      <c r="K9" s="4" t="n">
        <f aca="false">Assumptions!K29</f>
        <v>0.3</v>
      </c>
      <c r="L9" s="4" t="n">
        <f aca="false">Assumptions!L29</f>
        <v>0.3</v>
      </c>
    </row>
    <row r="10" customFormat="false" ht="15" hidden="false" customHeight="false" outlineLevel="0" collapsed="false">
      <c r="A10" s="0" t="s">
        <v>150</v>
      </c>
      <c r="C10" s="0" t="n">
        <f aca="false">-C6*C9/100</f>
        <v>-28.109259528</v>
      </c>
      <c r="D10" s="0" t="n">
        <f aca="false">-D6*D9/100</f>
        <v>-28.95253731384</v>
      </c>
      <c r="E10" s="0" t="n">
        <f aca="false">-E6*E9/100</f>
        <v>-30.5449268661012</v>
      </c>
      <c r="F10" s="0" t="n">
        <f aca="false">-F6*F9/100</f>
        <v>-32.0721732094063</v>
      </c>
      <c r="G10" s="0" t="n">
        <f aca="false">-G6*G9/100</f>
        <v>-33.5154210038295</v>
      </c>
      <c r="H10" s="0" t="n">
        <f aca="false">-H6*H9/100</f>
        <v>-34.8560378439827</v>
      </c>
      <c r="I10" s="0" t="n">
        <f aca="false">-I6*I9/100</f>
        <v>-36.0759991685221</v>
      </c>
      <c r="J10" s="0" t="n">
        <f aca="false">-J6*J9/100</f>
        <v>-37.1582791435778</v>
      </c>
      <c r="K10" s="0" t="n">
        <f aca="false">-K6*K9/100</f>
        <v>-38.2730275178851</v>
      </c>
      <c r="L10" s="0" t="n">
        <f aca="false">-L6*L9/100</f>
        <v>-39.4212183434217</v>
      </c>
    </row>
    <row r="11" customFormat="false" ht="15" hidden="false" customHeight="false" outlineLevel="0" collapsed="false">
      <c r="A11" s="0" t="s">
        <v>151</v>
      </c>
      <c r="C11" s="0" t="n">
        <f aca="false">C8+C10+C24</f>
        <v>787.059266784</v>
      </c>
      <c r="D11" s="0" t="n">
        <f aca="false">D8+D10+D24</f>
        <v>733.46427861728</v>
      </c>
      <c r="E11" s="0" t="n">
        <f aca="false">E8+E10+E24</f>
        <v>794.168098518631</v>
      </c>
      <c r="F11" s="0" t="n">
        <f aca="false">F8+F10+F24</f>
        <v>855.257952250834</v>
      </c>
      <c r="G11" s="0" t="n">
        <f aca="false">G8+G10+G24</f>
        <v>916.088174104674</v>
      </c>
      <c r="H11" s="0" t="n">
        <f aca="false">H8+H10+H24</f>
        <v>952.731701068861</v>
      </c>
      <c r="I11" s="0" t="n">
        <f aca="false">I8+I10+I24</f>
        <v>986.077310606271</v>
      </c>
      <c r="J11" s="0" t="n">
        <f aca="false">J8+J10+J24</f>
        <v>1015.65962992446</v>
      </c>
      <c r="K11" s="0" t="n">
        <f aca="false">K8+K10+K24</f>
        <v>1046.12941882219</v>
      </c>
      <c r="L11" s="0" t="n">
        <f aca="false">L8+L10+L24</f>
        <v>1077.51330138686</v>
      </c>
    </row>
    <row r="12" customFormat="false" ht="15" hidden="false" customHeight="false" outlineLevel="0" collapsed="false">
      <c r="A12" s="0" t="s">
        <v>152</v>
      </c>
      <c r="C12" s="4" t="n">
        <f aca="false">-C6*Assumptions!C31/100</f>
        <v>-187.39506352</v>
      </c>
      <c r="D12" s="4" t="n">
        <f aca="false">-D6*Assumptions!D31/100</f>
        <v>-197.84233831124</v>
      </c>
      <c r="E12" s="4" t="n">
        <f aca="false">-E6*Assumptions!E31/100</f>
        <v>-213.814488062708</v>
      </c>
      <c r="F12" s="4" t="n">
        <f aca="false">-F6*Assumptions!F31/100</f>
        <v>-224.505212465844</v>
      </c>
      <c r="G12" s="4" t="n">
        <f aca="false">-G6*Assumptions!G31/100</f>
        <v>-234.607947026807</v>
      </c>
      <c r="H12" s="4" t="n">
        <f aca="false">-H6*Assumptions!H31/100</f>
        <v>-243.992264907879</v>
      </c>
      <c r="I12" s="4" t="n">
        <f aca="false">-I6*Assumptions!I31/100</f>
        <v>-252.531994179655</v>
      </c>
      <c r="J12" s="4" t="n">
        <f aca="false">-J6*Assumptions!J31/100</f>
        <v>-260.107954005044</v>
      </c>
      <c r="K12" s="4" t="n">
        <f aca="false">-K6*Assumptions!K31/100</f>
        <v>-267.911192625196</v>
      </c>
      <c r="L12" s="4" t="n">
        <f aca="false">-L6*Assumptions!L31/100</f>
        <v>-275.948528403952</v>
      </c>
    </row>
    <row r="13" customFormat="false" ht="15" hidden="false" customHeight="false" outlineLevel="0" collapsed="false">
      <c r="A13" s="0" t="s">
        <v>153</v>
      </c>
      <c r="C13" s="0" t="n">
        <f aca="false">C11+C12</f>
        <v>599.664203264</v>
      </c>
      <c r="D13" s="0" t="n">
        <f aca="false">D11+D12</f>
        <v>535.62194030604</v>
      </c>
      <c r="E13" s="0" t="n">
        <f aca="false">E11+E12</f>
        <v>580.353610455923</v>
      </c>
      <c r="F13" s="0" t="n">
        <f aca="false">F11+F12</f>
        <v>630.75273978499</v>
      </c>
      <c r="G13" s="0" t="n">
        <f aca="false">G11+G12</f>
        <v>681.480227077867</v>
      </c>
      <c r="H13" s="0" t="n">
        <f aca="false">H11+H12</f>
        <v>708.739436160982</v>
      </c>
      <c r="I13" s="0" t="n">
        <f aca="false">I11+I12</f>
        <v>733.545316426616</v>
      </c>
      <c r="J13" s="0" t="n">
        <f aca="false">J11+J12</f>
        <v>755.551675919415</v>
      </c>
      <c r="K13" s="0" t="n">
        <f aca="false">K11+K12</f>
        <v>778.218226196997</v>
      </c>
      <c r="L13" s="0" t="n">
        <f aca="false">L11+L12</f>
        <v>801.564772982907</v>
      </c>
    </row>
    <row r="14" customFormat="false" ht="15" hidden="false" customHeight="false" outlineLevel="0" collapsed="false">
      <c r="A14" s="0" t="s">
        <v>139</v>
      </c>
      <c r="C14" s="4" t="n">
        <f aca="false">Assumptions!C33</f>
        <v>21</v>
      </c>
      <c r="D14" s="4" t="n">
        <f aca="false">Assumptions!D33</f>
        <v>22</v>
      </c>
      <c r="E14" s="4" t="n">
        <f aca="false">Assumptions!E33</f>
        <v>23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154</v>
      </c>
      <c r="C15" s="0" t="n">
        <f aca="false">C13-MAX(0,C13)*C14/100</f>
        <v>473.73472057856</v>
      </c>
      <c r="D15" s="0" t="n">
        <f aca="false">D13-MAX(0,D13)*D14/100</f>
        <v>417.785113438711</v>
      </c>
      <c r="E15" s="0" t="n">
        <f aca="false">E13-MAX(0,E13)*E14/100</f>
        <v>446.872280051061</v>
      </c>
      <c r="F15" s="0" t="n">
        <f aca="false">F13-MAX(0,F13)*F14/100</f>
        <v>479.372082236592</v>
      </c>
      <c r="G15" s="0" t="n">
        <f aca="false">G13-MAX(0,G13)*G14/100</f>
        <v>517.924972579179</v>
      </c>
      <c r="H15" s="0" t="n">
        <f aca="false">H13-MAX(0,H13)*H14/100</f>
        <v>538.641971482346</v>
      </c>
      <c r="I15" s="0" t="n">
        <f aca="false">I13-MAX(0,I13)*I14/100</f>
        <v>557.494440484228</v>
      </c>
      <c r="J15" s="0" t="n">
        <f aca="false">J13-MAX(0,J13)*J14/100</f>
        <v>574.219273698755</v>
      </c>
      <c r="K15" s="0" t="n">
        <f aca="false">K13-MAX(0,K13)*K14/100</f>
        <v>591.445851909718</v>
      </c>
      <c r="L15" s="0" t="n">
        <f aca="false">L13-MAX(0,L13)*L14/100</f>
        <v>609.189227467009</v>
      </c>
    </row>
    <row r="16" customFormat="false" ht="15" hidden="false" customHeight="false" outlineLevel="0" collapsed="false">
      <c r="A16" s="0" t="s">
        <v>155</v>
      </c>
      <c r="C16" s="0" t="n">
        <f aca="false">-C12</f>
        <v>187.39506352</v>
      </c>
      <c r="D16" s="0" t="n">
        <f aca="false">-D12</f>
        <v>197.84233831124</v>
      </c>
      <c r="E16" s="0" t="n">
        <f aca="false">-E12</f>
        <v>213.814488062708</v>
      </c>
      <c r="F16" s="0" t="n">
        <f aca="false">-F12</f>
        <v>224.505212465844</v>
      </c>
      <c r="G16" s="0" t="n">
        <f aca="false">-G12</f>
        <v>234.607947026807</v>
      </c>
      <c r="H16" s="0" t="n">
        <f aca="false">-H12</f>
        <v>243.992264907879</v>
      </c>
      <c r="I16" s="0" t="n">
        <f aca="false">-I12</f>
        <v>252.531994179655</v>
      </c>
      <c r="J16" s="0" t="n">
        <f aca="false">-J12</f>
        <v>260.107954005044</v>
      </c>
      <c r="K16" s="0" t="n">
        <f aca="false">-K12</f>
        <v>267.911192625196</v>
      </c>
      <c r="L16" s="0" t="n">
        <f aca="false">-L12</f>
        <v>275.948528403952</v>
      </c>
    </row>
    <row r="17" customFormat="false" ht="15" hidden="false" customHeight="false" outlineLevel="0" collapsed="false">
      <c r="A17" s="0" t="s">
        <v>156</v>
      </c>
      <c r="C17" s="4" t="n">
        <f aca="false">-C6*Assumptions!C32/100</f>
        <v>-337.311114336</v>
      </c>
      <c r="D17" s="4" t="n">
        <f aca="false">-D6*Assumptions!D32/100</f>
        <v>-328.12875622352</v>
      </c>
      <c r="E17" s="4" t="n">
        <f aca="false">-E6*Assumptions!E32/100</f>
        <v>-325.812553238413</v>
      </c>
      <c r="F17" s="4" t="n">
        <f aca="false">-F6*Assumptions!F32/100</f>
        <v>-331.412456497198</v>
      </c>
      <c r="G17" s="4" t="n">
        <f aca="false">-G6*Assumptions!G32/100</f>
        <v>-335.154210038295</v>
      </c>
      <c r="H17" s="4" t="n">
        <f aca="false">-H6*Assumptions!H32/100</f>
        <v>-348.560378439827</v>
      </c>
      <c r="I17" s="4" t="n">
        <f aca="false">-I6*Assumptions!I32/100</f>
        <v>-348.734658629047</v>
      </c>
      <c r="J17" s="4" t="n">
        <f aca="false">-J6*Assumptions!J32/100</f>
        <v>-346.810605340059</v>
      </c>
      <c r="K17" s="4" t="n">
        <f aca="false">-K6*Assumptions!K32/100</f>
        <v>-357.214923500261</v>
      </c>
      <c r="L17" s="4" t="n">
        <f aca="false">-L6*Assumptions!L32/100</f>
        <v>-367.931371205269</v>
      </c>
    </row>
    <row r="18" customFormat="false" ht="15" hidden="false" customHeight="false" outlineLevel="0" collapsed="false">
      <c r="A18" s="0" t="s">
        <v>157</v>
      </c>
      <c r="C18" s="4" t="n">
        <f aca="false">(C6-B6)*Assumptions!$B$37/100</f>
        <v>11.27188352</v>
      </c>
      <c r="D18" s="4" t="n">
        <f aca="false">(D6-C6)*Assumptions!$B$37/100</f>
        <v>5.62185190560002</v>
      </c>
      <c r="E18" s="4" t="n">
        <f aca="false">(E6-D6)*Assumptions!$B$37/100</f>
        <v>10.615930348408</v>
      </c>
      <c r="F18" s="4" t="n">
        <f aca="false">(F6-E6)*Assumptions!$B$37/100</f>
        <v>10.1816422887004</v>
      </c>
      <c r="G18" s="4" t="n">
        <f aca="false">(G6-F6)*Assumptions!$B$37/100</f>
        <v>9.62165196282185</v>
      </c>
      <c r="H18" s="4" t="n">
        <f aca="false">(H6-G6)*Assumptions!$B$37/100</f>
        <v>8.93744560102121</v>
      </c>
      <c r="I18" s="4" t="n">
        <f aca="false">(I6-H6)*Assumptions!$B$37/100</f>
        <v>8.13307549692927</v>
      </c>
      <c r="J18" s="4" t="n">
        <f aca="false">(J6-I6)*Assumptions!$B$37/100</f>
        <v>7.21519983370443</v>
      </c>
      <c r="K18" s="4" t="n">
        <f aca="false">(K6-J6)*Assumptions!$B$37/100</f>
        <v>7.43165582871556</v>
      </c>
      <c r="L18" s="4" t="n">
        <f aca="false">(L6-K6)*Assumptions!$B$37/100</f>
        <v>7.65460550357704</v>
      </c>
    </row>
    <row r="19" customFormat="false" ht="15" hidden="false" customHeight="false" outlineLevel="0" collapsed="false">
      <c r="A19" s="0" t="s">
        <v>158</v>
      </c>
      <c r="C19" s="0" t="n">
        <f aca="false">C15+C16+C17+C18</f>
        <v>335.09055328256</v>
      </c>
      <c r="D19" s="0" t="n">
        <f aca="false">D15+D16+D17+D18</f>
        <v>293.120547432031</v>
      </c>
      <c r="E19" s="0" t="n">
        <f aca="false">E15+E16+E17+E18</f>
        <v>345.490145223764</v>
      </c>
      <c r="F19" s="0" t="n">
        <f aca="false">F15+F16+F17+F18</f>
        <v>382.646480493939</v>
      </c>
      <c r="G19" s="0" t="n">
        <f aca="false">G15+G16+G17+G18</f>
        <v>427.000361530512</v>
      </c>
      <c r="H19" s="0" t="n">
        <f aca="false">H15+H16+H17+H18</f>
        <v>443.011303551419</v>
      </c>
      <c r="I19" s="0" t="n">
        <f aca="false">I15+I16+I17+I18</f>
        <v>469.424851531765</v>
      </c>
      <c r="J19" s="0" t="n">
        <f aca="false">J15+J16+J17+J18</f>
        <v>494.731822197445</v>
      </c>
      <c r="K19" s="0" t="n">
        <f aca="false">K15+K16+K17+K18</f>
        <v>509.573776863368</v>
      </c>
      <c r="L19" s="0" t="n">
        <f aca="false">L15+L16+L17+L18</f>
        <v>524.860990169269</v>
      </c>
    </row>
    <row r="20" customFormat="false" ht="15" hidden="false" customHeight="false" outlineLevel="0" collapsed="false">
      <c r="A20" s="0" t="s">
        <v>159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160</v>
      </c>
      <c r="C21" s="0" t="n">
        <f aca="false">C19*C20</f>
        <v>307.422525947303</v>
      </c>
      <c r="D21" s="0" t="n">
        <f aca="false">D19*D20</f>
        <v>246.713700388882</v>
      </c>
      <c r="E21" s="0" t="n">
        <f aca="false">E19*E20</f>
        <v>266.781782665689</v>
      </c>
      <c r="F21" s="0" t="n">
        <f aca="false">F19*F20</f>
        <v>271.076413707273</v>
      </c>
      <c r="G21" s="0" t="n">
        <f aca="false">G19*G20</f>
        <v>277.520936919421</v>
      </c>
      <c r="H21" s="0" t="n">
        <f aca="false">H19*H20</f>
        <v>264.153165745882</v>
      </c>
      <c r="I21" s="0" t="n">
        <f aca="false">I19*I20</f>
        <v>256.791469168366</v>
      </c>
      <c r="J21" s="0" t="n">
        <f aca="false">J19*J20</f>
        <v>248.289219041961</v>
      </c>
      <c r="K21" s="0" t="n">
        <f aca="false">K19*K20</f>
        <v>234.621922580936</v>
      </c>
      <c r="L21" s="0" t="n">
        <f aca="false">L19*L20</f>
        <v>221.706954365471</v>
      </c>
    </row>
    <row r="23" customFormat="false" ht="15" hidden="false" customHeight="false" outlineLevel="0" collapsed="false">
      <c r="A23" s="0" t="s">
        <v>136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161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162</v>
      </c>
    </row>
    <row r="27" customFormat="false" ht="15" hidden="false" customHeight="false" outlineLevel="0" collapsed="false">
      <c r="A27" s="0" t="s">
        <v>140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141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142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163</v>
      </c>
      <c r="B30" s="0" t="n">
        <f aca="false">SUM(C21:L21)</f>
        <v>2595.07809053118</v>
      </c>
    </row>
    <row r="31" customFormat="false" ht="15" hidden="false" customHeight="false" outlineLevel="0" collapsed="false">
      <c r="A31" s="0" t="s">
        <v>164</v>
      </c>
      <c r="B31" s="0" t="n">
        <f aca="false">L19</f>
        <v>524.860990169269</v>
      </c>
    </row>
    <row r="32" customFormat="false" ht="15" hidden="false" customHeight="false" outlineLevel="0" collapsed="false">
      <c r="A32" s="0" t="s">
        <v>165</v>
      </c>
      <c r="B32" s="0" t="n">
        <f aca="false">IF(B27&gt;B28,B31*(1+B28/100)/((B27-B28)/100),B31*B29)</f>
        <v>8276.65407574617</v>
      </c>
    </row>
    <row r="33" customFormat="false" ht="15" hidden="false" customHeight="false" outlineLevel="0" collapsed="false">
      <c r="A33" s="0" t="s">
        <v>166</v>
      </c>
      <c r="B33" s="0" t="n">
        <f aca="false">B31*B29</f>
        <v>8397.77584270831</v>
      </c>
    </row>
    <row r="34" customFormat="false" ht="15" hidden="false" customHeight="false" outlineLevel="0" collapsed="false">
      <c r="A34" s="0" t="s">
        <v>167</v>
      </c>
      <c r="B34" s="0" t="n">
        <f aca="false">MAX(0,MIN(B32,B33))</f>
        <v>8276.65407574617</v>
      </c>
    </row>
    <row r="35" customFormat="false" ht="15" hidden="false" customHeight="false" outlineLevel="0" collapsed="false">
      <c r="A35" s="0" t="s">
        <v>168</v>
      </c>
      <c r="B35" s="0" t="n">
        <f aca="false">B34/(1+B27/100)^L4</f>
        <v>3496.14812653243</v>
      </c>
    </row>
    <row r="36" customFormat="false" ht="15" hidden="false" customHeight="false" outlineLevel="0" collapsed="false">
      <c r="A36" s="0" t="s">
        <v>169</v>
      </c>
      <c r="B36" s="0" t="n">
        <f aca="false">B30+B35</f>
        <v>6091.22621706361</v>
      </c>
    </row>
    <row r="37" customFormat="false" ht="15" hidden="false" customHeight="false" outlineLevel="0" collapsed="false">
      <c r="A37" s="0" t="s">
        <v>170</v>
      </c>
      <c r="B37" s="0" t="n">
        <f aca="false">B36+Assumptions!$B$5-Assumptions!$B$4</f>
        <v>6186.80421706361</v>
      </c>
    </row>
    <row r="38" customFormat="false" ht="15" hidden="false" customHeight="false" outlineLevel="0" collapsed="false">
      <c r="A38" s="0" t="s">
        <v>171</v>
      </c>
      <c r="B38" s="0" t="n">
        <f aca="false">B37/Assumptions!$B$3*Assumptions!$B$10</f>
        <v>66.0517606929261</v>
      </c>
    </row>
    <row r="39" customFormat="false" ht="15" hidden="false" customHeight="false" outlineLevel="0" collapsed="false">
      <c r="A39" s="0" t="s">
        <v>172</v>
      </c>
      <c r="B39" s="4" t="n">
        <f aca="false">B38/Assumptions!$B$2-1</f>
        <v>0.329009269475374</v>
      </c>
    </row>
    <row r="41" customFormat="false" ht="15" hidden="false" customHeight="false" outlineLevel="0" collapsed="false">
      <c r="A41" s="0" t="s">
        <v>173</v>
      </c>
      <c r="B41" s="0" t="n">
        <f aca="false">SUMPRODUCT(-C10:L10/(1+$B$27/100)^C4:L4)</f>
        <v>211.687555451667</v>
      </c>
    </row>
    <row r="42" customFormat="false" ht="15" hidden="false" customHeight="false" outlineLevel="0" collapsed="false">
      <c r="A42" s="0" t="s">
        <v>174</v>
      </c>
      <c r="B42" s="0" t="n">
        <f aca="false">IF(B27&gt;B28,-L10*(1+B28/100)/((B27-B28)/100),-L10*20)/(1+B27/100)^L4</f>
        <v>262.588421007497</v>
      </c>
    </row>
    <row r="43" customFormat="false" ht="15" hidden="false" customHeight="false" outlineLevel="0" collapsed="false">
      <c r="A43" s="0" t="s">
        <v>175</v>
      </c>
      <c r="B43" s="0" t="n">
        <f aca="false">(B37+B41+B42)/Assumptions!$B$3*Assumptions!$B$10</f>
        <v>71.1152413204661</v>
      </c>
    </row>
    <row r="45" customFormat="false" ht="15" hidden="false" customHeight="false" outlineLevel="0" collapsed="false">
      <c r="A45" s="0" t="s">
        <v>116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176</v>
      </c>
      <c r="B46" s="0" t="n">
        <f aca="false">MAX(0,MIN(IF(B45&gt;B28,B31*(1+B28/100)/((B45-B28)/100),B31*B29),B31*B29))</f>
        <v>4303.86011938801</v>
      </c>
    </row>
    <row r="47" customFormat="false" ht="15" hidden="false" customHeight="false" outlineLevel="0" collapsed="false">
      <c r="A47" s="0" t="s">
        <v>177</v>
      </c>
      <c r="B47" s="0" t="n">
        <f aca="false">(SUMPRODUCT(C19:L19/(1+B45/100)^C4:L4)+B46/(1+B45/100)^L4+Assumptions!$B$5-Assumptions!$B$4)/Assumptions!$B$3*Assumptions!$B$10</f>
        <v>33.4700885866364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179</v>
      </c>
    </row>
    <row r="3" customFormat="false" ht="15" hidden="false" customHeight="false" outlineLevel="0" collapsed="false">
      <c r="A3" s="0" t="s">
        <v>148</v>
      </c>
      <c r="B3" s="0" t="s">
        <v>110</v>
      </c>
      <c r="C3" s="2" t="s">
        <v>123</v>
      </c>
      <c r="D3" s="2" t="s">
        <v>124</v>
      </c>
      <c r="E3" s="2" t="s">
        <v>125</v>
      </c>
      <c r="F3" s="2" t="s">
        <v>126</v>
      </c>
      <c r="G3" s="2" t="s">
        <v>127</v>
      </c>
      <c r="H3" s="2" t="s">
        <v>128</v>
      </c>
      <c r="I3" s="2" t="s">
        <v>129</v>
      </c>
      <c r="J3" s="2" t="s">
        <v>130</v>
      </c>
      <c r="K3" s="2" t="s">
        <v>131</v>
      </c>
      <c r="L3" s="2" t="s">
        <v>132</v>
      </c>
    </row>
    <row r="4" customFormat="false" ht="15" hidden="false" customHeight="false" outlineLevel="0" collapsed="false">
      <c r="A4" s="0" t="s">
        <v>149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133</v>
      </c>
      <c r="C5" s="4" t="n">
        <f aca="false">Assumptions!C41</f>
        <v>6.6</v>
      </c>
      <c r="D5" s="4" t="n">
        <f aca="false">Assumptions!D41</f>
        <v>5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5.5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66</v>
      </c>
      <c r="B6" s="3" t="n">
        <v>8806.159</v>
      </c>
      <c r="C6" s="0" t="n">
        <f aca="false">B6*(1+C5/100)</f>
        <v>9387.365494</v>
      </c>
      <c r="D6" s="0" t="n">
        <f aca="false">C6*(1+D5/100)</f>
        <v>9856.7337687</v>
      </c>
      <c r="E6" s="0" t="n">
        <f aca="false">D6*(1+E5/100)</f>
        <v>10645.272470196</v>
      </c>
      <c r="F6" s="0" t="n">
        <f aca="false">E6*(1+F5/100)</f>
        <v>11390.4415431097</v>
      </c>
      <c r="G6" s="0" t="n">
        <f aca="false">F6*(1+G5/100)</f>
        <v>12073.8680356963</v>
      </c>
      <c r="H6" s="0" t="n">
        <f aca="false">G6*(1+H5/100)</f>
        <v>12737.9307776596</v>
      </c>
      <c r="I6" s="0" t="n">
        <f aca="false">H6*(1+I5/100)</f>
        <v>13374.8273165426</v>
      </c>
      <c r="J6" s="0" t="n">
        <f aca="false">I6*(1+J5/100)</f>
        <v>13976.694545787</v>
      </c>
      <c r="K6" s="0" t="n">
        <f aca="false">J6*(1+K5/100)</f>
        <v>14535.7623276185</v>
      </c>
      <c r="L6" s="0" t="n">
        <f aca="false">K6*(1+L5/100)</f>
        <v>15044.5140090851</v>
      </c>
    </row>
    <row r="7" customFormat="false" ht="15" hidden="false" customHeight="false" outlineLevel="0" collapsed="false">
      <c r="A7" s="0" t="s">
        <v>134</v>
      </c>
      <c r="C7" s="4" t="n">
        <f aca="false">Assumptions!C42</f>
        <v>8.8</v>
      </c>
      <c r="D7" s="4" t="n">
        <f aca="false">Assumptions!D42</f>
        <v>8.3</v>
      </c>
      <c r="E7" s="4" t="n">
        <f aca="false">Assumptions!E42</f>
        <v>8.8</v>
      </c>
      <c r="F7" s="4" t="n">
        <f aca="false">Assumptions!F42</f>
        <v>9.2</v>
      </c>
      <c r="G7" s="4" t="n">
        <f aca="false">Assumptions!G42</f>
        <v>9.5</v>
      </c>
      <c r="H7" s="4" t="n">
        <f aca="false">Assumptions!H42</f>
        <v>9.6</v>
      </c>
      <c r="I7" s="4" t="n">
        <f aca="false">Assumptions!I42</f>
        <v>9.6</v>
      </c>
      <c r="J7" s="4" t="n">
        <f aca="false">Assumptions!J42</f>
        <v>9.6</v>
      </c>
      <c r="K7" s="4" t="n">
        <f aca="false">Assumptions!K42</f>
        <v>9.6</v>
      </c>
      <c r="L7" s="4" t="n">
        <f aca="false">Assumptions!L42</f>
        <v>9.6</v>
      </c>
    </row>
    <row r="8" customFormat="false" ht="15" hidden="false" customHeight="false" outlineLevel="0" collapsed="false">
      <c r="A8" s="0" t="s">
        <v>72</v>
      </c>
      <c r="C8" s="0" t="n">
        <f aca="false">C6*C7/100</f>
        <v>826.088163472</v>
      </c>
      <c r="D8" s="0" t="n">
        <f aca="false">D6*D7/100</f>
        <v>818.1089028021</v>
      </c>
      <c r="E8" s="0" t="n">
        <f aca="false">E6*E7/100</f>
        <v>936.783977377248</v>
      </c>
      <c r="F8" s="0" t="n">
        <f aca="false">F6*F7/100</f>
        <v>1047.92062196609</v>
      </c>
      <c r="G8" s="0" t="n">
        <f aca="false">G6*G7/100</f>
        <v>1147.01746339115</v>
      </c>
      <c r="H8" s="0" t="n">
        <f aca="false">H6*H7/100</f>
        <v>1222.84135465532</v>
      </c>
      <c r="I8" s="0" t="n">
        <f aca="false">I6*I7/100</f>
        <v>1283.98342238809</v>
      </c>
      <c r="J8" s="0" t="n">
        <f aca="false">J6*J7/100</f>
        <v>1341.76267639555</v>
      </c>
      <c r="K8" s="0" t="n">
        <f aca="false">K6*K7/100</f>
        <v>1395.43318345137</v>
      </c>
      <c r="L8" s="0" t="n">
        <f aca="false">L6*L7/100</f>
        <v>1444.27334487217</v>
      </c>
    </row>
    <row r="9" customFormat="false" ht="15" hidden="false" customHeight="false" outlineLevel="0" collapsed="false">
      <c r="A9" s="0" t="s">
        <v>135</v>
      </c>
      <c r="C9" s="4" t="n">
        <f aca="false">Assumptions!C43</f>
        <v>0.3</v>
      </c>
      <c r="D9" s="4" t="n">
        <f aca="false">Assumptions!D43</f>
        <v>0.3</v>
      </c>
      <c r="E9" s="4" t="n">
        <f aca="false">Assumptions!E43</f>
        <v>0.3</v>
      </c>
      <c r="F9" s="4" t="n">
        <f aca="false">Assumptions!F43</f>
        <v>0.3</v>
      </c>
      <c r="G9" s="4" t="n">
        <f aca="false">Assumptions!G43</f>
        <v>0.3</v>
      </c>
      <c r="H9" s="4" t="n">
        <f aca="false">Assumptions!H43</f>
        <v>0.3</v>
      </c>
      <c r="I9" s="4" t="n">
        <f aca="false">Assumptions!I43</f>
        <v>0.3</v>
      </c>
      <c r="J9" s="4" t="n">
        <f aca="false">Assumptions!J43</f>
        <v>0.3</v>
      </c>
      <c r="K9" s="4" t="n">
        <f aca="false">Assumptions!K43</f>
        <v>0.3</v>
      </c>
      <c r="L9" s="4" t="n">
        <f aca="false">Assumptions!L43</f>
        <v>0.3</v>
      </c>
    </row>
    <row r="10" customFormat="false" ht="15" hidden="false" customHeight="false" outlineLevel="0" collapsed="false">
      <c r="A10" s="0" t="s">
        <v>150</v>
      </c>
      <c r="C10" s="0" t="n">
        <f aca="false">-C6*C9/100</f>
        <v>-28.162096482</v>
      </c>
      <c r="D10" s="0" t="n">
        <f aca="false">-D6*D9/100</f>
        <v>-29.5702013061</v>
      </c>
      <c r="E10" s="0" t="n">
        <f aca="false">-E6*E9/100</f>
        <v>-31.935817410588</v>
      </c>
      <c r="F10" s="0" t="n">
        <f aca="false">-F6*F9/100</f>
        <v>-34.1713246293292</v>
      </c>
      <c r="G10" s="0" t="n">
        <f aca="false">-G6*G9/100</f>
        <v>-36.2216041070889</v>
      </c>
      <c r="H10" s="0" t="n">
        <f aca="false">-H6*H9/100</f>
        <v>-38.2137923329788</v>
      </c>
      <c r="I10" s="0" t="n">
        <f aca="false">-I6*I9/100</f>
        <v>-40.1244819496278</v>
      </c>
      <c r="J10" s="0" t="n">
        <f aca="false">-J6*J9/100</f>
        <v>-41.930083637361</v>
      </c>
      <c r="K10" s="0" t="n">
        <f aca="false">-K6*K9/100</f>
        <v>-43.6072869828554</v>
      </c>
      <c r="L10" s="0" t="n">
        <f aca="false">-L6*L9/100</f>
        <v>-45.1335420272554</v>
      </c>
    </row>
    <row r="11" customFormat="false" ht="15" hidden="false" customHeight="false" outlineLevel="0" collapsed="false">
      <c r="A11" s="0" t="s">
        <v>151</v>
      </c>
      <c r="C11" s="0" t="n">
        <f aca="false">C8+C10+C24</f>
        <v>797.92606699</v>
      </c>
      <c r="D11" s="0" t="n">
        <f aca="false">D8+D10+D24</f>
        <v>788.538701496</v>
      </c>
      <c r="E11" s="0" t="n">
        <f aca="false">E8+E10+E24</f>
        <v>904.84815996666</v>
      </c>
      <c r="F11" s="0" t="n">
        <f aca="false">F8+F10+F24</f>
        <v>1013.74929733677</v>
      </c>
      <c r="G11" s="0" t="n">
        <f aca="false">G8+G10+G24</f>
        <v>1110.79585928406</v>
      </c>
      <c r="H11" s="0" t="n">
        <f aca="false">H8+H10+H24</f>
        <v>1184.62756232234</v>
      </c>
      <c r="I11" s="0" t="n">
        <f aca="false">I8+I10+I24</f>
        <v>1243.85894043846</v>
      </c>
      <c r="J11" s="0" t="n">
        <f aca="false">J8+J10+J24</f>
        <v>1299.83259275819</v>
      </c>
      <c r="K11" s="0" t="n">
        <f aca="false">K8+K10+K24</f>
        <v>1351.82589646852</v>
      </c>
      <c r="L11" s="0" t="n">
        <f aca="false">L8+L10+L24</f>
        <v>1399.13980284492</v>
      </c>
    </row>
    <row r="12" customFormat="false" ht="15" hidden="false" customHeight="false" outlineLevel="0" collapsed="false">
      <c r="A12" s="0" t="s">
        <v>152</v>
      </c>
      <c r="C12" s="4" t="n">
        <f aca="false">-C6*Assumptions!C45/100</f>
        <v>-187.74730988</v>
      </c>
      <c r="D12" s="4" t="n">
        <f aca="false">-D6*Assumptions!D45/100</f>
        <v>-202.06304225835</v>
      </c>
      <c r="E12" s="4" t="n">
        <f aca="false">-E6*Assumptions!E45/100</f>
        <v>-223.550721874116</v>
      </c>
      <c r="F12" s="4" t="n">
        <f aca="false">-F6*Assumptions!F45/100</f>
        <v>-239.199272405304</v>
      </c>
      <c r="G12" s="4" t="n">
        <f aca="false">-G6*Assumptions!G45/100</f>
        <v>-253.551228749622</v>
      </c>
      <c r="H12" s="4" t="n">
        <f aca="false">-H6*Assumptions!H45/100</f>
        <v>-267.496546330852</v>
      </c>
      <c r="I12" s="4" t="n">
        <f aca="false">-I6*Assumptions!I45/100</f>
        <v>-280.871373647394</v>
      </c>
      <c r="J12" s="4" t="n">
        <f aca="false">-J6*Assumptions!J45/100</f>
        <v>-293.510585461527</v>
      </c>
      <c r="K12" s="4" t="n">
        <f aca="false">-K6*Assumptions!K45/100</f>
        <v>-305.251008879988</v>
      </c>
      <c r="L12" s="4" t="n">
        <f aca="false">-L6*Assumptions!L45/100</f>
        <v>-315.934794190788</v>
      </c>
    </row>
    <row r="13" customFormat="false" ht="15" hidden="false" customHeight="false" outlineLevel="0" collapsed="false">
      <c r="A13" s="0" t="s">
        <v>153</v>
      </c>
      <c r="C13" s="0" t="n">
        <f aca="false">C11+C12</f>
        <v>610.17875711</v>
      </c>
      <c r="D13" s="0" t="n">
        <f aca="false">D11+D12</f>
        <v>586.47565923765</v>
      </c>
      <c r="E13" s="0" t="n">
        <f aca="false">E11+E12</f>
        <v>681.297438092544</v>
      </c>
      <c r="F13" s="0" t="n">
        <f aca="false">F11+F12</f>
        <v>774.550024931461</v>
      </c>
      <c r="G13" s="0" t="n">
        <f aca="false">G11+G12</f>
        <v>857.244630534438</v>
      </c>
      <c r="H13" s="0" t="n">
        <f aca="false">H11+H12</f>
        <v>917.131015991492</v>
      </c>
      <c r="I13" s="0" t="n">
        <f aca="false">I11+I12</f>
        <v>962.987566791066</v>
      </c>
      <c r="J13" s="0" t="n">
        <f aca="false">J11+J12</f>
        <v>1006.32200729666</v>
      </c>
      <c r="K13" s="0" t="n">
        <f aca="false">K11+K12</f>
        <v>1046.57488758853</v>
      </c>
      <c r="L13" s="0" t="n">
        <f aca="false">L11+L12</f>
        <v>1083.20500865413</v>
      </c>
    </row>
    <row r="14" customFormat="false" ht="15" hidden="false" customHeight="false" outlineLevel="0" collapsed="false">
      <c r="A14" s="0" t="s">
        <v>139</v>
      </c>
      <c r="C14" s="4" t="n">
        <f aca="false">Assumptions!C47</f>
        <v>21</v>
      </c>
      <c r="D14" s="4" t="n">
        <f aca="false">Assumptions!D47</f>
        <v>22</v>
      </c>
      <c r="E14" s="4" t="n">
        <f aca="false">Assumptions!E47</f>
        <v>23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154</v>
      </c>
      <c r="C15" s="0" t="n">
        <f aca="false">C13-MAX(0,C13)*C14/100</f>
        <v>482.0412181169</v>
      </c>
      <c r="D15" s="0" t="n">
        <f aca="false">D13-MAX(0,D13)*D14/100</f>
        <v>457.451014205367</v>
      </c>
      <c r="E15" s="0" t="n">
        <f aca="false">E13-MAX(0,E13)*E14/100</f>
        <v>524.599027331259</v>
      </c>
      <c r="F15" s="0" t="n">
        <f aca="false">F13-MAX(0,F13)*F14/100</f>
        <v>588.65801894791</v>
      </c>
      <c r="G15" s="0" t="n">
        <f aca="false">G13-MAX(0,G13)*G14/100</f>
        <v>651.505919206173</v>
      </c>
      <c r="H15" s="0" t="n">
        <f aca="false">H13-MAX(0,H13)*H14/100</f>
        <v>697.019572153534</v>
      </c>
      <c r="I15" s="0" t="n">
        <f aca="false">I13-MAX(0,I13)*I14/100</f>
        <v>731.87055076121</v>
      </c>
      <c r="J15" s="0" t="n">
        <f aca="false">J13-MAX(0,J13)*J14/100</f>
        <v>764.804725545465</v>
      </c>
      <c r="K15" s="0" t="n">
        <f aca="false">K13-MAX(0,K13)*K14/100</f>
        <v>795.396914567283</v>
      </c>
      <c r="L15" s="0" t="n">
        <f aca="false">L13-MAX(0,L13)*L14/100</f>
        <v>823.235806577138</v>
      </c>
    </row>
    <row r="16" customFormat="false" ht="15" hidden="false" customHeight="false" outlineLevel="0" collapsed="false">
      <c r="A16" s="0" t="s">
        <v>155</v>
      </c>
      <c r="C16" s="0" t="n">
        <f aca="false">-C12</f>
        <v>187.74730988</v>
      </c>
      <c r="D16" s="0" t="n">
        <f aca="false">-D12</f>
        <v>202.06304225835</v>
      </c>
      <c r="E16" s="0" t="n">
        <f aca="false">-E12</f>
        <v>223.550721874116</v>
      </c>
      <c r="F16" s="0" t="n">
        <f aca="false">-F12</f>
        <v>239.199272405304</v>
      </c>
      <c r="G16" s="0" t="n">
        <f aca="false">-G12</f>
        <v>253.551228749622</v>
      </c>
      <c r="H16" s="0" t="n">
        <f aca="false">-H12</f>
        <v>267.496546330852</v>
      </c>
      <c r="I16" s="0" t="n">
        <f aca="false">-I12</f>
        <v>280.871373647394</v>
      </c>
      <c r="J16" s="0" t="n">
        <f aca="false">-J12</f>
        <v>293.510585461527</v>
      </c>
      <c r="K16" s="0" t="n">
        <f aca="false">-K12</f>
        <v>305.251008879988</v>
      </c>
      <c r="L16" s="0" t="n">
        <f aca="false">-L12</f>
        <v>315.934794190788</v>
      </c>
    </row>
    <row r="17" customFormat="false" ht="15" hidden="false" customHeight="false" outlineLevel="0" collapsed="false">
      <c r="A17" s="0" t="s">
        <v>156</v>
      </c>
      <c r="C17" s="4" t="n">
        <f aca="false">-C6*Assumptions!C46/100</f>
        <v>-337.945157784</v>
      </c>
      <c r="D17" s="4" t="n">
        <f aca="false">-D6*Assumptions!D46/100</f>
        <v>-344.9856819045</v>
      </c>
      <c r="E17" s="4" t="n">
        <f aca="false">-E6*Assumptions!E46/100</f>
        <v>-361.939263986664</v>
      </c>
      <c r="F17" s="4" t="n">
        <f aca="false">-F6*Assumptions!F46/100</f>
        <v>-375.884570922621</v>
      </c>
      <c r="G17" s="4" t="n">
        <f aca="false">-G6*Assumptions!G46/100</f>
        <v>-386.363777142282</v>
      </c>
      <c r="H17" s="4" t="n">
        <f aca="false">-H6*Assumptions!H46/100</f>
        <v>-394.875854107448</v>
      </c>
      <c r="I17" s="4" t="n">
        <f aca="false">-I6*Assumptions!I46/100</f>
        <v>-401.244819496278</v>
      </c>
      <c r="J17" s="4" t="n">
        <f aca="false">-J6*Assumptions!J46/100</f>
        <v>-419.30083637361</v>
      </c>
      <c r="K17" s="4" t="n">
        <f aca="false">-K6*Assumptions!K46/100</f>
        <v>-421.537107500936</v>
      </c>
      <c r="L17" s="4" t="n">
        <f aca="false">-L6*Assumptions!L46/100</f>
        <v>-436.290906263469</v>
      </c>
    </row>
    <row r="18" customFormat="false" ht="15" hidden="false" customHeight="false" outlineLevel="0" collapsed="false">
      <c r="A18" s="0" t="s">
        <v>157</v>
      </c>
      <c r="C18" s="4" t="n">
        <f aca="false">(C6-B6)*Assumptions!$B$51/100</f>
        <v>11.62412988</v>
      </c>
      <c r="D18" s="4" t="n">
        <f aca="false">(D6-C6)*Assumptions!$B$51/100</f>
        <v>9.387365494</v>
      </c>
      <c r="E18" s="4" t="n">
        <f aca="false">(E6-D6)*Assumptions!$B$51/100</f>
        <v>15.77077402992</v>
      </c>
      <c r="F18" s="4" t="n">
        <f aca="false">(F6-E6)*Assumptions!$B$51/100</f>
        <v>14.9033814582744</v>
      </c>
      <c r="G18" s="4" t="n">
        <f aca="false">(G6-F6)*Assumptions!$B$51/100</f>
        <v>13.6685298517317</v>
      </c>
      <c r="H18" s="4" t="n">
        <f aca="false">(H6-G6)*Assumptions!$B$51/100</f>
        <v>13.2812548392659</v>
      </c>
      <c r="I18" s="4" t="n">
        <f aca="false">(I6-H6)*Assumptions!$B$51/100</f>
        <v>12.7379307776596</v>
      </c>
      <c r="J18" s="4" t="n">
        <f aca="false">(J6-I6)*Assumptions!$B$51/100</f>
        <v>12.0373445848883</v>
      </c>
      <c r="K18" s="4" t="n">
        <f aca="false">(K6-J6)*Assumptions!$B$51/100</f>
        <v>11.1813556366296</v>
      </c>
      <c r="L18" s="4" t="n">
        <f aca="false">(L6-K6)*Assumptions!$B$51/100</f>
        <v>10.1750336293329</v>
      </c>
    </row>
    <row r="19" customFormat="false" ht="15" hidden="false" customHeight="false" outlineLevel="0" collapsed="false">
      <c r="A19" s="0" t="s">
        <v>158</v>
      </c>
      <c r="C19" s="0" t="n">
        <f aca="false">C15+C16+C17+C18</f>
        <v>343.4675000929</v>
      </c>
      <c r="D19" s="0" t="n">
        <f aca="false">D15+D16+D17+D18</f>
        <v>323.915740053217</v>
      </c>
      <c r="E19" s="0" t="n">
        <f aca="false">E15+E16+E17+E18</f>
        <v>401.981259248631</v>
      </c>
      <c r="F19" s="0" t="n">
        <f aca="false">F15+F16+F17+F18</f>
        <v>466.876101888868</v>
      </c>
      <c r="G19" s="0" t="n">
        <f aca="false">G15+G16+G17+G18</f>
        <v>532.361900665245</v>
      </c>
      <c r="H19" s="0" t="n">
        <f aca="false">H15+H16+H17+H18</f>
        <v>582.921519216203</v>
      </c>
      <c r="I19" s="0" t="n">
        <f aca="false">I15+I16+I17+I18</f>
        <v>624.235035689986</v>
      </c>
      <c r="J19" s="0" t="n">
        <f aca="false">J15+J16+J17+J18</f>
        <v>651.05181921827</v>
      </c>
      <c r="K19" s="0" t="n">
        <f aca="false">K15+K16+K17+K18</f>
        <v>690.292171582965</v>
      </c>
      <c r="L19" s="0" t="n">
        <f aca="false">L15+L16+L17+L18</f>
        <v>713.05472813379</v>
      </c>
    </row>
    <row r="20" customFormat="false" ht="15" hidden="false" customHeight="false" outlineLevel="0" collapsed="false">
      <c r="A20" s="0" t="s">
        <v>159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160</v>
      </c>
      <c r="C21" s="0" t="n">
        <f aca="false">C19*C20</f>
        <v>315.107798250367</v>
      </c>
      <c r="D21" s="0" t="n">
        <f aca="false">D19*D20</f>
        <v>272.633397906924</v>
      </c>
      <c r="E21" s="0" t="n">
        <f aca="false">E19*E20</f>
        <v>310.403287685937</v>
      </c>
      <c r="F21" s="0" t="n">
        <f aca="false">F19*F20</f>
        <v>330.746801021917</v>
      </c>
      <c r="G21" s="0" t="n">
        <f aca="false">G19*G20</f>
        <v>345.998708111785</v>
      </c>
      <c r="H21" s="0" t="n">
        <f aca="false">H19*H20</f>
        <v>347.577056043417</v>
      </c>
      <c r="I21" s="0" t="n">
        <f aca="false">I19*I20</f>
        <v>341.477941353413</v>
      </c>
      <c r="J21" s="0" t="n">
        <f aca="false">J19*J20</f>
        <v>326.740954385261</v>
      </c>
      <c r="K21" s="0" t="n">
        <f aca="false">K19*K20</f>
        <v>317.82969177943</v>
      </c>
      <c r="L21" s="0" t="n">
        <f aca="false">L19*L20</f>
        <v>301.20202307178</v>
      </c>
    </row>
    <row r="23" customFormat="false" ht="15" hidden="false" customHeight="false" outlineLevel="0" collapsed="false">
      <c r="A23" s="0" t="s">
        <v>136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161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162</v>
      </c>
    </row>
    <row r="27" customFormat="false" ht="15" hidden="false" customHeight="false" outlineLevel="0" collapsed="false">
      <c r="A27" s="0" t="s">
        <v>140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141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142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163</v>
      </c>
      <c r="B30" s="0" t="n">
        <f aca="false">SUM(C21:L21)</f>
        <v>3209.71765961023</v>
      </c>
    </row>
    <row r="31" customFormat="false" ht="15" hidden="false" customHeight="false" outlineLevel="0" collapsed="false">
      <c r="A31" s="0" t="s">
        <v>164</v>
      </c>
      <c r="B31" s="0" t="n">
        <f aca="false">L19</f>
        <v>713.05472813379</v>
      </c>
    </row>
    <row r="32" customFormat="false" ht="15" hidden="false" customHeight="false" outlineLevel="0" collapsed="false">
      <c r="A32" s="0" t="s">
        <v>165</v>
      </c>
      <c r="B32" s="0" t="n">
        <f aca="false">IF(B27&gt;B28,B31*(1+B28/100)/((B27-B28)/100),B31*B29)</f>
        <v>12240.7728329634</v>
      </c>
    </row>
    <row r="33" customFormat="false" ht="15" hidden="false" customHeight="false" outlineLevel="0" collapsed="false">
      <c r="A33" s="0" t="s">
        <v>166</v>
      </c>
      <c r="B33" s="0" t="n">
        <f aca="false">B31*B29</f>
        <v>11408.8756501406</v>
      </c>
    </row>
    <row r="34" customFormat="false" ht="15" hidden="false" customHeight="false" outlineLevel="0" collapsed="false">
      <c r="A34" s="0" t="s">
        <v>167</v>
      </c>
      <c r="B34" s="0" t="n">
        <f aca="false">MAX(0,MIN(B32,B33))</f>
        <v>11408.8756501406</v>
      </c>
    </row>
    <row r="35" customFormat="false" ht="15" hidden="false" customHeight="false" outlineLevel="0" collapsed="false">
      <c r="A35" s="0" t="s">
        <v>168</v>
      </c>
      <c r="B35" s="0" t="n">
        <f aca="false">B34/(1+B27/100)^L4</f>
        <v>4819.23236914848</v>
      </c>
    </row>
    <row r="36" customFormat="false" ht="15" hidden="false" customHeight="false" outlineLevel="0" collapsed="false">
      <c r="A36" s="0" t="s">
        <v>169</v>
      </c>
      <c r="B36" s="0" t="n">
        <f aca="false">B30+B35</f>
        <v>8028.95002875872</v>
      </c>
    </row>
    <row r="37" customFormat="false" ht="15" hidden="false" customHeight="false" outlineLevel="0" collapsed="false">
      <c r="A37" s="0" t="s">
        <v>170</v>
      </c>
      <c r="B37" s="0" t="n">
        <f aca="false">B36+Assumptions!$B$5-Assumptions!$B$4</f>
        <v>8124.52802875872</v>
      </c>
    </row>
    <row r="38" customFormat="false" ht="15" hidden="false" customHeight="false" outlineLevel="0" collapsed="false">
      <c r="A38" s="0" t="s">
        <v>171</v>
      </c>
      <c r="B38" s="0" t="n">
        <f aca="false">B37/Assumptions!$B$3*Assumptions!$B$10</f>
        <v>86.7393507650451</v>
      </c>
    </row>
    <row r="39" customFormat="false" ht="15" hidden="false" customHeight="false" outlineLevel="0" collapsed="false">
      <c r="A39" s="0" t="s">
        <v>172</v>
      </c>
      <c r="B39" s="4" t="n">
        <f aca="false">B38/Assumptions!$B$2-1</f>
        <v>0.745258566701109</v>
      </c>
    </row>
    <row r="41" customFormat="false" ht="15" hidden="false" customHeight="false" outlineLevel="0" collapsed="false">
      <c r="A41" s="0" t="s">
        <v>173</v>
      </c>
      <c r="B41" s="0" t="n">
        <f aca="false">SUMPRODUCT(-C10:L10/(1+$B$27/100)^C4:L4)</f>
        <v>228.056427251231</v>
      </c>
    </row>
    <row r="42" customFormat="false" ht="15" hidden="false" customHeight="false" outlineLevel="0" collapsed="false">
      <c r="A42" s="0" t="s">
        <v>174</v>
      </c>
      <c r="B42" s="0" t="n">
        <f aca="false">IF(B27&gt;B28,-L10*(1+B28/100)/((B27-B28)/100),-L10*20)/(1+B27/100)^L4</f>
        <v>327.280713049454</v>
      </c>
    </row>
    <row r="43" customFormat="false" ht="15" hidden="false" customHeight="false" outlineLevel="0" collapsed="false">
      <c r="A43" s="0" t="s">
        <v>175</v>
      </c>
      <c r="B43" s="0" t="n">
        <f aca="false">(B37+B41+B42)/Assumptions!$B$3*Assumptions!$B$10</f>
        <v>92.6682592302372</v>
      </c>
    </row>
    <row r="45" customFormat="false" ht="15" hidden="false" customHeight="false" outlineLevel="0" collapsed="false">
      <c r="A45" s="0" t="s">
        <v>116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176</v>
      </c>
      <c r="B46" s="0" t="n">
        <f aca="false">MAX(0,MIN(IF(B45&gt;B28,B31*(1+B28/100)/((B45-B28)/100),B31*B29),B31*B29))</f>
        <v>6120.3864164817</v>
      </c>
    </row>
    <row r="47" customFormat="false" ht="15" hidden="false" customHeight="false" outlineLevel="0" collapsed="false">
      <c r="A47" s="0" t="s">
        <v>177</v>
      </c>
      <c r="B47" s="0" t="n">
        <f aca="false">(SUMPRODUCT(C19:L19/(1+B45/100)^C4:L4)+B46/(1+B45/100)^L4+Assumptions!$B$5-Assumptions!$B$4)/Assumptions!$B$3*Assumptions!$B$10</f>
        <v>42.9180246014283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180</v>
      </c>
    </row>
    <row r="3" customFormat="false" ht="15" hidden="false" customHeight="false" outlineLevel="0" collapsed="false">
      <c r="A3" s="2" t="s">
        <v>181</v>
      </c>
      <c r="B3" s="2" t="s">
        <v>182</v>
      </c>
      <c r="C3" s="2" t="s">
        <v>172</v>
      </c>
      <c r="D3" s="2" t="s">
        <v>183</v>
      </c>
      <c r="E3" s="2" t="s">
        <v>175</v>
      </c>
      <c r="F3" s="2" t="s">
        <v>184</v>
      </c>
    </row>
    <row r="4" customFormat="false" ht="15" hidden="false" customHeight="false" outlineLevel="0" collapsed="false">
      <c r="A4" s="0" t="s">
        <v>185</v>
      </c>
      <c r="B4" s="4" t="n">
        <f aca="false">DCF_Bear!$B$38</f>
        <v>48.6288163974741</v>
      </c>
      <c r="C4" s="0" t="n">
        <f aca="false">B4/Assumptions!$B$2-1</f>
        <v>-0.0215529899904607</v>
      </c>
      <c r="D4" s="4" t="n">
        <f aca="false">Assumptions!$B$24</f>
        <v>0.3</v>
      </c>
      <c r="E4" s="4" t="n">
        <f aca="false">DCF_Bear!$B$43</f>
        <v>52.981381015341</v>
      </c>
      <c r="F4" s="4" t="n">
        <f aca="false">DCF_Bear!$B$47</f>
        <v>26.898179438958</v>
      </c>
    </row>
    <row r="5" customFormat="false" ht="15" hidden="false" customHeight="false" outlineLevel="0" collapsed="false">
      <c r="A5" s="0" t="s">
        <v>186</v>
      </c>
      <c r="B5" s="4" t="n">
        <f aca="false">DCF_Base!$B$38</f>
        <v>66.0517606929261</v>
      </c>
      <c r="C5" s="0" t="n">
        <f aca="false">B5/Assumptions!$B$2-1</f>
        <v>0.329009269475374</v>
      </c>
      <c r="D5" s="4" t="n">
        <f aca="false">Assumptions!$B$38</f>
        <v>0.5</v>
      </c>
      <c r="E5" s="4" t="n">
        <f aca="false">DCF_Base!$B$43</f>
        <v>71.1152413204661</v>
      </c>
      <c r="F5" s="4" t="n">
        <f aca="false">DCF_Base!$B$47</f>
        <v>33.4700885866364</v>
      </c>
    </row>
    <row r="6" customFormat="false" ht="15" hidden="false" customHeight="false" outlineLevel="0" collapsed="false">
      <c r="A6" s="0" t="s">
        <v>187</v>
      </c>
      <c r="B6" s="4" t="n">
        <f aca="false">DCF_Bull!$B$38</f>
        <v>86.7393507650451</v>
      </c>
      <c r="C6" s="0" t="n">
        <f aca="false">B6/Assumptions!$B$2-1</f>
        <v>0.745258566701109</v>
      </c>
      <c r="D6" s="4" t="n">
        <f aca="false">Assumptions!$B$52</f>
        <v>0.2</v>
      </c>
      <c r="E6" s="4" t="n">
        <f aca="false">DCF_Bull!$B$43</f>
        <v>92.6682592302372</v>
      </c>
      <c r="F6" s="4" t="n">
        <f aca="false">DCF_Bull!$B$47</f>
        <v>42.9180246014283</v>
      </c>
    </row>
    <row r="8" customFormat="false" ht="15" hidden="false" customHeight="false" outlineLevel="0" collapsed="false">
      <c r="A8" s="0" t="s">
        <v>188</v>
      </c>
      <c r="B8" s="0" t="n">
        <f aca="false">SUMPRODUCT(B4:B6,D4:D6)</f>
        <v>64.9623954187143</v>
      </c>
    </row>
    <row r="9" customFormat="false" ht="15" hidden="false" customHeight="false" outlineLevel="0" collapsed="false">
      <c r="A9" s="0" t="s">
        <v>189</v>
      </c>
      <c r="B9" s="0" t="n">
        <f aca="false">SUMPRODUCT(E4:E6,D4:D6)</f>
        <v>69.9856868108828</v>
      </c>
    </row>
    <row r="10" customFormat="false" ht="15" hidden="false" customHeight="false" outlineLevel="0" collapsed="false">
      <c r="A10" s="0" t="s">
        <v>190</v>
      </c>
      <c r="B10" s="0" t="n">
        <f aca="false">1-Assumptions!$B$2/B8</f>
        <v>0.234942004837425</v>
      </c>
    </row>
    <row r="11" customFormat="false" ht="15" hidden="false" customHeight="false" outlineLevel="0" collapsed="false">
      <c r="A11" s="0" t="s">
        <v>191</v>
      </c>
      <c r="B11" s="0" t="n">
        <f aca="false">IF(ABS(B9-B8)&gt;0.01*ABS(B8),(Assumptions!$B$2-B8)/(B9-B8)*100,"n/a")</f>
        <v>-303.832571658274</v>
      </c>
    </row>
    <row r="12" customFormat="false" ht="15" hidden="false" customHeight="false" outlineLevel="0" collapsed="false">
      <c r="A12" s="0" t="s">
        <v>192</v>
      </c>
      <c r="B12" s="0" t="n">
        <f aca="false">SUMPRODUCT(F4:F6,D4:D6)</f>
        <v>33.3881030452912</v>
      </c>
    </row>
    <row r="14" customFormat="false" ht="15" hidden="false" customHeight="false" outlineLevel="0" collapsed="false">
      <c r="A14" s="2" t="s">
        <v>193</v>
      </c>
      <c r="C14" s="0" t="s">
        <v>194</v>
      </c>
    </row>
    <row r="15" customFormat="false" ht="15" hidden="false" customHeight="false" outlineLevel="0" collapsed="false">
      <c r="A15" s="0" t="s">
        <v>195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66.0517606929261</v>
      </c>
      <c r="C15" s="3" t="n">
        <v>9</v>
      </c>
    </row>
    <row r="16" customFormat="false" ht="15" hidden="false" customHeight="false" outlineLevel="0" collapsed="false">
      <c r="A16" s="0" t="s">
        <v>196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56.9499306170815</v>
      </c>
      <c r="C16" s="3" t="n">
        <v>10</v>
      </c>
    </row>
    <row r="17" customFormat="false" ht="15" hidden="false" customHeight="false" outlineLevel="0" collapsed="false">
      <c r="A17" s="0" t="s">
        <v>197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50.0094130346228</v>
      </c>
      <c r="C17" s="3" t="n">
        <v>11</v>
      </c>
    </row>
    <row r="18" customFormat="false" ht="15" hidden="false" customHeight="false" outlineLevel="0" collapsed="false">
      <c r="A18" s="0" t="s">
        <v>198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44.5465694284693</v>
      </c>
      <c r="C18" s="3" t="n">
        <v>12</v>
      </c>
    </row>
    <row r="19" customFormat="false" ht="15" hidden="false" customHeight="false" outlineLevel="0" collapsed="false">
      <c r="A19" s="0" t="s">
        <v>199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33.4700885866364</v>
      </c>
      <c r="C19" s="3" t="n">
        <v>15</v>
      </c>
    </row>
    <row r="21" customFormat="false" ht="15" hidden="false" customHeight="false" outlineLevel="0" collapsed="false">
      <c r="A21" s="2" t="s">
        <v>200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77.2064274397013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77.2064274397013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77.2064274397013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77.2064274397013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77.2064274397013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70.6548741495711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71.6531519615515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71.6531519615515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71.6531519615515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71.6531519615515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60.7594026250425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63.2165688708456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66.0517606929261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66.5979903100242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66.5979903100242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53.2221704294241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54.9695580173885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56.9499306170815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59.2132135881592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61.8246939394027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47.296642989639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48.5776732886591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50.0094130346228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51.620120248832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53.4455884249357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2026-10-30T22:01:25Z</dcterms:created>
  <dc:creator>openpyxl</dc:creator>
  <dc:description/>
  <dc:language>en-NZ</dc:language>
  <cp:lastModifiedBy/>
  <dcterms:modified xsi:type="dcterms:W3CDTF">2026-10-30T22:01:25Z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