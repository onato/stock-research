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<sst xmlns="http://schemas.openxmlformats.org/spreadsheetml/2006/main" count="354" uniqueCount="165">
  <si>
    <t xml:space="preserve">Ticker</t>
  </si>
  <si>
    <t xml:space="preserve">2858.HK</t>
  </si>
  <si>
    <t xml:space="preserve">Company</t>
  </si>
  <si>
    <t xml:space="preserve">Yixin Group Limited</t>
  </si>
  <si>
    <t xml:space="preserve">Valuation date</t>
  </si>
  <si>
    <t xml:space="preserve">2026-10-22</t>
  </si>
  <si>
    <t xml:space="preserve">Current price</t>
  </si>
  <si>
    <t xml:space="preserve">Price as of</t>
  </si>
  <si>
    <t xml:space="preserve">2026-10-22T05:27:08Z HKEX regular session (13:27 HKT, intraday print; the stock is at its 52-week low of 0.75 against a 52-week high of 3.20, down ~73% from HK$2.85 at end-December 2025, with a 100m-share volume spike on 13-15 Oct 2026). No filing in Extracted/ (latest: interim report, Aug 2026) and no headline reachable from this environment explains the drawdown; it is treated as evidence for the bear weight, not as a known event.</t>
  </si>
  <si>
    <t xml:space="preserve">Balance sheet date</t>
  </si>
  <si>
    <t xml:space="preserve">2026-06-30</t>
  </si>
  <si>
    <t xml:space="preserve">Model</t>
  </si>
  <si>
    <t xml:space="preserve">Lender FCFE at cost of equity (engine route), net debt zero, equity retention on balance-sheet growth, SBC expensed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</si>
  <si>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</si>
  <si>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</si>
  <si>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</si>
  <si>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</si>
  <si>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</si>
  <si>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</si>
  <si>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</si>
  <si>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</si>
  <si>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</si>
  <si>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2026-10-22T05:49:40Z</t>
  </si>
  <si>
    <t xml:space="preserve">Drivers file</t>
  </si>
  <si>
    <t xml:space="preserve">2858.HK_Drivers.json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</si>
  <si>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</si>
  <si>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</si>
  <si>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</si>
  <si>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Yixin is valued as a lender, not as a SaaS company: the self-operated financing-lease book is funded 1:1 by wholesale borrowings, the 'asset-light' platform retains guarantee exposure on ~RMB86bn of facilitated loans, and reported free cash flow is loan-book noise. The flow that belongs to shareholders is net profit less the equity that must be retained to hold leverage flat as the balance sheet grows (FCFE), discounted at a CNY cost of equity of 12% with net debt zero by construction. The Group earns ~7-8% on equity against that 12%, so it is fairly worth well under book even in the base case (~0.6x). The share price (0.27x book, ~3x earnings, 18% trailing yield) is below the bear case, which means the market is pricing an event the filings do not disclose; the valuation is conditional on no such event and the bear weight is set at 40% to reflect that uncertainty. SBC is expensed in the flows and the fully diluted count is held flat; the street basis (SBC added back) equals the company's 'adjusted net profit' convention.
model_choice: Routed via dcf-methods: 'Bank, non-bank deposit taker, thrift' adapted for a non-deposit lender, implemented as FCFE at cost of equity on the engine route (house precedents 2016.HK, 0998.HK, 1788.HK, 1186.HK). Owner-FCF with EV minus RMB27.7bn of book-funding net debt was rejected as meaningless; a platform/book sum-of-parts was rejected because the segment note does not allocate credit cost, funding cost or equity between the two lines and the guarantee business straddles them.
key_risks_to_valuation: Unexplained ~73% share-price drawdown in 2026 with a mid-October volume spike: if it reflects a regulatory cap on guarantee fees/take rates or a funding event, the bear path is too mild.; Credit: impairment +61% YoY in H1 FY2026 to RMB1,678m, 90+ day past-due 1.92% and rising on a book that is 56% used-car; guarantee exposure on ~RMB86bn of off-balance-sheet loans with RMB2.87bn of provisions.; Regulation: 2025-26 provincial bans on high-interest/high-rebate auto loans and the ~24% all-in APR cap reach exactly the fee stack (guarantee + SaaS = 66% of revenue) that drives the margin.; Funding: wholesale-only (ABS, syndicated loans, USD bond, MTNs) against 1.93x debt-to-equity; a shutout forces deleveraging that consumes FCFE, as in the bear case.; Earnings quality: H1 FY2026 net profit +28% on a 17% tax rate (Hainan preferential rate and one-off deductions) while PBT grew 7%; the model uses 25%.; Concentration and control: 24 core customers are 99% of SaaS revenue; Tencent holds ~52%, so minority holders have no say on capital allocation; 10% PRC dividend withholding for H-share holders is not modelled.; Currency and listing: RMB flows against an HKD quote (a 10% RMB move is a 10% move in HKD value).</t>
  </si>
  <si>
    <t xml:space="preserve">Data sources</t>
  </si>
  <si>
    <t xml:space="preserve">price: Yahoo Finance chart API (2858.HK, HKD) at inputs.price_as_of; 52-week range 0.75-3.20. FX CNYHKD=X, USDHKD=X and USDCNY=X from the same API on 2026-10-22.
financials: 2858.HK_Metrics.csv / metrics_normalized (FY2018-FY2025 annual, H1 FY2023-H1 FY2026 interim, RMB millions) and kpis (SaaS/platform and self-operated revenue, finance receivables, financing volume, cash taxes, dividends, SBC). H1 FY2026 interim report: income statement (lines 955-971), adjusted-profit reconciliation with SBC (870-906), segment revenue (995-1012), finance receivables and provisions (1391-1405), past-due ratios (1460-1477), equity and gearing (1811-1835), tax note (1341-1348), shares in issue 6,805,211,534 (2063), EPS note with 148.3m dilutive shares (4440-4463), risk-assurance exposure (3874-3908), balance sheet totals (3354-3399). FY2025 annual report: PBT 1,713,103 (line 1007), tax note (8685-8700), borrowings 31,279,599 (1369), dividends HK10.0 + 4.0 cents on 6,787m shares (1354-1358), total assets 54,361,443 (6705), five-year DPS table (12448-12450).
qualitative: 2858.HK_Analysis.json (2026-10-22): business model and revenue mix, growth drivers, risks (credit, regulatory, funding, concentration), guidance (no numeric FY2026 targets), recent developments and bull/bear cases.</t>
  </si>
  <si>
    <t xml:space="preserve">Scenario narrative: bear</t>
  </si>
  <si>
    <t xml:space="preserve">The regulatory campaign against high-interest/high-rebate auto lending caps guarantee fees and SaaS take rates, credit losses keep rising on the used-car book, and lenders force deleveraging to 33% equity/assets. Revenue falls ~15% over three years, margin drops to 8% before recovering to 12%, distributions are cut for three years; terminal ROE ~5%. Note the current price sits below even this path, so the market is pricing something worse than modelled.</t>
  </si>
  <si>
    <t xml:space="preserve">Scenario narrative: base</t>
  </si>
  <si>
    <t xml:space="preserve">SaaS keeps scaling while loan facilitation shrinks by design and the self-operated book grows ~4%; the pre-SBC pre-tax margin holds ~15-15.5% as AI-driven cost gains offset rising credit cost; equity/assets stays at 30% so leverage does not rise further. FCFE grows from ~RMB0.9bn (FY2026E) to ~RMB1.3bn; terminal ROE ~8.5% against a 12% cost of equity, so fair value is ~0.6x book.</t>
  </si>
  <si>
    <t xml:space="preserve">Scenario narrative: bull</t>
  </si>
  <si>
    <t xml:space="preserve">The 'technology exporter' pivot lands: SaaS compounds at 30-40%, used-car and Southeast Asia volumes grow, funding cost falls, credit impairment stabilises; revenue +10% fading to 3%, margin to 19%, ROE ~11%; the stock re-rates toward book value.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</si>
  <si>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</si>
  <si>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</si>
  <si>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</si>
  <si>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</si>
  <si>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</si>
  <si>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</si>
  <si>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</si>
  <si>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</si>
  <si>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</si>
  <si>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</si>
  <si>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</si>
  <si>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</si>
  <si>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</si>
  <si>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</si>
  <si>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</si>
  <si>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</si>
  <si>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</si>
  <si>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</si>
  <si>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</si>
  <si>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</si>
  <si>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</si>
  <si>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</si>
  <si>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</si>
  <si>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</si>
  <si>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</si>
  <si>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</si>
  <si>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</si>
  <si>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FinanceReceivables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</si>
  <si>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</si>
  <si>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</si>
  <si>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</si>
  <si>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</si>
  <si>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</si>
  <si>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</si>
  <si>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</si>
  <si>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</si>
  <si>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</si>
  <si>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</si>
  <si>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</si>
  <si>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</si>
  <si>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</si>
  <si>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</si>
  <si>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</si>
  <si>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</si>
  <si>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</si>
  <si>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 (year ending 2026-12-31, unreported: H1 FY2026 actual + H2 estimate)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</si>
  <si>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</si>
  <si>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</si>
  <si>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</si>
  <si>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</si>
  <si>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</si>
  <si>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</si>
  <si>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</si>
  <si>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</si>
  <si>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</si>
  <si>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</si>
  <si>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</si>
  <si>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</si>
  <si>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</si>
  <si>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</si>
  <si>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</si>
  <si>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</si>
  <si>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</si>
  <si>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</si>
  <si>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</si>
  <si>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</si>
  <si>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</si>
  <si>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</si>
  <si>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</si>
  <si>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</si>
  <si>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</si>
  <si>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</si>
  <si>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</si>
  <si>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</si>
  <si>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2858.HK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</si>
  <si>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</si>
  <si>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</si>
  <si>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</si>
  <si>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</si>
  <si>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</si>
  <si>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</si>
  <si>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</si>
  <si>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</si>
  <si>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</si>
  <si>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</si>
  <si>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</si>
  <si>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</si>
  <si>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</si>
  <si>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</si>
  <si>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</si>
  <si>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</si>
  <si>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</si>
  <si>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</si>
  <si>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</si>
  <si>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</si>
  <si>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</si>
  <si>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</si>
  <si>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</si>
  <si>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</si>
  <si>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</si>
  <si>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</si>
  <si>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</si>
  <si>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</si>
  <si>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</si>
  <si>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</si>
  <si>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2858.HK owner-FCF component DCF: base case (millions, CNY)</t>
  </si>
  <si>
    <t xml:space="preserve">2858.HK owner-FCF component DCF: bull case (millions, CNY)</t>
  </si>
  <si>
    <t xml:space="preserve">2858.HK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</si>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</sst>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0.755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35.0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5532.632</v>
      </c>
      <c r="C2" s="0" t="n">
        <v>3057.209</v>
      </c>
      <c r="D2" s="0" t="n">
        <v>2475.423</v>
      </c>
      <c r="E2" s="0" t="n">
        <v>44.7</v>
      </c>
      <c r="F2" s="0" t="n">
        <v>-183.824</v>
      </c>
      <c r="G2" s="0" t="n">
        <v>-3.3</v>
      </c>
      <c r="H2" s="0" t="n">
        <v>208.493</v>
      </c>
      <c r="I2" s="0" t="n">
        <v>-166.58</v>
      </c>
      <c r="J2" s="0" t="n">
        <v>-3</v>
      </c>
      <c r="K2" s="0" t="n">
        <v>-0.03</v>
      </c>
      <c r="L2" s="0" t="n">
        <v>-4137.097</v>
      </c>
      <c r="M2" s="0" t="n">
        <v>38.423</v>
      </c>
      <c r="N2" s="0" t="n">
        <v>-4175.52</v>
      </c>
      <c r="O2" s="0" t="n">
        <v>15417.818</v>
      </c>
      <c r="P2" s="0" t="n">
        <v>50542.262</v>
      </c>
      <c r="Q2" s="0" t="n">
        <v>35124.444</v>
      </c>
      <c r="R2" s="0" t="n">
        <v>30198.484</v>
      </c>
      <c r="S2" s="0" t="n">
        <v>2116.197</v>
      </c>
      <c r="T2" s="0" t="n">
        <v>6194.642</v>
      </c>
      <c r="U2" s="0" t="n">
        <v>348.826</v>
      </c>
      <c r="AA2" s="0" t="s">
        <v>18</v>
      </c>
      <c r="AB2" s="0" t="s">
        <v>14</v>
      </c>
      <c r="AC2" s="0" t="n">
        <v>36818.989</v>
      </c>
    </row>
    <row r="3" customFormat="false" ht="15" hidden="false" customHeight="false" outlineLevel="0" collapsed="false">
      <c r="A3" s="0" t="s">
        <v>66</v>
      </c>
      <c r="B3" s="0" t="n">
        <v>5799.982</v>
      </c>
      <c r="C3" s="0" t="n">
        <v>3033.524</v>
      </c>
      <c r="D3" s="0" t="n">
        <v>2766.458</v>
      </c>
      <c r="E3" s="0" t="n">
        <v>47.7</v>
      </c>
      <c r="F3" s="0" t="n">
        <v>49.77</v>
      </c>
      <c r="G3" s="0" t="n">
        <v>0.9</v>
      </c>
      <c r="H3" s="0" t="n">
        <v>316.006</v>
      </c>
      <c r="I3" s="0" t="n">
        <v>30.936</v>
      </c>
      <c r="J3" s="0" t="n">
        <v>0.5</v>
      </c>
      <c r="K3" s="0" t="n">
        <v>0.01</v>
      </c>
      <c r="L3" s="0" t="n">
        <v>11496.652</v>
      </c>
      <c r="M3" s="0" t="n">
        <v>503.088</v>
      </c>
      <c r="N3" s="0" t="n">
        <v>10993.564</v>
      </c>
      <c r="O3" s="0" t="n">
        <v>15713.054</v>
      </c>
      <c r="P3" s="0" t="n">
        <v>39546.954</v>
      </c>
      <c r="Q3" s="0" t="n">
        <v>23833.9</v>
      </c>
      <c r="R3" s="0" t="n">
        <v>19840.169</v>
      </c>
      <c r="S3" s="0" t="n">
        <v>1586.817</v>
      </c>
      <c r="T3" s="0" t="n">
        <v>6481.644</v>
      </c>
      <c r="U3" s="0" t="n">
        <v>233.124</v>
      </c>
      <c r="AA3" s="0" t="s">
        <v>18</v>
      </c>
      <c r="AB3" s="0" t="s">
        <v>14</v>
      </c>
      <c r="AC3" s="0" t="n">
        <v>26904.149</v>
      </c>
    </row>
    <row r="4" customFormat="false" ht="15" hidden="false" customHeight="false" outlineLevel="0" collapsed="false">
      <c r="A4" s="0" t="s">
        <v>67</v>
      </c>
      <c r="B4" s="0" t="n">
        <v>3325.215</v>
      </c>
      <c r="C4" s="0" t="n">
        <v>1769.576</v>
      </c>
      <c r="D4" s="0" t="n">
        <v>1555.639</v>
      </c>
      <c r="E4" s="0" t="n">
        <v>46.8</v>
      </c>
      <c r="F4" s="0" t="n">
        <v>-1481.111</v>
      </c>
      <c r="G4" s="0" t="n">
        <v>-44.5</v>
      </c>
      <c r="H4" s="0" t="n">
        <v>-1158.049</v>
      </c>
      <c r="I4" s="0" t="n">
        <v>-1155.749</v>
      </c>
      <c r="J4" s="0" t="n">
        <v>-34.8</v>
      </c>
      <c r="K4" s="0" t="n">
        <v>-0.184</v>
      </c>
      <c r="L4" s="0" t="n">
        <v>12251.6</v>
      </c>
      <c r="M4" s="0" t="n">
        <v>21.642</v>
      </c>
      <c r="N4" s="0" t="n">
        <v>12229.958</v>
      </c>
      <c r="O4" s="0" t="n">
        <v>14533.862</v>
      </c>
      <c r="P4" s="0" t="n">
        <v>27525.622</v>
      </c>
      <c r="Q4" s="0" t="n">
        <v>12991.76</v>
      </c>
      <c r="R4" s="0" t="n">
        <v>10147.383</v>
      </c>
      <c r="S4" s="0" t="n">
        <v>2711.558</v>
      </c>
      <c r="T4" s="0" t="n">
        <v>6295.318</v>
      </c>
      <c r="U4" s="0" t="n">
        <v>105.043</v>
      </c>
      <c r="AA4" s="0" t="s">
        <v>18</v>
      </c>
      <c r="AB4" s="0" t="s">
        <v>14</v>
      </c>
      <c r="AC4" s="0" t="n">
        <v>12771.86</v>
      </c>
    </row>
    <row r="5" customFormat="false" ht="15" hidden="false" customHeight="false" outlineLevel="0" collapsed="false">
      <c r="A5" s="0" t="s">
        <v>68</v>
      </c>
      <c r="B5" s="0" t="n">
        <v>3494.344</v>
      </c>
      <c r="C5" s="0" t="n">
        <v>1716.003</v>
      </c>
      <c r="D5" s="0" t="n">
        <v>1778.341</v>
      </c>
      <c r="E5" s="0" t="n">
        <v>50.9</v>
      </c>
      <c r="F5" s="0" t="n">
        <v>102.182</v>
      </c>
      <c r="G5" s="0" t="n">
        <v>2.9</v>
      </c>
      <c r="H5" s="0" t="n">
        <v>498.084</v>
      </c>
      <c r="I5" s="0" t="n">
        <v>28.953</v>
      </c>
      <c r="J5" s="0" t="n">
        <v>0.8</v>
      </c>
      <c r="K5" s="0" t="n">
        <v>0.004</v>
      </c>
      <c r="L5" s="0" t="n">
        <v>1459.775</v>
      </c>
      <c r="M5" s="0" t="n">
        <v>15.074</v>
      </c>
      <c r="N5" s="0" t="n">
        <v>1444.701</v>
      </c>
      <c r="O5" s="0" t="n">
        <v>14642.211</v>
      </c>
      <c r="P5" s="0" t="n">
        <v>27537.193</v>
      </c>
      <c r="Q5" s="0" t="n">
        <v>12894.982</v>
      </c>
      <c r="R5" s="0" t="n">
        <v>9422.403</v>
      </c>
      <c r="S5" s="0" t="n">
        <v>3051.72</v>
      </c>
      <c r="T5" s="0" t="n">
        <v>6590.54</v>
      </c>
      <c r="U5" s="0" t="n">
        <v>131.02</v>
      </c>
      <c r="AA5" s="0" t="s">
        <v>18</v>
      </c>
      <c r="AB5" s="0" t="s">
        <v>14</v>
      </c>
      <c r="AC5" s="0" t="n">
        <v>11109.198</v>
      </c>
    </row>
    <row r="6" customFormat="false" ht="15" hidden="false" customHeight="false" outlineLevel="0" collapsed="false">
      <c r="A6" s="0" t="s">
        <v>69</v>
      </c>
      <c r="B6" s="0" t="n">
        <v>5201.508</v>
      </c>
      <c r="C6" s="0" t="n">
        <v>2313.137</v>
      </c>
      <c r="D6" s="0" t="n">
        <v>2888.371</v>
      </c>
      <c r="E6" s="0" t="n">
        <v>55.5</v>
      </c>
      <c r="F6" s="0" t="n">
        <v>400.024</v>
      </c>
      <c r="G6" s="0" t="n">
        <v>7.7</v>
      </c>
      <c r="H6" s="0" t="n">
        <v>662.583</v>
      </c>
      <c r="I6" s="0" t="n">
        <v>370.814</v>
      </c>
      <c r="J6" s="0" t="n">
        <v>7.1</v>
      </c>
      <c r="K6" s="0" t="n">
        <v>0.056</v>
      </c>
      <c r="L6" s="0" t="n">
        <v>-2038.144</v>
      </c>
      <c r="M6" s="0" t="n">
        <v>36.6</v>
      </c>
      <c r="N6" s="0" t="n">
        <v>-2074.744</v>
      </c>
      <c r="O6" s="0" t="n">
        <v>15326.213</v>
      </c>
      <c r="P6" s="0" t="n">
        <v>32164.392</v>
      </c>
      <c r="Q6" s="0" t="n">
        <v>16838.179</v>
      </c>
      <c r="R6" s="0" t="n">
        <v>12512.272</v>
      </c>
      <c r="S6" s="0" t="n">
        <v>3433.182</v>
      </c>
      <c r="T6" s="0" t="n">
        <v>6653.84</v>
      </c>
      <c r="U6" s="0" t="n">
        <v>134.534</v>
      </c>
      <c r="AA6" s="0" t="s">
        <v>18</v>
      </c>
      <c r="AB6" s="0" t="s">
        <v>14</v>
      </c>
      <c r="AC6" s="0" t="n">
        <v>13742.013</v>
      </c>
    </row>
    <row r="7" customFormat="false" ht="15" hidden="false" customHeight="false" outlineLevel="0" collapsed="false">
      <c r="A7" s="0" t="s">
        <v>70</v>
      </c>
      <c r="B7" s="0" t="n">
        <v>6685.971</v>
      </c>
      <c r="C7" s="0" t="n">
        <v>3438.823</v>
      </c>
      <c r="D7" s="0" t="n">
        <v>3247.148</v>
      </c>
      <c r="E7" s="0" t="n">
        <v>48.6</v>
      </c>
      <c r="F7" s="0" t="n">
        <v>689.258</v>
      </c>
      <c r="G7" s="0" t="n">
        <v>10.3</v>
      </c>
      <c r="H7" s="0" t="n">
        <v>985.192</v>
      </c>
      <c r="I7" s="0" t="n">
        <v>554.958</v>
      </c>
      <c r="J7" s="0" t="n">
        <v>8.3</v>
      </c>
      <c r="K7" s="0" t="n">
        <v>0.083</v>
      </c>
      <c r="L7" s="0" t="n">
        <v>-8650.99</v>
      </c>
      <c r="M7" s="0" t="n">
        <v>30.795</v>
      </c>
      <c r="N7" s="0" t="n">
        <v>-8681.785</v>
      </c>
      <c r="O7" s="0" t="n">
        <v>15765.17</v>
      </c>
      <c r="P7" s="0" t="n">
        <v>43575.102</v>
      </c>
      <c r="Q7" s="0" t="n">
        <v>27809.932</v>
      </c>
      <c r="R7" s="0" t="n">
        <v>23155.782</v>
      </c>
      <c r="S7" s="0" t="n">
        <v>3479.55</v>
      </c>
      <c r="T7" s="0" t="n">
        <v>6705.654</v>
      </c>
      <c r="U7" s="0" t="n">
        <v>74.75</v>
      </c>
      <c r="AA7" s="0" t="s">
        <v>18</v>
      </c>
      <c r="AB7" s="0" t="s">
        <v>14</v>
      </c>
      <c r="AC7" s="0" t="n">
        <v>23884.879</v>
      </c>
    </row>
    <row r="8" customFormat="false" ht="15" hidden="false" customHeight="false" outlineLevel="0" collapsed="false">
      <c r="A8" s="0" t="s">
        <v>71</v>
      </c>
      <c r="B8" s="0" t="n">
        <v>9887.733</v>
      </c>
      <c r="C8" s="0" t="n">
        <v>5251.462</v>
      </c>
      <c r="D8" s="0" t="n">
        <v>4636.271</v>
      </c>
      <c r="E8" s="0" t="n">
        <v>46.9</v>
      </c>
      <c r="F8" s="0" t="n">
        <v>1133.604</v>
      </c>
      <c r="G8" s="0" t="n">
        <v>11.5</v>
      </c>
      <c r="H8" s="0" t="n">
        <v>1439.945</v>
      </c>
      <c r="I8" s="0" t="n">
        <v>809.938</v>
      </c>
      <c r="J8" s="0" t="n">
        <v>8.2</v>
      </c>
      <c r="K8" s="0" t="n">
        <v>0.12</v>
      </c>
      <c r="L8" s="0" t="n">
        <v>-1998.323</v>
      </c>
      <c r="M8" s="0" t="n">
        <v>244.77</v>
      </c>
      <c r="N8" s="0" t="n">
        <v>-2243.093</v>
      </c>
      <c r="O8" s="0" t="n">
        <v>16480.133</v>
      </c>
      <c r="P8" s="0" t="n">
        <v>48591.241</v>
      </c>
      <c r="Q8" s="0" t="n">
        <v>32111.108</v>
      </c>
      <c r="R8" s="0" t="n">
        <v>26948.957</v>
      </c>
      <c r="S8" s="0" t="n">
        <v>4212.76</v>
      </c>
      <c r="T8" s="0" t="n">
        <v>6733.077</v>
      </c>
      <c r="U8" s="0" t="n">
        <v>54.247</v>
      </c>
      <c r="AA8" s="0" t="s">
        <v>18</v>
      </c>
      <c r="AB8" s="0" t="s">
        <v>14</v>
      </c>
      <c r="AC8" s="0" t="n">
        <v>28117.882</v>
      </c>
    </row>
    <row r="9" customFormat="false" ht="15" hidden="false" customHeight="false" outlineLevel="0" collapsed="false">
      <c r="A9" s="0" t="s">
        <v>72</v>
      </c>
      <c r="B9" s="0" t="n">
        <v>11559.948</v>
      </c>
      <c r="C9" s="0" t="n">
        <v>5098.477</v>
      </c>
      <c r="D9" s="0" t="n">
        <v>6461.471</v>
      </c>
      <c r="E9" s="0" t="n">
        <v>55.9</v>
      </c>
      <c r="F9" s="0" t="n">
        <v>1698.987</v>
      </c>
      <c r="G9" s="0" t="n">
        <v>14.7</v>
      </c>
      <c r="H9" s="0" t="n">
        <v>1858.93</v>
      </c>
      <c r="I9" s="0" t="n">
        <v>1198.566</v>
      </c>
      <c r="J9" s="0" t="n">
        <v>10.4</v>
      </c>
      <c r="K9" s="0" t="n">
        <v>0.174</v>
      </c>
      <c r="L9" s="0" t="n">
        <v>-500.358</v>
      </c>
      <c r="M9" s="0" t="n">
        <v>341.063</v>
      </c>
      <c r="N9" s="0" t="n">
        <v>-841.421</v>
      </c>
      <c r="O9" s="0" t="n">
        <v>16953.794</v>
      </c>
      <c r="P9" s="0" t="n">
        <v>54361.443</v>
      </c>
      <c r="Q9" s="0" t="n">
        <v>37407.649</v>
      </c>
      <c r="R9" s="0" t="n">
        <v>31279.599</v>
      </c>
      <c r="S9" s="0" t="n">
        <v>4506.398</v>
      </c>
      <c r="T9" s="0" t="n">
        <v>6907.644</v>
      </c>
      <c r="U9" s="0" t="n">
        <v>143.715</v>
      </c>
      <c r="AA9" s="0" t="s">
        <v>18</v>
      </c>
      <c r="AB9" s="0" t="s">
        <v>14</v>
      </c>
      <c r="AC9" s="0" t="n">
        <v>31452.282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0.755</v>
      </c>
    </row>
    <row r="3" customFormat="false" ht="15" hidden="false" customHeight="false" outlineLevel="0" collapsed="false">
      <c r="A3" s="0" t="s">
        <v>76</v>
      </c>
      <c r="B3" s="3" t="n">
        <v>6953.5</v>
      </c>
    </row>
    <row r="4" customFormat="false" ht="15" hidden="false" customHeight="false" outlineLevel="0" collapsed="false">
      <c r="A4" s="0" t="s">
        <v>77</v>
      </c>
      <c r="B4" s="3" t="n">
        <v>0</v>
      </c>
    </row>
    <row r="5" customFormat="false" ht="15" hidden="false" customHeight="false" outlineLevel="0" collapsed="false">
      <c r="A5" s="0" t="s">
        <v>78</v>
      </c>
      <c r="B5" s="3" t="n">
        <v>0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12750</v>
      </c>
    </row>
    <row r="8" customFormat="false" ht="15" hidden="false" customHeight="false" outlineLevel="0" collapsed="false">
      <c r="A8" s="0" t="s">
        <v>81</v>
      </c>
      <c r="B8" s="3" t="s">
        <v>82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1.175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-5</v>
      </c>
      <c r="D13" s="3" t="n">
        <v>-8</v>
      </c>
      <c r="E13" s="3" t="n">
        <v>-3</v>
      </c>
      <c r="F13" s="3" t="n">
        <v>0</v>
      </c>
      <c r="G13" s="3" t="n">
        <v>2</v>
      </c>
      <c r="H13" s="3" t="n">
        <v>2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98</v>
      </c>
      <c r="C14" s="3" t="n">
        <v>11</v>
      </c>
      <c r="D14" s="3" t="n">
        <v>8</v>
      </c>
      <c r="E14" s="3" t="n">
        <v>8</v>
      </c>
      <c r="F14" s="3" t="n">
        <v>10</v>
      </c>
      <c r="G14" s="3" t="n">
        <v>11</v>
      </c>
      <c r="H14" s="3" t="n">
        <v>12</v>
      </c>
      <c r="I14" s="3" t="n">
        <v>12</v>
      </c>
      <c r="J14" s="3" t="n">
        <v>12</v>
      </c>
      <c r="K14" s="3" t="n">
        <v>12</v>
      </c>
      <c r="L14" s="3" t="n">
        <v>12</v>
      </c>
    </row>
    <row r="15" customFormat="false" ht="15" hidden="false" customHeight="false" outlineLevel="0" collapsed="false">
      <c r="A15" s="0" t="s">
        <v>99</v>
      </c>
      <c r="C15" s="3" t="n">
        <v>1.4</v>
      </c>
      <c r="D15" s="3" t="n">
        <v>1.4</v>
      </c>
      <c r="E15" s="3" t="n">
        <v>1.3</v>
      </c>
      <c r="F15" s="3" t="n">
        <v>1.3</v>
      </c>
      <c r="G15" s="3" t="n">
        <v>1.2</v>
      </c>
      <c r="H15" s="3" t="n">
        <v>1.2</v>
      </c>
      <c r="I15" s="3" t="n">
        <v>1.2</v>
      </c>
      <c r="J15" s="3" t="n">
        <v>1.2</v>
      </c>
      <c r="K15" s="3" t="n">
        <v>1.2</v>
      </c>
      <c r="L15" s="3" t="n">
        <v>1.2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102</v>
      </c>
      <c r="C18" s="3" t="n">
        <v>4.62</v>
      </c>
      <c r="D18" s="3" t="n">
        <v>5.03</v>
      </c>
      <c r="E18" s="3" t="n">
        <v>5.18</v>
      </c>
      <c r="F18" s="3" t="n">
        <v>3.42</v>
      </c>
      <c r="G18" s="3" t="n">
        <v>3.42</v>
      </c>
      <c r="H18" s="3" t="n">
        <v>3.42</v>
      </c>
      <c r="I18" s="3" t="n">
        <v>3.4</v>
      </c>
      <c r="J18" s="3" t="n">
        <v>3.39</v>
      </c>
      <c r="K18" s="3" t="n">
        <v>3.37</v>
      </c>
      <c r="L18" s="3" t="n">
        <v>3.35</v>
      </c>
    </row>
    <row r="19" customFormat="false" ht="15" hidden="false" customHeight="false" outlineLevel="0" collapsed="false">
      <c r="A19" s="0" t="s">
        <v>103</v>
      </c>
      <c r="C19" s="3" t="n">
        <v>27</v>
      </c>
      <c r="D19" s="3" t="n">
        <v>27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104</v>
      </c>
      <c r="B20" s="3" t="n">
        <v>12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0.4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6</v>
      </c>
      <c r="D27" s="3" t="n">
        <v>5</v>
      </c>
      <c r="E27" s="3" t="n">
        <v>5</v>
      </c>
      <c r="F27" s="3" t="n">
        <v>4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98</v>
      </c>
      <c r="C28" s="3" t="n">
        <v>15</v>
      </c>
      <c r="D28" s="3" t="n">
        <v>15</v>
      </c>
      <c r="E28" s="3" t="n">
        <v>15.2</v>
      </c>
      <c r="F28" s="3" t="n">
        <v>15.4</v>
      </c>
      <c r="G28" s="3" t="n">
        <v>15.5</v>
      </c>
      <c r="H28" s="3" t="n">
        <v>15.5</v>
      </c>
      <c r="I28" s="3" t="n">
        <v>15.5</v>
      </c>
      <c r="J28" s="3" t="n">
        <v>15.5</v>
      </c>
      <c r="K28" s="3" t="n">
        <v>15.5</v>
      </c>
      <c r="L28" s="3" t="n">
        <v>15.5</v>
      </c>
    </row>
    <row r="29" customFormat="false" ht="15" hidden="false" customHeight="false" outlineLevel="0" collapsed="false">
      <c r="A29" s="0" t="s">
        <v>99</v>
      </c>
      <c r="C29" s="3" t="n">
        <v>1.4</v>
      </c>
      <c r="D29" s="3" t="n">
        <v>1.4</v>
      </c>
      <c r="E29" s="3" t="n">
        <v>1.3</v>
      </c>
      <c r="F29" s="3" t="n">
        <v>1.3</v>
      </c>
      <c r="G29" s="3" t="n">
        <v>1.2</v>
      </c>
      <c r="H29" s="3" t="n">
        <v>1.2</v>
      </c>
      <c r="I29" s="3" t="n">
        <v>1.2</v>
      </c>
      <c r="J29" s="3" t="n">
        <v>1.2</v>
      </c>
      <c r="K29" s="3" t="n">
        <v>1.2</v>
      </c>
      <c r="L29" s="3" t="n">
        <v>1.2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102</v>
      </c>
      <c r="C32" s="3" t="n">
        <v>4.97</v>
      </c>
      <c r="D32" s="3" t="n">
        <v>4.92</v>
      </c>
      <c r="E32" s="3" t="n">
        <v>4.88</v>
      </c>
      <c r="F32" s="3" t="n">
        <v>4.88</v>
      </c>
      <c r="G32" s="3" t="n">
        <v>4.88</v>
      </c>
      <c r="H32" s="3" t="n">
        <v>3.68</v>
      </c>
      <c r="I32" s="3" t="n">
        <v>3.68</v>
      </c>
      <c r="J32" s="3" t="n">
        <v>3.68</v>
      </c>
      <c r="K32" s="3" t="n">
        <v>3.68</v>
      </c>
      <c r="L32" s="3" t="n">
        <v>3.68</v>
      </c>
    </row>
    <row r="33" customFormat="false" ht="15" hidden="false" customHeight="false" outlineLevel="0" collapsed="false">
      <c r="A33" s="0" t="s">
        <v>103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104</v>
      </c>
      <c r="B34" s="3" t="n">
        <v>12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0.45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10</v>
      </c>
      <c r="D41" s="3" t="n">
        <v>9</v>
      </c>
      <c r="E41" s="3" t="n">
        <v>8</v>
      </c>
      <c r="F41" s="3" t="n">
        <v>7</v>
      </c>
      <c r="G41" s="3" t="n">
        <v>6</v>
      </c>
      <c r="H41" s="3" t="n">
        <v>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16</v>
      </c>
      <c r="D42" s="3" t="n">
        <v>17</v>
      </c>
      <c r="E42" s="3" t="n">
        <v>18</v>
      </c>
      <c r="F42" s="3" t="n">
        <v>18.5</v>
      </c>
      <c r="G42" s="3" t="n">
        <v>19</v>
      </c>
      <c r="H42" s="3" t="n">
        <v>19</v>
      </c>
      <c r="I42" s="3" t="n">
        <v>19</v>
      </c>
      <c r="J42" s="3" t="n">
        <v>19</v>
      </c>
      <c r="K42" s="3" t="n">
        <v>19</v>
      </c>
      <c r="L42" s="3" t="n">
        <v>19</v>
      </c>
    </row>
    <row r="43" customFormat="false" ht="15" hidden="false" customHeight="false" outlineLevel="0" collapsed="false">
      <c r="A43" s="0" t="s">
        <v>99</v>
      </c>
      <c r="C43" s="3" t="n">
        <v>1.4</v>
      </c>
      <c r="D43" s="3" t="n">
        <v>1.4</v>
      </c>
      <c r="E43" s="3" t="n">
        <v>1.3</v>
      </c>
      <c r="F43" s="3" t="n">
        <v>1.3</v>
      </c>
      <c r="G43" s="3" t="n">
        <v>1.2</v>
      </c>
      <c r="H43" s="3" t="n">
        <v>1.2</v>
      </c>
      <c r="I43" s="3" t="n">
        <v>1.2</v>
      </c>
      <c r="J43" s="3" t="n">
        <v>1.2</v>
      </c>
      <c r="K43" s="3" t="n">
        <v>1.2</v>
      </c>
      <c r="L43" s="3" t="n">
        <v>1.2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102</v>
      </c>
      <c r="C46" s="3" t="n">
        <v>7.19</v>
      </c>
      <c r="D46" s="3" t="n">
        <v>6.99</v>
      </c>
      <c r="E46" s="3" t="n">
        <v>6.86</v>
      </c>
      <c r="F46" s="3" t="n">
        <v>5.66</v>
      </c>
      <c r="G46" s="3" t="n">
        <v>5.61</v>
      </c>
      <c r="H46" s="3" t="n">
        <v>4.49</v>
      </c>
      <c r="I46" s="3" t="n">
        <v>4.49</v>
      </c>
      <c r="J46" s="3" t="n">
        <v>3.38</v>
      </c>
      <c r="K46" s="3" t="n">
        <v>3.38</v>
      </c>
      <c r="L46" s="3" t="n">
        <v>3.38</v>
      </c>
    </row>
    <row r="47" customFormat="false" ht="15" hidden="false" customHeight="false" outlineLevel="0" collapsed="false">
      <c r="A47" s="0" t="s">
        <v>103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104</v>
      </c>
      <c r="B48" s="3" t="n">
        <v>12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12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-5</v>
      </c>
      <c r="D5" s="4" t="n">
        <f aca="false">Assumptions!D13</f>
        <v>-8</v>
      </c>
      <c r="E5" s="4" t="n">
        <f aca="false">Assumptions!E13</f>
        <v>-3</v>
      </c>
      <c r="F5" s="4" t="n">
        <f aca="false">Assumptions!F13</f>
        <v>0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12750</v>
      </c>
      <c r="C6" s="0" t="n">
        <f aca="false">B6*(1+C5/100)</f>
        <v>12112.5</v>
      </c>
      <c r="D6" s="0" t="n">
        <f aca="false">C6*(1+D5/100)</f>
        <v>11143.5</v>
      </c>
      <c r="E6" s="0" t="n">
        <f aca="false">D6*(1+E5/100)</f>
        <v>10809.195</v>
      </c>
      <c r="F6" s="0" t="n">
        <f aca="false">E6*(1+F5/100)</f>
        <v>10809.195</v>
      </c>
      <c r="G6" s="0" t="n">
        <f aca="false">F6*(1+G5/100)</f>
        <v>11025.3789</v>
      </c>
      <c r="H6" s="0" t="n">
        <f aca="false">G6*(1+H5/100)</f>
        <v>11245.886478</v>
      </c>
      <c r="I6" s="0" t="n">
        <f aca="false">H6*(1+I5/100)</f>
        <v>11527.03363995</v>
      </c>
      <c r="J6" s="0" t="n">
        <f aca="false">I6*(1+J5/100)</f>
        <v>11815.2094809487</v>
      </c>
      <c r="K6" s="0" t="n">
        <f aca="false">J6*(1+K5/100)</f>
        <v>12110.5897179725</v>
      </c>
      <c r="L6" s="0" t="n">
        <f aca="false">K6*(1+L5/100)</f>
        <v>12413.3544609218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11</v>
      </c>
      <c r="D7" s="4" t="n">
        <f aca="false">Assumptions!D14</f>
        <v>8</v>
      </c>
      <c r="E7" s="4" t="n">
        <f aca="false">Assumptions!E14</f>
        <v>8</v>
      </c>
      <c r="F7" s="4" t="n">
        <f aca="false">Assumptions!F14</f>
        <v>10</v>
      </c>
      <c r="G7" s="4" t="n">
        <f aca="false">Assumptions!G14</f>
        <v>11</v>
      </c>
      <c r="H7" s="4" t="n">
        <f aca="false">Assumptions!H14</f>
        <v>12</v>
      </c>
      <c r="I7" s="4" t="n">
        <f aca="false">Assumptions!I14</f>
        <v>12</v>
      </c>
      <c r="J7" s="4" t="n">
        <f aca="false">Assumptions!J14</f>
        <v>12</v>
      </c>
      <c r="K7" s="4" t="n">
        <f aca="false">Assumptions!K14</f>
        <v>12</v>
      </c>
      <c r="L7" s="4" t="n">
        <f aca="false">Assumptions!L14</f>
        <v>12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1332.375</v>
      </c>
      <c r="D8" s="0" t="n">
        <f aca="false">D6*D7/100</f>
        <v>891.48</v>
      </c>
      <c r="E8" s="0" t="n">
        <f aca="false">E6*E7/100</f>
        <v>864.7356</v>
      </c>
      <c r="F8" s="0" t="n">
        <f aca="false">F6*F7/100</f>
        <v>1080.9195</v>
      </c>
      <c r="G8" s="0" t="n">
        <f aca="false">G6*G7/100</f>
        <v>1212.791679</v>
      </c>
      <c r="H8" s="0" t="n">
        <f aca="false">H6*H7/100</f>
        <v>1349.50637736</v>
      </c>
      <c r="I8" s="0" t="n">
        <f aca="false">I6*I7/100</f>
        <v>1383.244036794</v>
      </c>
      <c r="J8" s="0" t="n">
        <f aca="false">J6*J7/100</f>
        <v>1417.82513771385</v>
      </c>
      <c r="K8" s="0" t="n">
        <f aca="false">K6*K7/100</f>
        <v>1453.2707661567</v>
      </c>
      <c r="L8" s="0" t="n">
        <f aca="false">L6*L7/100</f>
        <v>1489.60253531061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1.4</v>
      </c>
      <c r="D9" s="4" t="n">
        <f aca="false">Assumptions!D15</f>
        <v>1.4</v>
      </c>
      <c r="E9" s="4" t="n">
        <f aca="false">Assumptions!E15</f>
        <v>1.3</v>
      </c>
      <c r="F9" s="4" t="n">
        <f aca="false">Assumptions!F15</f>
        <v>1.3</v>
      </c>
      <c r="G9" s="4" t="n">
        <f aca="false">Assumptions!G15</f>
        <v>1.2</v>
      </c>
      <c r="H9" s="4" t="n">
        <f aca="false">Assumptions!H15</f>
        <v>1.2</v>
      </c>
      <c r="I9" s="4" t="n">
        <f aca="false">Assumptions!I15</f>
        <v>1.2</v>
      </c>
      <c r="J9" s="4" t="n">
        <f aca="false">Assumptions!J15</f>
        <v>1.2</v>
      </c>
      <c r="K9" s="4" t="n">
        <f aca="false">Assumptions!K15</f>
        <v>1.2</v>
      </c>
      <c r="L9" s="4" t="n">
        <f aca="false">Assumptions!L15</f>
        <v>1.2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-169.575</v>
      </c>
      <c r="D10" s="0" t="n">
        <f aca="false">-D6*D9/100</f>
        <v>-156.009</v>
      </c>
      <c r="E10" s="0" t="n">
        <f aca="false">-E6*E9/100</f>
        <v>-140.519535</v>
      </c>
      <c r="F10" s="0" t="n">
        <f aca="false">-F6*F9/100</f>
        <v>-140.519535</v>
      </c>
      <c r="G10" s="0" t="n">
        <f aca="false">-G6*G9/100</f>
        <v>-132.3045468</v>
      </c>
      <c r="H10" s="0" t="n">
        <f aca="false">-H6*H9/100</f>
        <v>-134.950637736</v>
      </c>
      <c r="I10" s="0" t="n">
        <f aca="false">-I6*I9/100</f>
        <v>-138.3244036794</v>
      </c>
      <c r="J10" s="0" t="n">
        <f aca="false">-J6*J9/100</f>
        <v>-141.782513771385</v>
      </c>
      <c r="K10" s="0" t="n">
        <f aca="false">-K6*K9/100</f>
        <v>-145.32707661567</v>
      </c>
      <c r="L10" s="0" t="n">
        <f aca="false">-L6*L9/100</f>
        <v>-148.960253531061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1162.8</v>
      </c>
      <c r="D11" s="0" t="n">
        <f aca="false">D8+D10+D24</f>
        <v>735.471</v>
      </c>
      <c r="E11" s="0" t="n">
        <f aca="false">E8+E10+E24</f>
        <v>724.216065</v>
      </c>
      <c r="F11" s="0" t="n">
        <f aca="false">F8+F10+F24</f>
        <v>940.399965</v>
      </c>
      <c r="G11" s="0" t="n">
        <f aca="false">G8+G10+G24</f>
        <v>1080.4871322</v>
      </c>
      <c r="H11" s="0" t="n">
        <f aca="false">H8+H10+H24</f>
        <v>1214.555739624</v>
      </c>
      <c r="I11" s="0" t="n">
        <f aca="false">I8+I10+I24</f>
        <v>1244.9196331146</v>
      </c>
      <c r="J11" s="0" t="n">
        <f aca="false">J8+J10+J24</f>
        <v>1276.04262394247</v>
      </c>
      <c r="K11" s="0" t="n">
        <f aca="false">K8+K10+K24</f>
        <v>1307.94368954103</v>
      </c>
      <c r="L11" s="0" t="n">
        <f aca="false">L8+L10+L24</f>
        <v>1340.64228177955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1162.8</v>
      </c>
      <c r="D13" s="0" t="n">
        <f aca="false">D11+D12</f>
        <v>735.471</v>
      </c>
      <c r="E13" s="0" t="n">
        <f aca="false">E11+E12</f>
        <v>724.216065</v>
      </c>
      <c r="F13" s="0" t="n">
        <f aca="false">F11+F12</f>
        <v>940.399965</v>
      </c>
      <c r="G13" s="0" t="n">
        <f aca="false">G11+G12</f>
        <v>1080.4871322</v>
      </c>
      <c r="H13" s="0" t="n">
        <f aca="false">H11+H12</f>
        <v>1214.555739624</v>
      </c>
      <c r="I13" s="0" t="n">
        <f aca="false">I11+I12</f>
        <v>1244.9196331146</v>
      </c>
      <c r="J13" s="0" t="n">
        <f aca="false">J11+J12</f>
        <v>1276.04262394247</v>
      </c>
      <c r="K13" s="0" t="n">
        <f aca="false">K11+K12</f>
        <v>1307.94368954103</v>
      </c>
      <c r="L13" s="0" t="n">
        <f aca="false">L11+L12</f>
        <v>1340.64228177955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848.844</v>
      </c>
      <c r="D15" s="0" t="n">
        <f aca="false">D13-MAX(0,D13)*D14/100</f>
        <v>536.89383</v>
      </c>
      <c r="E15" s="0" t="n">
        <f aca="false">E13-MAX(0,E13)*E14/100</f>
        <v>528.67772745</v>
      </c>
      <c r="F15" s="0" t="n">
        <f aca="false">F13-MAX(0,F13)*F14/100</f>
        <v>686.49197445</v>
      </c>
      <c r="G15" s="0" t="n">
        <f aca="false">G13-MAX(0,G13)*G14/100</f>
        <v>788.755606506</v>
      </c>
      <c r="H15" s="0" t="n">
        <f aca="false">H13-MAX(0,H13)*H14/100</f>
        <v>886.62568992552</v>
      </c>
      <c r="I15" s="0" t="n">
        <f aca="false">I13-MAX(0,I13)*I14/100</f>
        <v>908.791332173658</v>
      </c>
      <c r="J15" s="0" t="n">
        <f aca="false">J13-MAX(0,J13)*J14/100</f>
        <v>931.511115478</v>
      </c>
      <c r="K15" s="0" t="n">
        <f aca="false">K13-MAX(0,K13)*K14/100</f>
        <v>954.798893364949</v>
      </c>
      <c r="L15" s="0" t="n">
        <f aca="false">L13-MAX(0,L13)*L14/100</f>
        <v>978.668865699073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-559.5975</v>
      </c>
      <c r="D17" s="4" t="n">
        <f aca="false">-D6*Assumptions!D18/100</f>
        <v>-560.51805</v>
      </c>
      <c r="E17" s="4" t="n">
        <f aca="false">-E6*Assumptions!E18/100</f>
        <v>-559.916301</v>
      </c>
      <c r="F17" s="4" t="n">
        <f aca="false">-F6*Assumptions!F18/100</f>
        <v>-369.674469</v>
      </c>
      <c r="G17" s="4" t="n">
        <f aca="false">-G6*Assumptions!G18/100</f>
        <v>-377.06795838</v>
      </c>
      <c r="H17" s="4" t="n">
        <f aca="false">-H6*Assumptions!H18/100</f>
        <v>-384.6093175476</v>
      </c>
      <c r="I17" s="4" t="n">
        <f aca="false">-I6*Assumptions!I18/100</f>
        <v>-391.9191437583</v>
      </c>
      <c r="J17" s="4" t="n">
        <f aca="false">-J6*Assumptions!J18/100</f>
        <v>-400.535601404163</v>
      </c>
      <c r="K17" s="4" t="n">
        <f aca="false">-K6*Assumptions!K18/100</f>
        <v>-408.126873495672</v>
      </c>
      <c r="L17" s="4" t="n">
        <f aca="false">-L6*Assumptions!L18/100</f>
        <v>-415.84737444088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289.2465</v>
      </c>
      <c r="D19" s="0" t="n">
        <f aca="false">D15+D16+D17+D18</f>
        <v>-23.62422</v>
      </c>
      <c r="E19" s="0" t="n">
        <f aca="false">E15+E16+E17+E18</f>
        <v>-31.23857355</v>
      </c>
      <c r="F19" s="0" t="n">
        <f aca="false">F15+F16+F17+F18</f>
        <v>316.81750545</v>
      </c>
      <c r="G19" s="0" t="n">
        <f aca="false">G15+G16+G17+G18</f>
        <v>411.687648126</v>
      </c>
      <c r="H19" s="0" t="n">
        <f aca="false">H15+H16+H17+H18</f>
        <v>502.01637237792</v>
      </c>
      <c r="I19" s="0" t="n">
        <f aca="false">I15+I16+I17+I18</f>
        <v>516.872188415358</v>
      </c>
      <c r="J19" s="0" t="n">
        <f aca="false">J15+J16+J17+J18</f>
        <v>530.975514073837</v>
      </c>
      <c r="K19" s="0" t="n">
        <f aca="false">K15+K16+K17+K18</f>
        <v>546.672019869277</v>
      </c>
      <c r="L19" s="0" t="n">
        <f aca="false">L15+L16+L17+L18</f>
        <v>562.821491258193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258.255803571429</v>
      </c>
      <c r="D21" s="0" t="n">
        <f aca="false">D19*D20</f>
        <v>-18.8330835459184</v>
      </c>
      <c r="E21" s="0" t="n">
        <f aca="false">E19*E20</f>
        <v>-22.2349996227564</v>
      </c>
      <c r="F21" s="0" t="n">
        <f aca="false">F19*F20</f>
        <v>201.343252268596</v>
      </c>
      <c r="G21" s="0" t="n">
        <f aca="false">G19*G20</f>
        <v>233.602627714321</v>
      </c>
      <c r="H21" s="0" t="n">
        <f aca="false">H19*H20</f>
        <v>254.337117587197</v>
      </c>
      <c r="I21" s="0" t="n">
        <f aca="false">I19*I20</f>
        <v>233.80672885915</v>
      </c>
      <c r="J21" s="0" t="n">
        <f aca="false">J19*J20</f>
        <v>214.452104602146</v>
      </c>
      <c r="K21" s="0" t="n">
        <f aca="false">K19*K20</f>
        <v>197.135410741791</v>
      </c>
      <c r="L21" s="0" t="n">
        <f aca="false">L19*L20</f>
        <v>181.213457163202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12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1733.07841933916</v>
      </c>
    </row>
    <row r="31" customFormat="false" ht="15" hidden="false" customHeight="false" outlineLevel="0" collapsed="false">
      <c r="A31" s="0" t="s">
        <v>128</v>
      </c>
      <c r="B31" s="0" t="n">
        <f aca="false">L19</f>
        <v>562.821491258193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5740.77921083357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6753.85789509832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5740.77921083357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1848.37726306467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3581.45568240382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3581.45568240382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0.6051931296217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-0.198419695865298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828.742880318085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489.204392518218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0.827899399210059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4415.98400833351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0.434268430051822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6</v>
      </c>
      <c r="D5" s="4" t="n">
        <f aca="false">Assumptions!D27</f>
        <v>5</v>
      </c>
      <c r="E5" s="4" t="n">
        <f aca="false">Assumptions!E27</f>
        <v>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12750</v>
      </c>
      <c r="C6" s="0" t="n">
        <f aca="false">B6*(1+C5/100)</f>
        <v>13515</v>
      </c>
      <c r="D6" s="0" t="n">
        <f aca="false">C6*(1+D5/100)</f>
        <v>14190.75</v>
      </c>
      <c r="E6" s="0" t="n">
        <f aca="false">D6*(1+E5/100)</f>
        <v>14900.2875</v>
      </c>
      <c r="F6" s="0" t="n">
        <f aca="false">E6*(1+F5/100)</f>
        <v>15496.299</v>
      </c>
      <c r="G6" s="0" t="n">
        <f aca="false">F6*(1+G5/100)</f>
        <v>16116.15096</v>
      </c>
      <c r="H6" s="0" t="n">
        <f aca="false">G6*(1+H5/100)</f>
        <v>16680.2162436</v>
      </c>
      <c r="I6" s="0" t="n">
        <f aca="false">H6*(1+I5/100)</f>
        <v>17180.622730908</v>
      </c>
      <c r="J6" s="0" t="n">
        <f aca="false">I6*(1+J5/100)</f>
        <v>17696.0414128352</v>
      </c>
      <c r="K6" s="0" t="n">
        <f aca="false">J6*(1+K5/100)</f>
        <v>18226.9226552203</v>
      </c>
      <c r="L6" s="0" t="n">
        <f aca="false">K6*(1+L5/100)</f>
        <v>18773.7303348769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15</v>
      </c>
      <c r="D7" s="4" t="n">
        <f aca="false">Assumptions!D28</f>
        <v>15</v>
      </c>
      <c r="E7" s="4" t="n">
        <f aca="false">Assumptions!E28</f>
        <v>15.2</v>
      </c>
      <c r="F7" s="4" t="n">
        <f aca="false">Assumptions!F28</f>
        <v>15.4</v>
      </c>
      <c r="G7" s="4" t="n">
        <f aca="false">Assumptions!G28</f>
        <v>15.5</v>
      </c>
      <c r="H7" s="4" t="n">
        <f aca="false">Assumptions!H28</f>
        <v>15.5</v>
      </c>
      <c r="I7" s="4" t="n">
        <f aca="false">Assumptions!I28</f>
        <v>15.5</v>
      </c>
      <c r="J7" s="4" t="n">
        <f aca="false">Assumptions!J28</f>
        <v>15.5</v>
      </c>
      <c r="K7" s="4" t="n">
        <f aca="false">Assumptions!K28</f>
        <v>15.5</v>
      </c>
      <c r="L7" s="4" t="n">
        <f aca="false">Assumptions!L28</f>
        <v>15.5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2027.25</v>
      </c>
      <c r="D8" s="0" t="n">
        <f aca="false">D6*D7/100</f>
        <v>2128.6125</v>
      </c>
      <c r="E8" s="0" t="n">
        <f aca="false">E6*E7/100</f>
        <v>2264.8437</v>
      </c>
      <c r="F8" s="0" t="n">
        <f aca="false">F6*F7/100</f>
        <v>2386.430046</v>
      </c>
      <c r="G8" s="0" t="n">
        <f aca="false">G6*G7/100</f>
        <v>2498.0033988</v>
      </c>
      <c r="H8" s="0" t="n">
        <f aca="false">H6*H7/100</f>
        <v>2585.433517758</v>
      </c>
      <c r="I8" s="0" t="n">
        <f aca="false">I6*I7/100</f>
        <v>2662.99652329074</v>
      </c>
      <c r="J8" s="0" t="n">
        <f aca="false">J6*J7/100</f>
        <v>2742.88641898946</v>
      </c>
      <c r="K8" s="0" t="n">
        <f aca="false">K6*K7/100</f>
        <v>2825.17301155915</v>
      </c>
      <c r="L8" s="0" t="n">
        <f aca="false">L6*L7/100</f>
        <v>2909.92820190592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1.4</v>
      </c>
      <c r="D9" s="4" t="n">
        <f aca="false">Assumptions!D29</f>
        <v>1.4</v>
      </c>
      <c r="E9" s="4" t="n">
        <f aca="false">Assumptions!E29</f>
        <v>1.3</v>
      </c>
      <c r="F9" s="4" t="n">
        <f aca="false">Assumptions!F29</f>
        <v>1.3</v>
      </c>
      <c r="G9" s="4" t="n">
        <f aca="false">Assumptions!G29</f>
        <v>1.2</v>
      </c>
      <c r="H9" s="4" t="n">
        <f aca="false">Assumptions!H29</f>
        <v>1.2</v>
      </c>
      <c r="I9" s="4" t="n">
        <f aca="false">Assumptions!I29</f>
        <v>1.2</v>
      </c>
      <c r="J9" s="4" t="n">
        <f aca="false">Assumptions!J29</f>
        <v>1.2</v>
      </c>
      <c r="K9" s="4" t="n">
        <f aca="false">Assumptions!K29</f>
        <v>1.2</v>
      </c>
      <c r="L9" s="4" t="n">
        <f aca="false">Assumptions!L29</f>
        <v>1.2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-189.21</v>
      </c>
      <c r="D10" s="0" t="n">
        <f aca="false">-D6*D9/100</f>
        <v>-198.6705</v>
      </c>
      <c r="E10" s="0" t="n">
        <f aca="false">-E6*E9/100</f>
        <v>-193.7037375</v>
      </c>
      <c r="F10" s="0" t="n">
        <f aca="false">-F6*F9/100</f>
        <v>-201.451887</v>
      </c>
      <c r="G10" s="0" t="n">
        <f aca="false">-G6*G9/100</f>
        <v>-193.39381152</v>
      </c>
      <c r="H10" s="0" t="n">
        <f aca="false">-H6*H9/100</f>
        <v>-200.1625949232</v>
      </c>
      <c r="I10" s="0" t="n">
        <f aca="false">-I6*I9/100</f>
        <v>-206.167472770896</v>
      </c>
      <c r="J10" s="0" t="n">
        <f aca="false">-J6*J9/100</f>
        <v>-212.352496954023</v>
      </c>
      <c r="K10" s="0" t="n">
        <f aca="false">-K6*K9/100</f>
        <v>-218.723071862644</v>
      </c>
      <c r="L10" s="0" t="n">
        <f aca="false">-L6*L9/100</f>
        <v>-225.284764018523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1838.04</v>
      </c>
      <c r="D11" s="0" t="n">
        <f aca="false">D8+D10+D24</f>
        <v>1929.942</v>
      </c>
      <c r="E11" s="0" t="n">
        <f aca="false">E8+E10+E24</f>
        <v>2071.1399625</v>
      </c>
      <c r="F11" s="0" t="n">
        <f aca="false">F8+F10+F24</f>
        <v>2184.978159</v>
      </c>
      <c r="G11" s="0" t="n">
        <f aca="false">G8+G10+G24</f>
        <v>2304.60958728</v>
      </c>
      <c r="H11" s="0" t="n">
        <f aca="false">H8+H10+H24</f>
        <v>2385.2709228348</v>
      </c>
      <c r="I11" s="0" t="n">
        <f aca="false">I8+I10+I24</f>
        <v>2456.82905051984</v>
      </c>
      <c r="J11" s="0" t="n">
        <f aca="false">J8+J10+J24</f>
        <v>2530.53392203544</v>
      </c>
      <c r="K11" s="0" t="n">
        <f aca="false">K8+K10+K24</f>
        <v>2606.4499396965</v>
      </c>
      <c r="L11" s="0" t="n">
        <f aca="false">L8+L10+L24</f>
        <v>2684.6434378874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1838.04</v>
      </c>
      <c r="D13" s="0" t="n">
        <f aca="false">D11+D12</f>
        <v>1929.942</v>
      </c>
      <c r="E13" s="0" t="n">
        <f aca="false">E11+E12</f>
        <v>2071.1399625</v>
      </c>
      <c r="F13" s="0" t="n">
        <f aca="false">F11+F12</f>
        <v>2184.978159</v>
      </c>
      <c r="G13" s="0" t="n">
        <f aca="false">G11+G12</f>
        <v>2304.60958728</v>
      </c>
      <c r="H13" s="0" t="n">
        <f aca="false">H11+H12</f>
        <v>2385.2709228348</v>
      </c>
      <c r="I13" s="0" t="n">
        <f aca="false">I11+I12</f>
        <v>2456.82905051984</v>
      </c>
      <c r="J13" s="0" t="n">
        <f aca="false">J11+J12</f>
        <v>2530.53392203544</v>
      </c>
      <c r="K13" s="0" t="n">
        <f aca="false">K11+K12</f>
        <v>2606.4499396965</v>
      </c>
      <c r="L13" s="0" t="n">
        <f aca="false">L11+L12</f>
        <v>2684.6434378874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1378.53</v>
      </c>
      <c r="D15" s="0" t="n">
        <f aca="false">D13-MAX(0,D13)*D14/100</f>
        <v>1447.4565</v>
      </c>
      <c r="E15" s="0" t="n">
        <f aca="false">E13-MAX(0,E13)*E14/100</f>
        <v>1553.354971875</v>
      </c>
      <c r="F15" s="0" t="n">
        <f aca="false">F13-MAX(0,F13)*F14/100</f>
        <v>1638.73361925</v>
      </c>
      <c r="G15" s="0" t="n">
        <f aca="false">G13-MAX(0,G13)*G14/100</f>
        <v>1728.45719046</v>
      </c>
      <c r="H15" s="0" t="n">
        <f aca="false">H13-MAX(0,H13)*H14/100</f>
        <v>1788.9531921261</v>
      </c>
      <c r="I15" s="0" t="n">
        <f aca="false">I13-MAX(0,I13)*I14/100</f>
        <v>1842.62178788988</v>
      </c>
      <c r="J15" s="0" t="n">
        <f aca="false">J13-MAX(0,J13)*J14/100</f>
        <v>1897.90044152658</v>
      </c>
      <c r="K15" s="0" t="n">
        <f aca="false">K13-MAX(0,K13)*K14/100</f>
        <v>1954.83745477238</v>
      </c>
      <c r="L15" s="0" t="n">
        <f aca="false">L13-MAX(0,L13)*L14/100</f>
        <v>2013.48257841555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-671.6955</v>
      </c>
      <c r="D17" s="4" t="n">
        <f aca="false">-D6*Assumptions!D32/100</f>
        <v>-698.1849</v>
      </c>
      <c r="E17" s="4" t="n">
        <f aca="false">-E6*Assumptions!E32/100</f>
        <v>-727.13403</v>
      </c>
      <c r="F17" s="4" t="n">
        <f aca="false">-F6*Assumptions!F32/100</f>
        <v>-756.2193912</v>
      </c>
      <c r="G17" s="4" t="n">
        <f aca="false">-G6*Assumptions!G32/100</f>
        <v>-786.468166848</v>
      </c>
      <c r="H17" s="4" t="n">
        <f aca="false">-H6*Assumptions!H32/100</f>
        <v>-613.83195776448</v>
      </c>
      <c r="I17" s="4" t="n">
        <f aca="false">-I6*Assumptions!I32/100</f>
        <v>-632.246916497414</v>
      </c>
      <c r="J17" s="4" t="n">
        <f aca="false">-J6*Assumptions!J32/100</f>
        <v>-651.214323992337</v>
      </c>
      <c r="K17" s="4" t="n">
        <f aca="false">-K6*Assumptions!K32/100</f>
        <v>-670.750753712107</v>
      </c>
      <c r="L17" s="4" t="n">
        <f aca="false">-L6*Assumptions!L32/100</f>
        <v>-690.87327632347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706.8345</v>
      </c>
      <c r="D19" s="0" t="n">
        <f aca="false">D15+D16+D17+D18</f>
        <v>749.2716</v>
      </c>
      <c r="E19" s="0" t="n">
        <f aca="false">E15+E16+E17+E18</f>
        <v>826.220941875</v>
      </c>
      <c r="F19" s="0" t="n">
        <f aca="false">F15+F16+F17+F18</f>
        <v>882.51422805</v>
      </c>
      <c r="G19" s="0" t="n">
        <f aca="false">G15+G16+G17+G18</f>
        <v>941.989023612</v>
      </c>
      <c r="H19" s="0" t="n">
        <f aca="false">H15+H16+H17+H18</f>
        <v>1175.12123436162</v>
      </c>
      <c r="I19" s="0" t="n">
        <f aca="false">I15+I16+I17+I18</f>
        <v>1210.37487139247</v>
      </c>
      <c r="J19" s="0" t="n">
        <f aca="false">J15+J16+J17+J18</f>
        <v>1246.68611753424</v>
      </c>
      <c r="K19" s="0" t="n">
        <f aca="false">K15+K16+K17+K18</f>
        <v>1284.08670106027</v>
      </c>
      <c r="L19" s="0" t="n">
        <f aca="false">L15+L16+L17+L18</f>
        <v>1322.60930209208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631.102232142857</v>
      </c>
      <c r="D21" s="0" t="n">
        <f aca="false">D19*D20</f>
        <v>597.314732142857</v>
      </c>
      <c r="E21" s="0" t="n">
        <f aca="false">E19*E20</f>
        <v>588.087746756417</v>
      </c>
      <c r="F21" s="0" t="n">
        <f aca="false">F19*F20</f>
        <v>560.853746375259</v>
      </c>
      <c r="G21" s="0" t="n">
        <f aca="false">G19*G20</f>
        <v>534.509869789591</v>
      </c>
      <c r="H21" s="0" t="n">
        <f aca="false">H19*H20</f>
        <v>595.352988483905</v>
      </c>
      <c r="I21" s="0" t="n">
        <f aca="false">I19*I20</f>
        <v>547.512123337876</v>
      </c>
      <c r="J21" s="0" t="n">
        <f aca="false">J19*J20</f>
        <v>503.515613426797</v>
      </c>
      <c r="K21" s="0" t="n">
        <f aca="false">K19*K20</f>
        <v>463.054537347858</v>
      </c>
      <c r="L21" s="0" t="n">
        <f aca="false">L19*L20</f>
        <v>425.844797739548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12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5447.14838754296</v>
      </c>
    </row>
    <row r="31" customFormat="false" ht="15" hidden="false" customHeight="false" outlineLevel="0" collapsed="false">
      <c r="A31" s="0" t="s">
        <v>128</v>
      </c>
      <c r="B31" s="0" t="n">
        <f aca="false">L19</f>
        <v>1322.60930209208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14270.2582594145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15871.3116251049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14270.2582594145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4594.6412387688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10041.7896263118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10041.7896263118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1.69685810180719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1.24749417457907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1134.79736242656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782.621644644793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2.02086289555262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10845.396277155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1.25733249711838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10</v>
      </c>
      <c r="D5" s="4" t="n">
        <f aca="false">Assumptions!D41</f>
        <v>9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12750</v>
      </c>
      <c r="C6" s="0" t="n">
        <f aca="false">B6*(1+C5/100)</f>
        <v>14025</v>
      </c>
      <c r="D6" s="0" t="n">
        <f aca="false">C6*(1+D5/100)</f>
        <v>15287.25</v>
      </c>
      <c r="E6" s="0" t="n">
        <f aca="false">D6*(1+E5/100)</f>
        <v>16510.23</v>
      </c>
      <c r="F6" s="0" t="n">
        <f aca="false">E6*(1+F5/100)</f>
        <v>17665.9461</v>
      </c>
      <c r="G6" s="0" t="n">
        <f aca="false">F6*(1+G5/100)</f>
        <v>18725.902866</v>
      </c>
      <c r="H6" s="0" t="n">
        <f aca="false">G6*(1+H5/100)</f>
        <v>19662.1980093</v>
      </c>
      <c r="I6" s="0" t="n">
        <f aca="false">H6*(1+I5/100)</f>
        <v>20448.685929672</v>
      </c>
      <c r="J6" s="0" t="n">
        <f aca="false">I6*(1+J5/100)</f>
        <v>21164.3899372105</v>
      </c>
      <c r="K6" s="0" t="n">
        <f aca="false">J6*(1+K5/100)</f>
        <v>21799.3216353268</v>
      </c>
      <c r="L6" s="0" t="n">
        <f aca="false">K6*(1+L5/100)</f>
        <v>22453.3012843867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16</v>
      </c>
      <c r="D7" s="4" t="n">
        <f aca="false">Assumptions!D42</f>
        <v>17</v>
      </c>
      <c r="E7" s="4" t="n">
        <f aca="false">Assumptions!E42</f>
        <v>18</v>
      </c>
      <c r="F7" s="4" t="n">
        <f aca="false">Assumptions!F42</f>
        <v>18.5</v>
      </c>
      <c r="G7" s="4" t="n">
        <f aca="false">Assumptions!G42</f>
        <v>19</v>
      </c>
      <c r="H7" s="4" t="n">
        <f aca="false">Assumptions!H42</f>
        <v>19</v>
      </c>
      <c r="I7" s="4" t="n">
        <f aca="false">Assumptions!I42</f>
        <v>19</v>
      </c>
      <c r="J7" s="4" t="n">
        <f aca="false">Assumptions!J42</f>
        <v>19</v>
      </c>
      <c r="K7" s="4" t="n">
        <f aca="false">Assumptions!K42</f>
        <v>19</v>
      </c>
      <c r="L7" s="4" t="n">
        <f aca="false">Assumptions!L42</f>
        <v>19</v>
      </c>
    </row>
    <row r="8" customFormat="false" ht="15" hidden="false" customHeight="false" outlineLevel="0" collapsed="false">
      <c r="A8" s="0" t="s">
        <v>44</v>
      </c>
      <c r="C8" s="0" t="n">
        <f aca="false">C6*C7/100</f>
        <v>2244</v>
      </c>
      <c r="D8" s="0" t="n">
        <f aca="false">D6*D7/100</f>
        <v>2598.8325</v>
      </c>
      <c r="E8" s="0" t="n">
        <f aca="false">E6*E7/100</f>
        <v>2971.8414</v>
      </c>
      <c r="F8" s="0" t="n">
        <f aca="false">F6*F7/100</f>
        <v>3268.2000285</v>
      </c>
      <c r="G8" s="0" t="n">
        <f aca="false">G6*G7/100</f>
        <v>3557.92154454</v>
      </c>
      <c r="H8" s="0" t="n">
        <f aca="false">H6*H7/100</f>
        <v>3735.817621767</v>
      </c>
      <c r="I8" s="0" t="n">
        <f aca="false">I6*I7/100</f>
        <v>3885.25032663768</v>
      </c>
      <c r="J8" s="0" t="n">
        <f aca="false">J6*J7/100</f>
        <v>4021.23408807</v>
      </c>
      <c r="K8" s="0" t="n">
        <f aca="false">K6*K7/100</f>
        <v>4141.8711107121</v>
      </c>
      <c r="L8" s="0" t="n">
        <f aca="false">L6*L7/100</f>
        <v>4266.12724403346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1.4</v>
      </c>
      <c r="D9" s="4" t="n">
        <f aca="false">Assumptions!D43</f>
        <v>1.4</v>
      </c>
      <c r="E9" s="4" t="n">
        <f aca="false">Assumptions!E43</f>
        <v>1.3</v>
      </c>
      <c r="F9" s="4" t="n">
        <f aca="false">Assumptions!F43</f>
        <v>1.3</v>
      </c>
      <c r="G9" s="4" t="n">
        <f aca="false">Assumptions!G43</f>
        <v>1.2</v>
      </c>
      <c r="H9" s="4" t="n">
        <f aca="false">Assumptions!H43</f>
        <v>1.2</v>
      </c>
      <c r="I9" s="4" t="n">
        <f aca="false">Assumptions!I43</f>
        <v>1.2</v>
      </c>
      <c r="J9" s="4" t="n">
        <f aca="false">Assumptions!J43</f>
        <v>1.2</v>
      </c>
      <c r="K9" s="4" t="n">
        <f aca="false">Assumptions!K43</f>
        <v>1.2</v>
      </c>
      <c r="L9" s="4" t="n">
        <f aca="false">Assumptions!L43</f>
        <v>1.2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-196.35</v>
      </c>
      <c r="D10" s="0" t="n">
        <f aca="false">-D6*D9/100</f>
        <v>-214.0215</v>
      </c>
      <c r="E10" s="0" t="n">
        <f aca="false">-E6*E9/100</f>
        <v>-214.63299</v>
      </c>
      <c r="F10" s="0" t="n">
        <f aca="false">-F6*F9/100</f>
        <v>-229.6572993</v>
      </c>
      <c r="G10" s="0" t="n">
        <f aca="false">-G6*G9/100</f>
        <v>-224.710834392</v>
      </c>
      <c r="H10" s="0" t="n">
        <f aca="false">-H6*H9/100</f>
        <v>-235.9463761116</v>
      </c>
      <c r="I10" s="0" t="n">
        <f aca="false">-I6*I9/100</f>
        <v>-245.384231156064</v>
      </c>
      <c r="J10" s="0" t="n">
        <f aca="false">-J6*J9/100</f>
        <v>-253.972679246526</v>
      </c>
      <c r="K10" s="0" t="n">
        <f aca="false">-K6*K9/100</f>
        <v>-261.591859623922</v>
      </c>
      <c r="L10" s="0" t="n">
        <f aca="false">-L6*L9/100</f>
        <v>-269.43961541264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2047.65</v>
      </c>
      <c r="D11" s="0" t="n">
        <f aca="false">D8+D10+D24</f>
        <v>2384.811</v>
      </c>
      <c r="E11" s="0" t="n">
        <f aca="false">E8+E10+E24</f>
        <v>2757.20841</v>
      </c>
      <c r="F11" s="0" t="n">
        <f aca="false">F8+F10+F24</f>
        <v>3038.5427292</v>
      </c>
      <c r="G11" s="0" t="n">
        <f aca="false">G8+G10+G24</f>
        <v>3333.210710148</v>
      </c>
      <c r="H11" s="0" t="n">
        <f aca="false">H8+H10+H24</f>
        <v>3499.8712456554</v>
      </c>
      <c r="I11" s="0" t="n">
        <f aca="false">I8+I10+I24</f>
        <v>3639.86609548162</v>
      </c>
      <c r="J11" s="0" t="n">
        <f aca="false">J8+J10+J24</f>
        <v>3767.26140882347</v>
      </c>
      <c r="K11" s="0" t="n">
        <f aca="false">K8+K10+K24</f>
        <v>3880.27925108818</v>
      </c>
      <c r="L11" s="0" t="n">
        <f aca="false">L8+L10+L24</f>
        <v>3996.68762862082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2047.65</v>
      </c>
      <c r="D13" s="0" t="n">
        <f aca="false">D11+D12</f>
        <v>2384.811</v>
      </c>
      <c r="E13" s="0" t="n">
        <f aca="false">E11+E12</f>
        <v>2757.20841</v>
      </c>
      <c r="F13" s="0" t="n">
        <f aca="false">F11+F12</f>
        <v>3038.5427292</v>
      </c>
      <c r="G13" s="0" t="n">
        <f aca="false">G11+G12</f>
        <v>3333.210710148</v>
      </c>
      <c r="H13" s="0" t="n">
        <f aca="false">H11+H12</f>
        <v>3499.8712456554</v>
      </c>
      <c r="I13" s="0" t="n">
        <f aca="false">I11+I12</f>
        <v>3639.86609548162</v>
      </c>
      <c r="J13" s="0" t="n">
        <f aca="false">J11+J12</f>
        <v>3767.26140882347</v>
      </c>
      <c r="K13" s="0" t="n">
        <f aca="false">K11+K12</f>
        <v>3880.27925108818</v>
      </c>
      <c r="L13" s="0" t="n">
        <f aca="false">L11+L12</f>
        <v>3996.68762862082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1576.6905</v>
      </c>
      <c r="D15" s="0" t="n">
        <f aca="false">D13-MAX(0,D13)*D14/100</f>
        <v>1836.30447</v>
      </c>
      <c r="E15" s="0" t="n">
        <f aca="false">E13-MAX(0,E13)*E14/100</f>
        <v>2123.0504757</v>
      </c>
      <c r="F15" s="0" t="n">
        <f aca="false">F13-MAX(0,F13)*F14/100</f>
        <v>2339.677901484</v>
      </c>
      <c r="G15" s="0" t="n">
        <f aca="false">G13-MAX(0,G13)*G14/100</f>
        <v>2566.57224681396</v>
      </c>
      <c r="H15" s="0" t="n">
        <f aca="false">H13-MAX(0,H13)*H14/100</f>
        <v>2694.90085915466</v>
      </c>
      <c r="I15" s="0" t="n">
        <f aca="false">I13-MAX(0,I13)*I14/100</f>
        <v>2802.69689352085</v>
      </c>
      <c r="J15" s="0" t="n">
        <f aca="false">J13-MAX(0,J13)*J14/100</f>
        <v>2900.79128479408</v>
      </c>
      <c r="K15" s="0" t="n">
        <f aca="false">K13-MAX(0,K13)*K14/100</f>
        <v>2987.8150233379</v>
      </c>
      <c r="L15" s="0" t="n">
        <f aca="false">L13-MAX(0,L13)*L14/100</f>
        <v>3077.44947403804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-1008.3975</v>
      </c>
      <c r="D17" s="4" t="n">
        <f aca="false">-D6*Assumptions!D46/100</f>
        <v>-1068.578775</v>
      </c>
      <c r="E17" s="4" t="n">
        <f aca="false">-E6*Assumptions!E46/100</f>
        <v>-1132.601778</v>
      </c>
      <c r="F17" s="4" t="n">
        <f aca="false">-F6*Assumptions!F46/100</f>
        <v>-999.89254926</v>
      </c>
      <c r="G17" s="4" t="n">
        <f aca="false">-G6*Assumptions!G46/100</f>
        <v>-1050.5231507826</v>
      </c>
      <c r="H17" s="4" t="n">
        <f aca="false">-H6*Assumptions!H46/100</f>
        <v>-882.832690617571</v>
      </c>
      <c r="I17" s="4" t="n">
        <f aca="false">-I6*Assumptions!I46/100</f>
        <v>-918.145998242273</v>
      </c>
      <c r="J17" s="4" t="n">
        <f aca="false">-J6*Assumptions!J46/100</f>
        <v>-715.356379877716</v>
      </c>
      <c r="K17" s="4" t="n">
        <f aca="false">-K6*Assumptions!K46/100</f>
        <v>-736.817071274047</v>
      </c>
      <c r="L17" s="4" t="n">
        <f aca="false">-L6*Assumptions!L46/100</f>
        <v>-758.921583412269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568.293</v>
      </c>
      <c r="D19" s="0" t="n">
        <f aca="false">D15+D16+D17+D18</f>
        <v>767.725695</v>
      </c>
      <c r="E19" s="0" t="n">
        <f aca="false">E15+E16+E17+E18</f>
        <v>990.4486977</v>
      </c>
      <c r="F19" s="0" t="n">
        <f aca="false">F15+F16+F17+F18</f>
        <v>1339.785352224</v>
      </c>
      <c r="G19" s="0" t="n">
        <f aca="false">G15+G16+G17+G18</f>
        <v>1516.04909603136</v>
      </c>
      <c r="H19" s="0" t="n">
        <f aca="false">H15+H16+H17+H18</f>
        <v>1812.06816853709</v>
      </c>
      <c r="I19" s="0" t="n">
        <f aca="false">I15+I16+I17+I18</f>
        <v>1884.55089527857</v>
      </c>
      <c r="J19" s="0" t="n">
        <f aca="false">J15+J16+J17+J18</f>
        <v>2185.43490491636</v>
      </c>
      <c r="K19" s="0" t="n">
        <f aca="false">K15+K16+K17+K18</f>
        <v>2250.99795206385</v>
      </c>
      <c r="L19" s="0" t="n">
        <f aca="false">L15+L16+L17+L18</f>
        <v>2318.52789062577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507.404464285715</v>
      </c>
      <c r="D21" s="0" t="n">
        <f aca="false">D19*D20</f>
        <v>612.026223692602</v>
      </c>
      <c r="E21" s="0" t="n">
        <f aca="false">E19*E20</f>
        <v>704.981819495376</v>
      </c>
      <c r="F21" s="0" t="n">
        <f aca="false">F19*F20</f>
        <v>851.457812520337</v>
      </c>
      <c r="G21" s="0" t="n">
        <f aca="false">G19*G20</f>
        <v>860.2469716761</v>
      </c>
      <c r="H21" s="0" t="n">
        <f aca="false">H19*H20</f>
        <v>918.050127875679</v>
      </c>
      <c r="I21" s="0" t="n">
        <f aca="false">I19*I20</f>
        <v>852.475118741702</v>
      </c>
      <c r="J21" s="0" t="n">
        <f aca="false">J19*J20</f>
        <v>882.660503936405</v>
      </c>
      <c r="K21" s="0" t="n">
        <f aca="false">K19*K20</f>
        <v>811.732427727229</v>
      </c>
      <c r="L21" s="0" t="n">
        <f aca="false">L19*L20</f>
        <v>746.503929070577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12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7747.53939902172</v>
      </c>
    </row>
    <row r="31" customFormat="false" ht="15" hidden="false" customHeight="false" outlineLevel="0" collapsed="false">
      <c r="A31" s="0" t="s">
        <v>128</v>
      </c>
      <c r="B31" s="0" t="n">
        <f aca="false">L19</f>
        <v>2318.52789062577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26534.2636371616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27822.3346875092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26534.2636371616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8543.32274380772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16290.8621428294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16290.8621428294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2.75282419182061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2.64612475737829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1286.35641909657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992.832393237387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3.13796072083368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19900.6977278712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1.957479666885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0.6051931296217</v>
      </c>
      <c r="C4" s="0" t="n">
        <f aca="false">B4/Assumptions!$B$2-1</f>
        <v>-0.198419695865298</v>
      </c>
      <c r="D4" s="4" t="n">
        <f aca="false">Assumptions!$B$24</f>
        <v>0.4</v>
      </c>
      <c r="E4" s="4" t="n">
        <f aca="false">DCF_Bear!$B$43</f>
        <v>0.827899399210059</v>
      </c>
      <c r="F4" s="4" t="n">
        <f aca="false">DCF_Bear!$B$47</f>
        <v>0.434268430051822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1.69685810180719</v>
      </c>
      <c r="C5" s="0" t="n">
        <f aca="false">B5/Assumptions!$B$2-1</f>
        <v>1.24749417457907</v>
      </c>
      <c r="D5" s="4" t="n">
        <f aca="false">Assumptions!$B$38</f>
        <v>0.45</v>
      </c>
      <c r="E5" s="4" t="n">
        <f aca="false">DCF_Base!$B$43</f>
        <v>2.02086289555262</v>
      </c>
      <c r="F5" s="4" t="n">
        <f aca="false">DCF_Base!$B$47</f>
        <v>1.25733249711838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2.75282419182061</v>
      </c>
      <c r="C6" s="0" t="n">
        <f aca="false">B6/Assumptions!$B$2-1</f>
        <v>2.64612475737829</v>
      </c>
      <c r="D6" s="4" t="n">
        <f aca="false">Assumptions!$B$52</f>
        <v>0.15</v>
      </c>
      <c r="E6" s="4" t="n">
        <f aca="false">DCF_Bull!$B$43</f>
        <v>3.13796072083368</v>
      </c>
      <c r="F6" s="4" t="n">
        <f aca="false">DCF_Bull!$B$47</f>
        <v>1.957479666885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1.41858702643501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1.71124217080776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0.467780272954167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-226.747090968548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1.03312894575675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2.19625158064884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2.04631618359567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1.90930812769924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1.69685810180719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1.25733249711838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10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2.04124755805689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2.04631618359567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2.04631618359567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2.04631618359567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2.04631618359567</v>
      </c>
    </row>
    <row r="24" customFormat="false" ht="15" hidden="false" customHeight="false" outlineLevel="0" collapsed="false">
      <c r="A24" s="3" t="n">
        <v>11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1.80574084058456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1.85683403556114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1.90930812769924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1.90930812769924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1.90930812769924</v>
      </c>
    </row>
    <row r="25" customFormat="false" ht="15" hidden="false" customHeight="false" outlineLevel="0" collapsed="false">
      <c r="A25" s="3" t="n">
        <v>12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1.61606191361971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1.65444010300877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1.69685810180719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1.74398921158323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1.78396649219682</v>
      </c>
    </row>
    <row r="26" customFormat="false" ht="15" hidden="false" customHeight="false" outlineLevel="0" collapsed="false">
      <c r="A26" s="3" t="n">
        <v>13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1.46019865836871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1.4896048963715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1.52181172846979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1.55723924377792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1.59639597122374</v>
      </c>
    </row>
    <row r="27" customFormat="false" ht="15" hidden="false" customHeight="false" outlineLevel="0" collapsed="false">
      <c r="A27" s="3" t="n">
        <v>14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1.32998681282021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1.35289554545736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1.37779634180208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1.40496084690541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1.43471244773287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2026-10-22T05:49:40Z</dcterms:created>
  <dc:creator>openpyxl</dc:creator>
  <dc:description/>
  <dc:language>en-NZ</dc:language>
  <cp:lastModifiedBy/>
  <dcterms:modified xsi:type="dcterms:W3CDTF">2026-10-22T05:49:40Z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