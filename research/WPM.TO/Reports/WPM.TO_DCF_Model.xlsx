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<sst xmlns="http://schemas.openxmlformats.org/spreadsheetml/2006/main" count="366" uniqueCount="168">
  <si>
    <t xml:space="preserve">Ticker</t>
  </si>
  <si>
    <t xml:space="preserve">WPM.TO</t>
  </si>
  <si>
    <t xml:space="preserve">Company</t>
  </si>
  <si>
    <t xml:space="preserve">Wheaton Precious Metals Corp.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</si>
  <si>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</si>
  <si>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</si>
  <si>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</si>
  <si>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</si>
  <si>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2026-10-09T20:00:00Z TSX regular close (Yahoo chart API)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</si>
  <si>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</si>
  <si>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</si>
  <si>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</si>
  <si>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</si>
  <si>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</si>
  <si>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</si>
  <si>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</si>
  <si>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</si>
  <si>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</si>
  <si>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</si>
  <si>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</si>
  <si>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</si>
  <si>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</si>
  <si>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2026-10-10T11:16:14Z</t>
  </si>
  <si>
    <t xml:space="preserve">Drivers file</t>
  </si>
  <si>
    <t xml:space="preserve">WPM.TO_Drivers.json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</si>
  <si>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</si>
  <si>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</si>
  <si>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</si>
  <si>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stream portfolio as a cash annuity that must be refilled: committed upfront payments (including the US$4.3bn Antamina/BHP stream) are charged as they fall due, the explicit years follow management's GEO guidance with a delay haircut, and the terminal year pays sustaining stream-acquisition capex above depletion. Metals are held at today's spot in the base case rather than at management's higher US$4,800/US$80 deck. Risk sits in the scenarios, not the WACC.
key_risks_to_valuation: Metal deck: every US$100/oz on gold moves revenue ~2-3%; the base holds spot flat nominal, below management's US$4,800 gold / US$80 silver planning deck; Terminal sustaining capex: the 18% of revenue base charge (depletion plus growth reinvestment) is the single largest judgement; at depletion-only (~16%) value rises modestly; Operator concentration: Penasquito (Newmont), Salobo (Vale), Antamina (Glencore/BHP/Teck); Pipeline delivery to 1.2M GEO by 2030 depends on development assets operated by third parties (Kone, Platreef, Santo Domingo, Copper World, Spring Valley); Global minimum tax: cash rate steps from near-zero to ~15% as the lagged Pillar Two payments start in 2026-27; FY2026 discounted a full year although ~9 months have passed (small conservative bias); Q1/Q2 2026 filings not extracted, FY2026 revenue partly estimated</t>
  </si>
  <si>
    <t xml:space="preserve">Data sources</t>
  </si>
  <si>
    <t xml:space="preserve">price: Yahoo Finance chart API at inputs.price_as_of (TSX: WPM.TO); 52-week range 129.69-226.68 CAD; FX Yahoo CAD=X; gold GC=F and silver SI=F spot for the metal deck
financials: research/WPM.TO/Reports/WPM.TO_Metrics.csv and DuckDB kpis (GEO, cash cost per GEO, realized price per GEO); FY2025 Annual FinStmts (balance sheet, note 16 LTE investments, note 21 diluted shares, taxes payable) and FY2025 Annual MD&amp;A (Outlook p.7, Liquidity p.31-32, Contractual Obligations p.38-41)
qualitative: research/WPM.TO/Reports/WPM.TO_Analysis.json (Q1/Q2 2026 results, Antamina/BHP closing, guidance reaffirmation, Salobo CPF)</t>
  </si>
  <si>
    <t xml:space="preserve">Scenario narrative: bear</t>
  </si>
  <si>
    <t xml:space="preserve">Gold ~US$3,200 / silver ~US$40 by 2028, ~20% volume shortfall from operator concentration and project delays, committed payments still made, margins compress toward ~79.5%.</t>
  </si>
  <si>
    <t xml:space="preserve">Scenario narrative: base</t>
  </si>
  <si>
    <t xml:space="preserve">Spot metals held flat in nominal terms; ~1.05M GEO sold by 2030 (90% of the 1.2M target); Antamina/BHP performs; sustaining stream purchases at ~depletion-plus-growth in the terminal year. The axes are the metal deck, pipeline delivery and the price Wheaton must pay for replacement streams.</t>
  </si>
  <si>
    <t xml:space="preserve">Scenario narrative: bull</t>
  </si>
  <si>
    <t xml:space="preserve">Gold ~US$5,000 / silver ~US$85, full 1.2M GEO on schedule, and continued accretive deal-making carrying ~3% growth after 2030 with a lower sustaining-capex burden.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</si>
  <si>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</si>
  <si>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</si>
  <si>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</si>
  <si>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</si>
  <si>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</si>
  <si>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</si>
  <si>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</si>
  <si>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</si>
  <si>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</si>
  <si>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</si>
  <si>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</si>
  <si>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</si>
  <si>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</si>
  <si>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</si>
  <si>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</si>
  <si>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</si>
  <si>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</si>
  <si>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</si>
  <si>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</si>
  <si>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</si>
  <si>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</si>
  <si>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</si>
  <si>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</si>
  <si>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</si>
  <si>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</si>
  <si>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</si>
  <si>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</si>
  <si>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</si>
  <si>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</si>
  <si>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</si>
  <si>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</si>
  <si>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</si>
  <si>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</si>
  <si>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</si>
  <si>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</si>
  <si>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</si>
  <si>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</si>
  <si>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</si>
  <si>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</si>
  <si>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</si>
  <si>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</si>
  <si>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</si>
  <si>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</si>
  <si>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</si>
  <si>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</si>
  <si>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</si>
  <si>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</si>
  <si>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</si>
  <si>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</si>
  <si>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</si>
  <si>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</si>
  <si>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</si>
  <si>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</si>
  <si>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</si>
  <si>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</si>
  <si>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</si>
  <si>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</si>
  <si>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</si>
  <si>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</si>
  <si>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</si>
  <si>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</si>
  <si>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</si>
  <si>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</si>
  <si>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</si>
  <si>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</si>
  <si>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</si>
  <si>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</si>
  <si>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</si>
  <si>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</si>
  <si>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</si>
  <si>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</si>
  <si>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</si>
  <si>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</si>
  <si>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</si>
  <si>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</si>
  <si>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</si>
  <si>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WPM.TO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</si>
  <si>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</si>
  <si>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</si>
  <si>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</si>
  <si>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</si>
  <si>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</si>
  <si>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</si>
  <si>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</si>
  <si>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</si>
  <si>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</si>
  <si>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</si>
  <si>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</si>
  <si>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</si>
  <si>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</si>
  <si>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</si>
  <si>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</si>
  <si>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</si>
  <si>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</si>
  <si>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</si>
  <si>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</si>
  <si>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</si>
  <si>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</si>
  <si>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</si>
  <si>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</si>
  <si>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</si>
  <si>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</si>
  <si>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</si>
  <si>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</si>
  <si>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</si>
  <si>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</si>
  <si>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</si>
  <si>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WPM.TO owner-FCF component DCF: base case (millions, USD)</t>
  </si>
  <si>
    <t xml:space="preserve">WPM.TO owner-FCF component DCF: bull case (millions, USD)</t>
  </si>
  <si>
    <t xml:space="preserve">WPM.TO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</si>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</sst>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197.66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620.176</v>
      </c>
      <c r="C2" s="0" t="n">
        <v>311.277</v>
      </c>
      <c r="D2" s="0" t="n">
        <v>308.899</v>
      </c>
      <c r="E2" s="0" t="n">
        <v>49.8</v>
      </c>
      <c r="F2" s="0" t="n">
        <v>202.888</v>
      </c>
      <c r="G2" s="0" t="n">
        <v>32.7</v>
      </c>
      <c r="H2" s="0" t="n">
        <v>363.394</v>
      </c>
      <c r="I2" s="0" t="n">
        <v>199.826</v>
      </c>
      <c r="J2" s="0" t="n">
        <v>32.2</v>
      </c>
      <c r="K2" s="0" t="n">
        <v>0.56</v>
      </c>
      <c r="L2" s="0" t="n">
        <v>431.873</v>
      </c>
      <c r="M2" s="0" t="n">
        <v>134.578</v>
      </c>
      <c r="N2" s="0" t="n">
        <v>297.295</v>
      </c>
      <c r="O2" s="0" t="n">
        <v>3628.736</v>
      </c>
      <c r="P2" s="0" t="n">
        <v>4647.763</v>
      </c>
      <c r="Q2" s="0" t="n">
        <v>1019.027</v>
      </c>
      <c r="R2" s="0" t="n">
        <v>998.518</v>
      </c>
      <c r="S2" s="0" t="n">
        <v>308.098</v>
      </c>
      <c r="T2" s="0" t="n">
        <v>359.804</v>
      </c>
      <c r="U2" s="0" t="n">
        <v>10.71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648.687</v>
      </c>
      <c r="C3" s="0" t="n">
        <v>388.795</v>
      </c>
      <c r="D3" s="0" t="n">
        <v>259.892</v>
      </c>
      <c r="E3" s="0" t="n">
        <v>40.1</v>
      </c>
      <c r="F3" s="0" t="n">
        <v>-157.267</v>
      </c>
      <c r="G3" s="0" t="n">
        <v>-24.2</v>
      </c>
      <c r="H3" s="0" t="n">
        <v>41.935</v>
      </c>
      <c r="I3" s="0" t="n">
        <v>-162.042</v>
      </c>
      <c r="J3" s="0" t="n">
        <v>-25</v>
      </c>
      <c r="K3" s="0" t="n">
        <v>-0.41</v>
      </c>
      <c r="L3" s="0" t="n">
        <v>431.359</v>
      </c>
      <c r="M3" s="0" t="n">
        <v>1802.242</v>
      </c>
      <c r="N3" s="0" t="n">
        <v>-1370.883</v>
      </c>
      <c r="O3" s="0" t="n">
        <v>4150.735</v>
      </c>
      <c r="P3" s="0" t="n">
        <v>5632.211</v>
      </c>
      <c r="Q3" s="0" t="n">
        <v>1481.476</v>
      </c>
      <c r="R3" s="0" t="n">
        <v>1466</v>
      </c>
      <c r="S3" s="0" t="n">
        <v>103.297</v>
      </c>
      <c r="T3" s="0" t="n">
        <v>395.938</v>
      </c>
      <c r="U3" s="0" t="n">
        <v>6.694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891.557</v>
      </c>
      <c r="C4" s="0" t="n">
        <v>563.136</v>
      </c>
      <c r="D4" s="0" t="n">
        <v>328.421</v>
      </c>
      <c r="E4" s="0" t="n">
        <v>36.8</v>
      </c>
      <c r="F4" s="0" t="n">
        <v>222.982</v>
      </c>
      <c r="G4" s="0" t="n">
        <v>25</v>
      </c>
      <c r="H4" s="0" t="n">
        <v>532.636</v>
      </c>
      <c r="I4" s="0" t="n">
        <v>195.137</v>
      </c>
      <c r="J4" s="0" t="n">
        <v>21.9</v>
      </c>
      <c r="K4" s="0" t="n">
        <v>0.45</v>
      </c>
      <c r="L4" s="0" t="n">
        <v>584.301</v>
      </c>
      <c r="M4" s="0" t="n">
        <v>804.519</v>
      </c>
      <c r="N4" s="0" t="n">
        <v>-220.218</v>
      </c>
      <c r="O4" s="0" t="n">
        <v>4939.988</v>
      </c>
      <c r="P4" s="0" t="n">
        <v>6153.319</v>
      </c>
      <c r="Q4" s="0" t="n">
        <v>1213.331</v>
      </c>
      <c r="R4" s="0" t="n">
        <v>1193</v>
      </c>
      <c r="S4" s="0" t="n">
        <v>124.295</v>
      </c>
      <c r="T4" s="0" t="n">
        <v>430.845</v>
      </c>
      <c r="U4" s="0" t="n">
        <v>1.525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843.215</v>
      </c>
      <c r="C5" s="0" t="n">
        <v>506.181</v>
      </c>
      <c r="D5" s="0" t="n">
        <v>337.034</v>
      </c>
      <c r="E5" s="0" t="n">
        <v>40</v>
      </c>
      <c r="F5" s="0" t="n">
        <v>73.681</v>
      </c>
      <c r="G5" s="0" t="n">
        <v>8.7</v>
      </c>
      <c r="H5" s="0" t="n">
        <v>337.033</v>
      </c>
      <c r="I5" s="0" t="n">
        <v>57.703</v>
      </c>
      <c r="J5" s="0" t="n">
        <v>6.8</v>
      </c>
      <c r="K5" s="0" t="n">
        <v>0.13</v>
      </c>
      <c r="L5" s="0" t="n">
        <v>538.808</v>
      </c>
      <c r="M5" s="0" t="n">
        <v>1.721</v>
      </c>
      <c r="N5" s="0" t="n">
        <v>537.087</v>
      </c>
      <c r="O5" s="0" t="n">
        <v>4899.664</v>
      </c>
      <c r="P5" s="0" t="n">
        <v>5683.313</v>
      </c>
      <c r="Q5" s="0" t="n">
        <v>783.649</v>
      </c>
      <c r="R5" s="0" t="n">
        <v>770</v>
      </c>
      <c r="S5" s="0" t="n">
        <v>98.521</v>
      </c>
      <c r="T5" s="0" t="n">
        <v>442.442</v>
      </c>
      <c r="U5" s="0" t="n">
        <v>5.191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794.012</v>
      </c>
      <c r="C6" s="0" t="n">
        <v>498.081</v>
      </c>
      <c r="D6" s="0" t="n">
        <v>295.931</v>
      </c>
      <c r="E6" s="0" t="n">
        <v>37.3</v>
      </c>
      <c r="F6" s="0" t="n">
        <v>244.281</v>
      </c>
      <c r="G6" s="0" t="n">
        <v>30.8</v>
      </c>
      <c r="H6" s="0" t="n">
        <v>497.624</v>
      </c>
      <c r="I6" s="0" t="n">
        <v>427.115</v>
      </c>
      <c r="J6" s="0" t="n">
        <v>53.8</v>
      </c>
      <c r="K6" s="0" t="n">
        <v>0.96</v>
      </c>
      <c r="L6" s="0" t="n">
        <v>477.413</v>
      </c>
      <c r="M6" s="0" t="n">
        <v>1125.664</v>
      </c>
      <c r="N6" s="0" t="n">
        <v>-648.251</v>
      </c>
      <c r="O6" s="0" t="n">
        <v>5171.916</v>
      </c>
      <c r="P6" s="0" t="n">
        <v>6470.046</v>
      </c>
      <c r="Q6" s="0" t="n">
        <v>1298.13</v>
      </c>
      <c r="R6" s="0" t="n">
        <v>1264</v>
      </c>
      <c r="S6" s="0" t="n">
        <v>75.767</v>
      </c>
      <c r="T6" s="0" t="n">
        <v>443.862</v>
      </c>
      <c r="U6" s="0" t="n">
        <v>14.949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861.332</v>
      </c>
      <c r="C7" s="0" t="n">
        <v>515.385</v>
      </c>
      <c r="D7" s="0" t="n">
        <v>345.947</v>
      </c>
      <c r="E7" s="0" t="n">
        <v>40.2</v>
      </c>
      <c r="F7" s="0" t="n">
        <v>125.528</v>
      </c>
      <c r="G7" s="0" t="n">
        <v>14.6</v>
      </c>
      <c r="H7" s="0" t="n">
        <v>384.258</v>
      </c>
      <c r="I7" s="0" t="n">
        <v>86.138</v>
      </c>
      <c r="J7" s="0" t="n">
        <v>10</v>
      </c>
      <c r="K7" s="0" t="n">
        <v>0.19</v>
      </c>
      <c r="L7" s="0" t="n">
        <v>501.62</v>
      </c>
      <c r="M7" s="0" t="n">
        <v>1.683</v>
      </c>
      <c r="N7" s="0" t="n">
        <v>499.937</v>
      </c>
      <c r="O7" s="0" t="n">
        <v>5325.92</v>
      </c>
      <c r="P7" s="0" t="n">
        <v>6278.007</v>
      </c>
      <c r="Q7" s="0" t="n">
        <v>952.087</v>
      </c>
      <c r="R7" s="0" t="n">
        <v>874.5</v>
      </c>
      <c r="S7" s="0" t="n">
        <v>103.986</v>
      </c>
      <c r="T7" s="0" t="n">
        <v>446.93</v>
      </c>
      <c r="U7" s="0" t="n">
        <v>13.525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1096.224</v>
      </c>
      <c r="C8" s="0" t="n">
        <v>510.652</v>
      </c>
      <c r="D8" s="0" t="n">
        <v>585.572</v>
      </c>
      <c r="E8" s="0" t="n">
        <v>53.4</v>
      </c>
      <c r="F8" s="0" t="n">
        <v>519.874</v>
      </c>
      <c r="G8" s="0" t="n">
        <v>47.4</v>
      </c>
      <c r="H8" s="0" t="n">
        <v>765.653</v>
      </c>
      <c r="I8" s="0" t="n">
        <v>507.804</v>
      </c>
      <c r="J8" s="0" t="n">
        <v>46.3</v>
      </c>
      <c r="K8" s="0" t="n">
        <v>1.128</v>
      </c>
      <c r="L8" s="0" t="n">
        <v>765.442</v>
      </c>
      <c r="M8" s="0" t="n">
        <v>1.822</v>
      </c>
      <c r="N8" s="0" t="n">
        <v>763.62</v>
      </c>
      <c r="O8" s="0" t="n">
        <v>5714.571</v>
      </c>
      <c r="P8" s="0" t="n">
        <v>5957.272</v>
      </c>
      <c r="Q8" s="0" t="n">
        <v>242.701</v>
      </c>
      <c r="R8" s="0" t="n">
        <v>195</v>
      </c>
      <c r="S8" s="0" t="n">
        <v>192.683</v>
      </c>
      <c r="T8" s="0" t="n">
        <v>450.07</v>
      </c>
      <c r="U8" s="0" t="n">
        <v>14.83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1201.665</v>
      </c>
      <c r="C9" s="0" t="n">
        <v>542.74</v>
      </c>
      <c r="D9" s="0" t="n">
        <v>658.925</v>
      </c>
      <c r="E9" s="0" t="n">
        <v>54.8</v>
      </c>
      <c r="F9" s="0" t="n">
        <v>754.657</v>
      </c>
      <c r="G9" s="0" t="n">
        <v>62.8</v>
      </c>
      <c r="H9" s="0" t="n">
        <v>1011.342</v>
      </c>
      <c r="I9" s="0" t="n">
        <v>754.885</v>
      </c>
      <c r="J9" s="0" t="n">
        <v>62.8</v>
      </c>
      <c r="K9" s="0" t="n">
        <v>1.673</v>
      </c>
      <c r="L9" s="0" t="n">
        <v>845.145</v>
      </c>
      <c r="M9" s="0" t="n">
        <v>525.962</v>
      </c>
      <c r="N9" s="0" t="n">
        <v>319.183</v>
      </c>
      <c r="O9" s="0" t="n">
        <v>6250.117</v>
      </c>
      <c r="P9" s="0" t="n">
        <v>6296.151</v>
      </c>
      <c r="Q9" s="0" t="n">
        <v>46.034</v>
      </c>
      <c r="R9" s="0" t="n">
        <v>0</v>
      </c>
      <c r="S9" s="0" t="n">
        <v>226.045</v>
      </c>
      <c r="T9" s="0" t="n">
        <v>451.17</v>
      </c>
      <c r="U9" s="0" t="n">
        <v>19.265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1065.053</v>
      </c>
      <c r="C10" s="0" t="n">
        <v>499.573</v>
      </c>
      <c r="D10" s="0" t="n">
        <v>565.48</v>
      </c>
      <c r="E10" s="0" t="n">
        <v>53.1</v>
      </c>
      <c r="F10" s="0" t="n">
        <v>511.904</v>
      </c>
      <c r="G10" s="0" t="n">
        <v>48.1</v>
      </c>
      <c r="H10" s="0" t="n">
        <v>745.443</v>
      </c>
      <c r="I10" s="0" t="n">
        <v>669.126</v>
      </c>
      <c r="J10" s="0" t="n">
        <v>62.8</v>
      </c>
      <c r="K10" s="0" t="n">
        <v>1.479</v>
      </c>
      <c r="L10" s="0" t="n">
        <v>743.424</v>
      </c>
      <c r="M10" s="0" t="n">
        <v>153.429</v>
      </c>
      <c r="N10" s="0" t="n">
        <v>589.995</v>
      </c>
      <c r="O10" s="0" t="n">
        <v>6717.675</v>
      </c>
      <c r="P10" s="0" t="n">
        <v>6759.906</v>
      </c>
      <c r="Q10" s="0" t="n">
        <v>42.231</v>
      </c>
      <c r="R10" s="0" t="n">
        <v>0</v>
      </c>
      <c r="S10" s="0" t="n">
        <v>696.089</v>
      </c>
      <c r="T10" s="0" t="n">
        <v>452.344</v>
      </c>
      <c r="U10" s="0" t="n">
        <v>20.06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1016.045</v>
      </c>
      <c r="C11" s="0" t="n">
        <v>442.605</v>
      </c>
      <c r="D11" s="0" t="n">
        <v>573.44</v>
      </c>
      <c r="E11" s="0" t="n">
        <v>56.4</v>
      </c>
      <c r="F11" s="0" t="n">
        <v>505.27</v>
      </c>
      <c r="G11" s="0" t="n">
        <v>49.7</v>
      </c>
      <c r="H11" s="0" t="n">
        <v>721.196</v>
      </c>
      <c r="I11" s="0" t="n">
        <v>537.644</v>
      </c>
      <c r="J11" s="0" t="n">
        <v>52.9</v>
      </c>
      <c r="K11" s="0" t="n">
        <v>1.186</v>
      </c>
      <c r="L11" s="0" t="n">
        <v>750.809</v>
      </c>
      <c r="M11" s="0" t="n">
        <v>671.361</v>
      </c>
      <c r="N11" s="0" t="n">
        <v>79.448</v>
      </c>
      <c r="O11" s="0" t="n">
        <v>6985.516</v>
      </c>
      <c r="P11" s="0" t="n">
        <v>7031.185</v>
      </c>
      <c r="Q11" s="0" t="n">
        <v>45.669</v>
      </c>
      <c r="R11" s="0" t="n">
        <v>0</v>
      </c>
      <c r="S11" s="0" t="n">
        <v>546.527</v>
      </c>
      <c r="T11" s="0" t="n">
        <v>453.463</v>
      </c>
      <c r="U11" s="0" t="n">
        <v>22.744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1284.639</v>
      </c>
      <c r="C12" s="0" t="n">
        <v>482.052</v>
      </c>
      <c r="D12" s="0" t="n">
        <v>802.587</v>
      </c>
      <c r="E12" s="0" t="n">
        <v>62.5</v>
      </c>
      <c r="F12" s="0" t="n">
        <v>620.832</v>
      </c>
      <c r="G12" s="0" t="n">
        <v>48.3</v>
      </c>
      <c r="H12" s="0" t="n">
        <v>869.135</v>
      </c>
      <c r="I12" s="0" t="n">
        <v>529.14</v>
      </c>
      <c r="J12" s="0" t="n">
        <v>41.2</v>
      </c>
      <c r="K12" s="0" t="n">
        <v>1.165</v>
      </c>
      <c r="L12" s="0" t="n">
        <v>1027.581</v>
      </c>
      <c r="M12" s="0" t="n">
        <v>655.215</v>
      </c>
      <c r="N12" s="0" t="n">
        <v>372.366</v>
      </c>
      <c r="O12" s="0" t="n">
        <v>7259.379</v>
      </c>
      <c r="P12" s="0" t="n">
        <v>7424.457</v>
      </c>
      <c r="Q12" s="0" t="n">
        <v>165.078</v>
      </c>
      <c r="R12" s="0" t="n">
        <v>0</v>
      </c>
      <c r="S12" s="0" t="n">
        <v>818.166</v>
      </c>
      <c r="T12" s="0" t="n">
        <v>454.119</v>
      </c>
      <c r="U12" s="0" t="n">
        <v>23.268</v>
      </c>
      <c r="AA12" s="0" t="s">
        <v>18</v>
      </c>
      <c r="AB12" s="0" t="s">
        <v>14</v>
      </c>
    </row>
    <row r="13" customFormat="false" ht="15" hidden="false" customHeight="false" outlineLevel="0" collapsed="false">
      <c r="A13" s="0" t="s">
        <v>75</v>
      </c>
      <c r="B13" s="0" t="n">
        <v>2314.6</v>
      </c>
      <c r="C13" s="0" t="n">
        <v>642.952</v>
      </c>
      <c r="D13" s="0" t="n">
        <v>1671.648</v>
      </c>
      <c r="E13" s="0" t="n">
        <v>72.2</v>
      </c>
      <c r="F13" s="0" t="n">
        <v>1581.641</v>
      </c>
      <c r="G13" s="0" t="n">
        <v>68.3</v>
      </c>
      <c r="H13" s="0" t="n">
        <v>1886.808</v>
      </c>
      <c r="I13" s="0" t="n">
        <v>1471.72</v>
      </c>
      <c r="J13" s="0" t="n">
        <v>63.6</v>
      </c>
      <c r="K13" s="0" t="n">
        <v>3.237</v>
      </c>
      <c r="L13" s="0" t="n">
        <v>1904.981</v>
      </c>
      <c r="M13" s="0" t="n">
        <v>1341.369</v>
      </c>
      <c r="N13" s="0" t="n">
        <v>563.612</v>
      </c>
      <c r="O13" s="0" t="n">
        <v>8690.508</v>
      </c>
      <c r="P13" s="0" t="n">
        <v>9125.781</v>
      </c>
      <c r="Q13" s="0" t="n">
        <v>435.273</v>
      </c>
      <c r="R13" s="0" t="n">
        <v>0</v>
      </c>
      <c r="S13" s="0" t="n">
        <v>1153.593</v>
      </c>
      <c r="T13" s="0" t="n">
        <v>454.685</v>
      </c>
      <c r="U13" s="0" t="n">
        <v>32.504</v>
      </c>
      <c r="AA13" s="0" t="s">
        <v>18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197.66</v>
      </c>
    </row>
    <row r="3" customFormat="false" ht="15" hidden="false" customHeight="false" outlineLevel="0" collapsed="false">
      <c r="A3" s="0" t="s">
        <v>79</v>
      </c>
      <c r="B3" s="3" t="n">
        <v>454.685</v>
      </c>
    </row>
    <row r="4" customFormat="false" ht="15" hidden="false" customHeight="false" outlineLevel="0" collapsed="false">
      <c r="A4" s="0" t="s">
        <v>80</v>
      </c>
      <c r="B4" s="3" t="n">
        <v>-1153.593</v>
      </c>
    </row>
    <row r="5" customFormat="false" ht="15" hidden="false" customHeight="false" outlineLevel="0" collapsed="false">
      <c r="A5" s="0" t="s">
        <v>81</v>
      </c>
      <c r="B5" s="3" t="n">
        <v>410.495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2314.6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1.4254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53.4</v>
      </c>
      <c r="D13" s="3" t="n">
        <v>-12.5</v>
      </c>
      <c r="E13" s="3" t="n">
        <v>-11.6</v>
      </c>
      <c r="F13" s="3" t="n">
        <v>3</v>
      </c>
      <c r="G13" s="3" t="n">
        <v>3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100</v>
      </c>
      <c r="C14" s="3" t="n">
        <v>84</v>
      </c>
      <c r="D14" s="3" t="n">
        <v>82</v>
      </c>
      <c r="E14" s="3" t="n">
        <v>80</v>
      </c>
      <c r="F14" s="3" t="n">
        <v>79.5</v>
      </c>
      <c r="G14" s="3" t="n">
        <v>79.5</v>
      </c>
      <c r="H14" s="3" t="n">
        <v>79.5</v>
      </c>
      <c r="I14" s="3" t="n">
        <v>79.5</v>
      </c>
      <c r="J14" s="3" t="n">
        <v>79.5</v>
      </c>
      <c r="K14" s="3" t="n">
        <v>79.5</v>
      </c>
      <c r="L14" s="3" t="n">
        <v>79.5</v>
      </c>
    </row>
    <row r="15" customFormat="false" ht="15" hidden="false" customHeight="false" outlineLevel="0" collapsed="false">
      <c r="A15" s="0" t="s">
        <v>101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15.5</v>
      </c>
      <c r="D17" s="3" t="n">
        <v>18</v>
      </c>
      <c r="E17" s="3" t="n">
        <v>20</v>
      </c>
      <c r="F17" s="3" t="n">
        <v>20</v>
      </c>
      <c r="G17" s="3" t="n">
        <v>20</v>
      </c>
      <c r="H17" s="3" t="n">
        <v>20</v>
      </c>
      <c r="I17" s="3" t="n">
        <v>20</v>
      </c>
      <c r="J17" s="3" t="n">
        <v>20</v>
      </c>
      <c r="K17" s="3" t="n">
        <v>20</v>
      </c>
      <c r="L17" s="3" t="n">
        <v>20</v>
      </c>
    </row>
    <row r="18" customFormat="false" ht="15" hidden="false" customHeight="false" outlineLevel="0" collapsed="false">
      <c r="A18" s="0" t="s">
        <v>104</v>
      </c>
      <c r="C18" s="3" t="n">
        <v>138</v>
      </c>
      <c r="D18" s="3" t="n">
        <v>17.8</v>
      </c>
      <c r="E18" s="3" t="n">
        <v>20.1</v>
      </c>
      <c r="F18" s="3" t="n">
        <v>3</v>
      </c>
      <c r="G18" s="3" t="n">
        <v>3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20</v>
      </c>
    </row>
    <row r="19" customFormat="false" ht="15" hidden="false" customHeight="false" outlineLevel="0" collapsed="false">
      <c r="A19" s="0" t="s">
        <v>105</v>
      </c>
      <c r="C19" s="3" t="n">
        <v>5</v>
      </c>
      <c r="D19" s="3" t="n">
        <v>13</v>
      </c>
      <c r="E19" s="3" t="n">
        <v>22</v>
      </c>
      <c r="F19" s="3" t="n">
        <v>15</v>
      </c>
      <c r="G19" s="3" t="n">
        <v>15.5</v>
      </c>
      <c r="H19" s="3" t="n">
        <v>15.5</v>
      </c>
      <c r="I19" s="3" t="n">
        <v>15.5</v>
      </c>
      <c r="J19" s="3" t="n">
        <v>15.5</v>
      </c>
      <c r="K19" s="3" t="n">
        <v>15.5</v>
      </c>
      <c r="L19" s="3" t="n">
        <v>15.5</v>
      </c>
    </row>
    <row r="20" customFormat="false" ht="15" hidden="false" customHeight="false" outlineLevel="0" collapsed="false">
      <c r="A20" s="0" t="s">
        <v>106</v>
      </c>
      <c r="B20" s="3" t="n">
        <v>8.5</v>
      </c>
    </row>
    <row r="21" customFormat="false" ht="15" hidden="false" customHeight="false" outlineLevel="0" collapsed="false">
      <c r="A21" s="0" t="s">
        <v>107</v>
      </c>
      <c r="B21" s="3" t="n">
        <v>1.5</v>
      </c>
    </row>
    <row r="22" customFormat="false" ht="15" hidden="false" customHeight="false" outlineLevel="0" collapsed="false">
      <c r="A22" s="0" t="s">
        <v>108</v>
      </c>
      <c r="B22" s="3" t="n">
        <v>15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57.7</v>
      </c>
      <c r="D27" s="3" t="n">
        <v>-1.5</v>
      </c>
      <c r="E27" s="3" t="n">
        <v>5.5</v>
      </c>
      <c r="F27" s="3" t="n">
        <v>5</v>
      </c>
      <c r="G27" s="3" t="n">
        <v>5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100</v>
      </c>
      <c r="C28" s="3" t="n">
        <v>84.5</v>
      </c>
      <c r="D28" s="3" t="n">
        <v>84</v>
      </c>
      <c r="E28" s="3" t="n">
        <v>84</v>
      </c>
      <c r="F28" s="3" t="n">
        <v>84</v>
      </c>
      <c r="G28" s="3" t="n">
        <v>84</v>
      </c>
      <c r="H28" s="3" t="n">
        <v>83.5</v>
      </c>
      <c r="I28" s="3" t="n">
        <v>83.5</v>
      </c>
      <c r="J28" s="3" t="n">
        <v>83.5</v>
      </c>
      <c r="K28" s="3" t="n">
        <v>83.5</v>
      </c>
      <c r="L28" s="3" t="n">
        <v>83.5</v>
      </c>
    </row>
    <row r="29" customFormat="false" ht="15" hidden="false" customHeight="false" outlineLevel="0" collapsed="false">
      <c r="A29" s="0" t="s">
        <v>101</v>
      </c>
      <c r="C29" s="3" t="n">
        <v>1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15</v>
      </c>
      <c r="D31" s="3" t="n">
        <v>16</v>
      </c>
      <c r="E31" s="3" t="n">
        <v>16</v>
      </c>
      <c r="F31" s="3" t="n">
        <v>16</v>
      </c>
      <c r="G31" s="3" t="n">
        <v>16</v>
      </c>
      <c r="H31" s="3" t="n">
        <v>16</v>
      </c>
      <c r="I31" s="3" t="n">
        <v>16</v>
      </c>
      <c r="J31" s="3" t="n">
        <v>16</v>
      </c>
      <c r="K31" s="3" t="n">
        <v>16</v>
      </c>
      <c r="L31" s="3" t="n">
        <v>16</v>
      </c>
    </row>
    <row r="32" customFormat="false" ht="15" hidden="false" customHeight="false" outlineLevel="0" collapsed="false">
      <c r="A32" s="0" t="s">
        <v>104</v>
      </c>
      <c r="C32" s="3" t="n">
        <v>134.2</v>
      </c>
      <c r="D32" s="3" t="n">
        <v>15.4</v>
      </c>
      <c r="E32" s="3" t="n">
        <v>14.6</v>
      </c>
      <c r="F32" s="3" t="n">
        <v>3</v>
      </c>
      <c r="G32" s="3" t="n">
        <v>3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18</v>
      </c>
    </row>
    <row r="33" customFormat="false" ht="15" hidden="false" customHeight="false" outlineLevel="0" collapsed="false">
      <c r="A33" s="0" t="s">
        <v>105</v>
      </c>
      <c r="C33" s="3" t="n">
        <v>5</v>
      </c>
      <c r="D33" s="3" t="n">
        <v>11</v>
      </c>
      <c r="E33" s="3" t="n">
        <v>16</v>
      </c>
      <c r="F33" s="3" t="n">
        <v>14.5</v>
      </c>
      <c r="G33" s="3" t="n">
        <v>15</v>
      </c>
      <c r="H33" s="3" t="n">
        <v>15.5</v>
      </c>
      <c r="I33" s="3" t="n">
        <v>15.5</v>
      </c>
      <c r="J33" s="3" t="n">
        <v>15.5</v>
      </c>
      <c r="K33" s="3" t="n">
        <v>15.5</v>
      </c>
      <c r="L33" s="3" t="n">
        <v>15.5</v>
      </c>
    </row>
    <row r="34" customFormat="false" ht="15" hidden="false" customHeight="false" outlineLevel="0" collapsed="false">
      <c r="A34" s="0" t="s">
        <v>106</v>
      </c>
      <c r="B34" s="3" t="n">
        <v>8.5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15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62</v>
      </c>
      <c r="D41" s="3" t="n">
        <v>15</v>
      </c>
      <c r="E41" s="3" t="n">
        <v>12</v>
      </c>
      <c r="F41" s="3" t="n">
        <v>7</v>
      </c>
      <c r="G41" s="3" t="n">
        <v>6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100</v>
      </c>
      <c r="C42" s="3" t="n">
        <v>85.5</v>
      </c>
      <c r="D42" s="3" t="n">
        <v>86</v>
      </c>
      <c r="E42" s="3" t="n">
        <v>86</v>
      </c>
      <c r="F42" s="3" t="n">
        <v>86</v>
      </c>
      <c r="G42" s="3" t="n">
        <v>86</v>
      </c>
      <c r="H42" s="3" t="n">
        <v>86</v>
      </c>
      <c r="I42" s="3" t="n">
        <v>86</v>
      </c>
      <c r="J42" s="3" t="n">
        <v>86</v>
      </c>
      <c r="K42" s="3" t="n">
        <v>86</v>
      </c>
      <c r="L42" s="3" t="n">
        <v>86</v>
      </c>
    </row>
    <row r="43" customFormat="false" ht="15" hidden="false" customHeight="false" outlineLevel="0" collapsed="false">
      <c r="A43" s="0" t="s">
        <v>101</v>
      </c>
      <c r="C43" s="3" t="n">
        <v>0.9</v>
      </c>
      <c r="D43" s="3" t="n">
        <v>0.9</v>
      </c>
      <c r="E43" s="3" t="n">
        <v>0.9</v>
      </c>
      <c r="F43" s="3" t="n">
        <v>0.9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14.5</v>
      </c>
      <c r="D45" s="3" t="n">
        <v>14.5</v>
      </c>
      <c r="E45" s="3" t="n">
        <v>14</v>
      </c>
      <c r="F45" s="3" t="n">
        <v>14</v>
      </c>
      <c r="G45" s="3" t="n">
        <v>14</v>
      </c>
      <c r="H45" s="3" t="n">
        <v>14</v>
      </c>
      <c r="I45" s="3" t="n">
        <v>14</v>
      </c>
      <c r="J45" s="3" t="n">
        <v>14</v>
      </c>
      <c r="K45" s="3" t="n">
        <v>14</v>
      </c>
      <c r="L45" s="3" t="n">
        <v>14</v>
      </c>
    </row>
    <row r="46" customFormat="false" ht="15" hidden="false" customHeight="false" outlineLevel="0" collapsed="false">
      <c r="A46" s="0" t="s">
        <v>104</v>
      </c>
      <c r="C46" s="3" t="n">
        <v>130.7</v>
      </c>
      <c r="D46" s="3" t="n">
        <v>12.8</v>
      </c>
      <c r="E46" s="3" t="n">
        <v>11.4</v>
      </c>
      <c r="F46" s="3" t="n">
        <v>8</v>
      </c>
      <c r="G46" s="3" t="n">
        <v>8</v>
      </c>
      <c r="H46" s="3" t="n">
        <v>10</v>
      </c>
      <c r="I46" s="3" t="n">
        <v>10</v>
      </c>
      <c r="J46" s="3" t="n">
        <v>10</v>
      </c>
      <c r="K46" s="3" t="n">
        <v>10</v>
      </c>
      <c r="L46" s="3" t="n">
        <v>15</v>
      </c>
    </row>
    <row r="47" customFormat="false" ht="15" hidden="false" customHeight="false" outlineLevel="0" collapsed="false">
      <c r="A47" s="0" t="s">
        <v>105</v>
      </c>
      <c r="C47" s="3" t="n">
        <v>5</v>
      </c>
      <c r="D47" s="3" t="n">
        <v>10</v>
      </c>
      <c r="E47" s="3" t="n">
        <v>14</v>
      </c>
      <c r="F47" s="3" t="n">
        <v>14</v>
      </c>
      <c r="G47" s="3" t="n">
        <v>15</v>
      </c>
      <c r="H47" s="3" t="n">
        <v>15.5</v>
      </c>
      <c r="I47" s="3" t="n">
        <v>15.5</v>
      </c>
      <c r="J47" s="3" t="n">
        <v>15.5</v>
      </c>
      <c r="K47" s="3" t="n">
        <v>15.5</v>
      </c>
      <c r="L47" s="3" t="n">
        <v>15.5</v>
      </c>
    </row>
    <row r="48" customFormat="false" ht="15" hidden="false" customHeight="false" outlineLevel="0" collapsed="false">
      <c r="A48" s="0" t="s">
        <v>106</v>
      </c>
      <c r="B48" s="3" t="n">
        <v>8.5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15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53.4</v>
      </c>
      <c r="D5" s="4" t="n">
        <f aca="false">Assumptions!D13</f>
        <v>-12.5</v>
      </c>
      <c r="E5" s="4" t="n">
        <f aca="false">Assumptions!E13</f>
        <v>-11.6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2314.6</v>
      </c>
      <c r="C6" s="0" t="n">
        <f aca="false">B6*(1+C5/100)</f>
        <v>3550.5964</v>
      </c>
      <c r="D6" s="0" t="n">
        <f aca="false">C6*(1+D5/100)</f>
        <v>3106.77185</v>
      </c>
      <c r="E6" s="0" t="n">
        <f aca="false">D6*(1+E5/100)</f>
        <v>2746.3863154</v>
      </c>
      <c r="F6" s="0" t="n">
        <f aca="false">E6*(1+F5/100)</f>
        <v>2828.777904862</v>
      </c>
      <c r="G6" s="0" t="n">
        <f aca="false">F6*(1+G5/100)</f>
        <v>2913.64124200786</v>
      </c>
      <c r="H6" s="0" t="n">
        <f aca="false">G6*(1+H5/100)</f>
        <v>2942.77765442794</v>
      </c>
      <c r="I6" s="0" t="n">
        <f aca="false">H6*(1+I5/100)</f>
        <v>2972.20543097222</v>
      </c>
      <c r="J6" s="0" t="n">
        <f aca="false">I6*(1+J5/100)</f>
        <v>3001.92748528194</v>
      </c>
      <c r="K6" s="0" t="n">
        <f aca="false">J6*(1+K5/100)</f>
        <v>3031.94676013476</v>
      </c>
      <c r="L6" s="0" t="n">
        <f aca="false">K6*(1+L5/100)</f>
        <v>3062.26622773611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84</v>
      </c>
      <c r="D7" s="4" t="n">
        <f aca="false">Assumptions!D14</f>
        <v>82</v>
      </c>
      <c r="E7" s="4" t="n">
        <f aca="false">Assumptions!E14</f>
        <v>80</v>
      </c>
      <c r="F7" s="4" t="n">
        <f aca="false">Assumptions!F14</f>
        <v>79.5</v>
      </c>
      <c r="G7" s="4" t="n">
        <f aca="false">Assumptions!G14</f>
        <v>79.5</v>
      </c>
      <c r="H7" s="4" t="n">
        <f aca="false">Assumptions!H14</f>
        <v>79.5</v>
      </c>
      <c r="I7" s="4" t="n">
        <f aca="false">Assumptions!I14</f>
        <v>79.5</v>
      </c>
      <c r="J7" s="4" t="n">
        <f aca="false">Assumptions!J14</f>
        <v>79.5</v>
      </c>
      <c r="K7" s="4" t="n">
        <f aca="false">Assumptions!K14</f>
        <v>79.5</v>
      </c>
      <c r="L7" s="4" t="n">
        <f aca="false">Assumptions!L14</f>
        <v>79.5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2982.500976</v>
      </c>
      <c r="D8" s="0" t="n">
        <f aca="false">D6*D7/100</f>
        <v>2547.552917</v>
      </c>
      <c r="E8" s="0" t="n">
        <f aca="false">E6*E7/100</f>
        <v>2197.10905232</v>
      </c>
      <c r="F8" s="0" t="n">
        <f aca="false">F6*F7/100</f>
        <v>2248.87843436529</v>
      </c>
      <c r="G8" s="0" t="n">
        <f aca="false">G6*G7/100</f>
        <v>2316.34478739625</v>
      </c>
      <c r="H8" s="0" t="n">
        <f aca="false">H6*H7/100</f>
        <v>2339.50823527021</v>
      </c>
      <c r="I8" s="0" t="n">
        <f aca="false">I6*I7/100</f>
        <v>2362.90331762291</v>
      </c>
      <c r="J8" s="0" t="n">
        <f aca="false">J6*J7/100</f>
        <v>2386.53235079914</v>
      </c>
      <c r="K8" s="0" t="n">
        <f aca="false">K6*K7/100</f>
        <v>2410.39767430713</v>
      </c>
      <c r="L8" s="0" t="n">
        <f aca="false">L6*L7/100</f>
        <v>2434.50165105021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-42.6071568</v>
      </c>
      <c r="D10" s="0" t="n">
        <f aca="false">-D6*D9/100</f>
        <v>-37.2812622</v>
      </c>
      <c r="E10" s="0" t="n">
        <f aca="false">-E6*E9/100</f>
        <v>-32.9566357848</v>
      </c>
      <c r="F10" s="0" t="n">
        <f aca="false">-F6*F9/100</f>
        <v>-33.945334858344</v>
      </c>
      <c r="G10" s="0" t="n">
        <f aca="false">-G6*G9/100</f>
        <v>-34.9636949040943</v>
      </c>
      <c r="H10" s="0" t="n">
        <f aca="false">-H6*H9/100</f>
        <v>-35.3133318531353</v>
      </c>
      <c r="I10" s="0" t="n">
        <f aca="false">-I6*I9/100</f>
        <v>-35.6664651716666</v>
      </c>
      <c r="J10" s="0" t="n">
        <f aca="false">-J6*J9/100</f>
        <v>-36.0231298233833</v>
      </c>
      <c r="K10" s="0" t="n">
        <f aca="false">-K6*K9/100</f>
        <v>-36.3833611216171</v>
      </c>
      <c r="L10" s="0" t="n">
        <f aca="false">-L6*L9/100</f>
        <v>-36.7471947328333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2939.8938192</v>
      </c>
      <c r="D11" s="0" t="n">
        <f aca="false">D8+D10+D24</f>
        <v>2510.2716548</v>
      </c>
      <c r="E11" s="0" t="n">
        <f aca="false">E8+E10+E24</f>
        <v>2164.1524165352</v>
      </c>
      <c r="F11" s="0" t="n">
        <f aca="false">F8+F10+F24</f>
        <v>2214.93309950695</v>
      </c>
      <c r="G11" s="0" t="n">
        <f aca="false">G8+G10+G24</f>
        <v>2281.38109249215</v>
      </c>
      <c r="H11" s="0" t="n">
        <f aca="false">H8+H10+H24</f>
        <v>2304.19490341708</v>
      </c>
      <c r="I11" s="0" t="n">
        <f aca="false">I8+I10+I24</f>
        <v>2327.23685245125</v>
      </c>
      <c r="J11" s="0" t="n">
        <f aca="false">J8+J10+J24</f>
        <v>2350.50922097576</v>
      </c>
      <c r="K11" s="0" t="n">
        <f aca="false">K8+K10+K24</f>
        <v>2374.01431318552</v>
      </c>
      <c r="L11" s="0" t="n">
        <f aca="false">L8+L10+L24</f>
        <v>2397.75445631737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-550.342442</v>
      </c>
      <c r="D12" s="4" t="n">
        <f aca="false">-D6*Assumptions!D17/100</f>
        <v>-559.218933</v>
      </c>
      <c r="E12" s="4" t="n">
        <f aca="false">-E6*Assumptions!E17/100</f>
        <v>-549.27726308</v>
      </c>
      <c r="F12" s="4" t="n">
        <f aca="false">-F6*Assumptions!F17/100</f>
        <v>-565.7555809724</v>
      </c>
      <c r="G12" s="4" t="n">
        <f aca="false">-G6*Assumptions!G17/100</f>
        <v>-582.728248401572</v>
      </c>
      <c r="H12" s="4" t="n">
        <f aca="false">-H6*Assumptions!H17/100</f>
        <v>-588.555530885588</v>
      </c>
      <c r="I12" s="4" t="n">
        <f aca="false">-I6*Assumptions!I17/100</f>
        <v>-594.441086194444</v>
      </c>
      <c r="J12" s="4" t="n">
        <f aca="false">-J6*Assumptions!J17/100</f>
        <v>-600.385497056388</v>
      </c>
      <c r="K12" s="4" t="n">
        <f aca="false">-K6*Assumptions!K17/100</f>
        <v>-606.389352026952</v>
      </c>
      <c r="L12" s="4" t="n">
        <f aca="false">-L6*Assumptions!L17/100</f>
        <v>-612.453245547221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2389.5513772</v>
      </c>
      <c r="D13" s="0" t="n">
        <f aca="false">D11+D12</f>
        <v>1951.0527218</v>
      </c>
      <c r="E13" s="0" t="n">
        <f aca="false">E11+E12</f>
        <v>1614.8751534552</v>
      </c>
      <c r="F13" s="0" t="n">
        <f aca="false">F11+F12</f>
        <v>1649.17751853455</v>
      </c>
      <c r="G13" s="0" t="n">
        <f aca="false">G11+G12</f>
        <v>1698.65284409058</v>
      </c>
      <c r="H13" s="0" t="n">
        <f aca="false">H11+H12</f>
        <v>1715.63937253149</v>
      </c>
      <c r="I13" s="0" t="n">
        <f aca="false">I11+I12</f>
        <v>1732.7957662568</v>
      </c>
      <c r="J13" s="0" t="n">
        <f aca="false">J11+J12</f>
        <v>1750.12372391937</v>
      </c>
      <c r="K13" s="0" t="n">
        <f aca="false">K11+K12</f>
        <v>1767.62496115856</v>
      </c>
      <c r="L13" s="0" t="n">
        <f aca="false">L11+L12</f>
        <v>1785.30121077015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5</v>
      </c>
      <c r="D14" s="4" t="n">
        <f aca="false">Assumptions!D19</f>
        <v>13</v>
      </c>
      <c r="E14" s="4" t="n">
        <f aca="false">Assumptions!E19</f>
        <v>22</v>
      </c>
      <c r="F14" s="4" t="n">
        <f aca="false">Assumptions!F19</f>
        <v>15</v>
      </c>
      <c r="G14" s="4" t="n">
        <f aca="false">Assumptions!G19</f>
        <v>15.5</v>
      </c>
      <c r="H14" s="4" t="n">
        <f aca="false">Assumptions!H19</f>
        <v>15.5</v>
      </c>
      <c r="I14" s="4" t="n">
        <f aca="false">Assumptions!I19</f>
        <v>15.5</v>
      </c>
      <c r="J14" s="4" t="n">
        <f aca="false">Assumptions!J19</f>
        <v>15.5</v>
      </c>
      <c r="K14" s="4" t="n">
        <f aca="false">Assumptions!K19</f>
        <v>15.5</v>
      </c>
      <c r="L14" s="4" t="n">
        <f aca="false">Assumptions!L19</f>
        <v>15.5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2270.07380834</v>
      </c>
      <c r="D15" s="0" t="n">
        <f aca="false">D13-MAX(0,D13)*D14/100</f>
        <v>1697.415867966</v>
      </c>
      <c r="E15" s="0" t="n">
        <f aca="false">E13-MAX(0,E13)*E14/100</f>
        <v>1259.60261969506</v>
      </c>
      <c r="F15" s="0" t="n">
        <f aca="false">F13-MAX(0,F13)*F14/100</f>
        <v>1401.80089075436</v>
      </c>
      <c r="G15" s="0" t="n">
        <f aca="false">G13-MAX(0,G13)*G14/100</f>
        <v>1435.36165325654</v>
      </c>
      <c r="H15" s="0" t="n">
        <f aca="false">H13-MAX(0,H13)*H14/100</f>
        <v>1449.71526978911</v>
      </c>
      <c r="I15" s="0" t="n">
        <f aca="false">I13-MAX(0,I13)*I14/100</f>
        <v>1464.212422487</v>
      </c>
      <c r="J15" s="0" t="n">
        <f aca="false">J13-MAX(0,J13)*J14/100</f>
        <v>1478.85454671187</v>
      </c>
      <c r="K15" s="0" t="n">
        <f aca="false">K13-MAX(0,K13)*K14/100</f>
        <v>1493.64309217899</v>
      </c>
      <c r="L15" s="0" t="n">
        <f aca="false">L13-MAX(0,L13)*L14/100</f>
        <v>1508.57952310078</v>
      </c>
    </row>
    <row r="16" customFormat="false" ht="15" hidden="false" customHeight="false" outlineLevel="0" collapsed="false">
      <c r="A16" s="0" t="s">
        <v>121</v>
      </c>
      <c r="C16" s="0" t="n">
        <f aca="false">-C12</f>
        <v>550.342442</v>
      </c>
      <c r="D16" s="0" t="n">
        <f aca="false">-D12</f>
        <v>559.218933</v>
      </c>
      <c r="E16" s="0" t="n">
        <f aca="false">-E12</f>
        <v>549.27726308</v>
      </c>
      <c r="F16" s="0" t="n">
        <f aca="false">-F12</f>
        <v>565.7555809724</v>
      </c>
      <c r="G16" s="0" t="n">
        <f aca="false">-G12</f>
        <v>582.728248401572</v>
      </c>
      <c r="H16" s="0" t="n">
        <f aca="false">-H12</f>
        <v>588.555530885588</v>
      </c>
      <c r="I16" s="0" t="n">
        <f aca="false">-I12</f>
        <v>594.441086194444</v>
      </c>
      <c r="J16" s="0" t="n">
        <f aca="false">-J12</f>
        <v>600.385497056388</v>
      </c>
      <c r="K16" s="0" t="n">
        <f aca="false">-K12</f>
        <v>606.389352026952</v>
      </c>
      <c r="L16" s="0" t="n">
        <f aca="false">-L12</f>
        <v>612.453245547221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-4899.823032</v>
      </c>
      <c r="D17" s="4" t="n">
        <f aca="false">-D6*Assumptions!D18/100</f>
        <v>-553.0053893</v>
      </c>
      <c r="E17" s="4" t="n">
        <f aca="false">-E6*Assumptions!E18/100</f>
        <v>-552.0236493954</v>
      </c>
      <c r="F17" s="4" t="n">
        <f aca="false">-F6*Assumptions!F18/100</f>
        <v>-84.86333714586</v>
      </c>
      <c r="G17" s="4" t="n">
        <f aca="false">-G6*Assumptions!G18/100</f>
        <v>-87.4092372602358</v>
      </c>
      <c r="H17" s="4" t="n">
        <f aca="false">-H6*Assumptions!H18/100</f>
        <v>-235.422212354235</v>
      </c>
      <c r="I17" s="4" t="n">
        <f aca="false">-I6*Assumptions!I18/100</f>
        <v>-237.776434477777</v>
      </c>
      <c r="J17" s="4" t="n">
        <f aca="false">-J6*Assumptions!J18/100</f>
        <v>-240.154198822555</v>
      </c>
      <c r="K17" s="4" t="n">
        <f aca="false">-K6*Assumptions!K18/100</f>
        <v>-242.555740810781</v>
      </c>
      <c r="L17" s="4" t="n">
        <f aca="false">-L6*Assumptions!L18/100</f>
        <v>-612.453245547221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-2079.40678166</v>
      </c>
      <c r="D19" s="0" t="n">
        <f aca="false">D15+D16+D17+D18</f>
        <v>1703.629411666</v>
      </c>
      <c r="E19" s="0" t="n">
        <f aca="false">E15+E16+E17+E18</f>
        <v>1256.85623337966</v>
      </c>
      <c r="F19" s="0" t="n">
        <f aca="false">F15+F16+F17+F18</f>
        <v>1882.6931345809</v>
      </c>
      <c r="G19" s="0" t="n">
        <f aca="false">G15+G16+G17+G18</f>
        <v>1930.68066439788</v>
      </c>
      <c r="H19" s="0" t="n">
        <f aca="false">H15+H16+H17+H18</f>
        <v>1802.84858832046</v>
      </c>
      <c r="I19" s="0" t="n">
        <f aca="false">I15+I16+I17+I18</f>
        <v>1820.87707420366</v>
      </c>
      <c r="J19" s="0" t="n">
        <f aca="false">J15+J16+J17+J18</f>
        <v>1839.0858449457</v>
      </c>
      <c r="K19" s="0" t="n">
        <f aca="false">K15+K16+K17+K18</f>
        <v>1857.47670339516</v>
      </c>
      <c r="L19" s="0" t="n">
        <f aca="false">L15+L16+L17+L18</f>
        <v>1508.57952310078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-1916.50394623041</v>
      </c>
      <c r="D21" s="0" t="n">
        <f aca="false">D19*D20</f>
        <v>1447.15701048313</v>
      </c>
      <c r="E21" s="0" t="n">
        <f aca="false">E19*E20</f>
        <v>984.002923676076</v>
      </c>
      <c r="F21" s="0" t="n">
        <f aca="false">F19*F20</f>
        <v>1358.50295108141</v>
      </c>
      <c r="G21" s="0" t="n">
        <f aca="false">G19*G20</f>
        <v>1283.99033968929</v>
      </c>
      <c r="H21" s="0" t="n">
        <f aca="false">H19*H20</f>
        <v>1105.04719128529</v>
      </c>
      <c r="I21" s="0" t="n">
        <f aca="false">I19*I20</f>
        <v>1028.66144073562</v>
      </c>
      <c r="J21" s="0" t="n">
        <f aca="false">J19*J20</f>
        <v>957.55581119168</v>
      </c>
      <c r="K21" s="0" t="n">
        <f aca="false">K19*K20</f>
        <v>891.365317330504</v>
      </c>
      <c r="L21" s="0" t="n">
        <f aca="false">L19*L20</f>
        <v>667.222720490789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7807.00175973336</v>
      </c>
    </row>
    <row r="31" customFormat="false" ht="15" hidden="false" customHeight="false" outlineLevel="0" collapsed="false">
      <c r="A31" s="0" t="s">
        <v>130</v>
      </c>
      <c r="B31" s="0" t="n">
        <f aca="false">L19</f>
        <v>1508.57952310078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21874.4030849613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22628.6928465117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21874.4030849613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9674.72944711644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17481.7312068498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19045.8192068498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59.7070734628231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-0.697930418583309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238.749163561206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235.664849970865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61.1943222941868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11342.283081091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30.3351235070659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57.7</v>
      </c>
      <c r="D5" s="4" t="n">
        <f aca="false">Assumptions!D27</f>
        <v>-1.5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2314.6</v>
      </c>
      <c r="C6" s="0" t="n">
        <f aca="false">B6*(1+C5/100)</f>
        <v>3650.1242</v>
      </c>
      <c r="D6" s="0" t="n">
        <f aca="false">C6*(1+D5/100)</f>
        <v>3595.372337</v>
      </c>
      <c r="E6" s="0" t="n">
        <f aca="false">D6*(1+E5/100)</f>
        <v>3793.117815535</v>
      </c>
      <c r="F6" s="0" t="n">
        <f aca="false">E6*(1+F5/100)</f>
        <v>3982.77370631175</v>
      </c>
      <c r="G6" s="0" t="n">
        <f aca="false">F6*(1+G5/100)</f>
        <v>4181.91239162734</v>
      </c>
      <c r="H6" s="0" t="n">
        <f aca="false">G6*(1+H5/100)</f>
        <v>4244.64107750175</v>
      </c>
      <c r="I6" s="0" t="n">
        <f aca="false">H6*(1+I5/100)</f>
        <v>4308.31069366427</v>
      </c>
      <c r="J6" s="0" t="n">
        <f aca="false">I6*(1+J5/100)</f>
        <v>4372.93535406924</v>
      </c>
      <c r="K6" s="0" t="n">
        <f aca="false">J6*(1+K5/100)</f>
        <v>4438.52938438028</v>
      </c>
      <c r="L6" s="0" t="n">
        <f aca="false">K6*(1+L5/100)</f>
        <v>4505.10732514598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84.5</v>
      </c>
      <c r="D7" s="4" t="n">
        <f aca="false">Assumptions!D28</f>
        <v>84</v>
      </c>
      <c r="E7" s="4" t="n">
        <f aca="false">Assumptions!E28</f>
        <v>84</v>
      </c>
      <c r="F7" s="4" t="n">
        <f aca="false">Assumptions!F28</f>
        <v>84</v>
      </c>
      <c r="G7" s="4" t="n">
        <f aca="false">Assumptions!G28</f>
        <v>84</v>
      </c>
      <c r="H7" s="4" t="n">
        <f aca="false">Assumptions!H28</f>
        <v>83.5</v>
      </c>
      <c r="I7" s="4" t="n">
        <f aca="false">Assumptions!I28</f>
        <v>83.5</v>
      </c>
      <c r="J7" s="4" t="n">
        <f aca="false">Assumptions!J28</f>
        <v>83.5</v>
      </c>
      <c r="K7" s="4" t="n">
        <f aca="false">Assumptions!K28</f>
        <v>83.5</v>
      </c>
      <c r="L7" s="4" t="n">
        <f aca="false">Assumptions!L28</f>
        <v>83.5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3084.354949</v>
      </c>
      <c r="D8" s="0" t="n">
        <f aca="false">D6*D7/100</f>
        <v>3020.11276308</v>
      </c>
      <c r="E8" s="0" t="n">
        <f aca="false">E6*E7/100</f>
        <v>3186.2189650494</v>
      </c>
      <c r="F8" s="0" t="n">
        <f aca="false">F6*F7/100</f>
        <v>3345.52991330187</v>
      </c>
      <c r="G8" s="0" t="n">
        <f aca="false">G6*G7/100</f>
        <v>3512.80640896696</v>
      </c>
      <c r="H8" s="0" t="n">
        <f aca="false">H6*H7/100</f>
        <v>3544.27529971396</v>
      </c>
      <c r="I8" s="0" t="n">
        <f aca="false">I6*I7/100</f>
        <v>3597.43942920967</v>
      </c>
      <c r="J8" s="0" t="n">
        <f aca="false">J6*J7/100</f>
        <v>3651.40102064781</v>
      </c>
      <c r="K8" s="0" t="n">
        <f aca="false">K6*K7/100</f>
        <v>3706.17203595753</v>
      </c>
      <c r="L8" s="0" t="n">
        <f aca="false">L6*L7/100</f>
        <v>3761.76461649689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1</v>
      </c>
      <c r="D9" s="4" t="n">
        <f aca="false">Assumptions!D29</f>
        <v>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-36.501242</v>
      </c>
      <c r="D10" s="0" t="n">
        <f aca="false">-D6*D9/100</f>
        <v>-35.95372337</v>
      </c>
      <c r="E10" s="0" t="n">
        <f aca="false">-E6*E9/100</f>
        <v>-37.93117815535</v>
      </c>
      <c r="F10" s="0" t="n">
        <f aca="false">-F6*F9/100</f>
        <v>-39.8277370631175</v>
      </c>
      <c r="G10" s="0" t="n">
        <f aca="false">-G6*G9/100</f>
        <v>-41.8191239162734</v>
      </c>
      <c r="H10" s="0" t="n">
        <f aca="false">-H6*H9/100</f>
        <v>-42.4464107750175</v>
      </c>
      <c r="I10" s="0" t="n">
        <f aca="false">-I6*I9/100</f>
        <v>-43.0831069366427</v>
      </c>
      <c r="J10" s="0" t="n">
        <f aca="false">-J6*J9/100</f>
        <v>-43.7293535406924</v>
      </c>
      <c r="K10" s="0" t="n">
        <f aca="false">-K6*K9/100</f>
        <v>-44.3852938438028</v>
      </c>
      <c r="L10" s="0" t="n">
        <f aca="false">-L6*L9/100</f>
        <v>-45.0510732514598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3047.853707</v>
      </c>
      <c r="D11" s="0" t="n">
        <f aca="false">D8+D10+D24</f>
        <v>2984.15903971</v>
      </c>
      <c r="E11" s="0" t="n">
        <f aca="false">E8+E10+E24</f>
        <v>3148.28778689405</v>
      </c>
      <c r="F11" s="0" t="n">
        <f aca="false">F8+F10+F24</f>
        <v>3305.70217623875</v>
      </c>
      <c r="G11" s="0" t="n">
        <f aca="false">G8+G10+G24</f>
        <v>3470.98728505069</v>
      </c>
      <c r="H11" s="0" t="n">
        <f aca="false">H8+H10+H24</f>
        <v>3501.82888893894</v>
      </c>
      <c r="I11" s="0" t="n">
        <f aca="false">I8+I10+I24</f>
        <v>3554.35632227303</v>
      </c>
      <c r="J11" s="0" t="n">
        <f aca="false">J8+J10+J24</f>
        <v>3607.67166710712</v>
      </c>
      <c r="K11" s="0" t="n">
        <f aca="false">K8+K10+K24</f>
        <v>3661.78674211373</v>
      </c>
      <c r="L11" s="0" t="n">
        <f aca="false">L8+L10+L24</f>
        <v>3716.71354324543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-547.51863</v>
      </c>
      <c r="D12" s="4" t="n">
        <f aca="false">-D6*Assumptions!D31/100</f>
        <v>-575.25957392</v>
      </c>
      <c r="E12" s="4" t="n">
        <f aca="false">-E6*Assumptions!E31/100</f>
        <v>-606.8988504856</v>
      </c>
      <c r="F12" s="4" t="n">
        <f aca="false">-F6*Assumptions!F31/100</f>
        <v>-637.24379300988</v>
      </c>
      <c r="G12" s="4" t="n">
        <f aca="false">-G6*Assumptions!G31/100</f>
        <v>-669.105982660374</v>
      </c>
      <c r="H12" s="4" t="n">
        <f aca="false">-H6*Assumptions!H31/100</f>
        <v>-679.14257240028</v>
      </c>
      <c r="I12" s="4" t="n">
        <f aca="false">-I6*Assumptions!I31/100</f>
        <v>-689.329710986284</v>
      </c>
      <c r="J12" s="4" t="n">
        <f aca="false">-J6*Assumptions!J31/100</f>
        <v>-699.669656651078</v>
      </c>
      <c r="K12" s="4" t="n">
        <f aca="false">-K6*Assumptions!K31/100</f>
        <v>-710.164701500844</v>
      </c>
      <c r="L12" s="4" t="n">
        <f aca="false">-L6*Assumptions!L31/100</f>
        <v>-720.817172023357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2500.335077</v>
      </c>
      <c r="D13" s="0" t="n">
        <f aca="false">D11+D12</f>
        <v>2408.89946579</v>
      </c>
      <c r="E13" s="0" t="n">
        <f aca="false">E11+E12</f>
        <v>2541.38893640845</v>
      </c>
      <c r="F13" s="0" t="n">
        <f aca="false">F11+F12</f>
        <v>2668.45838322887</v>
      </c>
      <c r="G13" s="0" t="n">
        <f aca="false">G11+G12</f>
        <v>2801.88130239032</v>
      </c>
      <c r="H13" s="0" t="n">
        <f aca="false">H11+H12</f>
        <v>2822.68631653866</v>
      </c>
      <c r="I13" s="0" t="n">
        <f aca="false">I11+I12</f>
        <v>2865.02661128674</v>
      </c>
      <c r="J13" s="0" t="n">
        <f aca="false">J11+J12</f>
        <v>2908.00201045604</v>
      </c>
      <c r="K13" s="0" t="n">
        <f aca="false">K11+K12</f>
        <v>2951.62204061288</v>
      </c>
      <c r="L13" s="0" t="n">
        <f aca="false">L11+L12</f>
        <v>2995.89637122208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5</v>
      </c>
      <c r="D14" s="4" t="n">
        <f aca="false">Assumptions!D33</f>
        <v>11</v>
      </c>
      <c r="E14" s="4" t="n">
        <f aca="false">Assumptions!E33</f>
        <v>16</v>
      </c>
      <c r="F14" s="4" t="n">
        <f aca="false">Assumptions!F33</f>
        <v>14.5</v>
      </c>
      <c r="G14" s="4" t="n">
        <f aca="false">Assumptions!G33</f>
        <v>15</v>
      </c>
      <c r="H14" s="4" t="n">
        <f aca="false">Assumptions!H33</f>
        <v>15.5</v>
      </c>
      <c r="I14" s="4" t="n">
        <f aca="false">Assumptions!I33</f>
        <v>15.5</v>
      </c>
      <c r="J14" s="4" t="n">
        <f aca="false">Assumptions!J33</f>
        <v>15.5</v>
      </c>
      <c r="K14" s="4" t="n">
        <f aca="false">Assumptions!K33</f>
        <v>15.5</v>
      </c>
      <c r="L14" s="4" t="n">
        <f aca="false">Assumptions!L33</f>
        <v>15.5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2375.31832315</v>
      </c>
      <c r="D15" s="0" t="n">
        <f aca="false">D13-MAX(0,D13)*D14/100</f>
        <v>2143.9205245531</v>
      </c>
      <c r="E15" s="0" t="n">
        <f aca="false">E13-MAX(0,E13)*E14/100</f>
        <v>2134.7667065831</v>
      </c>
      <c r="F15" s="0" t="n">
        <f aca="false">F13-MAX(0,F13)*F14/100</f>
        <v>2281.53191766069</v>
      </c>
      <c r="G15" s="0" t="n">
        <f aca="false">G13-MAX(0,G13)*G14/100</f>
        <v>2381.59910703177</v>
      </c>
      <c r="H15" s="0" t="n">
        <f aca="false">H13-MAX(0,H13)*H14/100</f>
        <v>2385.16993747517</v>
      </c>
      <c r="I15" s="0" t="n">
        <f aca="false">I13-MAX(0,I13)*I14/100</f>
        <v>2420.9474865373</v>
      </c>
      <c r="J15" s="0" t="n">
        <f aca="false">J13-MAX(0,J13)*J14/100</f>
        <v>2457.26169883536</v>
      </c>
      <c r="K15" s="0" t="n">
        <f aca="false">K13-MAX(0,K13)*K14/100</f>
        <v>2494.12062431789</v>
      </c>
      <c r="L15" s="0" t="n">
        <f aca="false">L13-MAX(0,L13)*L14/100</f>
        <v>2531.53243368265</v>
      </c>
    </row>
    <row r="16" customFormat="false" ht="15" hidden="false" customHeight="false" outlineLevel="0" collapsed="false">
      <c r="A16" s="0" t="s">
        <v>121</v>
      </c>
      <c r="C16" s="0" t="n">
        <f aca="false">-C12</f>
        <v>547.51863</v>
      </c>
      <c r="D16" s="0" t="n">
        <f aca="false">-D12</f>
        <v>575.25957392</v>
      </c>
      <c r="E16" s="0" t="n">
        <f aca="false">-E12</f>
        <v>606.8988504856</v>
      </c>
      <c r="F16" s="0" t="n">
        <f aca="false">-F12</f>
        <v>637.24379300988</v>
      </c>
      <c r="G16" s="0" t="n">
        <f aca="false">-G12</f>
        <v>669.105982660374</v>
      </c>
      <c r="H16" s="0" t="n">
        <f aca="false">-H12</f>
        <v>679.14257240028</v>
      </c>
      <c r="I16" s="0" t="n">
        <f aca="false">-I12</f>
        <v>689.329710986284</v>
      </c>
      <c r="J16" s="0" t="n">
        <f aca="false">-J12</f>
        <v>699.669656651078</v>
      </c>
      <c r="K16" s="0" t="n">
        <f aca="false">-K12</f>
        <v>710.164701500844</v>
      </c>
      <c r="L16" s="0" t="n">
        <f aca="false">-L12</f>
        <v>720.817172023357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-4898.4666764</v>
      </c>
      <c r="D17" s="4" t="n">
        <f aca="false">-D6*Assumptions!D32/100</f>
        <v>-553.687339898</v>
      </c>
      <c r="E17" s="4" t="n">
        <f aca="false">-E6*Assumptions!E32/100</f>
        <v>-553.79520106811</v>
      </c>
      <c r="F17" s="4" t="n">
        <f aca="false">-F6*Assumptions!F32/100</f>
        <v>-119.483211189353</v>
      </c>
      <c r="G17" s="4" t="n">
        <f aca="false">-G6*Assumptions!G32/100</f>
        <v>-125.45737174882</v>
      </c>
      <c r="H17" s="4" t="n">
        <f aca="false">-H6*Assumptions!H32/100</f>
        <v>-339.57128620014</v>
      </c>
      <c r="I17" s="4" t="n">
        <f aca="false">-I6*Assumptions!I32/100</f>
        <v>-344.664855493142</v>
      </c>
      <c r="J17" s="4" t="n">
        <f aca="false">-J6*Assumptions!J32/100</f>
        <v>-349.834828325539</v>
      </c>
      <c r="K17" s="4" t="n">
        <f aca="false">-K6*Assumptions!K32/100</f>
        <v>-355.082350750422</v>
      </c>
      <c r="L17" s="4" t="n">
        <f aca="false">-L6*Assumptions!L32/100</f>
        <v>-810.919318526276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-1975.62972325</v>
      </c>
      <c r="D19" s="0" t="n">
        <f aca="false">D15+D16+D17+D18</f>
        <v>2165.4927585751</v>
      </c>
      <c r="E19" s="0" t="n">
        <f aca="false">E15+E16+E17+E18</f>
        <v>2187.87035600059</v>
      </c>
      <c r="F19" s="0" t="n">
        <f aca="false">F15+F16+F17+F18</f>
        <v>2799.29249948121</v>
      </c>
      <c r="G19" s="0" t="n">
        <f aca="false">G15+G16+G17+G18</f>
        <v>2925.24771794332</v>
      </c>
      <c r="H19" s="0" t="n">
        <f aca="false">H15+H16+H17+H18</f>
        <v>2724.74122367531</v>
      </c>
      <c r="I19" s="0" t="n">
        <f aca="false">I15+I16+I17+I18</f>
        <v>2765.61234203044</v>
      </c>
      <c r="J19" s="0" t="n">
        <f aca="false">J15+J16+J17+J18</f>
        <v>2807.09652716089</v>
      </c>
      <c r="K19" s="0" t="n">
        <f aca="false">K15+K16+K17+K18</f>
        <v>2849.20297506831</v>
      </c>
      <c r="L19" s="0" t="n">
        <f aca="false">L15+L16+L17+L18</f>
        <v>2441.43028717973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-1820.85688778802</v>
      </c>
      <c r="D21" s="0" t="n">
        <f aca="false">D19*D20</f>
        <v>1839.48927229298</v>
      </c>
      <c r="E21" s="0" t="n">
        <f aca="false">E19*E20</f>
        <v>1712.90142002938</v>
      </c>
      <c r="F21" s="0" t="n">
        <f aca="false">F19*F20</f>
        <v>2019.89748176981</v>
      </c>
      <c r="G21" s="0" t="n">
        <f aca="false">G19*G20</f>
        <v>1945.42260680315</v>
      </c>
      <c r="H21" s="0" t="n">
        <f aca="false">H19*H20</f>
        <v>1670.11675617567</v>
      </c>
      <c r="I21" s="0" t="n">
        <f aca="false">I19*I20</f>
        <v>1562.3672880353</v>
      </c>
      <c r="J21" s="0" t="n">
        <f aca="false">J19*J20</f>
        <v>1461.56939848464</v>
      </c>
      <c r="K21" s="0" t="n">
        <f aca="false">K19*K20</f>
        <v>1367.2745985824</v>
      </c>
      <c r="L21" s="0" t="n">
        <f aca="false">L19*L20</f>
        <v>1079.80900784894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12837.9909422342</v>
      </c>
    </row>
    <row r="31" customFormat="false" ht="15" hidden="false" customHeight="false" outlineLevel="0" collapsed="false">
      <c r="A31" s="0" t="s">
        <v>130</v>
      </c>
      <c r="B31" s="0" t="n">
        <f aca="false">L19</f>
        <v>2441.43028717973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38311.6752757435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36621.454307696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36621.454307696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16197.135117734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29035.1260599683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30599.2140599683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95.9260141000446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-0.51469182383869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264.779365350938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312.676019746109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97.7362891386259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19155.8376378718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47.8412251620662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62</v>
      </c>
      <c r="D5" s="4" t="n">
        <f aca="false">Assumptions!D41</f>
        <v>15</v>
      </c>
      <c r="E5" s="4" t="n">
        <f aca="false">Assumptions!E41</f>
        <v>12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2314.6</v>
      </c>
      <c r="C6" s="0" t="n">
        <f aca="false">B6*(1+C5/100)</f>
        <v>3749.652</v>
      </c>
      <c r="D6" s="0" t="n">
        <f aca="false">C6*(1+D5/100)</f>
        <v>4312.0998</v>
      </c>
      <c r="E6" s="0" t="n">
        <f aca="false">D6*(1+E5/100)</f>
        <v>4829.551776</v>
      </c>
      <c r="F6" s="0" t="n">
        <f aca="false">E6*(1+F5/100)</f>
        <v>5167.62040032</v>
      </c>
      <c r="G6" s="0" t="n">
        <f aca="false">F6*(1+G5/100)</f>
        <v>5477.6776243392</v>
      </c>
      <c r="H6" s="0" t="n">
        <f aca="false">G6*(1+H5/100)</f>
        <v>5642.00795306938</v>
      </c>
      <c r="I6" s="0" t="n">
        <f aca="false">H6*(1+I5/100)</f>
        <v>5811.26819166146</v>
      </c>
      <c r="J6" s="0" t="n">
        <f aca="false">I6*(1+J5/100)</f>
        <v>5985.6062374113</v>
      </c>
      <c r="K6" s="0" t="n">
        <f aca="false">J6*(1+K5/100)</f>
        <v>6165.17442453364</v>
      </c>
      <c r="L6" s="0" t="n">
        <f aca="false">K6*(1+L5/100)</f>
        <v>6350.12965726965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85.5</v>
      </c>
      <c r="D7" s="4" t="n">
        <f aca="false">Assumptions!D42</f>
        <v>86</v>
      </c>
      <c r="E7" s="4" t="n">
        <f aca="false">Assumptions!E42</f>
        <v>86</v>
      </c>
      <c r="F7" s="4" t="n">
        <f aca="false">Assumptions!F42</f>
        <v>86</v>
      </c>
      <c r="G7" s="4" t="n">
        <f aca="false">Assumptions!G42</f>
        <v>86</v>
      </c>
      <c r="H7" s="4" t="n">
        <f aca="false">Assumptions!H42</f>
        <v>86</v>
      </c>
      <c r="I7" s="4" t="n">
        <f aca="false">Assumptions!I42</f>
        <v>86</v>
      </c>
      <c r="J7" s="4" t="n">
        <f aca="false">Assumptions!J42</f>
        <v>86</v>
      </c>
      <c r="K7" s="4" t="n">
        <f aca="false">Assumptions!K42</f>
        <v>86</v>
      </c>
      <c r="L7" s="4" t="n">
        <f aca="false">Assumptions!L42</f>
        <v>86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3205.95246</v>
      </c>
      <c r="D8" s="0" t="n">
        <f aca="false">D6*D7/100</f>
        <v>3708.405828</v>
      </c>
      <c r="E8" s="0" t="n">
        <f aca="false">E6*E7/100</f>
        <v>4153.41452736</v>
      </c>
      <c r="F8" s="0" t="n">
        <f aca="false">F6*F7/100</f>
        <v>4444.1535442752</v>
      </c>
      <c r="G8" s="0" t="n">
        <f aca="false">G6*G7/100</f>
        <v>4710.80275693171</v>
      </c>
      <c r="H8" s="0" t="n">
        <f aca="false">H6*H7/100</f>
        <v>4852.12683963966</v>
      </c>
      <c r="I8" s="0" t="n">
        <f aca="false">I6*I7/100</f>
        <v>4997.69064482886</v>
      </c>
      <c r="J8" s="0" t="n">
        <f aca="false">J6*J7/100</f>
        <v>5147.62136417372</v>
      </c>
      <c r="K8" s="0" t="n">
        <f aca="false">K6*K7/100</f>
        <v>5302.05000509893</v>
      </c>
      <c r="L8" s="0" t="n">
        <f aca="false">L6*L7/100</f>
        <v>5461.1115052519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-33.746868</v>
      </c>
      <c r="D10" s="0" t="n">
        <f aca="false">-D6*D9/100</f>
        <v>-38.8088982</v>
      </c>
      <c r="E10" s="0" t="n">
        <f aca="false">-E6*E9/100</f>
        <v>-43.465965984</v>
      </c>
      <c r="F10" s="0" t="n">
        <f aca="false">-F6*F9/100</f>
        <v>-46.50858360288</v>
      </c>
      <c r="G10" s="0" t="n">
        <f aca="false">-G6*G9/100</f>
        <v>-49.2990986190528</v>
      </c>
      <c r="H10" s="0" t="n">
        <f aca="false">-H6*H9/100</f>
        <v>-50.7780715776244</v>
      </c>
      <c r="I10" s="0" t="n">
        <f aca="false">-I6*I9/100</f>
        <v>-52.3014137249531</v>
      </c>
      <c r="J10" s="0" t="n">
        <f aca="false">-J6*J9/100</f>
        <v>-53.8704561367017</v>
      </c>
      <c r="K10" s="0" t="n">
        <f aca="false">-K6*K9/100</f>
        <v>-55.4865698208028</v>
      </c>
      <c r="L10" s="0" t="n">
        <f aca="false">-L6*L9/100</f>
        <v>-57.1511669154269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3172.205592</v>
      </c>
      <c r="D11" s="0" t="n">
        <f aca="false">D8+D10+D24</f>
        <v>3669.5969298</v>
      </c>
      <c r="E11" s="0" t="n">
        <f aca="false">E8+E10+E24</f>
        <v>4109.948561376</v>
      </c>
      <c r="F11" s="0" t="n">
        <f aca="false">F8+F10+F24</f>
        <v>4397.64496067232</v>
      </c>
      <c r="G11" s="0" t="n">
        <f aca="false">G8+G10+G24</f>
        <v>4661.50365831266</v>
      </c>
      <c r="H11" s="0" t="n">
        <f aca="false">H8+H10+H24</f>
        <v>4801.34876806204</v>
      </c>
      <c r="I11" s="0" t="n">
        <f aca="false">I8+I10+I24</f>
        <v>4945.3892311039</v>
      </c>
      <c r="J11" s="0" t="n">
        <f aca="false">J8+J10+J24</f>
        <v>5093.75090803702</v>
      </c>
      <c r="K11" s="0" t="n">
        <f aca="false">K8+K10+K24</f>
        <v>5246.56343527813</v>
      </c>
      <c r="L11" s="0" t="n">
        <f aca="false">L8+L10+L24</f>
        <v>5403.96033833648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-543.69954</v>
      </c>
      <c r="D12" s="4" t="n">
        <f aca="false">-D6*Assumptions!D45/100</f>
        <v>-625.254471</v>
      </c>
      <c r="E12" s="4" t="n">
        <f aca="false">-E6*Assumptions!E45/100</f>
        <v>-676.13724864</v>
      </c>
      <c r="F12" s="4" t="n">
        <f aca="false">-F6*Assumptions!F45/100</f>
        <v>-723.4668560448</v>
      </c>
      <c r="G12" s="4" t="n">
        <f aca="false">-G6*Assumptions!G45/100</f>
        <v>-766.874867407488</v>
      </c>
      <c r="H12" s="4" t="n">
        <f aca="false">-H6*Assumptions!H45/100</f>
        <v>-789.881113429713</v>
      </c>
      <c r="I12" s="4" t="n">
        <f aca="false">-I6*Assumptions!I45/100</f>
        <v>-813.577546832604</v>
      </c>
      <c r="J12" s="4" t="n">
        <f aca="false">-J6*Assumptions!J45/100</f>
        <v>-837.984873237583</v>
      </c>
      <c r="K12" s="4" t="n">
        <f aca="false">-K6*Assumptions!K45/100</f>
        <v>-863.12441943471</v>
      </c>
      <c r="L12" s="4" t="n">
        <f aca="false">-L6*Assumptions!L45/100</f>
        <v>-889.018152017751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2628.506052</v>
      </c>
      <c r="D13" s="0" t="n">
        <f aca="false">D11+D12</f>
        <v>3044.3424588</v>
      </c>
      <c r="E13" s="0" t="n">
        <f aca="false">E11+E12</f>
        <v>3433.811312736</v>
      </c>
      <c r="F13" s="0" t="n">
        <f aca="false">F11+F12</f>
        <v>3674.17810462752</v>
      </c>
      <c r="G13" s="0" t="n">
        <f aca="false">G11+G12</f>
        <v>3894.62879090517</v>
      </c>
      <c r="H13" s="0" t="n">
        <f aca="false">H11+H12</f>
        <v>4011.46765463233</v>
      </c>
      <c r="I13" s="0" t="n">
        <f aca="false">I11+I12</f>
        <v>4131.8116842713</v>
      </c>
      <c r="J13" s="0" t="n">
        <f aca="false">J11+J12</f>
        <v>4255.76603479944</v>
      </c>
      <c r="K13" s="0" t="n">
        <f aca="false">K11+K12</f>
        <v>4383.43901584342</v>
      </c>
      <c r="L13" s="0" t="n">
        <f aca="false">L11+L12</f>
        <v>4514.94218631872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5</v>
      </c>
      <c r="D14" s="4" t="n">
        <f aca="false">Assumptions!D47</f>
        <v>10</v>
      </c>
      <c r="E14" s="4" t="n">
        <f aca="false">Assumptions!E47</f>
        <v>14</v>
      </c>
      <c r="F14" s="4" t="n">
        <f aca="false">Assumptions!F47</f>
        <v>14</v>
      </c>
      <c r="G14" s="4" t="n">
        <f aca="false">Assumptions!G47</f>
        <v>15</v>
      </c>
      <c r="H14" s="4" t="n">
        <f aca="false">Assumptions!H47</f>
        <v>15.5</v>
      </c>
      <c r="I14" s="4" t="n">
        <f aca="false">Assumptions!I47</f>
        <v>15.5</v>
      </c>
      <c r="J14" s="4" t="n">
        <f aca="false">Assumptions!J47</f>
        <v>15.5</v>
      </c>
      <c r="K14" s="4" t="n">
        <f aca="false">Assumptions!K47</f>
        <v>15.5</v>
      </c>
      <c r="L14" s="4" t="n">
        <f aca="false">Assumptions!L47</f>
        <v>15.5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2497.0807494</v>
      </c>
      <c r="D15" s="0" t="n">
        <f aca="false">D13-MAX(0,D13)*D14/100</f>
        <v>2739.90821292</v>
      </c>
      <c r="E15" s="0" t="n">
        <f aca="false">E13-MAX(0,E13)*E14/100</f>
        <v>2953.07772895296</v>
      </c>
      <c r="F15" s="0" t="n">
        <f aca="false">F13-MAX(0,F13)*F14/100</f>
        <v>3159.79316997967</v>
      </c>
      <c r="G15" s="0" t="n">
        <f aca="false">G13-MAX(0,G13)*G14/100</f>
        <v>3310.4344722694</v>
      </c>
      <c r="H15" s="0" t="n">
        <f aca="false">H13-MAX(0,H13)*H14/100</f>
        <v>3389.69016816432</v>
      </c>
      <c r="I15" s="0" t="n">
        <f aca="false">I13-MAX(0,I13)*I14/100</f>
        <v>3491.38087320925</v>
      </c>
      <c r="J15" s="0" t="n">
        <f aca="false">J13-MAX(0,J13)*J14/100</f>
        <v>3596.12229940552</v>
      </c>
      <c r="K15" s="0" t="n">
        <f aca="false">K13-MAX(0,K13)*K14/100</f>
        <v>3704.00596838769</v>
      </c>
      <c r="L15" s="0" t="n">
        <f aca="false">L13-MAX(0,L13)*L14/100</f>
        <v>3815.12614743932</v>
      </c>
    </row>
    <row r="16" customFormat="false" ht="15" hidden="false" customHeight="false" outlineLevel="0" collapsed="false">
      <c r="A16" s="0" t="s">
        <v>121</v>
      </c>
      <c r="C16" s="0" t="n">
        <f aca="false">-C12</f>
        <v>543.69954</v>
      </c>
      <c r="D16" s="0" t="n">
        <f aca="false">-D12</f>
        <v>625.254471</v>
      </c>
      <c r="E16" s="0" t="n">
        <f aca="false">-E12</f>
        <v>676.13724864</v>
      </c>
      <c r="F16" s="0" t="n">
        <f aca="false">-F12</f>
        <v>723.4668560448</v>
      </c>
      <c r="G16" s="0" t="n">
        <f aca="false">-G12</f>
        <v>766.874867407488</v>
      </c>
      <c r="H16" s="0" t="n">
        <f aca="false">-H12</f>
        <v>789.881113429713</v>
      </c>
      <c r="I16" s="0" t="n">
        <f aca="false">-I12</f>
        <v>813.577546832604</v>
      </c>
      <c r="J16" s="0" t="n">
        <f aca="false">-J12</f>
        <v>837.984873237583</v>
      </c>
      <c r="K16" s="0" t="n">
        <f aca="false">-K12</f>
        <v>863.12441943471</v>
      </c>
      <c r="L16" s="0" t="n">
        <f aca="false">-L12</f>
        <v>889.018152017751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-4900.795164</v>
      </c>
      <c r="D17" s="4" t="n">
        <f aca="false">-D6*Assumptions!D46/100</f>
        <v>-551.9487744</v>
      </c>
      <c r="E17" s="4" t="n">
        <f aca="false">-E6*Assumptions!E46/100</f>
        <v>-550.568902464</v>
      </c>
      <c r="F17" s="4" t="n">
        <f aca="false">-F6*Assumptions!F46/100</f>
        <v>-413.4096320256</v>
      </c>
      <c r="G17" s="4" t="n">
        <f aca="false">-G6*Assumptions!G46/100</f>
        <v>-438.214209947136</v>
      </c>
      <c r="H17" s="4" t="n">
        <f aca="false">-H6*Assumptions!H46/100</f>
        <v>-564.200795306938</v>
      </c>
      <c r="I17" s="4" t="n">
        <f aca="false">-I6*Assumptions!I46/100</f>
        <v>-581.126819166146</v>
      </c>
      <c r="J17" s="4" t="n">
        <f aca="false">-J6*Assumptions!J46/100</f>
        <v>-598.56062374113</v>
      </c>
      <c r="K17" s="4" t="n">
        <f aca="false">-K6*Assumptions!K46/100</f>
        <v>-616.517442453364</v>
      </c>
      <c r="L17" s="4" t="n">
        <f aca="false">-L6*Assumptions!L46/100</f>
        <v>-952.519448590448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-1860.0148746</v>
      </c>
      <c r="D19" s="0" t="n">
        <f aca="false">D15+D16+D17+D18</f>
        <v>2813.21390952</v>
      </c>
      <c r="E19" s="0" t="n">
        <f aca="false">E15+E16+E17+E18</f>
        <v>3078.64607512896</v>
      </c>
      <c r="F19" s="0" t="n">
        <f aca="false">F15+F16+F17+F18</f>
        <v>3469.85039399887</v>
      </c>
      <c r="G19" s="0" t="n">
        <f aca="false">G15+G16+G17+G18</f>
        <v>3639.09512972975</v>
      </c>
      <c r="H19" s="0" t="n">
        <f aca="false">H15+H16+H17+H18</f>
        <v>3615.37048628709</v>
      </c>
      <c r="I19" s="0" t="n">
        <f aca="false">I15+I16+I17+I18</f>
        <v>3723.8316008757</v>
      </c>
      <c r="J19" s="0" t="n">
        <f aca="false">J15+J16+J17+J18</f>
        <v>3835.54654890198</v>
      </c>
      <c r="K19" s="0" t="n">
        <f aca="false">K15+K16+K17+K18</f>
        <v>3950.61294536904</v>
      </c>
      <c r="L19" s="0" t="n">
        <f aca="false">L15+L16+L17+L18</f>
        <v>3751.62485086663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-1714.29942359447</v>
      </c>
      <c r="D21" s="0" t="n">
        <f aca="false">D19*D20</f>
        <v>2389.69942833358</v>
      </c>
      <c r="E21" s="0" t="n">
        <f aca="false">E19*E20</f>
        <v>2410.29694442044</v>
      </c>
      <c r="F21" s="0" t="n">
        <f aca="false">F19*F20</f>
        <v>2503.75481456661</v>
      </c>
      <c r="G21" s="0" t="n">
        <f aca="false">G19*G20</f>
        <v>2420.16356093801</v>
      </c>
      <c r="H21" s="0" t="n">
        <f aca="false">H19*H20</f>
        <v>2216.02359022794</v>
      </c>
      <c r="I21" s="0" t="n">
        <f aca="false">I19*I20</f>
        <v>2103.69059717491</v>
      </c>
      <c r="J21" s="0" t="n">
        <f aca="false">J19*J20</f>
        <v>1997.0519033089</v>
      </c>
      <c r="K21" s="0" t="n">
        <f aca="false">K19*K20</f>
        <v>1895.81885751905</v>
      </c>
      <c r="L21" s="0" t="n">
        <f aca="false">L19*L20</f>
        <v>1659.28895422828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17881.4892271233</v>
      </c>
    </row>
    <row r="31" customFormat="false" ht="15" hidden="false" customHeight="false" outlineLevel="0" collapsed="false">
      <c r="A31" s="0" t="s">
        <v>130</v>
      </c>
      <c r="B31" s="0" t="n">
        <f aca="false">L19</f>
        <v>3751.62485086663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64090.2578689715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56274.3727629994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56274.3727629994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24889.3343134241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42770.8235405474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44334.9115405474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138.986293609634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-0.296841578419338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305.068244320513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431.817596141805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141.296369985575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30763.3237771063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68.2242234912815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59.7070734628231</v>
      </c>
      <c r="C4" s="0" t="n">
        <f aca="false">B4/Assumptions!$B$2-1</f>
        <v>-0.697930418583309</v>
      </c>
      <c r="D4" s="4" t="n">
        <f aca="false">Assumptions!$B$24</f>
        <v>0.25</v>
      </c>
      <c r="E4" s="4" t="n">
        <f aca="false">DCF_Bear!$B$43</f>
        <v>61.1943222941868</v>
      </c>
      <c r="F4" s="4" t="n">
        <f aca="false">DCF_Bear!$B$47</f>
        <v>30.3351235070659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95.9260141000446</v>
      </c>
      <c r="C5" s="0" t="n">
        <f aca="false">B5/Assumptions!$B$2-1</f>
        <v>-0.51469182383869</v>
      </c>
      <c r="D5" s="4" t="n">
        <f aca="false">Assumptions!$B$38</f>
        <v>0.5</v>
      </c>
      <c r="E5" s="4" t="n">
        <f aca="false">DCF_Base!$B$43</f>
        <v>97.7362891386259</v>
      </c>
      <c r="F5" s="4" t="n">
        <f aca="false">DCF_Base!$B$47</f>
        <v>47.8412251620662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138.986293609634</v>
      </c>
      <c r="C6" s="0" t="n">
        <f aca="false">B6/Assumptions!$B$2-1</f>
        <v>-0.296841578419338</v>
      </c>
      <c r="D6" s="4" t="n">
        <f aca="false">Assumptions!$B$52</f>
        <v>0.25</v>
      </c>
      <c r="E6" s="4" t="n">
        <f aca="false">DCF_Bull!$B$43</f>
        <v>141.296369985575</v>
      </c>
      <c r="F6" s="4" t="n">
        <f aca="false">DCF_Bull!$B$47</f>
        <v>68.2242234912815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97.6363488181365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99.4908176392534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-1.0244509590191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5393.65504789766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48.5604493306199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95.9260141000446</v>
      </c>
      <c r="C15" s="3" t="n">
        <v>8.5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91.1156753646278</v>
      </c>
      <c r="C16" s="3" t="n">
        <v>9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79.4622600577824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70.3691254652985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63.0723236774249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47.8412251620662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111.321014566444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111.321014566444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111.321014566444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111.321014566444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111.321014566444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103.266262900943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103.266262900943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103.266262900943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103.266262900943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103.266262900943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90.7355086621962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94.2334579790071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95.9260141000446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95.9260141000446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95.9260141000446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79.6005676859613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82.087159355122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84.9052965801709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88.1260248373695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89.2290139665472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70.7928820971502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72.6151567849414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74.6518167301197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76.9430591684452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79.5398005985476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2026-10-10T11:16:14Z</dcterms:created>
  <dc:creator>openpyxl</dc:creator>
  <dc:description/>
  <dc:language>en-NZ</dc:language>
  <cp:lastModifiedBy/>
  <dcterms:modified xsi:type="dcterms:W3CDTF">2026-10-10T11:16:14Z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