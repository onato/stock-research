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<sst xmlns="http://schemas.openxmlformats.org/spreadsheetml/2006/main" count="355" uniqueCount="165">
  <si>
    <t xml:space="preserve">Ticker</t>
  </si>
  <si>
    <t xml:space="preserve">3899.HK</t>
  </si>
  <si>
    <t xml:space="preserve">Company</t>
  </si>
  <si>
    <t xml:space="preserve">CIMC Enric Holdings Limited</t>
  </si>
  <si>
    <t xml:space="preserve">Valuation date</t>
  </si>
  <si>
    <t xml:space="preserve">2026-10-23</t>
  </si>
  <si>
    <t xml:space="preserve">Current price</t>
  </si>
  <si>
    <t xml:space="preserve">Price as of</t>
  </si>
  <si>
    <t xml:space="preserve">2026-10-22T08:08:34Z (HKEX regular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</si>
  <si>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</si>
  <si>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</si>
  <si>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</si>
  <si>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</si>
  <si>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</si>
  <si>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</si>
  <si>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</si>
  <si>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</si>
  <si>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</si>
  <si>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</si>
  <si>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</si>
  <si>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</si>
  <si>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</si>
  <si>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2026-10-22T14:59:03Z</t>
  </si>
  <si>
    <t xml:space="preserve">Drivers file</t>
  </si>
  <si>
    <t xml:space="preserve">3899.HK_Drivers.json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</si>
  <si>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</si>
  <si>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</si>
  <si>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</si>
  <si>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 low-margin, capex-heavy Chinese clean-energy equipment maker with a net-cash balance sheet. The value is deliberately built from a 6.6% underlying EBITDA margin after stripping the RMB206m/yr the cash pile earns (which the market-facing 'other operating income' line hides) and after charging leases, SBC and the NCI exactly once; the net cash is then added at face. Terminal value is capped at 14x year-10 owner FCF -- a cyclical industrial, not a compounder. Risk is charged in the flows and the 25/50/25 weights, not by inflating the 8.5% CNY WACC. The headline is in HKD at the dated CNY-&gt;HKD rate so it is comparable to the quote.
key_risks_to_valuation: Margin path: every 1pp of underlying EBITDA margin is roughly 15-20% of equity value at these conversion levels; the model assumes recovery to 7.3%, not to the 8% of FY2023-24; Capex normalisation: the FCF improvement rests on capex falling from 3.6% to 2.5% of revenue; a second shipyard or hydrogen capacity wave keeps it at 3.5% and removes most of the terminal FCF; Offshore order book cyclicality: RMB19.1bn backlog is scheduled through 2028; a newbuild-cycle rollover or Western restrictions on Chinese-built vessels hits FY2028-30 revenue directly; Working capital: shipbuilding and turnkey projects swing cash by RMB1-2bn/yr (FY2021 drain, FY2022 release, H1 FY2026 outflow); -5% capture is an average, not a forecast of any single year; Cash location: ~47% of the RMB7.6bn cash sits in partly-owned Safeway/CLPT; the book NCI deduction is a proxy for the minority's claim on it; FX: HKD value moves one-for-one with CNY/HKD; refresh_price.py updates the price but not fx_rate; Post-balance-date RMB1bn perpetual notes (equity-classified, 1.93%) are excluded; they rank ahead of common equity if ever treated as debt</t>
  </si>
  <si>
    <t xml:space="preserve">Data sources</t>
  </si>
  <si>
    <t xml:space="preserve">price: Yahoo Finance chart API at inputs.price_as_of (HKEX regular close); 52-week range HK$6.225-13.88. FX: Yahoo CNYHKD=X same date.
financials: 3899.HK_Metrics.csv (FY2018-FY2025 annual, H1 FY2023-FY2026 interims, RMB millions); FY2025 annual report (CF statement lines 7146-7245, note 8(a) other operating income line 9750, lease note 9811); H1 FY2026 interim report (balance sheet lines 380-454, EPS note 9 lines 1344-1370, events after balance date note 23, net cash statement line 2245, share count lines 3533-3534).
qualitative: 3899.HK_Analysis.json (2026-10-23): segment mix, backlog, H1 FY2026 developments, sell-side targets, bull/bear axes.</t>
  </si>
  <si>
    <t xml:space="preserve">Scenario narrative: bear</t>
  </si>
  <si>
    <t xml:space="preserve">The alternative-fuel newbuild supercycle rolls over, IMO delay and Western measures on Chinese-built vessels stall offshore orders, tank-container overcapacity persists and liquid food does not recover; the H1 FY2026 pattern of flat revenue, falling profit and operating cash outflow becomes the run-rate at a 6% underlying EBITDA margin. Net cash means this is a value-erosion path, not a solvency one.</t>
  </si>
  <si>
    <t xml:space="preserve">Scenario narrative: base</t>
  </si>
  <si>
    <t xml:space="preserve">Clean energy (78% of revenue) carries the group: the RMB19.1bn offshore vessel backlog delivers through 2028 and onshore LNG equipment rides record LNG-truck sales, while tank containers and liquid food stabilise rather than recover. Revenue compounds ~4.5%/yr over the decade; the underlying EBITDA margin recovers only to 7.3% from 6.6% as price competition in LNG equipment and tank containers offsets yard utilisation gains; capex intensity falls from 3.6% to 2.5% once the shipyard and hydrogen build-out is done, which is where most of the FCF improvement comes from. Hydrogen, ammonia and green methanol are kept as free options: nothing in the flows depends on them.</t>
  </si>
  <si>
    <t xml:space="preserve">Scenario narrative: bull</t>
  </si>
  <si>
    <t xml:space="preserve">Offshore LNG/bunkering vessel backlog converts at improving yard margins, the structural bunkering-fleet gap keeps order intake above RMB10bn/yr, liquid food recovers on the rebuilt order book, and the coke-oven-gas-to-hydrogen turnkey model replicates overseas; underlying EBITDA margin returns to the FY2023-24 8% level and contract-liability funding keeps working capital near neutral.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</si>
  <si>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</si>
  <si>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</si>
  <si>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</si>
  <si>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</si>
  <si>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</si>
  <si>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</si>
  <si>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</si>
  <si>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</si>
  <si>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</si>
  <si>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</si>
  <si>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</si>
  <si>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</si>
  <si>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</si>
  <si>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</si>
  <si>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</si>
  <si>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</si>
  <si>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</si>
  <si>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</si>
  <si>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</si>
  <si>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</si>
  <si>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</si>
  <si>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</si>
  <si>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</si>
  <si>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</si>
  <si>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</si>
  <si>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</si>
  <si>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</si>
  <si>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CashGeneratedFromOperations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</si>
  <si>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</si>
  <si>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</si>
  <si>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</si>
  <si>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</si>
  <si>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</si>
  <si>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</si>
  <si>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</si>
  <si>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</si>
  <si>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</si>
  <si>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</si>
  <si>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</si>
  <si>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</si>
  <si>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</si>
  <si>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</si>
  <si>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</si>
  <si>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</si>
  <si>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</si>
  <si>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</si>
  <si>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</si>
  <si>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</si>
  <si>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</si>
  <si>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</si>
  <si>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</si>
  <si>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</si>
  <si>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</si>
  <si>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</si>
  <si>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</si>
  <si>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</si>
  <si>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</si>
  <si>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</si>
  <si>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</si>
  <si>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</si>
  <si>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</si>
  <si>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</si>
  <si>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</si>
  <si>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</si>
  <si>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</si>
  <si>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</si>
  <si>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</si>
  <si>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</si>
  <si>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</si>
  <si>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</si>
  <si>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</si>
  <si>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</si>
  <si>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</si>
  <si>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3899.HK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</si>
  <si>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</si>
  <si>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</si>
  <si>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</si>
  <si>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</si>
  <si>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</si>
  <si>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</si>
  <si>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</si>
  <si>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</si>
  <si>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</si>
  <si>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</si>
  <si>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</si>
  <si>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</si>
  <si>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</si>
  <si>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</si>
  <si>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</si>
  <si>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</si>
  <si>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</si>
  <si>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</si>
  <si>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</si>
  <si>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</si>
  <si>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</si>
  <si>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</si>
  <si>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</si>
  <si>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</si>
  <si>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</si>
  <si>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</si>
  <si>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</si>
  <si>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</si>
  <si>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</si>
  <si>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</si>
  <si>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3899.HK owner-FCF component DCF: base case (millions, CNY)</t>
  </si>
  <si>
    <t xml:space="preserve">3899.HK owner-FCF component DCF: bull case (millions, CNY)</t>
  </si>
  <si>
    <t xml:space="preserve">3899.HK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</si>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</sst>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6.31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</row>
    <row r="2" customFormat="false" ht="15" hidden="false" customHeight="false" outlineLevel="0" collapsed="false">
      <c r="A2" s="0" t="s">
        <v>65</v>
      </c>
      <c r="B2" s="0" t="n">
        <v>13051.651</v>
      </c>
      <c r="C2" s="0" t="n">
        <v>10825.903</v>
      </c>
      <c r="D2" s="0" t="n">
        <v>2225.748</v>
      </c>
      <c r="E2" s="0" t="n">
        <v>17.1</v>
      </c>
      <c r="F2" s="0" t="n">
        <v>1098.087</v>
      </c>
      <c r="G2" s="0" t="n">
        <v>8.4</v>
      </c>
      <c r="H2" s="0" t="n">
        <v>1367.559</v>
      </c>
      <c r="I2" s="0" t="n">
        <v>785.502</v>
      </c>
      <c r="J2" s="0" t="n">
        <v>6</v>
      </c>
      <c r="K2" s="0" t="n">
        <v>0.398</v>
      </c>
      <c r="L2" s="0" t="n">
        <v>1589.896</v>
      </c>
      <c r="M2" s="0" t="n">
        <v>295.857</v>
      </c>
      <c r="N2" s="0" t="n">
        <v>1294.039</v>
      </c>
      <c r="O2" s="0" t="n">
        <v>6367.707</v>
      </c>
      <c r="P2" s="0" t="n">
        <v>15853.354</v>
      </c>
      <c r="Q2" s="0" t="n">
        <v>9307.56</v>
      </c>
      <c r="R2" s="0" t="n">
        <v>1230.505</v>
      </c>
      <c r="S2" s="0" t="n">
        <v>2930.271</v>
      </c>
      <c r="T2" s="0" t="n">
        <v>1971.2339</v>
      </c>
      <c r="U2" s="0" t="n">
        <v>29.96</v>
      </c>
      <c r="AA2" s="0" t="s">
        <v>18</v>
      </c>
      <c r="AB2" s="0" t="s">
        <v>14</v>
      </c>
      <c r="AC2" s="0" t="n">
        <v>1835.066</v>
      </c>
    </row>
    <row r="3" customFormat="false" ht="15" hidden="false" customHeight="false" outlineLevel="0" collapsed="false">
      <c r="A3" s="0" t="s">
        <v>66</v>
      </c>
      <c r="B3" s="0" t="n">
        <v>13743.019</v>
      </c>
      <c r="C3" s="0" t="n">
        <v>11391.725</v>
      </c>
      <c r="D3" s="0" t="n">
        <v>2351.294</v>
      </c>
      <c r="E3" s="0" t="n">
        <v>17.1</v>
      </c>
      <c r="F3" s="0" t="n">
        <v>1138.573</v>
      </c>
      <c r="G3" s="0" t="n">
        <v>8.3</v>
      </c>
      <c r="H3" s="0" t="n">
        <v>1439.908</v>
      </c>
      <c r="I3" s="0" t="n">
        <v>911.007</v>
      </c>
      <c r="J3" s="0" t="n">
        <v>6.6</v>
      </c>
      <c r="K3" s="0" t="n">
        <v>0.459</v>
      </c>
      <c r="L3" s="0" t="n">
        <v>861.545</v>
      </c>
      <c r="M3" s="0" t="n">
        <v>432.633</v>
      </c>
      <c r="N3" s="0" t="n">
        <v>428.912</v>
      </c>
      <c r="O3" s="0" t="n">
        <v>7136.108</v>
      </c>
      <c r="P3" s="0" t="n">
        <v>15900.033</v>
      </c>
      <c r="Q3" s="0" t="n">
        <v>8515.522</v>
      </c>
      <c r="R3" s="0" t="n">
        <v>1054.542</v>
      </c>
      <c r="S3" s="0" t="n">
        <v>2534.752</v>
      </c>
      <c r="T3" s="0" t="n">
        <v>1984.7647</v>
      </c>
      <c r="U3" s="0" t="n">
        <v>36.669</v>
      </c>
      <c r="AA3" s="0" t="s">
        <v>18</v>
      </c>
      <c r="AB3" s="0" t="s">
        <v>14</v>
      </c>
      <c r="AC3" s="0" t="n">
        <v>1007.568</v>
      </c>
    </row>
    <row r="4" customFormat="false" ht="15" hidden="false" customHeight="false" outlineLevel="0" collapsed="false">
      <c r="A4" s="0" t="s">
        <v>67</v>
      </c>
      <c r="B4" s="0" t="n">
        <v>12289.567</v>
      </c>
      <c r="C4" s="0" t="n">
        <v>10194.844</v>
      </c>
      <c r="D4" s="0" t="n">
        <v>2094.723</v>
      </c>
      <c r="E4" s="0" t="n">
        <v>17</v>
      </c>
      <c r="F4" s="0" t="n">
        <v>811.991</v>
      </c>
      <c r="G4" s="0" t="n">
        <v>6.6</v>
      </c>
      <c r="H4" s="0" t="n">
        <v>1170.912</v>
      </c>
      <c r="I4" s="0" t="n">
        <v>579.923</v>
      </c>
      <c r="J4" s="0" t="n">
        <v>4.7</v>
      </c>
      <c r="K4" s="0" t="n">
        <v>0.293</v>
      </c>
      <c r="L4" s="0" t="n">
        <v>960.082</v>
      </c>
      <c r="M4" s="0" t="n">
        <v>386.747</v>
      </c>
      <c r="N4" s="0" t="n">
        <v>573.335</v>
      </c>
      <c r="O4" s="0" t="n">
        <v>7280.076</v>
      </c>
      <c r="P4" s="0" t="n">
        <v>16074.72</v>
      </c>
      <c r="Q4" s="0" t="n">
        <v>8603.362</v>
      </c>
      <c r="R4" s="0" t="n">
        <v>1013.089</v>
      </c>
      <c r="S4" s="0" t="n">
        <v>2560.89</v>
      </c>
      <c r="T4" s="0" t="n">
        <v>1982.2817</v>
      </c>
      <c r="U4" s="0" t="n">
        <v>7.961</v>
      </c>
      <c r="AA4" s="0" t="s">
        <v>18</v>
      </c>
      <c r="AB4" s="0" t="s">
        <v>14</v>
      </c>
      <c r="AC4" s="0" t="n">
        <v>1110.444</v>
      </c>
    </row>
    <row r="5" customFormat="false" ht="15" hidden="false" customHeight="false" outlineLevel="0" collapsed="false">
      <c r="A5" s="0" t="s">
        <v>68</v>
      </c>
      <c r="B5" s="0" t="n">
        <v>18424.763</v>
      </c>
      <c r="C5" s="0" t="n">
        <v>15718.761</v>
      </c>
      <c r="D5" s="0" t="n">
        <v>2706.002</v>
      </c>
      <c r="E5" s="0" t="n">
        <v>14.7</v>
      </c>
      <c r="F5" s="0" t="n">
        <v>1212.559</v>
      </c>
      <c r="G5" s="0" t="n">
        <v>6.6</v>
      </c>
      <c r="H5" s="0" t="n">
        <v>1544.872</v>
      </c>
      <c r="I5" s="0" t="n">
        <v>883.581</v>
      </c>
      <c r="J5" s="0" t="n">
        <v>4.8</v>
      </c>
      <c r="K5" s="0" t="n">
        <v>0.428</v>
      </c>
      <c r="L5" s="0" t="n">
        <v>434.651</v>
      </c>
      <c r="M5" s="0" t="n">
        <v>696.992</v>
      </c>
      <c r="N5" s="0" t="n">
        <v>-262.341</v>
      </c>
      <c r="O5" s="0" t="n">
        <v>8243.416</v>
      </c>
      <c r="P5" s="0" t="n">
        <v>19024.673</v>
      </c>
      <c r="Q5" s="0" t="n">
        <v>10524.996</v>
      </c>
      <c r="R5" s="0" t="n">
        <v>1847.442</v>
      </c>
      <c r="S5" s="0" t="n">
        <v>3173.351</v>
      </c>
      <c r="T5" s="0" t="n">
        <v>1994.3866</v>
      </c>
      <c r="U5" s="0" t="n">
        <v>37.106</v>
      </c>
      <c r="AA5" s="0" t="s">
        <v>18</v>
      </c>
      <c r="AB5" s="0" t="s">
        <v>14</v>
      </c>
      <c r="AC5" s="0" t="n">
        <v>711.106</v>
      </c>
    </row>
    <row r="6" customFormat="false" ht="15" hidden="false" customHeight="false" outlineLevel="0" collapsed="false">
      <c r="A6" s="0" t="s">
        <v>69</v>
      </c>
      <c r="B6" s="0" t="n">
        <v>19601.761</v>
      </c>
      <c r="C6" s="0" t="n">
        <v>16200.321</v>
      </c>
      <c r="D6" s="0" t="n">
        <v>3401.44</v>
      </c>
      <c r="E6" s="0" t="n">
        <v>17.4</v>
      </c>
      <c r="F6" s="0" t="n">
        <v>1472.288</v>
      </c>
      <c r="G6" s="0" t="n">
        <v>7.5</v>
      </c>
      <c r="H6" s="0" t="n">
        <v>1858.946</v>
      </c>
      <c r="I6" s="0" t="n">
        <v>1055.062</v>
      </c>
      <c r="J6" s="0" t="n">
        <v>5.4</v>
      </c>
      <c r="K6" s="0" t="n">
        <v>0.468</v>
      </c>
      <c r="L6" s="0" t="n">
        <v>2561.009</v>
      </c>
      <c r="M6" s="0" t="n">
        <v>459.398</v>
      </c>
      <c r="N6" s="0" t="n">
        <v>2101.611</v>
      </c>
      <c r="O6" s="0" t="n">
        <v>9141.767</v>
      </c>
      <c r="P6" s="0" t="n">
        <v>22214.474</v>
      </c>
      <c r="Q6" s="0" t="n">
        <v>12686.967</v>
      </c>
      <c r="R6" s="0" t="n">
        <v>2000.87</v>
      </c>
      <c r="S6" s="0" t="n">
        <v>5223.453</v>
      </c>
      <c r="T6" s="0" t="n">
        <v>2145.2344</v>
      </c>
      <c r="U6" s="0" t="n">
        <v>105.309</v>
      </c>
      <c r="AA6" s="0" t="s">
        <v>18</v>
      </c>
      <c r="AB6" s="0" t="s">
        <v>14</v>
      </c>
      <c r="AC6" s="0" t="n">
        <v>2950.328</v>
      </c>
    </row>
    <row r="7" customFormat="false" ht="15" hidden="false" customHeight="false" outlineLevel="0" collapsed="false">
      <c r="A7" s="0" t="s">
        <v>70</v>
      </c>
      <c r="B7" s="0" t="n">
        <v>23626.279</v>
      </c>
      <c r="C7" s="0" t="n">
        <v>19905.455</v>
      </c>
      <c r="D7" s="0" t="n">
        <v>3720.824</v>
      </c>
      <c r="E7" s="0" t="n">
        <v>15.7</v>
      </c>
      <c r="F7" s="0" t="n">
        <v>1524.827</v>
      </c>
      <c r="G7" s="0" t="n">
        <v>6.5</v>
      </c>
      <c r="H7" s="0" t="n">
        <v>1957.544</v>
      </c>
      <c r="I7" s="0" t="n">
        <v>1113.972</v>
      </c>
      <c r="J7" s="0" t="n">
        <v>4.7</v>
      </c>
      <c r="K7" s="0" t="n">
        <v>0.499</v>
      </c>
      <c r="L7" s="0" t="n">
        <v>1780.476</v>
      </c>
      <c r="M7" s="0" t="n">
        <v>847.332</v>
      </c>
      <c r="N7" s="0" t="n">
        <v>933.144</v>
      </c>
      <c r="O7" s="0" t="n">
        <v>11232.252</v>
      </c>
      <c r="P7" s="0" t="n">
        <v>27587.424</v>
      </c>
      <c r="Q7" s="0" t="n">
        <v>15213.78</v>
      </c>
      <c r="R7" s="0" t="n">
        <v>2626.935</v>
      </c>
      <c r="S7" s="0" t="n">
        <v>6998.191</v>
      </c>
      <c r="T7" s="0" t="n">
        <v>2158.2485</v>
      </c>
      <c r="U7" s="0" t="n">
        <v>76.416</v>
      </c>
      <c r="AA7" s="0" t="s">
        <v>18</v>
      </c>
      <c r="AB7" s="0" t="s">
        <v>14</v>
      </c>
      <c r="AC7" s="0" t="n">
        <v>2066.7</v>
      </c>
    </row>
    <row r="8" customFormat="false" ht="15" hidden="false" customHeight="false" outlineLevel="0" collapsed="false">
      <c r="A8" s="0" t="s">
        <v>71</v>
      </c>
      <c r="B8" s="0" t="n">
        <v>24755.737</v>
      </c>
      <c r="C8" s="0" t="n">
        <v>21201.503</v>
      </c>
      <c r="D8" s="0" t="n">
        <v>3554.234</v>
      </c>
      <c r="E8" s="0" t="n">
        <v>14.4</v>
      </c>
      <c r="F8" s="0" t="n">
        <v>1538.446</v>
      </c>
      <c r="G8" s="0" t="n">
        <v>6.2</v>
      </c>
      <c r="H8" s="0" t="n">
        <v>2018.95</v>
      </c>
      <c r="I8" s="0" t="n">
        <v>1094.871</v>
      </c>
      <c r="J8" s="0" t="n">
        <v>4.4</v>
      </c>
      <c r="K8" s="0" t="n">
        <v>0.515</v>
      </c>
      <c r="L8" s="0" t="n">
        <v>2486.37</v>
      </c>
      <c r="M8" s="0" t="n">
        <v>1136.462</v>
      </c>
      <c r="N8" s="0" t="n">
        <v>1349.908</v>
      </c>
      <c r="O8" s="0" t="n">
        <v>11499.074</v>
      </c>
      <c r="P8" s="0" t="n">
        <v>29381.665</v>
      </c>
      <c r="Q8" s="0" t="n">
        <v>16276.627</v>
      </c>
      <c r="R8" s="0" t="n">
        <v>2985.861</v>
      </c>
      <c r="S8" s="0" t="n">
        <v>7264.358</v>
      </c>
      <c r="T8" s="0" t="n">
        <v>2169.1912</v>
      </c>
      <c r="U8" s="0" t="n">
        <v>152.026</v>
      </c>
      <c r="AA8" s="0" t="s">
        <v>18</v>
      </c>
      <c r="AB8" s="0" t="s">
        <v>14</v>
      </c>
      <c r="AC8" s="0" t="n">
        <v>2756.837</v>
      </c>
    </row>
    <row r="9" customFormat="false" ht="15" hidden="false" customHeight="false" outlineLevel="0" collapsed="false">
      <c r="A9" s="0" t="s">
        <v>72</v>
      </c>
      <c r="B9" s="0" t="n">
        <v>26325.942</v>
      </c>
      <c r="C9" s="0" t="n">
        <v>22651.699</v>
      </c>
      <c r="D9" s="0" t="n">
        <v>3674.243</v>
      </c>
      <c r="E9" s="0" t="n">
        <v>14</v>
      </c>
      <c r="F9" s="0" t="n">
        <v>1441.644</v>
      </c>
      <c r="G9" s="0" t="n">
        <v>5.5</v>
      </c>
      <c r="H9" s="0" t="n">
        <v>1988.814</v>
      </c>
      <c r="I9" s="0" t="n">
        <v>1135.214</v>
      </c>
      <c r="J9" s="0" t="n">
        <v>4.3</v>
      </c>
      <c r="K9" s="0" t="n">
        <v>0.555</v>
      </c>
      <c r="L9" s="0" t="n">
        <v>1742.844</v>
      </c>
      <c r="M9" s="0" t="n">
        <v>935.66</v>
      </c>
      <c r="N9" s="0" t="n">
        <v>807.184</v>
      </c>
      <c r="O9" s="0" t="n">
        <v>12144.207</v>
      </c>
      <c r="P9" s="0" t="n">
        <v>32181.887</v>
      </c>
      <c r="Q9" s="0" t="n">
        <v>18395.277</v>
      </c>
      <c r="R9" s="0" t="n">
        <v>3494.951</v>
      </c>
      <c r="S9" s="0" t="n">
        <v>7751.634</v>
      </c>
      <c r="T9" s="0" t="n">
        <v>2025.1498</v>
      </c>
      <c r="U9" s="0" t="n">
        <v>-83.079</v>
      </c>
      <c r="AA9" s="0" t="s">
        <v>18</v>
      </c>
      <c r="AB9" s="0" t="s">
        <v>14</v>
      </c>
      <c r="AC9" s="0" t="n">
        <v>2086.337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73</v>
      </c>
      <c r="B1" s="2" t="s">
        <v>74</v>
      </c>
    </row>
    <row r="2" customFormat="false" ht="15" hidden="false" customHeight="false" outlineLevel="0" collapsed="false">
      <c r="A2" s="0" t="s">
        <v>75</v>
      </c>
      <c r="B2" s="3" t="n">
        <v>6.31</v>
      </c>
    </row>
    <row r="3" customFormat="false" ht="15" hidden="false" customHeight="false" outlineLevel="0" collapsed="false">
      <c r="A3" s="0" t="s">
        <v>76</v>
      </c>
      <c r="B3" s="3" t="n">
        <v>2125.4</v>
      </c>
    </row>
    <row r="4" customFormat="false" ht="15" hidden="false" customHeight="false" outlineLevel="0" collapsed="false">
      <c r="A4" s="0" t="s">
        <v>77</v>
      </c>
      <c r="B4" s="3" t="n">
        <v>-3739.696</v>
      </c>
    </row>
    <row r="5" customFormat="false" ht="15" hidden="false" customHeight="false" outlineLevel="0" collapsed="false">
      <c r="A5" s="0" t="s">
        <v>78</v>
      </c>
      <c r="B5" s="3" t="n">
        <v>-1612.302</v>
      </c>
    </row>
    <row r="6" customFormat="false" ht="15" hidden="false" customHeight="false" outlineLevel="0" collapsed="false">
      <c r="A6" s="0" t="s">
        <v>79</v>
      </c>
      <c r="B6" s="3" t="n">
        <v>15</v>
      </c>
    </row>
    <row r="7" customFormat="false" ht="15" hidden="false" customHeight="false" outlineLevel="0" collapsed="false">
      <c r="A7" s="0" t="s">
        <v>80</v>
      </c>
      <c r="B7" s="3" t="n">
        <v>26325.942</v>
      </c>
    </row>
    <row r="8" customFormat="false" ht="15" hidden="false" customHeight="false" outlineLevel="0" collapsed="false">
      <c r="A8" s="0" t="s">
        <v>81</v>
      </c>
      <c r="B8" s="3" t="s">
        <v>72</v>
      </c>
    </row>
    <row r="9" customFormat="false" ht="15" hidden="false" customHeight="false" outlineLevel="0" collapsed="false">
      <c r="A9" s="0" t="s">
        <v>82</v>
      </c>
      <c r="B9" s="3" t="s">
        <v>83</v>
      </c>
    </row>
    <row r="10" customFormat="false" ht="15" hidden="false" customHeight="false" outlineLevel="0" collapsed="false">
      <c r="A10" s="0" t="s">
        <v>84</v>
      </c>
      <c r="B10" s="3" t="n">
        <v>1.1729</v>
      </c>
    </row>
    <row r="12" customFormat="false" ht="15" hidden="false" customHeight="false" outlineLevel="0" collapsed="false">
      <c r="A12" s="2" t="s">
        <v>85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2" t="s">
        <v>91</v>
      </c>
      <c r="I12" s="2" t="s">
        <v>92</v>
      </c>
      <c r="J12" s="2" t="s">
        <v>93</v>
      </c>
      <c r="K12" s="2" t="s">
        <v>94</v>
      </c>
      <c r="L12" s="2" t="s">
        <v>95</v>
      </c>
    </row>
    <row r="13" customFormat="false" ht="15" hidden="false" customHeight="false" outlineLevel="0" collapsed="false">
      <c r="A13" s="0" t="s">
        <v>96</v>
      </c>
      <c r="C13" s="3" t="n">
        <v>-3</v>
      </c>
      <c r="D13" s="3" t="n">
        <v>-1</v>
      </c>
      <c r="E13" s="3" t="n">
        <v>1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97</v>
      </c>
      <c r="C14" s="3" t="n">
        <v>6.4</v>
      </c>
      <c r="D14" s="3" t="n">
        <v>6.2</v>
      </c>
      <c r="E14" s="3" t="n">
        <v>6</v>
      </c>
      <c r="F14" s="3" t="n">
        <v>6</v>
      </c>
      <c r="G14" s="3" t="n">
        <v>6</v>
      </c>
      <c r="H14" s="3" t="n">
        <v>6</v>
      </c>
      <c r="I14" s="3" t="n">
        <v>6</v>
      </c>
      <c r="J14" s="3" t="n">
        <v>6</v>
      </c>
      <c r="K14" s="3" t="n">
        <v>6</v>
      </c>
      <c r="L14" s="3" t="n">
        <v>6</v>
      </c>
    </row>
    <row r="15" customFormat="false" ht="15" hidden="false" customHeight="false" outlineLevel="0" collapsed="false">
      <c r="A15" s="0" t="s">
        <v>98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99</v>
      </c>
      <c r="C16" s="3" t="n">
        <v>0.25</v>
      </c>
      <c r="D16" s="3" t="n">
        <v>0.25</v>
      </c>
      <c r="E16" s="3" t="n">
        <v>0.25</v>
      </c>
      <c r="F16" s="3" t="n">
        <v>0.25</v>
      </c>
      <c r="G16" s="3" t="n">
        <v>0.25</v>
      </c>
      <c r="H16" s="3" t="n">
        <v>0.25</v>
      </c>
      <c r="I16" s="3" t="n">
        <v>0.25</v>
      </c>
      <c r="J16" s="3" t="n">
        <v>0.25</v>
      </c>
      <c r="K16" s="3" t="n">
        <v>0.25</v>
      </c>
      <c r="L16" s="3" t="n">
        <v>0.25</v>
      </c>
    </row>
    <row r="17" customFormat="false" ht="15" hidden="false" customHeight="false" outlineLevel="0" collapsed="false">
      <c r="A17" s="0" t="s">
        <v>100</v>
      </c>
      <c r="C17" s="3" t="n">
        <v>1.7</v>
      </c>
      <c r="D17" s="3" t="n">
        <v>1.75</v>
      </c>
      <c r="E17" s="3" t="n">
        <v>1.8</v>
      </c>
      <c r="F17" s="3" t="n">
        <v>1.85</v>
      </c>
      <c r="G17" s="3" t="n">
        <v>1.9</v>
      </c>
      <c r="H17" s="3" t="n">
        <v>1.9</v>
      </c>
      <c r="I17" s="3" t="n">
        <v>1.9</v>
      </c>
      <c r="J17" s="3" t="n">
        <v>1.9</v>
      </c>
      <c r="K17" s="3" t="n">
        <v>1.9</v>
      </c>
      <c r="L17" s="3" t="n">
        <v>1.9</v>
      </c>
    </row>
    <row r="18" customFormat="false" ht="15" hidden="false" customHeight="false" outlineLevel="0" collapsed="false">
      <c r="A18" s="0" t="s">
        <v>101</v>
      </c>
      <c r="C18" s="3" t="n">
        <v>3.4</v>
      </c>
      <c r="D18" s="3" t="n">
        <v>3.2</v>
      </c>
      <c r="E18" s="3" t="n">
        <v>3</v>
      </c>
      <c r="F18" s="3" t="n">
        <v>2.8</v>
      </c>
      <c r="G18" s="3" t="n">
        <v>2.6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102</v>
      </c>
      <c r="C19" s="3" t="n">
        <v>20</v>
      </c>
      <c r="D19" s="3" t="n">
        <v>20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103</v>
      </c>
      <c r="B20" s="3" t="n">
        <v>8.5</v>
      </c>
    </row>
    <row r="21" customFormat="false" ht="15" hidden="false" customHeight="false" outlineLevel="0" collapsed="false">
      <c r="A21" s="0" t="s">
        <v>104</v>
      </c>
      <c r="B21" s="3" t="n">
        <v>2</v>
      </c>
    </row>
    <row r="22" customFormat="false" ht="15" hidden="false" customHeight="false" outlineLevel="0" collapsed="false">
      <c r="A22" s="0" t="s">
        <v>105</v>
      </c>
      <c r="B22" s="3" t="n">
        <v>12</v>
      </c>
    </row>
    <row r="23" customFormat="false" ht="15" hidden="false" customHeight="false" outlineLevel="0" collapsed="false">
      <c r="A23" s="0" t="s">
        <v>106</v>
      </c>
      <c r="B23" s="3" t="n">
        <v>-8</v>
      </c>
    </row>
    <row r="24" customFormat="false" ht="15" hidden="false" customHeight="false" outlineLevel="0" collapsed="false">
      <c r="A24" s="0" t="s">
        <v>107</v>
      </c>
      <c r="B24" s="3" t="n">
        <v>0.25</v>
      </c>
    </row>
    <row r="26" customFormat="false" ht="15" hidden="false" customHeight="false" outlineLevel="0" collapsed="false">
      <c r="A26" s="2" t="s">
        <v>108</v>
      </c>
      <c r="C26" s="2" t="s">
        <v>86</v>
      </c>
      <c r="D26" s="2" t="s">
        <v>87</v>
      </c>
      <c r="E26" s="2" t="s">
        <v>88</v>
      </c>
      <c r="F26" s="2" t="s">
        <v>89</v>
      </c>
      <c r="G26" s="2" t="s">
        <v>90</v>
      </c>
      <c r="H26" s="2" t="s">
        <v>91</v>
      </c>
      <c r="I26" s="2" t="s">
        <v>92</v>
      </c>
      <c r="J26" s="2" t="s">
        <v>93</v>
      </c>
      <c r="K26" s="2" t="s">
        <v>94</v>
      </c>
      <c r="L26" s="2" t="s">
        <v>95</v>
      </c>
    </row>
    <row r="27" customFormat="false" ht="15" hidden="false" customHeight="false" outlineLevel="0" collapsed="false">
      <c r="A27" s="0" t="s">
        <v>96</v>
      </c>
      <c r="C27" s="3" t="n">
        <v>3</v>
      </c>
      <c r="D27" s="3" t="n">
        <v>6</v>
      </c>
      <c r="E27" s="3" t="n">
        <v>6</v>
      </c>
      <c r="F27" s="3" t="n">
        <v>5</v>
      </c>
      <c r="G27" s="3" t="n">
        <v>4.5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97</v>
      </c>
      <c r="C28" s="3" t="n">
        <v>6.7</v>
      </c>
      <c r="D28" s="3" t="n">
        <v>6.9</v>
      </c>
      <c r="E28" s="3" t="n">
        <v>7.1</v>
      </c>
      <c r="F28" s="3" t="n">
        <v>7.2</v>
      </c>
      <c r="G28" s="3" t="n">
        <v>7.3</v>
      </c>
      <c r="H28" s="3" t="n">
        <v>7.3</v>
      </c>
      <c r="I28" s="3" t="n">
        <v>7.3</v>
      </c>
      <c r="J28" s="3" t="n">
        <v>7.3</v>
      </c>
      <c r="K28" s="3" t="n">
        <v>7.3</v>
      </c>
      <c r="L28" s="3" t="n">
        <v>7.3</v>
      </c>
    </row>
    <row r="29" customFormat="false" ht="15" hidden="false" customHeight="false" outlineLevel="0" collapsed="false">
      <c r="A29" s="0" t="s">
        <v>98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99</v>
      </c>
      <c r="C30" s="3" t="n">
        <v>0.25</v>
      </c>
      <c r="D30" s="3" t="n">
        <v>0.25</v>
      </c>
      <c r="E30" s="3" t="n">
        <v>0.25</v>
      </c>
      <c r="F30" s="3" t="n">
        <v>0.25</v>
      </c>
      <c r="G30" s="3" t="n">
        <v>0.25</v>
      </c>
      <c r="H30" s="3" t="n">
        <v>0.25</v>
      </c>
      <c r="I30" s="3" t="n">
        <v>0.25</v>
      </c>
      <c r="J30" s="3" t="n">
        <v>0.25</v>
      </c>
      <c r="K30" s="3" t="n">
        <v>0.25</v>
      </c>
      <c r="L30" s="3" t="n">
        <v>0.25</v>
      </c>
    </row>
    <row r="31" customFormat="false" ht="15" hidden="false" customHeight="false" outlineLevel="0" collapsed="false">
      <c r="A31" s="0" t="s">
        <v>100</v>
      </c>
      <c r="C31" s="3" t="n">
        <v>1.7</v>
      </c>
      <c r="D31" s="3" t="n">
        <v>1.7</v>
      </c>
      <c r="E31" s="3" t="n">
        <v>1.75</v>
      </c>
      <c r="F31" s="3" t="n">
        <v>1.8</v>
      </c>
      <c r="G31" s="3" t="n">
        <v>1.8</v>
      </c>
      <c r="H31" s="3" t="n">
        <v>1.85</v>
      </c>
      <c r="I31" s="3" t="n">
        <v>1.9</v>
      </c>
      <c r="J31" s="3" t="n">
        <v>1.9</v>
      </c>
      <c r="K31" s="3" t="n">
        <v>1.9</v>
      </c>
      <c r="L31" s="3" t="n">
        <v>1.9</v>
      </c>
    </row>
    <row r="32" customFormat="false" ht="15" hidden="false" customHeight="false" outlineLevel="0" collapsed="false">
      <c r="A32" s="0" t="s">
        <v>101</v>
      </c>
      <c r="C32" s="3" t="n">
        <v>3.6</v>
      </c>
      <c r="D32" s="3" t="n">
        <v>3.5</v>
      </c>
      <c r="E32" s="3" t="n">
        <v>3.3</v>
      </c>
      <c r="F32" s="3" t="n">
        <v>3.1</v>
      </c>
      <c r="G32" s="3" t="n">
        <v>3</v>
      </c>
      <c r="H32" s="3" t="n">
        <v>2.8</v>
      </c>
      <c r="I32" s="3" t="n">
        <v>2.6</v>
      </c>
      <c r="J32" s="3" t="n">
        <v>2.5</v>
      </c>
      <c r="K32" s="3" t="n">
        <v>2.5</v>
      </c>
      <c r="L32" s="3" t="n">
        <v>2.5</v>
      </c>
    </row>
    <row r="33" customFormat="false" ht="15" hidden="false" customHeight="false" outlineLevel="0" collapsed="false">
      <c r="A33" s="0" t="s">
        <v>102</v>
      </c>
      <c r="C33" s="3" t="n">
        <v>20</v>
      </c>
      <c r="D33" s="3" t="n">
        <v>20</v>
      </c>
      <c r="E33" s="3" t="n">
        <v>20</v>
      </c>
      <c r="F33" s="3" t="n">
        <v>20</v>
      </c>
      <c r="G33" s="3" t="n">
        <v>20</v>
      </c>
      <c r="H33" s="3" t="n">
        <v>20</v>
      </c>
      <c r="I33" s="3" t="n">
        <v>20</v>
      </c>
      <c r="J33" s="3" t="n">
        <v>20</v>
      </c>
      <c r="K33" s="3" t="n">
        <v>20</v>
      </c>
      <c r="L33" s="3" t="n">
        <v>20</v>
      </c>
    </row>
    <row r="34" customFormat="false" ht="15" hidden="false" customHeight="false" outlineLevel="0" collapsed="false">
      <c r="A34" s="0" t="s">
        <v>103</v>
      </c>
      <c r="B34" s="3" t="n">
        <v>8.5</v>
      </c>
    </row>
    <row r="35" customFormat="false" ht="15" hidden="false" customHeight="false" outlineLevel="0" collapsed="false">
      <c r="A35" s="0" t="s">
        <v>104</v>
      </c>
      <c r="B35" s="3" t="n">
        <v>2.5</v>
      </c>
    </row>
    <row r="36" customFormat="false" ht="15" hidden="false" customHeight="false" outlineLevel="0" collapsed="false">
      <c r="A36" s="0" t="s">
        <v>105</v>
      </c>
      <c r="B36" s="3" t="n">
        <v>14</v>
      </c>
    </row>
    <row r="37" customFormat="false" ht="15" hidden="false" customHeight="false" outlineLevel="0" collapsed="false">
      <c r="A37" s="0" t="s">
        <v>106</v>
      </c>
      <c r="B37" s="3" t="n">
        <v>-5</v>
      </c>
    </row>
    <row r="38" customFormat="false" ht="15" hidden="false" customHeight="false" outlineLevel="0" collapsed="false">
      <c r="A38" s="0" t="s">
        <v>107</v>
      </c>
      <c r="B38" s="3" t="n">
        <v>0.5</v>
      </c>
    </row>
    <row r="40" customFormat="false" ht="15" hidden="false" customHeight="false" outlineLevel="0" collapsed="false">
      <c r="A40" s="2" t="s">
        <v>109</v>
      </c>
      <c r="C40" s="2" t="s">
        <v>86</v>
      </c>
      <c r="D40" s="2" t="s">
        <v>87</v>
      </c>
      <c r="E40" s="2" t="s">
        <v>88</v>
      </c>
      <c r="F40" s="2" t="s">
        <v>89</v>
      </c>
      <c r="G40" s="2" t="s">
        <v>90</v>
      </c>
      <c r="H40" s="2" t="s">
        <v>91</v>
      </c>
      <c r="I40" s="2" t="s">
        <v>92</v>
      </c>
      <c r="J40" s="2" t="s">
        <v>93</v>
      </c>
      <c r="K40" s="2" t="s">
        <v>94</v>
      </c>
      <c r="L40" s="2" t="s">
        <v>95</v>
      </c>
    </row>
    <row r="41" customFormat="false" ht="15" hidden="false" customHeight="false" outlineLevel="0" collapsed="false">
      <c r="A41" s="0" t="s">
        <v>96</v>
      </c>
      <c r="C41" s="3" t="n">
        <v>5</v>
      </c>
      <c r="D41" s="3" t="n">
        <v>9</v>
      </c>
      <c r="E41" s="3" t="n">
        <v>9</v>
      </c>
      <c r="F41" s="3" t="n">
        <v>8</v>
      </c>
      <c r="G41" s="3" t="n">
        <v>6</v>
      </c>
      <c r="H41" s="3" t="n">
        <v>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97</v>
      </c>
      <c r="C42" s="3" t="n">
        <v>6.9</v>
      </c>
      <c r="D42" s="3" t="n">
        <v>7.3</v>
      </c>
      <c r="E42" s="3" t="n">
        <v>7.7</v>
      </c>
      <c r="F42" s="3" t="n">
        <v>8</v>
      </c>
      <c r="G42" s="3" t="n">
        <v>8.1</v>
      </c>
      <c r="H42" s="3" t="n">
        <v>8.2</v>
      </c>
      <c r="I42" s="3" t="n">
        <v>8.2</v>
      </c>
      <c r="J42" s="3" t="n">
        <v>8.2</v>
      </c>
      <c r="K42" s="3" t="n">
        <v>8.2</v>
      </c>
      <c r="L42" s="3" t="n">
        <v>8.2</v>
      </c>
    </row>
    <row r="43" customFormat="false" ht="15" hidden="false" customHeight="false" outlineLevel="0" collapsed="false">
      <c r="A43" s="0" t="s">
        <v>98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99</v>
      </c>
      <c r="C44" s="3" t="n">
        <v>0.25</v>
      </c>
      <c r="D44" s="3" t="n">
        <v>0.25</v>
      </c>
      <c r="E44" s="3" t="n">
        <v>0.25</v>
      </c>
      <c r="F44" s="3" t="n">
        <v>0.25</v>
      </c>
      <c r="G44" s="3" t="n">
        <v>0.25</v>
      </c>
      <c r="H44" s="3" t="n">
        <v>0.25</v>
      </c>
      <c r="I44" s="3" t="n">
        <v>0.25</v>
      </c>
      <c r="J44" s="3" t="n">
        <v>0.25</v>
      </c>
      <c r="K44" s="3" t="n">
        <v>0.25</v>
      </c>
      <c r="L44" s="3" t="n">
        <v>0.25</v>
      </c>
    </row>
    <row r="45" customFormat="false" ht="15" hidden="false" customHeight="false" outlineLevel="0" collapsed="false">
      <c r="A45" s="0" t="s">
        <v>100</v>
      </c>
      <c r="C45" s="3" t="n">
        <v>1.7</v>
      </c>
      <c r="D45" s="3" t="n">
        <v>1.7</v>
      </c>
      <c r="E45" s="3" t="n">
        <v>1.75</v>
      </c>
      <c r="F45" s="3" t="n">
        <v>1.8</v>
      </c>
      <c r="G45" s="3" t="n">
        <v>1.8</v>
      </c>
      <c r="H45" s="3" t="n">
        <v>1.85</v>
      </c>
      <c r="I45" s="3" t="n">
        <v>1.9</v>
      </c>
      <c r="J45" s="3" t="n">
        <v>1.9</v>
      </c>
      <c r="K45" s="3" t="n">
        <v>1.9</v>
      </c>
      <c r="L45" s="3" t="n">
        <v>1.9</v>
      </c>
    </row>
    <row r="46" customFormat="false" ht="15" hidden="false" customHeight="false" outlineLevel="0" collapsed="false">
      <c r="A46" s="0" t="s">
        <v>101</v>
      </c>
      <c r="C46" s="3" t="n">
        <v>3.6</v>
      </c>
      <c r="D46" s="3" t="n">
        <v>3.5</v>
      </c>
      <c r="E46" s="3" t="n">
        <v>3.3</v>
      </c>
      <c r="F46" s="3" t="n">
        <v>3</v>
      </c>
      <c r="G46" s="3" t="n">
        <v>2.8</v>
      </c>
      <c r="H46" s="3" t="n">
        <v>2.6</v>
      </c>
      <c r="I46" s="3" t="n">
        <v>2.5</v>
      </c>
      <c r="J46" s="3" t="n">
        <v>2.5</v>
      </c>
      <c r="K46" s="3" t="n">
        <v>2.5</v>
      </c>
      <c r="L46" s="3" t="n">
        <v>2.5</v>
      </c>
    </row>
    <row r="47" customFormat="false" ht="15" hidden="false" customHeight="false" outlineLevel="0" collapsed="false">
      <c r="A47" s="0" t="s">
        <v>102</v>
      </c>
      <c r="C47" s="3" t="n">
        <v>20</v>
      </c>
      <c r="D47" s="3" t="n">
        <v>20</v>
      </c>
      <c r="E47" s="3" t="n">
        <v>20</v>
      </c>
      <c r="F47" s="3" t="n">
        <v>20</v>
      </c>
      <c r="G47" s="3" t="n">
        <v>20</v>
      </c>
      <c r="H47" s="3" t="n">
        <v>20</v>
      </c>
      <c r="I47" s="3" t="n">
        <v>20</v>
      </c>
      <c r="J47" s="3" t="n">
        <v>20</v>
      </c>
      <c r="K47" s="3" t="n">
        <v>20</v>
      </c>
      <c r="L47" s="3" t="n">
        <v>20</v>
      </c>
    </row>
    <row r="48" customFormat="false" ht="15" hidden="false" customHeight="false" outlineLevel="0" collapsed="false">
      <c r="A48" s="0" t="s">
        <v>103</v>
      </c>
      <c r="B48" s="3" t="n">
        <v>8.5</v>
      </c>
    </row>
    <row r="49" customFormat="false" ht="15" hidden="false" customHeight="false" outlineLevel="0" collapsed="false">
      <c r="A49" s="0" t="s">
        <v>104</v>
      </c>
      <c r="B49" s="3" t="n">
        <v>3</v>
      </c>
    </row>
    <row r="50" customFormat="false" ht="15" hidden="false" customHeight="false" outlineLevel="0" collapsed="false">
      <c r="A50" s="0" t="s">
        <v>105</v>
      </c>
      <c r="B50" s="3" t="n">
        <v>15</v>
      </c>
    </row>
    <row r="51" customFormat="false" ht="15" hidden="false" customHeight="false" outlineLevel="0" collapsed="false">
      <c r="A51" s="0" t="s">
        <v>106</v>
      </c>
      <c r="B51" s="3" t="n">
        <v>-2</v>
      </c>
    </row>
    <row r="52" customFormat="false" ht="15" hidden="false" customHeight="false" outlineLevel="0" collapsed="false">
      <c r="A52" s="0" t="s">
        <v>107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110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Assumptions!C13</f>
        <v>-3</v>
      </c>
      <c r="D5" s="4" t="n">
        <f aca="false">Assumptions!D13</f>
        <v>-1</v>
      </c>
      <c r="E5" s="4" t="n">
        <f aca="false">Assumptions!E13</f>
        <v>1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26325.942</v>
      </c>
      <c r="C6" s="0" t="n">
        <f aca="false">B6*(1+C5/100)</f>
        <v>25536.16374</v>
      </c>
      <c r="D6" s="0" t="n">
        <f aca="false">C6*(1+D5/100)</f>
        <v>25280.8021026</v>
      </c>
      <c r="E6" s="0" t="n">
        <f aca="false">D6*(1+E5/100)</f>
        <v>25533.610123626</v>
      </c>
      <c r="F6" s="0" t="n">
        <f aca="false">E6*(1+F5/100)</f>
        <v>26044.2823260985</v>
      </c>
      <c r="G6" s="0" t="n">
        <f aca="false">F6*(1+G5/100)</f>
        <v>26565.1679726205</v>
      </c>
      <c r="H6" s="0" t="n">
        <f aca="false">G6*(1+H5/100)</f>
        <v>27096.4713320729</v>
      </c>
      <c r="I6" s="0" t="n">
        <f aca="false">H6*(1+I5/100)</f>
        <v>27638.4007587144</v>
      </c>
      <c r="J6" s="0" t="n">
        <f aca="false">I6*(1+J5/100)</f>
        <v>28191.1687738886</v>
      </c>
      <c r="K6" s="0" t="n">
        <f aca="false">J6*(1+K5/100)</f>
        <v>28754.9921493664</v>
      </c>
      <c r="L6" s="0" t="n">
        <f aca="false">K6*(1+L5/100)</f>
        <v>29330.0919923537</v>
      </c>
    </row>
    <row r="7" customFormat="false" ht="15" hidden="false" customHeight="false" outlineLevel="0" collapsed="false">
      <c r="A7" s="0" t="s">
        <v>97</v>
      </c>
      <c r="C7" s="4" t="n">
        <f aca="false">Assumptions!C14</f>
        <v>6.4</v>
      </c>
      <c r="D7" s="4" t="n">
        <f aca="false">Assumptions!D14</f>
        <v>6.2</v>
      </c>
      <c r="E7" s="4" t="n">
        <f aca="false">Assumptions!E14</f>
        <v>6</v>
      </c>
      <c r="F7" s="4" t="n">
        <f aca="false">Assumptions!F14</f>
        <v>6</v>
      </c>
      <c r="G7" s="4" t="n">
        <f aca="false">Assumptions!G14</f>
        <v>6</v>
      </c>
      <c r="H7" s="4" t="n">
        <f aca="false">Assumptions!H14</f>
        <v>6</v>
      </c>
      <c r="I7" s="4" t="n">
        <f aca="false">Assumptions!I14</f>
        <v>6</v>
      </c>
      <c r="J7" s="4" t="n">
        <f aca="false">Assumptions!J14</f>
        <v>6</v>
      </c>
      <c r="K7" s="4" t="n">
        <f aca="false">Assumptions!K14</f>
        <v>6</v>
      </c>
      <c r="L7" s="4" t="n">
        <f aca="false">Assumptions!L14</f>
        <v>6</v>
      </c>
    </row>
    <row r="8" customFormat="false" ht="15" hidden="false" customHeight="false" outlineLevel="0" collapsed="false">
      <c r="A8" s="0" t="s">
        <v>44</v>
      </c>
      <c r="C8" s="0" t="n">
        <f aca="false">C6*C7/100</f>
        <v>1634.31447936</v>
      </c>
      <c r="D8" s="0" t="n">
        <f aca="false">D6*D7/100</f>
        <v>1567.4097303612</v>
      </c>
      <c r="E8" s="0" t="n">
        <f aca="false">E6*E7/100</f>
        <v>1532.01660741756</v>
      </c>
      <c r="F8" s="0" t="n">
        <f aca="false">F6*F7/100</f>
        <v>1562.65693956591</v>
      </c>
      <c r="G8" s="0" t="n">
        <f aca="false">G6*G7/100</f>
        <v>1593.91007835723</v>
      </c>
      <c r="H8" s="0" t="n">
        <f aca="false">H6*H7/100</f>
        <v>1625.78827992437</v>
      </c>
      <c r="I8" s="0" t="n">
        <f aca="false">I6*I7/100</f>
        <v>1658.30404552286</v>
      </c>
      <c r="J8" s="0" t="n">
        <f aca="false">J6*J7/100</f>
        <v>1691.47012643332</v>
      </c>
      <c r="K8" s="0" t="n">
        <f aca="false">K6*K7/100</f>
        <v>1725.29952896199</v>
      </c>
      <c r="L8" s="0" t="n">
        <f aca="false">L6*L7/100</f>
        <v>1759.80551954122</v>
      </c>
    </row>
    <row r="9" customFormat="false" ht="15" hidden="false" customHeight="false" outlineLevel="0" collapsed="false">
      <c r="A9" s="0" t="s">
        <v>98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-76.60849122</v>
      </c>
      <c r="D10" s="0" t="n">
        <f aca="false">-D6*D9/100</f>
        <v>-75.8424063078</v>
      </c>
      <c r="E10" s="0" t="n">
        <f aca="false">-E6*E9/100</f>
        <v>-76.600830370878</v>
      </c>
      <c r="F10" s="0" t="n">
        <f aca="false">-F6*F9/100</f>
        <v>-78.1328469782956</v>
      </c>
      <c r="G10" s="0" t="n">
        <f aca="false">-G6*G9/100</f>
        <v>-79.6955039178615</v>
      </c>
      <c r="H10" s="0" t="n">
        <f aca="false">-H6*H9/100</f>
        <v>-81.2894139962187</v>
      </c>
      <c r="I10" s="0" t="n">
        <f aca="false">-I6*I9/100</f>
        <v>-82.9152022761431</v>
      </c>
      <c r="J10" s="0" t="n">
        <f aca="false">-J6*J9/100</f>
        <v>-84.5735063216659</v>
      </c>
      <c r="K10" s="0" t="n">
        <f aca="false">-K6*K9/100</f>
        <v>-86.2649764480993</v>
      </c>
      <c r="L10" s="0" t="n">
        <f aca="false">-L6*L9/100</f>
        <v>-87.9902759770612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1493.86557879</v>
      </c>
      <c r="D11" s="0" t="n">
        <f aca="false">D8+D10+D24</f>
        <v>1428.3653187969</v>
      </c>
      <c r="E11" s="0" t="n">
        <f aca="false">E8+E10+E24</f>
        <v>1391.58175173762</v>
      </c>
      <c r="F11" s="0" t="n">
        <f aca="false">F8+F10+F24</f>
        <v>1419.41338677237</v>
      </c>
      <c r="G11" s="0" t="n">
        <f aca="false">G8+G10+G24</f>
        <v>1447.80165450782</v>
      </c>
      <c r="H11" s="0" t="n">
        <f aca="false">H8+H10+H24</f>
        <v>1476.75768759797</v>
      </c>
      <c r="I11" s="0" t="n">
        <f aca="false">I8+I10+I24</f>
        <v>1506.29284134993</v>
      </c>
      <c r="J11" s="0" t="n">
        <f aca="false">J8+J10+J24</f>
        <v>1536.41869817693</v>
      </c>
      <c r="K11" s="0" t="n">
        <f aca="false">K8+K10+K24</f>
        <v>1567.14707214047</v>
      </c>
      <c r="L11" s="0" t="n">
        <f aca="false">L8+L10+L24</f>
        <v>1598.49001358328</v>
      </c>
    </row>
    <row r="12" customFormat="false" ht="15" hidden="false" customHeight="false" outlineLevel="0" collapsed="false">
      <c r="A12" s="0" t="s">
        <v>115</v>
      </c>
      <c r="C12" s="4" t="n">
        <f aca="false">-C6*Assumptions!C17/100</f>
        <v>-434.11478358</v>
      </c>
      <c r="D12" s="4" t="n">
        <f aca="false">-D6*Assumptions!D17/100</f>
        <v>-442.4140367955</v>
      </c>
      <c r="E12" s="4" t="n">
        <f aca="false">-E6*Assumptions!E17/100</f>
        <v>-459.604982225268</v>
      </c>
      <c r="F12" s="4" t="n">
        <f aca="false">-F6*Assumptions!F17/100</f>
        <v>-481.819223032823</v>
      </c>
      <c r="G12" s="4" t="n">
        <f aca="false">-G6*Assumptions!G17/100</f>
        <v>-504.738191479789</v>
      </c>
      <c r="H12" s="4" t="n">
        <f aca="false">-H6*Assumptions!H17/100</f>
        <v>-514.832955309385</v>
      </c>
      <c r="I12" s="4" t="n">
        <f aca="false">-I6*Assumptions!I17/100</f>
        <v>-525.129614415573</v>
      </c>
      <c r="J12" s="4" t="n">
        <f aca="false">-J6*Assumptions!J17/100</f>
        <v>-535.632206703884</v>
      </c>
      <c r="K12" s="4" t="n">
        <f aca="false">-K6*Assumptions!K17/100</f>
        <v>-546.344850837962</v>
      </c>
      <c r="L12" s="4" t="n">
        <f aca="false">-L6*Assumptions!L17/100</f>
        <v>-557.271747854721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1059.75079521</v>
      </c>
      <c r="D13" s="0" t="n">
        <f aca="false">D11+D12</f>
        <v>985.9512820014</v>
      </c>
      <c r="E13" s="0" t="n">
        <f aca="false">E11+E12</f>
        <v>931.976769512349</v>
      </c>
      <c r="F13" s="0" t="n">
        <f aca="false">F11+F12</f>
        <v>937.594163739547</v>
      </c>
      <c r="G13" s="0" t="n">
        <f aca="false">G11+G12</f>
        <v>943.063463028028</v>
      </c>
      <c r="H13" s="0" t="n">
        <f aca="false">H11+H12</f>
        <v>961.924732288588</v>
      </c>
      <c r="I13" s="0" t="n">
        <f aca="false">I11+I12</f>
        <v>981.16322693436</v>
      </c>
      <c r="J13" s="0" t="n">
        <f aca="false">J11+J12</f>
        <v>1000.78649147305</v>
      </c>
      <c r="K13" s="0" t="n">
        <f aca="false">K11+K12</f>
        <v>1020.80222130251</v>
      </c>
      <c r="L13" s="0" t="n">
        <f aca="false">L11+L12</f>
        <v>1041.21826572856</v>
      </c>
    </row>
    <row r="14" customFormat="false" ht="15" hidden="false" customHeight="false" outlineLevel="0" collapsed="false">
      <c r="A14" s="0" t="s">
        <v>102</v>
      </c>
      <c r="C14" s="4" t="n">
        <f aca="false">Assumptions!C19</f>
        <v>20</v>
      </c>
      <c r="D14" s="4" t="n">
        <f aca="false">Assumptions!D19</f>
        <v>20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847.800636168</v>
      </c>
      <c r="D15" s="0" t="n">
        <f aca="false">D13-MAX(0,D13)*D14/100</f>
        <v>788.76102560112</v>
      </c>
      <c r="E15" s="0" t="n">
        <f aca="false">E13-MAX(0,E13)*E14/100</f>
        <v>745.581415609879</v>
      </c>
      <c r="F15" s="0" t="n">
        <f aca="false">F13-MAX(0,F13)*F14/100</f>
        <v>750.075330991637</v>
      </c>
      <c r="G15" s="0" t="n">
        <f aca="false">G13-MAX(0,G13)*G14/100</f>
        <v>754.450770422422</v>
      </c>
      <c r="H15" s="0" t="n">
        <f aca="false">H13-MAX(0,H13)*H14/100</f>
        <v>769.53978583087</v>
      </c>
      <c r="I15" s="0" t="n">
        <f aca="false">I13-MAX(0,I13)*I14/100</f>
        <v>784.930581547488</v>
      </c>
      <c r="J15" s="0" t="n">
        <f aca="false">J13-MAX(0,J13)*J14/100</f>
        <v>800.629193178438</v>
      </c>
      <c r="K15" s="0" t="n">
        <f aca="false">K13-MAX(0,K13)*K14/100</f>
        <v>816.641777042006</v>
      </c>
      <c r="L15" s="0" t="n">
        <f aca="false">L13-MAX(0,L13)*L14/100</f>
        <v>832.974612582846</v>
      </c>
    </row>
    <row r="16" customFormat="false" ht="15" hidden="false" customHeight="false" outlineLevel="0" collapsed="false">
      <c r="A16" s="0" t="s">
        <v>118</v>
      </c>
      <c r="C16" s="0" t="n">
        <f aca="false">-C12</f>
        <v>434.11478358</v>
      </c>
      <c r="D16" s="0" t="n">
        <f aca="false">-D12</f>
        <v>442.4140367955</v>
      </c>
      <c r="E16" s="0" t="n">
        <f aca="false">-E12</f>
        <v>459.604982225268</v>
      </c>
      <c r="F16" s="0" t="n">
        <f aca="false">-F12</f>
        <v>481.819223032823</v>
      </c>
      <c r="G16" s="0" t="n">
        <f aca="false">-G12</f>
        <v>504.738191479789</v>
      </c>
      <c r="H16" s="0" t="n">
        <f aca="false">-H12</f>
        <v>514.832955309385</v>
      </c>
      <c r="I16" s="0" t="n">
        <f aca="false">-I12</f>
        <v>525.129614415573</v>
      </c>
      <c r="J16" s="0" t="n">
        <f aca="false">-J12</f>
        <v>535.632206703884</v>
      </c>
      <c r="K16" s="0" t="n">
        <f aca="false">-K12</f>
        <v>546.344850837962</v>
      </c>
      <c r="L16" s="0" t="n">
        <f aca="false">-L12</f>
        <v>557.271747854721</v>
      </c>
    </row>
    <row r="17" customFormat="false" ht="15" hidden="false" customHeight="false" outlineLevel="0" collapsed="false">
      <c r="A17" s="0" t="s">
        <v>119</v>
      </c>
      <c r="C17" s="4" t="n">
        <f aca="false">-C6*Assumptions!C18/100</f>
        <v>-868.22956716</v>
      </c>
      <c r="D17" s="4" t="n">
        <f aca="false">-D6*Assumptions!D18/100</f>
        <v>-808.9856672832</v>
      </c>
      <c r="E17" s="4" t="n">
        <f aca="false">-E6*Assumptions!E18/100</f>
        <v>-766.00830370878</v>
      </c>
      <c r="F17" s="4" t="n">
        <f aca="false">-F6*Assumptions!F18/100</f>
        <v>-729.239905130759</v>
      </c>
      <c r="G17" s="4" t="n">
        <f aca="false">-G6*Assumptions!G18/100</f>
        <v>-690.694367288133</v>
      </c>
      <c r="H17" s="4" t="n">
        <f aca="false">-H6*Assumptions!H18/100</f>
        <v>-677.411783301823</v>
      </c>
      <c r="I17" s="4" t="n">
        <f aca="false">-I6*Assumptions!I18/100</f>
        <v>-690.960018967859</v>
      </c>
      <c r="J17" s="4" t="n">
        <f aca="false">-J6*Assumptions!J18/100</f>
        <v>-704.779219347216</v>
      </c>
      <c r="K17" s="4" t="n">
        <f aca="false">-K6*Assumptions!K18/100</f>
        <v>-718.874803734161</v>
      </c>
      <c r="L17" s="4" t="n">
        <f aca="false">-L6*Assumptions!L18/100</f>
        <v>-733.252299808844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(C6-B6)*Assumptions!$B$23/100</f>
        <v>63.1822607999999</v>
      </c>
      <c r="D18" s="4" t="n">
        <f aca="false">(D6-C6)*Assumptions!$B$23/100</f>
        <v>20.4289309920001</v>
      </c>
      <c r="E18" s="4" t="n">
        <f aca="false">(E6-D6)*Assumptions!$B$23/100</f>
        <v>-20.2246416820801</v>
      </c>
      <c r="F18" s="4" t="n">
        <f aca="false">(F6-E6)*Assumptions!$B$23/100</f>
        <v>-40.8537761978016</v>
      </c>
      <c r="G18" s="4" t="n">
        <f aca="false">(G6-F6)*Assumptions!$B$23/100</f>
        <v>-41.6708517217578</v>
      </c>
      <c r="H18" s="4" t="n">
        <f aca="false">(H6-G6)*Assumptions!$B$23/100</f>
        <v>-42.5042687561928</v>
      </c>
      <c r="I18" s="4" t="n">
        <f aca="false">(I6-H6)*Assumptions!$B$23/100</f>
        <v>-43.3543541313167</v>
      </c>
      <c r="J18" s="4" t="n">
        <f aca="false">(J6-I6)*Assumptions!$B$23/100</f>
        <v>-44.2214412139429</v>
      </c>
      <c r="K18" s="4" t="n">
        <f aca="false">(K6-J6)*Assumptions!$B$23/100</f>
        <v>-45.1058700382218</v>
      </c>
      <c r="L18" s="4" t="n">
        <f aca="false">(L6-K6)*Assumptions!$B$23/100</f>
        <v>-46.0079874389863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476.868113388</v>
      </c>
      <c r="D19" s="0" t="n">
        <f aca="false">D15+D16+D17+D18</f>
        <v>442.61832610542</v>
      </c>
      <c r="E19" s="0" t="n">
        <f aca="false">E15+E16+E17+E18</f>
        <v>418.953452444287</v>
      </c>
      <c r="F19" s="0" t="n">
        <f aca="false">F15+F16+F17+F18</f>
        <v>461.8008726959</v>
      </c>
      <c r="G19" s="0" t="n">
        <f aca="false">G15+G16+G17+G18</f>
        <v>526.823742892321</v>
      </c>
      <c r="H19" s="0" t="n">
        <f aca="false">H15+H16+H17+H18</f>
        <v>564.45668908224</v>
      </c>
      <c r="I19" s="0" t="n">
        <f aca="false">I15+I16+I17+I18</f>
        <v>575.745822863885</v>
      </c>
      <c r="J19" s="0" t="n">
        <f aca="false">J15+J16+J17+J18</f>
        <v>587.260739321163</v>
      </c>
      <c r="K19" s="0" t="n">
        <f aca="false">K15+K16+K17+K18</f>
        <v>599.005954107586</v>
      </c>
      <c r="L19" s="0" t="n">
        <f aca="false">L15+L16+L17+L18</f>
        <v>610.986073189738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439.509781924424</v>
      </c>
      <c r="D21" s="0" t="n">
        <f aca="false">D19*D20</f>
        <v>375.984477143639</v>
      </c>
      <c r="E21" s="0" t="n">
        <f aca="false">E19*E20</f>
        <v>328.002050784146</v>
      </c>
      <c r="F21" s="0" t="n">
        <f aca="false">F19*F20</f>
        <v>333.22363418986</v>
      </c>
      <c r="G21" s="0" t="n">
        <f aca="false">G19*G20</f>
        <v>350.361719090222</v>
      </c>
      <c r="H21" s="0" t="n">
        <f aca="false">H19*H20</f>
        <v>345.980956422754</v>
      </c>
      <c r="I21" s="0" t="n">
        <f aca="false">I19*I20</f>
        <v>325.253986683142</v>
      </c>
      <c r="J21" s="0" t="n">
        <f aca="false">J19*J20</f>
        <v>305.768724808115</v>
      </c>
      <c r="K21" s="0" t="n">
        <f aca="false">K19*K20</f>
        <v>287.450782768919</v>
      </c>
      <c r="L21" s="0" t="n">
        <f aca="false">L19*L20</f>
        <v>270.230228962486</v>
      </c>
    </row>
    <row r="23" customFormat="false" ht="15" hidden="false" customHeight="false" outlineLevel="0" collapsed="false">
      <c r="A23" s="0" t="s">
        <v>99</v>
      </c>
      <c r="C23" s="4" t="n">
        <f aca="false">Assumptions!C16</f>
        <v>0.25</v>
      </c>
      <c r="D23" s="4" t="n">
        <f aca="false">Assumptions!D16</f>
        <v>0.25</v>
      </c>
      <c r="E23" s="4" t="n">
        <f aca="false">Assumptions!E16</f>
        <v>0.25</v>
      </c>
      <c r="F23" s="4" t="n">
        <f aca="false">Assumptions!F16</f>
        <v>0.25</v>
      </c>
      <c r="G23" s="4" t="n">
        <f aca="false">Assumptions!G16</f>
        <v>0.25</v>
      </c>
      <c r="H23" s="4" t="n">
        <f aca="false">Assumptions!H16</f>
        <v>0.25</v>
      </c>
      <c r="I23" s="4" t="n">
        <f aca="false">Assumptions!I16</f>
        <v>0.25</v>
      </c>
      <c r="J23" s="4" t="n">
        <f aca="false">Assumptions!J16</f>
        <v>0.25</v>
      </c>
      <c r="K23" s="4" t="n">
        <f aca="false">Assumptions!K16</f>
        <v>0.25</v>
      </c>
      <c r="L23" s="4" t="n">
        <f aca="false">Assumptions!L16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-63.84040935</v>
      </c>
      <c r="D24" s="0" t="n">
        <f aca="false">-D6*D23/100</f>
        <v>-63.2020052565</v>
      </c>
      <c r="E24" s="0" t="n">
        <f aca="false">-E6*E23/100</f>
        <v>-63.834025309065</v>
      </c>
      <c r="F24" s="0" t="n">
        <f aca="false">-F6*F23/100</f>
        <v>-65.1107058152463</v>
      </c>
      <c r="G24" s="0" t="n">
        <f aca="false">-G6*G23/100</f>
        <v>-66.4129199315512</v>
      </c>
      <c r="H24" s="0" t="n">
        <f aca="false">-H6*H23/100</f>
        <v>-67.7411783301823</v>
      </c>
      <c r="I24" s="0" t="n">
        <f aca="false">-I6*I23/100</f>
        <v>-69.0960018967859</v>
      </c>
      <c r="J24" s="0" t="n">
        <f aca="false">-J6*J23/100</f>
        <v>-70.4779219347216</v>
      </c>
      <c r="K24" s="0" t="n">
        <f aca="false">-K6*K23/100</f>
        <v>-71.8874803734161</v>
      </c>
      <c r="L24" s="0" t="n">
        <f aca="false">-L6*L23/100</f>
        <v>-73.3252299808844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3361.76634277771</v>
      </c>
    </row>
    <row r="31" customFormat="false" ht="15" hidden="false" customHeight="false" outlineLevel="0" collapsed="false">
      <c r="A31" s="0" t="s">
        <v>127</v>
      </c>
      <c r="B31" s="0" t="n">
        <f aca="false">L19</f>
        <v>610.986073189738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9587.78145620819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7331.83287827685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7331.83287827685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3242.76274754983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6604.52909032754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8731.92309032754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4.81870358174705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-0.236338576585254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525.398226387033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610.694646835692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5.44565537011768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4793.8907281041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3.22108947935046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Assumptions!C27</f>
        <v>3</v>
      </c>
      <c r="D5" s="4" t="n">
        <f aca="false">Assumptions!D27</f>
        <v>6</v>
      </c>
      <c r="E5" s="4" t="n">
        <f aca="false">Assumptions!E27</f>
        <v>6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26325.942</v>
      </c>
      <c r="C6" s="0" t="n">
        <f aca="false">B6*(1+C5/100)</f>
        <v>27115.72026</v>
      </c>
      <c r="D6" s="0" t="n">
        <f aca="false">C6*(1+D5/100)</f>
        <v>28742.6634756</v>
      </c>
      <c r="E6" s="0" t="n">
        <f aca="false">D6*(1+E5/100)</f>
        <v>30467.223284136</v>
      </c>
      <c r="F6" s="0" t="n">
        <f aca="false">E6*(1+F5/100)</f>
        <v>31990.5844483428</v>
      </c>
      <c r="G6" s="0" t="n">
        <f aca="false">F6*(1+G5/100)</f>
        <v>33430.1607485182</v>
      </c>
      <c r="H6" s="0" t="n">
        <f aca="false">G6*(1+H5/100)</f>
        <v>34767.367178459</v>
      </c>
      <c r="I6" s="0" t="n">
        <f aca="false">H6*(1+I5/100)</f>
        <v>35984.225029705</v>
      </c>
      <c r="J6" s="0" t="n">
        <f aca="false">I6*(1+J5/100)</f>
        <v>37063.7517805962</v>
      </c>
      <c r="K6" s="0" t="n">
        <f aca="false">J6*(1+K5/100)</f>
        <v>38175.6643340141</v>
      </c>
      <c r="L6" s="0" t="n">
        <f aca="false">K6*(1+L5/100)</f>
        <v>39130.0559423644</v>
      </c>
    </row>
    <row r="7" customFormat="false" ht="15" hidden="false" customHeight="false" outlineLevel="0" collapsed="false">
      <c r="A7" s="0" t="s">
        <v>97</v>
      </c>
      <c r="C7" s="4" t="n">
        <f aca="false">Assumptions!C28</f>
        <v>6.7</v>
      </c>
      <c r="D7" s="4" t="n">
        <f aca="false">Assumptions!D28</f>
        <v>6.9</v>
      </c>
      <c r="E7" s="4" t="n">
        <f aca="false">Assumptions!E28</f>
        <v>7.1</v>
      </c>
      <c r="F7" s="4" t="n">
        <f aca="false">Assumptions!F28</f>
        <v>7.2</v>
      </c>
      <c r="G7" s="4" t="n">
        <f aca="false">Assumptions!G28</f>
        <v>7.3</v>
      </c>
      <c r="H7" s="4" t="n">
        <f aca="false">Assumptions!H28</f>
        <v>7.3</v>
      </c>
      <c r="I7" s="4" t="n">
        <f aca="false">Assumptions!I28</f>
        <v>7.3</v>
      </c>
      <c r="J7" s="4" t="n">
        <f aca="false">Assumptions!J28</f>
        <v>7.3</v>
      </c>
      <c r="K7" s="4" t="n">
        <f aca="false">Assumptions!K28</f>
        <v>7.3</v>
      </c>
      <c r="L7" s="4" t="n">
        <f aca="false">Assumptions!L28</f>
        <v>7.3</v>
      </c>
    </row>
    <row r="8" customFormat="false" ht="15" hidden="false" customHeight="false" outlineLevel="0" collapsed="false">
      <c r="A8" s="0" t="s">
        <v>44</v>
      </c>
      <c r="C8" s="0" t="n">
        <f aca="false">C6*C7/100</f>
        <v>1816.75325742</v>
      </c>
      <c r="D8" s="0" t="n">
        <f aca="false">D6*D7/100</f>
        <v>1983.2437798164</v>
      </c>
      <c r="E8" s="0" t="n">
        <f aca="false">E6*E7/100</f>
        <v>2163.17285317366</v>
      </c>
      <c r="F8" s="0" t="n">
        <f aca="false">F6*F7/100</f>
        <v>2303.32208028068</v>
      </c>
      <c r="G8" s="0" t="n">
        <f aca="false">G6*G7/100</f>
        <v>2440.40173464183</v>
      </c>
      <c r="H8" s="0" t="n">
        <f aca="false">H6*H7/100</f>
        <v>2538.0178040275</v>
      </c>
      <c r="I8" s="0" t="n">
        <f aca="false">I6*I7/100</f>
        <v>2626.84842716847</v>
      </c>
      <c r="J8" s="0" t="n">
        <f aca="false">J6*J7/100</f>
        <v>2705.65387998352</v>
      </c>
      <c r="K8" s="0" t="n">
        <f aca="false">K6*K7/100</f>
        <v>2786.82349638303</v>
      </c>
      <c r="L8" s="0" t="n">
        <f aca="false">L6*L7/100</f>
        <v>2856.4940837926</v>
      </c>
    </row>
    <row r="9" customFormat="false" ht="15" hidden="false" customHeight="false" outlineLevel="0" collapsed="false">
      <c r="A9" s="0" t="s">
        <v>98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-81.34716078</v>
      </c>
      <c r="D10" s="0" t="n">
        <f aca="false">-D6*D9/100</f>
        <v>-86.2279904268</v>
      </c>
      <c r="E10" s="0" t="n">
        <f aca="false">-E6*E9/100</f>
        <v>-91.401669852408</v>
      </c>
      <c r="F10" s="0" t="n">
        <f aca="false">-F6*F9/100</f>
        <v>-95.9717533450284</v>
      </c>
      <c r="G10" s="0" t="n">
        <f aca="false">-G6*G9/100</f>
        <v>-100.290482245555</v>
      </c>
      <c r="H10" s="0" t="n">
        <f aca="false">-H6*H9/100</f>
        <v>-104.302101535377</v>
      </c>
      <c r="I10" s="0" t="n">
        <f aca="false">-I6*I9/100</f>
        <v>-107.952675089115</v>
      </c>
      <c r="J10" s="0" t="n">
        <f aca="false">-J6*J9/100</f>
        <v>-111.191255341788</v>
      </c>
      <c r="K10" s="0" t="n">
        <f aca="false">-K6*K9/100</f>
        <v>-114.526993002042</v>
      </c>
      <c r="L10" s="0" t="n">
        <f aca="false">-L6*L9/100</f>
        <v>-117.390167827093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1667.61679599</v>
      </c>
      <c r="D11" s="0" t="n">
        <f aca="false">D8+D10+D24</f>
        <v>1825.1591307006</v>
      </c>
      <c r="E11" s="0" t="n">
        <f aca="false">E8+E10+E24</f>
        <v>1995.60312511091</v>
      </c>
      <c r="F11" s="0" t="n">
        <f aca="false">F8+F10+F24</f>
        <v>2127.3738658148</v>
      </c>
      <c r="G11" s="0" t="n">
        <f aca="false">G8+G10+G24</f>
        <v>2256.53585052498</v>
      </c>
      <c r="H11" s="0" t="n">
        <f aca="false">H8+H10+H24</f>
        <v>2346.79728454598</v>
      </c>
      <c r="I11" s="0" t="n">
        <f aca="false">I8+I10+I24</f>
        <v>2428.93518950509</v>
      </c>
      <c r="J11" s="0" t="n">
        <f aca="false">J8+J10+J24</f>
        <v>2501.80324519024</v>
      </c>
      <c r="K11" s="0" t="n">
        <f aca="false">K8+K10+K24</f>
        <v>2576.85734254595</v>
      </c>
      <c r="L11" s="0" t="n">
        <f aca="false">L8+L10+L24</f>
        <v>2641.2787761096</v>
      </c>
    </row>
    <row r="12" customFormat="false" ht="15" hidden="false" customHeight="false" outlineLevel="0" collapsed="false">
      <c r="A12" s="0" t="s">
        <v>115</v>
      </c>
      <c r="C12" s="4" t="n">
        <f aca="false">-C6*Assumptions!C31/100</f>
        <v>-460.96724442</v>
      </c>
      <c r="D12" s="4" t="n">
        <f aca="false">-D6*Assumptions!D31/100</f>
        <v>-488.6252790852</v>
      </c>
      <c r="E12" s="4" t="n">
        <f aca="false">-E6*Assumptions!E31/100</f>
        <v>-533.17640747238</v>
      </c>
      <c r="F12" s="4" t="n">
        <f aca="false">-F6*Assumptions!F31/100</f>
        <v>-575.830520070171</v>
      </c>
      <c r="G12" s="4" t="n">
        <f aca="false">-G6*Assumptions!G31/100</f>
        <v>-601.742893473328</v>
      </c>
      <c r="H12" s="4" t="n">
        <f aca="false">-H6*Assumptions!H31/100</f>
        <v>-643.196292801491</v>
      </c>
      <c r="I12" s="4" t="n">
        <f aca="false">-I6*Assumptions!I31/100</f>
        <v>-683.700275564395</v>
      </c>
      <c r="J12" s="4" t="n">
        <f aca="false">-J6*Assumptions!J31/100</f>
        <v>-704.211283831327</v>
      </c>
      <c r="K12" s="4" t="n">
        <f aca="false">-K6*Assumptions!K31/100</f>
        <v>-725.337622346267</v>
      </c>
      <c r="L12" s="4" t="n">
        <f aca="false">-L6*Assumptions!L31/100</f>
        <v>-743.471062904924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1206.64955157</v>
      </c>
      <c r="D13" s="0" t="n">
        <f aca="false">D11+D12</f>
        <v>1336.5338516154</v>
      </c>
      <c r="E13" s="0" t="n">
        <f aca="false">E11+E12</f>
        <v>1462.42671763853</v>
      </c>
      <c r="F13" s="0" t="n">
        <f aca="false">F11+F12</f>
        <v>1551.54334574463</v>
      </c>
      <c r="G13" s="0" t="n">
        <f aca="false">G11+G12</f>
        <v>1654.79295705165</v>
      </c>
      <c r="H13" s="0" t="n">
        <f aca="false">H11+H12</f>
        <v>1703.60099174449</v>
      </c>
      <c r="I13" s="0" t="n">
        <f aca="false">I11+I12</f>
        <v>1745.23491394069</v>
      </c>
      <c r="J13" s="0" t="n">
        <f aca="false">J11+J12</f>
        <v>1797.59196135891</v>
      </c>
      <c r="K13" s="0" t="n">
        <f aca="false">K11+K12</f>
        <v>1851.51972019968</v>
      </c>
      <c r="L13" s="0" t="n">
        <f aca="false">L11+L12</f>
        <v>1897.80771320467</v>
      </c>
    </row>
    <row r="14" customFormat="false" ht="15" hidden="false" customHeight="false" outlineLevel="0" collapsed="false">
      <c r="A14" s="0" t="s">
        <v>102</v>
      </c>
      <c r="C14" s="4" t="n">
        <f aca="false">Assumptions!C33</f>
        <v>20</v>
      </c>
      <c r="D14" s="4" t="n">
        <f aca="false">Assumptions!D33</f>
        <v>20</v>
      </c>
      <c r="E14" s="4" t="n">
        <f aca="false">Assumptions!E33</f>
        <v>20</v>
      </c>
      <c r="F14" s="4" t="n">
        <f aca="false">Assumptions!F33</f>
        <v>20</v>
      </c>
      <c r="G14" s="4" t="n">
        <f aca="false">Assumptions!G33</f>
        <v>20</v>
      </c>
      <c r="H14" s="4" t="n">
        <f aca="false">Assumptions!H33</f>
        <v>20</v>
      </c>
      <c r="I14" s="4" t="n">
        <f aca="false">Assumptions!I33</f>
        <v>20</v>
      </c>
      <c r="J14" s="4" t="n">
        <f aca="false">Assumptions!J33</f>
        <v>20</v>
      </c>
      <c r="K14" s="4" t="n">
        <f aca="false">Assumptions!K33</f>
        <v>20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965.319641256</v>
      </c>
      <c r="D15" s="0" t="n">
        <f aca="false">D13-MAX(0,D13)*D14/100</f>
        <v>1069.22708129232</v>
      </c>
      <c r="E15" s="0" t="n">
        <f aca="false">E13-MAX(0,E13)*E14/100</f>
        <v>1169.94137411082</v>
      </c>
      <c r="F15" s="0" t="n">
        <f aca="false">F13-MAX(0,F13)*F14/100</f>
        <v>1241.2346765957</v>
      </c>
      <c r="G15" s="0" t="n">
        <f aca="false">G13-MAX(0,G13)*G14/100</f>
        <v>1323.83436564132</v>
      </c>
      <c r="H15" s="0" t="n">
        <f aca="false">H13-MAX(0,H13)*H14/100</f>
        <v>1362.88079339559</v>
      </c>
      <c r="I15" s="0" t="n">
        <f aca="false">I13-MAX(0,I13)*I14/100</f>
        <v>1396.18793115255</v>
      </c>
      <c r="J15" s="0" t="n">
        <f aca="false">J13-MAX(0,J13)*J14/100</f>
        <v>1438.07356908713</v>
      </c>
      <c r="K15" s="0" t="n">
        <f aca="false">K13-MAX(0,K13)*K14/100</f>
        <v>1481.21577615975</v>
      </c>
      <c r="L15" s="0" t="n">
        <f aca="false">L13-MAX(0,L13)*L14/100</f>
        <v>1518.24617056374</v>
      </c>
    </row>
    <row r="16" customFormat="false" ht="15" hidden="false" customHeight="false" outlineLevel="0" collapsed="false">
      <c r="A16" s="0" t="s">
        <v>118</v>
      </c>
      <c r="C16" s="0" t="n">
        <f aca="false">-C12</f>
        <v>460.96724442</v>
      </c>
      <c r="D16" s="0" t="n">
        <f aca="false">-D12</f>
        <v>488.6252790852</v>
      </c>
      <c r="E16" s="0" t="n">
        <f aca="false">-E12</f>
        <v>533.17640747238</v>
      </c>
      <c r="F16" s="0" t="n">
        <f aca="false">-F12</f>
        <v>575.830520070171</v>
      </c>
      <c r="G16" s="0" t="n">
        <f aca="false">-G12</f>
        <v>601.742893473328</v>
      </c>
      <c r="H16" s="0" t="n">
        <f aca="false">-H12</f>
        <v>643.196292801491</v>
      </c>
      <c r="I16" s="0" t="n">
        <f aca="false">-I12</f>
        <v>683.700275564395</v>
      </c>
      <c r="J16" s="0" t="n">
        <f aca="false">-J12</f>
        <v>704.211283831327</v>
      </c>
      <c r="K16" s="0" t="n">
        <f aca="false">-K12</f>
        <v>725.337622346267</v>
      </c>
      <c r="L16" s="0" t="n">
        <f aca="false">-L12</f>
        <v>743.471062904924</v>
      </c>
    </row>
    <row r="17" customFormat="false" ht="15" hidden="false" customHeight="false" outlineLevel="0" collapsed="false">
      <c r="A17" s="0" t="s">
        <v>119</v>
      </c>
      <c r="C17" s="4" t="n">
        <f aca="false">-C6*Assumptions!C32/100</f>
        <v>-976.16592936</v>
      </c>
      <c r="D17" s="4" t="n">
        <f aca="false">-D6*Assumptions!D32/100</f>
        <v>-1005.993221646</v>
      </c>
      <c r="E17" s="4" t="n">
        <f aca="false">-E6*Assumptions!E32/100</f>
        <v>-1005.41836837649</v>
      </c>
      <c r="F17" s="4" t="n">
        <f aca="false">-F6*Assumptions!F32/100</f>
        <v>-991.708117898627</v>
      </c>
      <c r="G17" s="4" t="n">
        <f aca="false">-G6*Assumptions!G32/100</f>
        <v>-1002.90482245555</v>
      </c>
      <c r="H17" s="4" t="n">
        <f aca="false">-H6*Assumptions!H32/100</f>
        <v>-973.486280996851</v>
      </c>
      <c r="I17" s="4" t="n">
        <f aca="false">-I6*Assumptions!I32/100</f>
        <v>-935.58985077233</v>
      </c>
      <c r="J17" s="4" t="n">
        <f aca="false">-J6*Assumptions!J32/100</f>
        <v>-926.593794514904</v>
      </c>
      <c r="K17" s="4" t="n">
        <f aca="false">-K6*Assumptions!K32/100</f>
        <v>-954.391608350351</v>
      </c>
      <c r="L17" s="4" t="n">
        <f aca="false">-L6*Assumptions!L32/100</f>
        <v>-978.25139855911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(C6-B6)*Assumptions!$B$37/100</f>
        <v>-39.488913</v>
      </c>
      <c r="D18" s="4" t="n">
        <f aca="false">(D6-C6)*Assumptions!$B$37/100</f>
        <v>-81.34716078</v>
      </c>
      <c r="E18" s="4" t="n">
        <f aca="false">(E6-D6)*Assumptions!$B$37/100</f>
        <v>-86.2279904268</v>
      </c>
      <c r="F18" s="4" t="n">
        <f aca="false">(F6-E6)*Assumptions!$B$37/100</f>
        <v>-76.1680582103401</v>
      </c>
      <c r="G18" s="4" t="n">
        <f aca="false">(G6-F6)*Assumptions!$B$37/100</f>
        <v>-71.9788150087712</v>
      </c>
      <c r="H18" s="4" t="n">
        <f aca="false">(H6-G6)*Assumptions!$B$37/100</f>
        <v>-66.8603214970364</v>
      </c>
      <c r="I18" s="4" t="n">
        <f aca="false">(I6-H6)*Assumptions!$B$37/100</f>
        <v>-60.842892562303</v>
      </c>
      <c r="J18" s="4" t="n">
        <f aca="false">(J6-I6)*Assumptions!$B$37/100</f>
        <v>-53.9763375445575</v>
      </c>
      <c r="K18" s="4" t="n">
        <f aca="false">(K6-J6)*Assumptions!$B$37/100</f>
        <v>-55.5956276708945</v>
      </c>
      <c r="L18" s="4" t="n">
        <f aca="false">(L6-K6)*Assumptions!$B$37/100</f>
        <v>-47.7195804175175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410.632043316</v>
      </c>
      <c r="D19" s="0" t="n">
        <f aca="false">D15+D16+D17+D18</f>
        <v>470.51197795152</v>
      </c>
      <c r="E19" s="0" t="n">
        <f aca="false">E15+E16+E17+E18</f>
        <v>611.471422779915</v>
      </c>
      <c r="F19" s="0" t="n">
        <f aca="false">F15+F16+F17+F18</f>
        <v>749.189020556904</v>
      </c>
      <c r="G19" s="0" t="n">
        <f aca="false">G15+G16+G17+G18</f>
        <v>850.693621650332</v>
      </c>
      <c r="H19" s="0" t="n">
        <f aca="false">H15+H16+H17+H18</f>
        <v>965.730483703195</v>
      </c>
      <c r="I19" s="0" t="n">
        <f aca="false">I15+I16+I17+I18</f>
        <v>1083.45546338232</v>
      </c>
      <c r="J19" s="0" t="n">
        <f aca="false">J15+J16+J17+J18</f>
        <v>1161.714720859</v>
      </c>
      <c r="K19" s="0" t="n">
        <f aca="false">K15+K16+K17+K18</f>
        <v>1196.56616248477</v>
      </c>
      <c r="L19" s="0" t="n">
        <f aca="false">L15+L16+L17+L18</f>
        <v>1235.74625449203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378.46271273364</v>
      </c>
      <c r="D21" s="0" t="n">
        <f aca="false">D19*D20</f>
        <v>399.678887172393</v>
      </c>
      <c r="E21" s="0" t="n">
        <f aca="false">E19*E20</f>
        <v>478.725928853355</v>
      </c>
      <c r="F21" s="0" t="n">
        <f aca="false">F19*F20</f>
        <v>540.595531289757</v>
      </c>
      <c r="G21" s="0" t="n">
        <f aca="false">G19*G20</f>
        <v>565.749899699218</v>
      </c>
      <c r="H21" s="0" t="n">
        <f aca="false">H19*H20</f>
        <v>591.939758817454</v>
      </c>
      <c r="I21" s="0" t="n">
        <f aca="false">I19*I20</f>
        <v>612.072541153358</v>
      </c>
      <c r="J21" s="0" t="n">
        <f aca="false">J19*J20</f>
        <v>604.869362114141</v>
      </c>
      <c r="K21" s="0" t="n">
        <f aca="false">K19*K20</f>
        <v>574.207781546143</v>
      </c>
      <c r="L21" s="0" t="n">
        <f aca="false">L19*L20</f>
        <v>546.552545048298</v>
      </c>
    </row>
    <row r="23" customFormat="false" ht="15" hidden="false" customHeight="false" outlineLevel="0" collapsed="false">
      <c r="A23" s="0" t="s">
        <v>99</v>
      </c>
      <c r="C23" s="4" t="n">
        <f aca="false">Assumptions!C30</f>
        <v>0.25</v>
      </c>
      <c r="D23" s="4" t="n">
        <f aca="false">Assumptions!D30</f>
        <v>0.25</v>
      </c>
      <c r="E23" s="4" t="n">
        <f aca="false">Assumptions!E30</f>
        <v>0.25</v>
      </c>
      <c r="F23" s="4" t="n">
        <f aca="false">Assumptions!F30</f>
        <v>0.25</v>
      </c>
      <c r="G23" s="4" t="n">
        <f aca="false">Assumptions!G30</f>
        <v>0.25</v>
      </c>
      <c r="H23" s="4" t="n">
        <f aca="false">Assumptions!H30</f>
        <v>0.25</v>
      </c>
      <c r="I23" s="4" t="n">
        <f aca="false">Assumptions!I30</f>
        <v>0.25</v>
      </c>
      <c r="J23" s="4" t="n">
        <f aca="false">Assumptions!J30</f>
        <v>0.25</v>
      </c>
      <c r="K23" s="4" t="n">
        <f aca="false">Assumptions!K30</f>
        <v>0.25</v>
      </c>
      <c r="L23" s="4" t="n">
        <f aca="false">Assumptions!L30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-67.78930065</v>
      </c>
      <c r="D24" s="0" t="n">
        <f aca="false">-D6*D23/100</f>
        <v>-71.856658689</v>
      </c>
      <c r="E24" s="0" t="n">
        <f aca="false">-E6*E23/100</f>
        <v>-76.16805821034</v>
      </c>
      <c r="F24" s="0" t="n">
        <f aca="false">-F6*F23/100</f>
        <v>-79.976461120857</v>
      </c>
      <c r="G24" s="0" t="n">
        <f aca="false">-G6*G23/100</f>
        <v>-83.5754018712956</v>
      </c>
      <c r="H24" s="0" t="n">
        <f aca="false">-H6*H23/100</f>
        <v>-86.9184179461474</v>
      </c>
      <c r="I24" s="0" t="n">
        <f aca="false">-I6*I23/100</f>
        <v>-89.9605625742625</v>
      </c>
      <c r="J24" s="0" t="n">
        <f aca="false">-J6*J23/100</f>
        <v>-92.6593794514904</v>
      </c>
      <c r="K24" s="0" t="n">
        <f aca="false">-K6*K23/100</f>
        <v>-95.4391608350351</v>
      </c>
      <c r="L24" s="0" t="n">
        <f aca="false">-L6*L23/100</f>
        <v>-97.825139855911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5292.85494842776</v>
      </c>
    </row>
    <row r="31" customFormat="false" ht="15" hidden="false" customHeight="false" outlineLevel="0" collapsed="false">
      <c r="A31" s="0" t="s">
        <v>127</v>
      </c>
      <c r="B31" s="0" t="n">
        <f aca="false">L19</f>
        <v>1235.74625449203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21110.6651809056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17300.4475628885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17300.4475628885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7651.73563067618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12944.5905791039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15071.9845791039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8.31746057816458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0.318139552799459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645.418543748337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886.965967935385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9.16310553617429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10133.1192868347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4.66231158475894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111</v>
      </c>
      <c r="B3" s="0" t="s">
        <v>72</v>
      </c>
      <c r="C3" s="2" t="s">
        <v>86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93</v>
      </c>
      <c r="K3" s="2" t="s">
        <v>94</v>
      </c>
      <c r="L3" s="2" t="s">
        <v>95</v>
      </c>
    </row>
    <row r="4" customFormat="false" ht="15" hidden="false" customHeight="false" outlineLevel="0" collapsed="false">
      <c r="A4" s="0" t="s">
        <v>112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96</v>
      </c>
      <c r="C5" s="4" t="n">
        <f aca="false">Assumptions!C41</f>
        <v>5</v>
      </c>
      <c r="D5" s="4" t="n">
        <f aca="false">Assumptions!D41</f>
        <v>9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26325.942</v>
      </c>
      <c r="C6" s="0" t="n">
        <f aca="false">B6*(1+C5/100)</f>
        <v>27642.2391</v>
      </c>
      <c r="D6" s="0" t="n">
        <f aca="false">C6*(1+D5/100)</f>
        <v>30130.040619</v>
      </c>
      <c r="E6" s="0" t="n">
        <f aca="false">D6*(1+E5/100)</f>
        <v>32841.74427471</v>
      </c>
      <c r="F6" s="0" t="n">
        <f aca="false">E6*(1+F5/100)</f>
        <v>35469.0838166868</v>
      </c>
      <c r="G6" s="0" t="n">
        <f aca="false">F6*(1+G5/100)</f>
        <v>37597.228845688</v>
      </c>
      <c r="H6" s="0" t="n">
        <f aca="false">G6*(1+H5/100)</f>
        <v>39477.0902879724</v>
      </c>
      <c r="I6" s="0" t="n">
        <f aca="false">H6*(1+I5/100)</f>
        <v>41056.1738994913</v>
      </c>
      <c r="J6" s="0" t="n">
        <f aca="false">I6*(1+J5/100)</f>
        <v>42493.1399859735</v>
      </c>
      <c r="K6" s="0" t="n">
        <f aca="false">J6*(1+K5/100)</f>
        <v>43767.9341855527</v>
      </c>
      <c r="L6" s="0" t="n">
        <f aca="false">K6*(1+L5/100)</f>
        <v>45080.9722111193</v>
      </c>
    </row>
    <row r="7" customFormat="false" ht="15" hidden="false" customHeight="false" outlineLevel="0" collapsed="false">
      <c r="A7" s="0" t="s">
        <v>97</v>
      </c>
      <c r="C7" s="4" t="n">
        <f aca="false">Assumptions!C42</f>
        <v>6.9</v>
      </c>
      <c r="D7" s="4" t="n">
        <f aca="false">Assumptions!D42</f>
        <v>7.3</v>
      </c>
      <c r="E7" s="4" t="n">
        <f aca="false">Assumptions!E42</f>
        <v>7.7</v>
      </c>
      <c r="F7" s="4" t="n">
        <f aca="false">Assumptions!F42</f>
        <v>8</v>
      </c>
      <c r="G7" s="4" t="n">
        <f aca="false">Assumptions!G42</f>
        <v>8.1</v>
      </c>
      <c r="H7" s="4" t="n">
        <f aca="false">Assumptions!H42</f>
        <v>8.2</v>
      </c>
      <c r="I7" s="4" t="n">
        <f aca="false">Assumptions!I42</f>
        <v>8.2</v>
      </c>
      <c r="J7" s="4" t="n">
        <f aca="false">Assumptions!J42</f>
        <v>8.2</v>
      </c>
      <c r="K7" s="4" t="n">
        <f aca="false">Assumptions!K42</f>
        <v>8.2</v>
      </c>
      <c r="L7" s="4" t="n">
        <f aca="false">Assumptions!L42</f>
        <v>8.2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1907.3144979</v>
      </c>
      <c r="D8" s="0" t="n">
        <f aca="false">D6*D7/100</f>
        <v>2199.492965187</v>
      </c>
      <c r="E8" s="0" t="n">
        <f aca="false">E6*E7/100</f>
        <v>2528.81430915267</v>
      </c>
      <c r="F8" s="0" t="n">
        <f aca="false">F6*F7/100</f>
        <v>2837.52670533494</v>
      </c>
      <c r="G8" s="0" t="n">
        <f aca="false">G6*G7/100</f>
        <v>3045.37553650073</v>
      </c>
      <c r="H8" s="0" t="n">
        <f aca="false">H6*H7/100</f>
        <v>3237.12140361374</v>
      </c>
      <c r="I8" s="0" t="n">
        <f aca="false">I6*I7/100</f>
        <v>3366.60625975829</v>
      </c>
      <c r="J8" s="0" t="n">
        <f aca="false">J6*J7/100</f>
        <v>3484.43747884983</v>
      </c>
      <c r="K8" s="0" t="n">
        <f aca="false">K6*K7/100</f>
        <v>3588.97060321532</v>
      </c>
      <c r="L8" s="0" t="n">
        <f aca="false">L6*L7/100</f>
        <v>3696.63972131178</v>
      </c>
    </row>
    <row r="9" customFormat="false" ht="15" hidden="false" customHeight="false" outlineLevel="0" collapsed="false">
      <c r="A9" s="0" t="s">
        <v>98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113</v>
      </c>
      <c r="C10" s="0" t="n">
        <f aca="false">-C6*C9/100</f>
        <v>-82.9267173</v>
      </c>
      <c r="D10" s="0" t="n">
        <f aca="false">-D6*D9/100</f>
        <v>-90.390121857</v>
      </c>
      <c r="E10" s="0" t="n">
        <f aca="false">-E6*E9/100</f>
        <v>-98.52523282413</v>
      </c>
      <c r="F10" s="0" t="n">
        <f aca="false">-F6*F9/100</f>
        <v>-106.40725145006</v>
      </c>
      <c r="G10" s="0" t="n">
        <f aca="false">-G6*G9/100</f>
        <v>-112.791686537064</v>
      </c>
      <c r="H10" s="0" t="n">
        <f aca="false">-H6*H9/100</f>
        <v>-118.431270863917</v>
      </c>
      <c r="I10" s="0" t="n">
        <f aca="false">-I6*I9/100</f>
        <v>-123.168521698474</v>
      </c>
      <c r="J10" s="0" t="n">
        <f aca="false">-J6*J9/100</f>
        <v>-127.479419957921</v>
      </c>
      <c r="K10" s="0" t="n">
        <f aca="false">-K6*K9/100</f>
        <v>-131.303802556658</v>
      </c>
      <c r="L10" s="0" t="n">
        <f aca="false">-L6*L9/100</f>
        <v>-135.242916633358</v>
      </c>
    </row>
    <row r="11" customFormat="false" ht="15" hidden="false" customHeight="false" outlineLevel="0" collapsed="false">
      <c r="A11" s="0" t="s">
        <v>114</v>
      </c>
      <c r="C11" s="0" t="n">
        <f aca="false">C8+C10+C24</f>
        <v>1755.28218285</v>
      </c>
      <c r="D11" s="0" t="n">
        <f aca="false">D8+D10+D24</f>
        <v>2033.7777417825</v>
      </c>
      <c r="E11" s="0" t="n">
        <f aca="false">E8+E10+E24</f>
        <v>2348.18471564177</v>
      </c>
      <c r="F11" s="0" t="n">
        <f aca="false">F8+F10+F24</f>
        <v>2642.44674434317</v>
      </c>
      <c r="G11" s="0" t="n">
        <f aca="false">G8+G10+G24</f>
        <v>2838.59077784945</v>
      </c>
      <c r="H11" s="0" t="n">
        <f aca="false">H8+H10+H24</f>
        <v>3019.99740702989</v>
      </c>
      <c r="I11" s="0" t="n">
        <f aca="false">I8+I10+I24</f>
        <v>3140.79730331109</v>
      </c>
      <c r="J11" s="0" t="n">
        <f aca="false">J8+J10+J24</f>
        <v>3250.72520892697</v>
      </c>
      <c r="K11" s="0" t="n">
        <f aca="false">K8+K10+K24</f>
        <v>3348.24696519478</v>
      </c>
      <c r="L11" s="0" t="n">
        <f aca="false">L8+L10+L24</f>
        <v>3448.69437415063</v>
      </c>
    </row>
    <row r="12" customFormat="false" ht="15" hidden="false" customHeight="false" outlineLevel="0" collapsed="false">
      <c r="A12" s="0" t="s">
        <v>115</v>
      </c>
      <c r="C12" s="4" t="n">
        <f aca="false">-C6*Assumptions!C45/100</f>
        <v>-469.9180647</v>
      </c>
      <c r="D12" s="4" t="n">
        <f aca="false">-D6*Assumptions!D45/100</f>
        <v>-512.210690523</v>
      </c>
      <c r="E12" s="4" t="n">
        <f aca="false">-E6*Assumptions!E45/100</f>
        <v>-574.730524807425</v>
      </c>
      <c r="F12" s="4" t="n">
        <f aca="false">-F6*Assumptions!F45/100</f>
        <v>-638.443508700363</v>
      </c>
      <c r="G12" s="4" t="n">
        <f aca="false">-G6*Assumptions!G45/100</f>
        <v>-676.750119222384</v>
      </c>
      <c r="H12" s="4" t="n">
        <f aca="false">-H6*Assumptions!H45/100</f>
        <v>-730.32617032749</v>
      </c>
      <c r="I12" s="4" t="n">
        <f aca="false">-I6*Assumptions!I45/100</f>
        <v>-780.067304090335</v>
      </c>
      <c r="J12" s="4" t="n">
        <f aca="false">-J6*Assumptions!J45/100</f>
        <v>-807.369659733497</v>
      </c>
      <c r="K12" s="4" t="n">
        <f aca="false">-K6*Assumptions!K45/100</f>
        <v>-831.590749525502</v>
      </c>
      <c r="L12" s="4" t="n">
        <f aca="false">-L6*Assumptions!L45/100</f>
        <v>-856.538472011267</v>
      </c>
    </row>
    <row r="13" customFormat="false" ht="15" hidden="false" customHeight="false" outlineLevel="0" collapsed="false">
      <c r="A13" s="0" t="s">
        <v>116</v>
      </c>
      <c r="C13" s="0" t="n">
        <f aca="false">C11+C12</f>
        <v>1285.36411815</v>
      </c>
      <c r="D13" s="0" t="n">
        <f aca="false">D11+D12</f>
        <v>1521.5670512595</v>
      </c>
      <c r="E13" s="0" t="n">
        <f aca="false">E11+E12</f>
        <v>1773.45419083434</v>
      </c>
      <c r="F13" s="0" t="n">
        <f aca="false">F11+F12</f>
        <v>2004.0032356428</v>
      </c>
      <c r="G13" s="0" t="n">
        <f aca="false">G11+G12</f>
        <v>2161.84065862706</v>
      </c>
      <c r="H13" s="0" t="n">
        <f aca="false">H11+H12</f>
        <v>2289.6712367024</v>
      </c>
      <c r="I13" s="0" t="n">
        <f aca="false">I11+I12</f>
        <v>2360.72999922075</v>
      </c>
      <c r="J13" s="0" t="n">
        <f aca="false">J11+J12</f>
        <v>2443.35554919348</v>
      </c>
      <c r="K13" s="0" t="n">
        <f aca="false">K11+K12</f>
        <v>2516.65621566928</v>
      </c>
      <c r="L13" s="0" t="n">
        <f aca="false">L11+L12</f>
        <v>2592.15590213936</v>
      </c>
    </row>
    <row r="14" customFormat="false" ht="15" hidden="false" customHeight="false" outlineLevel="0" collapsed="false">
      <c r="A14" s="0" t="s">
        <v>102</v>
      </c>
      <c r="C14" s="4" t="n">
        <f aca="false">Assumptions!C47</f>
        <v>20</v>
      </c>
      <c r="D14" s="4" t="n">
        <f aca="false">Assumptions!D47</f>
        <v>20</v>
      </c>
      <c r="E14" s="4" t="n">
        <f aca="false">Assumptions!E47</f>
        <v>20</v>
      </c>
      <c r="F14" s="4" t="n">
        <f aca="false">Assumptions!F47</f>
        <v>20</v>
      </c>
      <c r="G14" s="4" t="n">
        <f aca="false">Assumptions!G47</f>
        <v>20</v>
      </c>
      <c r="H14" s="4" t="n">
        <f aca="false">Assumptions!H47</f>
        <v>20</v>
      </c>
      <c r="I14" s="4" t="n">
        <f aca="false">Assumptions!I47</f>
        <v>20</v>
      </c>
      <c r="J14" s="4" t="n">
        <f aca="false">Assumptions!J47</f>
        <v>20</v>
      </c>
      <c r="K14" s="4" t="n">
        <f aca="false">Assumptions!K47</f>
        <v>20</v>
      </c>
      <c r="L14" s="4" t="n">
        <f aca="false">Assumptions!L47</f>
        <v>20</v>
      </c>
    </row>
    <row r="15" customFormat="false" ht="15" hidden="false" customHeight="false" outlineLevel="0" collapsed="false">
      <c r="A15" s="0" t="s">
        <v>117</v>
      </c>
      <c r="C15" s="0" t="n">
        <f aca="false">C13-MAX(0,C13)*C14/100</f>
        <v>1028.29129452</v>
      </c>
      <c r="D15" s="0" t="n">
        <f aca="false">D13-MAX(0,D13)*D14/100</f>
        <v>1217.2536410076</v>
      </c>
      <c r="E15" s="0" t="n">
        <f aca="false">E13-MAX(0,E13)*E14/100</f>
        <v>1418.76335266747</v>
      </c>
      <c r="F15" s="0" t="n">
        <f aca="false">F13-MAX(0,F13)*F14/100</f>
        <v>1603.20258851424</v>
      </c>
      <c r="G15" s="0" t="n">
        <f aca="false">G13-MAX(0,G13)*G14/100</f>
        <v>1729.47252690165</v>
      </c>
      <c r="H15" s="0" t="n">
        <f aca="false">H13-MAX(0,H13)*H14/100</f>
        <v>1831.73698936192</v>
      </c>
      <c r="I15" s="0" t="n">
        <f aca="false">I13-MAX(0,I13)*I14/100</f>
        <v>1888.5839993766</v>
      </c>
      <c r="J15" s="0" t="n">
        <f aca="false">J13-MAX(0,J13)*J14/100</f>
        <v>1954.68443935478</v>
      </c>
      <c r="K15" s="0" t="n">
        <f aca="false">K13-MAX(0,K13)*K14/100</f>
        <v>2013.32497253542</v>
      </c>
      <c r="L15" s="0" t="n">
        <f aca="false">L13-MAX(0,L13)*L14/100</f>
        <v>2073.72472171149</v>
      </c>
    </row>
    <row r="16" customFormat="false" ht="15" hidden="false" customHeight="false" outlineLevel="0" collapsed="false">
      <c r="A16" s="0" t="s">
        <v>118</v>
      </c>
      <c r="C16" s="0" t="n">
        <f aca="false">-C12</f>
        <v>469.9180647</v>
      </c>
      <c r="D16" s="0" t="n">
        <f aca="false">-D12</f>
        <v>512.210690523</v>
      </c>
      <c r="E16" s="0" t="n">
        <f aca="false">-E12</f>
        <v>574.730524807425</v>
      </c>
      <c r="F16" s="0" t="n">
        <f aca="false">-F12</f>
        <v>638.443508700363</v>
      </c>
      <c r="G16" s="0" t="n">
        <f aca="false">-G12</f>
        <v>676.750119222384</v>
      </c>
      <c r="H16" s="0" t="n">
        <f aca="false">-H12</f>
        <v>730.32617032749</v>
      </c>
      <c r="I16" s="0" t="n">
        <f aca="false">-I12</f>
        <v>780.067304090335</v>
      </c>
      <c r="J16" s="0" t="n">
        <f aca="false">-J12</f>
        <v>807.369659733497</v>
      </c>
      <c r="K16" s="0" t="n">
        <f aca="false">-K12</f>
        <v>831.590749525502</v>
      </c>
      <c r="L16" s="0" t="n">
        <f aca="false">-L12</f>
        <v>856.538472011267</v>
      </c>
    </row>
    <row r="17" customFormat="false" ht="15" hidden="false" customHeight="false" outlineLevel="0" collapsed="false">
      <c r="A17" s="0" t="s">
        <v>119</v>
      </c>
      <c r="C17" s="4" t="n">
        <f aca="false">-C6*Assumptions!C46/100</f>
        <v>-995.1206076</v>
      </c>
      <c r="D17" s="4" t="n">
        <f aca="false">-D6*Assumptions!D46/100</f>
        <v>-1054.551421665</v>
      </c>
      <c r="E17" s="4" t="n">
        <f aca="false">-E6*Assumptions!E46/100</f>
        <v>-1083.77756106543</v>
      </c>
      <c r="F17" s="4" t="n">
        <f aca="false">-F6*Assumptions!F46/100</f>
        <v>-1064.0725145006</v>
      </c>
      <c r="G17" s="4" t="n">
        <f aca="false">-G6*Assumptions!G46/100</f>
        <v>-1052.72240767926</v>
      </c>
      <c r="H17" s="4" t="n">
        <f aca="false">-H6*Assumptions!H46/100</f>
        <v>-1026.40434748728</v>
      </c>
      <c r="I17" s="4" t="n">
        <f aca="false">-I6*Assumptions!I46/100</f>
        <v>-1026.40434748728</v>
      </c>
      <c r="J17" s="4" t="n">
        <f aca="false">-J6*Assumptions!J46/100</f>
        <v>-1062.32849964934</v>
      </c>
      <c r="K17" s="4" t="n">
        <f aca="false">-K6*Assumptions!K46/100</f>
        <v>-1094.19835463882</v>
      </c>
      <c r="L17" s="4" t="n">
        <f aca="false">-L6*Assumptions!L46/100</f>
        <v>-1127.02430527798</v>
      </c>
    </row>
    <row r="18" customFormat="false" ht="15" hidden="false" customHeight="false" outlineLevel="0" collapsed="false">
      <c r="A18" s="0" t="s">
        <v>120</v>
      </c>
      <c r="C18" s="4" t="n">
        <f aca="false">(C6-B6)*Assumptions!$B$51/100</f>
        <v>-26.325942</v>
      </c>
      <c r="D18" s="4" t="n">
        <f aca="false">(D6-C6)*Assumptions!$B$51/100</f>
        <v>-49.75603038</v>
      </c>
      <c r="E18" s="4" t="n">
        <f aca="false">(E6-D6)*Assumptions!$B$51/100</f>
        <v>-54.2340731142</v>
      </c>
      <c r="F18" s="4" t="n">
        <f aca="false">(F6-E6)*Assumptions!$B$51/100</f>
        <v>-52.5467908395361</v>
      </c>
      <c r="G18" s="4" t="n">
        <f aca="false">(G6-F6)*Assumptions!$B$51/100</f>
        <v>-42.5629005800241</v>
      </c>
      <c r="H18" s="4" t="n">
        <f aca="false">(H6-G6)*Assumptions!$B$51/100</f>
        <v>-37.5972288456881</v>
      </c>
      <c r="I18" s="4" t="n">
        <f aca="false">(I6-H6)*Assumptions!$B$51/100</f>
        <v>-31.581672230378</v>
      </c>
      <c r="J18" s="4" t="n">
        <f aca="false">(J6-I6)*Assumptions!$B$51/100</f>
        <v>-28.7393217296439</v>
      </c>
      <c r="K18" s="4" t="n">
        <f aca="false">(K6-J6)*Assumptions!$B$51/100</f>
        <v>-25.4958839915841</v>
      </c>
      <c r="L18" s="4" t="n">
        <f aca="false">(L6-K6)*Assumptions!$B$51/100</f>
        <v>-26.2607605113316</v>
      </c>
    </row>
    <row r="19" customFormat="false" ht="15" hidden="false" customHeight="false" outlineLevel="0" collapsed="false">
      <c r="A19" s="0" t="s">
        <v>121</v>
      </c>
      <c r="C19" s="0" t="n">
        <f aca="false">C15+C16+C17+C18</f>
        <v>476.76280962</v>
      </c>
      <c r="D19" s="0" t="n">
        <f aca="false">D15+D16+D17+D18</f>
        <v>625.1568794856</v>
      </c>
      <c r="E19" s="0" t="n">
        <f aca="false">E15+E16+E17+E18</f>
        <v>855.482243295267</v>
      </c>
      <c r="F19" s="0" t="n">
        <f aca="false">F15+F16+F17+F18</f>
        <v>1125.02679187447</v>
      </c>
      <c r="G19" s="0" t="n">
        <f aca="false">G15+G16+G17+G18</f>
        <v>1310.93733786475</v>
      </c>
      <c r="H19" s="0" t="n">
        <f aca="false">H15+H16+H17+H18</f>
        <v>1498.06158335644</v>
      </c>
      <c r="I19" s="0" t="n">
        <f aca="false">I15+I16+I17+I18</f>
        <v>1610.66528374927</v>
      </c>
      <c r="J19" s="0" t="n">
        <f aca="false">J15+J16+J17+J18</f>
        <v>1670.9862777093</v>
      </c>
      <c r="K19" s="0" t="n">
        <f aca="false">K15+K16+K17+K18</f>
        <v>1725.22148343052</v>
      </c>
      <c r="L19" s="0" t="n">
        <f aca="false">L15+L16+L17+L18</f>
        <v>1776.97812793344</v>
      </c>
    </row>
    <row r="20" customFormat="false" ht="15" hidden="false" customHeight="false" outlineLevel="0" collapsed="false">
      <c r="A20" s="0" t="s">
        <v>122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123</v>
      </c>
      <c r="C21" s="0" t="n">
        <f aca="false">C19*C20</f>
        <v>439.412727760369</v>
      </c>
      <c r="D21" s="0" t="n">
        <f aca="false">D19*D20</f>
        <v>531.042816356771</v>
      </c>
      <c r="E21" s="0" t="n">
        <f aca="false">E19*E20</f>
        <v>669.763976339552</v>
      </c>
      <c r="F21" s="0" t="n">
        <f aca="false">F19*F20</f>
        <v>811.790402129089</v>
      </c>
      <c r="G21" s="0" t="n">
        <f aca="false">G19*G20</f>
        <v>871.832876764875</v>
      </c>
      <c r="H21" s="0" t="n">
        <f aca="false">H19*H20</f>
        <v>918.229492917445</v>
      </c>
      <c r="I21" s="0" t="n">
        <f aca="false">I19*I20</f>
        <v>909.907261064814</v>
      </c>
      <c r="J21" s="0" t="n">
        <f aca="false">J19*J20</f>
        <v>870.031502357266</v>
      </c>
      <c r="K21" s="0" t="n">
        <f aca="false">K19*K20</f>
        <v>827.898725315157</v>
      </c>
      <c r="L21" s="0" t="n">
        <f aca="false">L19*L20</f>
        <v>785.931508824527</v>
      </c>
    </row>
    <row r="23" customFormat="false" ht="15" hidden="false" customHeight="false" outlineLevel="0" collapsed="false">
      <c r="A23" s="0" t="s">
        <v>99</v>
      </c>
      <c r="C23" s="4" t="n">
        <f aca="false">Assumptions!C44</f>
        <v>0.25</v>
      </c>
      <c r="D23" s="4" t="n">
        <f aca="false">Assumptions!D44</f>
        <v>0.25</v>
      </c>
      <c r="E23" s="4" t="n">
        <f aca="false">Assumptions!E44</f>
        <v>0.25</v>
      </c>
      <c r="F23" s="4" t="n">
        <f aca="false">Assumptions!F44</f>
        <v>0.25</v>
      </c>
      <c r="G23" s="4" t="n">
        <f aca="false">Assumptions!G44</f>
        <v>0.25</v>
      </c>
      <c r="H23" s="4" t="n">
        <f aca="false">Assumptions!H44</f>
        <v>0.25</v>
      </c>
      <c r="I23" s="4" t="n">
        <f aca="false">Assumptions!I44</f>
        <v>0.25</v>
      </c>
      <c r="J23" s="4" t="n">
        <f aca="false">Assumptions!J44</f>
        <v>0.25</v>
      </c>
      <c r="K23" s="4" t="n">
        <f aca="false">Assumptions!K44</f>
        <v>0.25</v>
      </c>
      <c r="L23" s="4" t="n">
        <f aca="false">Assumptions!L44</f>
        <v>0.25</v>
      </c>
    </row>
    <row r="24" customFormat="false" ht="15" hidden="false" customHeight="false" outlineLevel="0" collapsed="false">
      <c r="A24" s="0" t="s">
        <v>124</v>
      </c>
      <c r="C24" s="0" t="n">
        <f aca="false">-C6*C23/100</f>
        <v>-69.10559775</v>
      </c>
      <c r="D24" s="0" t="n">
        <f aca="false">-D6*D23/100</f>
        <v>-75.3251015475</v>
      </c>
      <c r="E24" s="0" t="n">
        <f aca="false">-E6*E23/100</f>
        <v>-82.104360686775</v>
      </c>
      <c r="F24" s="0" t="n">
        <f aca="false">-F6*F23/100</f>
        <v>-88.672709541717</v>
      </c>
      <c r="G24" s="0" t="n">
        <f aca="false">-G6*G23/100</f>
        <v>-93.99307211422</v>
      </c>
      <c r="H24" s="0" t="n">
        <f aca="false">-H6*H23/100</f>
        <v>-98.6927257199311</v>
      </c>
      <c r="I24" s="0" t="n">
        <f aca="false">-I6*I23/100</f>
        <v>-102.640434748728</v>
      </c>
      <c r="J24" s="0" t="n">
        <f aca="false">-J6*J23/100</f>
        <v>-106.232849964934</v>
      </c>
      <c r="K24" s="0" t="n">
        <f aca="false">-K6*K23/100</f>
        <v>-109.419835463882</v>
      </c>
      <c r="L24" s="0" t="n">
        <f aca="false">-L6*L23/100</f>
        <v>-112.702430527798</v>
      </c>
    </row>
    <row r="26" customFormat="false" ht="15" hidden="false" customHeight="false" outlineLevel="0" collapsed="false">
      <c r="A26" s="2" t="s">
        <v>125</v>
      </c>
    </row>
    <row r="27" customFormat="false" ht="15" hidden="false" customHeight="false" outlineLevel="0" collapsed="false">
      <c r="A27" s="0" t="s">
        <v>103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104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126</v>
      </c>
      <c r="B30" s="0" t="n">
        <f aca="false">SUM(C21:L21)</f>
        <v>7635.84128982987</v>
      </c>
    </row>
    <row r="31" customFormat="false" ht="15" hidden="false" customHeight="false" outlineLevel="0" collapsed="false">
      <c r="A31" s="0" t="s">
        <v>127</v>
      </c>
      <c r="B31" s="0" t="n">
        <f aca="false">L19</f>
        <v>1776.97812793344</v>
      </c>
    </row>
    <row r="32" customFormat="false" ht="15" hidden="false" customHeight="false" outlineLevel="0" collapsed="false">
      <c r="A32" s="0" t="s">
        <v>128</v>
      </c>
      <c r="B32" s="0" t="n">
        <f aca="false">IF(B27&gt;B28,B31*(1+B28/100)/((B27-B28)/100),B31*B29)</f>
        <v>33277.9540322081</v>
      </c>
    </row>
    <row r="33" customFormat="false" ht="15" hidden="false" customHeight="false" outlineLevel="0" collapsed="false">
      <c r="A33" s="0" t="s">
        <v>129</v>
      </c>
      <c r="B33" s="0" t="n">
        <f aca="false">B31*B29</f>
        <v>26654.6719190016</v>
      </c>
    </row>
    <row r="34" customFormat="false" ht="15" hidden="false" customHeight="false" outlineLevel="0" collapsed="false">
      <c r="A34" s="0" t="s">
        <v>130</v>
      </c>
      <c r="B34" s="0" t="n">
        <f aca="false">MAX(0,MIN(B32,B33))</f>
        <v>26654.6719190016</v>
      </c>
    </row>
    <row r="35" customFormat="false" ht="15" hidden="false" customHeight="false" outlineLevel="0" collapsed="false">
      <c r="A35" s="0" t="s">
        <v>131</v>
      </c>
      <c r="B35" s="0" t="n">
        <f aca="false">B34/(1+B27/100)^L4</f>
        <v>11788.9726323679</v>
      </c>
    </row>
    <row r="36" customFormat="false" ht="15" hidden="false" customHeight="false" outlineLevel="0" collapsed="false">
      <c r="A36" s="0" t="s">
        <v>132</v>
      </c>
      <c r="B36" s="0" t="n">
        <f aca="false">B30+B35</f>
        <v>19424.8139221978</v>
      </c>
    </row>
    <row r="37" customFormat="false" ht="15" hidden="false" customHeight="false" outlineLevel="0" collapsed="false">
      <c r="A37" s="0" t="s">
        <v>133</v>
      </c>
      <c r="B37" s="0" t="n">
        <f aca="false">B36+Assumptions!$B$5-Assumptions!$B$4</f>
        <v>21552.2079221978</v>
      </c>
    </row>
    <row r="38" customFormat="false" ht="15" hidden="false" customHeight="false" outlineLevel="0" collapsed="false">
      <c r="A38" s="0" t="s">
        <v>134</v>
      </c>
      <c r="B38" s="0" t="n">
        <f aca="false">B37/Assumptions!$B$3*Assumptions!$B$10</f>
        <v>11.8935657626544</v>
      </c>
    </row>
    <row r="39" customFormat="false" ht="15" hidden="false" customHeight="false" outlineLevel="0" collapsed="false">
      <c r="A39" s="0" t="s">
        <v>135</v>
      </c>
      <c r="B39" s="4" t="n">
        <f aca="false">B38/Assumptions!$B$2-1</f>
        <v>0.884875715159184</v>
      </c>
    </row>
    <row r="41" customFormat="false" ht="15" hidden="false" customHeight="false" outlineLevel="0" collapsed="false">
      <c r="A41" s="0" t="s">
        <v>136</v>
      </c>
      <c r="B41" s="0" t="n">
        <f aca="false">SUMPRODUCT(-C10:L10/(1+$B$27/100)^C4:L4)</f>
        <v>713.514699358103</v>
      </c>
    </row>
    <row r="42" customFormat="false" ht="15" hidden="false" customHeight="false" outlineLevel="0" collapsed="false">
      <c r="A42" s="0" t="s">
        <v>137</v>
      </c>
      <c r="B42" s="0" t="n">
        <f aca="false">IF(B27&gt;B28,-L10*(1+B28/100)/((B27-B28)/100),-L10*20)/(1+B27/100)^L4</f>
        <v>1120.18997453463</v>
      </c>
    </row>
    <row r="43" customFormat="false" ht="15" hidden="false" customHeight="false" outlineLevel="0" collapsed="false">
      <c r="A43" s="0" t="s">
        <v>138</v>
      </c>
      <c r="B43" s="0" t="n">
        <f aca="false">(B37+B41+B42)/Assumptions!$B$3*Assumptions!$B$10</f>
        <v>12.9054939700548</v>
      </c>
    </row>
    <row r="45" customFormat="false" ht="15" hidden="false" customHeight="false" outlineLevel="0" collapsed="false">
      <c r="A45" s="0" t="s">
        <v>79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139</v>
      </c>
      <c r="B46" s="0" t="n">
        <f aca="false">MAX(0,MIN(IF(B45&gt;B28,B31*(1+B28/100)/((B45-B28)/100),B31*B29),B31*B29))</f>
        <v>15252.3955980954</v>
      </c>
    </row>
    <row r="47" customFormat="false" ht="15" hidden="false" customHeight="false" outlineLevel="0" collapsed="false">
      <c r="A47" s="0" t="s">
        <v>140</v>
      </c>
      <c r="B47" s="0" t="n">
        <f aca="false">(SUMPRODUCT(C19:L19/(1+B45/100)^C4:L4)+B46/(1+B45/100)^L4+Assumptions!$B$5-Assumptions!$B$4)/Assumptions!$B$3*Assumptions!$B$10</f>
        <v>6.2752988374655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2" t="s">
        <v>144</v>
      </c>
      <c r="B3" s="2" t="s">
        <v>145</v>
      </c>
      <c r="C3" s="2" t="s">
        <v>135</v>
      </c>
      <c r="D3" s="2" t="s">
        <v>146</v>
      </c>
      <c r="E3" s="2" t="s">
        <v>138</v>
      </c>
      <c r="F3" s="2" t="s">
        <v>147</v>
      </c>
    </row>
    <row r="4" customFormat="false" ht="15" hidden="false" customHeight="false" outlineLevel="0" collapsed="false">
      <c r="A4" s="0" t="s">
        <v>148</v>
      </c>
      <c r="B4" s="4" t="n">
        <f aca="false">DCF_Bear!$B$38</f>
        <v>4.81870358174705</v>
      </c>
      <c r="C4" s="0" t="n">
        <f aca="false">B4/Assumptions!$B$2-1</f>
        <v>-0.236338576585254</v>
      </c>
      <c r="D4" s="4" t="n">
        <f aca="false">Assumptions!$B$24</f>
        <v>0.25</v>
      </c>
      <c r="E4" s="4" t="n">
        <f aca="false">DCF_Bear!$B$43</f>
        <v>5.44565537011768</v>
      </c>
      <c r="F4" s="4" t="n">
        <f aca="false">DCF_Bear!$B$47</f>
        <v>3.22108947935046</v>
      </c>
    </row>
    <row r="5" customFormat="false" ht="15" hidden="false" customHeight="false" outlineLevel="0" collapsed="false">
      <c r="A5" s="0" t="s">
        <v>149</v>
      </c>
      <c r="B5" s="4" t="n">
        <f aca="false">DCF_Base!$B$38</f>
        <v>8.31746057816458</v>
      </c>
      <c r="C5" s="0" t="n">
        <f aca="false">B5/Assumptions!$B$2-1</f>
        <v>0.318139552799459</v>
      </c>
      <c r="D5" s="4" t="n">
        <f aca="false">Assumptions!$B$38</f>
        <v>0.5</v>
      </c>
      <c r="E5" s="4" t="n">
        <f aca="false">DCF_Base!$B$43</f>
        <v>9.16310553617429</v>
      </c>
      <c r="F5" s="4" t="n">
        <f aca="false">DCF_Base!$B$47</f>
        <v>4.66231158475894</v>
      </c>
    </row>
    <row r="6" customFormat="false" ht="15" hidden="false" customHeight="false" outlineLevel="0" collapsed="false">
      <c r="A6" s="0" t="s">
        <v>150</v>
      </c>
      <c r="B6" s="4" t="n">
        <f aca="false">DCF_Bull!$B$38</f>
        <v>11.8935657626544</v>
      </c>
      <c r="C6" s="0" t="n">
        <f aca="false">B6/Assumptions!$B$2-1</f>
        <v>0.884875715159184</v>
      </c>
      <c r="D6" s="4" t="n">
        <f aca="false">Assumptions!$B$52</f>
        <v>0.25</v>
      </c>
      <c r="E6" s="4" t="n">
        <f aca="false">DCF_Bull!$B$43</f>
        <v>12.9054939700548</v>
      </c>
      <c r="F6" s="4" t="n">
        <f aca="false">DCF_Bull!$B$47</f>
        <v>6.2752988374655</v>
      </c>
    </row>
    <row r="8" customFormat="false" ht="15" hidden="false" customHeight="false" outlineLevel="0" collapsed="false">
      <c r="A8" s="0" t="s">
        <v>151</v>
      </c>
      <c r="B8" s="0" t="n">
        <f aca="false">SUMPRODUCT(B4:B6,D4:D6)</f>
        <v>8.33679762518267</v>
      </c>
    </row>
    <row r="9" customFormat="false" ht="15" hidden="false" customHeight="false" outlineLevel="0" collapsed="false">
      <c r="A9" s="0" t="s">
        <v>152</v>
      </c>
      <c r="B9" s="0" t="n">
        <f aca="false">SUMPRODUCT(E4:E6,D4:D6)</f>
        <v>9.16934010313027</v>
      </c>
    </row>
    <row r="10" customFormat="false" ht="15" hidden="false" customHeight="false" outlineLevel="0" collapsed="false">
      <c r="A10" s="0" t="s">
        <v>153</v>
      </c>
      <c r="B10" s="0" t="n">
        <f aca="false">1-Assumptions!$B$2/B8</f>
        <v>0.243114648610444</v>
      </c>
    </row>
    <row r="11" customFormat="false" ht="15" hidden="false" customHeight="false" outlineLevel="0" collapsed="false">
      <c r="A11" s="0" t="s">
        <v>154</v>
      </c>
      <c r="B11" s="0" t="n">
        <f aca="false">IF(ABS(B9-B8)&gt;0.01*ABS(B8),(Assumptions!$B$2-B8)/(B9-B8)*100,"n/a")</f>
        <v>-243.446752432278</v>
      </c>
    </row>
    <row r="12" customFormat="false" ht="15" hidden="false" customHeight="false" outlineLevel="0" collapsed="false">
      <c r="A12" s="0" t="s">
        <v>155</v>
      </c>
      <c r="B12" s="0" t="n">
        <f aca="false">SUMPRODUCT(F4:F6,D4:D6)</f>
        <v>4.70525287158347</v>
      </c>
    </row>
    <row r="14" customFormat="false" ht="15" hidden="false" customHeight="false" outlineLevel="0" collapsed="false">
      <c r="A14" s="2" t="s">
        <v>156</v>
      </c>
      <c r="C14" s="0" t="s">
        <v>157</v>
      </c>
    </row>
    <row r="15" customFormat="false" ht="15" hidden="false" customHeight="false" outlineLevel="0" collapsed="false">
      <c r="A15" s="0" t="s">
        <v>158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8.31746057816458</v>
      </c>
      <c r="C15" s="3" t="n">
        <v>8.5</v>
      </c>
    </row>
    <row r="16" customFormat="false" ht="15" hidden="false" customHeight="false" outlineLevel="0" collapsed="false">
      <c r="A16" s="0" t="s">
        <v>159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8.05054702371595</v>
      </c>
      <c r="C16" s="3" t="n">
        <v>9</v>
      </c>
    </row>
    <row r="17" customFormat="false" ht="15" hidden="false" customHeight="false" outlineLevel="0" collapsed="false">
      <c r="A17" s="0" t="s">
        <v>160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7.46491369746499</v>
      </c>
      <c r="C17" s="3" t="n">
        <v>10</v>
      </c>
    </row>
    <row r="18" customFormat="false" ht="15" hidden="false" customHeight="false" outlineLevel="0" collapsed="false">
      <c r="A18" s="0" t="s">
        <v>161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6.63215095726085</v>
      </c>
      <c r="C18" s="3" t="n">
        <v>11</v>
      </c>
    </row>
    <row r="19" customFormat="false" ht="15" hidden="false" customHeight="false" outlineLevel="0" collapsed="false">
      <c r="A19" s="0" t="s">
        <v>162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5.97873556820815</v>
      </c>
      <c r="C19" s="3" t="n">
        <v>12</v>
      </c>
    </row>
    <row r="20" customFormat="false" ht="15" hidden="false" customHeight="false" outlineLevel="0" collapsed="false">
      <c r="A20" s="0" t="s">
        <v>163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4.66231158475894</v>
      </c>
      <c r="C20" s="3" t="n">
        <v>15</v>
      </c>
    </row>
    <row r="22" customFormat="false" ht="15" hidden="false" customHeight="false" outlineLevel="0" collapsed="false">
      <c r="A22" s="2" t="s">
        <v>164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9.52042254887136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9.52042254887136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9.52042254887136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9.52042254887136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9.52042254887136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8.89041882331701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8.89041882331701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8.89041882331701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8.89041882331701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8.89041882331701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8.31746057816458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8.31746057816458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8.31746057816458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8.31746057816458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8.31746057816458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7.43461857581332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7.68571544296824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7.795785302543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7.795785302543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7.795785302543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6.63627363185249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6.81774064032484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7.02189102485623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7.25326146065848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7.32026466378672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2026-10-22T14:59:03Z</dcterms:created>
  <dc:creator>openpyxl</dc:creator>
  <dc:description/>
  <dc:language>en-NZ</dc:language>
  <cp:lastModifiedBy/>
  <dcterms:modified xsi:type="dcterms:W3CDTF">2026-10-22T14:59:03Z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