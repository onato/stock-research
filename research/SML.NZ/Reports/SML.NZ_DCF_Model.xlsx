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"/>
    <numFmt numFmtId="165" formatCode="0.000"/>
    <numFmt numFmtId="166" formatCode="#,##0.0"/>
    <numFmt numFmtId="167" formatCode="0.0"/>
    <numFmt numFmtId="168" formatCode="0.0000"/>
    <numFmt numFmtId="169" formatCode="0.0%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2" fontId="2" fillId="0" borderId="0" pivotButton="0" quotePrefix="0" xfId="0"/>
    <xf numFmtId="1" fontId="2" fillId="0" borderId="0" pivotButton="0" quotePrefix="0" xfId="0"/>
    <xf numFmtId="2" fontId="2" fillId="2" borderId="0" pivotButton="0" quotePrefix="0" xfId="0"/>
    <xf numFmtId="2" fontId="0" fillId="0" borderId="0" pivotButton="0" quotePrefix="0" xfId="0"/>
    <xf numFmtId="167" fontId="2" fillId="2" borderId="0" pivotButton="0" quotePrefix="0" xfId="0"/>
    <xf numFmtId="166" fontId="3" fillId="0" borderId="0" pivotButton="0" quotePrefix="0" xfId="0"/>
    <xf numFmtId="166" fontId="0" fillId="0" borderId="0" pivotButton="0" quotePrefix="0" xfId="0"/>
    <xf numFmtId="1" fontId="2" fillId="2" borderId="0" pivotButton="0" quotePrefix="0" xfId="0"/>
    <xf numFmtId="166" fontId="1" fillId="0" borderId="0" pivotButton="0" quotePrefix="0" xfId="0"/>
    <xf numFmtId="168" fontId="3" fillId="0" borderId="0" pivotButton="0" quotePrefix="0" xfId="0"/>
    <xf numFmtId="169" fontId="0" fillId="0" borderId="0" pivotButton="0" quotePrefix="0" xfId="0"/>
    <xf numFmtId="167" fontId="3" fillId="0" borderId="0" pivotButton="0" quotePrefix="0" xfId="0"/>
    <xf numFmtId="167" fontId="0" fillId="0" borderId="0" pivotButton="0" quotePrefix="0" xfId="0"/>
    <xf numFmtId="164" fontId="3" fillId="0" borderId="0" pivotButton="0" quotePrefix="0" xfId="0"/>
    <xf numFmtId="168" fontId="0" fillId="3" borderId="0" pivotButton="0" quotePrefix="0" xfId="0"/>
    <xf numFmtId="168" fontId="0" fillId="0" borderId="0" pivotButton="0" quotePrefix="0" xfId="0"/>
    <xf numFmtId="2" fontId="3" fillId="0" borderId="0" pivotButton="0" quotePrefix="0" xfId="0"/>
    <xf numFmtId="165" fontId="0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Workbook</t>
        </is>
      </c>
      <c r="B1" s="2" t="inlineStr">
        <is>
          <t>SML.NZ Synlait Milk Limited -- scenario-weighted owner-FCF DCF with equity-impairment bear. Version 1.0 (fresh build, supersedes nothing).</t>
        </is>
      </c>
    </row>
    <row r="2">
      <c r="A2" s="1" t="inlineStr">
        <is>
          <t>Built by</t>
        </is>
      </c>
      <c r="B2" s="2" t="inlineStr">
        <is>
          <t>dcf-analyst agent (Claude, model claude-fable-5-1) on 2026-09-02 at the request of the research-stock orchestrator for Stephen Williams.</t>
        </is>
      </c>
    </row>
    <row r="3">
      <c r="A3" s="1" t="inlineStr">
        <is>
          <t>Data vintage: price</t>
        </is>
      </c>
      <c r="B3" s="2" t="inlineStr">
        <is>
          <t>NZ$0.395 -- 2026-09-02T05:00:13Z (NZX regular close 17:00 NZST; Yahoo regularMarketPrice). Figures go stale: refresh price before use.</t>
        </is>
      </c>
    </row>
    <row r="4">
      <c r="A4" s="1" t="inlineStr">
        <is>
          <t>Data vintage: balance sheet</t>
        </is>
      </c>
      <c r="B4" s="2" t="inlineStr">
        <is>
          <t>2026-01-31 (H1 FY2026 interim, reviewed by KPMG with a material-uncertainty-related-to-going-concern paragraph); net debt adjusted for the 1-Apr-2026 North Island sale completion and estimated forward to 31-Jul-2026</t>
        </is>
      </c>
    </row>
    <row r="5">
      <c r="A5" s="1" t="inlineStr">
        <is>
          <t>Data vintage: net debt</t>
        </is>
      </c>
      <c r="B5" s="2" t="inlineStr">
        <is>
          <t>ESTIMATED 31-Jul-2026 pro-forma: 472.1 (31-Jan-2026 reported, ex leases) - 283.1 (Abbott proceeds 1-Apr-2026) - 90.0 (seasonal WC unwind to FY-end norm) + 26.0 (H2 FY26 cash burn) = 125.0. Refresh at the FY2026 result (late Sept-2026).</t>
        </is>
      </c>
    </row>
    <row r="6">
      <c r="A6" s="1" t="inlineStr">
        <is>
          <t>Data vintage: shares</t>
        </is>
      </c>
      <c r="B6" s="2" t="inlineStr">
        <is>
          <t>603,198,098 ordinary shares on issue at 31-Jan-2026 (H1 FY2026 note 12), unchanged since the 1-Oct-2024 recapitalisation placement; PSRs immaterial and anti-dilutive. Held FLAT (no SBC to expense, no raise assumed in the flows).</t>
        </is>
      </c>
    </row>
    <row r="7">
      <c r="A7" s="1" t="inlineStr">
        <is>
          <t>Data vintage: guidance</t>
        </is>
      </c>
      <c r="B7" s="2" t="inlineStr">
        <is>
          <t>FY2026 (year to 31-Jul-2026) underlying net loss after tax NZ$19m-24m, issued 14-Aug-2026. FY2026 results due late Sept-2026 -- refresh net debt, equity and the FY0 revenue base then.</t>
        </is>
      </c>
    </row>
    <row r="8">
      <c r="A8" s="1" t="inlineStr">
        <is>
          <t>Methodology: model</t>
        </is>
      </c>
      <c r="B8" s="2" t="inlineStr">
        <is>
          <t>MODEL CHOICE: probability-weighted owner-FCF DCF (component build, 10-year horizon) with a DISTRESS bear, routed via .claude/skills/dcf-methods/SKILL.md. Synlait straddles two routing rows -- 'operating company, non-US/cyclical' and 'distressed' -- but is NOT in receivership, has forward cash flows, a NZ$307m asset sale just completed, and a 65% controlling shareholder that recapitalised it in 2024, so a pure asset/creditor waterfall would be wrong; equally a plain three-growth-scenario DCF would ignore the live going-concern qualification. The chosen hybrid keeps the house engine (so the dashboard reproduces every scenario) and puts the distress in the bear path and its 40% weight. Read owner-fcf.md in full including section 7.</t>
        </is>
      </c>
    </row>
    <row r="9">
      <c r="A9" s="1" t="inlineStr">
        <is>
          <t>Methodology: revenue base</t>
        </is>
      </c>
      <c r="B9" s="2" t="inlineStr">
        <is>
          <t>REVENUE BASE: TTM continuing-operations revenue to 31-Jan-2026 = FY2025 continuing 1,590.2 (1,827.4 group less 237.3 North Island discontinued) + H1 FY2026 777.6 - H1 FY2025 779.0 = NZ$1,588.7m. The North Island (Pokeno + Auckland) business is EXCLUDED from every forward year because it was sold to Abbott on 1-Apr-2026; it contributed NZ$237m FY2025 revenue and a NZ$23.1m after-tax loss (NZ$8.8m in H1 FY2026), so its removal is earnings-accretive and revenue-dilutive. Y1 = FY2027 (year ending 31-Jul-2027). FY2026 (guided NZ$19-24m underlying loss, results due late Sept-2026) is treated as the FY0 stub and is NOT projected as profitable.</t>
        </is>
      </c>
    </row>
    <row r="10">
      <c r="A10" s="1" t="inlineStr">
        <is>
          <t>Methodology: leases</t>
        </is>
      </c>
      <c r="B10" s="2" t="inlineStr">
        <is>
          <t>LEASE TREATMENT: (B) leases as operating cost. IFRS-16 lease principal (FY2025 NZ$6.0m, TTM NZ$6.2m, ~0.4% of revenue) is charged inside the flows as lease_cost_pct = 0.4 and DEDUCTED from historical owner FCF; lease liabilities (NZ$53.1m at 31-Jan-2026: 6.5 current + 46.6 non-current) are EXCLUDED from net_debt. Nothing is charged twice. The CSV TotalDebt column (557.6) INCLUDES leases; inputs.total_debt here (504.4) does not.</t>
        </is>
      </c>
    </row>
    <row r="11">
      <c r="A11" s="1" t="inlineStr">
        <is>
          <t>Methodology: SBC</t>
        </is>
      </c>
      <c r="B11" s="2" t="inlineStr">
        <is>
          <t>SBC: immaterial and SBC-zero in practice (FY2025 -NZ$0.5m on forfeitures, H1 FY2026 nil, historical max NZ$0.7m = 0.05% of revenue). Kept explicit at 0% in all scenarios; house and street bases coincide, band_position is null.</t>
        </is>
      </c>
    </row>
    <row r="12">
      <c r="A12" s="1" t="inlineStr">
        <is>
          <t>Methodology: tax</t>
        </is>
      </c>
      <c r="B12" s="2" t="inlineStr">
        <is>
          <t>TAX: NZ$330m gross NZ tax losses at 31-Jul-2025 plus FY2026 losses (~NZ$420m+ per the Analysis JSON); the DTA on losses was derecognised at H1 FY2026 (DTA 9.6m -&gt; nil, DTL 1.9m). Cash tax modelled at 0% until cumulative EBIT approaches the pool, then ramped to the 28% statutory rate (base: 14% FY2033, 28% from FY2034; bull from FY2031; bear never). Shareholder-continuity (49%) is preserved by Bright's stable control.</t>
        </is>
      </c>
    </row>
    <row r="13">
      <c r="A13" s="1" t="inlineStr">
        <is>
          <t>Methodology: discount rate</t>
        </is>
      </c>
      <c r="B13" s="2" t="inlineStr">
        <is>
          <t>Single all-equity discount rate of 16.0% applied to unlevered owner FCF in ALL THREE scenarios (section 7(f), charge risk once; no per-scenario WACC). Built in NZD, matching the flows: NZ 10-year government bond ~4.5% risk-free + NZ equity risk premium 6.0% x beta 1.2 (cyclical commodity processor) = 11.7% base cost of equity. Structural premiums considered ADDITIVELY, each assigned to exactly one place so nothing is charged twice: (1) NZX micro-cap illiquidity / free float &lt;15% (Bright Dairy 65.25% + a2 Milk 19.83%) -&gt; +1.5pp in WACC; (2) controlling-shareholder / minority-governance risk (related-party shareholder loan, related-party China retail channel, minorities are price-takers on any recapitalisation) -&gt; +1.0pp in WACC; (3) execution / leadership risk (CEO resigned May-2026 after 11 months, Chief Quality Officer gone, Acting CEO, no permanent appointment as at Sept-2026) -&gt; +1.0pp in WACC; (4) refinancing / going-concern COST of capital (facilities and the Bright loan matured mid-2026; syndicate pricing and covenant waivers reflect elevated credit risk) -&gt; +0.8pp in WACC; (5) going-concern PROBABILITY (KPMG material-uncertainty paragraph, H1 FY2026) -&gt; 0pp in WACC; priced as the 40% bear weight and the equity-impaired bear path; (6) customer concentration (a2 Milk; top-3 customers 36% of HY26 revenue) -&gt; 0pp in WACC; priced in the flows via the decaying Advanced Nutrition margin in every scenario and the a2-migration bear axis; (7) commodity / milk-price cyclicality -&gt; 0pp in WACC; priced in the flows via mid-cycle (not peak) margin ceilings and the bear's thin Ingredients returns. Total: 11.7 + 1.5 + 1.0 + 1.0 + 0.8 = 16.0%. An all-equity rate is used rather than a levered WACC because the capital structure is unresolved (refinancing outcome unknown at build) and the tax shield is nil (NZ$420m+ tax losses). Reference points in this folder: MOV.NZ 16.5% (post-going-concern turnaround), AGL.NZ 19% (post-rescue-raise staffing), CDI.NZ 17%, 2CC.NZ 19%; a stable NZ mid-cap would sit at 10-11%. Debt cost cross-check: Bright loan interest NZ$10.2m on NZ$130m for ~10 months of FY2025 implies ~9.4% pre-tax; a 16% all-equity rate on flows that are 30-45% debt-financed is equivalent to a ~19% cost of equity, which is where a going-concern-qualified micro-cap belongs.</t>
        </is>
      </c>
    </row>
    <row r="14">
      <c r="A14" s="1" t="inlineStr">
        <is>
          <t>Methodology: terminal value</t>
        </is>
      </c>
      <c r="B14" s="2" t="inlineStr">
        <is>
          <t>TV = MAX(0, MIN(Gordon, cap x FCF_10)) per scenario; cap 8x/10x/12x owner FCF for bear/base/bull (cyclical, structurally low-multiple processor). End-of-year discounting, 10-year horizon because margins are still ramping at year 5.</t>
        </is>
      </c>
    </row>
    <row r="15">
      <c r="A15" s="1" t="inlineStr">
        <is>
          <t>Methodology: engine parity</t>
        </is>
      </c>
      <c r="B15" s="2" t="inlineStr">
        <is>
          <t>Row logic on each DCF tab mirrors the dashboard component engine exactly: EBIT = revenue x (EBITDA margin - SBC% - lease% - D&amp;A%); NOPAT = EBIT - MAX(0,EBIT) x tax; FCF = NOPAT + D&amp;A - capex + WC capture x (revenue - prior revenue). Row 11 therefore includes the lease charge (memo row 25 shows it separately).</t>
        </is>
      </c>
    </row>
    <row r="16">
      <c r="A16" s="1" t="inlineStr">
        <is>
          <t>Scenario drivers</t>
        </is>
      </c>
      <c r="B16" s="2" t="inlineStr">
        <is>
          <t>Judgment of the dcf-analyst agent, set 2026-09-02 on a fresh build. Narratives on the Assumptions tab. Weights 40/45/15 bear/base/bull -- see Assumptions.</t>
        </is>
      </c>
    </row>
    <row r="17">
      <c r="A17" s="1" t="inlineStr">
        <is>
          <t>What to refresh after the FY2026 result</t>
        </is>
      </c>
      <c r="B17" s="2" t="inlineStr">
        <is>
          <t>1) Assumptions!B6 net debt (the single most important anchor -- the house figure is an estimate); 2) Assumptions!B8 FY0 revenue (continuing ops); 3) Actuals tab FY2026 row; 4) going-concern status and refinancing terms -&gt; bear weight; 5) FY2027 guidance -&gt; Y1 growth and margin drivers only.</t>
        </is>
      </c>
    </row>
    <row r="18">
      <c r="A18" s="1" t="inlineStr">
        <is>
          <t>Cell colours</t>
        </is>
      </c>
      <c r="B18" s="2" t="inlineStr">
        <is>
          <t>BLUE font = hardcoded input; YELLOW fill = key driver row (edit these); BLACK = formula; GREEN font = cross-sheet link. Only rows 5, 7, 9 and 14 on each DCF tab are drivers; everything else flows from them and the Assumptions tab.</t>
        </is>
      </c>
    </row>
    <row r="19">
      <c r="A19" s="1" t="inlineStr">
        <is>
          <t>Verification</t>
        </is>
      </c>
      <c r="B19" s="2" t="inlineStr">
        <is>
          <t>Recalculated headless in LibreOffice with zero formula errors; Valuation!B8 (weighted IV) ties to probability_weighted.weighted_iv in the JSON within rounding.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Reported history, NZ$ millions (EPS/prices per share). Source: SML.NZ_Metrics.csv (from annual/interim reports, financial-parser agent), lease principal and interest income from cash-flow statements / finance-income notes; FY-end prices Yahoo monthly close.</t>
        </is>
      </c>
    </row>
    <row r="3">
      <c r="A3" s="1" t="inlineStr">
        <is>
          <t>Line</t>
        </is>
      </c>
      <c r="B3" s="1" t="inlineStr">
        <is>
          <t>FY2016</t>
        </is>
      </c>
      <c r="C3" s="1" t="inlineStr">
        <is>
          <t>FY2017</t>
        </is>
      </c>
      <c r="D3" s="1" t="inlineStr">
        <is>
          <t>FY2018</t>
        </is>
      </c>
      <c r="E3" s="1" t="inlineStr">
        <is>
          <t>FY2019</t>
        </is>
      </c>
      <c r="F3" s="1" t="inlineStr">
        <is>
          <t>FY2020</t>
        </is>
      </c>
      <c r="G3" s="1" t="inlineStr">
        <is>
          <t>FY2021</t>
        </is>
      </c>
      <c r="H3" s="1" t="inlineStr">
        <is>
          <t>FY2022</t>
        </is>
      </c>
      <c r="I3" s="1" t="inlineStr">
        <is>
          <t>FY2023</t>
        </is>
      </c>
      <c r="J3" s="1" t="inlineStr">
        <is>
          <t>FY2024</t>
        </is>
      </c>
      <c r="K3" s="1" t="inlineStr">
        <is>
          <t>FY2025</t>
        </is>
      </c>
      <c r="L3" s="1" t="inlineStr">
        <is>
          <t>H1 FY2025</t>
        </is>
      </c>
      <c r="M3" s="1" t="inlineStr">
        <is>
          <t>H1 FY2026</t>
        </is>
      </c>
    </row>
    <row r="4">
      <c r="A4" t="inlineStr">
        <is>
          <t>Revenue</t>
        </is>
      </c>
      <c r="B4" s="4" t="n">
        <v>546.866</v>
      </c>
      <c r="C4" s="4" t="n">
        <v>758.994</v>
      </c>
      <c r="D4" s="4" t="n">
        <v>879.001</v>
      </c>
      <c r="E4" s="4" t="n">
        <v>1024.305</v>
      </c>
      <c r="F4" s="4" t="n">
        <v>1302.025</v>
      </c>
      <c r="G4" s="4" t="n">
        <v>1367.349</v>
      </c>
      <c r="H4" s="4" t="n">
        <v>1660.601</v>
      </c>
      <c r="I4" s="4" t="n">
        <v>1320.758</v>
      </c>
      <c r="J4" s="4" t="n">
        <v>1636.858</v>
      </c>
      <c r="K4" s="4" t="n">
        <v>1827.415</v>
      </c>
      <c r="L4" s="4" t="n">
        <v>916.7670000000001</v>
      </c>
      <c r="M4" s="4" t="n">
        <v>777.581</v>
      </c>
    </row>
    <row r="5">
      <c r="A5" t="inlineStr">
        <is>
          <t>EBITDA (reported)</t>
        </is>
      </c>
      <c r="D5" s="4" t="n">
        <v>138.641</v>
      </c>
      <c r="E5" s="4" t="n">
        <v>152.147</v>
      </c>
      <c r="F5" s="4" t="n">
        <v>166.403</v>
      </c>
      <c r="G5" s="4" t="n">
        <v>32.571</v>
      </c>
      <c r="H5" s="4" t="n">
        <v>112.627</v>
      </c>
      <c r="I5" s="4" t="n">
        <v>68.759</v>
      </c>
      <c r="J5" s="4" t="n">
        <v>-126.827</v>
      </c>
      <c r="K5" s="4" t="n">
        <v>44.241</v>
      </c>
      <c r="L5" s="4" t="n">
        <v>59.759</v>
      </c>
      <c r="M5" s="4" t="n">
        <v>-31.457</v>
      </c>
    </row>
    <row r="6">
      <c r="A6" t="inlineStr">
        <is>
          <t>Net income</t>
        </is>
      </c>
      <c r="B6" s="4" t="n">
        <v>34.383</v>
      </c>
      <c r="C6" s="4" t="n">
        <v>38.223</v>
      </c>
      <c r="D6" s="4" t="n">
        <v>74.553</v>
      </c>
      <c r="E6" s="4" t="n">
        <v>82.239</v>
      </c>
      <c r="F6" s="4" t="n">
        <v>75.208</v>
      </c>
      <c r="G6" s="4" t="n">
        <v>-28.451</v>
      </c>
      <c r="H6" s="4" t="n">
        <v>38.523</v>
      </c>
      <c r="I6" s="4" t="n">
        <v>-4.292</v>
      </c>
      <c r="J6" s="4" t="n">
        <v>-182.111</v>
      </c>
      <c r="K6" s="4" t="n">
        <v>-39.822</v>
      </c>
      <c r="L6" s="4" t="n">
        <v>4.808</v>
      </c>
      <c r="M6" s="4" t="n">
        <v>-80.628</v>
      </c>
    </row>
    <row r="7">
      <c r="A7" t="inlineStr">
        <is>
          <t>Operating cash flow</t>
        </is>
      </c>
      <c r="B7" s="4" t="n">
        <v>103.903</v>
      </c>
      <c r="C7" s="4" t="n">
        <v>115.175</v>
      </c>
      <c r="D7" s="4" t="n">
        <v>98.39</v>
      </c>
      <c r="E7" s="4" t="n">
        <v>136.698</v>
      </c>
      <c r="F7" s="4" t="n">
        <v>105.54</v>
      </c>
      <c r="G7" s="4" t="n">
        <v>15.868</v>
      </c>
      <c r="H7" s="4" t="n">
        <v>232.92</v>
      </c>
      <c r="I7" s="4" t="n">
        <v>39.037</v>
      </c>
      <c r="J7" s="4" t="n">
        <v>-47.191</v>
      </c>
      <c r="K7" s="4" t="n">
        <v>165.522</v>
      </c>
      <c r="L7" s="4" t="n">
        <v>-12.038</v>
      </c>
      <c r="M7" s="4" t="n">
        <v>-183.371</v>
      </c>
    </row>
    <row r="8">
      <c r="A8" t="inlineStr">
        <is>
          <t>Capex</t>
        </is>
      </c>
      <c r="B8" s="4" t="n">
        <v>-41.038</v>
      </c>
      <c r="C8" s="4" t="n">
        <v>-33.283</v>
      </c>
      <c r="D8" s="4" t="n">
        <v>-120.289</v>
      </c>
      <c r="E8" s="4" t="n">
        <v>-320.441</v>
      </c>
      <c r="F8" s="4" t="n">
        <v>-152.474</v>
      </c>
      <c r="G8" s="4" t="n">
        <v>-140.368</v>
      </c>
      <c r="H8" s="4" t="n">
        <v>-92.908</v>
      </c>
      <c r="I8" s="4" t="n">
        <v>-64.895</v>
      </c>
      <c r="J8" s="4" t="n">
        <v>-30.902</v>
      </c>
      <c r="K8" s="4" t="n">
        <v>-23.663</v>
      </c>
      <c r="L8" s="4" t="n">
        <v>-13.083</v>
      </c>
      <c r="M8" s="4" t="n">
        <v>-16.392</v>
      </c>
    </row>
    <row r="9">
      <c r="A9" t="inlineStr">
        <is>
          <t>Free cash flow (reported)</t>
        </is>
      </c>
      <c r="B9" s="4" t="n">
        <v>62.865</v>
      </c>
      <c r="C9" s="4" t="n">
        <v>81.892</v>
      </c>
      <c r="D9" s="4" t="n">
        <v>-21.899</v>
      </c>
      <c r="E9" s="4" t="n">
        <v>-183.743</v>
      </c>
      <c r="F9" s="4" t="n">
        <v>-46.934</v>
      </c>
      <c r="G9" s="4" t="n">
        <v>-124.5</v>
      </c>
      <c r="H9" s="4" t="n">
        <v>140.012</v>
      </c>
      <c r="I9" s="4" t="n">
        <v>-25.858</v>
      </c>
      <c r="J9" s="4" t="n">
        <v>-78.093</v>
      </c>
      <c r="K9" s="4" t="n">
        <v>141.859</v>
      </c>
      <c r="L9" s="4" t="n">
        <v>-25.121</v>
      </c>
      <c r="M9" s="4" t="n">
        <v>-199.763</v>
      </c>
    </row>
    <row r="10">
      <c r="A10" t="inlineStr">
        <is>
          <t>SBC</t>
        </is>
      </c>
      <c r="B10" s="4" t="n">
        <v>0.364</v>
      </c>
      <c r="C10" s="4" t="n">
        <v>0.364</v>
      </c>
      <c r="D10" s="4" t="n">
        <v>0.588</v>
      </c>
      <c r="E10" s="4" t="n">
        <v>0.644</v>
      </c>
      <c r="F10" s="4" t="n">
        <v>0.523</v>
      </c>
      <c r="G10" s="4" t="n">
        <v>-0.61</v>
      </c>
      <c r="H10" s="4" t="n">
        <v>0.115</v>
      </c>
      <c r="I10" s="4" t="n">
        <v>0.115</v>
      </c>
      <c r="J10" s="4" t="n">
        <v>0.399</v>
      </c>
      <c r="K10" s="4" t="n">
        <v>-0.536</v>
      </c>
      <c r="L10" s="4" t="n">
        <v>0.198</v>
      </c>
      <c r="M10" s="4" t="n">
        <v>0</v>
      </c>
    </row>
    <row r="11">
      <c r="A11" t="inlineStr">
        <is>
          <t>Interest income</t>
        </is>
      </c>
      <c r="B11" s="4" t="n">
        <v>0.018</v>
      </c>
      <c r="C11" s="4" t="n">
        <v>0.018</v>
      </c>
      <c r="D11" s="4" t="n">
        <v>1.023</v>
      </c>
      <c r="E11" s="4" t="n">
        <v>1.232</v>
      </c>
      <c r="F11" s="4" t="n">
        <v>0.134</v>
      </c>
      <c r="G11" s="4" t="n">
        <v>0.044</v>
      </c>
      <c r="H11" s="4" t="n">
        <v>0.17</v>
      </c>
      <c r="I11" s="4" t="n">
        <v>0.281</v>
      </c>
      <c r="J11" s="4" t="n">
        <v>0.585</v>
      </c>
      <c r="K11" s="4" t="n">
        <v>0.842</v>
      </c>
      <c r="L11" s="4" t="n">
        <v>0.484</v>
      </c>
      <c r="M11" s="4" t="n">
        <v>0.198</v>
      </c>
    </row>
    <row r="12">
      <c r="A12" t="inlineStr">
        <is>
          <t>Lease principal repaid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4.185</v>
      </c>
      <c r="G12" s="4" t="n">
        <v>4.499</v>
      </c>
      <c r="H12" s="4" t="n">
        <v>4.079</v>
      </c>
      <c r="I12" s="4" t="n">
        <v>4.4</v>
      </c>
      <c r="J12" s="4" t="n">
        <v>5.916</v>
      </c>
      <c r="K12" s="4" t="n">
        <v>6.012</v>
      </c>
      <c r="L12" s="4" t="n">
        <v>3.111</v>
      </c>
      <c r="M12" s="4" t="n">
        <v>3.255</v>
      </c>
    </row>
    <row r="13">
      <c r="A13" t="inlineStr">
        <is>
          <t>Shareholders equity</t>
        </is>
      </c>
      <c r="B13" s="4" t="n">
        <v>256.843</v>
      </c>
      <c r="C13" s="4" t="n">
        <v>393.084</v>
      </c>
      <c r="D13" s="4" t="n">
        <v>424.745</v>
      </c>
      <c r="E13" s="4" t="n">
        <v>492.359</v>
      </c>
      <c r="F13" s="4" t="n">
        <v>606.484</v>
      </c>
      <c r="G13" s="4" t="n">
        <v>767.114</v>
      </c>
      <c r="H13" s="4" t="n">
        <v>748.396</v>
      </c>
      <c r="I13" s="4" t="n">
        <v>790.374</v>
      </c>
      <c r="J13" s="4" t="n">
        <v>604.798</v>
      </c>
      <c r="K13" s="4" t="n">
        <v>788.7859999999999</v>
      </c>
      <c r="L13" s="4" t="n">
        <v>796.658</v>
      </c>
      <c r="M13" s="4" t="n">
        <v>717.564</v>
      </c>
    </row>
    <row r="14">
      <c r="A14" t="inlineStr">
        <is>
          <t>Total debt (CSV, incl leases)</t>
        </is>
      </c>
      <c r="B14" s="4" t="n">
        <v>215.454</v>
      </c>
      <c r="C14" s="4" t="n">
        <v>156.085</v>
      </c>
      <c r="D14" s="4" t="n">
        <v>146.386</v>
      </c>
      <c r="E14" s="4" t="n">
        <v>349.108</v>
      </c>
      <c r="F14" s="4" t="n">
        <v>548.851</v>
      </c>
      <c r="G14" s="4" t="n">
        <v>507.935</v>
      </c>
      <c r="H14" s="4" t="n">
        <v>383.528</v>
      </c>
      <c r="I14" s="4" t="n">
        <v>469.618</v>
      </c>
      <c r="J14" s="4" t="n">
        <v>615.035</v>
      </c>
      <c r="K14" s="4" t="n">
        <v>384.072</v>
      </c>
      <c r="L14" s="4" t="n">
        <v>491.958</v>
      </c>
      <c r="M14" s="4" t="n">
        <v>557.553</v>
      </c>
    </row>
    <row r="15">
      <c r="A15" t="inlineStr">
        <is>
          <t>Cash</t>
        </is>
      </c>
      <c r="B15" s="4" t="n">
        <v>2.045</v>
      </c>
      <c r="C15" s="4" t="n">
        <v>73.827</v>
      </c>
      <c r="D15" s="4" t="n">
        <v>32.129</v>
      </c>
      <c r="E15" s="4" t="n">
        <v>16.007</v>
      </c>
      <c r="F15" s="4" t="n">
        <v>5.887</v>
      </c>
      <c r="G15" s="4" t="n">
        <v>16.02</v>
      </c>
      <c r="H15" s="4" t="n">
        <v>14.493</v>
      </c>
      <c r="I15" s="4" t="n">
        <v>9.289999999999999</v>
      </c>
      <c r="J15" s="4" t="n">
        <v>10.273</v>
      </c>
      <c r="K15" s="4" t="n">
        <v>78.277</v>
      </c>
      <c r="L15" s="4" t="n">
        <v>49.041</v>
      </c>
      <c r="M15" s="4" t="n">
        <v>32.305</v>
      </c>
    </row>
    <row r="16">
      <c r="A16" t="inlineStr">
        <is>
          <t>Shares on issue (m)</t>
        </is>
      </c>
      <c r="B16" s="4" t="n">
        <v>146.341</v>
      </c>
      <c r="C16" s="4" t="n">
        <v>179.223</v>
      </c>
      <c r="D16" s="4" t="n">
        <v>179.223</v>
      </c>
      <c r="E16" s="4" t="n">
        <v>179.223</v>
      </c>
      <c r="F16" s="4" t="n">
        <v>179.307</v>
      </c>
      <c r="G16" s="4" t="n">
        <v>218.582</v>
      </c>
      <c r="H16" s="4" t="n">
        <v>218.582</v>
      </c>
      <c r="I16" s="4" t="n">
        <v>218.582</v>
      </c>
      <c r="J16" s="4" t="n">
        <v>218.582</v>
      </c>
      <c r="K16" s="4" t="n">
        <v>603.198</v>
      </c>
      <c r="L16" s="4" t="n">
        <v>603.198</v>
      </c>
      <c r="M16" s="4" t="n">
        <v>603.198</v>
      </c>
    </row>
    <row r="17">
      <c r="A17" t="inlineStr">
        <is>
          <t>FY-end price (31-Jul, NZ$)</t>
        </is>
      </c>
      <c r="B17" s="4" t="n">
        <v>3.614</v>
      </c>
      <c r="C17" s="4" t="n">
        <v>4.78</v>
      </c>
      <c r="D17" s="4" t="n">
        <v>12.8</v>
      </c>
      <c r="E17" s="4" t="n">
        <v>9.35</v>
      </c>
      <c r="F17" s="4" t="n">
        <v>6.36</v>
      </c>
      <c r="G17" s="4" t="n">
        <v>3.3</v>
      </c>
      <c r="H17" s="4" t="n">
        <v>3.48</v>
      </c>
      <c r="I17" s="4" t="n">
        <v>1.3</v>
      </c>
      <c r="J17" s="4" t="n">
        <v>0.4</v>
      </c>
      <c r="K17" s="4" t="n">
        <v>0.77</v>
      </c>
    </row>
    <row r="19" ht="45" customHeight="1">
      <c r="A19" s="2" t="inlineStr">
        <is>
          <t>Balance-sheet snapshot 31-Jan-2026 (H1 FY2026, KPMG-reviewed, material uncertainty re going concern): loans &amp; borrowings 504.438 (RCF 273.0, term 72.0, NZD/CNH 29.4, Bright Dairy shareholder loan 130.0; ALL current), cash 32.305, lease liabilities 53.115, assets held for sale (North Island) 296.053, equity 717.564.</t>
        </is>
      </c>
    </row>
    <row r="20" ht="45" customHeight="1">
      <c r="A20" s="2" t="inlineStr">
        <is>
          <t>Net debt bridge (company definition, ex leases): 472.1 at 31-Jan-2026 -&gt; less 283.1 Abbott proceeds received 1-Apr-2026 = 189.0 pro-forma (seasonal WC peak) -&gt; less ~90 seasonal WC unwind + ~26 H2 cash burn = ~125.0 estimated 31-Jul-2026. Holdback ~14 not credited.</t>
        </is>
      </c>
    </row>
    <row r="21" ht="45" customHeight="1">
      <c r="A21" s="2" t="inlineStr">
        <is>
          <t>Seasonal working capital (inventories + receivables - payables): 31-Jan-2026 129.9 (ex HFS); FY-ends: FY2022 0.9, FY2023 52.2, FY2024 96.7, FY2025 -1.9.</t>
        </is>
      </c>
    </row>
    <row r="22" ht="45" customHeight="1">
      <c r="A22" s="2" t="inlineStr">
        <is>
          <t>Continuing-ops revenue: FY2025 1,590.2 (group 1,827.4 less North Island 237.3); H1 FY2026 777.6; H1 FY2025 779.0 -&gt; TTM 1,588.7 (FY0 base on Assumptions!B8).</t>
        </is>
      </c>
    </row>
    <row r="23" ht="45" customHeight="1">
      <c r="A23" s="2" t="inlineStr">
        <is>
          <t>Segments H1 FY2026 (continuing): Synlait SI revenue 557.5 / EBITDA -45.2 (incl 33.2 tactical raw-milk losses); Dairyworks revenue 220.1 / EBITDA 13.2. FY2025 Dairyworks NPAT 10.3, EBITDA ~23.5 on revenue 324.2.</t>
        </is>
      </c>
    </row>
    <row r="24" ht="45" customHeight="1">
      <c r="A24" s="2" t="inlineStr">
        <is>
          <t>Guidance 14-Aug-2026: FY2026 underlying net loss after tax NZ$19m-24m. FY26 milk price ~NZ$9.90/kgMS. Formal EBITDA/revenue guidance withdrawn.</t>
        </is>
      </c>
    </row>
    <row r="25" ht="45" customHeight="1">
      <c r="A25" s="2" t="inlineStr">
        <is>
          <t>Share history: 218,581,661 pre-recap -&gt; 603,198,098 after the 1-Oct-2024 placement (Bright Dairy at NZ$0.60, a2 Milk at NZ$0.43; NZ$212.1m net). Buybacks: none. Ownership Bright Dairy 65.25%, a2 Milk 19.83%.</t>
        </is>
      </c>
    </row>
  </sheetData>
  <mergeCells count="8">
    <mergeCell ref="A22:N22"/>
    <mergeCell ref="A20:N20"/>
    <mergeCell ref="A21:N21"/>
    <mergeCell ref="A24:N24"/>
    <mergeCell ref="A25:N25"/>
    <mergeCell ref="A19:N19"/>
    <mergeCell ref="A23:N2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>
      <c r="A1" s="1" t="inlineStr">
        <is>
          <t>Global inputs (blue = hardcoded). Scenario drivers below; narratives at the bottom.</t>
        </is>
      </c>
    </row>
    <row r="3">
      <c r="A3" t="inlineStr">
        <is>
          <t>Current price (NZ$)</t>
        </is>
      </c>
      <c r="B3" s="5" t="n">
        <v>0.395</v>
      </c>
      <c r="F3" s="2" t="inlineStr">
        <is>
          <t>2026-09-02T05:00:13Z (NZX regular close 17:00 NZST; Yahoo regularMarketPrice)</t>
        </is>
      </c>
    </row>
    <row r="4">
      <c r="A4" t="inlineStr">
        <is>
          <t>Price timestamp</t>
        </is>
      </c>
      <c r="B4" s="6" t="inlineStr">
        <is>
          <t>2026-09-02T05:00:13Z (NZX regular close 17:00 NZST; Yahoo regularMarketPrice)</t>
        </is>
      </c>
      <c r="F4" s="2" t="inlineStr">
        <is>
          <t>Yahoo regularMarketTime; NZX regular close</t>
        </is>
      </c>
    </row>
    <row r="5">
      <c r="A5" t="inlineStr">
        <is>
          <t>Diluted shares (m)</t>
        </is>
      </c>
      <c r="B5" s="4" t="n">
        <v>603.198098</v>
      </c>
      <c r="F5" s="2" t="inlineStr">
        <is>
          <t>603,198,098 ordinary shares on issue at 31-Jan-2026 (H1 FY2026 note 12), unchanged since the 1-Oct-2024 recapitalisation placement; PSRs immaterial and anti-dilutive. Held FLAT (no SBC to expense, no raise assumed in the flows).</t>
        </is>
      </c>
    </row>
    <row r="6">
      <c r="A6" t="inlineStr">
        <is>
          <t>Net debt (NZ$m, ex leases)</t>
        </is>
      </c>
      <c r="B6" s="7" t="n">
        <v>125</v>
      </c>
      <c r="F6" s="2" t="inlineStr">
        <is>
          <t>ESTIMATED 31-Jul-2026 pro-forma: 472.1 (31-Jan-2026 reported, ex leases) - 283.1 (Abbott proceeds 1-Apr-2026) - 90.0 (seasonal WC unwind to FY-end norm) + 26.0 (H2 FY26 cash burn) = 125.0. Refresh at the FY2026 result (late Sept-2026).</t>
        </is>
      </c>
    </row>
    <row r="7">
      <c r="A7" t="inlineStr">
        <is>
          <t>Balance sheet date</t>
        </is>
      </c>
      <c r="B7" s="6" t="inlineStr">
        <is>
          <t>2026-01-31 (H1 FY2026 interim, reviewed by KPMG with a material-uncertainty-related-to-going-concern paragraph); net debt adjusted for the 1-Apr-2026 North Island sale completion and estimated forward to 31-Jul-2026</t>
        </is>
      </c>
      <c r="F7" s="2" t="inlineStr">
        <is>
          <t>Latest reviewed accounts</t>
        </is>
      </c>
    </row>
    <row r="8">
      <c r="A8" t="inlineStr">
        <is>
          <t>FY0 revenue base (NZ$m)</t>
        </is>
      </c>
      <c r="B8" s="7" t="n">
        <v>1588.7</v>
      </c>
      <c r="F8" s="2" t="inlineStr">
        <is>
          <t>TTM continuing operations to 31-Jan-2026 (ex North Island)</t>
        </is>
      </c>
    </row>
    <row r="9">
      <c r="A9" t="inlineStr">
        <is>
          <t>Discount rate / WACC (%)</t>
        </is>
      </c>
      <c r="B9" s="8" t="n">
        <v>16</v>
      </c>
      <c r="F9" s="2" t="inlineStr">
        <is>
          <t>Single rate for all scenarios; see wacc_rationale in the JSON and Model_Info</t>
        </is>
      </c>
    </row>
    <row r="10">
      <c r="A10" t="inlineStr">
        <is>
          <t>Hurdle rate for entry price</t>
        </is>
      </c>
      <c r="B10" s="9" t="n">
        <v>0.15</v>
      </c>
      <c r="F10" s="2" t="inlineStr">
        <is>
          <t>15% IRR; TV rebuilt at the hurdle</t>
        </is>
      </c>
    </row>
    <row r="11">
      <c r="A11" t="inlineStr">
        <is>
          <t>Lease liabilities excluded (memo)</t>
        </is>
      </c>
      <c r="B11" s="7" t="n">
        <v>53.1</v>
      </c>
      <c r="F11" s="2" t="inlineStr">
        <is>
          <t>Treatment B: lease cost charged in flows (row 11 / memo row 25), liabilities excluded from net debt</t>
        </is>
      </c>
    </row>
    <row r="12">
      <c r="A12" t="inlineStr">
        <is>
          <t>Horizon (years)</t>
        </is>
      </c>
      <c r="B12" s="10" t="n">
        <v>10</v>
      </c>
      <c r="F12" s="2" t="inlineStr">
        <is>
          <t>10 years: margins still ramping at year 5</t>
        </is>
      </c>
    </row>
    <row r="15">
      <c r="A15" s="1" t="inlineStr">
        <is>
          <t>Scenario parameters</t>
        </is>
      </c>
      <c r="C15" s="1" t="inlineStr">
        <is>
          <t>Bear</t>
        </is>
      </c>
      <c r="D15" s="1" t="inlineStr">
        <is>
          <t>Base</t>
        </is>
      </c>
      <c r="E15" s="1" t="inlineStr">
        <is>
          <t>Bull</t>
        </is>
      </c>
    </row>
    <row r="16">
      <c r="A16" t="inlineStr">
        <is>
          <t>Terminal growth (%)</t>
        </is>
      </c>
      <c r="C16" s="8" t="n">
        <v>0.5</v>
      </c>
      <c r="D16" s="8" t="n">
        <v>1.5</v>
      </c>
      <c r="E16" s="8" t="n">
        <v>2</v>
      </c>
    </row>
    <row r="17">
      <c r="A17" t="inlineStr">
        <is>
          <t>Terminal cap (x owner FCF)</t>
        </is>
      </c>
      <c r="C17" s="8" t="n">
        <v>8</v>
      </c>
      <c r="D17" s="8" t="n">
        <v>10</v>
      </c>
      <c r="E17" s="8" t="n">
        <v>12</v>
      </c>
    </row>
    <row r="18">
      <c r="A18" t="inlineStr">
        <is>
          <t>D&amp;A (% revenue)</t>
        </is>
      </c>
      <c r="C18" s="9" t="n">
        <v>2.8</v>
      </c>
      <c r="D18" s="9" t="n">
        <v>2.7</v>
      </c>
      <c r="E18" s="9" t="n">
        <v>2.7</v>
      </c>
    </row>
    <row r="19">
      <c r="A19" t="inlineStr">
        <is>
          <t>Capex (% revenue)</t>
        </is>
      </c>
      <c r="C19" s="9" t="n">
        <v>1.5</v>
      </c>
      <c r="D19" s="9" t="n">
        <v>1.8</v>
      </c>
      <c r="E19" s="9" t="n">
        <v>2</v>
      </c>
    </row>
    <row r="20">
      <c r="A20" t="inlineStr">
        <is>
          <t>Lease cost (% revenue)</t>
        </is>
      </c>
      <c r="C20" s="9" t="n">
        <v>0.4</v>
      </c>
      <c r="D20" s="9" t="n">
        <v>0.4</v>
      </c>
      <c r="E20" s="9" t="n">
        <v>0.4</v>
      </c>
    </row>
    <row r="21">
      <c r="A21" t="inlineStr">
        <is>
          <t>WC capture (% of revenue change)</t>
        </is>
      </c>
      <c r="C21" s="8" t="n">
        <v>-3</v>
      </c>
      <c r="D21" s="8" t="n">
        <v>-3</v>
      </c>
      <c r="E21" s="8" t="n">
        <v>-3</v>
      </c>
    </row>
    <row r="22" ht="120" customHeight="1">
      <c r="A22" t="inlineStr">
        <is>
          <t>Probability weight</t>
        </is>
      </c>
      <c r="C22" s="11" t="n">
        <v>0.4</v>
      </c>
      <c r="D22" s="11" t="n">
        <v>0.45</v>
      </c>
      <c r="E22" s="11" t="n">
        <v>0.15</v>
      </c>
      <c r="F22" s="2" t="inlineStr">
        <is>
          <t>Bear 40% (house default 15%): KPMG's material-uncertainty-related-to-going-concern paragraph is live on the latest reviewed accounts; all core facilities (30-Jun-2026) and the NZ$130m Bright Dairy loan (12-Jul-2026) have matured with Bright's support only 'preliminarily indicated' at the last filing and no refinancing announcement in the corpus; FY2026 is a third consecutive underlying loss (guided -NZ$19m to -24m on 14-Aug-2026); the CEO resigned after 11 months and the Chief Quality Officer has left; and a2 Milk is building alternative capacity. Base 45%: the Abbott sale did complete and did halve bank facilities, Dairyworks and Foodservice are growing and profitable, and the controlling shareholder has funded two rescues -- muddle-through is the modal outcome. Bull 15% (house default 35%): requires Dairyworks, Foodservice, non-a2 nutrition wins AND a normal-terms refinancing AND a stable leadership team to all land within the horizon.</t>
        </is>
      </c>
    </row>
    <row r="23">
      <c r="A23" t="inlineStr">
        <is>
          <t>Weights sum (must be 1.00)</t>
        </is>
      </c>
      <c r="C23" s="12">
        <f>SUM(C22:E22)</f>
        <v/>
      </c>
    </row>
    <row r="26">
      <c r="A26" s="1" t="inlineStr">
        <is>
          <t>Scenario narratives</t>
        </is>
      </c>
    </row>
    <row r="27" ht="150" customHeight="1">
      <c r="A27" s="1" t="inlineStr">
        <is>
          <t>Bear</t>
        </is>
      </c>
      <c r="B27" s="2" t="inlineStr">
        <is>
          <t>Bear -- the going-concern path fails to stabilise and the equity is impaired. The a2 Milk Company shifts China-label and base-powder volumes to Mataura Valley Milk and its ex-Yashili Pokeno plant as minimum-volume obligations under the NPMSA step down, taking Advanced Nutrition -- historically the only high-margin product line -- with it; Ingredients stays a milk-absorption release valve with ~nil gross margin in a weak WMP market; Dairyworks and Foodservice grow but are too small (~31% and ~4% of revenue) to carry a NZ$600m single-site asset base. Revenue shrinks 8%/5%/3%/1% over FY27-FY30 and flat-lines near NZ$1.33bn; group EBITDA margin never exceeds 3.0% (vs FY2025 underlying 5.9%); D&amp;A (2.8%) exceeds a starved 1.5% capex, so FCF is positive only because the plant is being run down. Cash tax is nil throughout (the NZ$420m+ of tax losses are never used). Terminal growth 0.5%, terminal cap 8x owner FCF. Enterprise value (~NZ$71m) does not cover the ~NZ$125m of pro-forma net debt: the equity is under water on this path, and the refinancing that the H1 FY2026 going-concern note depends on resolves by a Bright Dairy-led recapitalisation that leaves minorities with a small slice of a small equity (see rescue_raise_memo). This is the scenario KPMG's material-uncertainty paragraph describes.</t>
        </is>
      </c>
    </row>
    <row r="28" ht="150" customHeight="1">
      <c r="A28" s="1" t="inlineStr">
        <is>
          <t>Base</t>
        </is>
      </c>
      <c r="B28" s="2" t="inlineStr">
        <is>
          <t>Base -- muddle-through, refinanced by the controlling shareholder. Bright Dairy rolls the NZ$130m shareholder loan and the syndicate refinances the halved (~NZ$200m) bank facilities on the strength of the Abbott proceeds; there is no further equity raise. The South-Island-only business (Dunsandel + Dairyworks) returns to a modest profit in FY2027 as the FY25-HY26 'manufacturing plan adjustment' one-offs (NZ$33m tactical raw-milk losses, NZ$43.5m manufacturing costs) wash out, but the structural picture is post-exclusivity: a2 Milk remains the anchor Advanced Nutrition customer at minimum volumes only, so the FY2018-FY2020 12-16% EBITDA margins do not return. Revenue dips 2% in FY2027 (Ingredients volume down, lower FY27 milk price) then grows 2-2.5%/yr on Dairyworks export growth, Foodservice UHT cream and incremental non-a2 nutrition customers; EBITDA margin ramps 3.5% -&gt; 6.5% by FY2032 (FY2025 underlying 5.9%; FY2022 reported 6.8%) and holds. Capex 1.8% vs D&amp;A 2.7% (maintenance on a NZ$600m PP&amp;E base with no growth projects). Cash tax nil through FY2032 as the NZ$420m+ tax-loss pool is consumed, ramping to 28% by FY2034. Terminal growth 1.5%, cap 10x owner FCF; Gordon binds. Leadership: a permanent CEO is appointed and the Stabilise/Simplify horizons deliver, Scale does not.</t>
        </is>
      </c>
    </row>
    <row r="29" ht="150" customHeight="1">
      <c r="A29" s="1" t="inlineStr">
        <is>
          <t>Bull</t>
        </is>
      </c>
      <c r="B29" s="2" t="inlineStr">
        <is>
          <t>Bull -- the reset works and Synlait becomes a diversified, profitable South Island processor. Dairyworks keeps compounding (HY26 revenue +51%, GP +22%) on Australian, SE Asian and US private-label/branded wins plus the Bright Dairy China retail channel; Foodservice UHT cream doubles in FY2027 as management targets and stays profitable; Advanced Nutrition diversifies beyond a2 Milk (white-label supplements, Middle East ELN customer, Nutrabase base powder, Abbott base-powder access, a2's FDA US infant-formula approval adding a new line). Revenue grows 0/4/5/5/4/3.5% then ~2.5-3%; EBITDA margin ramps 4.5% -&gt; 8.5% (still well below the FY2018-2020 a2-exclusivity peak of 12.8-15.8%, above the FY2022 6.8%). Capex 2.0% funds modest growth projects. Tax losses are consumed faster (cash tax 10% by FY2031, 28% from FY2033). Terminal growth 2.0%, cap 12x. Net debt is refinanced on normal terms and the going-concern qualification is lifted at FY2027. The bull case also captures the strategic-value angle behind the (denied) a2 Milk/Fonterra takeover speculation: a clean, SAMR-registered Dunsandel plant with secured Canterbury milk is worth more to a strategic owner than to minority holders of a distressed equity.</t>
        </is>
      </c>
    </row>
    <row r="31" ht="170" customHeight="1">
      <c r="A31" s="1" t="inlineStr">
        <is>
          <t>Valuation philosophy</t>
        </is>
      </c>
      <c r="B31" s="2" t="inlineStr">
        <is>
          <t>SML.NZ is a going-concern-qualified, controlled (85% held by two strategic shareholders) NZ dairy processor 18 months into a second recovery attempt, trading at NZ$0.395 (market cap ~NZ$238m) against ~NZ$690m of book equity and ~NZ$1.59bn of continuing revenue. The standard owner-FCF DCF cannot be applied naively: (1) the historical FCF series is unusable -- the 10-year median owner FCF is NEGATIVE (-NZ$27m) and the two positive peaks (FY2022, FY2025, +NZ$136m each) were working-capital releases, so every scenario is a component build (revenue x margin path -&gt; lease -&gt; D&amp;A -&gt; cash tax -&gt; capex -&gt; WC) from the TTM continuing-operations revenue base, never an FCF extrapolation; (2) the balance sheet in the CSV (31-Jan-2026) predates the completed 1-Apr-2026 Abbott sale and sits at the seasonal working-capital peak, so net debt is a documented pro-forma estimate (NZ$125m) with a sensitivity showing the NZ$189m peak and NZ$85m trough alternatives; (3) the bear case is a genuine equity-impairment path, not a low multiple -- enterprise value fails to cover net debt and the equity is under water, resolved in practice by a controlling-shareholder recapitalisation; (4) scenario weights are 40/45/15 -- the bear is weighted at nearly the base case because the auditor's material-uncertainty paragraph is live, the refinancing outcome is unknown at build, FY2026 is a third consecutive underlying loss, and the CEO seat is empty; the bull is 15% because it needs Dairyworks, Foodservice, non-a2 nutrition AND a normal refinancing to all land. The result -- weighted IV NZ$0.22 vs NZ$0.395 -- says the market is paying for something the DCF does not: the option value of the controlling shareholder's strategic interest (Bright paid NZ$0.60 in Sept-2024, 50% above the then market) and consolidation speculation. That gap is the finding, not an error: a minority holder receives the DCF value only if Bright Dairy and a2 Milk let them, and the model does not assume they will. A negative or near-zero intrinsic value on the bear path is the honest outcome and has not been floored away; a floored-at-zero weighted IV is shown as a memo.</t>
        </is>
      </c>
    </row>
  </sheetData>
  <mergeCells count="4">
    <mergeCell ref="B31:F31"/>
    <mergeCell ref="B29:F29"/>
    <mergeCell ref="B27:F27"/>
    <mergeCell ref="B28:F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SML.NZ -- BEAR scenario, NZ$ millions. Drivers (yellow): rows 5, 7, 9, 14. Everything else is formula.</t>
        </is>
      </c>
    </row>
    <row r="3">
      <c r="A3" s="1" t="inlineStr">
        <is>
          <t>Fiscal year (31 July)</t>
        </is>
      </c>
      <c r="B3" s="1" t="inlineStr">
        <is>
          <t>FY2026E/TTM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(%)</t>
        </is>
      </c>
      <c r="C5" s="13" t="n">
        <v>-8</v>
      </c>
      <c r="D5" s="13" t="n">
        <v>-5</v>
      </c>
      <c r="E5" s="13" t="n">
        <v>-3</v>
      </c>
      <c r="F5" s="13" t="n">
        <v>-1</v>
      </c>
      <c r="G5" s="13" t="n">
        <v>0</v>
      </c>
      <c r="H5" s="13" t="n">
        <v>0</v>
      </c>
      <c r="I5" s="13" t="n">
        <v>0.5</v>
      </c>
      <c r="J5" s="13" t="n">
        <v>0.5</v>
      </c>
      <c r="K5" s="13" t="n">
        <v>0.5</v>
      </c>
      <c r="L5" s="13" t="n">
        <v>0.5</v>
      </c>
    </row>
    <row r="6">
      <c r="A6" t="inlineStr">
        <is>
          <t>Revenue</t>
        </is>
      </c>
      <c r="B6" s="14">
        <f>Assumptions!$B$8</f>
        <v/>
      </c>
      <c r="C6" s="15">
        <f>B6*(1+C5/100)</f>
        <v/>
      </c>
      <c r="D6" s="15">
        <f>C6*(1+D5/100)</f>
        <v/>
      </c>
      <c r="E6" s="15">
        <f>D6*(1+E5/100)</f>
        <v/>
      </c>
      <c r="F6" s="15">
        <f>E6*(1+F5/100)</f>
        <v/>
      </c>
      <c r="G6" s="15">
        <f>F6*(1+G5/100)</f>
        <v/>
      </c>
      <c r="H6" s="15">
        <f>G6*(1+H5/100)</f>
        <v/>
      </c>
      <c r="I6" s="15">
        <f>H6*(1+I5/100)</f>
        <v/>
      </c>
      <c r="J6" s="15">
        <f>I6*(1+J5/100)</f>
        <v/>
      </c>
      <c r="K6" s="15">
        <f>J6*(1+K5/100)</f>
        <v/>
      </c>
      <c r="L6" s="15">
        <f>K6*(1+L5/100)</f>
        <v/>
      </c>
    </row>
    <row r="7">
      <c r="A7" t="inlineStr">
        <is>
          <t>Adj EBITDA margin (%)</t>
        </is>
      </c>
      <c r="C7" s="13" t="n">
        <v>1.5</v>
      </c>
      <c r="D7" s="13" t="n">
        <v>2</v>
      </c>
      <c r="E7" s="13" t="n">
        <v>2.3</v>
      </c>
      <c r="F7" s="13" t="n">
        <v>2.5</v>
      </c>
      <c r="G7" s="13" t="n">
        <v>2.7</v>
      </c>
      <c r="H7" s="13" t="n">
        <v>2.8</v>
      </c>
      <c r="I7" s="13" t="n">
        <v>3</v>
      </c>
      <c r="J7" s="13" t="n">
        <v>3</v>
      </c>
      <c r="K7" s="13" t="n">
        <v>3</v>
      </c>
      <c r="L7" s="13" t="n">
        <v>3</v>
      </c>
    </row>
    <row r="8">
      <c r="A8" t="inlineStr">
        <is>
          <t>Adjusted EBITDA</t>
        </is>
      </c>
      <c r="C8" s="15">
        <f>C6*C7/100</f>
        <v/>
      </c>
      <c r="D8" s="15">
        <f>D6*D7/100</f>
        <v/>
      </c>
      <c r="E8" s="15">
        <f>E6*E7/100</f>
        <v/>
      </c>
      <c r="F8" s="15">
        <f>F6*F7/100</f>
        <v/>
      </c>
      <c r="G8" s="15">
        <f>G6*G7/100</f>
        <v/>
      </c>
      <c r="H8" s="15">
        <f>H6*H7/100</f>
        <v/>
      </c>
      <c r="I8" s="15">
        <f>I6*I7/100</f>
        <v/>
      </c>
      <c r="J8" s="15">
        <f>J6*J7/100</f>
        <v/>
      </c>
      <c r="K8" s="15">
        <f>K6*K7/100</f>
        <v/>
      </c>
      <c r="L8" s="15">
        <f>L6*L7/100</f>
        <v/>
      </c>
    </row>
    <row r="9">
      <c r="A9" t="inlineStr">
        <is>
          <t>SBC (% revenue)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</row>
    <row r="10">
      <c r="A10" t="inlineStr">
        <is>
          <t>SBC (negative)</t>
        </is>
      </c>
      <c r="C10" s="15">
        <f>-C6*C9/100</f>
        <v/>
      </c>
      <c r="D10" s="15">
        <f>-D6*D9/100</f>
        <v/>
      </c>
      <c r="E10" s="15">
        <f>-E6*E9/100</f>
        <v/>
      </c>
      <c r="F10" s="15">
        <f>-F6*F9/100</f>
        <v/>
      </c>
      <c r="G10" s="15">
        <f>-G6*G9/100</f>
        <v/>
      </c>
      <c r="H10" s="15">
        <f>-H6*H9/100</f>
        <v/>
      </c>
      <c r="I10" s="15">
        <f>-I6*I9/100</f>
        <v/>
      </c>
      <c r="J10" s="15">
        <f>-J6*J9/100</f>
        <v/>
      </c>
      <c r="K10" s="15">
        <f>-K6*K9/100</f>
        <v/>
      </c>
      <c r="L10" s="15">
        <f>-L6*L9/100</f>
        <v/>
      </c>
    </row>
    <row r="11">
      <c r="A11" t="inlineStr">
        <is>
          <t>Owner EBITDA (after SBC and lease cost)</t>
        </is>
      </c>
      <c r="C11" s="15">
        <f>C8+C10-C6*Assumptions!$C$20/100</f>
        <v/>
      </c>
      <c r="D11" s="15">
        <f>D8+D10-D6*Assumptions!$C$20/100</f>
        <v/>
      </c>
      <c r="E11" s="15">
        <f>E8+E10-E6*Assumptions!$C$20/100</f>
        <v/>
      </c>
      <c r="F11" s="15">
        <f>F8+F10-F6*Assumptions!$C$20/100</f>
        <v/>
      </c>
      <c r="G11" s="15">
        <f>G8+G10-G6*Assumptions!$C$20/100</f>
        <v/>
      </c>
      <c r="H11" s="15">
        <f>H8+H10-H6*Assumptions!$C$20/100</f>
        <v/>
      </c>
      <c r="I11" s="15">
        <f>I8+I10-I6*Assumptions!$C$20/100</f>
        <v/>
      </c>
      <c r="J11" s="15">
        <f>J8+J10-J6*Assumptions!$C$20/100</f>
        <v/>
      </c>
      <c r="K11" s="15">
        <f>K8+K10-K6*Assumptions!$C$20/100</f>
        <v/>
      </c>
      <c r="L11" s="15">
        <f>L8+L10-L6*Assumptions!$C$20/100</f>
        <v/>
      </c>
    </row>
    <row r="12">
      <c r="A12" t="inlineStr">
        <is>
          <t>D&amp;A (negative)</t>
        </is>
      </c>
      <c r="C12" s="14">
        <f>-C6*Assumptions!$C$18/100</f>
        <v/>
      </c>
      <c r="D12" s="14">
        <f>-D6*Assumptions!$C$18/100</f>
        <v/>
      </c>
      <c r="E12" s="14">
        <f>-E6*Assumptions!$C$18/100</f>
        <v/>
      </c>
      <c r="F12" s="14">
        <f>-F6*Assumptions!$C$18/100</f>
        <v/>
      </c>
      <c r="G12" s="14">
        <f>-G6*Assumptions!$C$18/100</f>
        <v/>
      </c>
      <c r="H12" s="14">
        <f>-H6*Assumptions!$C$18/100</f>
        <v/>
      </c>
      <c r="I12" s="14">
        <f>-I6*Assumptions!$C$18/100</f>
        <v/>
      </c>
      <c r="J12" s="14">
        <f>-J6*Assumptions!$C$18/100</f>
        <v/>
      </c>
      <c r="K12" s="14">
        <f>-K6*Assumptions!$C$18/100</f>
        <v/>
      </c>
      <c r="L12" s="14">
        <f>-L6*Assumptions!$C$18/100</f>
        <v/>
      </c>
    </row>
    <row r="13">
      <c r="A13" t="inlineStr">
        <is>
          <t>EBIT (SBC and lease expensed)</t>
        </is>
      </c>
      <c r="C13" s="15">
        <f>C11+C12</f>
        <v/>
      </c>
      <c r="D13" s="15">
        <f>D11+D12</f>
        <v/>
      </c>
      <c r="E13" s="15">
        <f>E11+E12</f>
        <v/>
      </c>
      <c r="F13" s="15">
        <f>F11+F12</f>
        <v/>
      </c>
      <c r="G13" s="15">
        <f>G11+G12</f>
        <v/>
      </c>
      <c r="H13" s="15">
        <f>H11+H12</f>
        <v/>
      </c>
      <c r="I13" s="15">
        <f>I11+I12</f>
        <v/>
      </c>
      <c r="J13" s="15">
        <f>J11+J12</f>
        <v/>
      </c>
      <c r="K13" s="15">
        <f>K11+K12</f>
        <v/>
      </c>
      <c r="L13" s="15">
        <f>L11+L12</f>
        <v/>
      </c>
    </row>
    <row r="14">
      <c r="A14" t="inlineStr">
        <is>
          <t>Cash tax rate (%) -- on positive EBIT only</t>
        </is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</row>
    <row r="15">
      <c r="A15" t="inlineStr">
        <is>
          <t>NOPAT</t>
        </is>
      </c>
      <c r="C15" s="15">
        <f>C13-MAX(0,C13)*C14/100</f>
        <v/>
      </c>
      <c r="D15" s="15">
        <f>D13-MAX(0,D13)*D14/100</f>
        <v/>
      </c>
      <c r="E15" s="15">
        <f>E13-MAX(0,E13)*E14/100</f>
        <v/>
      </c>
      <c r="F15" s="15">
        <f>F13-MAX(0,F13)*F14/100</f>
        <v/>
      </c>
      <c r="G15" s="15">
        <f>G13-MAX(0,G13)*G14/100</f>
        <v/>
      </c>
      <c r="H15" s="15">
        <f>H13-MAX(0,H13)*H14/100</f>
        <v/>
      </c>
      <c r="I15" s="15">
        <f>I13-MAX(0,I13)*I14/100</f>
        <v/>
      </c>
      <c r="J15" s="15">
        <f>J13-MAX(0,J13)*J14/100</f>
        <v/>
      </c>
      <c r="K15" s="15">
        <f>K13-MAX(0,K13)*K14/100</f>
        <v/>
      </c>
      <c r="L15" s="15">
        <f>L13-MAX(0,L13)*L14/100</f>
        <v/>
      </c>
    </row>
    <row r="16">
      <c r="A16" t="inlineStr">
        <is>
          <t>add back D&amp;A</t>
        </is>
      </c>
      <c r="C16" s="15">
        <f>-C12</f>
        <v/>
      </c>
      <c r="D16" s="15">
        <f>-D12</f>
        <v/>
      </c>
      <c r="E16" s="15">
        <f>-E12</f>
        <v/>
      </c>
      <c r="F16" s="15">
        <f>-F12</f>
        <v/>
      </c>
      <c r="G16" s="15">
        <f>-G12</f>
        <v/>
      </c>
      <c r="H16" s="15">
        <f>-H12</f>
        <v/>
      </c>
      <c r="I16" s="15">
        <f>-I12</f>
        <v/>
      </c>
      <c r="J16" s="15">
        <f>-J12</f>
        <v/>
      </c>
      <c r="K16" s="15">
        <f>-K12</f>
        <v/>
      </c>
      <c r="L16" s="15">
        <f>-L12</f>
        <v/>
      </c>
    </row>
    <row r="17">
      <c r="A17" t="inlineStr">
        <is>
          <t>less capex</t>
        </is>
      </c>
      <c r="C17" s="14">
        <f>-C6*Assumptions!$C$19/100</f>
        <v/>
      </c>
      <c r="D17" s="14">
        <f>-D6*Assumptions!$C$19/100</f>
        <v/>
      </c>
      <c r="E17" s="14">
        <f>-E6*Assumptions!$C$19/100</f>
        <v/>
      </c>
      <c r="F17" s="14">
        <f>-F6*Assumptions!$C$19/100</f>
        <v/>
      </c>
      <c r="G17" s="14">
        <f>-G6*Assumptions!$C$19/100</f>
        <v/>
      </c>
      <c r="H17" s="14">
        <f>-H6*Assumptions!$C$19/100</f>
        <v/>
      </c>
      <c r="I17" s="14">
        <f>-I6*Assumptions!$C$19/100</f>
        <v/>
      </c>
      <c r="J17" s="14">
        <f>-J6*Assumptions!$C$19/100</f>
        <v/>
      </c>
      <c r="K17" s="14">
        <f>-K6*Assumptions!$C$19/100</f>
        <v/>
      </c>
      <c r="L17" s="14">
        <f>-L6*Assumptions!$C$19/100</f>
        <v/>
      </c>
    </row>
    <row r="18">
      <c r="A18" t="inlineStr">
        <is>
          <t>add working capital (capture x revenue change)</t>
        </is>
      </c>
      <c r="C18" s="14">
        <f>Assumptions!$C$21/100*(C6-B6)</f>
        <v/>
      </c>
      <c r="D18" s="14">
        <f>Assumptions!$C$21/100*(D6-C6)</f>
        <v/>
      </c>
      <c r="E18" s="14">
        <f>Assumptions!$C$21/100*(E6-D6)</f>
        <v/>
      </c>
      <c r="F18" s="14">
        <f>Assumptions!$C$21/100*(F6-E6)</f>
        <v/>
      </c>
      <c r="G18" s="14">
        <f>Assumptions!$C$21/100*(G6-F6)</f>
        <v/>
      </c>
      <c r="H18" s="14">
        <f>Assumptions!$C$21/100*(H6-G6)</f>
        <v/>
      </c>
      <c r="I18" s="14">
        <f>Assumptions!$C$21/100*(I6-H6)</f>
        <v/>
      </c>
      <c r="J18" s="14">
        <f>Assumptions!$C$21/100*(J6-I6)</f>
        <v/>
      </c>
      <c r="K18" s="14">
        <f>Assumptions!$C$21/100*(K6-J6)</f>
        <v/>
      </c>
      <c r="L18" s="14">
        <f>Assumptions!$C$21/100*(L6-K6)</f>
        <v/>
      </c>
    </row>
    <row r="19">
      <c r="A19" s="1" t="inlineStr">
        <is>
          <t>Unlevered owner FCF</t>
        </is>
      </c>
      <c r="C19" s="17">
        <f>C15+C16+C17+C18</f>
        <v/>
      </c>
      <c r="D19" s="17">
        <f>D15+D16+D17+D18</f>
        <v/>
      </c>
      <c r="E19" s="17">
        <f>E15+E16+E17+E18</f>
        <v/>
      </c>
      <c r="F19" s="17">
        <f>F15+F16+F17+F18</f>
        <v/>
      </c>
      <c r="G19" s="17">
        <f>G15+G16+G17+G18</f>
        <v/>
      </c>
      <c r="H19" s="17">
        <f>H15+H16+H17+H18</f>
        <v/>
      </c>
      <c r="I19" s="17">
        <f>I15+I16+I17+I18</f>
        <v/>
      </c>
      <c r="J19" s="17">
        <f>J15+J16+J17+J18</f>
        <v/>
      </c>
      <c r="K19" s="17">
        <f>K15+K16+K17+K18</f>
        <v/>
      </c>
      <c r="L19" s="17">
        <f>L15+L16+L17+L18</f>
        <v/>
      </c>
    </row>
    <row r="20">
      <c r="A20" t="inlineStr">
        <is>
          <t>Discount factor</t>
        </is>
      </c>
      <c r="C20" s="18">
        <f>1/(1+Assumptions!$B$9/100)^C4</f>
        <v/>
      </c>
      <c r="D20" s="18">
        <f>1/(1+Assumptions!$B$9/100)^D4</f>
        <v/>
      </c>
      <c r="E20" s="18">
        <f>1/(1+Assumptions!$B$9/100)^E4</f>
        <v/>
      </c>
      <c r="F20" s="18">
        <f>1/(1+Assumptions!$B$9/100)^F4</f>
        <v/>
      </c>
      <c r="G20" s="18">
        <f>1/(1+Assumptions!$B$9/100)^G4</f>
        <v/>
      </c>
      <c r="H20" s="18">
        <f>1/(1+Assumptions!$B$9/100)^H4</f>
        <v/>
      </c>
      <c r="I20" s="18">
        <f>1/(1+Assumptions!$B$9/100)^I4</f>
        <v/>
      </c>
      <c r="J20" s="18">
        <f>1/(1+Assumptions!$B$9/100)^J4</f>
        <v/>
      </c>
      <c r="K20" s="18">
        <f>1/(1+Assumptions!$B$9/100)^K4</f>
        <v/>
      </c>
      <c r="L20" s="18">
        <f>1/(1+Assumptions!$B$9/100)^L4</f>
        <v/>
      </c>
    </row>
    <row r="21">
      <c r="A21" t="inlineStr">
        <is>
          <t>PV of FCF</t>
        </is>
      </c>
      <c r="C21" s="15">
        <f>C19*C20</f>
        <v/>
      </c>
      <c r="D21" s="15">
        <f>D19*D20</f>
        <v/>
      </c>
      <c r="E21" s="15">
        <f>E19*E20</f>
        <v/>
      </c>
      <c r="F21" s="15">
        <f>F19*F20</f>
        <v/>
      </c>
      <c r="G21" s="15">
        <f>G19*G20</f>
        <v/>
      </c>
      <c r="H21" s="15">
        <f>H19*H20</f>
        <v/>
      </c>
      <c r="I21" s="15">
        <f>I19*I20</f>
        <v/>
      </c>
      <c r="J21" s="15">
        <f>J19*J20</f>
        <v/>
      </c>
      <c r="K21" s="15">
        <f>K19*K20</f>
        <v/>
      </c>
      <c r="L21" s="15">
        <f>L19*L20</f>
        <v/>
      </c>
    </row>
    <row r="23">
      <c r="A23" t="inlineStr">
        <is>
          <t>Memo: FCF before SBC (company-style)</t>
        </is>
      </c>
      <c r="C23" s="15">
        <f>C19-C10</f>
        <v/>
      </c>
      <c r="D23" s="15">
        <f>D19-D10</f>
        <v/>
      </c>
      <c r="E23" s="15">
        <f>E19-E10</f>
        <v/>
      </c>
      <c r="F23" s="15">
        <f>F19-F10</f>
        <v/>
      </c>
      <c r="G23" s="15">
        <f>G19-G10</f>
        <v/>
      </c>
      <c r="H23" s="15">
        <f>H19-H10</f>
        <v/>
      </c>
      <c r="I23" s="15">
        <f>I19-I10</f>
        <v/>
      </c>
      <c r="J23" s="15">
        <f>J19-J10</f>
        <v/>
      </c>
      <c r="K23" s="15">
        <f>K19-K10</f>
        <v/>
      </c>
      <c r="L23" s="15">
        <f>L19-L10</f>
        <v/>
      </c>
    </row>
    <row r="24">
      <c r="A24" t="inlineStr">
        <is>
          <t>Memo: owner-FCF margin</t>
        </is>
      </c>
      <c r="C24" s="19">
        <f>C19/C6</f>
        <v/>
      </c>
      <c r="D24" s="19">
        <f>D19/D6</f>
        <v/>
      </c>
      <c r="E24" s="19">
        <f>E19/E6</f>
        <v/>
      </c>
      <c r="F24" s="19">
        <f>F19/F6</f>
        <v/>
      </c>
      <c r="G24" s="19">
        <f>G19/G6</f>
        <v/>
      </c>
      <c r="H24" s="19">
        <f>H19/H6</f>
        <v/>
      </c>
      <c r="I24" s="19">
        <f>I19/I6</f>
        <v/>
      </c>
      <c r="J24" s="19">
        <f>J19/J6</f>
        <v/>
      </c>
      <c r="K24" s="19">
        <f>K19/K6</f>
        <v/>
      </c>
      <c r="L24" s="19">
        <f>L19/L6</f>
        <v/>
      </c>
    </row>
    <row r="25">
      <c r="A25" t="inlineStr">
        <is>
          <t>Memo: lease cost charged (negative)</t>
        </is>
      </c>
      <c r="C25" s="14">
        <f>-C6*Assumptions!$C$20/100</f>
        <v/>
      </c>
      <c r="D25" s="14">
        <f>-D6*Assumptions!$C$20/100</f>
        <v/>
      </c>
      <c r="E25" s="14">
        <f>-E6*Assumptions!$C$20/100</f>
        <v/>
      </c>
      <c r="F25" s="14">
        <f>-F6*Assumptions!$C$20/100</f>
        <v/>
      </c>
      <c r="G25" s="14">
        <f>-G6*Assumptions!$C$20/100</f>
        <v/>
      </c>
      <c r="H25" s="14">
        <f>-H6*Assumptions!$C$20/100</f>
        <v/>
      </c>
      <c r="I25" s="14">
        <f>-I6*Assumptions!$C$20/100</f>
        <v/>
      </c>
      <c r="J25" s="14">
        <f>-J6*Assumptions!$C$20/100</f>
        <v/>
      </c>
      <c r="K25" s="14">
        <f>-K6*Assumptions!$C$20/100</f>
        <v/>
      </c>
      <c r="L25" s="14">
        <f>-L6*Assumptions!$C$20/100</f>
        <v/>
      </c>
    </row>
    <row r="26">
      <c r="A26" t="inlineStr">
        <is>
          <t>Sum of PV of FCF</t>
        </is>
      </c>
      <c r="B26" s="15">
        <f>SUM(C21:L21)</f>
        <v/>
      </c>
    </row>
    <row r="27">
      <c r="A27" t="inlineStr">
        <is>
          <t>Terminal growth (%)</t>
        </is>
      </c>
      <c r="B27" s="20">
        <f>Assumptions!$C$16</f>
        <v/>
      </c>
    </row>
    <row r="28">
      <c r="A28" t="inlineStr">
        <is>
          <t>Terminal-year FCF x (1+g)</t>
        </is>
      </c>
      <c r="B28" s="15">
        <f>L19*(1+B27/100)</f>
        <v/>
      </c>
    </row>
    <row r="29">
      <c r="A29" t="inlineStr">
        <is>
          <t>Gordon terminal value</t>
        </is>
      </c>
      <c r="B29" s="15">
        <f>IF(Assumptions!$B$9&gt;B27,B28/((Assumptions!$B$9-B27)/100),0)</f>
        <v/>
      </c>
    </row>
    <row r="30">
      <c r="A30" t="inlineStr">
        <is>
          <t>Cap terminal value (cap x FCF_10)</t>
        </is>
      </c>
      <c r="B30" s="15">
        <f>Assumptions!$C$17*L19</f>
        <v/>
      </c>
    </row>
    <row r="31">
      <c r="A31" t="inlineStr">
        <is>
          <t>Terminal value used = MAX(0,MIN(Gordon,cap))</t>
        </is>
      </c>
      <c r="B31" s="15">
        <f>MAX(0,MIN(B29,B30))</f>
        <v/>
      </c>
    </row>
    <row r="32">
      <c r="A32" t="inlineStr">
        <is>
          <t>Implied exit multiple (TV / FCF_10)</t>
        </is>
      </c>
      <c r="B32" s="21">
        <f>IF(L19&lt;&gt;0,B31/L19,"n/a")</f>
        <v/>
      </c>
    </row>
    <row r="33">
      <c r="A33" t="inlineStr">
        <is>
          <t>PV of terminal value</t>
        </is>
      </c>
      <c r="B33" s="15">
        <f>B31*L20</f>
        <v/>
      </c>
    </row>
    <row r="34">
      <c r="A34" t="inlineStr">
        <is>
          <t>Enterprise value</t>
        </is>
      </c>
      <c r="B34" s="15">
        <f>B26+B33</f>
        <v/>
      </c>
    </row>
    <row r="35">
      <c r="A35" t="inlineStr">
        <is>
          <t>less net debt (add net cash)</t>
        </is>
      </c>
      <c r="B35" s="14">
        <f>-Assumptions!$B$6</f>
        <v/>
      </c>
    </row>
    <row r="36">
      <c r="A36" t="inlineStr">
        <is>
          <t>Equity value</t>
        </is>
      </c>
      <c r="B36" s="15">
        <f>B34+B35</f>
        <v/>
      </c>
    </row>
    <row r="37">
      <c r="A37" t="inlineStr">
        <is>
          <t>Diluted shares (m)</t>
        </is>
      </c>
      <c r="B37" s="22">
        <f>Assumptions!$B$5</f>
        <v/>
      </c>
    </row>
    <row r="38">
      <c r="A38" s="1" t="inlineStr">
        <is>
          <t>VALUE PER SHARE (NZ$)</t>
        </is>
      </c>
      <c r="B38" s="23">
        <f>B36/B37</f>
        <v/>
      </c>
    </row>
    <row r="39">
      <c r="A39" t="inlineStr">
        <is>
          <t>Upside vs price</t>
        </is>
      </c>
      <c r="B39" s="19">
        <f>B38/Assumptions!$B$3-1</f>
        <v/>
      </c>
    </row>
    <row r="41">
      <c r="A41" t="inlineStr">
        <is>
          <t>Street memo: PV of explicit-period SBC</t>
        </is>
      </c>
      <c r="B41" s="15">
        <f>SUMPRODUCT(-C10:L10/(1+Assumptions!$B$9/100)^C4:L4)</f>
        <v/>
      </c>
    </row>
    <row r="42">
      <c r="A42" t="inlineStr">
        <is>
          <t>Street memo: PV of terminal SBC</t>
        </is>
      </c>
      <c r="B42" s="15">
        <f>IF(Assumptions!$B$9&gt;B27,(-L10*(1+B27/100)/((Assumptions!$B$9-B27)/100))*L20,0)</f>
        <v/>
      </c>
    </row>
    <row r="43">
      <c r="A43" t="inlineStr">
        <is>
          <t>Street value per share (SBC as non-cash)</t>
        </is>
      </c>
      <c r="B43" s="24">
        <f>(B36+B41+B42)/B37</f>
        <v/>
      </c>
    </row>
    <row r="44">
      <c r="A44" t="inlineStr">
        <is>
          <t>Terminal value as % of EV</t>
        </is>
      </c>
      <c r="B44" s="19">
        <f>IF(B34&lt;&gt;0,B33/B34,"n/a")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SML.NZ -- BASE scenario, NZ$ millions. Drivers (yellow): rows 5, 7, 9, 14. Everything else is formula.</t>
        </is>
      </c>
    </row>
    <row r="3">
      <c r="A3" s="1" t="inlineStr">
        <is>
          <t>Fiscal year (31 July)</t>
        </is>
      </c>
      <c r="B3" s="1" t="inlineStr">
        <is>
          <t>FY2026E/TTM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(%)</t>
        </is>
      </c>
      <c r="C5" s="13" t="n">
        <v>-2</v>
      </c>
      <c r="D5" s="13" t="n">
        <v>2</v>
      </c>
      <c r="E5" s="13" t="n">
        <v>2.5</v>
      </c>
      <c r="F5" s="13" t="n">
        <v>2.5</v>
      </c>
      <c r="G5" s="13" t="n">
        <v>2</v>
      </c>
      <c r="H5" s="13" t="n">
        <v>2</v>
      </c>
      <c r="I5" s="13" t="n">
        <v>2</v>
      </c>
      <c r="J5" s="13" t="n">
        <v>2</v>
      </c>
      <c r="K5" s="13" t="n">
        <v>2</v>
      </c>
      <c r="L5" s="13" t="n">
        <v>2</v>
      </c>
    </row>
    <row r="6">
      <c r="A6" t="inlineStr">
        <is>
          <t>Revenue</t>
        </is>
      </c>
      <c r="B6" s="14">
        <f>Assumptions!$B$8</f>
        <v/>
      </c>
      <c r="C6" s="15">
        <f>B6*(1+C5/100)</f>
        <v/>
      </c>
      <c r="D6" s="15">
        <f>C6*(1+D5/100)</f>
        <v/>
      </c>
      <c r="E6" s="15">
        <f>D6*(1+E5/100)</f>
        <v/>
      </c>
      <c r="F6" s="15">
        <f>E6*(1+F5/100)</f>
        <v/>
      </c>
      <c r="G6" s="15">
        <f>F6*(1+G5/100)</f>
        <v/>
      </c>
      <c r="H6" s="15">
        <f>G6*(1+H5/100)</f>
        <v/>
      </c>
      <c r="I6" s="15">
        <f>H6*(1+I5/100)</f>
        <v/>
      </c>
      <c r="J6" s="15">
        <f>I6*(1+J5/100)</f>
        <v/>
      </c>
      <c r="K6" s="15">
        <f>J6*(1+K5/100)</f>
        <v/>
      </c>
      <c r="L6" s="15">
        <f>K6*(1+L5/100)</f>
        <v/>
      </c>
    </row>
    <row r="7">
      <c r="A7" t="inlineStr">
        <is>
          <t>Adj EBITDA margin (%)</t>
        </is>
      </c>
      <c r="C7" s="13" t="n">
        <v>3.5</v>
      </c>
      <c r="D7" s="13" t="n">
        <v>4.5</v>
      </c>
      <c r="E7" s="13" t="n">
        <v>5.3</v>
      </c>
      <c r="F7" s="13" t="n">
        <v>5.8</v>
      </c>
      <c r="G7" s="13" t="n">
        <v>6.2</v>
      </c>
      <c r="H7" s="13" t="n">
        <v>6.5</v>
      </c>
      <c r="I7" s="13" t="n">
        <v>6.5</v>
      </c>
      <c r="J7" s="13" t="n">
        <v>6.5</v>
      </c>
      <c r="K7" s="13" t="n">
        <v>6.5</v>
      </c>
      <c r="L7" s="13" t="n">
        <v>6.5</v>
      </c>
    </row>
    <row r="8">
      <c r="A8" t="inlineStr">
        <is>
          <t>Adjusted EBITDA</t>
        </is>
      </c>
      <c r="C8" s="15">
        <f>C6*C7/100</f>
        <v/>
      </c>
      <c r="D8" s="15">
        <f>D6*D7/100</f>
        <v/>
      </c>
      <c r="E8" s="15">
        <f>E6*E7/100</f>
        <v/>
      </c>
      <c r="F8" s="15">
        <f>F6*F7/100</f>
        <v/>
      </c>
      <c r="G8" s="15">
        <f>G6*G7/100</f>
        <v/>
      </c>
      <c r="H8" s="15">
        <f>H6*H7/100</f>
        <v/>
      </c>
      <c r="I8" s="15">
        <f>I6*I7/100</f>
        <v/>
      </c>
      <c r="J8" s="15">
        <f>J6*J7/100</f>
        <v/>
      </c>
      <c r="K8" s="15">
        <f>K6*K7/100</f>
        <v/>
      </c>
      <c r="L8" s="15">
        <f>L6*L7/100</f>
        <v/>
      </c>
    </row>
    <row r="9">
      <c r="A9" t="inlineStr">
        <is>
          <t>SBC (% revenue)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</row>
    <row r="10">
      <c r="A10" t="inlineStr">
        <is>
          <t>SBC (negative)</t>
        </is>
      </c>
      <c r="C10" s="15">
        <f>-C6*C9/100</f>
        <v/>
      </c>
      <c r="D10" s="15">
        <f>-D6*D9/100</f>
        <v/>
      </c>
      <c r="E10" s="15">
        <f>-E6*E9/100</f>
        <v/>
      </c>
      <c r="F10" s="15">
        <f>-F6*F9/100</f>
        <v/>
      </c>
      <c r="G10" s="15">
        <f>-G6*G9/100</f>
        <v/>
      </c>
      <c r="H10" s="15">
        <f>-H6*H9/100</f>
        <v/>
      </c>
      <c r="I10" s="15">
        <f>-I6*I9/100</f>
        <v/>
      </c>
      <c r="J10" s="15">
        <f>-J6*J9/100</f>
        <v/>
      </c>
      <c r="K10" s="15">
        <f>-K6*K9/100</f>
        <v/>
      </c>
      <c r="L10" s="15">
        <f>-L6*L9/100</f>
        <v/>
      </c>
    </row>
    <row r="11">
      <c r="A11" t="inlineStr">
        <is>
          <t>Owner EBITDA (after SBC and lease cost)</t>
        </is>
      </c>
      <c r="C11" s="15">
        <f>C8+C10-C6*Assumptions!$D$20/100</f>
        <v/>
      </c>
      <c r="D11" s="15">
        <f>D8+D10-D6*Assumptions!$D$20/100</f>
        <v/>
      </c>
      <c r="E11" s="15">
        <f>E8+E10-E6*Assumptions!$D$20/100</f>
        <v/>
      </c>
      <c r="F11" s="15">
        <f>F8+F10-F6*Assumptions!$D$20/100</f>
        <v/>
      </c>
      <c r="G11" s="15">
        <f>G8+G10-G6*Assumptions!$D$20/100</f>
        <v/>
      </c>
      <c r="H11" s="15">
        <f>H8+H10-H6*Assumptions!$D$20/100</f>
        <v/>
      </c>
      <c r="I11" s="15">
        <f>I8+I10-I6*Assumptions!$D$20/100</f>
        <v/>
      </c>
      <c r="J11" s="15">
        <f>J8+J10-J6*Assumptions!$D$20/100</f>
        <v/>
      </c>
      <c r="K11" s="15">
        <f>K8+K10-K6*Assumptions!$D$20/100</f>
        <v/>
      </c>
      <c r="L11" s="15">
        <f>L8+L10-L6*Assumptions!$D$20/100</f>
        <v/>
      </c>
    </row>
    <row r="12">
      <c r="A12" t="inlineStr">
        <is>
          <t>D&amp;A (negative)</t>
        </is>
      </c>
      <c r="C12" s="14">
        <f>-C6*Assumptions!$D$18/100</f>
        <v/>
      </c>
      <c r="D12" s="14">
        <f>-D6*Assumptions!$D$18/100</f>
        <v/>
      </c>
      <c r="E12" s="14">
        <f>-E6*Assumptions!$D$18/100</f>
        <v/>
      </c>
      <c r="F12" s="14">
        <f>-F6*Assumptions!$D$18/100</f>
        <v/>
      </c>
      <c r="G12" s="14">
        <f>-G6*Assumptions!$D$18/100</f>
        <v/>
      </c>
      <c r="H12" s="14">
        <f>-H6*Assumptions!$D$18/100</f>
        <v/>
      </c>
      <c r="I12" s="14">
        <f>-I6*Assumptions!$D$18/100</f>
        <v/>
      </c>
      <c r="J12" s="14">
        <f>-J6*Assumptions!$D$18/100</f>
        <v/>
      </c>
      <c r="K12" s="14">
        <f>-K6*Assumptions!$D$18/100</f>
        <v/>
      </c>
      <c r="L12" s="14">
        <f>-L6*Assumptions!$D$18/100</f>
        <v/>
      </c>
    </row>
    <row r="13">
      <c r="A13" t="inlineStr">
        <is>
          <t>EBIT (SBC and lease expensed)</t>
        </is>
      </c>
      <c r="C13" s="15">
        <f>C11+C12</f>
        <v/>
      </c>
      <c r="D13" s="15">
        <f>D11+D12</f>
        <v/>
      </c>
      <c r="E13" s="15">
        <f>E11+E12</f>
        <v/>
      </c>
      <c r="F13" s="15">
        <f>F11+F12</f>
        <v/>
      </c>
      <c r="G13" s="15">
        <f>G11+G12</f>
        <v/>
      </c>
      <c r="H13" s="15">
        <f>H11+H12</f>
        <v/>
      </c>
      <c r="I13" s="15">
        <f>I11+I12</f>
        <v/>
      </c>
      <c r="J13" s="15">
        <f>J11+J12</f>
        <v/>
      </c>
      <c r="K13" s="15">
        <f>K11+K12</f>
        <v/>
      </c>
      <c r="L13" s="15">
        <f>L11+L12</f>
        <v/>
      </c>
    </row>
    <row r="14">
      <c r="A14" t="inlineStr">
        <is>
          <t>Cash tax rate (%) -- on positive EBIT only</t>
        </is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14</v>
      </c>
      <c r="J14" s="16" t="n">
        <v>28</v>
      </c>
      <c r="K14" s="16" t="n">
        <v>28</v>
      </c>
      <c r="L14" s="16" t="n">
        <v>28</v>
      </c>
    </row>
    <row r="15">
      <c r="A15" t="inlineStr">
        <is>
          <t>NOPAT</t>
        </is>
      </c>
      <c r="C15" s="15">
        <f>C13-MAX(0,C13)*C14/100</f>
        <v/>
      </c>
      <c r="D15" s="15">
        <f>D13-MAX(0,D13)*D14/100</f>
        <v/>
      </c>
      <c r="E15" s="15">
        <f>E13-MAX(0,E13)*E14/100</f>
        <v/>
      </c>
      <c r="F15" s="15">
        <f>F13-MAX(0,F13)*F14/100</f>
        <v/>
      </c>
      <c r="G15" s="15">
        <f>G13-MAX(0,G13)*G14/100</f>
        <v/>
      </c>
      <c r="H15" s="15">
        <f>H13-MAX(0,H13)*H14/100</f>
        <v/>
      </c>
      <c r="I15" s="15">
        <f>I13-MAX(0,I13)*I14/100</f>
        <v/>
      </c>
      <c r="J15" s="15">
        <f>J13-MAX(0,J13)*J14/100</f>
        <v/>
      </c>
      <c r="K15" s="15">
        <f>K13-MAX(0,K13)*K14/100</f>
        <v/>
      </c>
      <c r="L15" s="15">
        <f>L13-MAX(0,L13)*L14/100</f>
        <v/>
      </c>
    </row>
    <row r="16">
      <c r="A16" t="inlineStr">
        <is>
          <t>add back D&amp;A</t>
        </is>
      </c>
      <c r="C16" s="15">
        <f>-C12</f>
        <v/>
      </c>
      <c r="D16" s="15">
        <f>-D12</f>
        <v/>
      </c>
      <c r="E16" s="15">
        <f>-E12</f>
        <v/>
      </c>
      <c r="F16" s="15">
        <f>-F12</f>
        <v/>
      </c>
      <c r="G16" s="15">
        <f>-G12</f>
        <v/>
      </c>
      <c r="H16" s="15">
        <f>-H12</f>
        <v/>
      </c>
      <c r="I16" s="15">
        <f>-I12</f>
        <v/>
      </c>
      <c r="J16" s="15">
        <f>-J12</f>
        <v/>
      </c>
      <c r="K16" s="15">
        <f>-K12</f>
        <v/>
      </c>
      <c r="L16" s="15">
        <f>-L12</f>
        <v/>
      </c>
    </row>
    <row r="17">
      <c r="A17" t="inlineStr">
        <is>
          <t>less capex</t>
        </is>
      </c>
      <c r="C17" s="14">
        <f>-C6*Assumptions!$D$19/100</f>
        <v/>
      </c>
      <c r="D17" s="14">
        <f>-D6*Assumptions!$D$19/100</f>
        <v/>
      </c>
      <c r="E17" s="14">
        <f>-E6*Assumptions!$D$19/100</f>
        <v/>
      </c>
      <c r="F17" s="14">
        <f>-F6*Assumptions!$D$19/100</f>
        <v/>
      </c>
      <c r="G17" s="14">
        <f>-G6*Assumptions!$D$19/100</f>
        <v/>
      </c>
      <c r="H17" s="14">
        <f>-H6*Assumptions!$D$19/100</f>
        <v/>
      </c>
      <c r="I17" s="14">
        <f>-I6*Assumptions!$D$19/100</f>
        <v/>
      </c>
      <c r="J17" s="14">
        <f>-J6*Assumptions!$D$19/100</f>
        <v/>
      </c>
      <c r="K17" s="14">
        <f>-K6*Assumptions!$D$19/100</f>
        <v/>
      </c>
      <c r="L17" s="14">
        <f>-L6*Assumptions!$D$19/100</f>
        <v/>
      </c>
    </row>
    <row r="18">
      <c r="A18" t="inlineStr">
        <is>
          <t>add working capital (capture x revenue change)</t>
        </is>
      </c>
      <c r="C18" s="14">
        <f>Assumptions!$D$21/100*(C6-B6)</f>
        <v/>
      </c>
      <c r="D18" s="14">
        <f>Assumptions!$D$21/100*(D6-C6)</f>
        <v/>
      </c>
      <c r="E18" s="14">
        <f>Assumptions!$D$21/100*(E6-D6)</f>
        <v/>
      </c>
      <c r="F18" s="14">
        <f>Assumptions!$D$21/100*(F6-E6)</f>
        <v/>
      </c>
      <c r="G18" s="14">
        <f>Assumptions!$D$21/100*(G6-F6)</f>
        <v/>
      </c>
      <c r="H18" s="14">
        <f>Assumptions!$D$21/100*(H6-G6)</f>
        <v/>
      </c>
      <c r="I18" s="14">
        <f>Assumptions!$D$21/100*(I6-H6)</f>
        <v/>
      </c>
      <c r="J18" s="14">
        <f>Assumptions!$D$21/100*(J6-I6)</f>
        <v/>
      </c>
      <c r="K18" s="14">
        <f>Assumptions!$D$21/100*(K6-J6)</f>
        <v/>
      </c>
      <c r="L18" s="14">
        <f>Assumptions!$D$21/100*(L6-K6)</f>
        <v/>
      </c>
    </row>
    <row r="19">
      <c r="A19" s="1" t="inlineStr">
        <is>
          <t>Unlevered owner FCF</t>
        </is>
      </c>
      <c r="C19" s="17">
        <f>C15+C16+C17+C18</f>
        <v/>
      </c>
      <c r="D19" s="17">
        <f>D15+D16+D17+D18</f>
        <v/>
      </c>
      <c r="E19" s="17">
        <f>E15+E16+E17+E18</f>
        <v/>
      </c>
      <c r="F19" s="17">
        <f>F15+F16+F17+F18</f>
        <v/>
      </c>
      <c r="G19" s="17">
        <f>G15+G16+G17+G18</f>
        <v/>
      </c>
      <c r="H19" s="17">
        <f>H15+H16+H17+H18</f>
        <v/>
      </c>
      <c r="I19" s="17">
        <f>I15+I16+I17+I18</f>
        <v/>
      </c>
      <c r="J19" s="17">
        <f>J15+J16+J17+J18</f>
        <v/>
      </c>
      <c r="K19" s="17">
        <f>K15+K16+K17+K18</f>
        <v/>
      </c>
      <c r="L19" s="17">
        <f>L15+L16+L17+L18</f>
        <v/>
      </c>
    </row>
    <row r="20">
      <c r="A20" t="inlineStr">
        <is>
          <t>Discount factor</t>
        </is>
      </c>
      <c r="C20" s="18">
        <f>1/(1+Assumptions!$B$9/100)^C4</f>
        <v/>
      </c>
      <c r="D20" s="18">
        <f>1/(1+Assumptions!$B$9/100)^D4</f>
        <v/>
      </c>
      <c r="E20" s="18">
        <f>1/(1+Assumptions!$B$9/100)^E4</f>
        <v/>
      </c>
      <c r="F20" s="18">
        <f>1/(1+Assumptions!$B$9/100)^F4</f>
        <v/>
      </c>
      <c r="G20" s="18">
        <f>1/(1+Assumptions!$B$9/100)^G4</f>
        <v/>
      </c>
      <c r="H20" s="18">
        <f>1/(1+Assumptions!$B$9/100)^H4</f>
        <v/>
      </c>
      <c r="I20" s="18">
        <f>1/(1+Assumptions!$B$9/100)^I4</f>
        <v/>
      </c>
      <c r="J20" s="18">
        <f>1/(1+Assumptions!$B$9/100)^J4</f>
        <v/>
      </c>
      <c r="K20" s="18">
        <f>1/(1+Assumptions!$B$9/100)^K4</f>
        <v/>
      </c>
      <c r="L20" s="18">
        <f>1/(1+Assumptions!$B$9/100)^L4</f>
        <v/>
      </c>
    </row>
    <row r="21">
      <c r="A21" t="inlineStr">
        <is>
          <t>PV of FCF</t>
        </is>
      </c>
      <c r="C21" s="15">
        <f>C19*C20</f>
        <v/>
      </c>
      <c r="D21" s="15">
        <f>D19*D20</f>
        <v/>
      </c>
      <c r="E21" s="15">
        <f>E19*E20</f>
        <v/>
      </c>
      <c r="F21" s="15">
        <f>F19*F20</f>
        <v/>
      </c>
      <c r="G21" s="15">
        <f>G19*G20</f>
        <v/>
      </c>
      <c r="H21" s="15">
        <f>H19*H20</f>
        <v/>
      </c>
      <c r="I21" s="15">
        <f>I19*I20</f>
        <v/>
      </c>
      <c r="J21" s="15">
        <f>J19*J20</f>
        <v/>
      </c>
      <c r="K21" s="15">
        <f>K19*K20</f>
        <v/>
      </c>
      <c r="L21" s="15">
        <f>L19*L20</f>
        <v/>
      </c>
    </row>
    <row r="23">
      <c r="A23" t="inlineStr">
        <is>
          <t>Memo: FCF before SBC (company-style)</t>
        </is>
      </c>
      <c r="C23" s="15">
        <f>C19-C10</f>
        <v/>
      </c>
      <c r="D23" s="15">
        <f>D19-D10</f>
        <v/>
      </c>
      <c r="E23" s="15">
        <f>E19-E10</f>
        <v/>
      </c>
      <c r="F23" s="15">
        <f>F19-F10</f>
        <v/>
      </c>
      <c r="G23" s="15">
        <f>G19-G10</f>
        <v/>
      </c>
      <c r="H23" s="15">
        <f>H19-H10</f>
        <v/>
      </c>
      <c r="I23" s="15">
        <f>I19-I10</f>
        <v/>
      </c>
      <c r="J23" s="15">
        <f>J19-J10</f>
        <v/>
      </c>
      <c r="K23" s="15">
        <f>K19-K10</f>
        <v/>
      </c>
      <c r="L23" s="15">
        <f>L19-L10</f>
        <v/>
      </c>
    </row>
    <row r="24">
      <c r="A24" t="inlineStr">
        <is>
          <t>Memo: owner-FCF margin</t>
        </is>
      </c>
      <c r="C24" s="19">
        <f>C19/C6</f>
        <v/>
      </c>
      <c r="D24" s="19">
        <f>D19/D6</f>
        <v/>
      </c>
      <c r="E24" s="19">
        <f>E19/E6</f>
        <v/>
      </c>
      <c r="F24" s="19">
        <f>F19/F6</f>
        <v/>
      </c>
      <c r="G24" s="19">
        <f>G19/G6</f>
        <v/>
      </c>
      <c r="H24" s="19">
        <f>H19/H6</f>
        <v/>
      </c>
      <c r="I24" s="19">
        <f>I19/I6</f>
        <v/>
      </c>
      <c r="J24" s="19">
        <f>J19/J6</f>
        <v/>
      </c>
      <c r="K24" s="19">
        <f>K19/K6</f>
        <v/>
      </c>
      <c r="L24" s="19">
        <f>L19/L6</f>
        <v/>
      </c>
    </row>
    <row r="25">
      <c r="A25" t="inlineStr">
        <is>
          <t>Memo: lease cost charged (negative)</t>
        </is>
      </c>
      <c r="C25" s="14">
        <f>-C6*Assumptions!$D$20/100</f>
        <v/>
      </c>
      <c r="D25" s="14">
        <f>-D6*Assumptions!$D$20/100</f>
        <v/>
      </c>
      <c r="E25" s="14">
        <f>-E6*Assumptions!$D$20/100</f>
        <v/>
      </c>
      <c r="F25" s="14">
        <f>-F6*Assumptions!$D$20/100</f>
        <v/>
      </c>
      <c r="G25" s="14">
        <f>-G6*Assumptions!$D$20/100</f>
        <v/>
      </c>
      <c r="H25" s="14">
        <f>-H6*Assumptions!$D$20/100</f>
        <v/>
      </c>
      <c r="I25" s="14">
        <f>-I6*Assumptions!$D$20/100</f>
        <v/>
      </c>
      <c r="J25" s="14">
        <f>-J6*Assumptions!$D$20/100</f>
        <v/>
      </c>
      <c r="K25" s="14">
        <f>-K6*Assumptions!$D$20/100</f>
        <v/>
      </c>
      <c r="L25" s="14">
        <f>-L6*Assumptions!$D$20/100</f>
        <v/>
      </c>
    </row>
    <row r="26">
      <c r="A26" t="inlineStr">
        <is>
          <t>Sum of PV of FCF</t>
        </is>
      </c>
      <c r="B26" s="15">
        <f>SUM(C21:L21)</f>
        <v/>
      </c>
    </row>
    <row r="27">
      <c r="A27" t="inlineStr">
        <is>
          <t>Terminal growth (%)</t>
        </is>
      </c>
      <c r="B27" s="20">
        <f>Assumptions!$D$16</f>
        <v/>
      </c>
    </row>
    <row r="28">
      <c r="A28" t="inlineStr">
        <is>
          <t>Terminal-year FCF x (1+g)</t>
        </is>
      </c>
      <c r="B28" s="15">
        <f>L19*(1+B27/100)</f>
        <v/>
      </c>
    </row>
    <row r="29">
      <c r="A29" t="inlineStr">
        <is>
          <t>Gordon terminal value</t>
        </is>
      </c>
      <c r="B29" s="15">
        <f>IF(Assumptions!$B$9&gt;B27,B28/((Assumptions!$B$9-B27)/100),0)</f>
        <v/>
      </c>
    </row>
    <row r="30">
      <c r="A30" t="inlineStr">
        <is>
          <t>Cap terminal value (cap x FCF_10)</t>
        </is>
      </c>
      <c r="B30" s="15">
        <f>Assumptions!$D$17*L19</f>
        <v/>
      </c>
    </row>
    <row r="31">
      <c r="A31" t="inlineStr">
        <is>
          <t>Terminal value used = MAX(0,MIN(Gordon,cap))</t>
        </is>
      </c>
      <c r="B31" s="15">
        <f>MAX(0,MIN(B29,B30))</f>
        <v/>
      </c>
    </row>
    <row r="32">
      <c r="A32" t="inlineStr">
        <is>
          <t>Implied exit multiple (TV / FCF_10)</t>
        </is>
      </c>
      <c r="B32" s="21">
        <f>IF(L19&lt;&gt;0,B31/L19,"n/a")</f>
        <v/>
      </c>
    </row>
    <row r="33">
      <c r="A33" t="inlineStr">
        <is>
          <t>PV of terminal value</t>
        </is>
      </c>
      <c r="B33" s="15">
        <f>B31*L20</f>
        <v/>
      </c>
    </row>
    <row r="34">
      <c r="A34" t="inlineStr">
        <is>
          <t>Enterprise value</t>
        </is>
      </c>
      <c r="B34" s="15">
        <f>B26+B33</f>
        <v/>
      </c>
    </row>
    <row r="35">
      <c r="A35" t="inlineStr">
        <is>
          <t>less net debt (add net cash)</t>
        </is>
      </c>
      <c r="B35" s="14">
        <f>-Assumptions!$B$6</f>
        <v/>
      </c>
    </row>
    <row r="36">
      <c r="A36" t="inlineStr">
        <is>
          <t>Equity value</t>
        </is>
      </c>
      <c r="B36" s="15">
        <f>B34+B35</f>
        <v/>
      </c>
    </row>
    <row r="37">
      <c r="A37" t="inlineStr">
        <is>
          <t>Diluted shares (m)</t>
        </is>
      </c>
      <c r="B37" s="22">
        <f>Assumptions!$B$5</f>
        <v/>
      </c>
    </row>
    <row r="38">
      <c r="A38" s="1" t="inlineStr">
        <is>
          <t>VALUE PER SHARE (NZ$)</t>
        </is>
      </c>
      <c r="B38" s="23">
        <f>B36/B37</f>
        <v/>
      </c>
    </row>
    <row r="39">
      <c r="A39" t="inlineStr">
        <is>
          <t>Upside vs price</t>
        </is>
      </c>
      <c r="B39" s="19">
        <f>B38/Assumptions!$B$3-1</f>
        <v/>
      </c>
    </row>
    <row r="41">
      <c r="A41" t="inlineStr">
        <is>
          <t>Street memo: PV of explicit-period SBC</t>
        </is>
      </c>
      <c r="B41" s="15">
        <f>SUMPRODUCT(-C10:L10/(1+Assumptions!$B$9/100)^C4:L4)</f>
        <v/>
      </c>
    </row>
    <row r="42">
      <c r="A42" t="inlineStr">
        <is>
          <t>Street memo: PV of terminal SBC</t>
        </is>
      </c>
      <c r="B42" s="15">
        <f>IF(Assumptions!$B$9&gt;B27,(-L10*(1+B27/100)/((Assumptions!$B$9-B27)/100))*L20,0)</f>
        <v/>
      </c>
    </row>
    <row r="43">
      <c r="A43" t="inlineStr">
        <is>
          <t>Street value per share (SBC as non-cash)</t>
        </is>
      </c>
      <c r="B43" s="24">
        <f>(B36+B41+B42)/B37</f>
        <v/>
      </c>
    </row>
    <row r="44">
      <c r="A44" t="inlineStr">
        <is>
          <t>Terminal value as % of EV</t>
        </is>
      </c>
      <c r="B44" s="19">
        <f>IF(B34&lt;&gt;0,B33/B34,"n/a")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SML.NZ -- BULL scenario, NZ$ millions. Drivers (yellow): rows 5, 7, 9, 14. Everything else is formula.</t>
        </is>
      </c>
    </row>
    <row r="3">
      <c r="A3" s="1" t="inlineStr">
        <is>
          <t>Fiscal year (31 July)</t>
        </is>
      </c>
      <c r="B3" s="1" t="inlineStr">
        <is>
          <t>FY2026E/TTM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(%)</t>
        </is>
      </c>
      <c r="C5" s="13" t="n">
        <v>0</v>
      </c>
      <c r="D5" s="13" t="n">
        <v>4</v>
      </c>
      <c r="E5" s="13" t="n">
        <v>5</v>
      </c>
      <c r="F5" s="13" t="n">
        <v>5</v>
      </c>
      <c r="G5" s="13" t="n">
        <v>4</v>
      </c>
      <c r="H5" s="13" t="n">
        <v>3.5</v>
      </c>
      <c r="I5" s="13" t="n">
        <v>3</v>
      </c>
      <c r="J5" s="13" t="n">
        <v>3</v>
      </c>
      <c r="K5" s="13" t="n">
        <v>2.5</v>
      </c>
      <c r="L5" s="13" t="n">
        <v>2.5</v>
      </c>
    </row>
    <row r="6">
      <c r="A6" t="inlineStr">
        <is>
          <t>Revenue</t>
        </is>
      </c>
      <c r="B6" s="14">
        <f>Assumptions!$B$8</f>
        <v/>
      </c>
      <c r="C6" s="15">
        <f>B6*(1+C5/100)</f>
        <v/>
      </c>
      <c r="D6" s="15">
        <f>C6*(1+D5/100)</f>
        <v/>
      </c>
      <c r="E6" s="15">
        <f>D6*(1+E5/100)</f>
        <v/>
      </c>
      <c r="F6" s="15">
        <f>E6*(1+F5/100)</f>
        <v/>
      </c>
      <c r="G6" s="15">
        <f>F6*(1+G5/100)</f>
        <v/>
      </c>
      <c r="H6" s="15">
        <f>G6*(1+H5/100)</f>
        <v/>
      </c>
      <c r="I6" s="15">
        <f>H6*(1+I5/100)</f>
        <v/>
      </c>
      <c r="J6" s="15">
        <f>I6*(1+J5/100)</f>
        <v/>
      </c>
      <c r="K6" s="15">
        <f>J6*(1+K5/100)</f>
        <v/>
      </c>
      <c r="L6" s="15">
        <f>K6*(1+L5/100)</f>
        <v/>
      </c>
    </row>
    <row r="7">
      <c r="A7" t="inlineStr">
        <is>
          <t>Adj EBITDA margin (%)</t>
        </is>
      </c>
      <c r="C7" s="13" t="n">
        <v>4.5</v>
      </c>
      <c r="D7" s="13" t="n">
        <v>6</v>
      </c>
      <c r="E7" s="13" t="n">
        <v>7</v>
      </c>
      <c r="F7" s="13" t="n">
        <v>7.8</v>
      </c>
      <c r="G7" s="13" t="n">
        <v>8.300000000000001</v>
      </c>
      <c r="H7" s="13" t="n">
        <v>8.5</v>
      </c>
      <c r="I7" s="13" t="n">
        <v>8.5</v>
      </c>
      <c r="J7" s="13" t="n">
        <v>8.5</v>
      </c>
      <c r="K7" s="13" t="n">
        <v>8.5</v>
      </c>
      <c r="L7" s="13" t="n">
        <v>8.5</v>
      </c>
    </row>
    <row r="8">
      <c r="A8" t="inlineStr">
        <is>
          <t>Adjusted EBITDA</t>
        </is>
      </c>
      <c r="C8" s="15">
        <f>C6*C7/100</f>
        <v/>
      </c>
      <c r="D8" s="15">
        <f>D6*D7/100</f>
        <v/>
      </c>
      <c r="E8" s="15">
        <f>E6*E7/100</f>
        <v/>
      </c>
      <c r="F8" s="15">
        <f>F6*F7/100</f>
        <v/>
      </c>
      <c r="G8" s="15">
        <f>G6*G7/100</f>
        <v/>
      </c>
      <c r="H8" s="15">
        <f>H6*H7/100</f>
        <v/>
      </c>
      <c r="I8" s="15">
        <f>I6*I7/100</f>
        <v/>
      </c>
      <c r="J8" s="15">
        <f>J6*J7/100</f>
        <v/>
      </c>
      <c r="K8" s="15">
        <f>K6*K7/100</f>
        <v/>
      </c>
      <c r="L8" s="15">
        <f>L6*L7/100</f>
        <v/>
      </c>
    </row>
    <row r="9">
      <c r="A9" t="inlineStr">
        <is>
          <t>SBC (% revenue)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</row>
    <row r="10">
      <c r="A10" t="inlineStr">
        <is>
          <t>SBC (negative)</t>
        </is>
      </c>
      <c r="C10" s="15">
        <f>-C6*C9/100</f>
        <v/>
      </c>
      <c r="D10" s="15">
        <f>-D6*D9/100</f>
        <v/>
      </c>
      <c r="E10" s="15">
        <f>-E6*E9/100</f>
        <v/>
      </c>
      <c r="F10" s="15">
        <f>-F6*F9/100</f>
        <v/>
      </c>
      <c r="G10" s="15">
        <f>-G6*G9/100</f>
        <v/>
      </c>
      <c r="H10" s="15">
        <f>-H6*H9/100</f>
        <v/>
      </c>
      <c r="I10" s="15">
        <f>-I6*I9/100</f>
        <v/>
      </c>
      <c r="J10" s="15">
        <f>-J6*J9/100</f>
        <v/>
      </c>
      <c r="K10" s="15">
        <f>-K6*K9/100</f>
        <v/>
      </c>
      <c r="L10" s="15">
        <f>-L6*L9/100</f>
        <v/>
      </c>
    </row>
    <row r="11">
      <c r="A11" t="inlineStr">
        <is>
          <t>Owner EBITDA (after SBC and lease cost)</t>
        </is>
      </c>
      <c r="C11" s="15">
        <f>C8+C10-C6*Assumptions!$E$20/100</f>
        <v/>
      </c>
      <c r="D11" s="15">
        <f>D8+D10-D6*Assumptions!$E$20/100</f>
        <v/>
      </c>
      <c r="E11" s="15">
        <f>E8+E10-E6*Assumptions!$E$20/100</f>
        <v/>
      </c>
      <c r="F11" s="15">
        <f>F8+F10-F6*Assumptions!$E$20/100</f>
        <v/>
      </c>
      <c r="G11" s="15">
        <f>G8+G10-G6*Assumptions!$E$20/100</f>
        <v/>
      </c>
      <c r="H11" s="15">
        <f>H8+H10-H6*Assumptions!$E$20/100</f>
        <v/>
      </c>
      <c r="I11" s="15">
        <f>I8+I10-I6*Assumptions!$E$20/100</f>
        <v/>
      </c>
      <c r="J11" s="15">
        <f>J8+J10-J6*Assumptions!$E$20/100</f>
        <v/>
      </c>
      <c r="K11" s="15">
        <f>K8+K10-K6*Assumptions!$E$20/100</f>
        <v/>
      </c>
      <c r="L11" s="15">
        <f>L8+L10-L6*Assumptions!$E$20/100</f>
        <v/>
      </c>
    </row>
    <row r="12">
      <c r="A12" t="inlineStr">
        <is>
          <t>D&amp;A (negative)</t>
        </is>
      </c>
      <c r="C12" s="14">
        <f>-C6*Assumptions!$E$18/100</f>
        <v/>
      </c>
      <c r="D12" s="14">
        <f>-D6*Assumptions!$E$18/100</f>
        <v/>
      </c>
      <c r="E12" s="14">
        <f>-E6*Assumptions!$E$18/100</f>
        <v/>
      </c>
      <c r="F12" s="14">
        <f>-F6*Assumptions!$E$18/100</f>
        <v/>
      </c>
      <c r="G12" s="14">
        <f>-G6*Assumptions!$E$18/100</f>
        <v/>
      </c>
      <c r="H12" s="14">
        <f>-H6*Assumptions!$E$18/100</f>
        <v/>
      </c>
      <c r="I12" s="14">
        <f>-I6*Assumptions!$E$18/100</f>
        <v/>
      </c>
      <c r="J12" s="14">
        <f>-J6*Assumptions!$E$18/100</f>
        <v/>
      </c>
      <c r="K12" s="14">
        <f>-K6*Assumptions!$E$18/100</f>
        <v/>
      </c>
      <c r="L12" s="14">
        <f>-L6*Assumptions!$E$18/100</f>
        <v/>
      </c>
    </row>
    <row r="13">
      <c r="A13" t="inlineStr">
        <is>
          <t>EBIT (SBC and lease expensed)</t>
        </is>
      </c>
      <c r="C13" s="15">
        <f>C11+C12</f>
        <v/>
      </c>
      <c r="D13" s="15">
        <f>D11+D12</f>
        <v/>
      </c>
      <c r="E13" s="15">
        <f>E11+E12</f>
        <v/>
      </c>
      <c r="F13" s="15">
        <f>F11+F12</f>
        <v/>
      </c>
      <c r="G13" s="15">
        <f>G11+G12</f>
        <v/>
      </c>
      <c r="H13" s="15">
        <f>H11+H12</f>
        <v/>
      </c>
      <c r="I13" s="15">
        <f>I11+I12</f>
        <v/>
      </c>
      <c r="J13" s="15">
        <f>J11+J12</f>
        <v/>
      </c>
      <c r="K13" s="15">
        <f>K11+K12</f>
        <v/>
      </c>
      <c r="L13" s="15">
        <f>L11+L12</f>
        <v/>
      </c>
    </row>
    <row r="14">
      <c r="A14" t="inlineStr">
        <is>
          <t>Cash tax rate (%) -- on positive EBIT only</t>
        </is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10</v>
      </c>
      <c r="H14" s="16" t="n">
        <v>20</v>
      </c>
      <c r="I14" s="16" t="n">
        <v>28</v>
      </c>
      <c r="J14" s="16" t="n">
        <v>28</v>
      </c>
      <c r="K14" s="16" t="n">
        <v>28</v>
      </c>
      <c r="L14" s="16" t="n">
        <v>28</v>
      </c>
    </row>
    <row r="15">
      <c r="A15" t="inlineStr">
        <is>
          <t>NOPAT</t>
        </is>
      </c>
      <c r="C15" s="15">
        <f>C13-MAX(0,C13)*C14/100</f>
        <v/>
      </c>
      <c r="D15" s="15">
        <f>D13-MAX(0,D13)*D14/100</f>
        <v/>
      </c>
      <c r="E15" s="15">
        <f>E13-MAX(0,E13)*E14/100</f>
        <v/>
      </c>
      <c r="F15" s="15">
        <f>F13-MAX(0,F13)*F14/100</f>
        <v/>
      </c>
      <c r="G15" s="15">
        <f>G13-MAX(0,G13)*G14/100</f>
        <v/>
      </c>
      <c r="H15" s="15">
        <f>H13-MAX(0,H13)*H14/100</f>
        <v/>
      </c>
      <c r="I15" s="15">
        <f>I13-MAX(0,I13)*I14/100</f>
        <v/>
      </c>
      <c r="J15" s="15">
        <f>J13-MAX(0,J13)*J14/100</f>
        <v/>
      </c>
      <c r="K15" s="15">
        <f>K13-MAX(0,K13)*K14/100</f>
        <v/>
      </c>
      <c r="L15" s="15">
        <f>L13-MAX(0,L13)*L14/100</f>
        <v/>
      </c>
    </row>
    <row r="16">
      <c r="A16" t="inlineStr">
        <is>
          <t>add back D&amp;A</t>
        </is>
      </c>
      <c r="C16" s="15">
        <f>-C12</f>
        <v/>
      </c>
      <c r="D16" s="15">
        <f>-D12</f>
        <v/>
      </c>
      <c r="E16" s="15">
        <f>-E12</f>
        <v/>
      </c>
      <c r="F16" s="15">
        <f>-F12</f>
        <v/>
      </c>
      <c r="G16" s="15">
        <f>-G12</f>
        <v/>
      </c>
      <c r="H16" s="15">
        <f>-H12</f>
        <v/>
      </c>
      <c r="I16" s="15">
        <f>-I12</f>
        <v/>
      </c>
      <c r="J16" s="15">
        <f>-J12</f>
        <v/>
      </c>
      <c r="K16" s="15">
        <f>-K12</f>
        <v/>
      </c>
      <c r="L16" s="15">
        <f>-L12</f>
        <v/>
      </c>
    </row>
    <row r="17">
      <c r="A17" t="inlineStr">
        <is>
          <t>less capex</t>
        </is>
      </c>
      <c r="C17" s="14">
        <f>-C6*Assumptions!$E$19/100</f>
        <v/>
      </c>
      <c r="D17" s="14">
        <f>-D6*Assumptions!$E$19/100</f>
        <v/>
      </c>
      <c r="E17" s="14">
        <f>-E6*Assumptions!$E$19/100</f>
        <v/>
      </c>
      <c r="F17" s="14">
        <f>-F6*Assumptions!$E$19/100</f>
        <v/>
      </c>
      <c r="G17" s="14">
        <f>-G6*Assumptions!$E$19/100</f>
        <v/>
      </c>
      <c r="H17" s="14">
        <f>-H6*Assumptions!$E$19/100</f>
        <v/>
      </c>
      <c r="I17" s="14">
        <f>-I6*Assumptions!$E$19/100</f>
        <v/>
      </c>
      <c r="J17" s="14">
        <f>-J6*Assumptions!$E$19/100</f>
        <v/>
      </c>
      <c r="K17" s="14">
        <f>-K6*Assumptions!$E$19/100</f>
        <v/>
      </c>
      <c r="L17" s="14">
        <f>-L6*Assumptions!$E$19/100</f>
        <v/>
      </c>
    </row>
    <row r="18">
      <c r="A18" t="inlineStr">
        <is>
          <t>add working capital (capture x revenue change)</t>
        </is>
      </c>
      <c r="C18" s="14">
        <f>Assumptions!$E$21/100*(C6-B6)</f>
        <v/>
      </c>
      <c r="D18" s="14">
        <f>Assumptions!$E$21/100*(D6-C6)</f>
        <v/>
      </c>
      <c r="E18" s="14">
        <f>Assumptions!$E$21/100*(E6-D6)</f>
        <v/>
      </c>
      <c r="F18" s="14">
        <f>Assumptions!$E$21/100*(F6-E6)</f>
        <v/>
      </c>
      <c r="G18" s="14">
        <f>Assumptions!$E$21/100*(G6-F6)</f>
        <v/>
      </c>
      <c r="H18" s="14">
        <f>Assumptions!$E$21/100*(H6-G6)</f>
        <v/>
      </c>
      <c r="I18" s="14">
        <f>Assumptions!$E$21/100*(I6-H6)</f>
        <v/>
      </c>
      <c r="J18" s="14">
        <f>Assumptions!$E$21/100*(J6-I6)</f>
        <v/>
      </c>
      <c r="K18" s="14">
        <f>Assumptions!$E$21/100*(K6-J6)</f>
        <v/>
      </c>
      <c r="L18" s="14">
        <f>Assumptions!$E$21/100*(L6-K6)</f>
        <v/>
      </c>
    </row>
    <row r="19">
      <c r="A19" s="1" t="inlineStr">
        <is>
          <t>Unlevered owner FCF</t>
        </is>
      </c>
      <c r="C19" s="17">
        <f>C15+C16+C17+C18</f>
        <v/>
      </c>
      <c r="D19" s="17">
        <f>D15+D16+D17+D18</f>
        <v/>
      </c>
      <c r="E19" s="17">
        <f>E15+E16+E17+E18</f>
        <v/>
      </c>
      <c r="F19" s="17">
        <f>F15+F16+F17+F18</f>
        <v/>
      </c>
      <c r="G19" s="17">
        <f>G15+G16+G17+G18</f>
        <v/>
      </c>
      <c r="H19" s="17">
        <f>H15+H16+H17+H18</f>
        <v/>
      </c>
      <c r="I19" s="17">
        <f>I15+I16+I17+I18</f>
        <v/>
      </c>
      <c r="J19" s="17">
        <f>J15+J16+J17+J18</f>
        <v/>
      </c>
      <c r="K19" s="17">
        <f>K15+K16+K17+K18</f>
        <v/>
      </c>
      <c r="L19" s="17">
        <f>L15+L16+L17+L18</f>
        <v/>
      </c>
    </row>
    <row r="20">
      <c r="A20" t="inlineStr">
        <is>
          <t>Discount factor</t>
        </is>
      </c>
      <c r="C20" s="18">
        <f>1/(1+Assumptions!$B$9/100)^C4</f>
        <v/>
      </c>
      <c r="D20" s="18">
        <f>1/(1+Assumptions!$B$9/100)^D4</f>
        <v/>
      </c>
      <c r="E20" s="18">
        <f>1/(1+Assumptions!$B$9/100)^E4</f>
        <v/>
      </c>
      <c r="F20" s="18">
        <f>1/(1+Assumptions!$B$9/100)^F4</f>
        <v/>
      </c>
      <c r="G20" s="18">
        <f>1/(1+Assumptions!$B$9/100)^G4</f>
        <v/>
      </c>
      <c r="H20" s="18">
        <f>1/(1+Assumptions!$B$9/100)^H4</f>
        <v/>
      </c>
      <c r="I20" s="18">
        <f>1/(1+Assumptions!$B$9/100)^I4</f>
        <v/>
      </c>
      <c r="J20" s="18">
        <f>1/(1+Assumptions!$B$9/100)^J4</f>
        <v/>
      </c>
      <c r="K20" s="18">
        <f>1/(1+Assumptions!$B$9/100)^K4</f>
        <v/>
      </c>
      <c r="L20" s="18">
        <f>1/(1+Assumptions!$B$9/100)^L4</f>
        <v/>
      </c>
    </row>
    <row r="21">
      <c r="A21" t="inlineStr">
        <is>
          <t>PV of FCF</t>
        </is>
      </c>
      <c r="C21" s="15">
        <f>C19*C20</f>
        <v/>
      </c>
      <c r="D21" s="15">
        <f>D19*D20</f>
        <v/>
      </c>
      <c r="E21" s="15">
        <f>E19*E20</f>
        <v/>
      </c>
      <c r="F21" s="15">
        <f>F19*F20</f>
        <v/>
      </c>
      <c r="G21" s="15">
        <f>G19*G20</f>
        <v/>
      </c>
      <c r="H21" s="15">
        <f>H19*H20</f>
        <v/>
      </c>
      <c r="I21" s="15">
        <f>I19*I20</f>
        <v/>
      </c>
      <c r="J21" s="15">
        <f>J19*J20</f>
        <v/>
      </c>
      <c r="K21" s="15">
        <f>K19*K20</f>
        <v/>
      </c>
      <c r="L21" s="15">
        <f>L19*L20</f>
        <v/>
      </c>
    </row>
    <row r="23">
      <c r="A23" t="inlineStr">
        <is>
          <t>Memo: FCF before SBC (company-style)</t>
        </is>
      </c>
      <c r="C23" s="15">
        <f>C19-C10</f>
        <v/>
      </c>
      <c r="D23" s="15">
        <f>D19-D10</f>
        <v/>
      </c>
      <c r="E23" s="15">
        <f>E19-E10</f>
        <v/>
      </c>
      <c r="F23" s="15">
        <f>F19-F10</f>
        <v/>
      </c>
      <c r="G23" s="15">
        <f>G19-G10</f>
        <v/>
      </c>
      <c r="H23" s="15">
        <f>H19-H10</f>
        <v/>
      </c>
      <c r="I23" s="15">
        <f>I19-I10</f>
        <v/>
      </c>
      <c r="J23" s="15">
        <f>J19-J10</f>
        <v/>
      </c>
      <c r="K23" s="15">
        <f>K19-K10</f>
        <v/>
      </c>
      <c r="L23" s="15">
        <f>L19-L10</f>
        <v/>
      </c>
    </row>
    <row r="24">
      <c r="A24" t="inlineStr">
        <is>
          <t>Memo: owner-FCF margin</t>
        </is>
      </c>
      <c r="C24" s="19">
        <f>C19/C6</f>
        <v/>
      </c>
      <c r="D24" s="19">
        <f>D19/D6</f>
        <v/>
      </c>
      <c r="E24" s="19">
        <f>E19/E6</f>
        <v/>
      </c>
      <c r="F24" s="19">
        <f>F19/F6</f>
        <v/>
      </c>
      <c r="G24" s="19">
        <f>G19/G6</f>
        <v/>
      </c>
      <c r="H24" s="19">
        <f>H19/H6</f>
        <v/>
      </c>
      <c r="I24" s="19">
        <f>I19/I6</f>
        <v/>
      </c>
      <c r="J24" s="19">
        <f>J19/J6</f>
        <v/>
      </c>
      <c r="K24" s="19">
        <f>K19/K6</f>
        <v/>
      </c>
      <c r="L24" s="19">
        <f>L19/L6</f>
        <v/>
      </c>
    </row>
    <row r="25">
      <c r="A25" t="inlineStr">
        <is>
          <t>Memo: lease cost charged (negative)</t>
        </is>
      </c>
      <c r="C25" s="14">
        <f>-C6*Assumptions!$E$20/100</f>
        <v/>
      </c>
      <c r="D25" s="14">
        <f>-D6*Assumptions!$E$20/100</f>
        <v/>
      </c>
      <c r="E25" s="14">
        <f>-E6*Assumptions!$E$20/100</f>
        <v/>
      </c>
      <c r="F25" s="14">
        <f>-F6*Assumptions!$E$20/100</f>
        <v/>
      </c>
      <c r="G25" s="14">
        <f>-G6*Assumptions!$E$20/100</f>
        <v/>
      </c>
      <c r="H25" s="14">
        <f>-H6*Assumptions!$E$20/100</f>
        <v/>
      </c>
      <c r="I25" s="14">
        <f>-I6*Assumptions!$E$20/100</f>
        <v/>
      </c>
      <c r="J25" s="14">
        <f>-J6*Assumptions!$E$20/100</f>
        <v/>
      </c>
      <c r="K25" s="14">
        <f>-K6*Assumptions!$E$20/100</f>
        <v/>
      </c>
      <c r="L25" s="14">
        <f>-L6*Assumptions!$E$20/100</f>
        <v/>
      </c>
    </row>
    <row r="26">
      <c r="A26" t="inlineStr">
        <is>
          <t>Sum of PV of FCF</t>
        </is>
      </c>
      <c r="B26" s="15">
        <f>SUM(C21:L21)</f>
        <v/>
      </c>
    </row>
    <row r="27">
      <c r="A27" t="inlineStr">
        <is>
          <t>Terminal growth (%)</t>
        </is>
      </c>
      <c r="B27" s="20">
        <f>Assumptions!$E$16</f>
        <v/>
      </c>
    </row>
    <row r="28">
      <c r="A28" t="inlineStr">
        <is>
          <t>Terminal-year FCF x (1+g)</t>
        </is>
      </c>
      <c r="B28" s="15">
        <f>L19*(1+B27/100)</f>
        <v/>
      </c>
    </row>
    <row r="29">
      <c r="A29" t="inlineStr">
        <is>
          <t>Gordon terminal value</t>
        </is>
      </c>
      <c r="B29" s="15">
        <f>IF(Assumptions!$B$9&gt;B27,B28/((Assumptions!$B$9-B27)/100),0)</f>
        <v/>
      </c>
    </row>
    <row r="30">
      <c r="A30" t="inlineStr">
        <is>
          <t>Cap terminal value (cap x FCF_10)</t>
        </is>
      </c>
      <c r="B30" s="15">
        <f>Assumptions!$E$17*L19</f>
        <v/>
      </c>
    </row>
    <row r="31">
      <c r="A31" t="inlineStr">
        <is>
          <t>Terminal value used = MAX(0,MIN(Gordon,cap))</t>
        </is>
      </c>
      <c r="B31" s="15">
        <f>MAX(0,MIN(B29,B30))</f>
        <v/>
      </c>
    </row>
    <row r="32">
      <c r="A32" t="inlineStr">
        <is>
          <t>Implied exit multiple (TV / FCF_10)</t>
        </is>
      </c>
      <c r="B32" s="21">
        <f>IF(L19&lt;&gt;0,B31/L19,"n/a")</f>
        <v/>
      </c>
    </row>
    <row r="33">
      <c r="A33" t="inlineStr">
        <is>
          <t>PV of terminal value</t>
        </is>
      </c>
      <c r="B33" s="15">
        <f>B31*L20</f>
        <v/>
      </c>
    </row>
    <row r="34">
      <c r="A34" t="inlineStr">
        <is>
          <t>Enterprise value</t>
        </is>
      </c>
      <c r="B34" s="15">
        <f>B26+B33</f>
        <v/>
      </c>
    </row>
    <row r="35">
      <c r="A35" t="inlineStr">
        <is>
          <t>less net debt (add net cash)</t>
        </is>
      </c>
      <c r="B35" s="14">
        <f>-Assumptions!$B$6</f>
        <v/>
      </c>
    </row>
    <row r="36">
      <c r="A36" t="inlineStr">
        <is>
          <t>Equity value</t>
        </is>
      </c>
      <c r="B36" s="15">
        <f>B34+B35</f>
        <v/>
      </c>
    </row>
    <row r="37">
      <c r="A37" t="inlineStr">
        <is>
          <t>Diluted shares (m)</t>
        </is>
      </c>
      <c r="B37" s="22">
        <f>Assumptions!$B$5</f>
        <v/>
      </c>
    </row>
    <row r="38">
      <c r="A38" s="1" t="inlineStr">
        <is>
          <t>VALUE PER SHARE (NZ$)</t>
        </is>
      </c>
      <c r="B38" s="23">
        <f>B36/B37</f>
        <v/>
      </c>
    </row>
    <row r="39">
      <c r="A39" t="inlineStr">
        <is>
          <t>Upside vs price</t>
        </is>
      </c>
      <c r="B39" s="19">
        <f>B38/Assumptions!$B$3-1</f>
        <v/>
      </c>
    </row>
    <row r="41">
      <c r="A41" t="inlineStr">
        <is>
          <t>Street memo: PV of explicit-period SBC</t>
        </is>
      </c>
      <c r="B41" s="15">
        <f>SUMPRODUCT(-C10:L10/(1+Assumptions!$B$9/100)^C4:L4)</f>
        <v/>
      </c>
    </row>
    <row r="42">
      <c r="A42" t="inlineStr">
        <is>
          <t>Street memo: PV of terminal SBC</t>
        </is>
      </c>
      <c r="B42" s="15">
        <f>IF(Assumptions!$B$9&gt;B27,(-L10*(1+B27/100)/((Assumptions!$B$9-B27)/100))*L20,0)</f>
        <v/>
      </c>
    </row>
    <row r="43">
      <c r="A43" t="inlineStr">
        <is>
          <t>Street value per share (SBC as non-cash)</t>
        </is>
      </c>
      <c r="B43" s="24">
        <f>(B36+B41+B42)/B37</f>
        <v/>
      </c>
    </row>
    <row r="44">
      <c r="A44" t="inlineStr">
        <is>
          <t>Terminal value as % of EV</t>
        </is>
      </c>
      <c r="B44" s="19">
        <f>IF(B34&lt;&gt;0,B33/B34,"n/a")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Reported FCF reconciled to owner FCF (treatment B), NZ$ millions. Links to Actuals.</t>
        </is>
      </c>
    </row>
    <row r="3">
      <c r="A3" s="1" t="inlineStr">
        <is>
          <t>Line</t>
        </is>
      </c>
      <c r="B3" s="1" t="inlineStr">
        <is>
          <t>FY2016</t>
        </is>
      </c>
      <c r="C3" s="1" t="inlineStr">
        <is>
          <t>FY2017</t>
        </is>
      </c>
      <c r="D3" s="1" t="inlineStr">
        <is>
          <t>FY2018</t>
        </is>
      </c>
      <c r="E3" s="1" t="inlineStr">
        <is>
          <t>FY2019</t>
        </is>
      </c>
      <c r="F3" s="1" t="inlineStr">
        <is>
          <t>FY2020</t>
        </is>
      </c>
      <c r="G3" s="1" t="inlineStr">
        <is>
          <t>FY2021</t>
        </is>
      </c>
      <c r="H3" s="1" t="inlineStr">
        <is>
          <t>FY2022</t>
        </is>
      </c>
      <c r="I3" s="1" t="inlineStr">
        <is>
          <t>FY2023</t>
        </is>
      </c>
      <c r="J3" s="1" t="inlineStr">
        <is>
          <t>FY2024</t>
        </is>
      </c>
      <c r="K3" s="1" t="inlineStr">
        <is>
          <t>FY2025</t>
        </is>
      </c>
    </row>
    <row r="4">
      <c r="A4" t="inlineStr">
        <is>
          <t>Free cash flow (company definition)</t>
        </is>
      </c>
      <c r="B4" s="14">
        <f>Actuals!B9</f>
        <v/>
      </c>
      <c r="C4" s="14">
        <f>Actuals!C9</f>
        <v/>
      </c>
      <c r="D4" s="14">
        <f>Actuals!D9</f>
        <v/>
      </c>
      <c r="E4" s="14">
        <f>Actuals!E9</f>
        <v/>
      </c>
      <c r="F4" s="14">
        <f>Actuals!F9</f>
        <v/>
      </c>
      <c r="G4" s="14">
        <f>Actuals!G9</f>
        <v/>
      </c>
      <c r="H4" s="14">
        <f>Actuals!H9</f>
        <v/>
      </c>
      <c r="I4" s="14">
        <f>Actuals!I9</f>
        <v/>
      </c>
      <c r="J4" s="14">
        <f>Actuals!J9</f>
        <v/>
      </c>
      <c r="K4" s="14">
        <f>Actuals!K9</f>
        <v/>
      </c>
    </row>
    <row r="5">
      <c r="A5" t="inlineStr">
        <is>
          <t>less: SBC incl. equity-award taxes</t>
        </is>
      </c>
      <c r="B5" s="14">
        <f>-Actuals!B10</f>
        <v/>
      </c>
      <c r="C5" s="14">
        <f>-Actuals!C10</f>
        <v/>
      </c>
      <c r="D5" s="14">
        <f>-Actuals!D10</f>
        <v/>
      </c>
      <c r="E5" s="14">
        <f>-Actuals!E10</f>
        <v/>
      </c>
      <c r="F5" s="14">
        <f>-Actuals!F10</f>
        <v/>
      </c>
      <c r="G5" s="14">
        <f>-Actuals!G10</f>
        <v/>
      </c>
      <c r="H5" s="14">
        <f>-Actuals!H10</f>
        <v/>
      </c>
      <c r="I5" s="14">
        <f>-Actuals!I10</f>
        <v/>
      </c>
      <c r="J5" s="14">
        <f>-Actuals!J10</f>
        <v/>
      </c>
      <c r="K5" s="14">
        <f>-Actuals!K10</f>
        <v/>
      </c>
    </row>
    <row r="6">
      <c r="A6" t="inlineStr">
        <is>
          <t>less: interest income</t>
        </is>
      </c>
      <c r="B6" s="14">
        <f>-Actuals!B11</f>
        <v/>
      </c>
      <c r="C6" s="14">
        <f>-Actuals!C11</f>
        <v/>
      </c>
      <c r="D6" s="14">
        <f>-Actuals!D11</f>
        <v/>
      </c>
      <c r="E6" s="14">
        <f>-Actuals!E11</f>
        <v/>
      </c>
      <c r="F6" s="14">
        <f>-Actuals!F11</f>
        <v/>
      </c>
      <c r="G6" s="14">
        <f>-Actuals!G11</f>
        <v/>
      </c>
      <c r="H6" s="14">
        <f>-Actuals!H11</f>
        <v/>
      </c>
      <c r="I6" s="14">
        <f>-Actuals!I11</f>
        <v/>
      </c>
      <c r="J6" s="14">
        <f>-Actuals!J11</f>
        <v/>
      </c>
      <c r="K6" s="14">
        <f>-Actuals!K11</f>
        <v/>
      </c>
    </row>
    <row r="7">
      <c r="A7" t="inlineStr">
        <is>
          <t>less: IFRS-16 lease principal</t>
        </is>
      </c>
      <c r="B7" s="14">
        <f>-Actuals!B12</f>
        <v/>
      </c>
      <c r="C7" s="14">
        <f>-Actuals!C12</f>
        <v/>
      </c>
      <c r="D7" s="14">
        <f>-Actuals!D12</f>
        <v/>
      </c>
      <c r="E7" s="14">
        <f>-Actuals!E12</f>
        <v/>
      </c>
      <c r="F7" s="14">
        <f>-Actuals!F12</f>
        <v/>
      </c>
      <c r="G7" s="14">
        <f>-Actuals!G12</f>
        <v/>
      </c>
      <c r="H7" s="14">
        <f>-Actuals!H12</f>
        <v/>
      </c>
      <c r="I7" s="14">
        <f>-Actuals!I12</f>
        <v/>
      </c>
      <c r="J7" s="14">
        <f>-Actuals!J12</f>
        <v/>
      </c>
      <c r="K7" s="14">
        <f>-Actuals!K12</f>
        <v/>
      </c>
    </row>
    <row r="8">
      <c r="A8" s="1" t="inlineStr">
        <is>
          <t>Owner FCF (sum of the four lines above)</t>
        </is>
      </c>
      <c r="B8" s="15">
        <f>SUM(B4:B7)</f>
        <v/>
      </c>
      <c r="C8" s="15">
        <f>SUM(C4:C7)</f>
        <v/>
      </c>
      <c r="D8" s="15">
        <f>SUM(D4:D7)</f>
        <v/>
      </c>
      <c r="E8" s="15">
        <f>SUM(E4:E7)</f>
        <v/>
      </c>
      <c r="F8" s="15">
        <f>SUM(F4:F7)</f>
        <v/>
      </c>
      <c r="G8" s="15">
        <f>SUM(G4:G7)</f>
        <v/>
      </c>
      <c r="H8" s="15">
        <f>SUM(H4:H7)</f>
        <v/>
      </c>
      <c r="I8" s="15">
        <f>SUM(I4:I7)</f>
        <v/>
      </c>
      <c r="J8" s="15">
        <f>SUM(J4:J7)</f>
        <v/>
      </c>
      <c r="K8" s="15">
        <f>SUM(K4:K7)</f>
        <v/>
      </c>
    </row>
    <row r="9">
      <c r="A9" t="inlineStr">
        <is>
          <t>Revenue</t>
        </is>
      </c>
      <c r="B9" s="14">
        <f>Actuals!B4</f>
        <v/>
      </c>
      <c r="C9" s="14">
        <f>Actuals!C4</f>
        <v/>
      </c>
      <c r="D9" s="14">
        <f>Actuals!D4</f>
        <v/>
      </c>
      <c r="E9" s="14">
        <f>Actuals!E4</f>
        <v/>
      </c>
      <c r="F9" s="14">
        <f>Actuals!F4</f>
        <v/>
      </c>
      <c r="G9" s="14">
        <f>Actuals!G4</f>
        <v/>
      </c>
      <c r="H9" s="14">
        <f>Actuals!H4</f>
        <v/>
      </c>
      <c r="I9" s="14">
        <f>Actuals!I4</f>
        <v/>
      </c>
      <c r="J9" s="14">
        <f>Actuals!J4</f>
        <v/>
      </c>
      <c r="K9" s="14">
        <f>Actuals!K4</f>
        <v/>
      </c>
    </row>
    <row r="10">
      <c r="A10" t="inlineStr">
        <is>
          <t>Reported FCF margin</t>
        </is>
      </c>
      <c r="B10" s="19">
        <f>B4/B9</f>
        <v/>
      </c>
      <c r="C10" s="19">
        <f>C4/C9</f>
        <v/>
      </c>
      <c r="D10" s="19">
        <f>D4/D9</f>
        <v/>
      </c>
      <c r="E10" s="19">
        <f>E4/E9</f>
        <v/>
      </c>
      <c r="F10" s="19">
        <f>F4/F9</f>
        <v/>
      </c>
      <c r="G10" s="19">
        <f>G4/G9</f>
        <v/>
      </c>
      <c r="H10" s="19">
        <f>H4/H9</f>
        <v/>
      </c>
      <c r="I10" s="19">
        <f>I4/I9</f>
        <v/>
      </c>
      <c r="J10" s="19">
        <f>J4/J9</f>
        <v/>
      </c>
      <c r="K10" s="19">
        <f>K4/K9</f>
        <v/>
      </c>
    </row>
    <row r="11">
      <c r="A11" t="inlineStr">
        <is>
          <t>Owner FCF margin</t>
        </is>
      </c>
      <c r="B11" s="19">
        <f>B8/B9</f>
        <v/>
      </c>
      <c r="C11" s="19">
        <f>C8/C9</f>
        <v/>
      </c>
      <c r="D11" s="19">
        <f>D8/D9</f>
        <v/>
      </c>
      <c r="E11" s="19">
        <f>E8/E9</f>
        <v/>
      </c>
      <c r="F11" s="19">
        <f>F8/F9</f>
        <v/>
      </c>
      <c r="G11" s="19">
        <f>G8/G9</f>
        <v/>
      </c>
      <c r="H11" s="19">
        <f>H8/H9</f>
        <v/>
      </c>
      <c r="I11" s="19">
        <f>I8/I9</f>
        <v/>
      </c>
      <c r="J11" s="19">
        <f>J8/J9</f>
        <v/>
      </c>
      <c r="K11" s="19">
        <f>K8/K9</f>
        <v/>
      </c>
    </row>
    <row r="12">
      <c r="A12" t="inlineStr">
        <is>
          <t>Memo: capex</t>
        </is>
      </c>
      <c r="B12" s="14">
        <f>Actuals!B8</f>
        <v/>
      </c>
      <c r="C12" s="14">
        <f>Actuals!C8</f>
        <v/>
      </c>
      <c r="D12" s="14">
        <f>Actuals!D8</f>
        <v/>
      </c>
      <c r="E12" s="14">
        <f>Actuals!E8</f>
        <v/>
      </c>
      <c r="F12" s="14">
        <f>Actuals!F8</f>
        <v/>
      </c>
      <c r="G12" s="14">
        <f>Actuals!G8</f>
        <v/>
      </c>
      <c r="H12" s="14">
        <f>Actuals!H8</f>
        <v/>
      </c>
      <c r="I12" s="14">
        <f>Actuals!I8</f>
        <v/>
      </c>
      <c r="J12" s="14">
        <f>Actuals!J8</f>
        <v/>
      </c>
      <c r="K12" s="14">
        <f>Actuals!K8</f>
        <v/>
      </c>
    </row>
    <row r="13">
      <c r="A13" t="inlineStr">
        <is>
          <t>Memo: operating cash flow</t>
        </is>
      </c>
      <c r="B13" s="14">
        <f>Actuals!B7</f>
        <v/>
      </c>
      <c r="C13" s="14">
        <f>Actuals!C7</f>
        <v/>
      </c>
      <c r="D13" s="14">
        <f>Actuals!D7</f>
        <v/>
      </c>
      <c r="E13" s="14">
        <f>Actuals!E7</f>
        <v/>
      </c>
      <c r="F13" s="14">
        <f>Actuals!F7</f>
        <v/>
      </c>
      <c r="G13" s="14">
        <f>Actuals!G7</f>
        <v/>
      </c>
      <c r="H13" s="14">
        <f>Actuals!H7</f>
        <v/>
      </c>
      <c r="I13" s="14">
        <f>Actuals!I7</f>
        <v/>
      </c>
      <c r="J13" s="14">
        <f>Actuals!J7</f>
        <v/>
      </c>
      <c r="K13" s="14">
        <f>Actuals!K7</f>
        <v/>
      </c>
    </row>
    <row r="15">
      <c r="A15" t="inlineStr">
        <is>
          <t>10-year median owner FCF</t>
        </is>
      </c>
      <c r="B15" s="15">
        <f>MEDIAN(B8:K8)</f>
        <v/>
      </c>
    </row>
    <row r="16" ht="75" customHeight="1">
      <c r="A16" s="1" t="inlineStr">
        <is>
          <t>Reading</t>
        </is>
      </c>
      <c r="B16" s="2" t="inlineStr">
        <is>
          <t>The median owner FCF over FY2016-FY2025 is NEGATIVE. The two positive peaks (FY2022, FY2025) were working-capital releases (FY2025 OCF +165.5 against an EBITDA of 44.2); FY2019 carries -320 of capex for the Pokeno/Dunsandel build. Historical FCF is therefore not a usable projection base; the DCF tabs build FCF from revenue x component margins instead. SBC is immaterial (SBC-zero market).</t>
        </is>
      </c>
    </row>
  </sheetData>
  <mergeCells count="1">
    <mergeCell ref="B16:K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SML.NZ valuation summary (NZ$ per share). Green = links to DCF tabs.</t>
        </is>
      </c>
    </row>
    <row r="3">
      <c r="A3" s="1" t="inlineStr">
        <is>
          <t>Scenario</t>
        </is>
      </c>
      <c r="B3" s="1" t="inlineStr">
        <is>
          <t>Value / share</t>
        </is>
      </c>
      <c r="C3" s="1" t="inlineStr">
        <is>
          <t>Upside vs price</t>
        </is>
      </c>
      <c r="D3" s="1" t="inlineStr">
        <is>
          <t>Probability</t>
        </is>
      </c>
      <c r="E3" s="1" t="inlineStr">
        <is>
          <t>Street value / share</t>
        </is>
      </c>
      <c r="F3" s="1" t="inlineStr">
        <is>
          <t>Entry price @ hurdle</t>
        </is>
      </c>
      <c r="G3" s="1" t="inlineStr">
        <is>
          <t>TV bound</t>
        </is>
      </c>
    </row>
    <row r="4">
      <c r="A4" t="inlineStr">
        <is>
          <t>Bear</t>
        </is>
      </c>
      <c r="B4" s="18">
        <f>DCF_Bear!$B$38</f>
        <v/>
      </c>
      <c r="C4" s="19">
        <f>B4/Assumptions!$B$3-1</f>
        <v/>
      </c>
      <c r="D4" s="25">
        <f>Assumptions!$C$22</f>
        <v/>
      </c>
      <c r="E4" s="18">
        <f>DCF_Bear!$B$43</f>
        <v/>
      </c>
      <c r="F4" s="24">
        <f>IF(Assumptions!$B$10*100&gt;Assumptions!$C$16,(SUMPRODUCT(DCF_Bear!$C$19:$L$19/(1+Assumptions!$B$10*100/100)^DCF_Bear!$C$4:$L$4)+MAX(0,MIN(DCF_Bear!$L$19*(1+Assumptions!$C$16/100)/((Assumptions!$B$10*100-Assumptions!$C$16)/100),Assumptions!$C$17*DCF_Bear!$L$19))/(1+Assumptions!$B$10*100/100)^10-Assumptions!$B$6)/Assumptions!$B$5,"n/a")</f>
        <v/>
      </c>
      <c r="G4">
        <f>IF(DCF_Bear!$B$31=0,"floor",IF(DCF_Bear!$B$29&lt;=DCF_Bear!$B$30,"gordon","cap"))</f>
        <v/>
      </c>
    </row>
    <row r="5">
      <c r="A5" t="inlineStr">
        <is>
          <t>Base</t>
        </is>
      </c>
      <c r="B5" s="18">
        <f>DCF_Base!$B$38</f>
        <v/>
      </c>
      <c r="C5" s="19">
        <f>B5/Assumptions!$B$3-1</f>
        <v/>
      </c>
      <c r="D5" s="25">
        <f>Assumptions!$D$22</f>
        <v/>
      </c>
      <c r="E5" s="18">
        <f>DCF_Base!$B$43</f>
        <v/>
      </c>
      <c r="F5" s="24">
        <f>IF(Assumptions!$B$10*100&gt;Assumptions!$D$16,(SUMPRODUCT(DCF_Base!$C$19:$L$19/(1+Assumptions!$B$10*100/100)^DCF_Base!$C$4:$L$4)+MAX(0,MIN(DCF_Base!$L$19*(1+Assumptions!$D$16/100)/((Assumptions!$B$10*100-Assumptions!$D$16)/100),Assumptions!$D$17*DCF_Base!$L$19))/(1+Assumptions!$B$10*100/100)^10-Assumptions!$B$6)/Assumptions!$B$5,"n/a")</f>
        <v/>
      </c>
      <c r="G5">
        <f>IF(DCF_Base!$B$31=0,"floor",IF(DCF_Base!$B$29&lt;=DCF_Base!$B$30,"gordon","cap"))</f>
        <v/>
      </c>
    </row>
    <row r="6">
      <c r="A6" t="inlineStr">
        <is>
          <t>Bull</t>
        </is>
      </c>
      <c r="B6" s="18">
        <f>DCF_Bull!$B$38</f>
        <v/>
      </c>
      <c r="C6" s="19">
        <f>B6/Assumptions!$B$3-1</f>
        <v/>
      </c>
      <c r="D6" s="25">
        <f>Assumptions!$E$22</f>
        <v/>
      </c>
      <c r="E6" s="18">
        <f>DCF_Bull!$B$43</f>
        <v/>
      </c>
      <c r="F6" s="24">
        <f>IF(Assumptions!$B$10*100&gt;Assumptions!$E$16,(SUMPRODUCT(DCF_Bull!$C$19:$L$19/(1+Assumptions!$B$10*100/100)^DCF_Bull!$C$4:$L$4)+MAX(0,MIN(DCF_Bull!$L$19*(1+Assumptions!$E$16/100)/((Assumptions!$B$10*100-Assumptions!$E$16)/100),Assumptions!$E$17*DCF_Bull!$L$19))/(1+Assumptions!$B$10*100/100)^10-Assumptions!$B$6)/Assumptions!$B$5,"n/a")</f>
        <v/>
      </c>
      <c r="G6">
        <f>IF(DCF_Bull!$B$31=0,"floor",IF(DCF_Bull!$B$29&lt;=DCF_Bull!$B$30,"gordon","cap"))</f>
        <v/>
      </c>
    </row>
    <row r="8">
      <c r="A8" s="1" t="inlineStr">
        <is>
          <t>Probability-weighted value per share</t>
        </is>
      </c>
      <c r="B8" s="23">
        <f>SUMPRODUCT(B4:B6,D4:D6)</f>
        <v/>
      </c>
    </row>
    <row r="9">
      <c r="A9" t="inlineStr">
        <is>
          <t>Margin of safety (1 - price / weighted)</t>
        </is>
      </c>
      <c r="B9" s="19">
        <f>1-Assumptions!$B$3/B8</f>
        <v/>
      </c>
    </row>
    <row r="10">
      <c r="A10" t="inlineStr">
        <is>
          <t>Street weighted value per share</t>
        </is>
      </c>
      <c r="B10" s="24">
        <f>SUMPRODUCT(E4:E6,D4:D6)</f>
        <v/>
      </c>
    </row>
    <row r="11">
      <c r="A11" t="inlineStr">
        <is>
          <t>Band position (0% house, 100% street)</t>
        </is>
      </c>
      <c r="B11" s="19">
        <f>IF(ABS(B10-B8)&lt;0.0001,"n/a (SBC-zero: band collapsed)",(Assumptions!$B$3-B8)/(B10-B8))</f>
        <v/>
      </c>
    </row>
    <row r="12">
      <c r="A12" t="inlineStr">
        <is>
          <t>Probability-weighted entry price (15% hurdle)</t>
        </is>
      </c>
      <c r="B12" s="24">
        <f>SUMPRODUCT(F4:F6,D4:D6)</f>
        <v/>
      </c>
    </row>
    <row r="13">
      <c r="A13" t="inlineStr">
        <is>
          <t>Weighted value with bear floored at zero (memo)</t>
        </is>
      </c>
      <c r="B13" s="24">
        <f>SUMPRODUCT(D4:D6,IF(B4:B6&gt;0,B4:B6,0))</f>
        <v/>
      </c>
    </row>
    <row r="14">
      <c r="A14" t="inlineStr">
        <is>
          <t>Current price</t>
        </is>
      </c>
      <c r="B14" s="26">
        <f>Assumptions!$B$3</f>
        <v/>
      </c>
    </row>
    <row r="17">
      <c r="A17" s="1" t="inlineStr">
        <is>
          <t>Required-return table (BASE): value per share at r, TV rebuilt at r</t>
        </is>
      </c>
    </row>
    <row r="18">
      <c r="A18" s="1" t="inlineStr">
        <is>
          <t>Required return (%)</t>
        </is>
      </c>
      <c r="B18" s="1" t="inlineStr">
        <is>
          <t>Value / share</t>
        </is>
      </c>
    </row>
    <row r="19">
      <c r="A19" s="8" t="n">
        <v>9</v>
      </c>
      <c r="B19" s="24">
        <f>IF($A$19&gt;Assumptions!$D$16,(SUMPRODUCT(DCF_Base!$C$19:$L$19/(1+$A$19/100)^DCF_Base!$C$4:$L$4)+MAX(0,MIN(DCF_Base!$L$19*(1+Assumptions!$D$16/100)/(($A$19-Assumptions!$D$16)/100),Assumptions!$D$17*DCF_Base!$L$19))/(1+$A$19/100)^10-Assumptions!$B$6)/Assumptions!$B$5,"n/a")</f>
        <v/>
      </c>
    </row>
    <row r="20">
      <c r="A20" s="8" t="n">
        <v>10</v>
      </c>
      <c r="B20" s="24">
        <f>IF($A$20&gt;Assumptions!$D$16,(SUMPRODUCT(DCF_Base!$C$19:$L$19/(1+$A$20/100)^DCF_Base!$C$4:$L$4)+MAX(0,MIN(DCF_Base!$L$19*(1+Assumptions!$D$16/100)/(($A$20-Assumptions!$D$16)/100),Assumptions!$D$17*DCF_Base!$L$19))/(1+$A$20/100)^10-Assumptions!$B$6)/Assumptions!$B$5,"n/a")</f>
        <v/>
      </c>
    </row>
    <row r="21">
      <c r="A21" s="8" t="n">
        <v>11</v>
      </c>
      <c r="B21" s="24">
        <f>IF($A$21&gt;Assumptions!$D$16,(SUMPRODUCT(DCF_Base!$C$19:$L$19/(1+$A$21/100)^DCF_Base!$C$4:$L$4)+MAX(0,MIN(DCF_Base!$L$19*(1+Assumptions!$D$16/100)/(($A$21-Assumptions!$D$16)/100),Assumptions!$D$17*DCF_Base!$L$19))/(1+$A$21/100)^10-Assumptions!$B$6)/Assumptions!$B$5,"n/a")</f>
        <v/>
      </c>
    </row>
    <row r="22">
      <c r="A22" s="8" t="n">
        <v>12</v>
      </c>
      <c r="B22" s="24">
        <f>IF($A$22&gt;Assumptions!$D$16,(SUMPRODUCT(DCF_Base!$C$19:$L$19/(1+$A$22/100)^DCF_Base!$C$4:$L$4)+MAX(0,MIN(DCF_Base!$L$19*(1+Assumptions!$D$16/100)/(($A$22-Assumptions!$D$16)/100),Assumptions!$D$17*DCF_Base!$L$19))/(1+$A$22/100)^10-Assumptions!$B$6)/Assumptions!$B$5,"n/a")</f>
        <v/>
      </c>
    </row>
    <row r="23">
      <c r="A23" s="8" t="n">
        <v>15</v>
      </c>
      <c r="B23" s="24">
        <f>IF($A$23&gt;Assumptions!$D$16,(SUMPRODUCT(DCF_Base!$C$19:$L$19/(1+$A$23/100)^DCF_Base!$C$4:$L$4)+MAX(0,MIN(DCF_Base!$L$19*(1+Assumptions!$D$16/100)/(($A$23-Assumptions!$D$16)/100),Assumptions!$D$17*DCF_Base!$L$19))/(1+$A$23/100)^10-Assumptions!$B$6)/Assumptions!$B$5,"n/a")</f>
        <v/>
      </c>
      <c r="C23" t="inlineStr">
        <is>
          <t>&lt;- 15% row; must equal the base entry price (F5)</t>
        </is>
      </c>
    </row>
    <row r="24">
      <c r="A24" s="20">
        <f>Assumptions!$B$9</f>
        <v/>
      </c>
      <c r="B24" s="24">
        <f>IF($A$24&gt;Assumptions!$D$16,(SUMPRODUCT(DCF_Base!$C$19:$L$19/(1+$A$24/100)^DCF_Base!$C$4:$L$4)+MAX(0,MIN(DCF_Base!$L$19*(1+Assumptions!$D$16/100)/(($A$24-Assumptions!$D$16)/100),Assumptions!$D$17*DCF_Base!$L$19))/(1+$A$24/100)^10-Assumptions!$B$6)/Assumptions!$B$5,"n/a")</f>
        <v/>
      </c>
      <c r="C24" t="inlineStr">
        <is>
          <t>&lt;- model WACC row; must equal DCF_Base!B38</t>
        </is>
      </c>
    </row>
    <row r="27">
      <c r="A27" s="1" t="inlineStr">
        <is>
          <t>Sensitivity (BASE): WACC (rows, %) x terminal growth (columns, %)</t>
        </is>
      </c>
    </row>
    <row r="28">
      <c r="B28" s="8" t="n">
        <v>0.5</v>
      </c>
      <c r="C28" s="8" t="n">
        <v>1</v>
      </c>
      <c r="D28" s="8" t="n">
        <v>1.5</v>
      </c>
      <c r="E28" s="8" t="n">
        <v>2</v>
      </c>
      <c r="F28" s="8" t="n">
        <v>2.5</v>
      </c>
    </row>
    <row r="29">
      <c r="A29" s="8" t="n">
        <v>14</v>
      </c>
      <c r="B29" s="24">
        <f>IF($A$29&gt;B$28,(SUMPRODUCT(DCF_Base!$C$19:$L$19/(1+$A$29/100)^DCF_Base!$C$4:$L$4)+MAX(0,MIN(DCF_Base!$L$19*(1+B$28/100)/(($A$29-B$28)/100),Assumptions!$D$17*DCF_Base!$L$19))/(1+$A$29/100)^10-Assumptions!$B$6)/Assumptions!$B$5,"n/a")</f>
        <v/>
      </c>
      <c r="C29" s="24">
        <f>IF($A$29&gt;C$28,(SUMPRODUCT(DCF_Base!$C$19:$L$19/(1+$A$29/100)^DCF_Base!$C$4:$L$4)+MAX(0,MIN(DCF_Base!$L$19*(1+C$28/100)/(($A$29-C$28)/100),Assumptions!$D$17*DCF_Base!$L$19))/(1+$A$29/100)^10-Assumptions!$B$6)/Assumptions!$B$5,"n/a")</f>
        <v/>
      </c>
      <c r="D29" s="24">
        <f>IF($A$29&gt;D$28,(SUMPRODUCT(DCF_Base!$C$19:$L$19/(1+$A$29/100)^DCF_Base!$C$4:$L$4)+MAX(0,MIN(DCF_Base!$L$19*(1+D$28/100)/(($A$29-D$28)/100),Assumptions!$D$17*DCF_Base!$L$19))/(1+$A$29/100)^10-Assumptions!$B$6)/Assumptions!$B$5,"n/a")</f>
        <v/>
      </c>
      <c r="E29" s="24">
        <f>IF($A$29&gt;E$28,(SUMPRODUCT(DCF_Base!$C$19:$L$19/(1+$A$29/100)^DCF_Base!$C$4:$L$4)+MAX(0,MIN(DCF_Base!$L$19*(1+E$28/100)/(($A$29-E$28)/100),Assumptions!$D$17*DCF_Base!$L$19))/(1+$A$29/100)^10-Assumptions!$B$6)/Assumptions!$B$5,"n/a")</f>
        <v/>
      </c>
      <c r="F29" s="24">
        <f>IF($A$29&gt;F$28,(SUMPRODUCT(DCF_Base!$C$19:$L$19/(1+$A$29/100)^DCF_Base!$C$4:$L$4)+MAX(0,MIN(DCF_Base!$L$19*(1+F$28/100)/(($A$29-F$28)/100),Assumptions!$D$17*DCF_Base!$L$19))/(1+$A$29/100)^10-Assumptions!$B$6)/Assumptions!$B$5,"n/a")</f>
        <v/>
      </c>
    </row>
    <row r="30">
      <c r="A30" s="8" t="n">
        <v>15</v>
      </c>
      <c r="B30" s="24">
        <f>IF($A$30&gt;B$28,(SUMPRODUCT(DCF_Base!$C$19:$L$19/(1+$A$30/100)^DCF_Base!$C$4:$L$4)+MAX(0,MIN(DCF_Base!$L$19*(1+B$28/100)/(($A$30-B$28)/100),Assumptions!$D$17*DCF_Base!$L$19))/(1+$A$30/100)^10-Assumptions!$B$6)/Assumptions!$B$5,"n/a")</f>
        <v/>
      </c>
      <c r="C30" s="24">
        <f>IF($A$30&gt;C$28,(SUMPRODUCT(DCF_Base!$C$19:$L$19/(1+$A$30/100)^DCF_Base!$C$4:$L$4)+MAX(0,MIN(DCF_Base!$L$19*(1+C$28/100)/(($A$30-C$28)/100),Assumptions!$D$17*DCF_Base!$L$19))/(1+$A$30/100)^10-Assumptions!$B$6)/Assumptions!$B$5,"n/a")</f>
        <v/>
      </c>
      <c r="D30" s="24">
        <f>IF($A$30&gt;D$28,(SUMPRODUCT(DCF_Base!$C$19:$L$19/(1+$A$30/100)^DCF_Base!$C$4:$L$4)+MAX(0,MIN(DCF_Base!$L$19*(1+D$28/100)/(($A$30-D$28)/100),Assumptions!$D$17*DCF_Base!$L$19))/(1+$A$30/100)^10-Assumptions!$B$6)/Assumptions!$B$5,"n/a")</f>
        <v/>
      </c>
      <c r="E30" s="24">
        <f>IF($A$30&gt;E$28,(SUMPRODUCT(DCF_Base!$C$19:$L$19/(1+$A$30/100)^DCF_Base!$C$4:$L$4)+MAX(0,MIN(DCF_Base!$L$19*(1+E$28/100)/(($A$30-E$28)/100),Assumptions!$D$17*DCF_Base!$L$19))/(1+$A$30/100)^10-Assumptions!$B$6)/Assumptions!$B$5,"n/a")</f>
        <v/>
      </c>
      <c r="F30" s="24">
        <f>IF($A$30&gt;F$28,(SUMPRODUCT(DCF_Base!$C$19:$L$19/(1+$A$30/100)^DCF_Base!$C$4:$L$4)+MAX(0,MIN(DCF_Base!$L$19*(1+F$28/100)/(($A$30-F$28)/100),Assumptions!$D$17*DCF_Base!$L$19))/(1+$A$30/100)^10-Assumptions!$B$6)/Assumptions!$B$5,"n/a")</f>
        <v/>
      </c>
    </row>
    <row r="31">
      <c r="A31" s="8" t="n">
        <v>16</v>
      </c>
      <c r="B31" s="24">
        <f>IF($A$31&gt;B$28,(SUMPRODUCT(DCF_Base!$C$19:$L$19/(1+$A$31/100)^DCF_Base!$C$4:$L$4)+MAX(0,MIN(DCF_Base!$L$19*(1+B$28/100)/(($A$31-B$28)/100),Assumptions!$D$17*DCF_Base!$L$19))/(1+$A$31/100)^10-Assumptions!$B$6)/Assumptions!$B$5,"n/a")</f>
        <v/>
      </c>
      <c r="C31" s="24">
        <f>IF($A$31&gt;C$28,(SUMPRODUCT(DCF_Base!$C$19:$L$19/(1+$A$31/100)^DCF_Base!$C$4:$L$4)+MAX(0,MIN(DCF_Base!$L$19*(1+C$28/100)/(($A$31-C$28)/100),Assumptions!$D$17*DCF_Base!$L$19))/(1+$A$31/100)^10-Assumptions!$B$6)/Assumptions!$B$5,"n/a")</f>
        <v/>
      </c>
      <c r="D31" s="23">
        <f>IF($A$31&gt;D$28,(SUMPRODUCT(DCF_Base!$C$19:$L$19/(1+$A$31/100)^DCF_Base!$C$4:$L$4)+MAX(0,MIN(DCF_Base!$L$19*(1+D$28/100)/(($A$31-D$28)/100),Assumptions!$D$17*DCF_Base!$L$19))/(1+$A$31/100)^10-Assumptions!$B$6)/Assumptions!$B$5,"n/a")</f>
        <v/>
      </c>
      <c r="E31" s="24">
        <f>IF($A$31&gt;E$28,(SUMPRODUCT(DCF_Base!$C$19:$L$19/(1+$A$31/100)^DCF_Base!$C$4:$L$4)+MAX(0,MIN(DCF_Base!$L$19*(1+E$28/100)/(($A$31-E$28)/100),Assumptions!$D$17*DCF_Base!$L$19))/(1+$A$31/100)^10-Assumptions!$B$6)/Assumptions!$B$5,"n/a")</f>
        <v/>
      </c>
      <c r="F31" s="24">
        <f>IF($A$31&gt;F$28,(SUMPRODUCT(DCF_Base!$C$19:$L$19/(1+$A$31/100)^DCF_Base!$C$4:$L$4)+MAX(0,MIN(DCF_Base!$L$19*(1+F$28/100)/(($A$31-F$28)/100),Assumptions!$D$17*DCF_Base!$L$19))/(1+$A$31/100)^10-Assumptions!$B$6)/Assumptions!$B$5,"n/a")</f>
        <v/>
      </c>
    </row>
    <row r="32">
      <c r="A32" s="8" t="n">
        <v>17</v>
      </c>
      <c r="B32" s="24">
        <f>IF($A$32&gt;B$28,(SUMPRODUCT(DCF_Base!$C$19:$L$19/(1+$A$32/100)^DCF_Base!$C$4:$L$4)+MAX(0,MIN(DCF_Base!$L$19*(1+B$28/100)/(($A$32-B$28)/100),Assumptions!$D$17*DCF_Base!$L$19))/(1+$A$32/100)^10-Assumptions!$B$6)/Assumptions!$B$5,"n/a")</f>
        <v/>
      </c>
      <c r="C32" s="24">
        <f>IF($A$32&gt;C$28,(SUMPRODUCT(DCF_Base!$C$19:$L$19/(1+$A$32/100)^DCF_Base!$C$4:$L$4)+MAX(0,MIN(DCF_Base!$L$19*(1+C$28/100)/(($A$32-C$28)/100),Assumptions!$D$17*DCF_Base!$L$19))/(1+$A$32/100)^10-Assumptions!$B$6)/Assumptions!$B$5,"n/a")</f>
        <v/>
      </c>
      <c r="D32" s="24">
        <f>IF($A$32&gt;D$28,(SUMPRODUCT(DCF_Base!$C$19:$L$19/(1+$A$32/100)^DCF_Base!$C$4:$L$4)+MAX(0,MIN(DCF_Base!$L$19*(1+D$28/100)/(($A$32-D$28)/100),Assumptions!$D$17*DCF_Base!$L$19))/(1+$A$32/100)^10-Assumptions!$B$6)/Assumptions!$B$5,"n/a")</f>
        <v/>
      </c>
      <c r="E32" s="24">
        <f>IF($A$32&gt;E$28,(SUMPRODUCT(DCF_Base!$C$19:$L$19/(1+$A$32/100)^DCF_Base!$C$4:$L$4)+MAX(0,MIN(DCF_Base!$L$19*(1+E$28/100)/(($A$32-E$28)/100),Assumptions!$D$17*DCF_Base!$L$19))/(1+$A$32/100)^10-Assumptions!$B$6)/Assumptions!$B$5,"n/a")</f>
        <v/>
      </c>
      <c r="F32" s="24">
        <f>IF($A$32&gt;F$28,(SUMPRODUCT(DCF_Base!$C$19:$L$19/(1+$A$32/100)^DCF_Base!$C$4:$L$4)+MAX(0,MIN(DCF_Base!$L$19*(1+F$28/100)/(($A$32-F$28)/100),Assumptions!$D$17*DCF_Base!$L$19))/(1+$A$32/100)^10-Assumptions!$B$6)/Assumptions!$B$5,"n/a")</f>
        <v/>
      </c>
    </row>
    <row r="33">
      <c r="A33" s="8" t="n">
        <v>18</v>
      </c>
      <c r="B33" s="24">
        <f>IF($A$33&gt;B$28,(SUMPRODUCT(DCF_Base!$C$19:$L$19/(1+$A$33/100)^DCF_Base!$C$4:$L$4)+MAX(0,MIN(DCF_Base!$L$19*(1+B$28/100)/(($A$33-B$28)/100),Assumptions!$D$17*DCF_Base!$L$19))/(1+$A$33/100)^10-Assumptions!$B$6)/Assumptions!$B$5,"n/a")</f>
        <v/>
      </c>
      <c r="C33" s="24">
        <f>IF($A$33&gt;C$28,(SUMPRODUCT(DCF_Base!$C$19:$L$19/(1+$A$33/100)^DCF_Base!$C$4:$L$4)+MAX(0,MIN(DCF_Base!$L$19*(1+C$28/100)/(($A$33-C$28)/100),Assumptions!$D$17*DCF_Base!$L$19))/(1+$A$33/100)^10-Assumptions!$B$6)/Assumptions!$B$5,"n/a")</f>
        <v/>
      </c>
      <c r="D33" s="24">
        <f>IF($A$33&gt;D$28,(SUMPRODUCT(DCF_Base!$C$19:$L$19/(1+$A$33/100)^DCF_Base!$C$4:$L$4)+MAX(0,MIN(DCF_Base!$L$19*(1+D$28/100)/(($A$33-D$28)/100),Assumptions!$D$17*DCF_Base!$L$19))/(1+$A$33/100)^10-Assumptions!$B$6)/Assumptions!$B$5,"n/a")</f>
        <v/>
      </c>
      <c r="E33" s="24">
        <f>IF($A$33&gt;E$28,(SUMPRODUCT(DCF_Base!$C$19:$L$19/(1+$A$33/100)^DCF_Base!$C$4:$L$4)+MAX(0,MIN(DCF_Base!$L$19*(1+E$28/100)/(($A$33-E$28)/100),Assumptions!$D$17*DCF_Base!$L$19))/(1+$A$33/100)^10-Assumptions!$B$6)/Assumptions!$B$5,"n/a")</f>
        <v/>
      </c>
      <c r="F33" s="24">
        <f>IF($A$33&gt;F$28,(SUMPRODUCT(DCF_Base!$C$19:$L$19/(1+$A$33/100)^DCF_Base!$C$4:$L$4)+MAX(0,MIN(DCF_Base!$L$19*(1+F$28/100)/(($A$33-F$28)/100),Assumptions!$D$17*DCF_Base!$L$19))/(1+$A$33/100)^10-Assumptions!$B$6)/Assumptions!$B$5,"n/a")</f>
        <v/>
      </c>
    </row>
    <row r="35">
      <c r="A35" s="1" t="inlineStr">
        <is>
          <t>Net-debt sensitivity (weighted IV, memo from JSON)</t>
        </is>
      </c>
    </row>
    <row r="36">
      <c r="A36" t="inlineStr">
        <is>
          <t>189.0 (31-Jan-26 pro-forma, seasonal WC peak, no unwind)</t>
        </is>
      </c>
      <c r="B36" s="27" t="n">
        <v>0.1119</v>
      </c>
    </row>
    <row r="37">
      <c r="A37" t="inlineStr">
        <is>
          <t>125.0 (house estimate, 31-Jul-26)</t>
        </is>
      </c>
      <c r="B37" s="27" t="n">
        <v>0.218</v>
      </c>
    </row>
    <row r="38">
      <c r="A38" t="inlineStr">
        <is>
          <t>85.0 (full seasonal unwind to nil net WC)</t>
        </is>
      </c>
      <c r="B38" s="27" t="n">
        <v>0.2843</v>
      </c>
    </row>
    <row r="40">
      <c r="A40" s="1" t="inlineStr">
        <is>
          <t>Bear rescue-raise memo</t>
        </is>
      </c>
    </row>
    <row r="41" ht="40" customHeight="1">
      <c r="A41" s="2" t="inlineStr">
        <is>
          <t>Bright Dairy-led recapitalisation of NZ$150m at NZ$0.20/share (750m new shares, +124% dilution), proceeds applied to debt</t>
        </is>
      </c>
      <c r="B41" s="27" t="n">
        <v>0.0616</v>
      </c>
    </row>
  </sheetData>
  <mergeCells count="1">
    <mergeCell ref="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2026-09-02T09:08:27Z</dcterms:created>
  <dcterms:modified xsi:type="dcterms:W3CDTF">2026-09-02T09:08:27Z</dcterms:modified>
</cp:coreProperties>
</file>