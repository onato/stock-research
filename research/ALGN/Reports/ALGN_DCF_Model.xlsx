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<sst xmlns="http://schemas.openxmlformats.org/spreadsheetml/2006/main" count="386" uniqueCount="173">
  <si>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</si>
  <si>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ALGN</t>
  </si>
  <si>
    <t xml:space="preserve">Company</t>
  </si>
  <si>
    <t xml:space="preserve">Align Technology, Inc.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</si>
  <si>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</si>
  <si>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</si>
  <si>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</si>
  <si>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</si>
  <si>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2026-09-24T20:00:01Z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</si>
  <si>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</si>
  <si>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</si>
  <si>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</si>
  <si>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</si>
  <si>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</si>
  <si>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</si>
  <si>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</si>
  <si>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</si>
  <si>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</si>
  <si>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</si>
  <si>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</si>
  <si>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</si>
  <si>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2026-09-25T09:49:29Z</t>
  </si>
  <si>
    <t xml:space="preserve">Drivers file</t>
  </si>
  <si>
    <t xml:space="preserve">ALGN_Drivers.json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</si>
  <si>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</si>
  <si>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</si>
  <si>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</si>
  <si>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Align is valued as a mature, cash-generative category leader whose growth algorithm has broken: the model does not credit a return to the historical 15-20% growth, charges SBC and equity-award withholding taxes as real costs, strips interest on the $1.1bn cash pile, and rebuilds margins from components rather than carrying FY2025's restructuring-depressed or H1-26's deferred-revenue-flattered cash flow forward.
key_risks_to_valuation: Share loss at the value tier to Spark, ClearCorrect and Chinese aligners as patents lapse -- the bear margin path; North America discretionary demand and patient-financing rates; Deferred revenue has fallen ~$240m from the FY2023 peak; if the unwind persists beyond FY2027 the base FCF is overstated by ~$50-70m/yr; Recurring 'one-time' charges (restructuring every year since FY2022, UK VAT) -- the base keeps ~0.5pp of margin for them; Operating-model review outcome: upside (cost reset) or a strategic change that alters the capital-return story; Terminal value is capped at 15x FCF in base; the valuation is sensitive to WACC given an equity-only capital structure</t>
  </si>
  <si>
    <t xml:space="preserve">Data sources</t>
  </si>
  <si>
    <t xml:space="preserve">price: Yahoo Finance chart API at inputs.price_as_of; 52-week range 122.00-200.44
financials: SEC XBRL companyfacts (CIK 1097149) and ALGN_Metrics.csv (core_metrics, millions USD): FY2025 10-K; Q1-26 and Q2-26 10-Qs for cash (2026-06-30), shares on issue (2026-07-31 cover), SBC, withholding taxes, interest income, lease liabilities
qualitative: ALGN_Analysis.json (2026-09-25), incl. Q2-2026 earnings release guidance of 2026-08-06</t>
  </si>
  <si>
    <t xml:space="preserve">Scenario narrative: bear</t>
  </si>
  <si>
    <t xml:space="preserve">Align's pricing power erodes: lower-cost competitors (Envista Spark, Straumann ClearCorrect, Angelalign) take the value tier as core patents lapse, North America adult retail stays soft with discretionary self-pay patients deferring treatment under high financing rates, and iTero capital-equipment demand does not recover. Align defends volume with price, so revenue grows ~2% and adjusted EBITDA margin slides to ~21.5%; recurring restructuring and jurisdictional tax hits (UK VAT) become a feature, not one-offs.</t>
  </si>
  <si>
    <t xml:space="preserve">Scenario narrative: base</t>
  </si>
  <si>
    <t xml:space="preserve">Align delivers its FY2026 guide (revenue +3-4%, case volume +6%, Systems &amp; Services -6-8%) and then grows mid-single digits: the Clear Aligner franchise keeps compounding volume internationally and in teens/DSOs, partly offset by ASP mix pressure and a structurally smaller scanner line. Adjusted EBITDA margin rebuilds from a one-off-laden 22.5% in FY2026 to ~26% by FY2029, consistent with management's +100bp/yr non-GAAP operating-margin targets for FY26-27, but not back to the ~29-30% peak of FY2019/FY2021 because price competition caps it. Owner FCF margin ~12-13% at maturity.</t>
  </si>
  <si>
    <t xml:space="preserve">Scenario narrative: bull</t>
  </si>
  <si>
    <t xml:space="preserve">The category re-accelerates: clear aligners resume taking share from wires and brackets in under-penetrated APAC and EMEA, Invisalign First and DSO penetration broaden the market, and AI ClinCheck plus DSP/pay-per-scan subscriptions turn the iTero base back into a growth funnel. The operating-model review removes structural cost, and margins return to the prior-cycle ~29% adj EBITDA. Revenue grows 7-8% at the peak before fading to 3.5%.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</si>
  <si>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</si>
  <si>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</si>
  <si>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</si>
  <si>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</si>
  <si>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</si>
  <si>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</si>
  <si>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</si>
  <si>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</si>
  <si>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</si>
  <si>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</si>
  <si>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</si>
  <si>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</si>
  <si>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</si>
  <si>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</si>
  <si>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</si>
  <si>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</si>
  <si>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</si>
  <si>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</si>
  <si>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</si>
  <si>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</si>
  <si>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</si>
  <si>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</si>
  <si>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</si>
  <si>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</si>
  <si>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</si>
  <si>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</si>
  <si>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</si>
  <si>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</si>
  <si>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</si>
  <si>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</si>
  <si>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</si>
  <si>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</si>
  <si>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</si>
  <si>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</si>
  <si>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</si>
  <si>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</si>
  <si>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</si>
  <si>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</si>
  <si>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</si>
  <si>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</si>
  <si>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</si>
  <si>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</si>
  <si>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</si>
  <si>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</si>
  <si>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</si>
  <si>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</si>
  <si>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</si>
  <si>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</si>
  <si>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</si>
  <si>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</si>
  <si>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</si>
  <si>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</si>
  <si>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</si>
  <si>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</si>
  <si>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</si>
  <si>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</si>
  <si>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</si>
  <si>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</si>
  <si>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</si>
  <si>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</si>
  <si>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</si>
  <si>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</si>
  <si>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</si>
  <si>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</si>
  <si>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</si>
  <si>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</si>
  <si>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</si>
  <si>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</si>
  <si>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</si>
  <si>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</si>
  <si>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</si>
  <si>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</si>
  <si>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</si>
  <si>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</si>
  <si>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</si>
  <si>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</si>
  <si>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</si>
  <si>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</si>
  <si>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</si>
  <si>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</si>
  <si>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</si>
  <si>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</si>
  <si>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</si>
  <si>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ALGN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</si>
  <si>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</si>
  <si>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</si>
  <si>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</si>
  <si>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</si>
  <si>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</si>
  <si>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</si>
  <si>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</si>
  <si>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</si>
  <si>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</si>
  <si>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</si>
  <si>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</si>
  <si>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</si>
  <si>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</si>
  <si>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</si>
  <si>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</si>
  <si>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</si>
  <si>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</si>
  <si>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</si>
  <si>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</si>
  <si>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</si>
  <si>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</si>
  <si>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</si>
  <si>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</si>
  <si>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</si>
  <si>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</si>
  <si>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</si>
  <si>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</si>
  <si>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</si>
  <si>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</si>
  <si>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</si>
  <si>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ALGN owner-FCF component DCF: base case (millions, USD)</t>
  </si>
  <si>
    <t xml:space="preserve">ALGN owner-FCF component DCF: bull case (millions, USD)</t>
  </si>
  <si>
    <t xml:space="preserve">ALGN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</si>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</sst>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145.625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161.154</v>
      </c>
      <c r="S2" s="0" t="n">
        <v>89.119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303.976</v>
      </c>
      <c r="C3" s="0" t="n">
        <v>78.85</v>
      </c>
      <c r="D3" s="0" t="n">
        <v>225.126</v>
      </c>
      <c r="E3" s="0" t="n">
        <v>74.0604521409585</v>
      </c>
      <c r="F3" s="0" t="n">
        <v>15.514</v>
      </c>
      <c r="G3" s="0" t="n">
        <v>5.10369239676817</v>
      </c>
      <c r="H3" s="0" t="n">
        <v>25.478</v>
      </c>
      <c r="I3" s="0" t="n">
        <v>79.987</v>
      </c>
      <c r="J3" s="0" t="n">
        <v>26.3135905466221</v>
      </c>
      <c r="K3" s="0" t="n">
        <v>1.18</v>
      </c>
      <c r="L3" s="0" t="n">
        <v>39.746</v>
      </c>
      <c r="M3" s="0" t="n">
        <v>14.334</v>
      </c>
      <c r="N3" s="0" t="n">
        <v>25.412</v>
      </c>
      <c r="O3" s="0" t="n">
        <v>218.54</v>
      </c>
      <c r="S3" s="0" t="n">
        <v>87.1</v>
      </c>
      <c r="T3" s="0" t="n">
        <v>68.064</v>
      </c>
      <c r="U3" s="0" t="n">
        <v>17.057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312.333</v>
      </c>
      <c r="C4" s="0" t="n">
        <v>78.841</v>
      </c>
      <c r="D4" s="0" t="n">
        <v>233.492</v>
      </c>
      <c r="E4" s="0" t="n">
        <v>74.7573903494027</v>
      </c>
      <c r="F4" s="0" t="n">
        <v>-34.012</v>
      </c>
      <c r="G4" s="0" t="n">
        <v>-10.8896594340015</v>
      </c>
      <c r="H4" s="0" t="n">
        <v>-23.808</v>
      </c>
      <c r="I4" s="0" t="n">
        <v>-31.269</v>
      </c>
      <c r="J4" s="0" t="n">
        <v>-10.0114301082499</v>
      </c>
      <c r="K4" s="0" t="n">
        <v>-0.45</v>
      </c>
      <c r="L4" s="0" t="n">
        <v>74.165</v>
      </c>
      <c r="M4" s="0" t="n">
        <v>7.192</v>
      </c>
      <c r="N4" s="0" t="n">
        <v>66.973</v>
      </c>
      <c r="O4" s="0" t="n">
        <v>377.747</v>
      </c>
      <c r="P4" s="0" t="n">
        <v>355.24</v>
      </c>
      <c r="Q4" s="0" t="n">
        <v>82.204</v>
      </c>
      <c r="S4" s="0" t="n">
        <v>166.487</v>
      </c>
      <c r="T4" s="0" t="n">
        <v>69.094</v>
      </c>
      <c r="U4" s="0" t="n">
        <v>15.088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387.126</v>
      </c>
      <c r="C5" s="0" t="n">
        <v>83.709</v>
      </c>
      <c r="D5" s="0" t="n">
        <v>303.417</v>
      </c>
      <c r="E5" s="0" t="n">
        <v>78.3768075510299</v>
      </c>
      <c r="F5" s="0" t="n">
        <v>102.734</v>
      </c>
      <c r="G5" s="0" t="n">
        <v>26.5376130768794</v>
      </c>
      <c r="H5" s="0" t="n">
        <v>114.12</v>
      </c>
      <c r="I5" s="0" t="n">
        <v>74.253</v>
      </c>
      <c r="J5" s="0" t="n">
        <v>19.1805768664466</v>
      </c>
      <c r="K5" s="0" t="n">
        <v>0.95</v>
      </c>
      <c r="L5" s="0" t="n">
        <v>129.529</v>
      </c>
      <c r="M5" s="0" t="n">
        <v>18.031</v>
      </c>
      <c r="N5" s="0" t="n">
        <v>111.498</v>
      </c>
      <c r="O5" s="0" t="n">
        <v>377.747</v>
      </c>
      <c r="P5" s="0" t="n">
        <v>476.943</v>
      </c>
      <c r="Q5" s="0" t="n">
        <v>99.196</v>
      </c>
      <c r="S5" s="0" t="n">
        <v>294.664</v>
      </c>
      <c r="T5" s="0" t="n">
        <v>78.08</v>
      </c>
      <c r="U5" s="0" t="n">
        <v>16.072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479.741</v>
      </c>
      <c r="C6" s="0" t="n">
        <v>118.458</v>
      </c>
      <c r="D6" s="0" t="n">
        <v>361.283</v>
      </c>
      <c r="E6" s="0" t="n">
        <v>75.307926568711</v>
      </c>
      <c r="F6" s="0" t="n">
        <v>90.36</v>
      </c>
      <c r="G6" s="0" t="n">
        <v>18.835163140111</v>
      </c>
      <c r="H6" s="0" t="n">
        <v>102.472</v>
      </c>
      <c r="I6" s="0" t="n">
        <v>66.716</v>
      </c>
      <c r="J6" s="0" t="n">
        <v>13.9066704742767</v>
      </c>
      <c r="K6" s="0" t="n">
        <v>0.83</v>
      </c>
      <c r="L6" s="0" t="n">
        <v>130.469</v>
      </c>
      <c r="M6" s="0" t="n">
        <v>30.404</v>
      </c>
      <c r="N6" s="0" t="n">
        <v>100.065</v>
      </c>
      <c r="O6" s="0" t="n">
        <v>490.781</v>
      </c>
      <c r="P6" s="0" t="n">
        <v>649.264</v>
      </c>
      <c r="Q6" s="0" t="n">
        <v>158.483</v>
      </c>
      <c r="S6" s="0" t="n">
        <v>306.386</v>
      </c>
      <c r="T6" s="0" t="n">
        <v>80.294</v>
      </c>
      <c r="U6" s="0" t="n">
        <v>19.165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560.041</v>
      </c>
      <c r="C7" s="0" t="n">
        <v>143.653</v>
      </c>
      <c r="D7" s="0" t="n">
        <v>416.388</v>
      </c>
      <c r="E7" s="0" t="n">
        <v>74.349556550324</v>
      </c>
      <c r="F7" s="0" t="n">
        <v>85.592</v>
      </c>
      <c r="G7" s="0" t="n">
        <v>15.2831667681473</v>
      </c>
      <c r="H7" s="0" t="n">
        <v>103.403</v>
      </c>
      <c r="I7" s="0" t="n">
        <v>58.691</v>
      </c>
      <c r="J7" s="0" t="n">
        <v>10.4797684455245</v>
      </c>
      <c r="K7" s="0" t="n">
        <v>0.71</v>
      </c>
      <c r="L7" s="0" t="n">
        <v>133.778</v>
      </c>
      <c r="M7" s="0" t="n">
        <v>38.333</v>
      </c>
      <c r="N7" s="0" t="n">
        <v>95.445</v>
      </c>
      <c r="O7" s="0" t="n">
        <v>581.317</v>
      </c>
      <c r="P7" s="0" t="n">
        <v>756.312</v>
      </c>
      <c r="Q7" s="0" t="n">
        <v>174.995</v>
      </c>
      <c r="S7" s="0" t="n">
        <v>306.386</v>
      </c>
      <c r="T7" s="0" t="n">
        <v>83.04</v>
      </c>
      <c r="U7" s="0" t="n">
        <v>21.483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660.206</v>
      </c>
      <c r="C8" s="0" t="n">
        <v>162.1</v>
      </c>
      <c r="D8" s="0" t="n">
        <v>498.106</v>
      </c>
      <c r="E8" s="0" t="n">
        <v>75.4470574335889</v>
      </c>
      <c r="F8" s="0" t="n">
        <v>94.212</v>
      </c>
      <c r="G8" s="0" t="n">
        <v>14.270091456303</v>
      </c>
      <c r="H8" s="0" t="n">
        <v>111.037</v>
      </c>
      <c r="I8" s="0" t="n">
        <v>64.295</v>
      </c>
      <c r="J8" s="0" t="n">
        <v>9.73862703459223</v>
      </c>
      <c r="K8" s="0" t="n">
        <v>0.78</v>
      </c>
      <c r="L8" s="0" t="n">
        <v>185.976</v>
      </c>
      <c r="M8" s="0" t="n">
        <v>19.412</v>
      </c>
      <c r="N8" s="0" t="n">
        <v>166.564</v>
      </c>
      <c r="O8" s="0" t="n">
        <v>633.97</v>
      </c>
      <c r="P8" s="0" t="n">
        <v>832.147</v>
      </c>
      <c r="Q8" s="0" t="n">
        <v>198.177</v>
      </c>
      <c r="S8" s="0" t="n">
        <v>242.953</v>
      </c>
      <c r="T8" s="0" t="n">
        <v>82.589</v>
      </c>
      <c r="U8" s="0" t="n">
        <v>26.438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761.653</v>
      </c>
      <c r="C9" s="0" t="n">
        <v>183.21</v>
      </c>
      <c r="D9" s="0" t="n">
        <v>578.443</v>
      </c>
      <c r="E9" s="0" t="n">
        <v>75.945739070154</v>
      </c>
      <c r="F9" s="0" t="n">
        <v>193.576</v>
      </c>
      <c r="G9" s="0" t="n">
        <v>25.4152481510609</v>
      </c>
      <c r="H9" s="0" t="n">
        <v>211.432</v>
      </c>
      <c r="I9" s="0" t="n">
        <v>145.832</v>
      </c>
      <c r="J9" s="0" t="n">
        <v>19.1467768130632</v>
      </c>
      <c r="K9" s="0" t="n">
        <v>1.77</v>
      </c>
      <c r="L9" s="0" t="n">
        <v>226.899</v>
      </c>
      <c r="M9" s="0" t="n">
        <v>24.092</v>
      </c>
      <c r="N9" s="0" t="n">
        <v>202.807</v>
      </c>
      <c r="O9" s="0" t="n">
        <v>752.771</v>
      </c>
      <c r="P9" s="0" t="n">
        <v>987.997</v>
      </c>
      <c r="Q9" s="0" t="n">
        <v>235.226</v>
      </c>
      <c r="S9" s="0" t="n">
        <v>199.871</v>
      </c>
      <c r="T9" s="0" t="n">
        <v>82.283</v>
      </c>
      <c r="U9" s="0" t="n">
        <v>39.823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845.486</v>
      </c>
      <c r="C10" s="0" t="n">
        <v>205.376</v>
      </c>
      <c r="D10" s="0" t="n">
        <v>640.11</v>
      </c>
      <c r="E10" s="0" t="n">
        <v>75.7091187790218</v>
      </c>
      <c r="F10" s="0" t="n">
        <v>188.634</v>
      </c>
      <c r="G10" s="0" t="n">
        <v>22.3107183324147</v>
      </c>
      <c r="H10" s="0" t="n">
        <v>206.638</v>
      </c>
      <c r="I10" s="0" t="n">
        <v>144.02</v>
      </c>
      <c r="J10" s="0" t="n">
        <v>17.0339899182246</v>
      </c>
      <c r="K10" s="0" t="n">
        <v>1.77</v>
      </c>
      <c r="L10" s="0" t="n">
        <v>237.997</v>
      </c>
      <c r="M10" s="0" t="n">
        <v>53.451</v>
      </c>
      <c r="N10" s="0" t="n">
        <v>184.546</v>
      </c>
      <c r="O10" s="0" t="n">
        <v>847.926</v>
      </c>
      <c r="P10" s="0" t="n">
        <v>1158.633</v>
      </c>
      <c r="Q10" s="0" t="n">
        <v>310.707</v>
      </c>
      <c r="S10" s="0" t="n">
        <v>167.714</v>
      </c>
      <c r="T10" s="0" t="n">
        <v>81.521</v>
      </c>
      <c r="U10" s="0" t="n">
        <v>52.943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1079.874</v>
      </c>
      <c r="C11" s="0" t="n">
        <v>264.58</v>
      </c>
      <c r="D11" s="0" t="n">
        <v>815.294</v>
      </c>
      <c r="E11" s="0" t="n">
        <v>75.498993401082</v>
      </c>
      <c r="F11" s="0" t="n">
        <v>248.921</v>
      </c>
      <c r="G11" s="0" t="n">
        <v>23.0509300159093</v>
      </c>
      <c r="H11" s="0" t="n">
        <v>272.923</v>
      </c>
      <c r="I11" s="0" t="n">
        <v>189.682</v>
      </c>
      <c r="J11" s="0" t="n">
        <v>17.5651974211806</v>
      </c>
      <c r="K11" s="0" t="n">
        <v>2.33</v>
      </c>
      <c r="L11" s="0" t="n">
        <v>247.654</v>
      </c>
      <c r="M11" s="0" t="n">
        <v>70.576</v>
      </c>
      <c r="N11" s="0" t="n">
        <v>177.078</v>
      </c>
      <c r="O11" s="0" t="n">
        <v>999.307</v>
      </c>
      <c r="P11" s="0" t="n">
        <v>1396.151</v>
      </c>
      <c r="Q11" s="0" t="n">
        <v>400.762</v>
      </c>
      <c r="S11" s="0" t="n">
        <v>389.275</v>
      </c>
      <c r="T11" s="0" t="n">
        <v>81.484</v>
      </c>
      <c r="U11" s="0" t="n">
        <v>54.148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1473.413</v>
      </c>
      <c r="C12" s="0" t="n">
        <v>356.466</v>
      </c>
      <c r="D12" s="0" t="n">
        <v>1116.947</v>
      </c>
      <c r="E12" s="0" t="n">
        <v>75.8067832983692</v>
      </c>
      <c r="F12" s="0" t="n">
        <v>353.611</v>
      </c>
      <c r="G12" s="0" t="n">
        <v>23.9994488985777</v>
      </c>
      <c r="H12" s="0" t="n">
        <v>391.35</v>
      </c>
      <c r="I12" s="0" t="n">
        <v>231.418</v>
      </c>
      <c r="J12" s="0" t="n">
        <v>15.7062547975347</v>
      </c>
      <c r="K12" s="0" t="n">
        <v>2.83</v>
      </c>
      <c r="L12" s="0" t="n">
        <v>438.539</v>
      </c>
      <c r="M12" s="0" t="n">
        <v>195.695</v>
      </c>
      <c r="N12" s="0" t="n">
        <v>242.844</v>
      </c>
      <c r="O12" s="0" t="n">
        <v>1154.288</v>
      </c>
      <c r="P12" s="0" t="n">
        <v>1784.009</v>
      </c>
      <c r="Q12" s="0" t="n">
        <v>629.721</v>
      </c>
      <c r="S12" s="0" t="n">
        <v>449.511</v>
      </c>
      <c r="T12" s="0" t="n">
        <v>81.832</v>
      </c>
      <c r="U12" s="0" t="n">
        <v>58.854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1966.492</v>
      </c>
      <c r="C13" s="0" t="n">
        <v>518.625</v>
      </c>
      <c r="D13" s="0" t="n">
        <v>1447.867</v>
      </c>
      <c r="E13" s="0" t="n">
        <v>73.6268949988101</v>
      </c>
      <c r="F13" s="0" t="n">
        <v>466.564</v>
      </c>
      <c r="G13" s="0" t="n">
        <v>23.7257003842375</v>
      </c>
      <c r="H13" s="0" t="n">
        <v>521.291</v>
      </c>
      <c r="I13" s="0" t="n">
        <v>400.235</v>
      </c>
      <c r="J13" s="0" t="n">
        <v>20.3527398026537</v>
      </c>
      <c r="K13" s="0" t="n">
        <v>4.92</v>
      </c>
      <c r="L13" s="0" t="n">
        <v>554.681</v>
      </c>
      <c r="M13" s="0" t="n">
        <v>223.312</v>
      </c>
      <c r="N13" s="0" t="n">
        <v>331.369</v>
      </c>
      <c r="O13" s="0" t="n">
        <v>1252.891</v>
      </c>
      <c r="P13" s="0" t="n">
        <v>2052.458</v>
      </c>
      <c r="Q13" s="0" t="n">
        <v>799.567</v>
      </c>
      <c r="S13" s="0" t="n">
        <v>636.899</v>
      </c>
      <c r="T13" s="0" t="n">
        <v>81.357</v>
      </c>
      <c r="U13" s="0" t="n">
        <v>70.763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2406.796</v>
      </c>
      <c r="C14" s="0" t="n">
        <v>662.899</v>
      </c>
      <c r="D14" s="0" t="n">
        <v>1743.897</v>
      </c>
      <c r="E14" s="0" t="n">
        <v>72.4572003609778</v>
      </c>
      <c r="F14" s="0" t="n">
        <v>542.493</v>
      </c>
      <c r="G14" s="0" t="n">
        <v>22.5400490943146</v>
      </c>
      <c r="H14" s="0" t="n">
        <v>621.483</v>
      </c>
      <c r="I14" s="0" t="n">
        <v>442.776</v>
      </c>
      <c r="J14" s="0" t="n">
        <v>18.3969060942431</v>
      </c>
      <c r="K14" s="0" t="n">
        <v>5.53</v>
      </c>
      <c r="L14" s="0" t="n">
        <v>747.27</v>
      </c>
      <c r="M14" s="0" t="n">
        <v>149.707</v>
      </c>
      <c r="N14" s="0" t="n">
        <v>597.563</v>
      </c>
      <c r="O14" s="0" t="n">
        <v>1346.169</v>
      </c>
      <c r="P14" s="0" t="n">
        <v>2500.702</v>
      </c>
      <c r="Q14" s="0" t="n">
        <v>1154.533</v>
      </c>
      <c r="S14" s="0" t="n">
        <v>550.425</v>
      </c>
      <c r="T14" s="0" t="n">
        <v>80.1</v>
      </c>
      <c r="U14" s="0" t="n">
        <v>88.184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2471.941</v>
      </c>
      <c r="C15" s="0" t="n">
        <v>708.706</v>
      </c>
      <c r="D15" s="0" t="n">
        <v>1763.235</v>
      </c>
      <c r="E15" s="0" t="n">
        <v>71.3299791540332</v>
      </c>
      <c r="F15" s="0" t="n">
        <v>387.171</v>
      </c>
      <c r="G15" s="0" t="n">
        <v>15.6626311064868</v>
      </c>
      <c r="H15" s="0" t="n">
        <v>480.709</v>
      </c>
      <c r="I15" s="0" t="n">
        <v>1775.888</v>
      </c>
      <c r="J15" s="0" t="n">
        <v>71.8418441216841</v>
      </c>
      <c r="K15" s="0" t="n">
        <v>22.41</v>
      </c>
      <c r="L15" s="0" t="n">
        <v>662.174</v>
      </c>
      <c r="M15" s="0" t="n">
        <v>154.916</v>
      </c>
      <c r="N15" s="0" t="n">
        <v>507.258</v>
      </c>
      <c r="O15" s="0" t="n">
        <v>3233.865</v>
      </c>
      <c r="P15" s="0" t="n">
        <v>4829.683</v>
      </c>
      <c r="Q15" s="0" t="n">
        <v>1595.818</v>
      </c>
      <c r="S15" s="0" t="n">
        <v>960.843</v>
      </c>
      <c r="T15" s="0" t="n">
        <v>79.23</v>
      </c>
      <c r="U15" s="0" t="n">
        <v>98.427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3952.584</v>
      </c>
      <c r="C16" s="0" t="n">
        <v>1017.229</v>
      </c>
      <c r="D16" s="0" t="n">
        <v>2935.355</v>
      </c>
      <c r="E16" s="0" t="n">
        <v>74.2642028607109</v>
      </c>
      <c r="F16" s="0" t="n">
        <v>976.4</v>
      </c>
      <c r="G16" s="0" t="n">
        <v>24.7028273149919</v>
      </c>
      <c r="H16" s="0" t="n">
        <v>1085.129</v>
      </c>
      <c r="I16" s="0" t="n">
        <v>772.02</v>
      </c>
      <c r="J16" s="0" t="n">
        <v>19.5320327158133</v>
      </c>
      <c r="K16" s="0" t="n">
        <v>9.69</v>
      </c>
      <c r="L16" s="0" t="n">
        <v>1172.544</v>
      </c>
      <c r="M16" s="0" t="n">
        <v>401.098</v>
      </c>
      <c r="N16" s="0" t="n">
        <v>771.446</v>
      </c>
      <c r="O16" s="0" t="n">
        <v>3622.714</v>
      </c>
      <c r="P16" s="0" t="n">
        <v>5942.11</v>
      </c>
      <c r="Q16" s="0" t="n">
        <v>2319.396</v>
      </c>
      <c r="S16" s="0" t="n">
        <v>1099.37</v>
      </c>
      <c r="T16" s="0" t="n">
        <v>79.67</v>
      </c>
      <c r="U16" s="0" t="n">
        <v>114.336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3734.635</v>
      </c>
      <c r="C17" s="0" t="n">
        <v>1100.86</v>
      </c>
      <c r="D17" s="0" t="n">
        <v>2633.775</v>
      </c>
      <c r="E17" s="0" t="n">
        <v>70.5229560586242</v>
      </c>
      <c r="F17" s="0" t="n">
        <v>642.595</v>
      </c>
      <c r="G17" s="0" t="n">
        <v>17.2063668872594</v>
      </c>
      <c r="H17" s="0" t="n">
        <v>768.388</v>
      </c>
      <c r="I17" s="0" t="n">
        <v>361.573</v>
      </c>
      <c r="J17" s="0" t="n">
        <v>9.6816154724625</v>
      </c>
      <c r="K17" s="0" t="n">
        <v>4.61</v>
      </c>
      <c r="L17" s="0" t="n">
        <v>568.732</v>
      </c>
      <c r="M17" s="0" t="n">
        <v>291.9</v>
      </c>
      <c r="N17" s="0" t="n">
        <v>276.832</v>
      </c>
      <c r="O17" s="0" t="n">
        <v>3601.358</v>
      </c>
      <c r="P17" s="0" t="n">
        <v>5947.947</v>
      </c>
      <c r="Q17" s="0" t="n">
        <v>2346.589</v>
      </c>
      <c r="S17" s="0" t="n">
        <v>942.05</v>
      </c>
      <c r="T17" s="0" t="n">
        <v>78.42</v>
      </c>
      <c r="U17" s="0" t="n">
        <v>133.367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3862.26</v>
      </c>
      <c r="C18" s="0" t="n">
        <v>1155.397</v>
      </c>
      <c r="D18" s="0" t="n">
        <v>2706.863</v>
      </c>
      <c r="E18" s="0" t="n">
        <v>70.0849502622817</v>
      </c>
      <c r="F18" s="0" t="n">
        <v>643.338</v>
      </c>
      <c r="G18" s="0" t="n">
        <v>16.657035000233</v>
      </c>
      <c r="H18" s="0" t="n">
        <v>785.739</v>
      </c>
      <c r="I18" s="0" t="n">
        <v>445.053</v>
      </c>
      <c r="J18" s="0" t="n">
        <v>11.5231237669137</v>
      </c>
      <c r="K18" s="0" t="n">
        <v>5.81</v>
      </c>
      <c r="L18" s="0" t="n">
        <v>785.776</v>
      </c>
      <c r="M18" s="0" t="n">
        <v>177.716</v>
      </c>
      <c r="N18" s="0" t="n">
        <v>608.06</v>
      </c>
      <c r="O18" s="0" t="n">
        <v>3630.489</v>
      </c>
      <c r="P18" s="0" t="n">
        <v>6083.877</v>
      </c>
      <c r="Q18" s="0" t="n">
        <v>2453.388</v>
      </c>
      <c r="S18" s="0" t="n">
        <v>937.438</v>
      </c>
      <c r="T18" s="0" t="n">
        <v>76.568</v>
      </c>
      <c r="U18" s="0" t="n">
        <v>154.026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3999.012</v>
      </c>
      <c r="C19" s="0" t="n">
        <v>1199.853</v>
      </c>
      <c r="D19" s="0" t="n">
        <v>2799.159</v>
      </c>
      <c r="E19" s="0" t="n">
        <v>69.9962640772271</v>
      </c>
      <c r="F19" s="0" t="n">
        <v>607.628</v>
      </c>
      <c r="G19" s="0" t="n">
        <v>15.1944530298984</v>
      </c>
      <c r="H19" s="0" t="n">
        <v>752.662</v>
      </c>
      <c r="I19" s="0" t="n">
        <v>421.362</v>
      </c>
      <c r="J19" s="0" t="n">
        <v>10.5366525531806</v>
      </c>
      <c r="K19" s="0" t="n">
        <v>5.62</v>
      </c>
      <c r="L19" s="0" t="n">
        <v>738.231</v>
      </c>
      <c r="M19" s="0" t="n">
        <v>115.58</v>
      </c>
      <c r="N19" s="0" t="n">
        <v>622.651</v>
      </c>
      <c r="O19" s="0" t="n">
        <v>3851.985</v>
      </c>
      <c r="P19" s="0" t="n">
        <v>6214.6</v>
      </c>
      <c r="Q19" s="0" t="n">
        <v>2362.615</v>
      </c>
      <c r="S19" s="0" t="n">
        <v>1043.887</v>
      </c>
      <c r="T19" s="0" t="n">
        <v>74.993</v>
      </c>
      <c r="U19" s="0" t="n">
        <v>173.703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4034.964</v>
      </c>
      <c r="C20" s="0" t="n">
        <v>1323.951</v>
      </c>
      <c r="D20" s="0" t="n">
        <v>2711.013</v>
      </c>
      <c r="E20" s="0" t="n">
        <v>67.1880343913849</v>
      </c>
      <c r="F20" s="0" t="n">
        <v>545.755</v>
      </c>
      <c r="G20" s="0" t="n">
        <v>13.5256473168038</v>
      </c>
      <c r="H20" s="0" t="n">
        <v>783.191</v>
      </c>
      <c r="I20" s="0" t="n">
        <v>410.351</v>
      </c>
      <c r="J20" s="0" t="n">
        <v>10.1698800782361</v>
      </c>
      <c r="K20" s="0" t="n">
        <v>5.65</v>
      </c>
      <c r="L20" s="0" t="n">
        <v>593.223</v>
      </c>
      <c r="M20" s="0" t="n">
        <v>102.445</v>
      </c>
      <c r="N20" s="0" t="n">
        <v>490.778</v>
      </c>
      <c r="O20" s="0" t="n">
        <v>4049.147</v>
      </c>
      <c r="P20" s="0" t="n">
        <v>6233.693</v>
      </c>
      <c r="Q20" s="0" t="n">
        <v>2184.546</v>
      </c>
      <c r="S20" s="0" t="n">
        <v>1094.908</v>
      </c>
      <c r="T20" s="0" t="n">
        <v>72.588</v>
      </c>
      <c r="U20" s="0" t="n">
        <v>185.87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145.625</v>
      </c>
    </row>
    <row r="3" customFormat="false" ht="15" hidden="false" customHeight="false" outlineLevel="0" collapsed="false">
      <c r="A3" s="0" t="s">
        <v>85</v>
      </c>
      <c r="B3" s="3" t="n">
        <v>71.07</v>
      </c>
    </row>
    <row r="4" customFormat="false" ht="15" hidden="false" customHeight="false" outlineLevel="0" collapsed="false">
      <c r="A4" s="0" t="s">
        <v>86</v>
      </c>
      <c r="B4" s="3" t="n">
        <v>-1102.591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4034.964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3</v>
      </c>
      <c r="D13" s="3" t="n">
        <v>1.5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22</v>
      </c>
      <c r="D14" s="3" t="n">
        <v>22.5</v>
      </c>
      <c r="E14" s="3" t="n">
        <v>22.5</v>
      </c>
      <c r="F14" s="3" t="n">
        <v>22</v>
      </c>
      <c r="G14" s="3" t="n">
        <v>21.5</v>
      </c>
      <c r="H14" s="3" t="n">
        <v>21.5</v>
      </c>
      <c r="I14" s="3" t="n">
        <v>21.5</v>
      </c>
      <c r="J14" s="3" t="n">
        <v>21.5</v>
      </c>
      <c r="K14" s="3" t="n">
        <v>21.5</v>
      </c>
      <c r="L14" s="3" t="n">
        <v>21.5</v>
      </c>
    </row>
    <row r="15" customFormat="false" ht="15" hidden="false" customHeight="false" outlineLevel="0" collapsed="false">
      <c r="A15" s="0" t="s">
        <v>107</v>
      </c>
      <c r="C15" s="3" t="n">
        <v>5.1</v>
      </c>
      <c r="D15" s="3" t="n">
        <v>5.2</v>
      </c>
      <c r="E15" s="3" t="n">
        <v>5.2</v>
      </c>
      <c r="F15" s="3" t="n">
        <v>5.2</v>
      </c>
      <c r="G15" s="3" t="n">
        <v>5.2</v>
      </c>
      <c r="H15" s="3" t="n">
        <v>5.2</v>
      </c>
      <c r="I15" s="3" t="n">
        <v>5.2</v>
      </c>
      <c r="J15" s="3" t="n">
        <v>5.2</v>
      </c>
      <c r="K15" s="3" t="n">
        <v>5.2</v>
      </c>
      <c r="L15" s="3" t="n">
        <v>5.2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3.8</v>
      </c>
      <c r="D17" s="3" t="n">
        <v>3.8</v>
      </c>
      <c r="E17" s="3" t="n">
        <v>3.8</v>
      </c>
      <c r="F17" s="3" t="n">
        <v>3.8</v>
      </c>
      <c r="G17" s="3" t="n">
        <v>3.8</v>
      </c>
      <c r="H17" s="3" t="n">
        <v>3.8</v>
      </c>
      <c r="I17" s="3" t="n">
        <v>3.8</v>
      </c>
      <c r="J17" s="3" t="n">
        <v>3.8</v>
      </c>
      <c r="K17" s="3" t="n">
        <v>3.8</v>
      </c>
      <c r="L17" s="3" t="n">
        <v>3.8</v>
      </c>
    </row>
    <row r="18" customFormat="false" ht="15" hidden="false" customHeight="false" outlineLevel="0" collapsed="false">
      <c r="A18" s="0" t="s">
        <v>110</v>
      </c>
      <c r="C18" s="3" t="n">
        <v>2.8</v>
      </c>
      <c r="D18" s="3" t="n">
        <v>2.8</v>
      </c>
      <c r="E18" s="3" t="n">
        <v>2.8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111</v>
      </c>
      <c r="C19" s="3" t="n">
        <v>24</v>
      </c>
      <c r="D19" s="3" t="n">
        <v>24.5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112</v>
      </c>
      <c r="B20" s="3" t="n">
        <v>10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-10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3.5</v>
      </c>
      <c r="D27" s="3" t="n">
        <v>4.5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22.5</v>
      </c>
      <c r="D28" s="3" t="n">
        <v>24.5</v>
      </c>
      <c r="E28" s="3" t="n">
        <v>25.5</v>
      </c>
      <c r="F28" s="3" t="n">
        <v>26</v>
      </c>
      <c r="G28" s="3" t="n">
        <v>26</v>
      </c>
      <c r="H28" s="3" t="n">
        <v>26</v>
      </c>
      <c r="I28" s="3" t="n">
        <v>26</v>
      </c>
      <c r="J28" s="3" t="n">
        <v>26</v>
      </c>
      <c r="K28" s="3" t="n">
        <v>26</v>
      </c>
      <c r="L28" s="3" t="n">
        <v>26</v>
      </c>
    </row>
    <row r="29" customFormat="false" ht="15" hidden="false" customHeight="false" outlineLevel="0" collapsed="false">
      <c r="A29" s="0" t="s">
        <v>107</v>
      </c>
      <c r="C29" s="3" t="n">
        <v>5</v>
      </c>
      <c r="D29" s="3" t="n">
        <v>5</v>
      </c>
      <c r="E29" s="3" t="n">
        <v>4.9</v>
      </c>
      <c r="F29" s="3" t="n">
        <v>4.8</v>
      </c>
      <c r="G29" s="3" t="n">
        <v>4.7</v>
      </c>
      <c r="H29" s="3" t="n">
        <v>4.6</v>
      </c>
      <c r="I29" s="3" t="n">
        <v>4.5</v>
      </c>
      <c r="J29" s="3" t="n">
        <v>4.5</v>
      </c>
      <c r="K29" s="3" t="n">
        <v>4.5</v>
      </c>
      <c r="L29" s="3" t="n">
        <v>4.5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3.8</v>
      </c>
      <c r="D31" s="3" t="n">
        <v>3.8</v>
      </c>
      <c r="E31" s="3" t="n">
        <v>3.7</v>
      </c>
      <c r="F31" s="3" t="n">
        <v>3.7</v>
      </c>
      <c r="G31" s="3" t="n">
        <v>3.6</v>
      </c>
      <c r="H31" s="3" t="n">
        <v>3.6</v>
      </c>
      <c r="I31" s="3" t="n">
        <v>3.6</v>
      </c>
      <c r="J31" s="3" t="n">
        <v>3.6</v>
      </c>
      <c r="K31" s="3" t="n">
        <v>3.6</v>
      </c>
      <c r="L31" s="3" t="n">
        <v>3.6</v>
      </c>
    </row>
    <row r="32" customFormat="false" ht="15" hidden="false" customHeight="false" outlineLevel="0" collapsed="false">
      <c r="A32" s="0" t="s">
        <v>110</v>
      </c>
      <c r="C32" s="3" t="n">
        <v>3</v>
      </c>
      <c r="D32" s="3" t="n">
        <v>3</v>
      </c>
      <c r="E32" s="3" t="n">
        <v>3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111</v>
      </c>
      <c r="C33" s="3" t="n">
        <v>24</v>
      </c>
      <c r="D33" s="3" t="n">
        <v>24</v>
      </c>
      <c r="E33" s="3" t="n">
        <v>24.5</v>
      </c>
      <c r="F33" s="3" t="n">
        <v>24.5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112</v>
      </c>
      <c r="B34" s="3" t="n">
        <v>10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-10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4</v>
      </c>
      <c r="D41" s="3" t="n">
        <v>6.5</v>
      </c>
      <c r="E41" s="3" t="n">
        <v>7.5</v>
      </c>
      <c r="F41" s="3" t="n">
        <v>8</v>
      </c>
      <c r="G41" s="3" t="n">
        <v>7.5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23</v>
      </c>
      <c r="D42" s="3" t="n">
        <v>25.5</v>
      </c>
      <c r="E42" s="3" t="n">
        <v>27</v>
      </c>
      <c r="F42" s="3" t="n">
        <v>28</v>
      </c>
      <c r="G42" s="3" t="n">
        <v>28.5</v>
      </c>
      <c r="H42" s="3" t="n">
        <v>29</v>
      </c>
      <c r="I42" s="3" t="n">
        <v>29</v>
      </c>
      <c r="J42" s="3" t="n">
        <v>29</v>
      </c>
      <c r="K42" s="3" t="n">
        <v>29</v>
      </c>
      <c r="L42" s="3" t="n">
        <v>29</v>
      </c>
    </row>
    <row r="43" customFormat="false" ht="15" hidden="false" customHeight="false" outlineLevel="0" collapsed="false">
      <c r="A43" s="0" t="s">
        <v>107</v>
      </c>
      <c r="C43" s="3" t="n">
        <v>5</v>
      </c>
      <c r="D43" s="3" t="n">
        <v>4.9</v>
      </c>
      <c r="E43" s="3" t="n">
        <v>4.8</v>
      </c>
      <c r="F43" s="3" t="n">
        <v>4.7</v>
      </c>
      <c r="G43" s="3" t="n">
        <v>4.6</v>
      </c>
      <c r="H43" s="3" t="n">
        <v>4.5</v>
      </c>
      <c r="I43" s="3" t="n">
        <v>4.4</v>
      </c>
      <c r="J43" s="3" t="n">
        <v>4.3</v>
      </c>
      <c r="K43" s="3" t="n">
        <v>4.3</v>
      </c>
      <c r="L43" s="3" t="n">
        <v>4.3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3.8</v>
      </c>
      <c r="D45" s="3" t="n">
        <v>3.8</v>
      </c>
      <c r="E45" s="3" t="n">
        <v>3.7</v>
      </c>
      <c r="F45" s="3" t="n">
        <v>3.7</v>
      </c>
      <c r="G45" s="3" t="n">
        <v>3.6</v>
      </c>
      <c r="H45" s="3" t="n">
        <v>3.6</v>
      </c>
      <c r="I45" s="3" t="n">
        <v>3.6</v>
      </c>
      <c r="J45" s="3" t="n">
        <v>3.6</v>
      </c>
      <c r="K45" s="3" t="n">
        <v>3.6</v>
      </c>
      <c r="L45" s="3" t="n">
        <v>3.6</v>
      </c>
    </row>
    <row r="46" customFormat="false" ht="15" hidden="false" customHeight="false" outlineLevel="0" collapsed="false">
      <c r="A46" s="0" t="s">
        <v>110</v>
      </c>
      <c r="C46" s="3" t="n">
        <v>3</v>
      </c>
      <c r="D46" s="3" t="n">
        <v>3.2</v>
      </c>
      <c r="E46" s="3" t="n">
        <v>3.3</v>
      </c>
      <c r="F46" s="3" t="n">
        <v>3.3</v>
      </c>
      <c r="G46" s="3" t="n">
        <v>3.2</v>
      </c>
      <c r="H46" s="3" t="n">
        <v>3.2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111</v>
      </c>
      <c r="C47" s="3" t="n">
        <v>24</v>
      </c>
      <c r="D47" s="3" t="n">
        <v>24</v>
      </c>
      <c r="E47" s="3" t="n">
        <v>24.5</v>
      </c>
      <c r="F47" s="3" t="n">
        <v>24.5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112</v>
      </c>
      <c r="B48" s="3" t="n">
        <v>10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17</v>
      </c>
    </row>
    <row r="51" customFormat="false" ht="15" hidden="false" customHeight="false" outlineLevel="0" collapsed="false">
      <c r="A51" s="0" t="s">
        <v>115</v>
      </c>
      <c r="B51" s="3" t="n">
        <v>-10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3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4034.964</v>
      </c>
      <c r="C6" s="0" t="n">
        <f aca="false">B6*(1+C5/100)</f>
        <v>4156.01292</v>
      </c>
      <c r="D6" s="0" t="n">
        <f aca="false">C6*(1+D5/100)</f>
        <v>4218.3531138</v>
      </c>
      <c r="E6" s="0" t="n">
        <f aca="false">D6*(1+E5/100)</f>
        <v>4281.628410507</v>
      </c>
      <c r="F6" s="0" t="n">
        <f aca="false">E6*(1+F5/100)</f>
        <v>4367.26097871714</v>
      </c>
      <c r="G6" s="0" t="n">
        <f aca="false">F6*(1+G5/100)</f>
        <v>4454.60619829148</v>
      </c>
      <c r="H6" s="0" t="n">
        <f aca="false">G6*(1+H5/100)</f>
        <v>4543.69832225731</v>
      </c>
      <c r="I6" s="0" t="n">
        <f aca="false">H6*(1+I5/100)</f>
        <v>4634.57228870246</v>
      </c>
      <c r="J6" s="0" t="n">
        <f aca="false">I6*(1+J5/100)</f>
        <v>4727.26373447651</v>
      </c>
      <c r="K6" s="0" t="n">
        <f aca="false">J6*(1+K5/100)</f>
        <v>4821.80900916604</v>
      </c>
      <c r="L6" s="0" t="n">
        <f aca="false">K6*(1+L5/100)</f>
        <v>4918.24518934936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22</v>
      </c>
      <c r="D7" s="4" t="n">
        <f aca="false">Assumptions!D14</f>
        <v>22.5</v>
      </c>
      <c r="E7" s="4" t="n">
        <f aca="false">Assumptions!E14</f>
        <v>22.5</v>
      </c>
      <c r="F7" s="4" t="n">
        <f aca="false">Assumptions!F14</f>
        <v>22</v>
      </c>
      <c r="G7" s="4" t="n">
        <f aca="false">Assumptions!G14</f>
        <v>21.5</v>
      </c>
      <c r="H7" s="4" t="n">
        <f aca="false">Assumptions!H14</f>
        <v>21.5</v>
      </c>
      <c r="I7" s="4" t="n">
        <f aca="false">Assumptions!I14</f>
        <v>21.5</v>
      </c>
      <c r="J7" s="4" t="n">
        <f aca="false">Assumptions!J14</f>
        <v>21.5</v>
      </c>
      <c r="K7" s="4" t="n">
        <f aca="false">Assumptions!K14</f>
        <v>21.5</v>
      </c>
      <c r="L7" s="4" t="n">
        <f aca="false">Assumptions!L14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914.3228424</v>
      </c>
      <c r="D8" s="0" t="n">
        <f aca="false">D6*D7/100</f>
        <v>949.129450605</v>
      </c>
      <c r="E8" s="0" t="n">
        <f aca="false">E6*E7/100</f>
        <v>963.366392364075</v>
      </c>
      <c r="F8" s="0" t="n">
        <f aca="false">F6*F7/100</f>
        <v>960.797415317771</v>
      </c>
      <c r="G8" s="0" t="n">
        <f aca="false">G6*G7/100</f>
        <v>957.740332632669</v>
      </c>
      <c r="H8" s="0" t="n">
        <f aca="false">H6*H7/100</f>
        <v>976.895139285322</v>
      </c>
      <c r="I8" s="0" t="n">
        <f aca="false">I6*I7/100</f>
        <v>996.433042071028</v>
      </c>
      <c r="J8" s="0" t="n">
        <f aca="false">J6*J7/100</f>
        <v>1016.36170291245</v>
      </c>
      <c r="K8" s="0" t="n">
        <f aca="false">K6*K7/100</f>
        <v>1036.6889369707</v>
      </c>
      <c r="L8" s="0" t="n">
        <f aca="false">L6*L7/100</f>
        <v>1057.42271571011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5.1</v>
      </c>
      <c r="D9" s="4" t="n">
        <f aca="false">Assumptions!D15</f>
        <v>5.2</v>
      </c>
      <c r="E9" s="4" t="n">
        <f aca="false">Assumptions!E15</f>
        <v>5.2</v>
      </c>
      <c r="F9" s="4" t="n">
        <f aca="false">Assumptions!F15</f>
        <v>5.2</v>
      </c>
      <c r="G9" s="4" t="n">
        <f aca="false">Assumptions!G15</f>
        <v>5.2</v>
      </c>
      <c r="H9" s="4" t="n">
        <f aca="false">Assumptions!H15</f>
        <v>5.2</v>
      </c>
      <c r="I9" s="4" t="n">
        <f aca="false">Assumptions!I15</f>
        <v>5.2</v>
      </c>
      <c r="J9" s="4" t="n">
        <f aca="false">Assumptions!J15</f>
        <v>5.2</v>
      </c>
      <c r="K9" s="4" t="n">
        <f aca="false">Assumptions!K15</f>
        <v>5.2</v>
      </c>
      <c r="L9" s="4" t="n">
        <f aca="false">Assumptions!L15</f>
        <v>5.2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-211.95665892</v>
      </c>
      <c r="D10" s="0" t="n">
        <f aca="false">-D6*D9/100</f>
        <v>-219.3543619176</v>
      </c>
      <c r="E10" s="0" t="n">
        <f aca="false">-E6*E9/100</f>
        <v>-222.644677346364</v>
      </c>
      <c r="F10" s="0" t="n">
        <f aca="false">-F6*F9/100</f>
        <v>-227.097570893291</v>
      </c>
      <c r="G10" s="0" t="n">
        <f aca="false">-G6*G9/100</f>
        <v>-231.639522311157</v>
      </c>
      <c r="H10" s="0" t="n">
        <f aca="false">-H6*H9/100</f>
        <v>-236.27231275738</v>
      </c>
      <c r="I10" s="0" t="n">
        <f aca="false">-I6*I9/100</f>
        <v>-240.997759012528</v>
      </c>
      <c r="J10" s="0" t="n">
        <f aca="false">-J6*J9/100</f>
        <v>-245.817714192778</v>
      </c>
      <c r="K10" s="0" t="n">
        <f aca="false">-K6*K9/100</f>
        <v>-250.734068476634</v>
      </c>
      <c r="L10" s="0" t="n">
        <f aca="false">-L6*L9/100</f>
        <v>-255.748749846167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702.36618348</v>
      </c>
      <c r="D11" s="0" t="n">
        <f aca="false">D8+D10+D24</f>
        <v>729.7750886874</v>
      </c>
      <c r="E11" s="0" t="n">
        <f aca="false">E8+E10+E24</f>
        <v>740.721715017711</v>
      </c>
      <c r="F11" s="0" t="n">
        <f aca="false">F8+F10+F24</f>
        <v>733.699844424479</v>
      </c>
      <c r="G11" s="0" t="n">
        <f aca="false">G8+G10+G24</f>
        <v>726.100810321512</v>
      </c>
      <c r="H11" s="0" t="n">
        <f aca="false">H8+H10+H24</f>
        <v>740.622826527942</v>
      </c>
      <c r="I11" s="0" t="n">
        <f aca="false">I8+I10+I24</f>
        <v>755.435283058501</v>
      </c>
      <c r="J11" s="0" t="n">
        <f aca="false">J8+J10+J24</f>
        <v>770.543988719671</v>
      </c>
      <c r="K11" s="0" t="n">
        <f aca="false">K8+K10+K24</f>
        <v>785.954868494064</v>
      </c>
      <c r="L11" s="0" t="n">
        <f aca="false">L8+L10+L24</f>
        <v>801.673965863945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-157.92849096</v>
      </c>
      <c r="D12" s="4" t="n">
        <f aca="false">-D6*Assumptions!D17/100</f>
        <v>-160.2974183244</v>
      </c>
      <c r="E12" s="4" t="n">
        <f aca="false">-E6*Assumptions!E17/100</f>
        <v>-162.701879599266</v>
      </c>
      <c r="F12" s="4" t="n">
        <f aca="false">-F6*Assumptions!F17/100</f>
        <v>-165.955917191251</v>
      </c>
      <c r="G12" s="4" t="n">
        <f aca="false">-G6*Assumptions!G17/100</f>
        <v>-169.275035535076</v>
      </c>
      <c r="H12" s="4" t="n">
        <f aca="false">-H6*Assumptions!H17/100</f>
        <v>-172.660536245778</v>
      </c>
      <c r="I12" s="4" t="n">
        <f aca="false">-I6*Assumptions!I17/100</f>
        <v>-176.113746970693</v>
      </c>
      <c r="J12" s="4" t="n">
        <f aca="false">-J6*Assumptions!J17/100</f>
        <v>-179.636021910107</v>
      </c>
      <c r="K12" s="4" t="n">
        <f aca="false">-K6*Assumptions!K17/100</f>
        <v>-183.228742348309</v>
      </c>
      <c r="L12" s="4" t="n">
        <f aca="false">-L6*Assumptions!L17/100</f>
        <v>-186.893317195276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544.43769252</v>
      </c>
      <c r="D13" s="0" t="n">
        <f aca="false">D11+D12</f>
        <v>569.477670363</v>
      </c>
      <c r="E13" s="0" t="n">
        <f aca="false">E11+E12</f>
        <v>578.019835418445</v>
      </c>
      <c r="F13" s="0" t="n">
        <f aca="false">F11+F12</f>
        <v>567.743927233228</v>
      </c>
      <c r="G13" s="0" t="n">
        <f aca="false">G11+G12</f>
        <v>556.825774786435</v>
      </c>
      <c r="H13" s="0" t="n">
        <f aca="false">H11+H12</f>
        <v>567.962290282164</v>
      </c>
      <c r="I13" s="0" t="n">
        <f aca="false">I11+I12</f>
        <v>579.321536087807</v>
      </c>
      <c r="J13" s="0" t="n">
        <f aca="false">J11+J12</f>
        <v>590.907966809563</v>
      </c>
      <c r="K13" s="0" t="n">
        <f aca="false">K11+K12</f>
        <v>602.726126145755</v>
      </c>
      <c r="L13" s="0" t="n">
        <f aca="false">L11+L12</f>
        <v>614.78064866867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24</v>
      </c>
      <c r="D14" s="4" t="n">
        <f aca="false">Assumptions!D19</f>
        <v>24.5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413.7726463152</v>
      </c>
      <c r="D15" s="0" t="n">
        <f aca="false">D13-MAX(0,D13)*D14/100</f>
        <v>429.955641124065</v>
      </c>
      <c r="E15" s="0" t="n">
        <f aca="false">E13-MAX(0,E13)*E14/100</f>
        <v>433.514876563834</v>
      </c>
      <c r="F15" s="0" t="n">
        <f aca="false">F13-MAX(0,F13)*F14/100</f>
        <v>425.807945424921</v>
      </c>
      <c r="G15" s="0" t="n">
        <f aca="false">G13-MAX(0,G13)*G14/100</f>
        <v>417.619331089826</v>
      </c>
      <c r="H15" s="0" t="n">
        <f aca="false">H13-MAX(0,H13)*H14/100</f>
        <v>425.971717711623</v>
      </c>
      <c r="I15" s="0" t="n">
        <f aca="false">I13-MAX(0,I13)*I14/100</f>
        <v>434.491152065855</v>
      </c>
      <c r="J15" s="0" t="n">
        <f aca="false">J13-MAX(0,J13)*J14/100</f>
        <v>443.180975107173</v>
      </c>
      <c r="K15" s="0" t="n">
        <f aca="false">K13-MAX(0,K13)*K14/100</f>
        <v>452.044594609316</v>
      </c>
      <c r="L15" s="0" t="n">
        <f aca="false">L13-MAX(0,L13)*L14/100</f>
        <v>461.085486501502</v>
      </c>
    </row>
    <row r="16" customFormat="false" ht="15" hidden="false" customHeight="false" outlineLevel="0" collapsed="false">
      <c r="A16" s="0" t="s">
        <v>127</v>
      </c>
      <c r="C16" s="0" t="n">
        <f aca="false">-C12</f>
        <v>157.92849096</v>
      </c>
      <c r="D16" s="0" t="n">
        <f aca="false">-D12</f>
        <v>160.2974183244</v>
      </c>
      <c r="E16" s="0" t="n">
        <f aca="false">-E12</f>
        <v>162.701879599266</v>
      </c>
      <c r="F16" s="0" t="n">
        <f aca="false">-F12</f>
        <v>165.955917191251</v>
      </c>
      <c r="G16" s="0" t="n">
        <f aca="false">-G12</f>
        <v>169.275035535076</v>
      </c>
      <c r="H16" s="0" t="n">
        <f aca="false">-H12</f>
        <v>172.660536245778</v>
      </c>
      <c r="I16" s="0" t="n">
        <f aca="false">-I12</f>
        <v>176.113746970693</v>
      </c>
      <c r="J16" s="0" t="n">
        <f aca="false">-J12</f>
        <v>179.636021910107</v>
      </c>
      <c r="K16" s="0" t="n">
        <f aca="false">-K12</f>
        <v>183.228742348309</v>
      </c>
      <c r="L16" s="0" t="n">
        <f aca="false">-L12</f>
        <v>186.893317195276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-116.36836176</v>
      </c>
      <c r="D17" s="4" t="n">
        <f aca="false">-D6*Assumptions!D18/100</f>
        <v>-118.1138871864</v>
      </c>
      <c r="E17" s="4" t="n">
        <f aca="false">-E6*Assumptions!E18/100</f>
        <v>-119.885595494196</v>
      </c>
      <c r="F17" s="4" t="n">
        <f aca="false">-F6*Assumptions!F18/100</f>
        <v>-122.28330740408</v>
      </c>
      <c r="G17" s="4" t="n">
        <f aca="false">-G6*Assumptions!G18/100</f>
        <v>-124.728973552161</v>
      </c>
      <c r="H17" s="4" t="n">
        <f aca="false">-H6*Assumptions!H18/100</f>
        <v>-127.223553023205</v>
      </c>
      <c r="I17" s="4" t="n">
        <f aca="false">-I6*Assumptions!I18/100</f>
        <v>-129.768024083669</v>
      </c>
      <c r="J17" s="4" t="n">
        <f aca="false">-J6*Assumptions!J18/100</f>
        <v>-132.363384565342</v>
      </c>
      <c r="K17" s="4" t="n">
        <f aca="false">-K6*Assumptions!K18/100</f>
        <v>-135.010652256649</v>
      </c>
      <c r="L17" s="4" t="n">
        <f aca="false">-L6*Assumptions!L18/100</f>
        <v>-137.710865301782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-12.104892</v>
      </c>
      <c r="D18" s="4" t="n">
        <f aca="false">(D6-C6)*Assumptions!$B$23/100</f>
        <v>-6.23401937999997</v>
      </c>
      <c r="E18" s="4" t="n">
        <f aca="false">(E6-D6)*Assumptions!$B$23/100</f>
        <v>-6.32752967069991</v>
      </c>
      <c r="F18" s="4" t="n">
        <f aca="false">(F6-E6)*Assumptions!$B$23/100</f>
        <v>-8.56325682101397</v>
      </c>
      <c r="G18" s="4" t="n">
        <f aca="false">(G6-F6)*Assumptions!$B$23/100</f>
        <v>-8.7345219574343</v>
      </c>
      <c r="H18" s="4" t="n">
        <f aca="false">(H6-G6)*Assumptions!$B$23/100</f>
        <v>-8.90921239658301</v>
      </c>
      <c r="I18" s="4" t="n">
        <f aca="false">(I6-H6)*Assumptions!$B$23/100</f>
        <v>-9.08739664451459</v>
      </c>
      <c r="J18" s="4" t="n">
        <f aca="false">(J6-I6)*Assumptions!$B$23/100</f>
        <v>-9.26914457740495</v>
      </c>
      <c r="K18" s="4" t="n">
        <f aca="false">(K6-J6)*Assumptions!$B$23/100</f>
        <v>-9.45452746895298</v>
      </c>
      <c r="L18" s="4" t="n">
        <f aca="false">(L6-K6)*Assumptions!$B$23/100</f>
        <v>-9.64361801833211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443.2278835152</v>
      </c>
      <c r="D19" s="0" t="n">
        <f aca="false">D15+D16+D17+D18</f>
        <v>465.905152882065</v>
      </c>
      <c r="E19" s="0" t="n">
        <f aca="false">E15+E16+E17+E18</f>
        <v>470.003630998204</v>
      </c>
      <c r="F19" s="0" t="n">
        <f aca="false">F15+F16+F17+F18</f>
        <v>460.917298391079</v>
      </c>
      <c r="G19" s="0" t="n">
        <f aca="false">G15+G16+G17+G18</f>
        <v>453.430871115307</v>
      </c>
      <c r="H19" s="0" t="n">
        <f aca="false">H15+H16+H17+H18</f>
        <v>462.499488537613</v>
      </c>
      <c r="I19" s="0" t="n">
        <f aca="false">I15+I16+I17+I18</f>
        <v>471.749478308365</v>
      </c>
      <c r="J19" s="0" t="n">
        <f aca="false">J15+J16+J17+J18</f>
        <v>481.184467874533</v>
      </c>
      <c r="K19" s="0" t="n">
        <f aca="false">K15+K16+K17+K18</f>
        <v>490.808157232023</v>
      </c>
      <c r="L19" s="0" t="n">
        <f aca="false">L15+L16+L17+L18</f>
        <v>500.624320376664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402.934439559273</v>
      </c>
      <c r="D21" s="0" t="n">
        <f aca="false">D19*D20</f>
        <v>385.045580894269</v>
      </c>
      <c r="E21" s="0" t="n">
        <f aca="false">E19*E20</f>
        <v>353.120684446434</v>
      </c>
      <c r="F21" s="0" t="n">
        <f aca="false">F19*F20</f>
        <v>314.812716611624</v>
      </c>
      <c r="G21" s="0" t="n">
        <f aca="false">G19*G20</f>
        <v>281.544896408782</v>
      </c>
      <c r="H21" s="0" t="n">
        <f aca="false">H19*H20</f>
        <v>261.068903942688</v>
      </c>
      <c r="I21" s="0" t="n">
        <f aca="false">I19*I20</f>
        <v>242.082074565038</v>
      </c>
      <c r="J21" s="0" t="n">
        <f aca="false">J19*J20</f>
        <v>224.476105505763</v>
      </c>
      <c r="K21" s="0" t="n">
        <f aca="false">K19*K20</f>
        <v>208.150570559889</v>
      </c>
      <c r="L21" s="0" t="n">
        <f aca="false">L19*L20</f>
        <v>193.012347246443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2866.2483197402</v>
      </c>
    </row>
    <row r="31" customFormat="false" ht="15" hidden="false" customHeight="false" outlineLevel="0" collapsed="false">
      <c r="A31" s="0" t="s">
        <v>136</v>
      </c>
      <c r="B31" s="0" t="n">
        <f aca="false">L19</f>
        <v>500.624320376664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6382.96008480246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6007.49184451997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6007.49184451997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2316.14816695731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5182.39648669751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6284.98748669751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88.4337623005138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-0.392729529266858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1416.84255595485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1257.17823211056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126.058931683733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3927.97543680152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62.0106786358147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3.5</v>
      </c>
      <c r="D5" s="4" t="n">
        <f aca="false">Assumptions!D27</f>
        <v>4.5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4034.964</v>
      </c>
      <c r="C6" s="0" t="n">
        <f aca="false">B6*(1+C5/100)</f>
        <v>4176.18774</v>
      </c>
      <c r="D6" s="0" t="n">
        <f aca="false">C6*(1+D5/100)</f>
        <v>4364.1161883</v>
      </c>
      <c r="E6" s="0" t="n">
        <f aca="false">D6*(1+E5/100)</f>
        <v>4582.321997715</v>
      </c>
      <c r="F6" s="0" t="n">
        <f aca="false">E6*(1+F5/100)</f>
        <v>4811.43809760075</v>
      </c>
      <c r="G6" s="0" t="n">
        <f aca="false">F6*(1+G5/100)</f>
        <v>5027.95281199278</v>
      </c>
      <c r="H6" s="0" t="n">
        <f aca="false">G6*(1+H5/100)</f>
        <v>5229.07092447249</v>
      </c>
      <c r="I6" s="0" t="n">
        <f aca="false">H6*(1+I5/100)</f>
        <v>5412.08840682903</v>
      </c>
      <c r="J6" s="0" t="n">
        <f aca="false">I6*(1+J5/100)</f>
        <v>5601.51150106805</v>
      </c>
      <c r="K6" s="0" t="n">
        <f aca="false">J6*(1+K5/100)</f>
        <v>5769.55684610009</v>
      </c>
      <c r="L6" s="0" t="n">
        <f aca="false">K6*(1+L5/100)</f>
        <v>5942.64355148309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22.5</v>
      </c>
      <c r="D7" s="4" t="n">
        <f aca="false">Assumptions!D28</f>
        <v>24.5</v>
      </c>
      <c r="E7" s="4" t="n">
        <f aca="false">Assumptions!E28</f>
        <v>25.5</v>
      </c>
      <c r="F7" s="4" t="n">
        <f aca="false">Assumptions!F28</f>
        <v>26</v>
      </c>
      <c r="G7" s="4" t="n">
        <f aca="false">Assumptions!G28</f>
        <v>26</v>
      </c>
      <c r="H7" s="4" t="n">
        <f aca="false">Assumptions!H28</f>
        <v>26</v>
      </c>
      <c r="I7" s="4" t="n">
        <f aca="false">Assumptions!I28</f>
        <v>26</v>
      </c>
      <c r="J7" s="4" t="n">
        <f aca="false">Assumptions!J28</f>
        <v>26</v>
      </c>
      <c r="K7" s="4" t="n">
        <f aca="false">Assumptions!K28</f>
        <v>26</v>
      </c>
      <c r="L7" s="4" t="n">
        <f aca="false">Assumptions!L28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939.6422415</v>
      </c>
      <c r="D8" s="0" t="n">
        <f aca="false">D6*D7/100</f>
        <v>1069.2084661335</v>
      </c>
      <c r="E8" s="0" t="n">
        <f aca="false">E6*E7/100</f>
        <v>1168.49210941732</v>
      </c>
      <c r="F8" s="0" t="n">
        <f aca="false">F6*F7/100</f>
        <v>1250.97390537619</v>
      </c>
      <c r="G8" s="0" t="n">
        <f aca="false">G6*G7/100</f>
        <v>1307.26773111812</v>
      </c>
      <c r="H8" s="0" t="n">
        <f aca="false">H6*H7/100</f>
        <v>1359.55844036285</v>
      </c>
      <c r="I8" s="0" t="n">
        <f aca="false">I6*I7/100</f>
        <v>1407.14298577555</v>
      </c>
      <c r="J8" s="0" t="n">
        <f aca="false">J6*J7/100</f>
        <v>1456.39299027769</v>
      </c>
      <c r="K8" s="0" t="n">
        <f aca="false">K6*K7/100</f>
        <v>1500.08477998602</v>
      </c>
      <c r="L8" s="0" t="n">
        <f aca="false">L6*L7/100</f>
        <v>1545.0873233856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5</v>
      </c>
      <c r="D9" s="4" t="n">
        <f aca="false">Assumptions!D29</f>
        <v>5</v>
      </c>
      <c r="E9" s="4" t="n">
        <f aca="false">Assumptions!E29</f>
        <v>4.9</v>
      </c>
      <c r="F9" s="4" t="n">
        <f aca="false">Assumptions!F29</f>
        <v>4.8</v>
      </c>
      <c r="G9" s="4" t="n">
        <f aca="false">Assumptions!G29</f>
        <v>4.7</v>
      </c>
      <c r="H9" s="4" t="n">
        <f aca="false">Assumptions!H29</f>
        <v>4.6</v>
      </c>
      <c r="I9" s="4" t="n">
        <f aca="false">Assumptions!I29</f>
        <v>4.5</v>
      </c>
      <c r="J9" s="4" t="n">
        <f aca="false">Assumptions!J29</f>
        <v>4.5</v>
      </c>
      <c r="K9" s="4" t="n">
        <f aca="false">Assumptions!K29</f>
        <v>4.5</v>
      </c>
      <c r="L9" s="4" t="n">
        <f aca="false">Assumptions!L29</f>
        <v>4.5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-208.809387</v>
      </c>
      <c r="D10" s="0" t="n">
        <f aca="false">-D6*D9/100</f>
        <v>-218.205809415</v>
      </c>
      <c r="E10" s="0" t="n">
        <f aca="false">-E6*E9/100</f>
        <v>-224.533777888035</v>
      </c>
      <c r="F10" s="0" t="n">
        <f aca="false">-F6*F9/100</f>
        <v>-230.949028684836</v>
      </c>
      <c r="G10" s="0" t="n">
        <f aca="false">-G6*G9/100</f>
        <v>-236.313782163661</v>
      </c>
      <c r="H10" s="0" t="n">
        <f aca="false">-H6*H9/100</f>
        <v>-240.537262525735</v>
      </c>
      <c r="I10" s="0" t="n">
        <f aca="false">-I6*I9/100</f>
        <v>-243.543978307306</v>
      </c>
      <c r="J10" s="0" t="n">
        <f aca="false">-J6*J9/100</f>
        <v>-252.068017548062</v>
      </c>
      <c r="K10" s="0" t="n">
        <f aca="false">-K6*K9/100</f>
        <v>-259.630058074504</v>
      </c>
      <c r="L10" s="0" t="n">
        <f aca="false">-L6*L9/100</f>
        <v>-267.418959816739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730.8328545</v>
      </c>
      <c r="D11" s="0" t="n">
        <f aca="false">D8+D10+D24</f>
        <v>851.0026567185</v>
      </c>
      <c r="E11" s="0" t="n">
        <f aca="false">E8+E10+E24</f>
        <v>943.95833152929</v>
      </c>
      <c r="F11" s="0" t="n">
        <f aca="false">F8+F10+F24</f>
        <v>1020.02487669136</v>
      </c>
      <c r="G11" s="0" t="n">
        <f aca="false">G8+G10+G24</f>
        <v>1070.95394895446</v>
      </c>
      <c r="H11" s="0" t="n">
        <f aca="false">H8+H10+H24</f>
        <v>1119.02117783711</v>
      </c>
      <c r="I11" s="0" t="n">
        <f aca="false">I8+I10+I24</f>
        <v>1163.59900746824</v>
      </c>
      <c r="J11" s="0" t="n">
        <f aca="false">J8+J10+J24</f>
        <v>1204.32497272963</v>
      </c>
      <c r="K11" s="0" t="n">
        <f aca="false">K8+K10+K24</f>
        <v>1240.45472191152</v>
      </c>
      <c r="L11" s="0" t="n">
        <f aca="false">L8+L10+L24</f>
        <v>1277.66836356886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-158.69513412</v>
      </c>
      <c r="D12" s="4" t="n">
        <f aca="false">-D6*Assumptions!D31/100</f>
        <v>-165.8364151554</v>
      </c>
      <c r="E12" s="4" t="n">
        <f aca="false">-E6*Assumptions!E31/100</f>
        <v>-169.545913915455</v>
      </c>
      <c r="F12" s="4" t="n">
        <f aca="false">-F6*Assumptions!F31/100</f>
        <v>-178.023209611228</v>
      </c>
      <c r="G12" s="4" t="n">
        <f aca="false">-G6*Assumptions!G31/100</f>
        <v>-181.00630123174</v>
      </c>
      <c r="H12" s="4" t="n">
        <f aca="false">-H6*Assumptions!H31/100</f>
        <v>-188.24655328101</v>
      </c>
      <c r="I12" s="4" t="n">
        <f aca="false">-I6*Assumptions!I31/100</f>
        <v>-194.835182645845</v>
      </c>
      <c r="J12" s="4" t="n">
        <f aca="false">-J6*Assumptions!J31/100</f>
        <v>-201.65441403845</v>
      </c>
      <c r="K12" s="4" t="n">
        <f aca="false">-K6*Assumptions!K31/100</f>
        <v>-207.704046459603</v>
      </c>
      <c r="L12" s="4" t="n">
        <f aca="false">-L6*Assumptions!L31/100</f>
        <v>-213.935167853391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572.13772038</v>
      </c>
      <c r="D13" s="0" t="n">
        <f aca="false">D11+D12</f>
        <v>685.1662415631</v>
      </c>
      <c r="E13" s="0" t="n">
        <f aca="false">E11+E12</f>
        <v>774.412417613835</v>
      </c>
      <c r="F13" s="0" t="n">
        <f aca="false">F11+F12</f>
        <v>842.001667080131</v>
      </c>
      <c r="G13" s="0" t="n">
        <f aca="false">G11+G12</f>
        <v>889.947647722723</v>
      </c>
      <c r="H13" s="0" t="n">
        <f aca="false">H11+H12</f>
        <v>930.774624556104</v>
      </c>
      <c r="I13" s="0" t="n">
        <f aca="false">I11+I12</f>
        <v>968.763824822396</v>
      </c>
      <c r="J13" s="0" t="n">
        <f aca="false">J11+J12</f>
        <v>1002.67055869118</v>
      </c>
      <c r="K13" s="0" t="n">
        <f aca="false">K11+K12</f>
        <v>1032.75067545192</v>
      </c>
      <c r="L13" s="0" t="n">
        <f aca="false">L11+L12</f>
        <v>1063.73319571547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434.8246674888</v>
      </c>
      <c r="D15" s="0" t="n">
        <f aca="false">D13-MAX(0,D13)*D14/100</f>
        <v>520.726343587956</v>
      </c>
      <c r="E15" s="0" t="n">
        <f aca="false">E13-MAX(0,E13)*E14/100</f>
        <v>584.681375298445</v>
      </c>
      <c r="F15" s="0" t="n">
        <f aca="false">F13-MAX(0,F13)*F14/100</f>
        <v>635.711258645499</v>
      </c>
      <c r="G15" s="0" t="n">
        <f aca="false">G13-MAX(0,G13)*G14/100</f>
        <v>667.460735792042</v>
      </c>
      <c r="H15" s="0" t="n">
        <f aca="false">H13-MAX(0,H13)*H14/100</f>
        <v>698.080968417078</v>
      </c>
      <c r="I15" s="0" t="n">
        <f aca="false">I13-MAX(0,I13)*I14/100</f>
        <v>726.572868616797</v>
      </c>
      <c r="J15" s="0" t="n">
        <f aca="false">J13-MAX(0,J13)*J14/100</f>
        <v>752.002919018386</v>
      </c>
      <c r="K15" s="0" t="n">
        <f aca="false">K13-MAX(0,K13)*K14/100</f>
        <v>774.563006588937</v>
      </c>
      <c r="L15" s="0" t="n">
        <f aca="false">L13-MAX(0,L13)*L14/100</f>
        <v>797.799896786605</v>
      </c>
    </row>
    <row r="16" customFormat="false" ht="15" hidden="false" customHeight="false" outlineLevel="0" collapsed="false">
      <c r="A16" s="0" t="s">
        <v>127</v>
      </c>
      <c r="C16" s="0" t="n">
        <f aca="false">-C12</f>
        <v>158.69513412</v>
      </c>
      <c r="D16" s="0" t="n">
        <f aca="false">-D12</f>
        <v>165.8364151554</v>
      </c>
      <c r="E16" s="0" t="n">
        <f aca="false">-E12</f>
        <v>169.545913915455</v>
      </c>
      <c r="F16" s="0" t="n">
        <f aca="false">-F12</f>
        <v>178.023209611228</v>
      </c>
      <c r="G16" s="0" t="n">
        <f aca="false">-G12</f>
        <v>181.00630123174</v>
      </c>
      <c r="H16" s="0" t="n">
        <f aca="false">-H12</f>
        <v>188.24655328101</v>
      </c>
      <c r="I16" s="0" t="n">
        <f aca="false">-I12</f>
        <v>194.835182645845</v>
      </c>
      <c r="J16" s="0" t="n">
        <f aca="false">-J12</f>
        <v>201.65441403845</v>
      </c>
      <c r="K16" s="0" t="n">
        <f aca="false">-K12</f>
        <v>207.704046459603</v>
      </c>
      <c r="L16" s="0" t="n">
        <f aca="false">-L12</f>
        <v>213.935167853391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-125.2856322</v>
      </c>
      <c r="D17" s="4" t="n">
        <f aca="false">-D6*Assumptions!D32/100</f>
        <v>-130.923485649</v>
      </c>
      <c r="E17" s="4" t="n">
        <f aca="false">-E6*Assumptions!E32/100</f>
        <v>-137.46965993145</v>
      </c>
      <c r="F17" s="4" t="n">
        <f aca="false">-F6*Assumptions!F32/100</f>
        <v>-144.343142928023</v>
      </c>
      <c r="G17" s="4" t="n">
        <f aca="false">-G6*Assumptions!G32/100</f>
        <v>-150.838584359783</v>
      </c>
      <c r="H17" s="4" t="n">
        <f aca="false">-H6*Assumptions!H32/100</f>
        <v>-156.872127734175</v>
      </c>
      <c r="I17" s="4" t="n">
        <f aca="false">-I6*Assumptions!I32/100</f>
        <v>-162.362652204871</v>
      </c>
      <c r="J17" s="4" t="n">
        <f aca="false">-J6*Assumptions!J32/100</f>
        <v>-168.045345032041</v>
      </c>
      <c r="K17" s="4" t="n">
        <f aca="false">-K6*Assumptions!K32/100</f>
        <v>-173.086705383003</v>
      </c>
      <c r="L17" s="4" t="n">
        <f aca="false">-L6*Assumptions!L32/100</f>
        <v>-178.279306544493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-14.1223739999999</v>
      </c>
      <c r="D18" s="4" t="n">
        <f aca="false">(D6-C6)*Assumptions!$B$37/100</f>
        <v>-18.79284483</v>
      </c>
      <c r="E18" s="4" t="n">
        <f aca="false">(E6-D6)*Assumptions!$B$37/100</f>
        <v>-21.8205809415</v>
      </c>
      <c r="F18" s="4" t="n">
        <f aca="false">(F6-E6)*Assumptions!$B$37/100</f>
        <v>-22.911609988575</v>
      </c>
      <c r="G18" s="4" t="n">
        <f aca="false">(G6-F6)*Assumptions!$B$37/100</f>
        <v>-21.6514714392033</v>
      </c>
      <c r="H18" s="4" t="n">
        <f aca="false">(H6-G6)*Assumptions!$B$37/100</f>
        <v>-20.1118112479711</v>
      </c>
      <c r="I18" s="4" t="n">
        <f aca="false">(I6-H6)*Assumptions!$B$37/100</f>
        <v>-18.3017482356537</v>
      </c>
      <c r="J18" s="4" t="n">
        <f aca="false">(J6-I6)*Assumptions!$B$37/100</f>
        <v>-18.9423094239016</v>
      </c>
      <c r="K18" s="4" t="n">
        <f aca="false">(K6-J6)*Assumptions!$B$37/100</f>
        <v>-16.8045345032042</v>
      </c>
      <c r="L18" s="4" t="n">
        <f aca="false">(L6-K6)*Assumptions!$B$37/100</f>
        <v>-17.3086705383002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454.1117954088</v>
      </c>
      <c r="D19" s="0" t="n">
        <f aca="false">D15+D16+D17+D18</f>
        <v>536.846428264356</v>
      </c>
      <c r="E19" s="0" t="n">
        <f aca="false">E15+E16+E17+E18</f>
        <v>594.93704834095</v>
      </c>
      <c r="F19" s="0" t="n">
        <f aca="false">F15+F16+F17+F18</f>
        <v>646.479715340129</v>
      </c>
      <c r="G19" s="0" t="n">
        <f aca="false">G15+G16+G17+G18</f>
        <v>675.976981224795</v>
      </c>
      <c r="H19" s="0" t="n">
        <f aca="false">H15+H16+H17+H18</f>
        <v>709.343582715942</v>
      </c>
      <c r="I19" s="0" t="n">
        <f aca="false">I15+I16+I17+I18</f>
        <v>740.743650822118</v>
      </c>
      <c r="J19" s="0" t="n">
        <f aca="false">J15+J16+J17+J18</f>
        <v>766.669678600892</v>
      </c>
      <c r="K19" s="0" t="n">
        <f aca="false">K15+K16+K17+K18</f>
        <v>792.375813162333</v>
      </c>
      <c r="L19" s="0" t="n">
        <f aca="false">L15+L16+L17+L18</f>
        <v>816.147087557203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412.828904917091</v>
      </c>
      <c r="D21" s="0" t="n">
        <f aca="false">D19*D20</f>
        <v>443.674734102773</v>
      </c>
      <c r="E21" s="0" t="n">
        <f aca="false">E19*E20</f>
        <v>446.985010023253</v>
      </c>
      <c r="F21" s="0" t="n">
        <f aca="false">F19*F20</f>
        <v>441.554344197889</v>
      </c>
      <c r="G21" s="0" t="n">
        <f aca="false">G19*G20</f>
        <v>419.728521539634</v>
      </c>
      <c r="H21" s="0" t="n">
        <f aca="false">H19*H20</f>
        <v>400.405959894094</v>
      </c>
      <c r="I21" s="0" t="n">
        <f aca="false">I19*I20</f>
        <v>380.118617947221</v>
      </c>
      <c r="J21" s="0" t="n">
        <f aca="false">J19*J20</f>
        <v>357.65706325034</v>
      </c>
      <c r="K21" s="0" t="n">
        <f aca="false">K19*K20</f>
        <v>336.044695218106</v>
      </c>
      <c r="L21" s="0" t="n">
        <f aca="false">L19*L20</f>
        <v>314.660032795136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3953.65788388554</v>
      </c>
    </row>
    <row r="31" customFormat="false" ht="15" hidden="false" customHeight="false" outlineLevel="0" collapsed="false">
      <c r="A31" s="0" t="s">
        <v>136</v>
      </c>
      <c r="B31" s="0" t="n">
        <f aca="false">L19</f>
        <v>816.147087557203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11154.0101966151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12242.2063133581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11154.0101966151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4300.35378153353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8254.01166541906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9356.60266541906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131.653337067948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-0.0959427497479966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1434.88645486816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1409.05500078878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171.669398073393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6692.40611796907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83.2601823037363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4</v>
      </c>
      <c r="D5" s="4" t="n">
        <f aca="false">Assumptions!D41</f>
        <v>6.5</v>
      </c>
      <c r="E5" s="4" t="n">
        <f aca="false">Assumptions!E41</f>
        <v>7.5</v>
      </c>
      <c r="F5" s="4" t="n">
        <f aca="false">Assumptions!F41</f>
        <v>8</v>
      </c>
      <c r="G5" s="4" t="n">
        <f aca="false">Assumptions!G41</f>
        <v>7.5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4034.964</v>
      </c>
      <c r="C6" s="0" t="n">
        <f aca="false">B6*(1+C5/100)</f>
        <v>4196.36256</v>
      </c>
      <c r="D6" s="0" t="n">
        <f aca="false">C6*(1+D5/100)</f>
        <v>4469.1261264</v>
      </c>
      <c r="E6" s="0" t="n">
        <f aca="false">D6*(1+E5/100)</f>
        <v>4804.31058588</v>
      </c>
      <c r="F6" s="0" t="n">
        <f aca="false">E6*(1+F5/100)</f>
        <v>5188.6554327504</v>
      </c>
      <c r="G6" s="0" t="n">
        <f aca="false">F6*(1+G5/100)</f>
        <v>5577.80459020668</v>
      </c>
      <c r="H6" s="0" t="n">
        <f aca="false">G6*(1+H5/100)</f>
        <v>5968.25091152115</v>
      </c>
      <c r="I6" s="0" t="n">
        <f aca="false">H6*(1+I5/100)</f>
        <v>6326.34596621242</v>
      </c>
      <c r="J6" s="0" t="n">
        <f aca="false">I6*(1+J5/100)</f>
        <v>6642.66326452304</v>
      </c>
      <c r="K6" s="0" t="n">
        <f aca="false">J6*(1+K5/100)</f>
        <v>6908.36979510396</v>
      </c>
      <c r="L6" s="0" t="n">
        <f aca="false">K6*(1+L5/100)</f>
        <v>7150.1627379326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23</v>
      </c>
      <c r="D7" s="4" t="n">
        <f aca="false">Assumptions!D42</f>
        <v>25.5</v>
      </c>
      <c r="E7" s="4" t="n">
        <f aca="false">Assumptions!E42</f>
        <v>27</v>
      </c>
      <c r="F7" s="4" t="n">
        <f aca="false">Assumptions!F42</f>
        <v>28</v>
      </c>
      <c r="G7" s="4" t="n">
        <f aca="false">Assumptions!G42</f>
        <v>28.5</v>
      </c>
      <c r="H7" s="4" t="n">
        <f aca="false">Assumptions!H42</f>
        <v>29</v>
      </c>
      <c r="I7" s="4" t="n">
        <f aca="false">Assumptions!I42</f>
        <v>29</v>
      </c>
      <c r="J7" s="4" t="n">
        <f aca="false">Assumptions!J42</f>
        <v>29</v>
      </c>
      <c r="K7" s="4" t="n">
        <f aca="false">Assumptions!K42</f>
        <v>29</v>
      </c>
      <c r="L7" s="4" t="n">
        <f aca="false">Assumptions!L42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965.1633888</v>
      </c>
      <c r="D8" s="0" t="n">
        <f aca="false">D6*D7/100</f>
        <v>1139.627162232</v>
      </c>
      <c r="E8" s="0" t="n">
        <f aca="false">E6*E7/100</f>
        <v>1297.1638581876</v>
      </c>
      <c r="F8" s="0" t="n">
        <f aca="false">F6*F7/100</f>
        <v>1452.82352117011</v>
      </c>
      <c r="G8" s="0" t="n">
        <f aca="false">G6*G7/100</f>
        <v>1589.6743082089</v>
      </c>
      <c r="H8" s="0" t="n">
        <f aca="false">H6*H7/100</f>
        <v>1730.79276434113</v>
      </c>
      <c r="I8" s="0" t="n">
        <f aca="false">I6*I7/100</f>
        <v>1834.6403302016</v>
      </c>
      <c r="J8" s="0" t="n">
        <f aca="false">J6*J7/100</f>
        <v>1926.37234671168</v>
      </c>
      <c r="K8" s="0" t="n">
        <f aca="false">K6*K7/100</f>
        <v>2003.42724058015</v>
      </c>
      <c r="L8" s="0" t="n">
        <f aca="false">L6*L7/100</f>
        <v>2073.54719400045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5</v>
      </c>
      <c r="D9" s="4" t="n">
        <f aca="false">Assumptions!D43</f>
        <v>4.9</v>
      </c>
      <c r="E9" s="4" t="n">
        <f aca="false">Assumptions!E43</f>
        <v>4.8</v>
      </c>
      <c r="F9" s="4" t="n">
        <f aca="false">Assumptions!F43</f>
        <v>4.7</v>
      </c>
      <c r="G9" s="4" t="n">
        <f aca="false">Assumptions!G43</f>
        <v>4.6</v>
      </c>
      <c r="H9" s="4" t="n">
        <f aca="false">Assumptions!H43</f>
        <v>4.5</v>
      </c>
      <c r="I9" s="4" t="n">
        <f aca="false">Assumptions!I43</f>
        <v>4.4</v>
      </c>
      <c r="J9" s="4" t="n">
        <f aca="false">Assumptions!J43</f>
        <v>4.3</v>
      </c>
      <c r="K9" s="4" t="n">
        <f aca="false">Assumptions!K43</f>
        <v>4.3</v>
      </c>
      <c r="L9" s="4" t="n">
        <f aca="false">Assumptions!L43</f>
        <v>4.3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-209.818128</v>
      </c>
      <c r="D10" s="0" t="n">
        <f aca="false">-D6*D9/100</f>
        <v>-218.9871801936</v>
      </c>
      <c r="E10" s="0" t="n">
        <f aca="false">-E6*E9/100</f>
        <v>-230.60690812224</v>
      </c>
      <c r="F10" s="0" t="n">
        <f aca="false">-F6*F9/100</f>
        <v>-243.866805339269</v>
      </c>
      <c r="G10" s="0" t="n">
        <f aca="false">-G6*G9/100</f>
        <v>-256.579011149507</v>
      </c>
      <c r="H10" s="0" t="n">
        <f aca="false">-H6*H9/100</f>
        <v>-268.571291018452</v>
      </c>
      <c r="I10" s="0" t="n">
        <f aca="false">-I6*I9/100</f>
        <v>-278.359222513346</v>
      </c>
      <c r="J10" s="0" t="n">
        <f aca="false">-J6*J9/100</f>
        <v>-285.634520374491</v>
      </c>
      <c r="K10" s="0" t="n">
        <f aca="false">-K6*K9/100</f>
        <v>-297.05990118947</v>
      </c>
      <c r="L10" s="0" t="n">
        <f aca="false">-L6*L9/100</f>
        <v>-307.456997731102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755.3452608</v>
      </c>
      <c r="D11" s="0" t="n">
        <f aca="false">D8+D10+D24</f>
        <v>920.6399820384</v>
      </c>
      <c r="E11" s="0" t="n">
        <f aca="false">E8+E10+E24</f>
        <v>1066.55695006536</v>
      </c>
      <c r="F11" s="0" t="n">
        <f aca="false">F8+F10+F24</f>
        <v>1208.95671583084</v>
      </c>
      <c r="G11" s="0" t="n">
        <f aca="false">G8+G10+G24</f>
        <v>1333.0952970594</v>
      </c>
      <c r="H11" s="0" t="n">
        <f aca="false">H8+H10+H24</f>
        <v>1462.22147332268</v>
      </c>
      <c r="I11" s="0" t="n">
        <f aca="false">I8+I10+I24</f>
        <v>1556.28110768825</v>
      </c>
      <c r="J11" s="0" t="n">
        <f aca="false">J8+J10+J24</f>
        <v>1640.73782633719</v>
      </c>
      <c r="K11" s="0" t="n">
        <f aca="false">K8+K10+K24</f>
        <v>1706.36733939068</v>
      </c>
      <c r="L11" s="0" t="n">
        <f aca="false">L8+L10+L24</f>
        <v>1766.09019626935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-159.46177728</v>
      </c>
      <c r="D12" s="4" t="n">
        <f aca="false">-D6*Assumptions!D45/100</f>
        <v>-169.8267928032</v>
      </c>
      <c r="E12" s="4" t="n">
        <f aca="false">-E6*Assumptions!E45/100</f>
        <v>-177.75949167756</v>
      </c>
      <c r="F12" s="4" t="n">
        <f aca="false">-F6*Assumptions!F45/100</f>
        <v>-191.980251011765</v>
      </c>
      <c r="G12" s="4" t="n">
        <f aca="false">-G6*Assumptions!G45/100</f>
        <v>-200.80096524744</v>
      </c>
      <c r="H12" s="4" t="n">
        <f aca="false">-H6*Assumptions!H45/100</f>
        <v>-214.857032814761</v>
      </c>
      <c r="I12" s="4" t="n">
        <f aca="false">-I6*Assumptions!I45/100</f>
        <v>-227.748454783647</v>
      </c>
      <c r="J12" s="4" t="n">
        <f aca="false">-J6*Assumptions!J45/100</f>
        <v>-239.135877522829</v>
      </c>
      <c r="K12" s="4" t="n">
        <f aca="false">-K6*Assumptions!K45/100</f>
        <v>-248.701312623743</v>
      </c>
      <c r="L12" s="4" t="n">
        <f aca="false">-L6*Assumptions!L45/100</f>
        <v>-257.405858565574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595.88348352</v>
      </c>
      <c r="D13" s="0" t="n">
        <f aca="false">D11+D12</f>
        <v>750.8131892352</v>
      </c>
      <c r="E13" s="0" t="n">
        <f aca="false">E11+E12</f>
        <v>888.7974583878</v>
      </c>
      <c r="F13" s="0" t="n">
        <f aca="false">F11+F12</f>
        <v>1016.97646481908</v>
      </c>
      <c r="G13" s="0" t="n">
        <f aca="false">G11+G12</f>
        <v>1132.29433181196</v>
      </c>
      <c r="H13" s="0" t="n">
        <f aca="false">H11+H12</f>
        <v>1247.36444050792</v>
      </c>
      <c r="I13" s="0" t="n">
        <f aca="false">I11+I12</f>
        <v>1328.53265290461</v>
      </c>
      <c r="J13" s="0" t="n">
        <f aca="false">J11+J12</f>
        <v>1401.60194881436</v>
      </c>
      <c r="K13" s="0" t="n">
        <f aca="false">K11+K12</f>
        <v>1457.66602676694</v>
      </c>
      <c r="L13" s="0" t="n">
        <f aca="false">L11+L12</f>
        <v>1508.68433770378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452.8714474752</v>
      </c>
      <c r="D15" s="0" t="n">
        <f aca="false">D13-MAX(0,D13)*D14/100</f>
        <v>570.618023818752</v>
      </c>
      <c r="E15" s="0" t="n">
        <f aca="false">E13-MAX(0,E13)*E14/100</f>
        <v>671.042081082789</v>
      </c>
      <c r="F15" s="0" t="n">
        <f aca="false">F13-MAX(0,F13)*F14/100</f>
        <v>767.817230938404</v>
      </c>
      <c r="G15" s="0" t="n">
        <f aca="false">G13-MAX(0,G13)*G14/100</f>
        <v>849.220748858967</v>
      </c>
      <c r="H15" s="0" t="n">
        <f aca="false">H13-MAX(0,H13)*H14/100</f>
        <v>935.52333038094</v>
      </c>
      <c r="I15" s="0" t="n">
        <f aca="false">I13-MAX(0,I13)*I14/100</f>
        <v>996.399489678456</v>
      </c>
      <c r="J15" s="0" t="n">
        <f aca="false">J13-MAX(0,J13)*J14/100</f>
        <v>1051.20146161077</v>
      </c>
      <c r="K15" s="0" t="n">
        <f aca="false">K13-MAX(0,K13)*K14/100</f>
        <v>1093.2495200752</v>
      </c>
      <c r="L15" s="0" t="n">
        <f aca="false">L13-MAX(0,L13)*L14/100</f>
        <v>1131.51325327783</v>
      </c>
    </row>
    <row r="16" customFormat="false" ht="15" hidden="false" customHeight="false" outlineLevel="0" collapsed="false">
      <c r="A16" s="0" t="s">
        <v>127</v>
      </c>
      <c r="C16" s="0" t="n">
        <f aca="false">-C12</f>
        <v>159.46177728</v>
      </c>
      <c r="D16" s="0" t="n">
        <f aca="false">-D12</f>
        <v>169.8267928032</v>
      </c>
      <c r="E16" s="0" t="n">
        <f aca="false">-E12</f>
        <v>177.75949167756</v>
      </c>
      <c r="F16" s="0" t="n">
        <f aca="false">-F12</f>
        <v>191.980251011765</v>
      </c>
      <c r="G16" s="0" t="n">
        <f aca="false">-G12</f>
        <v>200.80096524744</v>
      </c>
      <c r="H16" s="0" t="n">
        <f aca="false">-H12</f>
        <v>214.857032814761</v>
      </c>
      <c r="I16" s="0" t="n">
        <f aca="false">-I12</f>
        <v>227.748454783647</v>
      </c>
      <c r="J16" s="0" t="n">
        <f aca="false">-J12</f>
        <v>239.135877522829</v>
      </c>
      <c r="K16" s="0" t="n">
        <f aca="false">-K12</f>
        <v>248.701312623743</v>
      </c>
      <c r="L16" s="0" t="n">
        <f aca="false">-L12</f>
        <v>257.405858565574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-125.8908768</v>
      </c>
      <c r="D17" s="4" t="n">
        <f aca="false">-D6*Assumptions!D46/100</f>
        <v>-143.0120360448</v>
      </c>
      <c r="E17" s="4" t="n">
        <f aca="false">-E6*Assumptions!E46/100</f>
        <v>-158.54224933404</v>
      </c>
      <c r="F17" s="4" t="n">
        <f aca="false">-F6*Assumptions!F46/100</f>
        <v>-171.225629280763</v>
      </c>
      <c r="G17" s="4" t="n">
        <f aca="false">-G6*Assumptions!G46/100</f>
        <v>-178.489746886614</v>
      </c>
      <c r="H17" s="4" t="n">
        <f aca="false">-H6*Assumptions!H46/100</f>
        <v>-190.984029168677</v>
      </c>
      <c r="I17" s="4" t="n">
        <f aca="false">-I6*Assumptions!I46/100</f>
        <v>-189.790378986373</v>
      </c>
      <c r="J17" s="4" t="n">
        <f aca="false">-J6*Assumptions!J46/100</f>
        <v>-199.279897935691</v>
      </c>
      <c r="K17" s="4" t="n">
        <f aca="false">-K6*Assumptions!K46/100</f>
        <v>-207.251093853119</v>
      </c>
      <c r="L17" s="4" t="n">
        <f aca="false">-L6*Assumptions!L46/100</f>
        <v>-214.504882137978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-16.1398560000001</v>
      </c>
      <c r="D18" s="4" t="n">
        <f aca="false">(D6-C6)*Assumptions!$B$51/100</f>
        <v>-27.27635664</v>
      </c>
      <c r="E18" s="4" t="n">
        <f aca="false">(E6-D6)*Assumptions!$B$51/100</f>
        <v>-33.518445948</v>
      </c>
      <c r="F18" s="4" t="n">
        <f aca="false">(F6-E6)*Assumptions!$B$51/100</f>
        <v>-38.43448468704</v>
      </c>
      <c r="G18" s="4" t="n">
        <f aca="false">(G6-F6)*Assumptions!$B$51/100</f>
        <v>-38.914915745628</v>
      </c>
      <c r="H18" s="4" t="n">
        <f aca="false">(H6-G6)*Assumptions!$B$51/100</f>
        <v>-39.0446321314468</v>
      </c>
      <c r="I18" s="4" t="n">
        <f aca="false">(I6-H6)*Assumptions!$B$51/100</f>
        <v>-35.8095054691269</v>
      </c>
      <c r="J18" s="4" t="n">
        <f aca="false">(J6-I6)*Assumptions!$B$51/100</f>
        <v>-31.6317298310622</v>
      </c>
      <c r="K18" s="4" t="n">
        <f aca="false">(K6-J6)*Assumptions!$B$51/100</f>
        <v>-26.5706530580922</v>
      </c>
      <c r="L18" s="4" t="n">
        <f aca="false">(L6-K6)*Assumptions!$B$51/100</f>
        <v>-24.1792942828638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470.3024919552</v>
      </c>
      <c r="D19" s="0" t="n">
        <f aca="false">D15+D16+D17+D18</f>
        <v>570.156423937152</v>
      </c>
      <c r="E19" s="0" t="n">
        <f aca="false">E15+E16+E17+E18</f>
        <v>656.740877478309</v>
      </c>
      <c r="F19" s="0" t="n">
        <f aca="false">F15+F16+F17+F18</f>
        <v>750.137367982366</v>
      </c>
      <c r="G19" s="0" t="n">
        <f aca="false">G15+G16+G17+G18</f>
        <v>832.617051474166</v>
      </c>
      <c r="H19" s="0" t="n">
        <f aca="false">H15+H16+H17+H18</f>
        <v>920.351701895578</v>
      </c>
      <c r="I19" s="0" t="n">
        <f aca="false">I15+I16+I17+I18</f>
        <v>998.548060006603</v>
      </c>
      <c r="J19" s="0" t="n">
        <f aca="false">J15+J16+J17+J18</f>
        <v>1059.42571136685</v>
      </c>
      <c r="K19" s="0" t="n">
        <f aca="false">K15+K16+K17+K18</f>
        <v>1108.12908578773</v>
      </c>
      <c r="L19" s="0" t="n">
        <f aca="false">L15+L16+L17+L18</f>
        <v>1150.23493542257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427.547719959273</v>
      </c>
      <c r="D21" s="0" t="n">
        <f aca="false">D19*D20</f>
        <v>471.203656146407</v>
      </c>
      <c r="E21" s="0" t="n">
        <f aca="false">E19*E20</f>
        <v>493.419141606543</v>
      </c>
      <c r="F21" s="0" t="n">
        <f aca="false">F19*F20</f>
        <v>512.353915704095</v>
      </c>
      <c r="G21" s="0" t="n">
        <f aca="false">G19*G20</f>
        <v>516.989681202952</v>
      </c>
      <c r="H21" s="0" t="n">
        <f aca="false">H19*H20</f>
        <v>519.514542200679</v>
      </c>
      <c r="I21" s="0" t="n">
        <f aca="false">I19*I20</f>
        <v>512.413043435911</v>
      </c>
      <c r="J21" s="0" t="n">
        <f aca="false">J19*J20</f>
        <v>494.229913136581</v>
      </c>
      <c r="K21" s="0" t="n">
        <f aca="false">K19*K20</f>
        <v>469.954906131856</v>
      </c>
      <c r="L21" s="0" t="n">
        <f aca="false">L19*L20</f>
        <v>443.465360619581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4861.09188014388</v>
      </c>
    </row>
    <row r="31" customFormat="false" ht="15" hidden="false" customHeight="false" outlineLevel="0" collapsed="false">
      <c r="A31" s="0" t="s">
        <v>136</v>
      </c>
      <c r="B31" s="0" t="n">
        <f aca="false">L19</f>
        <v>1150.23493542257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16924.8854783606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19553.9939021836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16924.8854783606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6525.27602054526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11386.3679006891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12488.9589006891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175.727577046421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0.206712975426066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1543.07774270838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1744.20173901826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221.981685414602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9872.84986237702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103.7946975598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88.4337623005138</v>
      </c>
      <c r="C4" s="0" t="n">
        <f aca="false">B4/Assumptions!$B$2-1</f>
        <v>-0.392729529266858</v>
      </c>
      <c r="D4" s="4" t="n">
        <f aca="false">Assumptions!$B$24</f>
        <v>0.25</v>
      </c>
      <c r="E4" s="4" t="n">
        <f aca="false">DCF_Bear!$B$43</f>
        <v>126.058931683733</v>
      </c>
      <c r="F4" s="4" t="n">
        <f aca="false">DCF_Bear!$B$47</f>
        <v>62.0106786358147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131.653337067948</v>
      </c>
      <c r="C5" s="0" t="n">
        <f aca="false">B5/Assumptions!$B$2-1</f>
        <v>-0.0959427497479966</v>
      </c>
      <c r="D5" s="4" t="n">
        <f aca="false">Assumptions!$B$38</f>
        <v>0.5</v>
      </c>
      <c r="E5" s="4" t="n">
        <f aca="false">DCF_Base!$B$43</f>
        <v>171.669398073393</v>
      </c>
      <c r="F5" s="4" t="n">
        <f aca="false">DCF_Base!$B$47</f>
        <v>83.2601823037363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175.727577046421</v>
      </c>
      <c r="C6" s="0" t="n">
        <f aca="false">B6/Assumptions!$B$2-1</f>
        <v>0.206712975426066</v>
      </c>
      <c r="D6" s="4" t="n">
        <f aca="false">Assumptions!$B$52</f>
        <v>0.25</v>
      </c>
      <c r="E6" s="4" t="n">
        <f aca="false">DCF_Bull!$B$43</f>
        <v>221.981685414602</v>
      </c>
      <c r="F6" s="4" t="n">
        <f aca="false">DCF_Bull!$B$47</f>
        <v>103.7946975598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131.867003370708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172.84485331128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-0.104332367291426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33.5742276601741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83.0814352007718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146.637675640863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131.653337067948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117.369736561451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106.117107134632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83.2601823037363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156.594985852108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156.594985852108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156.594985852108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156.594985852108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156.594985852108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139.52310719134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144.558743301717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146.637675640863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146.637675640863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146.637675640863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124.013787304536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127.594826256135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131.653337067948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136.291635138591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137.556625521494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111.8102743879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114.435575969855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117.369736561451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120.670667226997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124.411721981282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101.965588311788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103.937559752639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106.117107134632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108.538826447957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111.245453915792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2026-09-25T09:49:29Z</dcterms:created>
  <dc:creator>openpyxl</dc:creator>
  <dc:description/>
  <dc:language>en-NZ</dc:language>
  <cp:lastModifiedBy/>
  <dcterms:modified xsi:type="dcterms:W3CDTF">2026-09-25T09:49:29Z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