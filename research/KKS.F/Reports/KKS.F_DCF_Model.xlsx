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DM_Bear" sheetId="4" state="visible" r:id="rId4"/>
    <sheet xmlns:r="http://schemas.openxmlformats.org/officeDocument/2006/relationships" name="DDM_Base" sheetId="5" state="visible" r:id="rId5"/>
    <sheet xmlns:r="http://schemas.openxmlformats.org/officeDocument/2006/relationships" name="DDM_Bull" sheetId="6" state="visible" r:id="rId6"/>
    <sheet xmlns:r="http://schemas.openxmlformats.org/officeDocument/2006/relationships" name="Valu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</font>
    <font>
      <color rgb="000000FF"/>
    </font>
    <font>
      <color rgb="0000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3" fontId="2" fillId="2" borderId="0" pivotButton="0" quotePrefix="0" xfId="0"/>
    <xf numFmtId="4" fontId="3" fillId="0" borderId="0" pivotButton="0" quotePrefix="0" xfId="0"/>
    <xf numFmtId="164" fontId="2" fillId="2" borderId="0" pivotButton="0" quotePrefix="0" xfId="0"/>
    <xf numFmtId="164" fontId="2" fillId="0" borderId="0" pivotButton="0" quotePrefix="0" xfId="0"/>
    <xf numFmtId="10" fontId="3" fillId="0" borderId="0" pivotButton="0" quotePrefix="0" xfId="0"/>
    <xf numFmtId="9" fontId="2" fillId="0" borderId="0" pivotButton="0" quotePrefix="0" xfId="0"/>
    <xf numFmtId="4" fontId="0" fillId="0" borderId="0" pivotButton="0" quotePrefix="0" xfId="0"/>
    <xf numFmtId="4" fontId="4" fillId="0" borderId="0" pivotButton="0" quotePrefix="0" xfId="0"/>
    <xf numFmtId="9" fontId="2" fillId="2" borderId="0" pivotButton="0" quotePrefix="0" xfId="0"/>
    <xf numFmtId="164" fontId="0" fillId="0" borderId="0" pivotButton="0" quotePrefix="0" xfId="0"/>
    <xf numFmtId="4" fontId="1" fillId="3" borderId="0" pivotButton="0" quotePrefix="0" xfId="0"/>
    <xf numFmtId="164" fontId="4" fillId="0" borderId="0" pivotButton="0" quotePrefix="0" xfId="0"/>
    <xf numFmtId="9" fontId="4" fillId="0" borderId="0" pivotButton="0" quotePrefix="0" xfId="0"/>
    <xf numFmtId="4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4" customWidth="1" min="1" max="1"/>
    <col width="140" customWidth="1" min="2" max="2"/>
  </cols>
  <sheetData>
    <row r="1">
      <c r="A1" s="1" t="inlineStr">
        <is>
          <t>KKS.F DCF model — Kaspi.kz, Frankfurt EUR line</t>
        </is>
      </c>
      <c r="B1" t="inlineStr"/>
    </row>
    <row r="2">
      <c r="A2" s="1" t="inlineStr">
        <is>
          <t>Version</t>
        </is>
      </c>
      <c r="B2" t="inlineStr">
        <is>
          <t>1.0 fresh build 2026-08-26 (no prior DCF)</t>
        </is>
      </c>
    </row>
    <row r="3">
      <c r="A3" s="1" t="inlineStr">
        <is>
          <t>Built by</t>
        </is>
      </c>
      <c r="B3" t="inlineStr">
        <is>
          <t>dcf-analyst agent (Claude, Fable 5) on 2026-08-26 at the research orchestrator's request</t>
        </is>
      </c>
    </row>
    <row r="4">
      <c r="A4" s="1" t="inlineStr">
        <is>
          <t>Model</t>
        </is>
      </c>
      <c r="B4" t="inlineStr">
        <is>
          <t>Discounted distributable earnings at KZT cost of equity (dividend-discount form of residual income). Kaspi is a deposit-funded lender: deposits are operating funding, OCF/FCF meaningless, net debt = 0.</t>
        </is>
      </c>
    </row>
    <row r="5">
      <c r="A5" s="1" t="inlineStr">
        <is>
          <t>Why not owner-FCF</t>
        </is>
      </c>
      <c r="B5" t="inlineStr">
        <is>
          <t>FY2024 OCF is a loan/deposit working-capital artefact; FY2025 FCF NULL. SKILL.md bank row.</t>
        </is>
      </c>
    </row>
    <row r="6">
      <c r="A6" s="1" t="inlineStr">
        <is>
          <t>Currency layer</t>
        </is>
      </c>
      <c r="B6" t="inlineStr">
        <is>
          <t>Flows and discount rate in KZT; per-share KZT / EURKZT spot 534.26 (Yahoo, 2026-08-26) = EUR. No separate FX haircut: the KZT rate already embeds expected depreciation.</t>
        </is>
      </c>
    </row>
    <row r="7">
      <c r="A7" s="1" t="inlineStr">
        <is>
          <t>Price</t>
        </is>
      </c>
      <c r="B7" t="inlineStr">
        <is>
          <t>EUR 92.80, Yahoo KKS.F regular close 2026-08-25 19:55 UTC; Nasdaq KSPI USD 108.75 (1 ADS = 1 share)</t>
        </is>
      </c>
    </row>
    <row r="8">
      <c r="A8" s="1" t="inlineStr">
        <is>
          <t>Balance sheet</t>
        </is>
      </c>
      <c r="B8" t="inlineStr">
        <is>
          <t>30-Jun-2026 interim: equity attributable KZT 2,639,116m; goodwill 459,118m; deposits 8,132,007m; loans 7,439,812m</t>
        </is>
      </c>
    </row>
    <row r="9">
      <c r="A9" s="1" t="inlineStr">
        <is>
          <t>Shares</t>
        </is>
      </c>
      <c r="B9" t="inlineStr">
        <is>
          <t>190.73m Q2-2026 weighted diluted; 190.03m period-end outstanding. Held flat (SBC inside IFRS NI; buybacks absorb exercises).</t>
        </is>
      </c>
    </row>
    <row r="10">
      <c r="A10" s="1" t="inlineStr">
        <is>
          <t>Base earnings</t>
        </is>
      </c>
      <c r="B10" t="inlineStr">
        <is>
          <t>FY2025 attributable net income KZT 1,073,177m (NCI -5,470m already removed; EPS 5,631). TTM Q2-2026 1,069,921m.</t>
        </is>
      </c>
    </row>
    <row r="11">
      <c r="A11" s="1" t="inlineStr">
        <is>
          <t>Guidance</t>
        </is>
      </c>
      <c r="B11" t="inlineStr">
        <is>
          <t>FY2026 reiterated 10-Aug-2026: adj. EBITDA ~+5%, GMV ~+20%, TPV ~+15%, avg net loans ~+15%; H1-2026 attributable NI -0.6%</t>
        </is>
      </c>
    </row>
    <row r="12">
      <c r="A12" s="1" t="inlineStr">
        <is>
          <t>Tax</t>
        </is>
      </c>
      <c r="B12" t="inlineStr">
        <is>
          <t>Bank rate 20% -&gt; 25% from 2026 (H1-2026 effective 21.4%); absorbed in the FY2026 +1% base growth</t>
        </is>
      </c>
    </row>
    <row r="13">
      <c r="A13" s="1" t="inlineStr">
        <is>
          <t>NCI</t>
        </is>
      </c>
      <c r="B13" t="inlineStr">
        <is>
          <t>Charged once: flows are attributable; no NCI stock deducted (Hepsiburada 86.74% owned)</t>
        </is>
      </c>
    </row>
    <row r="14">
      <c r="A14" s="1" t="inlineStr">
        <is>
          <t>Cost of equity</t>
        </is>
      </c>
      <c r="B14" t="inlineStr">
        <is>
          <t>19% KZT = rf ~13% + 1.1 x 5.5% EM ERP. Same in all scenarios; tail risks live in the bear scenario weight (25%).</t>
        </is>
      </c>
    </row>
    <row r="15">
      <c r="A15" s="1" t="inlineStr">
        <is>
          <t>Terminal</t>
        </is>
      </c>
      <c r="B15" t="inlineStr">
        <is>
          <t>Gordon on year-5 distributions, capped at 12x exit P/E on year-5 NI, floored at zero</t>
        </is>
      </c>
    </row>
    <row r="16">
      <c r="A16" s="1" t="inlineStr">
        <is>
          <t>Entry price</t>
        </is>
      </c>
      <c r="B16" t="inlineStr">
        <is>
          <t>15% EUR hurdle -&gt; 26.5% KZT via interest parity (1.15 x 1.13 / 1.027 - 1)</t>
        </is>
      </c>
    </row>
    <row r="17">
      <c r="A17" s="1" t="inlineStr">
        <is>
          <t>Driver judgments</t>
        </is>
      </c>
      <c r="B17" t="inlineStr">
        <is>
          <t>Scenario NI growth and payout paths set by the agent 2026-08-26 from FY2026 guidance and FY2025 Kazakhstan underlying growth (+13-18%) net of Türkiye drag</t>
        </is>
      </c>
    </row>
    <row r="18">
      <c r="A18" s="1" t="inlineStr">
        <is>
          <t>Refresh after next print</t>
        </is>
      </c>
      <c r="B18" t="inlineStr">
        <is>
          <t>Q3-2026 (Nov-2026): price + FX, TTM attributable NI, share count, dividend declarations, FY2026 guidance, NBK rate path</t>
        </is>
      </c>
    </row>
    <row r="19">
      <c r="A19" s="1" t="inlineStr">
        <is>
          <t>Staleness</t>
        </is>
      </c>
      <c r="B19" t="inlineStr">
        <is>
          <t>Figures go stale: KZT/EUR moves alone reprice the EUR IV daily.</t>
        </is>
      </c>
    </row>
    <row r="20">
      <c r="A20" s="1" t="inlineStr">
        <is>
          <t>Colour legend</t>
        </is>
      </c>
      <c r="B20" t="inlineStr">
        <is>
          <t>Blue = hardcoded input; yellow fill = key lever; black = formula; green = cross-sheet link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36" customWidth="1" min="1" max="1"/>
    <col width="60" customWidth="1" min="10" max="10"/>
  </cols>
  <sheetData>
    <row r="1">
      <c r="A1" s="1" t="inlineStr">
        <is>
          <t>Metric</t>
        </is>
      </c>
      <c r="B1" s="1" t="inlineStr">
        <is>
          <t>FY2020</t>
        </is>
      </c>
      <c r="C1" s="1" t="inlineStr">
        <is>
          <t>FY2021</t>
        </is>
      </c>
      <c r="D1" s="1" t="inlineStr">
        <is>
          <t>FY2022</t>
        </is>
      </c>
      <c r="E1" s="1" t="inlineStr">
        <is>
          <t>FY2023</t>
        </is>
      </c>
      <c r="F1" s="1" t="inlineStr">
        <is>
          <t>FY2024</t>
        </is>
      </c>
      <c r="G1" s="1" t="inlineStr">
        <is>
          <t>FY2025</t>
        </is>
      </c>
      <c r="H1" s="1" t="inlineStr">
        <is>
          <t>H1-2025</t>
        </is>
      </c>
      <c r="I1" s="1" t="inlineStr">
        <is>
          <t>H1-2026</t>
        </is>
      </c>
      <c r="J1" s="1" t="inlineStr">
        <is>
          <t>Source</t>
        </is>
      </c>
    </row>
    <row r="2">
      <c r="A2" t="inlineStr">
        <is>
          <t>Revenue (KZT m)</t>
        </is>
      </c>
      <c r="B2" s="2" t="n">
        <v>641437</v>
      </c>
      <c r="C2" s="2" t="n">
        <v>884822</v>
      </c>
      <c r="D2" s="2" t="n">
        <v>1270592</v>
      </c>
      <c r="E2" s="2" t="n">
        <v>1913490</v>
      </c>
      <c r="F2" s="2" t="n">
        <v>2532156</v>
      </c>
      <c r="G2" s="2" t="n">
        <v>4046074</v>
      </c>
      <c r="J2" t="inlineStr">
        <is>
          <t>Metrics.csv; FY2025 includes Hepsiburada from Jan-2025</t>
        </is>
      </c>
    </row>
    <row r="3">
      <c r="A3" t="inlineStr">
        <is>
          <t>Net income attributable (KZT m)</t>
        </is>
      </c>
      <c r="B3" s="2" t="n">
        <v>260964</v>
      </c>
      <c r="C3" s="2" t="n">
        <v>431914</v>
      </c>
      <c r="D3" s="2" t="n">
        <v>585026</v>
      </c>
      <c r="E3" s="2" t="n">
        <v>841351</v>
      </c>
      <c r="F3" s="2" t="n">
        <v>1039739</v>
      </c>
      <c r="G3" s="2" t="n">
        <v>1073177</v>
      </c>
      <c r="H3" s="2" t="n">
        <v>509383</v>
      </c>
      <c r="I3" s="2" t="n">
        <v>506127</v>
      </c>
      <c r="J3" t="inlineStr">
        <is>
          <t>Metrics.csv / interim H1-2026 p.3</t>
        </is>
      </c>
    </row>
    <row r="4">
      <c r="A4" t="inlineStr">
        <is>
          <t>Net income total incl. NCI (KZT m)</t>
        </is>
      </c>
      <c r="F4" s="2" t="n">
        <v>1056834</v>
      </c>
      <c r="G4" s="2" t="n">
        <v>1067707</v>
      </c>
      <c r="H4" s="2" t="n">
        <v>512678</v>
      </c>
      <c r="I4" s="2" t="n">
        <v>510796</v>
      </c>
      <c r="J4" t="inlineStr">
        <is>
          <t>FY2025 presentation p.44; interim</t>
        </is>
      </c>
    </row>
    <row r="5">
      <c r="A5" t="inlineStr">
        <is>
          <t>EPS diluted (KZT)</t>
        </is>
      </c>
      <c r="B5" s="2" t="n">
        <v>1361</v>
      </c>
      <c r="C5" s="2" t="n">
        <v>2247</v>
      </c>
      <c r="D5" s="2" t="n">
        <v>3051</v>
      </c>
      <c r="E5" s="2" t="n">
        <v>4431</v>
      </c>
      <c r="F5" s="2" t="n">
        <v>5477</v>
      </c>
      <c r="G5" s="2" t="n">
        <v>5631</v>
      </c>
      <c r="H5" s="2" t="n">
        <v>2664</v>
      </c>
      <c r="I5" s="2" t="n">
        <v>2654</v>
      </c>
      <c r="J5" t="inlineStr">
        <is>
          <t>Metrics.csv</t>
        </is>
      </c>
    </row>
    <row r="6">
      <c r="A6" t="inlineStr">
        <is>
          <t>Equity attributable (KZT m)</t>
        </is>
      </c>
      <c r="B6" s="2" t="n">
        <v>391118</v>
      </c>
      <c r="C6" s="2" t="n">
        <v>499727</v>
      </c>
      <c r="D6" s="2" t="n">
        <v>819165</v>
      </c>
      <c r="E6" s="2" t="n">
        <v>1078123</v>
      </c>
      <c r="F6" s="2" t="n">
        <v>1517224</v>
      </c>
      <c r="G6" s="2" t="n">
        <v>2491843</v>
      </c>
      <c r="H6" s="2" t="n">
        <v>1954446</v>
      </c>
      <c r="I6" s="2" t="n">
        <v>2639116</v>
      </c>
      <c r="J6" t="inlineStr">
        <is>
          <t>balance sheets</t>
        </is>
      </c>
    </row>
    <row r="7">
      <c r="A7" t="inlineStr">
        <is>
          <t>Customer deposits (KZT m)</t>
        </is>
      </c>
      <c r="B7" s="2" t="n">
        <v>2150581</v>
      </c>
      <c r="C7" s="2" t="n">
        <v>2763043</v>
      </c>
      <c r="D7" s="2" t="n">
        <v>4000690</v>
      </c>
      <c r="E7" s="2" t="n">
        <v>5441456</v>
      </c>
      <c r="F7" s="2" t="n">
        <v>6561950</v>
      </c>
      <c r="G7" s="2" t="n">
        <v>7531286</v>
      </c>
      <c r="H7" s="2" t="n">
        <v>6696338</v>
      </c>
      <c r="I7" s="2" t="n">
        <v>8132007</v>
      </c>
      <c r="J7" t="inlineStr">
        <is>
          <t>kpis table</t>
        </is>
      </c>
    </row>
    <row r="8">
      <c r="A8" t="inlineStr">
        <is>
          <t>Loans to customers (KZT m)</t>
        </is>
      </c>
      <c r="B8" s="2" t="n">
        <v>1404554</v>
      </c>
      <c r="C8" s="2" t="n">
        <v>2430737</v>
      </c>
      <c r="D8" s="2" t="n">
        <v>3154810</v>
      </c>
      <c r="E8" s="2" t="n">
        <v>4235957</v>
      </c>
      <c r="F8" s="2" t="n">
        <v>5746600</v>
      </c>
      <c r="G8" s="2" t="n">
        <v>7172162</v>
      </c>
      <c r="I8" s="2" t="n">
        <v>7439812</v>
      </c>
      <c r="J8" t="inlineStr">
        <is>
          <t>kpis table</t>
        </is>
      </c>
    </row>
    <row r="9">
      <c r="A9" t="inlineStr">
        <is>
          <t>Dividends paid (KZT m)</t>
        </is>
      </c>
      <c r="B9" s="2" t="n">
        <v>175368</v>
      </c>
      <c r="C9" s="2" t="n">
        <v>340362</v>
      </c>
      <c r="D9" s="2" t="n">
        <v>210102</v>
      </c>
      <c r="E9" s="2" t="n">
        <v>560132</v>
      </c>
      <c r="F9" s="2" t="n">
        <v>646056</v>
      </c>
      <c r="G9" s="2" t="n">
        <v>0</v>
      </c>
      <c r="H9" s="2" t="n">
        <v>0</v>
      </c>
      <c r="I9" s="2" t="n">
        <v>323201</v>
      </c>
      <c r="J9" t="inlineStr">
        <is>
          <t>cash flow statements</t>
        </is>
      </c>
    </row>
    <row r="10">
      <c r="A10" t="inlineStr">
        <is>
          <t>Share buybacks (KZT m)</t>
        </is>
      </c>
      <c r="D10" s="2" t="n">
        <v>63672</v>
      </c>
      <c r="E10" s="2" t="n">
        <v>60703</v>
      </c>
      <c r="F10" s="2" t="n">
        <v>2852</v>
      </c>
      <c r="G10" s="2" t="n">
        <v>50274</v>
      </c>
      <c r="I10" s="2" t="n">
        <v>28368</v>
      </c>
      <c r="J10" t="inlineStr">
        <is>
          <t>kpis / interim note 14</t>
        </is>
      </c>
    </row>
    <row r="11">
      <c r="A11" t="inlineStr">
        <is>
          <t>Diluted wavg shares (m)</t>
        </is>
      </c>
      <c r="B11" s="3" t="n">
        <v>193.72</v>
      </c>
      <c r="C11" s="3" t="n">
        <v>194.34</v>
      </c>
      <c r="D11" s="3" t="n">
        <v>193.99</v>
      </c>
      <c r="E11" s="3" t="n">
        <v>192.06</v>
      </c>
      <c r="F11" s="3" t="n">
        <v>191.43</v>
      </c>
      <c r="G11" s="3" t="n">
        <v>191.9</v>
      </c>
      <c r="H11" s="3" t="n">
        <v>191.23</v>
      </c>
      <c r="I11" s="3" t="n">
        <v>190.73</v>
      </c>
      <c r="J11" t="inlineStr">
        <is>
          <t>Metrics.csv</t>
        </is>
      </c>
    </row>
    <row r="12">
      <c r="A12" t="inlineStr">
        <is>
          <t>Goodwill (KZT m)</t>
        </is>
      </c>
      <c r="F12" s="2" t="n">
        <v>17438</v>
      </c>
      <c r="G12" s="2" t="n">
        <v>447128</v>
      </c>
      <c r="I12" s="2" t="n">
        <v>459118</v>
      </c>
      <c r="J12" t="inlineStr">
        <is>
          <t>FY2025 note 13; interim BS</t>
        </is>
      </c>
    </row>
    <row r="13"/>
    <row r="14"/>
    <row r="15">
      <c r="A15" s="1" t="inlineStr">
        <is>
          <t>FY2026 guidance (reiterated 10-Aug-2026)</t>
        </is>
      </c>
    </row>
    <row r="16">
      <c r="A16" t="inlineStr">
        <is>
          <t>Adj. EBITDA ~+5%; GMV ~+20%; TPV ~+15%; avg net loan portfolio ~+15%; constant currency at 1-Jan-2026 rates; no NBK rate cuts assumed</t>
        </is>
      </c>
    </row>
    <row r="17">
      <c r="A17" t="inlineStr">
        <is>
          <t>Dividends: KZT 850 (Apr-2026), 850 (Jun-2026) declared; 1,000 proposed 6-Aug-2026 for Q2-2026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3" max="3"/>
  </cols>
  <sheetData>
    <row r="1">
      <c r="A1" s="1" t="inlineStr">
        <is>
          <t>Globals</t>
        </is>
      </c>
    </row>
    <row r="2">
      <c r="A2" t="inlineStr">
        <is>
          <t>Price (EUR)</t>
        </is>
      </c>
      <c r="B2" s="2" t="n">
        <v>92.8</v>
      </c>
      <c r="C2" t="inlineStr">
        <is>
          <t>Yahoo KKS.F close 2026-08-25</t>
        </is>
      </c>
    </row>
    <row r="3">
      <c r="A3" t="inlineStr">
        <is>
          <t>EUR/KZT spot</t>
        </is>
      </c>
      <c r="B3" s="4" t="n">
        <v>534.26</v>
      </c>
      <c r="C3" t="inlineStr">
        <is>
          <t>Yahoo EURKZT=X 2026-08-26</t>
        </is>
      </c>
    </row>
    <row r="4">
      <c r="A4" t="inlineStr">
        <is>
          <t>Price (KZT equivalent)</t>
        </is>
      </c>
      <c r="B4" s="5">
        <f>B2*B3</f>
        <v/>
      </c>
      <c r="C4" t="inlineStr">
        <is>
          <t>formula</t>
        </is>
      </c>
    </row>
    <row r="5">
      <c r="A5" t="inlineStr">
        <is>
          <t>Diluted shares (m)</t>
        </is>
      </c>
      <c r="B5" s="3" t="n">
        <v>190.73</v>
      </c>
      <c r="C5" t="inlineStr">
        <is>
          <t>Q2-2026 weighted diluted, held flat</t>
        </is>
      </c>
    </row>
    <row r="6">
      <c r="A6" t="inlineStr">
        <is>
          <t>FY2025 attributable net income (KZT m)</t>
        </is>
      </c>
      <c r="B6" s="3" t="n">
        <v>1073177</v>
      </c>
      <c r="C6" t="inlineStr">
        <is>
          <t>NCI already removed</t>
        </is>
      </c>
    </row>
    <row r="7">
      <c r="A7" t="inlineStr">
        <is>
          <t>Cost of equity (KZT)</t>
        </is>
      </c>
      <c r="B7" s="6" t="n">
        <v>0.19</v>
      </c>
      <c r="C7" t="inlineStr">
        <is>
          <t>rf 13% + 1.1 x 5.5% ERP; same for all scenarios</t>
        </is>
      </c>
    </row>
    <row r="8">
      <c r="A8" t="inlineStr">
        <is>
          <t>Exit P/E cap (x year-5 NI)</t>
        </is>
      </c>
      <c r="B8" s="2" t="n">
        <v>12</v>
      </c>
      <c r="C8" t="inlineStr">
        <is>
          <t>ceiling on Gordon terminal</t>
        </is>
      </c>
    </row>
    <row r="9">
      <c r="A9" t="inlineStr">
        <is>
          <t>Hurdle rate (EUR)</t>
        </is>
      </c>
      <c r="B9" s="7" t="n">
        <v>0.15</v>
      </c>
      <c r="C9" t="inlineStr"/>
    </row>
    <row r="10">
      <c r="A10" t="inlineStr">
        <is>
          <t>KZT risk-free</t>
        </is>
      </c>
      <c r="B10" s="7" t="n">
        <v>0.13</v>
      </c>
      <c r="C10" t="inlineStr">
        <is>
          <t>Kazakhstan 10y</t>
        </is>
      </c>
    </row>
    <row r="11">
      <c r="A11" t="inlineStr">
        <is>
          <t>EUR risk-free</t>
        </is>
      </c>
      <c r="B11" s="7" t="n">
        <v>0.027</v>
      </c>
      <c r="C11" t="inlineStr">
        <is>
          <t>Bund 10y</t>
        </is>
      </c>
    </row>
    <row r="12">
      <c r="A12" t="inlineStr">
        <is>
          <t>Hurdle rate (KZT, interest parity)</t>
        </is>
      </c>
      <c r="B12" s="8">
        <f>(1+B9)*(1+B10)/(1+B11)-1</f>
        <v/>
      </c>
      <c r="C12" t="inlineStr">
        <is>
          <t>formula</t>
        </is>
      </c>
    </row>
    <row r="13">
      <c r="A13" t="inlineStr">
        <is>
          <t>Net debt (KZT m)</t>
        </is>
      </c>
      <c r="B13" s="2" t="n">
        <v>0</v>
      </c>
      <c r="C13" t="inlineStr">
        <is>
          <t>Bank: deposits/bonds are operating funding</t>
        </is>
      </c>
    </row>
    <row r="14">
      <c r="A14" t="inlineStr">
        <is>
          <t>FY2025 EPS (KZT)</t>
        </is>
      </c>
      <c r="B14" s="2" t="n">
        <v>5631</v>
      </c>
      <c r="C14" t="inlineStr">
        <is>
          <t>sanity multiples</t>
        </is>
      </c>
    </row>
    <row r="15">
      <c r="A15" t="inlineStr">
        <is>
          <t>FY2025 BVPS (KZT)</t>
        </is>
      </c>
      <c r="B15" s="3" t="n">
        <v>13115</v>
      </c>
      <c r="C15" t="inlineStr">
        <is>
          <t>equity 2,491,843 / 190.0m</t>
        </is>
      </c>
    </row>
    <row r="16"/>
    <row r="17">
      <c r="A17" s="1" t="inlineStr">
        <is>
          <t>Per scenario</t>
        </is>
      </c>
      <c r="B17" s="1" t="inlineStr">
        <is>
          <t>Bear</t>
        </is>
      </c>
      <c r="C17" s="1" t="inlineStr">
        <is>
          <t>Base</t>
        </is>
      </c>
      <c r="D17" s="1" t="inlineStr">
        <is>
          <t>Bull</t>
        </is>
      </c>
    </row>
    <row r="18">
      <c r="A18" t="inlineStr">
        <is>
          <t>Terminal growth (nominal KZT)</t>
        </is>
      </c>
      <c r="B18" s="6" t="n">
        <v>0.04</v>
      </c>
      <c r="C18" s="6" t="n">
        <v>0.06</v>
      </c>
      <c r="D18" s="6" t="n">
        <v>0.07000000000000001</v>
      </c>
    </row>
    <row r="19">
      <c r="A19" t="inlineStr">
        <is>
          <t>Probability weight</t>
        </is>
      </c>
      <c r="B19" s="9" t="n">
        <v>0.25</v>
      </c>
      <c r="C19" s="9" t="n">
        <v>0.5</v>
      </c>
      <c r="D19" s="9" t="n">
        <v>0.25</v>
      </c>
    </row>
    <row r="20">
      <c r="A20" t="inlineStr">
        <is>
          <t>Weights check (must be 1)</t>
        </is>
      </c>
      <c r="B20" s="10">
        <f>SUM(B19:D19)</f>
        <v/>
      </c>
    </row>
    <row r="21"/>
    <row r="22">
      <c r="A22" s="1" t="inlineStr">
        <is>
          <t>Scenario narratives</t>
        </is>
      </c>
    </row>
    <row r="23">
      <c r="A23" t="inlineStr">
        <is>
          <t>Bear</t>
        </is>
      </c>
      <c r="B23" t="inlineStr">
        <is>
          <t>Kazakhstan consumer-lending cap tightened toward ~40% APR and risk-based pricing, NBK holds rates high through 2027 so deposit costs stay &gt;14%, cost of risk drifts up from 0.7%, Türkiye keeps absorbing capital (Hepsi Bank build) without reaching profitability, and the sanctions/class-action overhang crystallises in a settlement. Attributable NI falls 5% in FY2026 then grows ~1-4%; payout trimmed to 60% to fund capital. Terminal growth 4% nominal KZT.</t>
        </is>
      </c>
    </row>
    <row r="24">
      <c r="A24" t="inlineStr">
        <is>
          <t>Base</t>
        </is>
      </c>
      <c r="B24" t="inlineStr">
        <is>
          <t>FY2026 lands on guidance: adjusted EBITDA +5%, attributable NI ~+1% (H1 -0.6%), with the 25% bank tax rate and higher reserve requirements fully absorbed. From FY2027 Kazakhstan underlying growth (13-18% in FY2025) reasserts at ~10-11% as Türkiye losses narrow toward breakeven, rate cuts begin to ease deposit costs and Marketplace VAS/advertising lifts take rates; growth then fades to 9% by FY2030. Payout 66% in FY2026 (KZT 850/850/1,000/1,000 declared and proposed) then 70%, leaving 30% retention which at ~40% ROE funds ~12% growth. Terminal growth 6% nominal KZT (5% inflation target + ~1% real).</t>
        </is>
      </c>
    </row>
    <row r="25">
      <c r="A25" t="inlineStr">
        <is>
          <t>Bull</t>
        </is>
      </c>
      <c r="B25" t="inlineStr">
        <is>
          <t>NBK cutting cycle arrives in 2027 and Fintech margins rebuild, Kasper/Alaqan lift engagement and Marketplace take rates, Hepsiburada closes part of its engagement gap and Hepsi Bank replicates the Kazakhstan fintech playbook from 2027, so consolidated attributable NI compounds 12-16% in FY2027-30. Payout rises to 75% as Türkiye capital needs peak in 2026-27. Terminal growth 7% nominal KZT.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Bear scenario — discounted distributable earnings (KZT m)</t>
        </is>
      </c>
    </row>
    <row r="2"/>
    <row r="3">
      <c r="A3" t="inlineStr">
        <is>
          <t>Year</t>
        </is>
      </c>
      <c r="B3" t="inlineStr">
        <is>
          <t>2025A</t>
        </is>
      </c>
      <c r="C3" s="1" t="inlineStr">
        <is>
          <t>FY2026E</t>
        </is>
      </c>
      <c r="D3" s="1" t="inlineStr">
        <is>
          <t>FY2027E</t>
        </is>
      </c>
      <c r="E3" s="1" t="inlineStr">
        <is>
          <t>FY2028E</t>
        </is>
      </c>
      <c r="F3" s="1" t="inlineStr">
        <is>
          <t>FY2029E</t>
        </is>
      </c>
      <c r="G3" s="1" t="inlineStr">
        <is>
          <t>FY2030E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</row>
    <row r="5">
      <c r="A5" t="inlineStr">
        <is>
          <t>NI growth YoY (driver)</t>
        </is>
      </c>
      <c r="C5" s="6" t="n">
        <v>-0.05</v>
      </c>
      <c r="D5" s="6" t="n">
        <v>0.01</v>
      </c>
      <c r="E5" s="6" t="n">
        <v>0.03</v>
      </c>
      <c r="F5" s="6" t="n">
        <v>0.04</v>
      </c>
      <c r="G5" s="6" t="n">
        <v>0.04</v>
      </c>
    </row>
    <row r="6">
      <c r="A6" t="inlineStr">
        <is>
          <t>Attributable net income</t>
        </is>
      </c>
      <c r="B6" s="11">
        <f>Assumptions!$B$6</f>
        <v/>
      </c>
      <c r="C6" s="10">
        <f>B6*(1+C5)</f>
        <v/>
      </c>
      <c r="D6" s="10">
        <f>C6*(1+D5)</f>
        <v/>
      </c>
      <c r="E6" s="10">
        <f>D6*(1+E5)</f>
        <v/>
      </c>
      <c r="F6" s="10">
        <f>E6*(1+F5)</f>
        <v/>
      </c>
      <c r="G6" s="10">
        <f>F6*(1+G5)</f>
        <v/>
      </c>
    </row>
    <row r="7">
      <c r="A7" t="inlineStr">
        <is>
          <t>Payout ratio (driver)</t>
        </is>
      </c>
      <c r="C7" s="12" t="n">
        <v>0.62</v>
      </c>
      <c r="D7" s="12" t="n">
        <v>0.6</v>
      </c>
      <c r="E7" s="12" t="n">
        <v>0.6</v>
      </c>
      <c r="F7" s="12" t="n">
        <v>0.6</v>
      </c>
      <c r="G7" s="12" t="n">
        <v>0.6</v>
      </c>
    </row>
    <row r="8">
      <c r="A8" t="inlineStr">
        <is>
          <t>Distributable earnings (dividends + buybacks)</t>
        </is>
      </c>
      <c r="C8" s="10">
        <f>C6*C7</f>
        <v/>
      </c>
      <c r="D8" s="10">
        <f>D6*D7</f>
        <v/>
      </c>
      <c r="E8" s="10">
        <f>E6*E7</f>
        <v/>
      </c>
      <c r="F8" s="10">
        <f>F6*F7</f>
        <v/>
      </c>
      <c r="G8" s="10">
        <f>G6*G7</f>
        <v/>
      </c>
    </row>
    <row r="9">
      <c r="A9" t="inlineStr">
        <is>
          <t>Retained earnings</t>
        </is>
      </c>
      <c r="C9" s="10">
        <f>C6-C8</f>
        <v/>
      </c>
      <c r="D9" s="10">
        <f>D6-D8</f>
        <v/>
      </c>
      <c r="E9" s="10">
        <f>E6-E8</f>
        <v/>
      </c>
      <c r="F9" s="10">
        <f>F6-F8</f>
        <v/>
      </c>
      <c r="G9" s="10">
        <f>G6-G8</f>
        <v/>
      </c>
    </row>
    <row r="10">
      <c r="A10" t="inlineStr">
        <is>
          <t>EPS (KZT)</t>
        </is>
      </c>
      <c r="B10" s="10">
        <f>B6/Assumptions!$B$5</f>
        <v/>
      </c>
      <c r="C10" s="10">
        <f>C6/Assumptions!$B$5</f>
        <v/>
      </c>
      <c r="D10" s="10">
        <f>D6/Assumptions!$B$5</f>
        <v/>
      </c>
      <c r="E10" s="10">
        <f>E6/Assumptions!$B$5</f>
        <v/>
      </c>
      <c r="F10" s="10">
        <f>F6/Assumptions!$B$5</f>
        <v/>
      </c>
      <c r="G10" s="10">
        <f>G6/Assumptions!$B$5</f>
        <v/>
      </c>
    </row>
    <row r="11">
      <c r="A11" t="inlineStr">
        <is>
          <t>DPS (KZT)</t>
        </is>
      </c>
      <c r="C11" s="10">
        <f>C8/Assumptions!$B$5</f>
        <v/>
      </c>
      <c r="D11" s="10">
        <f>D8/Assumptions!$B$5</f>
        <v/>
      </c>
      <c r="E11" s="10">
        <f>E8/Assumptions!$B$5</f>
        <v/>
      </c>
      <c r="F11" s="10">
        <f>F8/Assumptions!$B$5</f>
        <v/>
      </c>
      <c r="G11" s="10">
        <f>G8/Assumptions!$B$5</f>
        <v/>
      </c>
    </row>
    <row r="12">
      <c r="A12" t="inlineStr">
        <is>
          <t>Discount factor</t>
        </is>
      </c>
      <c r="B12" t="n">
        <v>1</v>
      </c>
      <c r="C12" s="10">
        <f>1/(1+Assumptions!$B$7)^C4</f>
        <v/>
      </c>
      <c r="D12" s="10">
        <f>1/(1+Assumptions!$B$7)^D4</f>
        <v/>
      </c>
      <c r="E12" s="10">
        <f>1/(1+Assumptions!$B$7)^E4</f>
        <v/>
      </c>
      <c r="F12" s="10">
        <f>1/(1+Assumptions!$B$7)^F4</f>
        <v/>
      </c>
      <c r="G12" s="10">
        <f>1/(1+Assumptions!$B$7)^G4</f>
        <v/>
      </c>
    </row>
    <row r="13">
      <c r="A13" t="inlineStr">
        <is>
          <t>PV of distributions</t>
        </is>
      </c>
      <c r="C13" s="10">
        <f>C8*C12</f>
        <v/>
      </c>
      <c r="D13" s="10">
        <f>D8*D12</f>
        <v/>
      </c>
      <c r="E13" s="10">
        <f>E8*E12</f>
        <v/>
      </c>
      <c r="F13" s="10">
        <f>F8*F12</f>
        <v/>
      </c>
      <c r="G13" s="10">
        <f>G8*G12</f>
        <v/>
      </c>
    </row>
    <row r="14"/>
    <row r="15"/>
    <row r="16">
      <c r="A16" t="inlineStr">
        <is>
          <t>Sum of PV distributions</t>
        </is>
      </c>
      <c r="B16" s="10">
        <f>SUM(C13:G13)</f>
        <v/>
      </c>
    </row>
    <row r="17">
      <c r="A17" t="inlineStr">
        <is>
          <t>Terminal growth</t>
        </is>
      </c>
      <c r="B17" s="13">
        <f>Assumptions!B18</f>
        <v/>
      </c>
    </row>
    <row r="18">
      <c r="A18" t="inlineStr">
        <is>
          <t>Terminal distribution (Y5 x (1+g))</t>
        </is>
      </c>
      <c r="B18" s="10">
        <f>G8*(1+B17)</f>
        <v/>
      </c>
    </row>
    <row r="19">
      <c r="A19" t="inlineStr">
        <is>
          <t>Gordon TV</t>
        </is>
      </c>
      <c r="B19" s="10">
        <f>B18/(Assumptions!$B$7-B17)</f>
        <v/>
      </c>
    </row>
    <row r="20">
      <c r="A20" t="inlineStr">
        <is>
          <t>Cap TV (exit P/E x Y5 NI)</t>
        </is>
      </c>
      <c r="B20" s="10">
        <f>Assumptions!$B$8*G6</f>
        <v/>
      </c>
    </row>
    <row r="21">
      <c r="A21" t="inlineStr">
        <is>
          <t>TV used = MAX(0, MIN(Gordon, cap))</t>
        </is>
      </c>
      <c r="B21" s="10">
        <f>MAX(0,MIN(B19,B20))</f>
        <v/>
      </c>
    </row>
    <row r="22">
      <c r="A22" t="inlineStr">
        <is>
          <t>Implied exit P/E</t>
        </is>
      </c>
      <c r="B22" s="10">
        <f>B21/G6</f>
        <v/>
      </c>
    </row>
    <row r="23">
      <c r="A23" t="inlineStr">
        <is>
          <t>PV of TV</t>
        </is>
      </c>
      <c r="B23" s="10">
        <f>B21*G12</f>
        <v/>
      </c>
    </row>
    <row r="24">
      <c r="A24" t="inlineStr">
        <is>
          <t>Equity value (KZT m)</t>
        </is>
      </c>
      <c r="B24" s="10">
        <f>B16+B23</f>
        <v/>
      </c>
    </row>
    <row r="25">
      <c r="A25" t="inlineStr">
        <is>
          <t>less net debt</t>
        </is>
      </c>
      <c r="B25" s="10">
        <f>Assumptions!$B$13</f>
        <v/>
      </c>
    </row>
    <row r="26">
      <c r="A26" t="inlineStr">
        <is>
          <t>Equity value to shareholders</t>
        </is>
      </c>
      <c r="B26" s="10">
        <f>B24-B25</f>
        <v/>
      </c>
    </row>
    <row r="27">
      <c r="A27" t="inlineStr">
        <is>
          <t>Diluted shares (m)</t>
        </is>
      </c>
      <c r="B27" s="10">
        <f>Assumptions!$B$5</f>
        <v/>
      </c>
    </row>
    <row r="28">
      <c r="A28" t="inlineStr">
        <is>
          <t>Value per share (KZT)</t>
        </is>
      </c>
      <c r="B28" s="10">
        <f>B26/B27</f>
        <v/>
      </c>
    </row>
    <row r="29">
      <c r="A29" t="inlineStr">
        <is>
          <t>Value per share (EUR)</t>
        </is>
      </c>
      <c r="B29" s="14">
        <f>B28/Assumptions!$B$3</f>
        <v/>
      </c>
    </row>
    <row r="30">
      <c r="A30" t="inlineStr">
        <is>
          <t>Upside vs price</t>
        </is>
      </c>
      <c r="B30" s="13">
        <f>B29/Assumptions!$B$2-1</f>
        <v/>
      </c>
    </row>
    <row r="31">
      <c r="A31" t="inlineStr">
        <is>
          <t>Terminal % of value</t>
        </is>
      </c>
      <c r="B31" s="13">
        <f>B23/B24</f>
        <v/>
      </c>
    </row>
    <row r="32">
      <c r="A32" t="inlineStr">
        <is>
          <t>Implied P/E on FY2025 EPS</t>
        </is>
      </c>
      <c r="B32" s="10">
        <f>B28/Assumptions!$B$14</f>
        <v/>
      </c>
    </row>
    <row r="33">
      <c r="A33" t="inlineStr">
        <is>
          <t>Implied P/B on FY2025 BVPS</t>
        </is>
      </c>
      <c r="B33" s="10">
        <f>B28/Assumptions!$B$15</f>
        <v/>
      </c>
    </row>
    <row r="34"/>
    <row r="35">
      <c r="A35" t="inlineStr">
        <is>
          <t>Entry price (KZT) at KZT hurdle</t>
        </is>
      </c>
      <c r="B35" s="10">
        <f>(SUMPRODUCT(C8:G8/(1+Assumptions!$B$12)^C4:G4)+B21/(1+Assumptions!$B$12)^5-B25)/B27</f>
        <v/>
      </c>
    </row>
    <row r="36">
      <c r="A36" t="inlineStr">
        <is>
          <t>Entry price (EUR)</t>
        </is>
      </c>
      <c r="B36" s="10">
        <f>B35/Assumptions!$B$3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Base scenario — discounted distributable earnings (KZT m)</t>
        </is>
      </c>
    </row>
    <row r="2"/>
    <row r="3">
      <c r="A3" t="inlineStr">
        <is>
          <t>Year</t>
        </is>
      </c>
      <c r="B3" t="inlineStr">
        <is>
          <t>2025A</t>
        </is>
      </c>
      <c r="C3" s="1" t="inlineStr">
        <is>
          <t>FY2026E</t>
        </is>
      </c>
      <c r="D3" s="1" t="inlineStr">
        <is>
          <t>FY2027E</t>
        </is>
      </c>
      <c r="E3" s="1" t="inlineStr">
        <is>
          <t>FY2028E</t>
        </is>
      </c>
      <c r="F3" s="1" t="inlineStr">
        <is>
          <t>FY2029E</t>
        </is>
      </c>
      <c r="G3" s="1" t="inlineStr">
        <is>
          <t>FY2030E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</row>
    <row r="5">
      <c r="A5" t="inlineStr">
        <is>
          <t>NI growth YoY (driver)</t>
        </is>
      </c>
      <c r="C5" s="6" t="n">
        <v>0.01</v>
      </c>
      <c r="D5" s="6" t="n">
        <v>0.1</v>
      </c>
      <c r="E5" s="6" t="n">
        <v>0.11</v>
      </c>
      <c r="F5" s="6" t="n">
        <v>0.1</v>
      </c>
      <c r="G5" s="6" t="n">
        <v>0.09</v>
      </c>
    </row>
    <row r="6">
      <c r="A6" t="inlineStr">
        <is>
          <t>Attributable net income</t>
        </is>
      </c>
      <c r="B6" s="11">
        <f>Assumptions!$B$6</f>
        <v/>
      </c>
      <c r="C6" s="10">
        <f>B6*(1+C5)</f>
        <v/>
      </c>
      <c r="D6" s="10">
        <f>C6*(1+D5)</f>
        <v/>
      </c>
      <c r="E6" s="10">
        <f>D6*(1+E5)</f>
        <v/>
      </c>
      <c r="F6" s="10">
        <f>E6*(1+F5)</f>
        <v/>
      </c>
      <c r="G6" s="10">
        <f>F6*(1+G5)</f>
        <v/>
      </c>
    </row>
    <row r="7">
      <c r="A7" t="inlineStr">
        <is>
          <t>Payout ratio (driver)</t>
        </is>
      </c>
      <c r="C7" s="12" t="n">
        <v>0.66</v>
      </c>
      <c r="D7" s="12" t="n">
        <v>0.7</v>
      </c>
      <c r="E7" s="12" t="n">
        <v>0.7</v>
      </c>
      <c r="F7" s="12" t="n">
        <v>0.7</v>
      </c>
      <c r="G7" s="12" t="n">
        <v>0.7</v>
      </c>
    </row>
    <row r="8">
      <c r="A8" t="inlineStr">
        <is>
          <t>Distributable earnings (dividends + buybacks)</t>
        </is>
      </c>
      <c r="C8" s="10">
        <f>C6*C7</f>
        <v/>
      </c>
      <c r="D8" s="10">
        <f>D6*D7</f>
        <v/>
      </c>
      <c r="E8" s="10">
        <f>E6*E7</f>
        <v/>
      </c>
      <c r="F8" s="10">
        <f>F6*F7</f>
        <v/>
      </c>
      <c r="G8" s="10">
        <f>G6*G7</f>
        <v/>
      </c>
    </row>
    <row r="9">
      <c r="A9" t="inlineStr">
        <is>
          <t>Retained earnings</t>
        </is>
      </c>
      <c r="C9" s="10">
        <f>C6-C8</f>
        <v/>
      </c>
      <c r="D9" s="10">
        <f>D6-D8</f>
        <v/>
      </c>
      <c r="E9" s="10">
        <f>E6-E8</f>
        <v/>
      </c>
      <c r="F9" s="10">
        <f>F6-F8</f>
        <v/>
      </c>
      <c r="G9" s="10">
        <f>G6-G8</f>
        <v/>
      </c>
    </row>
    <row r="10">
      <c r="A10" t="inlineStr">
        <is>
          <t>EPS (KZT)</t>
        </is>
      </c>
      <c r="B10" s="10">
        <f>B6/Assumptions!$B$5</f>
        <v/>
      </c>
      <c r="C10" s="10">
        <f>C6/Assumptions!$B$5</f>
        <v/>
      </c>
      <c r="D10" s="10">
        <f>D6/Assumptions!$B$5</f>
        <v/>
      </c>
      <c r="E10" s="10">
        <f>E6/Assumptions!$B$5</f>
        <v/>
      </c>
      <c r="F10" s="10">
        <f>F6/Assumptions!$B$5</f>
        <v/>
      </c>
      <c r="G10" s="10">
        <f>G6/Assumptions!$B$5</f>
        <v/>
      </c>
    </row>
    <row r="11">
      <c r="A11" t="inlineStr">
        <is>
          <t>DPS (KZT)</t>
        </is>
      </c>
      <c r="C11" s="10">
        <f>C8/Assumptions!$B$5</f>
        <v/>
      </c>
      <c r="D11" s="10">
        <f>D8/Assumptions!$B$5</f>
        <v/>
      </c>
      <c r="E11" s="10">
        <f>E8/Assumptions!$B$5</f>
        <v/>
      </c>
      <c r="F11" s="10">
        <f>F8/Assumptions!$B$5</f>
        <v/>
      </c>
      <c r="G11" s="10">
        <f>G8/Assumptions!$B$5</f>
        <v/>
      </c>
    </row>
    <row r="12">
      <c r="A12" t="inlineStr">
        <is>
          <t>Discount factor</t>
        </is>
      </c>
      <c r="B12" t="n">
        <v>1</v>
      </c>
      <c r="C12" s="10">
        <f>1/(1+Assumptions!$B$7)^C4</f>
        <v/>
      </c>
      <c r="D12" s="10">
        <f>1/(1+Assumptions!$B$7)^D4</f>
        <v/>
      </c>
      <c r="E12" s="10">
        <f>1/(1+Assumptions!$B$7)^E4</f>
        <v/>
      </c>
      <c r="F12" s="10">
        <f>1/(1+Assumptions!$B$7)^F4</f>
        <v/>
      </c>
      <c r="G12" s="10">
        <f>1/(1+Assumptions!$B$7)^G4</f>
        <v/>
      </c>
    </row>
    <row r="13">
      <c r="A13" t="inlineStr">
        <is>
          <t>PV of distributions</t>
        </is>
      </c>
      <c r="C13" s="10">
        <f>C8*C12</f>
        <v/>
      </c>
      <c r="D13" s="10">
        <f>D8*D12</f>
        <v/>
      </c>
      <c r="E13" s="10">
        <f>E8*E12</f>
        <v/>
      </c>
      <c r="F13" s="10">
        <f>F8*F12</f>
        <v/>
      </c>
      <c r="G13" s="10">
        <f>G8*G12</f>
        <v/>
      </c>
    </row>
    <row r="14"/>
    <row r="15"/>
    <row r="16">
      <c r="A16" t="inlineStr">
        <is>
          <t>Sum of PV distributions</t>
        </is>
      </c>
      <c r="B16" s="10">
        <f>SUM(C13:G13)</f>
        <v/>
      </c>
    </row>
    <row r="17">
      <c r="A17" t="inlineStr">
        <is>
          <t>Terminal growth</t>
        </is>
      </c>
      <c r="B17" s="13">
        <f>Assumptions!C18</f>
        <v/>
      </c>
    </row>
    <row r="18">
      <c r="A18" t="inlineStr">
        <is>
          <t>Terminal distribution (Y5 x (1+g))</t>
        </is>
      </c>
      <c r="B18" s="10">
        <f>G8*(1+B17)</f>
        <v/>
      </c>
    </row>
    <row r="19">
      <c r="A19" t="inlineStr">
        <is>
          <t>Gordon TV</t>
        </is>
      </c>
      <c r="B19" s="10">
        <f>B18/(Assumptions!$B$7-B17)</f>
        <v/>
      </c>
    </row>
    <row r="20">
      <c r="A20" t="inlineStr">
        <is>
          <t>Cap TV (exit P/E x Y5 NI)</t>
        </is>
      </c>
      <c r="B20" s="10">
        <f>Assumptions!$B$8*G6</f>
        <v/>
      </c>
    </row>
    <row r="21">
      <c r="A21" t="inlineStr">
        <is>
          <t>TV used = MAX(0, MIN(Gordon, cap))</t>
        </is>
      </c>
      <c r="B21" s="10">
        <f>MAX(0,MIN(B19,B20))</f>
        <v/>
      </c>
    </row>
    <row r="22">
      <c r="A22" t="inlineStr">
        <is>
          <t>Implied exit P/E</t>
        </is>
      </c>
      <c r="B22" s="10">
        <f>B21/G6</f>
        <v/>
      </c>
    </row>
    <row r="23">
      <c r="A23" t="inlineStr">
        <is>
          <t>PV of TV</t>
        </is>
      </c>
      <c r="B23" s="10">
        <f>B21*G12</f>
        <v/>
      </c>
    </row>
    <row r="24">
      <c r="A24" t="inlineStr">
        <is>
          <t>Equity value (KZT m)</t>
        </is>
      </c>
      <c r="B24" s="10">
        <f>B16+B23</f>
        <v/>
      </c>
    </row>
    <row r="25">
      <c r="A25" t="inlineStr">
        <is>
          <t>less net debt</t>
        </is>
      </c>
      <c r="B25" s="10">
        <f>Assumptions!$B$13</f>
        <v/>
      </c>
    </row>
    <row r="26">
      <c r="A26" t="inlineStr">
        <is>
          <t>Equity value to shareholders</t>
        </is>
      </c>
      <c r="B26" s="10">
        <f>B24-B25</f>
        <v/>
      </c>
    </row>
    <row r="27">
      <c r="A27" t="inlineStr">
        <is>
          <t>Diluted shares (m)</t>
        </is>
      </c>
      <c r="B27" s="10">
        <f>Assumptions!$B$5</f>
        <v/>
      </c>
    </row>
    <row r="28">
      <c r="A28" t="inlineStr">
        <is>
          <t>Value per share (KZT)</t>
        </is>
      </c>
      <c r="B28" s="10">
        <f>B26/B27</f>
        <v/>
      </c>
    </row>
    <row r="29">
      <c r="A29" t="inlineStr">
        <is>
          <t>Value per share (EUR)</t>
        </is>
      </c>
      <c r="B29" s="14">
        <f>B28/Assumptions!$B$3</f>
        <v/>
      </c>
    </row>
    <row r="30">
      <c r="A30" t="inlineStr">
        <is>
          <t>Upside vs price</t>
        </is>
      </c>
      <c r="B30" s="13">
        <f>B29/Assumptions!$B$2-1</f>
        <v/>
      </c>
    </row>
    <row r="31">
      <c r="A31" t="inlineStr">
        <is>
          <t>Terminal % of value</t>
        </is>
      </c>
      <c r="B31" s="13">
        <f>B23/B24</f>
        <v/>
      </c>
    </row>
    <row r="32">
      <c r="A32" t="inlineStr">
        <is>
          <t>Implied P/E on FY2025 EPS</t>
        </is>
      </c>
      <c r="B32" s="10">
        <f>B28/Assumptions!$B$14</f>
        <v/>
      </c>
    </row>
    <row r="33">
      <c r="A33" t="inlineStr">
        <is>
          <t>Implied P/B on FY2025 BVPS</t>
        </is>
      </c>
      <c r="B33" s="10">
        <f>B28/Assumptions!$B$15</f>
        <v/>
      </c>
    </row>
    <row r="34"/>
    <row r="35">
      <c r="A35" t="inlineStr">
        <is>
          <t>Entry price (KZT) at KZT hurdle</t>
        </is>
      </c>
      <c r="B35" s="10">
        <f>(SUMPRODUCT(C8:G8/(1+Assumptions!$B$12)^C4:G4)+B21/(1+Assumptions!$B$12)^5-B25)/B27</f>
        <v/>
      </c>
    </row>
    <row r="36">
      <c r="A36" t="inlineStr">
        <is>
          <t>Entry price (EUR)</t>
        </is>
      </c>
      <c r="B36" s="10">
        <f>B35/Assumptions!$B$3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Bull scenario — discounted distributable earnings (KZT m)</t>
        </is>
      </c>
    </row>
    <row r="2"/>
    <row r="3">
      <c r="A3" t="inlineStr">
        <is>
          <t>Year</t>
        </is>
      </c>
      <c r="B3" t="inlineStr">
        <is>
          <t>2025A</t>
        </is>
      </c>
      <c r="C3" s="1" t="inlineStr">
        <is>
          <t>FY2026E</t>
        </is>
      </c>
      <c r="D3" s="1" t="inlineStr">
        <is>
          <t>FY2027E</t>
        </is>
      </c>
      <c r="E3" s="1" t="inlineStr">
        <is>
          <t>FY2028E</t>
        </is>
      </c>
      <c r="F3" s="1" t="inlineStr">
        <is>
          <t>FY2029E</t>
        </is>
      </c>
      <c r="G3" s="1" t="inlineStr">
        <is>
          <t>FY2030E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</row>
    <row r="5">
      <c r="A5" t="inlineStr">
        <is>
          <t>NI growth YoY (driver)</t>
        </is>
      </c>
      <c r="C5" s="6" t="n">
        <v>0.03</v>
      </c>
      <c r="D5" s="6" t="n">
        <v>0.15</v>
      </c>
      <c r="E5" s="6" t="n">
        <v>0.16</v>
      </c>
      <c r="F5" s="6" t="n">
        <v>0.14</v>
      </c>
      <c r="G5" s="6" t="n">
        <v>0.12</v>
      </c>
    </row>
    <row r="6">
      <c r="A6" t="inlineStr">
        <is>
          <t>Attributable net income</t>
        </is>
      </c>
      <c r="B6" s="11">
        <f>Assumptions!$B$6</f>
        <v/>
      </c>
      <c r="C6" s="10">
        <f>B6*(1+C5)</f>
        <v/>
      </c>
      <c r="D6" s="10">
        <f>C6*(1+D5)</f>
        <v/>
      </c>
      <c r="E6" s="10">
        <f>D6*(1+E5)</f>
        <v/>
      </c>
      <c r="F6" s="10">
        <f>E6*(1+F5)</f>
        <v/>
      </c>
      <c r="G6" s="10">
        <f>F6*(1+G5)</f>
        <v/>
      </c>
    </row>
    <row r="7">
      <c r="A7" t="inlineStr">
        <is>
          <t>Payout ratio (driver)</t>
        </is>
      </c>
      <c r="C7" s="12" t="n">
        <v>0.68</v>
      </c>
      <c r="D7" s="12" t="n">
        <v>0.72</v>
      </c>
      <c r="E7" s="12" t="n">
        <v>0.75</v>
      </c>
      <c r="F7" s="12" t="n">
        <v>0.75</v>
      </c>
      <c r="G7" s="12" t="n">
        <v>0.75</v>
      </c>
    </row>
    <row r="8">
      <c r="A8" t="inlineStr">
        <is>
          <t>Distributable earnings (dividends + buybacks)</t>
        </is>
      </c>
      <c r="C8" s="10">
        <f>C6*C7</f>
        <v/>
      </c>
      <c r="D8" s="10">
        <f>D6*D7</f>
        <v/>
      </c>
      <c r="E8" s="10">
        <f>E6*E7</f>
        <v/>
      </c>
      <c r="F8" s="10">
        <f>F6*F7</f>
        <v/>
      </c>
      <c r="G8" s="10">
        <f>G6*G7</f>
        <v/>
      </c>
    </row>
    <row r="9">
      <c r="A9" t="inlineStr">
        <is>
          <t>Retained earnings</t>
        </is>
      </c>
      <c r="C9" s="10">
        <f>C6-C8</f>
        <v/>
      </c>
      <c r="D9" s="10">
        <f>D6-D8</f>
        <v/>
      </c>
      <c r="E9" s="10">
        <f>E6-E8</f>
        <v/>
      </c>
      <c r="F9" s="10">
        <f>F6-F8</f>
        <v/>
      </c>
      <c r="G9" s="10">
        <f>G6-G8</f>
        <v/>
      </c>
    </row>
    <row r="10">
      <c r="A10" t="inlineStr">
        <is>
          <t>EPS (KZT)</t>
        </is>
      </c>
      <c r="B10" s="10">
        <f>B6/Assumptions!$B$5</f>
        <v/>
      </c>
      <c r="C10" s="10">
        <f>C6/Assumptions!$B$5</f>
        <v/>
      </c>
      <c r="D10" s="10">
        <f>D6/Assumptions!$B$5</f>
        <v/>
      </c>
      <c r="E10" s="10">
        <f>E6/Assumptions!$B$5</f>
        <v/>
      </c>
      <c r="F10" s="10">
        <f>F6/Assumptions!$B$5</f>
        <v/>
      </c>
      <c r="G10" s="10">
        <f>G6/Assumptions!$B$5</f>
        <v/>
      </c>
    </row>
    <row r="11">
      <c r="A11" t="inlineStr">
        <is>
          <t>DPS (KZT)</t>
        </is>
      </c>
      <c r="C11" s="10">
        <f>C8/Assumptions!$B$5</f>
        <v/>
      </c>
      <c r="D11" s="10">
        <f>D8/Assumptions!$B$5</f>
        <v/>
      </c>
      <c r="E11" s="10">
        <f>E8/Assumptions!$B$5</f>
        <v/>
      </c>
      <c r="F11" s="10">
        <f>F8/Assumptions!$B$5</f>
        <v/>
      </c>
      <c r="G11" s="10">
        <f>G8/Assumptions!$B$5</f>
        <v/>
      </c>
    </row>
    <row r="12">
      <c r="A12" t="inlineStr">
        <is>
          <t>Discount factor</t>
        </is>
      </c>
      <c r="B12" t="n">
        <v>1</v>
      </c>
      <c r="C12" s="10">
        <f>1/(1+Assumptions!$B$7)^C4</f>
        <v/>
      </c>
      <c r="D12" s="10">
        <f>1/(1+Assumptions!$B$7)^D4</f>
        <v/>
      </c>
      <c r="E12" s="10">
        <f>1/(1+Assumptions!$B$7)^E4</f>
        <v/>
      </c>
      <c r="F12" s="10">
        <f>1/(1+Assumptions!$B$7)^F4</f>
        <v/>
      </c>
      <c r="G12" s="10">
        <f>1/(1+Assumptions!$B$7)^G4</f>
        <v/>
      </c>
    </row>
    <row r="13">
      <c r="A13" t="inlineStr">
        <is>
          <t>PV of distributions</t>
        </is>
      </c>
      <c r="C13" s="10">
        <f>C8*C12</f>
        <v/>
      </c>
      <c r="D13" s="10">
        <f>D8*D12</f>
        <v/>
      </c>
      <c r="E13" s="10">
        <f>E8*E12</f>
        <v/>
      </c>
      <c r="F13" s="10">
        <f>F8*F12</f>
        <v/>
      </c>
      <c r="G13" s="10">
        <f>G8*G12</f>
        <v/>
      </c>
    </row>
    <row r="14"/>
    <row r="15"/>
    <row r="16">
      <c r="A16" t="inlineStr">
        <is>
          <t>Sum of PV distributions</t>
        </is>
      </c>
      <c r="B16" s="10">
        <f>SUM(C13:G13)</f>
        <v/>
      </c>
    </row>
    <row r="17">
      <c r="A17" t="inlineStr">
        <is>
          <t>Terminal growth</t>
        </is>
      </c>
      <c r="B17" s="13">
        <f>Assumptions!D18</f>
        <v/>
      </c>
    </row>
    <row r="18">
      <c r="A18" t="inlineStr">
        <is>
          <t>Terminal distribution (Y5 x (1+g))</t>
        </is>
      </c>
      <c r="B18" s="10">
        <f>G8*(1+B17)</f>
        <v/>
      </c>
    </row>
    <row r="19">
      <c r="A19" t="inlineStr">
        <is>
          <t>Gordon TV</t>
        </is>
      </c>
      <c r="B19" s="10">
        <f>B18/(Assumptions!$B$7-B17)</f>
        <v/>
      </c>
    </row>
    <row r="20">
      <c r="A20" t="inlineStr">
        <is>
          <t>Cap TV (exit P/E x Y5 NI)</t>
        </is>
      </c>
      <c r="B20" s="10">
        <f>Assumptions!$B$8*G6</f>
        <v/>
      </c>
    </row>
    <row r="21">
      <c r="A21" t="inlineStr">
        <is>
          <t>TV used = MAX(0, MIN(Gordon, cap))</t>
        </is>
      </c>
      <c r="B21" s="10">
        <f>MAX(0,MIN(B19,B20))</f>
        <v/>
      </c>
    </row>
    <row r="22">
      <c r="A22" t="inlineStr">
        <is>
          <t>Implied exit P/E</t>
        </is>
      </c>
      <c r="B22" s="10">
        <f>B21/G6</f>
        <v/>
      </c>
    </row>
    <row r="23">
      <c r="A23" t="inlineStr">
        <is>
          <t>PV of TV</t>
        </is>
      </c>
      <c r="B23" s="10">
        <f>B21*G12</f>
        <v/>
      </c>
    </row>
    <row r="24">
      <c r="A24" t="inlineStr">
        <is>
          <t>Equity value (KZT m)</t>
        </is>
      </c>
      <c r="B24" s="10">
        <f>B16+B23</f>
        <v/>
      </c>
    </row>
    <row r="25">
      <c r="A25" t="inlineStr">
        <is>
          <t>less net debt</t>
        </is>
      </c>
      <c r="B25" s="10">
        <f>Assumptions!$B$13</f>
        <v/>
      </c>
    </row>
    <row r="26">
      <c r="A26" t="inlineStr">
        <is>
          <t>Equity value to shareholders</t>
        </is>
      </c>
      <c r="B26" s="10">
        <f>B24-B25</f>
        <v/>
      </c>
    </row>
    <row r="27">
      <c r="A27" t="inlineStr">
        <is>
          <t>Diluted shares (m)</t>
        </is>
      </c>
      <c r="B27" s="10">
        <f>Assumptions!$B$5</f>
        <v/>
      </c>
    </row>
    <row r="28">
      <c r="A28" t="inlineStr">
        <is>
          <t>Value per share (KZT)</t>
        </is>
      </c>
      <c r="B28" s="10">
        <f>B26/B27</f>
        <v/>
      </c>
    </row>
    <row r="29">
      <c r="A29" t="inlineStr">
        <is>
          <t>Value per share (EUR)</t>
        </is>
      </c>
      <c r="B29" s="14">
        <f>B28/Assumptions!$B$3</f>
        <v/>
      </c>
    </row>
    <row r="30">
      <c r="A30" t="inlineStr">
        <is>
          <t>Upside vs price</t>
        </is>
      </c>
      <c r="B30" s="13">
        <f>B29/Assumptions!$B$2-1</f>
        <v/>
      </c>
    </row>
    <row r="31">
      <c r="A31" t="inlineStr">
        <is>
          <t>Terminal % of value</t>
        </is>
      </c>
      <c r="B31" s="13">
        <f>B23/B24</f>
        <v/>
      </c>
    </row>
    <row r="32">
      <c r="A32" t="inlineStr">
        <is>
          <t>Implied P/E on FY2025 EPS</t>
        </is>
      </c>
      <c r="B32" s="10">
        <f>B28/Assumptions!$B$14</f>
        <v/>
      </c>
    </row>
    <row r="33">
      <c r="A33" t="inlineStr">
        <is>
          <t>Implied P/B on FY2025 BVPS</t>
        </is>
      </c>
      <c r="B33" s="10">
        <f>B28/Assumptions!$B$15</f>
        <v/>
      </c>
    </row>
    <row r="34"/>
    <row r="35">
      <c r="A35" t="inlineStr">
        <is>
          <t>Entry price (KZT) at KZT hurdle</t>
        </is>
      </c>
      <c r="B35" s="10">
        <f>(SUMPRODUCT(C8:G8/(1+Assumptions!$B$12)^C4:G4)+B21/(1+Assumptions!$B$12)^5-B25)/B27</f>
        <v/>
      </c>
    </row>
    <row r="36">
      <c r="A36" t="inlineStr">
        <is>
          <t>Entry price (EUR)</t>
        </is>
      </c>
      <c r="B36" s="10">
        <f>B35/Assumptions!$B$3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Valuation summary (EUR per share unless stated)</t>
        </is>
      </c>
    </row>
    <row r="2"/>
    <row r="3">
      <c r="A3" s="1" t="inlineStr">
        <is>
          <t>Scenario</t>
        </is>
      </c>
      <c r="B3" s="1" t="inlineStr">
        <is>
          <t>Value KZT</t>
        </is>
      </c>
      <c r="C3" s="1" t="inlineStr">
        <is>
          <t>Value EUR</t>
        </is>
      </c>
      <c r="D3" s="1" t="inlineStr">
        <is>
          <t>Upside</t>
        </is>
      </c>
      <c r="E3" s="1" t="inlineStr">
        <is>
          <t>Weight</t>
        </is>
      </c>
      <c r="F3" s="1" t="inlineStr">
        <is>
          <t>Entry EUR</t>
        </is>
      </c>
    </row>
    <row r="4">
      <c r="A4" t="inlineStr">
        <is>
          <t>Bear</t>
        </is>
      </c>
      <c r="B4" s="11">
        <f>DDM_Bear!B28</f>
        <v/>
      </c>
      <c r="C4" s="11">
        <f>DDM_Bear!B29</f>
        <v/>
      </c>
      <c r="D4" s="15">
        <f>DDM_Bear!B30</f>
        <v/>
      </c>
      <c r="E4" s="16">
        <f>Assumptions!B19</f>
        <v/>
      </c>
      <c r="F4" s="11">
        <f>DDM_Bear!B36</f>
        <v/>
      </c>
    </row>
    <row r="5">
      <c r="A5" t="inlineStr">
        <is>
          <t>Base</t>
        </is>
      </c>
      <c r="B5" s="11">
        <f>DDM_Base!B28</f>
        <v/>
      </c>
      <c r="C5" s="11">
        <f>DDM_Base!B29</f>
        <v/>
      </c>
      <c r="D5" s="15">
        <f>DDM_Base!B30</f>
        <v/>
      </c>
      <c r="E5" s="16">
        <f>Assumptions!C19</f>
        <v/>
      </c>
      <c r="F5" s="11">
        <f>DDM_Base!B36</f>
        <v/>
      </c>
    </row>
    <row r="6">
      <c r="A6" t="inlineStr">
        <is>
          <t>Bull</t>
        </is>
      </c>
      <c r="B6" s="11">
        <f>DDM_Bull!B28</f>
        <v/>
      </c>
      <c r="C6" s="11">
        <f>DDM_Bull!B29</f>
        <v/>
      </c>
      <c r="D6" s="15">
        <f>DDM_Bull!B30</f>
        <v/>
      </c>
      <c r="E6" s="16">
        <f>Assumptions!D19</f>
        <v/>
      </c>
      <c r="F6" s="11">
        <f>DDM_Bull!B36</f>
        <v/>
      </c>
    </row>
    <row r="7"/>
    <row r="8">
      <c r="A8" t="inlineStr">
        <is>
          <t>Probability-weighted IV (EUR)</t>
        </is>
      </c>
      <c r="B8" s="14">
        <f>SUMPRODUCT(C4:C6,E4:E6)</f>
        <v/>
      </c>
    </row>
    <row r="9">
      <c r="A9" t="inlineStr">
        <is>
          <t>Probability-weighted IV (KZT)</t>
        </is>
      </c>
      <c r="B9" s="10">
        <f>SUMPRODUCT(B4:B6,E4:E6)</f>
        <v/>
      </c>
    </row>
    <row r="10">
      <c r="A10" t="inlineStr">
        <is>
          <t>Margin of safety vs price</t>
        </is>
      </c>
      <c r="B10" s="13">
        <f>1-Assumptions!$B$2/B8</f>
        <v/>
      </c>
    </row>
    <row r="11">
      <c r="A11" t="inlineStr">
        <is>
          <t>Weighted entry price (EUR, 15% EUR hurdle)</t>
        </is>
      </c>
      <c r="B11" s="17">
        <f>SUMPRODUCT(F4:F6,E4:E6)</f>
        <v/>
      </c>
    </row>
    <row r="12">
      <c r="A12" t="inlineStr">
        <is>
          <t>Band position (house vs street)</t>
        </is>
      </c>
      <c r="B12" t="inlineStr">
        <is>
          <t>n/a — SBC inside IFRS NI, band collapsed</t>
        </is>
      </c>
    </row>
    <row r="13"/>
    <row r="14">
      <c r="A14" s="1" t="inlineStr">
        <is>
          <t>Required-return table (base case, EUR/share)</t>
        </is>
      </c>
    </row>
    <row r="15">
      <c r="A15" t="inlineStr">
        <is>
          <t>KZT required return</t>
        </is>
      </c>
      <c r="B15" t="inlineStr">
        <is>
          <t>Value EUR</t>
        </is>
      </c>
    </row>
    <row r="16">
      <c r="A16" s="7" t="n">
        <v>0.15</v>
      </c>
      <c r="B16" s="10">
        <f>(SUMPRODUCT(DDM_Base!$C$8:$G$8/(1+A16)^DDM_Base!$C$4:$G$4)+DDM_Base!$B$21/(1+A16)^5-Assumptions!$B$13)/Assumptions!$B$5/Assumptions!$B$3</f>
        <v/>
      </c>
    </row>
    <row r="17">
      <c r="A17" s="7" t="n">
        <v>0.17</v>
      </c>
      <c r="B17" s="10">
        <f>(SUMPRODUCT(DDM_Base!$C$8:$G$8/(1+A17)^DDM_Base!$C$4:$G$4)+DDM_Base!$B$21/(1+A17)^5-Assumptions!$B$13)/Assumptions!$B$5/Assumptions!$B$3</f>
        <v/>
      </c>
    </row>
    <row r="18">
      <c r="A18" s="7" t="n">
        <v>0.19</v>
      </c>
      <c r="B18" s="10">
        <f>(SUMPRODUCT(DDM_Base!$C$8:$G$8/(1+A18)^DDM_Base!$C$4:$G$4)+DDM_Base!$B$21/(1+A18)^5-Assumptions!$B$13)/Assumptions!$B$5/Assumptions!$B$3</f>
        <v/>
      </c>
    </row>
    <row r="19">
      <c r="A19" s="7" t="n">
        <v>0.21</v>
      </c>
      <c r="B19" s="10">
        <f>(SUMPRODUCT(DDM_Base!$C$8:$G$8/(1+A19)^DDM_Base!$C$4:$G$4)+DDM_Base!$B$21/(1+A19)^5-Assumptions!$B$13)/Assumptions!$B$5/Assumptions!$B$3</f>
        <v/>
      </c>
    </row>
    <row r="20">
      <c r="A20" s="7" t="n">
        <v>0.25</v>
      </c>
      <c r="B20" s="10">
        <f>(SUMPRODUCT(DDM_Base!$C$8:$G$8/(1+A20)^DDM_Base!$C$4:$G$4)+DDM_Base!$B$21/(1+A20)^5-Assumptions!$B$13)/Assumptions!$B$5/Assumptions!$B$3</f>
        <v/>
      </c>
    </row>
    <row r="21">
      <c r="A21" s="18">
        <f>Assumptions!$B$12</f>
        <v/>
      </c>
      <c r="B21" s="10">
        <f>(SUMPRODUCT(DDM_Base!$C$8:$G$8/(1+A21)^DDM_Base!$C$4:$G$4)+DDM_Base!$B$21/(1+A21)^5-Assumptions!$B$13)/Assumptions!$B$5/Assumptions!$B$3</f>
        <v/>
      </c>
      <c r="C21" t="inlineStr">
        <is>
          <t>KZT hurdle (15% EUR)</t>
        </is>
      </c>
    </row>
    <row r="22"/>
    <row r="23">
      <c r="A23" s="1" t="inlineStr">
        <is>
          <t>Sensitivity: base case, cost of equity (rows) x terminal growth (cols), EUR/share</t>
        </is>
      </c>
    </row>
    <row r="24">
      <c r="B24" s="7" t="n">
        <v>0.05</v>
      </c>
      <c r="C24" s="7" t="n">
        <v>0.055</v>
      </c>
      <c r="D24" s="7" t="n">
        <v>0.06</v>
      </c>
      <c r="E24" s="7" t="n">
        <v>0.065</v>
      </c>
      <c r="F24" s="7" t="n">
        <v>0.07000000000000001</v>
      </c>
    </row>
    <row r="25">
      <c r="A25" s="7" t="n">
        <v>0.17</v>
      </c>
      <c r="B25" s="10">
        <f>IF($A25&gt;B$24,(SUMPRODUCT(DDM_Base!$C$8:$G$8/(1+$A25)^DDM_Base!$C$4:$G$4)+MAX(0,MIN(DDM_Base!$G$8*(1+B$24)/($A25-B$24),Assumptions!$B$8*DDM_Base!$G$6))/(1+$A25)^5-Assumptions!$B$13)/Assumptions!$B$5/Assumptions!$B$3,"n/a")</f>
        <v/>
      </c>
      <c r="C25" s="10">
        <f>IF($A25&gt;C$24,(SUMPRODUCT(DDM_Base!$C$8:$G$8/(1+$A25)^DDM_Base!$C$4:$G$4)+MAX(0,MIN(DDM_Base!$G$8*(1+C$24)/($A25-C$24),Assumptions!$B$8*DDM_Base!$G$6))/(1+$A25)^5-Assumptions!$B$13)/Assumptions!$B$5/Assumptions!$B$3,"n/a")</f>
        <v/>
      </c>
      <c r="D25" s="10">
        <f>IF($A25&gt;D$24,(SUMPRODUCT(DDM_Base!$C$8:$G$8/(1+$A25)^DDM_Base!$C$4:$G$4)+MAX(0,MIN(DDM_Base!$G$8*(1+D$24)/($A25-D$24),Assumptions!$B$8*DDM_Base!$G$6))/(1+$A25)^5-Assumptions!$B$13)/Assumptions!$B$5/Assumptions!$B$3,"n/a")</f>
        <v/>
      </c>
      <c r="E25" s="10">
        <f>IF($A25&gt;E$24,(SUMPRODUCT(DDM_Base!$C$8:$G$8/(1+$A25)^DDM_Base!$C$4:$G$4)+MAX(0,MIN(DDM_Base!$G$8*(1+E$24)/($A25-E$24),Assumptions!$B$8*DDM_Base!$G$6))/(1+$A25)^5-Assumptions!$B$13)/Assumptions!$B$5/Assumptions!$B$3,"n/a")</f>
        <v/>
      </c>
      <c r="F25" s="10">
        <f>IF($A25&gt;F$24,(SUMPRODUCT(DDM_Base!$C$8:$G$8/(1+$A25)^DDM_Base!$C$4:$G$4)+MAX(0,MIN(DDM_Base!$G$8*(1+F$24)/($A25-F$24),Assumptions!$B$8*DDM_Base!$G$6))/(1+$A25)^5-Assumptions!$B$13)/Assumptions!$B$5/Assumptions!$B$3,"n/a")</f>
        <v/>
      </c>
    </row>
    <row r="26">
      <c r="A26" s="7" t="n">
        <v>0.18</v>
      </c>
      <c r="B26" s="10">
        <f>IF($A26&gt;B$24,(SUMPRODUCT(DDM_Base!$C$8:$G$8/(1+$A26)^DDM_Base!$C$4:$G$4)+MAX(0,MIN(DDM_Base!$G$8*(1+B$24)/($A26-B$24),Assumptions!$B$8*DDM_Base!$G$6))/(1+$A26)^5-Assumptions!$B$13)/Assumptions!$B$5/Assumptions!$B$3,"n/a")</f>
        <v/>
      </c>
      <c r="C26" s="10">
        <f>IF($A26&gt;C$24,(SUMPRODUCT(DDM_Base!$C$8:$G$8/(1+$A26)^DDM_Base!$C$4:$G$4)+MAX(0,MIN(DDM_Base!$G$8*(1+C$24)/($A26-C$24),Assumptions!$B$8*DDM_Base!$G$6))/(1+$A26)^5-Assumptions!$B$13)/Assumptions!$B$5/Assumptions!$B$3,"n/a")</f>
        <v/>
      </c>
      <c r="D26" s="10">
        <f>IF($A26&gt;D$24,(SUMPRODUCT(DDM_Base!$C$8:$G$8/(1+$A26)^DDM_Base!$C$4:$G$4)+MAX(0,MIN(DDM_Base!$G$8*(1+D$24)/($A26-D$24),Assumptions!$B$8*DDM_Base!$G$6))/(1+$A26)^5-Assumptions!$B$13)/Assumptions!$B$5/Assumptions!$B$3,"n/a")</f>
        <v/>
      </c>
      <c r="E26" s="10">
        <f>IF($A26&gt;E$24,(SUMPRODUCT(DDM_Base!$C$8:$G$8/(1+$A26)^DDM_Base!$C$4:$G$4)+MAX(0,MIN(DDM_Base!$G$8*(1+E$24)/($A26-E$24),Assumptions!$B$8*DDM_Base!$G$6))/(1+$A26)^5-Assumptions!$B$13)/Assumptions!$B$5/Assumptions!$B$3,"n/a")</f>
        <v/>
      </c>
      <c r="F26" s="10">
        <f>IF($A26&gt;F$24,(SUMPRODUCT(DDM_Base!$C$8:$G$8/(1+$A26)^DDM_Base!$C$4:$G$4)+MAX(0,MIN(DDM_Base!$G$8*(1+F$24)/($A26-F$24),Assumptions!$B$8*DDM_Base!$G$6))/(1+$A26)^5-Assumptions!$B$13)/Assumptions!$B$5/Assumptions!$B$3,"n/a")</f>
        <v/>
      </c>
    </row>
    <row r="27">
      <c r="A27" s="7" t="n">
        <v>0.19</v>
      </c>
      <c r="B27" s="10">
        <f>IF($A27&gt;B$24,(SUMPRODUCT(DDM_Base!$C$8:$G$8/(1+$A27)^DDM_Base!$C$4:$G$4)+MAX(0,MIN(DDM_Base!$G$8*(1+B$24)/($A27-B$24),Assumptions!$B$8*DDM_Base!$G$6))/(1+$A27)^5-Assumptions!$B$13)/Assumptions!$B$5/Assumptions!$B$3,"n/a")</f>
        <v/>
      </c>
      <c r="C27" s="10">
        <f>IF($A27&gt;C$24,(SUMPRODUCT(DDM_Base!$C$8:$G$8/(1+$A27)^DDM_Base!$C$4:$G$4)+MAX(0,MIN(DDM_Base!$G$8*(1+C$24)/($A27-C$24),Assumptions!$B$8*DDM_Base!$G$6))/(1+$A27)^5-Assumptions!$B$13)/Assumptions!$B$5/Assumptions!$B$3,"n/a")</f>
        <v/>
      </c>
      <c r="D27" s="17">
        <f>IF($A27&gt;D$24,(SUMPRODUCT(DDM_Base!$C$8:$G$8/(1+$A27)^DDM_Base!$C$4:$G$4)+MAX(0,MIN(DDM_Base!$G$8*(1+D$24)/($A27-D$24),Assumptions!$B$8*DDM_Base!$G$6))/(1+$A27)^5-Assumptions!$B$13)/Assumptions!$B$5/Assumptions!$B$3,"n/a")</f>
        <v/>
      </c>
      <c r="E27" s="10">
        <f>IF($A27&gt;E$24,(SUMPRODUCT(DDM_Base!$C$8:$G$8/(1+$A27)^DDM_Base!$C$4:$G$4)+MAX(0,MIN(DDM_Base!$G$8*(1+E$24)/($A27-E$24),Assumptions!$B$8*DDM_Base!$G$6))/(1+$A27)^5-Assumptions!$B$13)/Assumptions!$B$5/Assumptions!$B$3,"n/a")</f>
        <v/>
      </c>
      <c r="F27" s="10">
        <f>IF($A27&gt;F$24,(SUMPRODUCT(DDM_Base!$C$8:$G$8/(1+$A27)^DDM_Base!$C$4:$G$4)+MAX(0,MIN(DDM_Base!$G$8*(1+F$24)/($A27-F$24),Assumptions!$B$8*DDM_Base!$G$6))/(1+$A27)^5-Assumptions!$B$13)/Assumptions!$B$5/Assumptions!$B$3,"n/a")</f>
        <v/>
      </c>
    </row>
    <row r="28">
      <c r="A28" s="7" t="n">
        <v>0.2</v>
      </c>
      <c r="B28" s="10">
        <f>IF($A28&gt;B$24,(SUMPRODUCT(DDM_Base!$C$8:$G$8/(1+$A28)^DDM_Base!$C$4:$G$4)+MAX(0,MIN(DDM_Base!$G$8*(1+B$24)/($A28-B$24),Assumptions!$B$8*DDM_Base!$G$6))/(1+$A28)^5-Assumptions!$B$13)/Assumptions!$B$5/Assumptions!$B$3,"n/a")</f>
        <v/>
      </c>
      <c r="C28" s="10">
        <f>IF($A28&gt;C$24,(SUMPRODUCT(DDM_Base!$C$8:$G$8/(1+$A28)^DDM_Base!$C$4:$G$4)+MAX(0,MIN(DDM_Base!$G$8*(1+C$24)/($A28-C$24),Assumptions!$B$8*DDM_Base!$G$6))/(1+$A28)^5-Assumptions!$B$13)/Assumptions!$B$5/Assumptions!$B$3,"n/a")</f>
        <v/>
      </c>
      <c r="D28" s="10">
        <f>IF($A28&gt;D$24,(SUMPRODUCT(DDM_Base!$C$8:$G$8/(1+$A28)^DDM_Base!$C$4:$G$4)+MAX(0,MIN(DDM_Base!$G$8*(1+D$24)/($A28-D$24),Assumptions!$B$8*DDM_Base!$G$6))/(1+$A28)^5-Assumptions!$B$13)/Assumptions!$B$5/Assumptions!$B$3,"n/a")</f>
        <v/>
      </c>
      <c r="E28" s="10">
        <f>IF($A28&gt;E$24,(SUMPRODUCT(DDM_Base!$C$8:$G$8/(1+$A28)^DDM_Base!$C$4:$G$4)+MAX(0,MIN(DDM_Base!$G$8*(1+E$24)/($A28-E$24),Assumptions!$B$8*DDM_Base!$G$6))/(1+$A28)^5-Assumptions!$B$13)/Assumptions!$B$5/Assumptions!$B$3,"n/a")</f>
        <v/>
      </c>
      <c r="F28" s="10">
        <f>IF($A28&gt;F$24,(SUMPRODUCT(DDM_Base!$C$8:$G$8/(1+$A28)^DDM_Base!$C$4:$G$4)+MAX(0,MIN(DDM_Base!$G$8*(1+F$24)/($A28-F$24),Assumptions!$B$8*DDM_Base!$G$6))/(1+$A28)^5-Assumptions!$B$13)/Assumptions!$B$5/Assumptions!$B$3,"n/a")</f>
        <v/>
      </c>
    </row>
    <row r="29">
      <c r="A29" s="7" t="n">
        <v>0.21</v>
      </c>
      <c r="B29" s="10">
        <f>IF($A29&gt;B$24,(SUMPRODUCT(DDM_Base!$C$8:$G$8/(1+$A29)^DDM_Base!$C$4:$G$4)+MAX(0,MIN(DDM_Base!$G$8*(1+B$24)/($A29-B$24),Assumptions!$B$8*DDM_Base!$G$6))/(1+$A29)^5-Assumptions!$B$13)/Assumptions!$B$5/Assumptions!$B$3,"n/a")</f>
        <v/>
      </c>
      <c r="C29" s="10">
        <f>IF($A29&gt;C$24,(SUMPRODUCT(DDM_Base!$C$8:$G$8/(1+$A29)^DDM_Base!$C$4:$G$4)+MAX(0,MIN(DDM_Base!$G$8*(1+C$24)/($A29-C$24),Assumptions!$B$8*DDM_Base!$G$6))/(1+$A29)^5-Assumptions!$B$13)/Assumptions!$B$5/Assumptions!$B$3,"n/a")</f>
        <v/>
      </c>
      <c r="D29" s="10">
        <f>IF($A29&gt;D$24,(SUMPRODUCT(DDM_Base!$C$8:$G$8/(1+$A29)^DDM_Base!$C$4:$G$4)+MAX(0,MIN(DDM_Base!$G$8*(1+D$24)/($A29-D$24),Assumptions!$B$8*DDM_Base!$G$6))/(1+$A29)^5-Assumptions!$B$13)/Assumptions!$B$5/Assumptions!$B$3,"n/a")</f>
        <v/>
      </c>
      <c r="E29" s="10">
        <f>IF($A29&gt;E$24,(SUMPRODUCT(DDM_Base!$C$8:$G$8/(1+$A29)^DDM_Base!$C$4:$G$4)+MAX(0,MIN(DDM_Base!$G$8*(1+E$24)/($A29-E$24),Assumptions!$B$8*DDM_Base!$G$6))/(1+$A29)^5-Assumptions!$B$13)/Assumptions!$B$5/Assumptions!$B$3,"n/a")</f>
        <v/>
      </c>
      <c r="F29" s="10">
        <f>IF($A29&gt;F$24,(SUMPRODUCT(DDM_Base!$C$8:$G$8/(1+$A29)^DDM_Base!$C$4:$G$4)+MAX(0,MIN(DDM_Base!$G$8*(1+F$24)/($A29-F$24),Assumptions!$B$8*DDM_Base!$G$6))/(1+$A29)^5-Assumptions!$B$13)/Assumptions!$B$5/Assumptions!$B$3,"n/a")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2026-08-25T20:23:32Z</dcterms:created>
  <dcterms:modified xsi:type="dcterms:W3CDTF">2026-08-25T20:23:32Z</dcterms:modified>
</cp:coreProperties>
</file>