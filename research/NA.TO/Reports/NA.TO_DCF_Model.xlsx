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<sst xmlns="http://schemas.openxmlformats.org/spreadsheetml/2006/main" count="368" uniqueCount="172">
  <si>
    <t xml:space="preserve">Ticker</t>
  </si>
  <si>
    <t xml:space="preserve">NA.TO</t>
  </si>
  <si>
    <t xml:space="preserve">Company</t>
  </si>
  <si>
    <t xml:space="preserve">National Bank of Canada</t>
  </si>
  <si>
    <t xml:space="preserve">Valuation date</t>
  </si>
  <si>
    <t xml:space="preserve">2026-10-10</t>
  </si>
  <si>
    <t xml:space="preserve">Current price</t>
  </si>
  <si>
    <t xml:space="preserve">Price as of</t>
  </si>
  <si>
    <t xml:space="preserve">2026-10-09T20:00:00Z regular close (TSX)</t>
  </si>
  <si>
    <t xml:space="preserve">Balance sheet date</t>
  </si>
  <si>
    <t xml:space="preserve">2026-07-31</t>
  </si>
  <si>
    <t xml:space="preserve">Model</t>
  </si>
  <si>
    <t xml:space="preserve">Bank FCFE at cost of equity (engine route, net debt zero)</t>
  </si>
  <si>
    <t xml:space="preserve">Currency (model)</t>
  </si>
  <si>
    <t xml:space="preserve">CAD</t>
  </si>
  <si>
    <t xml:space="preserve">Currency (quote)</t>
  </si>
  <si>
    <t xml:space="preserve">Units</t>
  </si>
  <si>
    <t xml:space="preserve">millions</t>
  </si>
  <si>
    <t xml:space="preserve">Engine</t>
  </si>
  <si>
    <t xml:space="preserve">dcf_engine v1</t>
  </si>
  <si>
    <t xml:space="preserve">Built at</t>
  </si>
  <si>
    <t xml:space="preserve">2026-10-10T09:16:15Z</t>
  </si>
  <si>
    <t xml:space="preserve">Drivers file</t>
  </si>
  <si>
    <t xml:space="preserve">NA.TO_Drivers.json</t>
  </si>
  <si>
    <t xml:space="preserve">Convention</t>
  </si>
  <si>
    <t xml:space="preserve">Percents stored as percents; formulas divide by 100. Blue = input, green = link, black = formula.</t>
  </si>
  <si>
    <t xml:space="preserve">Methodology</t>
  </si>
  <si>
    <t xml:space="preserve">summary: A bank is valued on the equity cash it can distribute after holding the capital its growth needs, discounted at the cost of equity. Deposits are funding, not debt, so there is no net-debt bridge. The question is whether NBC's premium P/B (~2.4x book, ~16x TTM adjusted EPS) is earned by its best-in-class ROE.
key_risks_to_valuation: Capital Markets revenue (~26% of the mix, Q3 FY2026 +34% YoY) is at a cyclical high; the base already trims it, the bear removes it; Quebec housing concentration plus the CWB commercial book in a tariff-hit economy: PCL is the largest swing factor in the flow; CET1 run-rate: a regulator- or market-driven move to 13.5-14% raises retention and cuts FCFE ~3-5%; Cost of equity: +/-50bp moves the base value roughly -/+10%; Laurentian retail/SME close (targeted Nov 2026) and CWB AIRB model transition deferred to FY2027 (RWA relief timing)</t>
  </si>
  <si>
    <t xml:space="preserve">Data sources</t>
  </si>
  <si>
    <t xml:space="preserve">price: Yahoo Finance chart API (NA.TO) at inputs.price_as_of; 52-week range 149.28-237.13
financials: NA.TO_Metrics.csv; Q3 FY2026 press release (NA.TO_Quarterly_Q3-2026.txt: adjusted reconciliation lines 161-270, highlights 341-392); FY2025 Annual Report (adjusted results line 1197, pref distributions 14702, goodwill/intangibles 9156-9157, RWA 4208)
qualitative: NA.TO_Analysis.json (2026-10-10)</t>
  </si>
  <si>
    <t xml:space="preserve">Scenario narrative: bear</t>
  </si>
  <si>
    <t xml:space="preserve">A tariff-driven Canadian slowdown hits Quebec housing and the commercial book acquired with CWB: PCL roughly doubles to ~60bp for two years, trading revenue mean-reverts hard from 2026 highs, and two concurrent integrations bring client attrition and cost overruns. Revenue stalls, margins fall ~5pp before partly recovering, and ROE sits near 13-14% - still profitable and well-capitalised (CET1 13.5%), so this is an earnings bear, not a solvency bear.</t>
  </si>
  <si>
    <t xml:space="preserve">Scenario narrative: base</t>
  </si>
  <si>
    <t xml:space="preserve">NBC digests CWB and the Laurentian retail/SME book on schedule: revenue grows ~6% for two years (organic loan growth ~5%, LBC adds ~1pp) and then slides toward nominal GDP, Capital Markets gives back part of its exceptional 2026 trading run, and PCL settles at ~35bp. Adjusted ROE holds ~16.5-17%, payout plus buybacks run ~70% of earnings, and the bank compounds as a high-return, Quebec-anchored franchise with a national footprint, not a re-rating story.</t>
  </si>
  <si>
    <t xml:space="preserve">Scenario narrative: bull</t>
  </si>
  <si>
    <t xml:space="preserve">The CWB deal proves to be a genuine pan-Canadian platform: Western Canada commercial cross-sell and the Calgary/Edmonton capital-markets build add revenue synergies on top of cost synergies, the fee-heavy Wealth and Capital Markets franchises keep outgrowing the balance sheet, credit stays benign, and management beats its 17%+ ROE target. Revenue compounds 7-9% for three years and margins widen ~1.5pp.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</si>
  <si>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</si>
  <si>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</si>
  <si>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</si>
  <si>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</si>
  <si>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</si>
  <si>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</si>
  <si>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</si>
  <si>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</si>
  <si>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</si>
  <si>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</si>
  <si>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</si>
  <si>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</si>
  <si>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</si>
  <si>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</si>
  <si>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</si>
  <si>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</si>
  <si>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</si>
  <si>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</si>
  <si>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</si>
  <si>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</si>
  <si>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</si>
  <si>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</si>
  <si>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</si>
  <si>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</si>
  <si>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</si>
  <si>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</si>
  <si>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</si>
  <si>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BasicEPS</t>
  </si>
  <si>
    <t xml:space="preserve">BookValuePerShare</t>
  </si>
  <si>
    <t xml:space="preserve">SharesDiluted</t>
  </si>
  <si>
    <t xml:space="preserve">SharesInIssuePeriodEnd</t>
  </si>
  <si>
    <t xml:space="preserve">TotalCommonEquity</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</si>
  <si>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</si>
  <si>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</si>
  <si>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</si>
  <si>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</si>
  <si>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</si>
  <si>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</si>
  <si>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</si>
  <si>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</si>
  <si>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</si>
  <si>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</si>
  <si>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</si>
  <si>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</si>
  <si>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</si>
  <si>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</si>
  <si>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</si>
  <si>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</si>
  <si>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</si>
  <si>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</si>
  <si>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</si>
  <si>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</si>
  <si>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2026-07-31 (Q4 FY2025 + Q1-Q3 FY2026)</t>
  </si>
  <si>
    <t xml:space="preserve">Currency / units</t>
  </si>
  <si>
    <t xml:space="preserve">CAD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</si>
  <si>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</si>
  <si>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</si>
  <si>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</si>
  <si>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</si>
  <si>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</si>
  <si>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</si>
  <si>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</si>
  <si>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</si>
  <si>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</si>
  <si>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</si>
  <si>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</si>
  <si>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</si>
  <si>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</si>
  <si>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</si>
  <si>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</si>
  <si>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</si>
  <si>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</si>
  <si>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</si>
  <si>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</si>
  <si>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</si>
  <si>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</si>
  <si>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</si>
  <si>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</si>
  <si>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</si>
  <si>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</si>
  <si>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</si>
  <si>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NA.TO owner-FCF component DCF: bear case (millions, CAD)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</si>
  <si>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</si>
  <si>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</si>
  <si>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</si>
  <si>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</si>
  <si>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</si>
  <si>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</si>
  <si>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</si>
  <si>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</si>
  <si>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</si>
  <si>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</si>
  <si>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</si>
  <si>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</si>
  <si>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</si>
  <si>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</si>
  <si>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</si>
  <si>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</si>
  <si>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</si>
  <si>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</si>
  <si>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</si>
  <si>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</si>
  <si>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</si>
  <si>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</si>
  <si>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</si>
  <si>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</si>
  <si>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</si>
  <si>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</si>
  <si>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</si>
  <si>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</si>
  <si>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</si>
  <si>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</si>
  <si>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NA.TO owner-FCF component DCF: base case (millions, CAD)</t>
  </si>
  <si>
    <t xml:space="preserve">NA.TO owner-FCF component DCF: bull case (millions, CAD)</t>
  </si>
  <si>
    <t xml:space="preserve">NA.TO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</si>
  <si>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</si>
  <si>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</si>
  <si>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</si>
  <si>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</si>
  <si>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</si>
  <si>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</si>
  <si>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</si>
  <si>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</si>
  <si>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</si>
  <si>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</si>
  <si>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</si>
  <si>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</si>
  <si>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</si>
  <si>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</si>
  <si>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</si>
  <si>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9.75%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</si>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</sst>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198.06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row>
    <row r="2" customFormat="false" ht="15" hidden="false" customHeight="false" outlineLevel="0" collapsed="false">
      <c r="A2" s="0" t="s">
        <v>68</v>
      </c>
      <c r="B2" s="0" t="n">
        <v>5746</v>
      </c>
      <c r="I2" s="0" t="n">
        <v>1619</v>
      </c>
      <c r="J2" s="0" t="n">
        <v>28.2</v>
      </c>
      <c r="K2" s="0" t="n">
        <v>4.51</v>
      </c>
      <c r="O2" s="0" t="n">
        <v>10554</v>
      </c>
      <c r="P2" s="0" t="n">
        <v>216090</v>
      </c>
      <c r="Q2" s="0" t="n">
        <v>204735</v>
      </c>
      <c r="R2" s="0" t="n">
        <v>1522</v>
      </c>
      <c r="S2" s="0" t="n">
        <v>7567</v>
      </c>
      <c r="T2" s="0" t="n">
        <v>333.139</v>
      </c>
      <c r="U2" s="0" t="n">
        <v>20</v>
      </c>
      <c r="AA2" s="0" t="s">
        <v>17</v>
      </c>
      <c r="AB2" s="0" t="s">
        <v>14</v>
      </c>
      <c r="AC2" s="0" t="n">
        <v>4.56</v>
      </c>
      <c r="AD2" s="0" t="n">
        <v>28.26</v>
      </c>
      <c r="AE2" s="0" t="n">
        <v>333.139</v>
      </c>
      <c r="AF2" s="0" t="n">
        <v>337.236</v>
      </c>
      <c r="AG2" s="0" t="n">
        <v>9531</v>
      </c>
    </row>
    <row r="3" customFormat="false" ht="15" hidden="false" customHeight="false" outlineLevel="0" collapsed="false">
      <c r="A3" s="0" t="s">
        <v>69</v>
      </c>
      <c r="B3" s="0" t="n">
        <v>5840</v>
      </c>
      <c r="I3" s="0" t="n">
        <v>1256</v>
      </c>
      <c r="J3" s="0" t="n">
        <v>21.5</v>
      </c>
      <c r="K3" s="0" t="n">
        <v>3.29</v>
      </c>
      <c r="O3" s="0" t="n">
        <v>11292</v>
      </c>
      <c r="P3" s="0" t="n">
        <v>232206</v>
      </c>
      <c r="Q3" s="0" t="n">
        <v>220104</v>
      </c>
      <c r="R3" s="0" t="n">
        <v>1012</v>
      </c>
      <c r="S3" s="0" t="n">
        <v>8183</v>
      </c>
      <c r="T3" s="0" t="n">
        <v>339.895</v>
      </c>
      <c r="U3" s="0" t="n">
        <v>12</v>
      </c>
      <c r="AA3" s="0" t="s">
        <v>17</v>
      </c>
      <c r="AB3" s="0" t="s">
        <v>14</v>
      </c>
      <c r="AE3" s="0" t="n">
        <v>339.895</v>
      </c>
      <c r="AG3" s="0" t="n">
        <v>9642</v>
      </c>
    </row>
    <row r="4" customFormat="false" ht="15" hidden="false" customHeight="false" outlineLevel="0" collapsed="false">
      <c r="A4" s="0" t="s">
        <v>70</v>
      </c>
      <c r="B4" s="0" t="n">
        <v>6609</v>
      </c>
      <c r="I4" s="0" t="n">
        <v>2024</v>
      </c>
      <c r="J4" s="0" t="n">
        <v>30.6</v>
      </c>
      <c r="K4" s="0" t="n">
        <v>5.38</v>
      </c>
      <c r="O4" s="0" t="n">
        <v>12750</v>
      </c>
      <c r="P4" s="0" t="n">
        <v>245827</v>
      </c>
      <c r="Q4" s="0" t="n">
        <v>232269</v>
      </c>
      <c r="R4" s="0" t="n">
        <v>9</v>
      </c>
      <c r="S4" s="0" t="n">
        <v>8802</v>
      </c>
      <c r="T4" s="0" t="n">
        <v>344.771</v>
      </c>
      <c r="U4" s="0" t="n">
        <v>11</v>
      </c>
      <c r="AA4" s="0" t="s">
        <v>17</v>
      </c>
      <c r="AB4" s="0" t="s">
        <v>14</v>
      </c>
      <c r="AE4" s="0" t="n">
        <v>344.771</v>
      </c>
      <c r="AG4" s="0" t="n">
        <v>10700</v>
      </c>
    </row>
    <row r="5" customFormat="false" ht="15" hidden="false" customHeight="false" outlineLevel="0" collapsed="false">
      <c r="A5" s="0" t="s">
        <v>71</v>
      </c>
      <c r="B5" s="0" t="n">
        <v>7166</v>
      </c>
      <c r="I5" s="0" t="n">
        <v>2232</v>
      </c>
      <c r="J5" s="0" t="n">
        <v>31.1</v>
      </c>
      <c r="K5" s="0" t="n">
        <v>5.94</v>
      </c>
      <c r="O5" s="0" t="n">
        <v>13976</v>
      </c>
      <c r="P5" s="0" t="n">
        <v>262471</v>
      </c>
      <c r="Q5" s="0" t="n">
        <v>248116</v>
      </c>
      <c r="R5" s="0" t="n">
        <v>747</v>
      </c>
      <c r="S5" s="0" t="n">
        <v>12756</v>
      </c>
      <c r="T5" s="0" t="n">
        <v>343.24</v>
      </c>
      <c r="U5" s="0" t="n">
        <v>12</v>
      </c>
      <c r="AA5" s="0" t="s">
        <v>17</v>
      </c>
      <c r="AB5" s="0" t="s">
        <v>14</v>
      </c>
      <c r="AE5" s="0" t="n">
        <v>343.24</v>
      </c>
      <c r="AG5" s="0" t="n">
        <v>11526</v>
      </c>
    </row>
    <row r="6" customFormat="false" ht="15" hidden="false" customHeight="false" outlineLevel="0" collapsed="false">
      <c r="A6" s="0" t="s">
        <v>72</v>
      </c>
      <c r="B6" s="0" t="n">
        <v>7432</v>
      </c>
      <c r="I6" s="0" t="n">
        <v>2322</v>
      </c>
      <c r="J6" s="0" t="n">
        <v>31.2</v>
      </c>
      <c r="K6" s="0" t="n">
        <v>6.34</v>
      </c>
      <c r="O6" s="0" t="n">
        <v>14778</v>
      </c>
      <c r="P6" s="0" t="n">
        <v>281458</v>
      </c>
      <c r="Q6" s="0" t="n">
        <v>266322</v>
      </c>
      <c r="R6" s="0" t="n">
        <v>773</v>
      </c>
      <c r="S6" s="0" t="n">
        <v>13698</v>
      </c>
      <c r="T6" s="0" t="n">
        <v>337.63</v>
      </c>
      <c r="U6" s="0" t="n">
        <v>11</v>
      </c>
      <c r="AA6" s="0" t="s">
        <v>17</v>
      </c>
      <c r="AB6" s="0" t="s">
        <v>14</v>
      </c>
      <c r="AE6" s="0" t="n">
        <v>337.63</v>
      </c>
      <c r="AG6" s="0" t="n">
        <v>12328</v>
      </c>
    </row>
    <row r="7" customFormat="false" ht="15" hidden="false" customHeight="false" outlineLevel="0" collapsed="false">
      <c r="A7" s="0" t="s">
        <v>73</v>
      </c>
      <c r="B7" s="0" t="n">
        <v>7927</v>
      </c>
      <c r="I7" s="0" t="n">
        <v>2083</v>
      </c>
      <c r="J7" s="0" t="n">
        <v>26.3</v>
      </c>
      <c r="K7" s="0" t="n">
        <v>5.7</v>
      </c>
      <c r="O7" s="0" t="n">
        <v>16380</v>
      </c>
      <c r="P7" s="0" t="n">
        <v>331625</v>
      </c>
      <c r="Q7" s="0" t="n">
        <v>315242</v>
      </c>
      <c r="R7" s="0" t="n">
        <v>775</v>
      </c>
      <c r="S7" s="0" t="n">
        <v>29142</v>
      </c>
      <c r="T7" s="0" t="n">
        <v>337.58</v>
      </c>
      <c r="U7" s="0" t="n">
        <v>9</v>
      </c>
      <c r="AA7" s="0" t="s">
        <v>17</v>
      </c>
      <c r="AB7" s="0" t="s">
        <v>14</v>
      </c>
      <c r="AE7" s="0" t="n">
        <v>337.58</v>
      </c>
      <c r="AG7" s="0" t="n">
        <v>13430</v>
      </c>
    </row>
    <row r="8" customFormat="false" ht="15" hidden="false" customHeight="false" outlineLevel="0" collapsed="false">
      <c r="A8" s="0" t="s">
        <v>74</v>
      </c>
      <c r="B8" s="0" t="n">
        <v>8927</v>
      </c>
      <c r="I8" s="0" t="n">
        <v>3177</v>
      </c>
      <c r="J8" s="0" t="n">
        <v>35.6</v>
      </c>
      <c r="K8" s="0" t="n">
        <v>8.96</v>
      </c>
      <c r="O8" s="0" t="n">
        <v>18853</v>
      </c>
      <c r="P8" s="0" t="n">
        <v>355795</v>
      </c>
      <c r="Q8" s="0" t="n">
        <v>336939</v>
      </c>
      <c r="R8" s="0" t="n">
        <v>768</v>
      </c>
      <c r="S8" s="0" t="n">
        <v>33879</v>
      </c>
      <c r="T8" s="0" t="n">
        <v>340.861</v>
      </c>
      <c r="U8" s="0" t="n">
        <v>11</v>
      </c>
      <c r="AA8" s="0" t="s">
        <v>17</v>
      </c>
      <c r="AB8" s="0" t="s">
        <v>14</v>
      </c>
      <c r="AE8" s="0" t="n">
        <v>340.861</v>
      </c>
      <c r="AG8" s="0" t="n">
        <v>16203</v>
      </c>
    </row>
    <row r="9" customFormat="false" ht="15" hidden="false" customHeight="false" outlineLevel="0" collapsed="false">
      <c r="A9" s="0" t="s">
        <v>75</v>
      </c>
      <c r="B9" s="0" t="n">
        <v>9652</v>
      </c>
      <c r="I9" s="0" t="n">
        <v>3383</v>
      </c>
      <c r="J9" s="0" t="n">
        <v>35</v>
      </c>
      <c r="K9" s="0" t="n">
        <v>9.61</v>
      </c>
      <c r="O9" s="0" t="n">
        <v>21744</v>
      </c>
      <c r="P9" s="0" t="n">
        <v>403740</v>
      </c>
      <c r="Q9" s="0" t="n">
        <v>381994</v>
      </c>
      <c r="R9" s="0" t="n">
        <v>1499</v>
      </c>
      <c r="S9" s="0" t="n">
        <v>31870</v>
      </c>
      <c r="T9" s="0" t="n">
        <v>340.837</v>
      </c>
      <c r="U9" s="0" t="n">
        <v>17</v>
      </c>
      <c r="AA9" s="0" t="s">
        <v>17</v>
      </c>
      <c r="AB9" s="0" t="s">
        <v>14</v>
      </c>
      <c r="AE9" s="0" t="n">
        <v>340.837</v>
      </c>
      <c r="AG9" s="0" t="n">
        <v>18594</v>
      </c>
    </row>
    <row r="10" customFormat="false" ht="15" hidden="false" customHeight="false" outlineLevel="0" collapsed="false">
      <c r="A10" s="0" t="s">
        <v>76</v>
      </c>
      <c r="B10" s="0" t="n">
        <v>10170</v>
      </c>
      <c r="I10" s="0" t="n">
        <v>3335</v>
      </c>
      <c r="J10" s="0" t="n">
        <v>32.8</v>
      </c>
      <c r="K10" s="0" t="n">
        <v>9.38</v>
      </c>
      <c r="O10" s="0" t="n">
        <v>23676</v>
      </c>
      <c r="P10" s="0" t="n">
        <v>423578</v>
      </c>
      <c r="Q10" s="0" t="n">
        <v>399900</v>
      </c>
      <c r="R10" s="0" t="n">
        <v>748</v>
      </c>
      <c r="S10" s="0" t="n">
        <v>35234</v>
      </c>
      <c r="T10" s="0" t="n">
        <v>340.768</v>
      </c>
      <c r="U10" s="0" t="n">
        <v>18</v>
      </c>
      <c r="AA10" s="0" t="s">
        <v>17</v>
      </c>
      <c r="AB10" s="0" t="s">
        <v>14</v>
      </c>
      <c r="AC10" s="0" t="n">
        <v>9.47</v>
      </c>
      <c r="AD10" s="0" t="n">
        <v>60.68</v>
      </c>
      <c r="AE10" s="0" t="n">
        <v>340.768</v>
      </c>
      <c r="AF10" s="0" t="n">
        <v>338.285</v>
      </c>
      <c r="AG10" s="0" t="n">
        <v>20526</v>
      </c>
    </row>
    <row r="11" customFormat="false" ht="15" hidden="false" customHeight="false" outlineLevel="0" collapsed="false">
      <c r="A11" s="0" t="s">
        <v>77</v>
      </c>
      <c r="B11" s="0" t="n">
        <v>11400</v>
      </c>
      <c r="I11" s="0" t="n">
        <v>3816</v>
      </c>
      <c r="J11" s="0" t="n">
        <v>33.5</v>
      </c>
      <c r="K11" s="0" t="n">
        <v>10.68</v>
      </c>
      <c r="O11" s="0" t="n">
        <v>25550</v>
      </c>
      <c r="P11" s="0" t="n">
        <v>462226</v>
      </c>
      <c r="Q11" s="0" t="n">
        <v>436676</v>
      </c>
      <c r="R11" s="0" t="n">
        <v>1258</v>
      </c>
      <c r="S11" s="0" t="n">
        <v>31549</v>
      </c>
      <c r="T11" s="0" t="n">
        <v>342.839</v>
      </c>
      <c r="U11" s="0" t="n">
        <v>17</v>
      </c>
      <c r="AA11" s="0" t="s">
        <v>17</v>
      </c>
      <c r="AB11" s="0" t="s">
        <v>14</v>
      </c>
      <c r="AC11" s="0" t="n">
        <v>10.78</v>
      </c>
      <c r="AD11" s="0" t="n">
        <v>65.74</v>
      </c>
      <c r="AE11" s="0" t="n">
        <v>342.839</v>
      </c>
      <c r="AF11" s="0" t="n">
        <v>340.744</v>
      </c>
      <c r="AG11" s="0" t="n">
        <v>22400</v>
      </c>
    </row>
    <row r="12" customFormat="false" ht="15" hidden="false" customHeight="false" outlineLevel="0" collapsed="false">
      <c r="A12" s="0" t="s">
        <v>78</v>
      </c>
      <c r="B12" s="0" t="n">
        <v>13980</v>
      </c>
      <c r="I12" s="0" t="n">
        <v>4017</v>
      </c>
      <c r="J12" s="0" t="n">
        <v>28.7</v>
      </c>
      <c r="K12" s="0" t="n">
        <v>10.07</v>
      </c>
      <c r="O12" s="0" t="n">
        <v>33769</v>
      </c>
      <c r="P12" s="0" t="n">
        <v>576919</v>
      </c>
      <c r="Q12" s="0" t="n">
        <v>543150</v>
      </c>
      <c r="R12" s="0" t="n">
        <v>3432</v>
      </c>
      <c r="S12" s="0" t="n">
        <v>27916</v>
      </c>
      <c r="T12" s="0" t="n">
        <v>382.478</v>
      </c>
      <c r="U12" s="0" t="n">
        <v>24</v>
      </c>
      <c r="AA12" s="0" t="s">
        <v>17</v>
      </c>
      <c r="AB12" s="0" t="s">
        <v>14</v>
      </c>
      <c r="AC12" s="0" t="n">
        <v>10.18</v>
      </c>
      <c r="AD12" s="0" t="n">
        <v>78.39</v>
      </c>
      <c r="AE12" s="0" t="n">
        <v>382.478</v>
      </c>
      <c r="AF12" s="0" t="n">
        <v>391.066</v>
      </c>
      <c r="AG12" s="0" t="n">
        <v>30655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198.06</v>
      </c>
    </row>
    <row r="3" customFormat="false" ht="15" hidden="false" customHeight="false" outlineLevel="0" collapsed="false">
      <c r="A3" s="0" t="s">
        <v>82</v>
      </c>
      <c r="B3" s="3" t="n">
        <v>388.3</v>
      </c>
    </row>
    <row r="4" customFormat="false" ht="15" hidden="false" customHeight="false" outlineLevel="0" collapsed="false">
      <c r="A4" s="0" t="s">
        <v>83</v>
      </c>
      <c r="B4" s="3" t="n">
        <v>0</v>
      </c>
    </row>
    <row r="5" customFormat="false" ht="15" hidden="false" customHeight="false" outlineLevel="0" collapsed="false">
      <c r="A5" s="0" t="s">
        <v>84</v>
      </c>
      <c r="B5" s="3" t="n">
        <v>0</v>
      </c>
    </row>
    <row r="6" customFormat="false" ht="15" hidden="false" customHeight="false" outlineLevel="0" collapsed="false">
      <c r="A6" s="0" t="s">
        <v>85</v>
      </c>
      <c r="B6" s="3" t="n">
        <v>15</v>
      </c>
    </row>
    <row r="7" customFormat="false" ht="15" hidden="false" customHeight="false" outlineLevel="0" collapsed="false">
      <c r="A7" s="0" t="s">
        <v>86</v>
      </c>
      <c r="B7" s="3" t="n">
        <v>15551</v>
      </c>
    </row>
    <row r="8" customFormat="false" ht="15" hidden="false" customHeight="false" outlineLevel="0" collapsed="false">
      <c r="A8" s="0" t="s">
        <v>87</v>
      </c>
      <c r="B8" s="3" t="s">
        <v>88</v>
      </c>
    </row>
    <row r="9" customFormat="false" ht="15" hidden="false" customHeight="false" outlineLevel="0" collapsed="false">
      <c r="A9" s="0" t="s">
        <v>89</v>
      </c>
      <c r="B9" s="3" t="s">
        <v>90</v>
      </c>
    </row>
    <row r="10" customFormat="false" ht="15" hidden="false" customHeight="false" outlineLevel="0" collapsed="false">
      <c r="A10" s="0" t="s">
        <v>91</v>
      </c>
      <c r="B10" s="3" t="n">
        <v>1</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1</v>
      </c>
      <c r="D13" s="3" t="n">
        <v>2</v>
      </c>
      <c r="E13" s="3" t="n">
        <v>3.5</v>
      </c>
      <c r="F13" s="3" t="n">
        <v>4</v>
      </c>
      <c r="G13" s="3" t="n">
        <v>4</v>
      </c>
      <c r="H13" s="3" t="n">
        <v>3.5</v>
      </c>
      <c r="I13" s="3" t="n">
        <v>3</v>
      </c>
      <c r="J13" s="3" t="n">
        <v>3</v>
      </c>
      <c r="K13" s="3" t="n">
        <v>2.5</v>
      </c>
      <c r="L13" s="3" t="n">
        <v>2.5</v>
      </c>
    </row>
    <row r="14" customFormat="false" ht="15" hidden="false" customHeight="false" outlineLevel="0" collapsed="false">
      <c r="A14" s="0" t="s">
        <v>104</v>
      </c>
      <c r="C14" s="3" t="n">
        <v>37</v>
      </c>
      <c r="D14" s="3" t="n">
        <v>36</v>
      </c>
      <c r="E14" s="3" t="n">
        <v>37</v>
      </c>
      <c r="F14" s="3" t="n">
        <v>38</v>
      </c>
      <c r="G14" s="3" t="n">
        <v>38.5</v>
      </c>
      <c r="H14" s="3" t="n">
        <v>38.5</v>
      </c>
      <c r="I14" s="3" t="n">
        <v>38.5</v>
      </c>
      <c r="J14" s="3" t="n">
        <v>38.5</v>
      </c>
      <c r="K14" s="3" t="n">
        <v>38.5</v>
      </c>
      <c r="L14" s="3" t="n">
        <v>38.5</v>
      </c>
    </row>
    <row r="15" customFormat="false" ht="15" hidden="false" customHeight="false" outlineLevel="0" collapsed="false">
      <c r="A15" s="0" t="s">
        <v>105</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107</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108</v>
      </c>
      <c r="C18" s="3" t="n">
        <v>1.7</v>
      </c>
      <c r="D18" s="3" t="n">
        <v>3.3</v>
      </c>
      <c r="E18" s="3" t="n">
        <v>5.7</v>
      </c>
      <c r="F18" s="3" t="n">
        <v>6.5</v>
      </c>
      <c r="G18" s="3" t="n">
        <v>6.5</v>
      </c>
      <c r="H18" s="3" t="n">
        <v>5.7</v>
      </c>
      <c r="I18" s="3" t="n">
        <v>4.9</v>
      </c>
      <c r="J18" s="3" t="n">
        <v>4.9</v>
      </c>
      <c r="K18" s="3" t="n">
        <v>4.1</v>
      </c>
      <c r="L18" s="3" t="n">
        <v>4.1</v>
      </c>
    </row>
    <row r="19" customFormat="false" ht="15" hidden="false" customHeight="false" outlineLevel="0" collapsed="false">
      <c r="A19" s="0" t="s">
        <v>109</v>
      </c>
      <c r="C19" s="3" t="n">
        <v>23.5</v>
      </c>
      <c r="D19" s="3" t="n">
        <v>23.5</v>
      </c>
      <c r="E19" s="3" t="n">
        <v>23.5</v>
      </c>
      <c r="F19" s="3" t="n">
        <v>23.5</v>
      </c>
      <c r="G19" s="3" t="n">
        <v>23.5</v>
      </c>
      <c r="H19" s="3" t="n">
        <v>23.5</v>
      </c>
      <c r="I19" s="3" t="n">
        <v>23.5</v>
      </c>
      <c r="J19" s="3" t="n">
        <v>23.5</v>
      </c>
      <c r="K19" s="3" t="n">
        <v>23.5</v>
      </c>
      <c r="L19" s="3" t="n">
        <v>23.5</v>
      </c>
    </row>
    <row r="20" customFormat="false" ht="15" hidden="false" customHeight="false" outlineLevel="0" collapsed="false">
      <c r="A20" s="0" t="s">
        <v>110</v>
      </c>
      <c r="B20" s="3" t="n">
        <v>9.75</v>
      </c>
    </row>
    <row r="21" customFormat="false" ht="15" hidden="false" customHeight="false" outlineLevel="0" collapsed="false">
      <c r="A21" s="0" t="s">
        <v>111</v>
      </c>
      <c r="B21" s="3" t="n">
        <v>2.5</v>
      </c>
    </row>
    <row r="22" customFormat="false" ht="15" hidden="false" customHeight="false" outlineLevel="0" collapsed="false">
      <c r="A22" s="0" t="s">
        <v>112</v>
      </c>
      <c r="B22" s="3" t="n">
        <v>13</v>
      </c>
    </row>
    <row r="23" customFormat="false" ht="15" hidden="false" customHeight="false" outlineLevel="0" collapsed="false">
      <c r="A23" s="0" t="s">
        <v>113</v>
      </c>
      <c r="B23" s="3" t="n">
        <v>0</v>
      </c>
    </row>
    <row r="24" customFormat="false" ht="15" hidden="false" customHeight="false" outlineLevel="0" collapsed="false">
      <c r="A24" s="0" t="s">
        <v>114</v>
      </c>
      <c r="B24" s="3" t="n">
        <v>0.25</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6</v>
      </c>
      <c r="D27" s="3" t="n">
        <v>6</v>
      </c>
      <c r="E27" s="3" t="n">
        <v>5.5</v>
      </c>
      <c r="F27" s="3" t="n">
        <v>5</v>
      </c>
      <c r="G27" s="3" t="n">
        <v>4.5</v>
      </c>
      <c r="H27" s="3" t="n">
        <v>4</v>
      </c>
      <c r="I27" s="3" t="n">
        <v>3.5</v>
      </c>
      <c r="J27" s="3" t="n">
        <v>3.5</v>
      </c>
      <c r="K27" s="3" t="n">
        <v>3</v>
      </c>
      <c r="L27" s="3" t="n">
        <v>3</v>
      </c>
    </row>
    <row r="28" customFormat="false" ht="15" hidden="false" customHeight="false" outlineLevel="0" collapsed="false">
      <c r="A28" s="0" t="s">
        <v>104</v>
      </c>
      <c r="C28" s="3" t="n">
        <v>41</v>
      </c>
      <c r="D28" s="3" t="n">
        <v>41.3</v>
      </c>
      <c r="E28" s="3" t="n">
        <v>41.5</v>
      </c>
      <c r="F28" s="3" t="n">
        <v>41.5</v>
      </c>
      <c r="G28" s="3" t="n">
        <v>41.5</v>
      </c>
      <c r="H28" s="3" t="n">
        <v>41.5</v>
      </c>
      <c r="I28" s="3" t="n">
        <v>41.5</v>
      </c>
      <c r="J28" s="3" t="n">
        <v>41.5</v>
      </c>
      <c r="K28" s="3" t="n">
        <v>41.5</v>
      </c>
      <c r="L28" s="3" t="n">
        <v>41.5</v>
      </c>
    </row>
    <row r="29" customFormat="false" ht="15" hidden="false" customHeight="false" outlineLevel="0" collapsed="false">
      <c r="A29" s="0" t="s">
        <v>105</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107</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108</v>
      </c>
      <c r="C32" s="3" t="n">
        <v>9.5</v>
      </c>
      <c r="D32" s="3" t="n">
        <v>9.5</v>
      </c>
      <c r="E32" s="3" t="n">
        <v>8.8</v>
      </c>
      <c r="F32" s="3" t="n">
        <v>8</v>
      </c>
      <c r="G32" s="3" t="n">
        <v>7.2</v>
      </c>
      <c r="H32" s="3" t="n">
        <v>6.5</v>
      </c>
      <c r="I32" s="3" t="n">
        <v>5.7</v>
      </c>
      <c r="J32" s="3" t="n">
        <v>5.7</v>
      </c>
      <c r="K32" s="3" t="n">
        <v>4.9</v>
      </c>
      <c r="L32" s="3" t="n">
        <v>4.9</v>
      </c>
    </row>
    <row r="33" customFormat="false" ht="15" hidden="false" customHeight="false" outlineLevel="0" collapsed="false">
      <c r="A33" s="0" t="s">
        <v>109</v>
      </c>
      <c r="C33" s="3" t="n">
        <v>23.5</v>
      </c>
      <c r="D33" s="3" t="n">
        <v>23.5</v>
      </c>
      <c r="E33" s="3" t="n">
        <v>23.5</v>
      </c>
      <c r="F33" s="3" t="n">
        <v>23.5</v>
      </c>
      <c r="G33" s="3" t="n">
        <v>23.5</v>
      </c>
      <c r="H33" s="3" t="n">
        <v>23.5</v>
      </c>
      <c r="I33" s="3" t="n">
        <v>23.5</v>
      </c>
      <c r="J33" s="3" t="n">
        <v>23.5</v>
      </c>
      <c r="K33" s="3" t="n">
        <v>23.5</v>
      </c>
      <c r="L33" s="3" t="n">
        <v>23.5</v>
      </c>
    </row>
    <row r="34" customFormat="false" ht="15" hidden="false" customHeight="false" outlineLevel="0" collapsed="false">
      <c r="A34" s="0" t="s">
        <v>110</v>
      </c>
      <c r="B34" s="3" t="n">
        <v>9.75</v>
      </c>
    </row>
    <row r="35" customFormat="false" ht="15" hidden="false" customHeight="false" outlineLevel="0" collapsed="false">
      <c r="A35" s="0" t="s">
        <v>111</v>
      </c>
      <c r="B35" s="3" t="n">
        <v>3</v>
      </c>
    </row>
    <row r="36" customFormat="false" ht="15" hidden="false" customHeight="false" outlineLevel="0" collapsed="false">
      <c r="A36" s="0" t="s">
        <v>112</v>
      </c>
      <c r="B36" s="3" t="n">
        <v>15</v>
      </c>
    </row>
    <row r="37" customFormat="false" ht="15" hidden="false" customHeight="false" outlineLevel="0" collapsed="false">
      <c r="A37" s="0" t="s">
        <v>113</v>
      </c>
      <c r="B37" s="3" t="n">
        <v>0</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9</v>
      </c>
      <c r="D41" s="3" t="n">
        <v>8</v>
      </c>
      <c r="E41" s="3" t="n">
        <v>7</v>
      </c>
      <c r="F41" s="3" t="n">
        <v>6.5</v>
      </c>
      <c r="G41" s="3" t="n">
        <v>6</v>
      </c>
      <c r="H41" s="3" t="n">
        <v>5</v>
      </c>
      <c r="I41" s="3" t="n">
        <v>4.5</v>
      </c>
      <c r="J41" s="3" t="n">
        <v>4</v>
      </c>
      <c r="K41" s="3" t="n">
        <v>3.5</v>
      </c>
      <c r="L41" s="3" t="n">
        <v>3.5</v>
      </c>
    </row>
    <row r="42" customFormat="false" ht="15" hidden="false" customHeight="false" outlineLevel="0" collapsed="false">
      <c r="A42" s="0" t="s">
        <v>104</v>
      </c>
      <c r="C42" s="3" t="n">
        <v>42.5</v>
      </c>
      <c r="D42" s="3" t="n">
        <v>43</v>
      </c>
      <c r="E42" s="3" t="n">
        <v>43.5</v>
      </c>
      <c r="F42" s="3" t="n">
        <v>43.5</v>
      </c>
      <c r="G42" s="3" t="n">
        <v>43.5</v>
      </c>
      <c r="H42" s="3" t="n">
        <v>43.5</v>
      </c>
      <c r="I42" s="3" t="n">
        <v>43.5</v>
      </c>
      <c r="J42" s="3" t="n">
        <v>43.5</v>
      </c>
      <c r="K42" s="3" t="n">
        <v>43.5</v>
      </c>
      <c r="L42" s="3" t="n">
        <v>43.5</v>
      </c>
    </row>
    <row r="43" customFormat="false" ht="15" hidden="false" customHeight="false" outlineLevel="0" collapsed="false">
      <c r="A43" s="0" t="s">
        <v>105</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107</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108</v>
      </c>
      <c r="C46" s="3" t="n">
        <v>13.9</v>
      </c>
      <c r="D46" s="3" t="n">
        <v>12.4</v>
      </c>
      <c r="E46" s="3" t="n">
        <v>11</v>
      </c>
      <c r="F46" s="3" t="n">
        <v>10.3</v>
      </c>
      <c r="G46" s="3" t="n">
        <v>9.5</v>
      </c>
      <c r="H46" s="3" t="n">
        <v>8</v>
      </c>
      <c r="I46" s="3" t="n">
        <v>7.2</v>
      </c>
      <c r="J46" s="3" t="n">
        <v>6.5</v>
      </c>
      <c r="K46" s="3" t="n">
        <v>5.7</v>
      </c>
      <c r="L46" s="3" t="n">
        <v>5.7</v>
      </c>
    </row>
    <row r="47" customFormat="false" ht="15" hidden="false" customHeight="false" outlineLevel="0" collapsed="false">
      <c r="A47" s="0" t="s">
        <v>109</v>
      </c>
      <c r="C47" s="3" t="n">
        <v>23.5</v>
      </c>
      <c r="D47" s="3" t="n">
        <v>23.5</v>
      </c>
      <c r="E47" s="3" t="n">
        <v>23.5</v>
      </c>
      <c r="F47" s="3" t="n">
        <v>23.5</v>
      </c>
      <c r="G47" s="3" t="n">
        <v>23.5</v>
      </c>
      <c r="H47" s="3" t="n">
        <v>23.5</v>
      </c>
      <c r="I47" s="3" t="n">
        <v>23.5</v>
      </c>
      <c r="J47" s="3" t="n">
        <v>23.5</v>
      </c>
      <c r="K47" s="3" t="n">
        <v>23.5</v>
      </c>
      <c r="L47" s="3" t="n">
        <v>23.5</v>
      </c>
    </row>
    <row r="48" customFormat="false" ht="15" hidden="false" customHeight="false" outlineLevel="0" collapsed="false">
      <c r="A48" s="0" t="s">
        <v>110</v>
      </c>
      <c r="B48" s="3" t="n">
        <v>9.75</v>
      </c>
    </row>
    <row r="49" customFormat="false" ht="15" hidden="false" customHeight="false" outlineLevel="0" collapsed="false">
      <c r="A49" s="0" t="s">
        <v>111</v>
      </c>
      <c r="B49" s="3" t="n">
        <v>3</v>
      </c>
    </row>
    <row r="50" customFormat="false" ht="15" hidden="false" customHeight="false" outlineLevel="0" collapsed="false">
      <c r="A50" s="0" t="s">
        <v>112</v>
      </c>
      <c r="B50" s="3" t="n">
        <v>16</v>
      </c>
    </row>
    <row r="51" customFormat="false" ht="15" hidden="false" customHeight="false" outlineLevel="0" collapsed="false">
      <c r="A51" s="0" t="s">
        <v>113</v>
      </c>
      <c r="B51" s="3" t="n">
        <v>0</v>
      </c>
    </row>
    <row r="52" customFormat="false" ht="15" hidden="false" customHeight="false" outlineLevel="0" collapsed="false">
      <c r="A52" s="0" t="s">
        <v>114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88</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1</v>
      </c>
      <c r="D5" s="4" t="n">
        <f aca="false">Assumptions!D13</f>
        <v>2</v>
      </c>
      <c r="E5" s="4" t="n">
        <f aca="false">Assumptions!E13</f>
        <v>3.5</v>
      </c>
      <c r="F5" s="4" t="n">
        <f aca="false">Assumptions!F13</f>
        <v>4</v>
      </c>
      <c r="G5" s="4" t="n">
        <f aca="false">Assumptions!G13</f>
        <v>4</v>
      </c>
      <c r="H5" s="4" t="n">
        <f aca="false">Assumptions!H13</f>
        <v>3.5</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37</v>
      </c>
      <c r="B6" s="3" t="n">
        <v>15551</v>
      </c>
      <c r="C6" s="0" t="n">
        <f aca="false">B6*(1+C5/100)</f>
        <v>15706.51</v>
      </c>
      <c r="D6" s="0" t="n">
        <f aca="false">C6*(1+D5/100)</f>
        <v>16020.6402</v>
      </c>
      <c r="E6" s="0" t="n">
        <f aca="false">D6*(1+E5/100)</f>
        <v>16581.362607</v>
      </c>
      <c r="F6" s="0" t="n">
        <f aca="false">E6*(1+F5/100)</f>
        <v>17244.61711128</v>
      </c>
      <c r="G6" s="0" t="n">
        <f aca="false">F6*(1+G5/100)</f>
        <v>17934.4017957312</v>
      </c>
      <c r="H6" s="0" t="n">
        <f aca="false">G6*(1+H5/100)</f>
        <v>18562.1058585818</v>
      </c>
      <c r="I6" s="0" t="n">
        <f aca="false">H6*(1+I5/100)</f>
        <v>19118.9690343392</v>
      </c>
      <c r="J6" s="0" t="n">
        <f aca="false">I6*(1+J5/100)</f>
        <v>19692.5381053694</v>
      </c>
      <c r="K6" s="0" t="n">
        <f aca="false">J6*(1+K5/100)</f>
        <v>20184.8515580037</v>
      </c>
      <c r="L6" s="0" t="n">
        <f aca="false">K6*(1+L5/100)</f>
        <v>20689.4728469537</v>
      </c>
    </row>
    <row r="7" customFormat="false" ht="15" hidden="false" customHeight="false" outlineLevel="0" collapsed="false">
      <c r="A7" s="0" t="s">
        <v>104</v>
      </c>
      <c r="C7" s="4" t="n">
        <f aca="false">Assumptions!C14</f>
        <v>37</v>
      </c>
      <c r="D7" s="4" t="n">
        <f aca="false">Assumptions!D14</f>
        <v>36</v>
      </c>
      <c r="E7" s="4" t="n">
        <f aca="false">Assumptions!E14</f>
        <v>37</v>
      </c>
      <c r="F7" s="4" t="n">
        <f aca="false">Assumptions!F14</f>
        <v>38</v>
      </c>
      <c r="G7" s="4" t="n">
        <f aca="false">Assumptions!G14</f>
        <v>38.5</v>
      </c>
      <c r="H7" s="4" t="n">
        <f aca="false">Assumptions!H14</f>
        <v>38.5</v>
      </c>
      <c r="I7" s="4" t="n">
        <f aca="false">Assumptions!I14</f>
        <v>38.5</v>
      </c>
      <c r="J7" s="4" t="n">
        <f aca="false">Assumptions!J14</f>
        <v>38.5</v>
      </c>
      <c r="K7" s="4" t="n">
        <f aca="false">Assumptions!K14</f>
        <v>38.5</v>
      </c>
      <c r="L7" s="4" t="n">
        <f aca="false">Assumptions!L14</f>
        <v>38.5</v>
      </c>
    </row>
    <row r="8" customFormat="false" ht="15" hidden="false" customHeight="false" outlineLevel="0" collapsed="false">
      <c r="A8" s="0" t="s">
        <v>43</v>
      </c>
      <c r="C8" s="0" t="n">
        <f aca="false">C6*C7/100</f>
        <v>5811.4087</v>
      </c>
      <c r="D8" s="0" t="n">
        <f aca="false">D6*D7/100</f>
        <v>5767.430472</v>
      </c>
      <c r="E8" s="0" t="n">
        <f aca="false">E6*E7/100</f>
        <v>6135.10416459</v>
      </c>
      <c r="F8" s="0" t="n">
        <f aca="false">F6*F7/100</f>
        <v>6552.9545022864</v>
      </c>
      <c r="G8" s="0" t="n">
        <f aca="false">G6*G7/100</f>
        <v>6904.74469135651</v>
      </c>
      <c r="H8" s="0" t="n">
        <f aca="false">H6*H7/100</f>
        <v>7146.41075555399</v>
      </c>
      <c r="I8" s="0" t="n">
        <f aca="false">I6*I7/100</f>
        <v>7360.80307822061</v>
      </c>
      <c r="J8" s="0" t="n">
        <f aca="false">J6*J7/100</f>
        <v>7581.62717056723</v>
      </c>
      <c r="K8" s="0" t="n">
        <f aca="false">K6*K7/100</f>
        <v>7771.16784983141</v>
      </c>
      <c r="L8" s="0" t="n">
        <f aca="false">L6*L7/100</f>
        <v>7965.44704607719</v>
      </c>
    </row>
    <row r="9" customFormat="false" ht="15" hidden="false" customHeight="false" outlineLevel="0" collapsed="false">
      <c r="A9" s="0" t="s">
        <v>105</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5811.4087</v>
      </c>
      <c r="D11" s="0" t="n">
        <f aca="false">D8+D10+D24</f>
        <v>5767.430472</v>
      </c>
      <c r="E11" s="0" t="n">
        <f aca="false">E8+E10+E24</f>
        <v>6135.10416459</v>
      </c>
      <c r="F11" s="0" t="n">
        <f aca="false">F8+F10+F24</f>
        <v>6552.9545022864</v>
      </c>
      <c r="G11" s="0" t="n">
        <f aca="false">G8+G10+G24</f>
        <v>6904.74469135651</v>
      </c>
      <c r="H11" s="0" t="n">
        <f aca="false">H8+H10+H24</f>
        <v>7146.41075555399</v>
      </c>
      <c r="I11" s="0" t="n">
        <f aca="false">I8+I10+I24</f>
        <v>7360.80307822061</v>
      </c>
      <c r="J11" s="0" t="n">
        <f aca="false">J8+J10+J24</f>
        <v>7581.62717056723</v>
      </c>
      <c r="K11" s="0" t="n">
        <f aca="false">K8+K10+K24</f>
        <v>7771.16784983141</v>
      </c>
      <c r="L11" s="0" t="n">
        <f aca="false">L8+L10+L24</f>
        <v>7965.44704607719</v>
      </c>
    </row>
    <row r="12" customFormat="false" ht="15" hidden="false" customHeight="false" outlineLevel="0" collapsed="false">
      <c r="A12" s="0" t="s">
        <v>122</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123</v>
      </c>
      <c r="C13" s="0" t="n">
        <f aca="false">C11+C12</f>
        <v>5811.4087</v>
      </c>
      <c r="D13" s="0" t="n">
        <f aca="false">D11+D12</f>
        <v>5767.430472</v>
      </c>
      <c r="E13" s="0" t="n">
        <f aca="false">E11+E12</f>
        <v>6135.10416459</v>
      </c>
      <c r="F13" s="0" t="n">
        <f aca="false">F11+F12</f>
        <v>6552.9545022864</v>
      </c>
      <c r="G13" s="0" t="n">
        <f aca="false">G11+G12</f>
        <v>6904.74469135651</v>
      </c>
      <c r="H13" s="0" t="n">
        <f aca="false">H11+H12</f>
        <v>7146.41075555399</v>
      </c>
      <c r="I13" s="0" t="n">
        <f aca="false">I11+I12</f>
        <v>7360.80307822061</v>
      </c>
      <c r="J13" s="0" t="n">
        <f aca="false">J11+J12</f>
        <v>7581.62717056723</v>
      </c>
      <c r="K13" s="0" t="n">
        <f aca="false">K11+K12</f>
        <v>7771.16784983141</v>
      </c>
      <c r="L13" s="0" t="n">
        <f aca="false">L11+L12</f>
        <v>7965.44704607719</v>
      </c>
    </row>
    <row r="14" customFormat="false" ht="15" hidden="false" customHeight="false" outlineLevel="0" collapsed="false">
      <c r="A14" s="0" t="s">
        <v>109</v>
      </c>
      <c r="C14" s="4" t="n">
        <f aca="false">Assumptions!C19</f>
        <v>23.5</v>
      </c>
      <c r="D14" s="4" t="n">
        <f aca="false">Assumptions!D19</f>
        <v>23.5</v>
      </c>
      <c r="E14" s="4" t="n">
        <f aca="false">Assumptions!E19</f>
        <v>23.5</v>
      </c>
      <c r="F14" s="4" t="n">
        <f aca="false">Assumptions!F19</f>
        <v>23.5</v>
      </c>
      <c r="G14" s="4" t="n">
        <f aca="false">Assumptions!G19</f>
        <v>23.5</v>
      </c>
      <c r="H14" s="4" t="n">
        <f aca="false">Assumptions!H19</f>
        <v>23.5</v>
      </c>
      <c r="I14" s="4" t="n">
        <f aca="false">Assumptions!I19</f>
        <v>23.5</v>
      </c>
      <c r="J14" s="4" t="n">
        <f aca="false">Assumptions!J19</f>
        <v>23.5</v>
      </c>
      <c r="K14" s="4" t="n">
        <f aca="false">Assumptions!K19</f>
        <v>23.5</v>
      </c>
      <c r="L14" s="4" t="n">
        <f aca="false">Assumptions!L19</f>
        <v>23.5</v>
      </c>
    </row>
    <row r="15" customFormat="false" ht="15" hidden="false" customHeight="false" outlineLevel="0" collapsed="false">
      <c r="A15" s="0" t="s">
        <v>124</v>
      </c>
      <c r="C15" s="0" t="n">
        <f aca="false">C13-MAX(0,C13)*C14/100</f>
        <v>4445.7276555</v>
      </c>
      <c r="D15" s="0" t="n">
        <f aca="false">D13-MAX(0,D13)*D14/100</f>
        <v>4412.08431108</v>
      </c>
      <c r="E15" s="0" t="n">
        <f aca="false">E13-MAX(0,E13)*E14/100</f>
        <v>4693.35468591135</v>
      </c>
      <c r="F15" s="0" t="n">
        <f aca="false">F13-MAX(0,F13)*F14/100</f>
        <v>5013.0101942491</v>
      </c>
      <c r="G15" s="0" t="n">
        <f aca="false">G13-MAX(0,G13)*G14/100</f>
        <v>5282.12968888773</v>
      </c>
      <c r="H15" s="0" t="n">
        <f aca="false">H13-MAX(0,H13)*H14/100</f>
        <v>5467.0042279988</v>
      </c>
      <c r="I15" s="0" t="n">
        <f aca="false">I13-MAX(0,I13)*I14/100</f>
        <v>5631.01435483877</v>
      </c>
      <c r="J15" s="0" t="n">
        <f aca="false">J13-MAX(0,J13)*J14/100</f>
        <v>5799.94478548393</v>
      </c>
      <c r="K15" s="0" t="n">
        <f aca="false">K13-MAX(0,K13)*K14/100</f>
        <v>5944.94340512103</v>
      </c>
      <c r="L15" s="0" t="n">
        <f aca="false">L13-MAX(0,L13)*L14/100</f>
        <v>6093.56699024905</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-C6*Assumptions!C18/100</f>
        <v>-267.01067</v>
      </c>
      <c r="D17" s="4" t="n">
        <f aca="false">-D6*Assumptions!D18/100</f>
        <v>-528.6811266</v>
      </c>
      <c r="E17" s="4" t="n">
        <f aca="false">-E6*Assumptions!E18/100</f>
        <v>-945.137668599</v>
      </c>
      <c r="F17" s="4" t="n">
        <f aca="false">-F6*Assumptions!F18/100</f>
        <v>-1120.9001122332</v>
      </c>
      <c r="G17" s="4" t="n">
        <f aca="false">-G6*Assumptions!G18/100</f>
        <v>-1165.73611672253</v>
      </c>
      <c r="H17" s="4" t="n">
        <f aca="false">-H6*Assumptions!H18/100</f>
        <v>-1058.04003393916</v>
      </c>
      <c r="I17" s="4" t="n">
        <f aca="false">-I6*Assumptions!I18/100</f>
        <v>-936.829482682623</v>
      </c>
      <c r="J17" s="4" t="n">
        <f aca="false">-J6*Assumptions!J18/100</f>
        <v>-964.934367163102</v>
      </c>
      <c r="K17" s="4" t="n">
        <f aca="false">-K6*Assumptions!K18/100</f>
        <v>-827.57891387815</v>
      </c>
      <c r="L17" s="4" t="n">
        <f aca="false">-L6*Assumptions!L18/100</f>
        <v>-848.268386725104</v>
      </c>
    </row>
    <row r="18" customFormat="false" ht="15" hidden="false" customHeight="false" outlineLevel="0" collapsed="false">
      <c r="A18" s="0" t="s">
        <v>127</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128</v>
      </c>
      <c r="C19" s="0" t="n">
        <f aca="false">C15+C16+C17+C18</f>
        <v>4178.7169855</v>
      </c>
      <c r="D19" s="0" t="n">
        <f aca="false">D15+D16+D17+D18</f>
        <v>3883.40318448</v>
      </c>
      <c r="E19" s="0" t="n">
        <f aca="false">E15+E16+E17+E18</f>
        <v>3748.21701731235</v>
      </c>
      <c r="F19" s="0" t="n">
        <f aca="false">F15+F16+F17+F18</f>
        <v>3892.1100820159</v>
      </c>
      <c r="G19" s="0" t="n">
        <f aca="false">G15+G16+G17+G18</f>
        <v>4116.3935721652</v>
      </c>
      <c r="H19" s="0" t="n">
        <f aca="false">H15+H16+H17+H18</f>
        <v>4408.96419405964</v>
      </c>
      <c r="I19" s="0" t="n">
        <f aca="false">I15+I16+I17+I18</f>
        <v>4694.18487215614</v>
      </c>
      <c r="J19" s="0" t="n">
        <f aca="false">J15+J16+J17+J18</f>
        <v>4835.01041832083</v>
      </c>
      <c r="K19" s="0" t="n">
        <f aca="false">K15+K16+K17+K18</f>
        <v>5117.36449124288</v>
      </c>
      <c r="L19" s="0" t="n">
        <f aca="false">L15+L16+L17+L18</f>
        <v>5245.29860352395</v>
      </c>
    </row>
    <row r="20" customFormat="false" ht="15" hidden="false" customHeight="false" outlineLevel="0" collapsed="false">
      <c r="A20" s="0" t="s">
        <v>129</v>
      </c>
      <c r="C20" s="0" t="n">
        <f aca="false">1/(1+$B$27/100)^C4</f>
        <v>0.911161731207289</v>
      </c>
      <c r="D20" s="0" t="n">
        <f aca="false">1/(1+$B$27/100)^D4</f>
        <v>0.830215700416665</v>
      </c>
      <c r="E20" s="0" t="n">
        <f aca="false">1/(1+$B$27/100)^E4</f>
        <v>0.756460774867121</v>
      </c>
      <c r="F20" s="0" t="n">
        <f aca="false">1/(1+$B$27/100)^F4</f>
        <v>0.689258109218333</v>
      </c>
      <c r="G20" s="0" t="n">
        <f aca="false">1/(1+$B$27/100)^G4</f>
        <v>0.628025612044039</v>
      </c>
      <c r="H20" s="0" t="n">
        <f aca="false">1/(1+$B$27/100)^H4</f>
        <v>0.572232903912564</v>
      </c>
      <c r="I20" s="0" t="n">
        <f aca="false">1/(1+$B$27/100)^I4</f>
        <v>0.521396723382747</v>
      </c>
      <c r="J20" s="0" t="n">
        <f aca="false">1/(1+$B$27/100)^J4</f>
        <v>0.475076741123232</v>
      </c>
      <c r="K20" s="0" t="n">
        <f aca="false">1/(1+$B$27/100)^K4</f>
        <v>0.432871745898161</v>
      </c>
      <c r="L20" s="0" t="n">
        <f aca="false">1/(1+$B$27/100)^L4</f>
        <v>0.39441616938329</v>
      </c>
    </row>
    <row r="21" customFormat="false" ht="15" hidden="false" customHeight="false" outlineLevel="0" collapsed="false">
      <c r="A21" s="0" t="s">
        <v>130</v>
      </c>
      <c r="C21" s="0" t="n">
        <f aca="false">C19*C20</f>
        <v>3807.48700273349</v>
      </c>
      <c r="D21" s="0" t="n">
        <f aca="false">D19*D20</f>
        <v>3224.06229480337</v>
      </c>
      <c r="E21" s="0" t="n">
        <f aca="false">E19*E20</f>
        <v>2835.37914928623</v>
      </c>
      <c r="F21" s="0" t="n">
        <f aca="false">F19*F20</f>
        <v>2682.66843599989</v>
      </c>
      <c r="G21" s="0" t="n">
        <f aca="false">G19*G20</f>
        <v>2585.2005925732</v>
      </c>
      <c r="H21" s="0" t="n">
        <f aca="false">H19*H20</f>
        <v>2522.95438401327</v>
      </c>
      <c r="I21" s="0" t="n">
        <f aca="false">I19*I20</f>
        <v>2447.53261129507</v>
      </c>
      <c r="J21" s="0" t="n">
        <f aca="false">J19*J20</f>
        <v>2297.00099283273</v>
      </c>
      <c r="K21" s="0" t="n">
        <f aca="false">K19*K20</f>
        <v>2215.16250172156</v>
      </c>
      <c r="L21" s="0" t="n">
        <f aca="false">L19*L20</f>
        <v>2068.83058247344</v>
      </c>
    </row>
    <row r="23" customFormat="false" ht="15" hidden="false" customHeight="false" outlineLevel="0" collapsed="false">
      <c r="A23" s="0" t="s">
        <v>106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Assumptions!$B$20</f>
        <v>9.75</v>
      </c>
    </row>
    <row r="28" customFormat="false" ht="15" hidden="false" customHeight="false" outlineLevel="0" collapsed="false">
      <c r="A28" s="0" t="s">
        <v>111</v>
      </c>
      <c r="B28" s="4" t="n">
        <f aca="false">Assumptions!$B$21</f>
        <v>2.5</v>
      </c>
    </row>
    <row r="29" customFormat="false" ht="15" hidden="false" customHeight="false" outlineLevel="0" collapsed="false">
      <c r="A29" s="0" t="s">
        <v>112</v>
      </c>
      <c r="B29" s="4" t="n">
        <f aca="false">Assumptions!$B$22</f>
        <v>13</v>
      </c>
    </row>
    <row r="30" customFormat="false" ht="15" hidden="false" customHeight="false" outlineLevel="0" collapsed="false">
      <c r="A30" s="0" t="s">
        <v>133</v>
      </c>
      <c r="B30" s="0" t="n">
        <f aca="false">SUM(C21:L21)</f>
        <v>26686.2785477322</v>
      </c>
    </row>
    <row r="31" customFormat="false" ht="15" hidden="false" customHeight="false" outlineLevel="0" collapsed="false">
      <c r="A31" s="0" t="s">
        <v>134</v>
      </c>
      <c r="B31" s="0" t="n">
        <f aca="false">L19</f>
        <v>5245.29860352395</v>
      </c>
    </row>
    <row r="32" customFormat="false" ht="15" hidden="false" customHeight="false" outlineLevel="0" collapsed="false">
      <c r="A32" s="0" t="s">
        <v>135</v>
      </c>
      <c r="B32" s="0" t="n">
        <f aca="false">IF(B27&gt;B28,B31*(1+B28/100)/((B27-B28)/100),B31*B29)</f>
        <v>74157.6699118903</v>
      </c>
    </row>
    <row r="33" customFormat="false" ht="15" hidden="false" customHeight="false" outlineLevel="0" collapsed="false">
      <c r="A33" s="0" t="s">
        <v>136</v>
      </c>
      <c r="B33" s="0" t="n">
        <f aca="false">B31*B29</f>
        <v>68188.8818458114</v>
      </c>
    </row>
    <row r="34" customFormat="false" ht="15" hidden="false" customHeight="false" outlineLevel="0" collapsed="false">
      <c r="A34" s="0" t="s">
        <v>137</v>
      </c>
      <c r="B34" s="0" t="n">
        <f aca="false">MAX(0,MIN(B32,B33))</f>
        <v>68188.8818458114</v>
      </c>
    </row>
    <row r="35" customFormat="false" ht="15" hidden="false" customHeight="false" outlineLevel="0" collapsed="false">
      <c r="A35" s="0" t="s">
        <v>138</v>
      </c>
      <c r="B35" s="0" t="n">
        <f aca="false">B34/(1+B27/100)^L4</f>
        <v>26894.7975721547</v>
      </c>
    </row>
    <row r="36" customFormat="false" ht="15" hidden="false" customHeight="false" outlineLevel="0" collapsed="false">
      <c r="A36" s="0" t="s">
        <v>139</v>
      </c>
      <c r="B36" s="0" t="n">
        <f aca="false">B30+B35</f>
        <v>53581.0761198869</v>
      </c>
    </row>
    <row r="37" customFormat="false" ht="15" hidden="false" customHeight="false" outlineLevel="0" collapsed="false">
      <c r="A37" s="0" t="s">
        <v>140</v>
      </c>
      <c r="B37" s="0" t="n">
        <f aca="false">B36+Assumptions!$B$5-Assumptions!$B$4</f>
        <v>53581.0761198869</v>
      </c>
    </row>
    <row r="38" customFormat="false" ht="15" hidden="false" customHeight="false" outlineLevel="0" collapsed="false">
      <c r="A38" s="0" t="s">
        <v>141</v>
      </c>
      <c r="B38" s="0" t="n">
        <f aca="false">B37/Assumptions!$B$3*Assumptions!$B$10</f>
        <v>137.988864588944</v>
      </c>
    </row>
    <row r="39" customFormat="false" ht="15" hidden="false" customHeight="false" outlineLevel="0" collapsed="false">
      <c r="A39" s="0" t="s">
        <v>142</v>
      </c>
      <c r="B39" s="4" t="n">
        <f aca="false">B38/Assumptions!$B$2-1</f>
        <v>-0.30329766439996</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137.988864588944</v>
      </c>
    </row>
    <row r="45" customFormat="false" ht="15" hidden="false" customHeight="false" outlineLevel="0" collapsed="false">
      <c r="A45" s="0" t="s">
        <v>85</v>
      </c>
      <c r="B45" s="4" t="n">
        <f aca="false">Assumptions!$B$6</f>
        <v>15</v>
      </c>
    </row>
    <row r="46" customFormat="false" ht="15" hidden="false" customHeight="false" outlineLevel="0" collapsed="false">
      <c r="A46" s="0" t="s">
        <v>146</v>
      </c>
      <c r="B46" s="0" t="n">
        <f aca="false">MAX(0,MIN(IF(B45&gt;B28,B31*(1+B28/100)/((B45-B28)/100),B31*B29),B31*B29))</f>
        <v>43011.4485488964</v>
      </c>
    </row>
    <row r="47" customFormat="false" ht="15" hidden="false" customHeight="false" outlineLevel="0" collapsed="false">
      <c r="A47" s="0" t="s">
        <v>147</v>
      </c>
      <c r="B47" s="0" t="n">
        <f aca="false">(SUMPRODUCT(C19:L19/(1+B45/100)^C4:L4)+B46/(1+B45/100)^L4+Assumptions!$B$5-Assumptions!$B$4)/Assumptions!$B$3*Assumptions!$B$10</f>
        <v>82.2583195089048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88</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6</v>
      </c>
      <c r="D5" s="4" t="n">
        <f aca="false">Assumptions!D27</f>
        <v>6</v>
      </c>
      <c r="E5" s="4" t="n">
        <f aca="false">Assumptions!E27</f>
        <v>5.5</v>
      </c>
      <c r="F5" s="4" t="n">
        <f aca="false">Assumptions!F27</f>
        <v>5</v>
      </c>
      <c r="G5" s="4" t="n">
        <f aca="false">Assumptions!G27</f>
        <v>4.5</v>
      </c>
      <c r="H5" s="4" t="n">
        <f aca="false">Assumptions!H27</f>
        <v>4</v>
      </c>
      <c r="I5" s="4" t="n">
        <f aca="false">Assumptions!I27</f>
        <v>3.5</v>
      </c>
      <c r="J5" s="4" t="n">
        <f aca="false">Assumptions!J27</f>
        <v>3.5</v>
      </c>
      <c r="K5" s="4" t="n">
        <f aca="false">Assumptions!K27</f>
        <v>3</v>
      </c>
      <c r="L5" s="4" t="n">
        <f aca="false">Assumptions!L27</f>
        <v>3</v>
      </c>
    </row>
    <row r="6" customFormat="false" ht="15" hidden="false" customHeight="false" outlineLevel="0" collapsed="false">
      <c r="A6" s="0" t="s">
        <v>37</v>
      </c>
      <c r="B6" s="3" t="n">
        <v>15551</v>
      </c>
      <c r="C6" s="0" t="n">
        <f aca="false">B6*(1+C5/100)</f>
        <v>16484.06</v>
      </c>
      <c r="D6" s="0" t="n">
        <f aca="false">C6*(1+D5/100)</f>
        <v>17473.1036</v>
      </c>
      <c r="E6" s="0" t="n">
        <f aca="false">D6*(1+E5/100)</f>
        <v>18434.124298</v>
      </c>
      <c r="F6" s="0" t="n">
        <f aca="false">E6*(1+F5/100)</f>
        <v>19355.8305129</v>
      </c>
      <c r="G6" s="0" t="n">
        <f aca="false">F6*(1+G5/100)</f>
        <v>20226.8428859805</v>
      </c>
      <c r="H6" s="0" t="n">
        <f aca="false">G6*(1+H5/100)</f>
        <v>21035.9166014197</v>
      </c>
      <c r="I6" s="0" t="n">
        <f aca="false">H6*(1+I5/100)</f>
        <v>21772.1736824694</v>
      </c>
      <c r="J6" s="0" t="n">
        <f aca="false">I6*(1+J5/100)</f>
        <v>22534.1997613558</v>
      </c>
      <c r="K6" s="0" t="n">
        <f aca="false">J6*(1+K5/100)</f>
        <v>23210.2257541965</v>
      </c>
      <c r="L6" s="0" t="n">
        <f aca="false">K6*(1+L5/100)</f>
        <v>23906.5325268224</v>
      </c>
    </row>
    <row r="7" customFormat="false" ht="15" hidden="false" customHeight="false" outlineLevel="0" collapsed="false">
      <c r="A7" s="0" t="s">
        <v>104</v>
      </c>
      <c r="C7" s="4" t="n">
        <f aca="false">Assumptions!C28</f>
        <v>41</v>
      </c>
      <c r="D7" s="4" t="n">
        <f aca="false">Assumptions!D28</f>
        <v>41.3</v>
      </c>
      <c r="E7" s="4" t="n">
        <f aca="false">Assumptions!E28</f>
        <v>41.5</v>
      </c>
      <c r="F7" s="4" t="n">
        <f aca="false">Assumptions!F28</f>
        <v>41.5</v>
      </c>
      <c r="G7" s="4" t="n">
        <f aca="false">Assumptions!G28</f>
        <v>41.5</v>
      </c>
      <c r="H7" s="4" t="n">
        <f aca="false">Assumptions!H28</f>
        <v>41.5</v>
      </c>
      <c r="I7" s="4" t="n">
        <f aca="false">Assumptions!I28</f>
        <v>41.5</v>
      </c>
      <c r="J7" s="4" t="n">
        <f aca="false">Assumptions!J28</f>
        <v>41.5</v>
      </c>
      <c r="K7" s="4" t="n">
        <f aca="false">Assumptions!K28</f>
        <v>41.5</v>
      </c>
      <c r="L7" s="4" t="n">
        <f aca="false">Assumptions!L28</f>
        <v>41.5</v>
      </c>
    </row>
    <row r="8" customFormat="false" ht="15" hidden="false" customHeight="false" outlineLevel="0" collapsed="false">
      <c r="A8" s="0" t="s">
        <v>43</v>
      </c>
      <c r="C8" s="0" t="n">
        <f aca="false">C6*C7/100</f>
        <v>6758.4646</v>
      </c>
      <c r="D8" s="0" t="n">
        <f aca="false">D6*D7/100</f>
        <v>7216.3917868</v>
      </c>
      <c r="E8" s="0" t="n">
        <f aca="false">E6*E7/100</f>
        <v>7650.16158367</v>
      </c>
      <c r="F8" s="0" t="n">
        <f aca="false">F6*F7/100</f>
        <v>8032.6696628535</v>
      </c>
      <c r="G8" s="0" t="n">
        <f aca="false">G6*G7/100</f>
        <v>8394.13979768191</v>
      </c>
      <c r="H8" s="0" t="n">
        <f aca="false">H6*H7/100</f>
        <v>8729.90538958919</v>
      </c>
      <c r="I8" s="0" t="n">
        <f aca="false">I6*I7/100</f>
        <v>9035.45207822481</v>
      </c>
      <c r="J8" s="0" t="n">
        <f aca="false">J6*J7/100</f>
        <v>9351.69290096267</v>
      </c>
      <c r="K8" s="0" t="n">
        <f aca="false">K6*K7/100</f>
        <v>9632.24368799155</v>
      </c>
      <c r="L8" s="0" t="n">
        <f aca="false">L6*L7/100</f>
        <v>9921.2109986313</v>
      </c>
    </row>
    <row r="9" customFormat="false" ht="15" hidden="false" customHeight="false" outlineLevel="0" collapsed="false">
      <c r="A9" s="0" t="s">
        <v>105</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6758.4646</v>
      </c>
      <c r="D11" s="0" t="n">
        <f aca="false">D8+D10+D24</f>
        <v>7216.3917868</v>
      </c>
      <c r="E11" s="0" t="n">
        <f aca="false">E8+E10+E24</f>
        <v>7650.16158367</v>
      </c>
      <c r="F11" s="0" t="n">
        <f aca="false">F8+F10+F24</f>
        <v>8032.6696628535</v>
      </c>
      <c r="G11" s="0" t="n">
        <f aca="false">G8+G10+G24</f>
        <v>8394.13979768191</v>
      </c>
      <c r="H11" s="0" t="n">
        <f aca="false">H8+H10+H24</f>
        <v>8729.90538958919</v>
      </c>
      <c r="I11" s="0" t="n">
        <f aca="false">I8+I10+I24</f>
        <v>9035.45207822481</v>
      </c>
      <c r="J11" s="0" t="n">
        <f aca="false">J8+J10+J24</f>
        <v>9351.69290096267</v>
      </c>
      <c r="K11" s="0" t="n">
        <f aca="false">K8+K10+K24</f>
        <v>9632.24368799155</v>
      </c>
      <c r="L11" s="0" t="n">
        <f aca="false">L8+L10+L24</f>
        <v>9921.2109986313</v>
      </c>
    </row>
    <row r="12" customFormat="false" ht="15" hidden="false" customHeight="false" outlineLevel="0" collapsed="false">
      <c r="A12" s="0" t="s">
        <v>122</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123</v>
      </c>
      <c r="C13" s="0" t="n">
        <f aca="false">C11+C12</f>
        <v>6758.4646</v>
      </c>
      <c r="D13" s="0" t="n">
        <f aca="false">D11+D12</f>
        <v>7216.3917868</v>
      </c>
      <c r="E13" s="0" t="n">
        <f aca="false">E11+E12</f>
        <v>7650.16158367</v>
      </c>
      <c r="F13" s="0" t="n">
        <f aca="false">F11+F12</f>
        <v>8032.6696628535</v>
      </c>
      <c r="G13" s="0" t="n">
        <f aca="false">G11+G12</f>
        <v>8394.13979768191</v>
      </c>
      <c r="H13" s="0" t="n">
        <f aca="false">H11+H12</f>
        <v>8729.90538958919</v>
      </c>
      <c r="I13" s="0" t="n">
        <f aca="false">I11+I12</f>
        <v>9035.45207822481</v>
      </c>
      <c r="J13" s="0" t="n">
        <f aca="false">J11+J12</f>
        <v>9351.69290096267</v>
      </c>
      <c r="K13" s="0" t="n">
        <f aca="false">K11+K12</f>
        <v>9632.24368799155</v>
      </c>
      <c r="L13" s="0" t="n">
        <f aca="false">L11+L12</f>
        <v>9921.2109986313</v>
      </c>
    </row>
    <row r="14" customFormat="false" ht="15" hidden="false" customHeight="false" outlineLevel="0" collapsed="false">
      <c r="A14" s="0" t="s">
        <v>109</v>
      </c>
      <c r="C14" s="4" t="n">
        <f aca="false">Assumptions!C33</f>
        <v>23.5</v>
      </c>
      <c r="D14" s="4" t="n">
        <f aca="false">Assumptions!D33</f>
        <v>23.5</v>
      </c>
      <c r="E14" s="4" t="n">
        <f aca="false">Assumptions!E33</f>
        <v>23.5</v>
      </c>
      <c r="F14" s="4" t="n">
        <f aca="false">Assumptions!F33</f>
        <v>23.5</v>
      </c>
      <c r="G14" s="4" t="n">
        <f aca="false">Assumptions!G33</f>
        <v>23.5</v>
      </c>
      <c r="H14" s="4" t="n">
        <f aca="false">Assumptions!H33</f>
        <v>23.5</v>
      </c>
      <c r="I14" s="4" t="n">
        <f aca="false">Assumptions!I33</f>
        <v>23.5</v>
      </c>
      <c r="J14" s="4" t="n">
        <f aca="false">Assumptions!J33</f>
        <v>23.5</v>
      </c>
      <c r="K14" s="4" t="n">
        <f aca="false">Assumptions!K33</f>
        <v>23.5</v>
      </c>
      <c r="L14" s="4" t="n">
        <f aca="false">Assumptions!L33</f>
        <v>23.5</v>
      </c>
    </row>
    <row r="15" customFormat="false" ht="15" hidden="false" customHeight="false" outlineLevel="0" collapsed="false">
      <c r="A15" s="0" t="s">
        <v>124</v>
      </c>
      <c r="C15" s="0" t="n">
        <f aca="false">C13-MAX(0,C13)*C14/100</f>
        <v>5170.225419</v>
      </c>
      <c r="D15" s="0" t="n">
        <f aca="false">D13-MAX(0,D13)*D14/100</f>
        <v>5520.539716902</v>
      </c>
      <c r="E15" s="0" t="n">
        <f aca="false">E13-MAX(0,E13)*E14/100</f>
        <v>5852.37361150755</v>
      </c>
      <c r="F15" s="0" t="n">
        <f aca="false">F13-MAX(0,F13)*F14/100</f>
        <v>6144.99229208293</v>
      </c>
      <c r="G15" s="0" t="n">
        <f aca="false">G13-MAX(0,G13)*G14/100</f>
        <v>6421.51694522666</v>
      </c>
      <c r="H15" s="0" t="n">
        <f aca="false">H13-MAX(0,H13)*H14/100</f>
        <v>6678.37762303573</v>
      </c>
      <c r="I15" s="0" t="n">
        <f aca="false">I13-MAX(0,I13)*I14/100</f>
        <v>6912.12083984198</v>
      </c>
      <c r="J15" s="0" t="n">
        <f aca="false">J13-MAX(0,J13)*J14/100</f>
        <v>7154.04506923645</v>
      </c>
      <c r="K15" s="0" t="n">
        <f aca="false">K13-MAX(0,K13)*K14/100</f>
        <v>7368.66642131354</v>
      </c>
      <c r="L15" s="0" t="n">
        <f aca="false">L13-MAX(0,L13)*L14/100</f>
        <v>7589.72641395294</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-C6*Assumptions!C32/100</f>
        <v>-1565.9857</v>
      </c>
      <c r="D17" s="4" t="n">
        <f aca="false">-D6*Assumptions!D32/100</f>
        <v>-1659.944842</v>
      </c>
      <c r="E17" s="4" t="n">
        <f aca="false">-E6*Assumptions!E32/100</f>
        <v>-1622.202938224</v>
      </c>
      <c r="F17" s="4" t="n">
        <f aca="false">-F6*Assumptions!F32/100</f>
        <v>-1548.466441032</v>
      </c>
      <c r="G17" s="4" t="n">
        <f aca="false">-G6*Assumptions!G32/100</f>
        <v>-1456.3326877906</v>
      </c>
      <c r="H17" s="4" t="n">
        <f aca="false">-H6*Assumptions!H32/100</f>
        <v>-1367.33457909228</v>
      </c>
      <c r="I17" s="4" t="n">
        <f aca="false">-I6*Assumptions!I32/100</f>
        <v>-1241.01389990076</v>
      </c>
      <c r="J17" s="4" t="n">
        <f aca="false">-J6*Assumptions!J32/100</f>
        <v>-1284.44938639728</v>
      </c>
      <c r="K17" s="4" t="n">
        <f aca="false">-K6*Assumptions!K32/100</f>
        <v>-1137.30106195563</v>
      </c>
      <c r="L17" s="4" t="n">
        <f aca="false">-L6*Assumptions!L32/100</f>
        <v>-1171.4200938143</v>
      </c>
    </row>
    <row r="18" customFormat="false" ht="15" hidden="false" customHeight="false" outlineLevel="0" collapsed="false">
      <c r="A18" s="0" t="s">
        <v>127</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128</v>
      </c>
      <c r="C19" s="0" t="n">
        <f aca="false">C15+C16+C17+C18</f>
        <v>3604.239719</v>
      </c>
      <c r="D19" s="0" t="n">
        <f aca="false">D15+D16+D17+D18</f>
        <v>3860.594874902</v>
      </c>
      <c r="E19" s="0" t="n">
        <f aca="false">E15+E16+E17+E18</f>
        <v>4230.17067328355</v>
      </c>
      <c r="F19" s="0" t="n">
        <f aca="false">F15+F16+F17+F18</f>
        <v>4596.52585105093</v>
      </c>
      <c r="G19" s="0" t="n">
        <f aca="false">G15+G16+G17+G18</f>
        <v>4965.18425743606</v>
      </c>
      <c r="H19" s="0" t="n">
        <f aca="false">H15+H16+H17+H18</f>
        <v>5311.04304394345</v>
      </c>
      <c r="I19" s="0" t="n">
        <f aca="false">I15+I16+I17+I18</f>
        <v>5671.10693994122</v>
      </c>
      <c r="J19" s="0" t="n">
        <f aca="false">J15+J16+J17+J18</f>
        <v>5869.59568283916</v>
      </c>
      <c r="K19" s="0" t="n">
        <f aca="false">K15+K16+K17+K18</f>
        <v>6231.36535935791</v>
      </c>
      <c r="L19" s="0" t="n">
        <f aca="false">L15+L16+L17+L18</f>
        <v>6418.30632013865</v>
      </c>
    </row>
    <row r="20" customFormat="false" ht="15" hidden="false" customHeight="false" outlineLevel="0" collapsed="false">
      <c r="A20" s="0" t="s">
        <v>129</v>
      </c>
      <c r="C20" s="0" t="n">
        <f aca="false">1/(1+$B$27/100)^C4</f>
        <v>0.911161731207289</v>
      </c>
      <c r="D20" s="0" t="n">
        <f aca="false">1/(1+$B$27/100)^D4</f>
        <v>0.830215700416665</v>
      </c>
      <c r="E20" s="0" t="n">
        <f aca="false">1/(1+$B$27/100)^E4</f>
        <v>0.756460774867121</v>
      </c>
      <c r="F20" s="0" t="n">
        <f aca="false">1/(1+$B$27/100)^F4</f>
        <v>0.689258109218333</v>
      </c>
      <c r="G20" s="0" t="n">
        <f aca="false">1/(1+$B$27/100)^G4</f>
        <v>0.628025612044039</v>
      </c>
      <c r="H20" s="0" t="n">
        <f aca="false">1/(1+$B$27/100)^H4</f>
        <v>0.572232903912564</v>
      </c>
      <c r="I20" s="0" t="n">
        <f aca="false">1/(1+$B$27/100)^I4</f>
        <v>0.521396723382747</v>
      </c>
      <c r="J20" s="0" t="n">
        <f aca="false">1/(1+$B$27/100)^J4</f>
        <v>0.475076741123232</v>
      </c>
      <c r="K20" s="0" t="n">
        <f aca="false">1/(1+$B$27/100)^K4</f>
        <v>0.432871745898161</v>
      </c>
      <c r="L20" s="0" t="n">
        <f aca="false">1/(1+$B$27/100)^L4</f>
        <v>0.39441616938329</v>
      </c>
    </row>
    <row r="21" customFormat="false" ht="15" hidden="false" customHeight="false" outlineLevel="0" collapsed="false">
      <c r="A21" s="0" t="s">
        <v>130</v>
      </c>
      <c r="C21" s="0" t="n">
        <f aca="false">C19*C20</f>
        <v>3284.04530205011</v>
      </c>
      <c r="D21" s="0" t="n">
        <f aca="false">D19*D20</f>
        <v>3205.12647809175</v>
      </c>
      <c r="E21" s="0" t="n">
        <f aca="false">E19*E20</f>
        <v>3199.95818533224</v>
      </c>
      <c r="F21" s="0" t="n">
        <f aca="false">F19*F20</f>
        <v>3168.19271706855</v>
      </c>
      <c r="G21" s="0" t="n">
        <f aca="false">G19*G20</f>
        <v>3118.26288218771</v>
      </c>
      <c r="H21" s="0" t="n">
        <f aca="false">H19*H20</f>
        <v>3039.15358384038</v>
      </c>
      <c r="I21" s="0" t="n">
        <f aca="false">I19*I20</f>
        <v>2956.89657643851</v>
      </c>
      <c r="J21" s="0" t="n">
        <f aca="false">J19*J20</f>
        <v>2788.50838871422</v>
      </c>
      <c r="K21" s="0" t="n">
        <f aca="false">K19*K20</f>
        <v>2697.38200243458</v>
      </c>
      <c r="L21" s="0" t="n">
        <f aca="false">L19*L20</f>
        <v>2531.48379271765</v>
      </c>
    </row>
    <row r="23" customFormat="false" ht="15" hidden="false" customHeight="false" outlineLevel="0" collapsed="false">
      <c r="A23" s="0" t="s">
        <v>106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Assumptions!$B$34</f>
        <v>9.75</v>
      </c>
    </row>
    <row r="28" customFormat="false" ht="15" hidden="false" customHeight="false" outlineLevel="0" collapsed="false">
      <c r="A28" s="0" t="s">
        <v>111</v>
      </c>
      <c r="B28" s="4" t="n">
        <f aca="false">Assumptions!$B$35</f>
        <v>3</v>
      </c>
    </row>
    <row r="29" customFormat="false" ht="15" hidden="false" customHeight="false" outlineLevel="0" collapsed="false">
      <c r="A29" s="0" t="s">
        <v>112</v>
      </c>
      <c r="B29" s="4" t="n">
        <f aca="false">Assumptions!$B$36</f>
        <v>15</v>
      </c>
    </row>
    <row r="30" customFormat="false" ht="15" hidden="false" customHeight="false" outlineLevel="0" collapsed="false">
      <c r="A30" s="0" t="s">
        <v>133</v>
      </c>
      <c r="B30" s="0" t="n">
        <f aca="false">SUM(C21:L21)</f>
        <v>29989.0099088757</v>
      </c>
    </row>
    <row r="31" customFormat="false" ht="15" hidden="false" customHeight="false" outlineLevel="0" collapsed="false">
      <c r="A31" s="0" t="s">
        <v>134</v>
      </c>
      <c r="B31" s="0" t="n">
        <f aca="false">L19</f>
        <v>6418.30632013865</v>
      </c>
    </row>
    <row r="32" customFormat="false" ht="15" hidden="false" customHeight="false" outlineLevel="0" collapsed="false">
      <c r="A32" s="0" t="s">
        <v>135</v>
      </c>
      <c r="B32" s="0" t="n">
        <f aca="false">IF(B27&gt;B28,B31*(1+B28/100)/((B27-B28)/100),B31*B29)</f>
        <v>97938.6001443378</v>
      </c>
    </row>
    <row r="33" customFormat="false" ht="15" hidden="false" customHeight="false" outlineLevel="0" collapsed="false">
      <c r="A33" s="0" t="s">
        <v>136</v>
      </c>
      <c r="B33" s="0" t="n">
        <f aca="false">B31*B29</f>
        <v>96274.5948020797</v>
      </c>
    </row>
    <row r="34" customFormat="false" ht="15" hidden="false" customHeight="false" outlineLevel="0" collapsed="false">
      <c r="A34" s="0" t="s">
        <v>137</v>
      </c>
      <c r="B34" s="0" t="n">
        <f aca="false">MAX(0,MIN(B32,B33))</f>
        <v>96274.5948020797</v>
      </c>
    </row>
    <row r="35" customFormat="false" ht="15" hidden="false" customHeight="false" outlineLevel="0" collapsed="false">
      <c r="A35" s="0" t="s">
        <v>138</v>
      </c>
      <c r="B35" s="0" t="n">
        <f aca="false">B34/(1+B27/100)^L4</f>
        <v>37972.2568907647</v>
      </c>
    </row>
    <row r="36" customFormat="false" ht="15" hidden="false" customHeight="false" outlineLevel="0" collapsed="false">
      <c r="A36" s="0" t="s">
        <v>139</v>
      </c>
      <c r="B36" s="0" t="n">
        <f aca="false">B30+B35</f>
        <v>67961.2667996404</v>
      </c>
    </row>
    <row r="37" customFormat="false" ht="15" hidden="false" customHeight="false" outlineLevel="0" collapsed="false">
      <c r="A37" s="0" t="s">
        <v>140</v>
      </c>
      <c r="B37" s="0" t="n">
        <f aca="false">B36+Assumptions!$B$5-Assumptions!$B$4</f>
        <v>67961.2667996404</v>
      </c>
    </row>
    <row r="38" customFormat="false" ht="15" hidden="false" customHeight="false" outlineLevel="0" collapsed="false">
      <c r="A38" s="0" t="s">
        <v>141</v>
      </c>
      <c r="B38" s="0" t="n">
        <f aca="false">B37/Assumptions!$B$3*Assumptions!$B$10</f>
        <v>175.022577387691</v>
      </c>
    </row>
    <row r="39" customFormat="false" ht="15" hidden="false" customHeight="false" outlineLevel="0" collapsed="false">
      <c r="A39" s="0" t="s">
        <v>142</v>
      </c>
      <c r="B39" s="4" t="n">
        <f aca="false">B38/Assumptions!$B$2-1</f>
        <v>-0.11631537217161</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175.022577387691</v>
      </c>
    </row>
    <row r="45" customFormat="false" ht="15" hidden="false" customHeight="false" outlineLevel="0" collapsed="false">
      <c r="A45" s="0" t="s">
        <v>85</v>
      </c>
      <c r="B45" s="4" t="n">
        <f aca="false">Assumptions!$B$6</f>
        <v>15</v>
      </c>
    </row>
    <row r="46" customFormat="false" ht="15" hidden="false" customHeight="false" outlineLevel="0" collapsed="false">
      <c r="A46" s="0" t="s">
        <v>146</v>
      </c>
      <c r="B46" s="0" t="n">
        <f aca="false">MAX(0,MIN(IF(B45&gt;B28,B31*(1+B28/100)/((B45-B28)/100),B31*B29),B31*B29))</f>
        <v>55090.46258119</v>
      </c>
    </row>
    <row r="47" customFormat="false" ht="15" hidden="false" customHeight="false" outlineLevel="0" collapsed="false">
      <c r="A47" s="0" t="s">
        <v>147</v>
      </c>
      <c r="B47" s="0" t="n">
        <f aca="false">(SUMPRODUCT(C19:L19/(1+B45/100)^C4:L4)+B46/(1+B45/100)^L4+Assumptions!$B$5-Assumptions!$B$4)/Assumptions!$B$3*Assumptions!$B$10</f>
        <v>95.9402142617147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88</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9</v>
      </c>
      <c r="D5" s="4" t="n">
        <f aca="false">Assumptions!D41</f>
        <v>8</v>
      </c>
      <c r="E5" s="4" t="n">
        <f aca="false">Assumptions!E41</f>
        <v>7</v>
      </c>
      <c r="F5" s="4" t="n">
        <f aca="false">Assumptions!F41</f>
        <v>6.5</v>
      </c>
      <c r="G5" s="4" t="n">
        <f aca="false">Assumptions!G41</f>
        <v>6</v>
      </c>
      <c r="H5" s="4" t="n">
        <f aca="false">Assumptions!H41</f>
        <v>5</v>
      </c>
      <c r="I5" s="4" t="n">
        <f aca="false">Assumptions!I41</f>
        <v>4.5</v>
      </c>
      <c r="J5" s="4" t="n">
        <f aca="false">Assumptions!J41</f>
        <v>4</v>
      </c>
      <c r="K5" s="4" t="n">
        <f aca="false">Assumptions!K41</f>
        <v>3.5</v>
      </c>
      <c r="L5" s="4" t="n">
        <f aca="false">Assumptions!L41</f>
        <v>3.5</v>
      </c>
    </row>
    <row r="6" customFormat="false" ht="15" hidden="false" customHeight="false" outlineLevel="0" collapsed="false">
      <c r="A6" s="0" t="s">
        <v>37</v>
      </c>
      <c r="B6" s="3" t="n">
        <v>15551</v>
      </c>
      <c r="C6" s="0" t="n">
        <f aca="false">B6*(1+C5/100)</f>
        <v>16950.59</v>
      </c>
      <c r="D6" s="0" t="n">
        <f aca="false">C6*(1+D5/100)</f>
        <v>18306.6372</v>
      </c>
      <c r="E6" s="0" t="n">
        <f aca="false">D6*(1+E5/100)</f>
        <v>19588.101804</v>
      </c>
      <c r="F6" s="0" t="n">
        <f aca="false">E6*(1+F5/100)</f>
        <v>20861.32842126</v>
      </c>
      <c r="G6" s="0" t="n">
        <f aca="false">F6*(1+G5/100)</f>
        <v>22113.0081265356</v>
      </c>
      <c r="H6" s="0" t="n">
        <f aca="false">G6*(1+H5/100)</f>
        <v>23218.6585328624</v>
      </c>
      <c r="I6" s="0" t="n">
        <f aca="false">H6*(1+I5/100)</f>
        <v>24263.4981668412</v>
      </c>
      <c r="J6" s="0" t="n">
        <f aca="false">I6*(1+J5/100)</f>
        <v>25234.0380935148</v>
      </c>
      <c r="K6" s="0" t="n">
        <f aca="false">J6*(1+K5/100)</f>
        <v>26117.2294267879</v>
      </c>
      <c r="L6" s="0" t="n">
        <f aca="false">K6*(1+L5/100)</f>
        <v>27031.3324567254</v>
      </c>
    </row>
    <row r="7" customFormat="false" ht="15" hidden="false" customHeight="false" outlineLevel="0" collapsed="false">
      <c r="A7" s="0" t="s">
        <v>104</v>
      </c>
      <c r="C7" s="4" t="n">
        <f aca="false">Assumptions!C42</f>
        <v>42.5</v>
      </c>
      <c r="D7" s="4" t="n">
        <f aca="false">Assumptions!D42</f>
        <v>43</v>
      </c>
      <c r="E7" s="4" t="n">
        <f aca="false">Assumptions!E42</f>
        <v>43.5</v>
      </c>
      <c r="F7" s="4" t="n">
        <f aca="false">Assumptions!F42</f>
        <v>43.5</v>
      </c>
      <c r="G7" s="4" t="n">
        <f aca="false">Assumptions!G42</f>
        <v>43.5</v>
      </c>
      <c r="H7" s="4" t="n">
        <f aca="false">Assumptions!H42</f>
        <v>43.5</v>
      </c>
      <c r="I7" s="4" t="n">
        <f aca="false">Assumptions!I42</f>
        <v>43.5</v>
      </c>
      <c r="J7" s="4" t="n">
        <f aca="false">Assumptions!J42</f>
        <v>43.5</v>
      </c>
      <c r="K7" s="4" t="n">
        <f aca="false">Assumptions!K42</f>
        <v>43.5</v>
      </c>
      <c r="L7" s="4" t="n">
        <f aca="false">Assumptions!L42</f>
        <v>43.5</v>
      </c>
    </row>
    <row r="8" customFormat="false" ht="15" hidden="false" customHeight="false" outlineLevel="0" collapsed="false">
      <c r="A8" s="0" t="s">
        <v>43</v>
      </c>
      <c r="C8" s="0" t="n">
        <f aca="false">C6*C7/100</f>
        <v>7204.00075</v>
      </c>
      <c r="D8" s="0" t="n">
        <f aca="false">D6*D7/100</f>
        <v>7871.853996</v>
      </c>
      <c r="E8" s="0" t="n">
        <f aca="false">E6*E7/100</f>
        <v>8520.82428474</v>
      </c>
      <c r="F8" s="0" t="n">
        <f aca="false">F6*F7/100</f>
        <v>9074.6778632481</v>
      </c>
      <c r="G8" s="0" t="n">
        <f aca="false">G6*G7/100</f>
        <v>9619.15853504299</v>
      </c>
      <c r="H8" s="0" t="n">
        <f aca="false">H6*H7/100</f>
        <v>10100.1164617951</v>
      </c>
      <c r="I8" s="0" t="n">
        <f aca="false">I6*I7/100</f>
        <v>10554.6217025759</v>
      </c>
      <c r="J8" s="0" t="n">
        <f aca="false">J6*J7/100</f>
        <v>10976.806570679</v>
      </c>
      <c r="K8" s="0" t="n">
        <f aca="false">K6*K7/100</f>
        <v>11360.9948006527</v>
      </c>
      <c r="L8" s="0" t="n">
        <f aca="false">L6*L7/100</f>
        <v>11758.6296186756</v>
      </c>
    </row>
    <row r="9" customFormat="false" ht="15" hidden="false" customHeight="false" outlineLevel="0" collapsed="false">
      <c r="A9" s="0" t="s">
        <v>105</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121</v>
      </c>
      <c r="C11" s="0" t="n">
        <f aca="false">C8+C10+C24</f>
        <v>7204.00075</v>
      </c>
      <c r="D11" s="0" t="n">
        <f aca="false">D8+D10+D24</f>
        <v>7871.853996</v>
      </c>
      <c r="E11" s="0" t="n">
        <f aca="false">E8+E10+E24</f>
        <v>8520.82428474</v>
      </c>
      <c r="F11" s="0" t="n">
        <f aca="false">F8+F10+F24</f>
        <v>9074.6778632481</v>
      </c>
      <c r="G11" s="0" t="n">
        <f aca="false">G8+G10+G24</f>
        <v>9619.15853504299</v>
      </c>
      <c r="H11" s="0" t="n">
        <f aca="false">H8+H10+H24</f>
        <v>10100.1164617951</v>
      </c>
      <c r="I11" s="0" t="n">
        <f aca="false">I8+I10+I24</f>
        <v>10554.6217025759</v>
      </c>
      <c r="J11" s="0" t="n">
        <f aca="false">J8+J10+J24</f>
        <v>10976.806570679</v>
      </c>
      <c r="K11" s="0" t="n">
        <f aca="false">K8+K10+K24</f>
        <v>11360.9948006527</v>
      </c>
      <c r="L11" s="0" t="n">
        <f aca="false">L8+L10+L24</f>
        <v>11758.6296186756</v>
      </c>
    </row>
    <row r="12" customFormat="false" ht="15" hidden="false" customHeight="false" outlineLevel="0" collapsed="false">
      <c r="A12" s="0" t="s">
        <v>122</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123</v>
      </c>
      <c r="C13" s="0" t="n">
        <f aca="false">C11+C12</f>
        <v>7204.00075</v>
      </c>
      <c r="D13" s="0" t="n">
        <f aca="false">D11+D12</f>
        <v>7871.853996</v>
      </c>
      <c r="E13" s="0" t="n">
        <f aca="false">E11+E12</f>
        <v>8520.82428474</v>
      </c>
      <c r="F13" s="0" t="n">
        <f aca="false">F11+F12</f>
        <v>9074.6778632481</v>
      </c>
      <c r="G13" s="0" t="n">
        <f aca="false">G11+G12</f>
        <v>9619.15853504299</v>
      </c>
      <c r="H13" s="0" t="n">
        <f aca="false">H11+H12</f>
        <v>10100.1164617951</v>
      </c>
      <c r="I13" s="0" t="n">
        <f aca="false">I11+I12</f>
        <v>10554.6217025759</v>
      </c>
      <c r="J13" s="0" t="n">
        <f aca="false">J11+J12</f>
        <v>10976.806570679</v>
      </c>
      <c r="K13" s="0" t="n">
        <f aca="false">K11+K12</f>
        <v>11360.9948006527</v>
      </c>
      <c r="L13" s="0" t="n">
        <f aca="false">L11+L12</f>
        <v>11758.6296186756</v>
      </c>
    </row>
    <row r="14" customFormat="false" ht="15" hidden="false" customHeight="false" outlineLevel="0" collapsed="false">
      <c r="A14" s="0" t="s">
        <v>109</v>
      </c>
      <c r="C14" s="4" t="n">
        <f aca="false">Assumptions!C47</f>
        <v>23.5</v>
      </c>
      <c r="D14" s="4" t="n">
        <f aca="false">Assumptions!D47</f>
        <v>23.5</v>
      </c>
      <c r="E14" s="4" t="n">
        <f aca="false">Assumptions!E47</f>
        <v>23.5</v>
      </c>
      <c r="F14" s="4" t="n">
        <f aca="false">Assumptions!F47</f>
        <v>23.5</v>
      </c>
      <c r="G14" s="4" t="n">
        <f aca="false">Assumptions!G47</f>
        <v>23.5</v>
      </c>
      <c r="H14" s="4" t="n">
        <f aca="false">Assumptions!H47</f>
        <v>23.5</v>
      </c>
      <c r="I14" s="4" t="n">
        <f aca="false">Assumptions!I47</f>
        <v>23.5</v>
      </c>
      <c r="J14" s="4" t="n">
        <f aca="false">Assumptions!J47</f>
        <v>23.5</v>
      </c>
      <c r="K14" s="4" t="n">
        <f aca="false">Assumptions!K47</f>
        <v>23.5</v>
      </c>
      <c r="L14" s="4" t="n">
        <f aca="false">Assumptions!L47</f>
        <v>23.5</v>
      </c>
    </row>
    <row r="15" customFormat="false" ht="15" hidden="false" customHeight="false" outlineLevel="0" collapsed="false">
      <c r="A15" s="0" t="s">
        <v>124</v>
      </c>
      <c r="C15" s="0" t="n">
        <f aca="false">C13-MAX(0,C13)*C14/100</f>
        <v>5511.06057375</v>
      </c>
      <c r="D15" s="0" t="n">
        <f aca="false">D13-MAX(0,D13)*D14/100</f>
        <v>6021.96830694</v>
      </c>
      <c r="E15" s="0" t="n">
        <f aca="false">E13-MAX(0,E13)*E14/100</f>
        <v>6518.4305778261</v>
      </c>
      <c r="F15" s="0" t="n">
        <f aca="false">F13-MAX(0,F13)*F14/100</f>
        <v>6942.1285653848</v>
      </c>
      <c r="G15" s="0" t="n">
        <f aca="false">G13-MAX(0,G13)*G14/100</f>
        <v>7358.65627930789</v>
      </c>
      <c r="H15" s="0" t="n">
        <f aca="false">H13-MAX(0,H13)*H14/100</f>
        <v>7726.58909327328</v>
      </c>
      <c r="I15" s="0" t="n">
        <f aca="false">I13-MAX(0,I13)*I14/100</f>
        <v>8074.28560247058</v>
      </c>
      <c r="J15" s="0" t="n">
        <f aca="false">J13-MAX(0,J13)*J14/100</f>
        <v>8397.2570265694</v>
      </c>
      <c r="K15" s="0" t="n">
        <f aca="false">K13-MAX(0,K13)*K14/100</f>
        <v>8691.16102249933</v>
      </c>
      <c r="L15" s="0" t="n">
        <f aca="false">L13-MAX(0,L13)*L14/100</f>
        <v>8995.35165828681</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-C6*Assumptions!C46/100</f>
        <v>-2356.13201</v>
      </c>
      <c r="D17" s="4" t="n">
        <f aca="false">-D6*Assumptions!D46/100</f>
        <v>-2270.0230128</v>
      </c>
      <c r="E17" s="4" t="n">
        <f aca="false">-E6*Assumptions!E46/100</f>
        <v>-2154.69119844</v>
      </c>
      <c r="F17" s="4" t="n">
        <f aca="false">-F6*Assumptions!F46/100</f>
        <v>-2148.71682738978</v>
      </c>
      <c r="G17" s="4" t="n">
        <f aca="false">-G6*Assumptions!G46/100</f>
        <v>-2100.73577202088</v>
      </c>
      <c r="H17" s="4" t="n">
        <f aca="false">-H6*Assumptions!H46/100</f>
        <v>-1857.49268262899</v>
      </c>
      <c r="I17" s="4" t="n">
        <f aca="false">-I6*Assumptions!I46/100</f>
        <v>-1746.97186801257</v>
      </c>
      <c r="J17" s="4" t="n">
        <f aca="false">-J6*Assumptions!J46/100</f>
        <v>-1640.21247607846</v>
      </c>
      <c r="K17" s="4" t="n">
        <f aca="false">-K6*Assumptions!K46/100</f>
        <v>-1488.68207732691</v>
      </c>
      <c r="L17" s="4" t="n">
        <f aca="false">-L6*Assumptions!L46/100</f>
        <v>-1540.78595003335</v>
      </c>
    </row>
    <row r="18" customFormat="false" ht="15" hidden="false" customHeight="false" outlineLevel="0" collapsed="false">
      <c r="A18" s="0" t="s">
        <v>127</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128</v>
      </c>
      <c r="C19" s="0" t="n">
        <f aca="false">C15+C16+C17+C18</f>
        <v>3154.92856375</v>
      </c>
      <c r="D19" s="0" t="n">
        <f aca="false">D15+D16+D17+D18</f>
        <v>3751.94529414</v>
      </c>
      <c r="E19" s="0" t="n">
        <f aca="false">E15+E16+E17+E18</f>
        <v>4363.7393793861</v>
      </c>
      <c r="F19" s="0" t="n">
        <f aca="false">F15+F16+F17+F18</f>
        <v>4793.41173799502</v>
      </c>
      <c r="G19" s="0" t="n">
        <f aca="false">G15+G16+G17+G18</f>
        <v>5257.920507287</v>
      </c>
      <c r="H19" s="0" t="n">
        <f aca="false">H15+H16+H17+H18</f>
        <v>5869.09641064429</v>
      </c>
      <c r="I19" s="0" t="n">
        <f aca="false">I15+I16+I17+I18</f>
        <v>6327.31373445801</v>
      </c>
      <c r="J19" s="0" t="n">
        <f aca="false">J15+J16+J17+J18</f>
        <v>6757.04455049094</v>
      </c>
      <c r="K19" s="0" t="n">
        <f aca="false">K15+K16+K17+K18</f>
        <v>7202.47894517242</v>
      </c>
      <c r="L19" s="0" t="n">
        <f aca="false">L15+L16+L17+L18</f>
        <v>7454.56570825346</v>
      </c>
    </row>
    <row r="20" customFormat="false" ht="15" hidden="false" customHeight="false" outlineLevel="0" collapsed="false">
      <c r="A20" s="0" t="s">
        <v>129</v>
      </c>
      <c r="C20" s="0" t="n">
        <f aca="false">1/(1+$B$27/100)^C4</f>
        <v>0.911161731207289</v>
      </c>
      <c r="D20" s="0" t="n">
        <f aca="false">1/(1+$B$27/100)^D4</f>
        <v>0.830215700416665</v>
      </c>
      <c r="E20" s="0" t="n">
        <f aca="false">1/(1+$B$27/100)^E4</f>
        <v>0.756460774867121</v>
      </c>
      <c r="F20" s="0" t="n">
        <f aca="false">1/(1+$B$27/100)^F4</f>
        <v>0.689258109218333</v>
      </c>
      <c r="G20" s="0" t="n">
        <f aca="false">1/(1+$B$27/100)^G4</f>
        <v>0.628025612044039</v>
      </c>
      <c r="H20" s="0" t="n">
        <f aca="false">1/(1+$B$27/100)^H4</f>
        <v>0.572232903912564</v>
      </c>
      <c r="I20" s="0" t="n">
        <f aca="false">1/(1+$B$27/100)^I4</f>
        <v>0.521396723382747</v>
      </c>
      <c r="J20" s="0" t="n">
        <f aca="false">1/(1+$B$27/100)^J4</f>
        <v>0.475076741123232</v>
      </c>
      <c r="K20" s="0" t="n">
        <f aca="false">1/(1+$B$27/100)^K4</f>
        <v>0.432871745898161</v>
      </c>
      <c r="L20" s="0" t="n">
        <f aca="false">1/(1+$B$27/100)^L4</f>
        <v>0.39441616938329</v>
      </c>
    </row>
    <row r="21" customFormat="false" ht="15" hidden="false" customHeight="false" outlineLevel="0" collapsed="false">
      <c r="A21" s="0" t="s">
        <v>130</v>
      </c>
      <c r="C21" s="0" t="n">
        <f aca="false">C19*C20</f>
        <v>2874.65017198178</v>
      </c>
      <c r="D21" s="0" t="n">
        <f aca="false">D19*D20</f>
        <v>3114.92389029945</v>
      </c>
      <c r="E21" s="0" t="n">
        <f aca="false">E19*E20</f>
        <v>3300.99767224858</v>
      </c>
      <c r="F21" s="0" t="n">
        <f aca="false">F19*F20</f>
        <v>3303.89791123541</v>
      </c>
      <c r="G21" s="0" t="n">
        <f aca="false">G19*G20</f>
        <v>3302.10874466783</v>
      </c>
      <c r="H21" s="0" t="n">
        <f aca="false">H19*H20</f>
        <v>3358.49008240579</v>
      </c>
      <c r="I21" s="0" t="n">
        <f aca="false">I19*I20</f>
        <v>3299.04064896106</v>
      </c>
      <c r="J21" s="0" t="n">
        <f aca="false">J19*J20</f>
        <v>3210.11470467173</v>
      </c>
      <c r="K21" s="0" t="n">
        <f aca="false">K19*K20</f>
        <v>3117.74963579153</v>
      </c>
      <c r="L21" s="0" t="n">
        <f aca="false">L19*L20</f>
        <v>2940.20125106536</v>
      </c>
    </row>
    <row r="23" customFormat="false" ht="15" hidden="false" customHeight="false" outlineLevel="0" collapsed="false">
      <c r="A23" s="0" t="s">
        <v>106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Assumptions!$B$48</f>
        <v>9.75</v>
      </c>
    </row>
    <row r="28" customFormat="false" ht="15" hidden="false" customHeight="false" outlineLevel="0" collapsed="false">
      <c r="A28" s="0" t="s">
        <v>111</v>
      </c>
      <c r="B28" s="4" t="n">
        <f aca="false">Assumptions!$B$49</f>
        <v>3</v>
      </c>
    </row>
    <row r="29" customFormat="false" ht="15" hidden="false" customHeight="false" outlineLevel="0" collapsed="false">
      <c r="A29" s="0" t="s">
        <v>112</v>
      </c>
      <c r="B29" s="4" t="n">
        <f aca="false">Assumptions!$B$50</f>
        <v>16</v>
      </c>
    </row>
    <row r="30" customFormat="false" ht="15" hidden="false" customHeight="false" outlineLevel="0" collapsed="false">
      <c r="A30" s="0" t="s">
        <v>133</v>
      </c>
      <c r="B30" s="0" t="n">
        <f aca="false">SUM(C21:L21)</f>
        <v>31822.1747133285</v>
      </c>
    </row>
    <row r="31" customFormat="false" ht="15" hidden="false" customHeight="false" outlineLevel="0" collapsed="false">
      <c r="A31" s="0" t="s">
        <v>134</v>
      </c>
      <c r="B31" s="0" t="n">
        <f aca="false">L19</f>
        <v>7454.56570825346</v>
      </c>
    </row>
    <row r="32" customFormat="false" ht="15" hidden="false" customHeight="false" outlineLevel="0" collapsed="false">
      <c r="A32" s="0" t="s">
        <v>135</v>
      </c>
      <c r="B32" s="0" t="n">
        <f aca="false">IF(B27&gt;B28,B31*(1+B28/100)/((B27-B28)/100),B31*B29)</f>
        <v>113751.150807423</v>
      </c>
    </row>
    <row r="33" customFormat="false" ht="15" hidden="false" customHeight="false" outlineLevel="0" collapsed="false">
      <c r="A33" s="0" t="s">
        <v>136</v>
      </c>
      <c r="B33" s="0" t="n">
        <f aca="false">B31*B29</f>
        <v>119273.051332055</v>
      </c>
    </row>
    <row r="34" customFormat="false" ht="15" hidden="false" customHeight="false" outlineLevel="0" collapsed="false">
      <c r="A34" s="0" t="s">
        <v>137</v>
      </c>
      <c r="B34" s="0" t="n">
        <f aca="false">MAX(0,MIN(B32,B33))</f>
        <v>113751.150807423</v>
      </c>
    </row>
    <row r="35" customFormat="false" ht="15" hidden="false" customHeight="false" outlineLevel="0" collapsed="false">
      <c r="A35" s="0" t="s">
        <v>138</v>
      </c>
      <c r="B35" s="0" t="n">
        <f aca="false">B34/(1+B27/100)^L4</f>
        <v>44865.2931644048</v>
      </c>
    </row>
    <row r="36" customFormat="false" ht="15" hidden="false" customHeight="false" outlineLevel="0" collapsed="false">
      <c r="A36" s="0" t="s">
        <v>139</v>
      </c>
      <c r="B36" s="0" t="n">
        <f aca="false">B30+B35</f>
        <v>76687.4678777333</v>
      </c>
    </row>
    <row r="37" customFormat="false" ht="15" hidden="false" customHeight="false" outlineLevel="0" collapsed="false">
      <c r="A37" s="0" t="s">
        <v>140</v>
      </c>
      <c r="B37" s="0" t="n">
        <f aca="false">B36+Assumptions!$B$5-Assumptions!$B$4</f>
        <v>76687.4678777333</v>
      </c>
    </row>
    <row r="38" customFormat="false" ht="15" hidden="false" customHeight="false" outlineLevel="0" collapsed="false">
      <c r="A38" s="0" t="s">
        <v>141</v>
      </c>
      <c r="B38" s="0" t="n">
        <f aca="false">B37/Assumptions!$B$3*Assumptions!$B$10</f>
        <v>197.495410449996</v>
      </c>
    </row>
    <row r="39" customFormat="false" ht="15" hidden="false" customHeight="false" outlineLevel="0" collapsed="false">
      <c r="A39" s="0" t="s">
        <v>142</v>
      </c>
      <c r="B39" s="4" t="n">
        <f aca="false">B38/Assumptions!$B$2-1</f>
        <v>-0.00285059855601577</v>
      </c>
    </row>
    <row r="41" customFormat="false" ht="15" hidden="false" customHeight="false" outlineLevel="0" collapsed="false">
      <c r="A41" s="0" t="s">
        <v>143</v>
      </c>
      <c r="B41" s="0" t="n">
        <f aca="false">SUMPRODUCT(-C10:L10/(1+$B$27/100)^C4:L4)</f>
        <v>0</v>
      </c>
    </row>
    <row r="42" customFormat="false" ht="15" hidden="false" customHeight="false" outlineLevel="0" collapsed="false">
      <c r="A42" s="0" t="s">
        <v>144</v>
      </c>
      <c r="B42" s="0" t="n">
        <f aca="false">IF(B27&gt;B28,-L10*(1+B28/100)/((B27-B28)/100),-L10*20)/(1+B27/100)^L4</f>
        <v>0</v>
      </c>
    </row>
    <row r="43" customFormat="false" ht="15" hidden="false" customHeight="false" outlineLevel="0" collapsed="false">
      <c r="A43" s="0" t="s">
        <v>145</v>
      </c>
      <c r="B43" s="0" t="n">
        <f aca="false">(B37+B41+B42)/Assumptions!$B$3*Assumptions!$B$10</f>
        <v>197.495410449996</v>
      </c>
    </row>
    <row r="45" customFormat="false" ht="15" hidden="false" customHeight="false" outlineLevel="0" collapsed="false">
      <c r="A45" s="0" t="s">
        <v>85</v>
      </c>
      <c r="B45" s="4" t="n">
        <f aca="false">Assumptions!$B$6</f>
        <v>15</v>
      </c>
    </row>
    <row r="46" customFormat="false" ht="15" hidden="false" customHeight="false" outlineLevel="0" collapsed="false">
      <c r="A46" s="0" t="s">
        <v>146</v>
      </c>
      <c r="B46" s="0" t="n">
        <f aca="false">MAX(0,MIN(IF(B45&gt;B28,B31*(1+B28/100)/((B45-B28)/100),B31*B29),B31*B29))</f>
        <v>63985.0223291755</v>
      </c>
    </row>
    <row r="47" customFormat="false" ht="15" hidden="false" customHeight="false" outlineLevel="0" collapsed="false">
      <c r="A47" s="0" t="s">
        <v>147</v>
      </c>
      <c r="B47" s="0" t="n">
        <f aca="false">(SUMPRODUCT(C19:L19/(1+B45/100)^C4:L4)+B46/(1+B45/100)^L4+Assumptions!$B$5-Assumptions!$B$4)/Assumptions!$B$3*Assumptions!$B$10</f>
        <v>104.649809844452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137.988864588944</v>
      </c>
      <c r="C4" s="0" t="n">
        <f aca="false">B4/Assumptions!$B$2-1</f>
        <v>-0.30329766439996</v>
      </c>
      <c r="D4" s="4" t="n">
        <f aca="false">Assumptions!$B$24</f>
        <v>0.25</v>
      </c>
      <c r="E4" s="4" t="n">
        <f aca="false">DCF_Bear!$B$43</f>
        <v>137.988864588944</v>
      </c>
      <c r="F4" s="4" t="n">
        <f aca="false">DCF_Bear!$B$47</f>
        <v>82.2583195089048</v>
      </c>
    </row>
    <row r="5" customFormat="false" ht="15" hidden="false" customHeight="false" outlineLevel="0" collapsed="false">
      <c r="A5" s="0" t="s">
        <v>156</v>
      </c>
      <c r="B5" s="4" t="n">
        <f aca="false">DCF_Base!$B$38</f>
        <v>175.022577387691</v>
      </c>
      <c r="C5" s="0" t="n">
        <f aca="false">B5/Assumptions!$B$2-1</f>
        <v>-0.11631537217161</v>
      </c>
      <c r="D5" s="4" t="n">
        <f aca="false">Assumptions!$B$38</f>
        <v>0.5</v>
      </c>
      <c r="E5" s="4" t="n">
        <f aca="false">DCF_Base!$B$43</f>
        <v>175.022577387691</v>
      </c>
      <c r="F5" s="4" t="n">
        <f aca="false">DCF_Base!$B$47</f>
        <v>95.9402142617147</v>
      </c>
    </row>
    <row r="6" customFormat="false" ht="15" hidden="false" customHeight="false" outlineLevel="0" collapsed="false">
      <c r="A6" s="0" t="s">
        <v>157</v>
      </c>
      <c r="B6" s="4" t="n">
        <f aca="false">DCF_Bull!$B$38</f>
        <v>197.495410449996</v>
      </c>
      <c r="C6" s="0" t="n">
        <f aca="false">B6/Assumptions!$B$2-1</f>
        <v>-0.00285059855601577</v>
      </c>
      <c r="D6" s="4" t="n">
        <f aca="false">Assumptions!$B$52</f>
        <v>0.25</v>
      </c>
      <c r="E6" s="4" t="n">
        <f aca="false">DCF_Bull!$B$43</f>
        <v>197.495410449996</v>
      </c>
      <c r="F6" s="4" t="n">
        <f aca="false">DCF_Bull!$B$47</f>
        <v>104.649809844452</v>
      </c>
    </row>
    <row r="8" customFormat="false" ht="15" hidden="false" customHeight="false" outlineLevel="0" collapsed="false">
      <c r="A8" s="0" t="s">
        <v>158</v>
      </c>
      <c r="B8" s="0" t="n">
        <f aca="false">SUMPRODUCT(B4:B6,D4:D6)</f>
        <v>171.38235745358</v>
      </c>
    </row>
    <row r="9" customFormat="false" ht="15" hidden="false" customHeight="false" outlineLevel="0" collapsed="false">
      <c r="A9" s="0" t="s">
        <v>159</v>
      </c>
      <c r="B9" s="0" t="n">
        <f aca="false">SUMPRODUCT(E4:E6,D4:D6)</f>
        <v>171.38235745358</v>
      </c>
    </row>
    <row r="10" customFormat="false" ht="15" hidden="false" customHeight="false" outlineLevel="0" collapsed="false">
      <c r="A10" s="0" t="s">
        <v>160</v>
      </c>
      <c r="B10" s="0" t="n">
        <f aca="false">1-Assumptions!$B$2/B8</f>
        <v>-0.155661544996809</v>
      </c>
    </row>
    <row r="11" customFormat="false" ht="15" hidden="false" customHeight="false" outlineLevel="0" collapsed="false">
      <c r="A11" s="0" t="s">
        <v>161</v>
      </c>
      <c r="B11" s="0" t="str">
        <f aca="false">IF(ABS(B9-B8)&gt;0.01*ABS(B8),(Assumptions!$B$2-B8)/(B9-B8)*100,"n/a")</f>
        <v>n/a</v>
      </c>
    </row>
    <row r="12" customFormat="false" ht="15" hidden="false" customHeight="false" outlineLevel="0" collapsed="false">
      <c r="A12" s="0" t="s">
        <v>162</v>
      </c>
      <c r="B12" s="0" t="n">
        <f aca="false">SUMPRODUCT(F4:F6,D4:D6)</f>
        <v>94.6971394691965</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184.827060105113</v>
      </c>
      <c r="C15" s="3" t="n">
        <v>9</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175.022577387691</v>
      </c>
      <c r="C16" s="3" t="n">
        <v>9.75</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170.080888995372</v>
      </c>
      <c r="C17" s="3" t="n">
        <v>10</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147.734698315067</v>
      </c>
      <c r="C18" s="3" t="n">
        <v>11</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130.403639775592</v>
      </c>
      <c r="C19" s="3" t="n">
        <v>12</v>
      </c>
    </row>
    <row r="20" customFormat="false" ht="15" hidden="false" customHeight="false" outlineLevel="0" collapsed="false">
      <c r="A20" s="0" t="s">
        <v>170</v>
      </c>
      <c r="B20" s="0" t="n">
        <f aca="false">(SUMPRODUCT(DCF_Base!$C$19:$L$19/(1+$C$20/100)^DCF_Base!$C$4:$L$4)+MAX(0,MIN(IF($C$20&gt;DCF_Base!$B$28,DCF_Base!$L$19*(1+DCF_Base!$B$28/100)/(($C$20-DCF_Base!$B$28)/100),DCF_Base!$L$19*DCF_Base!$B$29),DCF_Base!$L$19*DCF_Base!$B$29))/(1+$C$20/100)^DCF_Base!$L$4+Assumptions!$B$5-Assumptions!$B$4)/Assumptions!$B$3*Assumptions!$B$10</f>
        <v>95.9402142617147</v>
      </c>
      <c r="C20" s="3" t="n">
        <v>15</v>
      </c>
    </row>
    <row r="22" customFormat="false" ht="15" hidden="false" customHeight="false" outlineLevel="0" collapsed="false">
      <c r="A22" s="2" t="s">
        <v>171</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7.75</v>
      </c>
      <c r="B24" s="0" t="n">
        <f aca="false">(SUMPRODUCT(DCF_Base!$C$19:$L$19/(1+$A$24/100)^DCF_Base!$C$4:$L$4)+MAX(0,MIN(IF($A$24&gt;$B$23,DCF_Base!$L$19*(1+$B$23/100)/(($A$24-$B$23)/100),DCF_Base!$L$19*DCF_Base!$B$29),DCF_Base!$L$19*DCF_Base!$B$29))/(1+$A$24/100)^DCF_Base!$L$4+Assumptions!$B$5-Assumptions!$B$4)/Assumptions!$B$3*Assumptions!$B$10</f>
        <v>202.762219643279</v>
      </c>
      <c r="C24" s="0" t="n">
        <f aca="false">(SUMPRODUCT(DCF_Base!$C$19:$L$19/(1+$A$24/100)^DCF_Base!$C$4:$L$4)+MAX(0,MIN(IF($A$24&gt;$C$23,DCF_Base!$L$19*(1+$C$23/100)/(($A$24-$C$23)/100),DCF_Base!$L$19*DCF_Base!$B$29),DCF_Base!$L$19*DCF_Base!$B$29))/(1+$A$24/100)^DCF_Base!$L$4+Assumptions!$B$5-Assumptions!$B$4)/Assumptions!$B$3*Assumptions!$B$10</f>
        <v>202.762219643279</v>
      </c>
      <c r="D24" s="0" t="n">
        <f aca="false">(SUMPRODUCT(DCF_Base!$C$19:$L$19/(1+$A$24/100)^DCF_Base!$C$4:$L$4)+MAX(0,MIN(IF($A$24&gt;$D$23,DCF_Base!$L$19*(1+$D$23/100)/(($A$24-$D$23)/100),DCF_Base!$L$19*DCF_Base!$B$29),DCF_Base!$L$19*DCF_Base!$B$29))/(1+$A$24/100)^DCF_Base!$L$4+Assumptions!$B$5-Assumptions!$B$4)/Assumptions!$B$3*Assumptions!$B$10</f>
        <v>202.762219643279</v>
      </c>
      <c r="E24" s="0" t="n">
        <f aca="false">(SUMPRODUCT(DCF_Base!$C$19:$L$19/(1+$A$24/100)^DCF_Base!$C$4:$L$4)+MAX(0,MIN(IF($A$24&gt;$E$23,DCF_Base!$L$19*(1+$E$23/100)/(($A$24-$E$23)/100),DCF_Base!$L$19*DCF_Base!$B$29),DCF_Base!$L$19*DCF_Base!$B$29))/(1+$A$24/100)^DCF_Base!$L$4+Assumptions!$B$5-Assumptions!$B$4)/Assumptions!$B$3*Assumptions!$B$10</f>
        <v>202.762219643279</v>
      </c>
      <c r="F24" s="0" t="n">
        <f aca="false">(SUMPRODUCT(DCF_Base!$C$19:$L$19/(1+$A$24/100)^DCF_Base!$C$4:$L$4)+MAX(0,MIN(IF($A$24&gt;$F$23,DCF_Base!$L$19*(1+$F$23/100)/(($A$24-$F$23)/100),DCF_Base!$L$19*DCF_Base!$B$29),DCF_Base!$L$19*DCF_Base!$B$29))/(1+$A$24/100)^DCF_Base!$L$4+Assumptions!$B$5-Assumptions!$B$4)/Assumptions!$B$3*Assumptions!$B$10</f>
        <v>202.762219643279</v>
      </c>
    </row>
    <row r="25" customFormat="false" ht="15" hidden="false" customHeight="false" outlineLevel="0" collapsed="false">
      <c r="A25" s="3" t="n">
        <v>8.75</v>
      </c>
      <c r="B25" s="0" t="n">
        <f aca="false">(SUMPRODUCT(DCF_Base!$C$19:$L$19/(1+$A$25/100)^DCF_Base!$C$4:$L$4)+MAX(0,MIN(IF($A$25&gt;$B$23,DCF_Base!$L$19*(1+$B$23/100)/(($A$25-$B$23)/100),DCF_Base!$L$19*DCF_Base!$B$29),DCF_Base!$L$19*DCF_Base!$B$29))/(1+$A$25/100)^DCF_Base!$L$4+Assumptions!$B$5-Assumptions!$B$4)/Assumptions!$B$3*Assumptions!$B$10</f>
        <v>188.249045397867</v>
      </c>
      <c r="C25" s="0" t="n">
        <f aca="false">(SUMPRODUCT(DCF_Base!$C$19:$L$19/(1+$A$25/100)^DCF_Base!$C$4:$L$4)+MAX(0,MIN(IF($A$25&gt;$C$23,DCF_Base!$L$19*(1+$C$23/100)/(($A$25-$C$23)/100),DCF_Base!$L$19*DCF_Base!$B$29),DCF_Base!$L$19*DCF_Base!$B$29))/(1+$A$25/100)^DCF_Base!$L$4+Assumptions!$B$5-Assumptions!$B$4)/Assumptions!$B$3*Assumptions!$B$10</f>
        <v>188.249045397867</v>
      </c>
      <c r="D25" s="0" t="n">
        <f aca="false">(SUMPRODUCT(DCF_Base!$C$19:$L$19/(1+$A$25/100)^DCF_Base!$C$4:$L$4)+MAX(0,MIN(IF($A$25&gt;$D$23,DCF_Base!$L$19*(1+$D$23/100)/(($A$25-$D$23)/100),DCF_Base!$L$19*DCF_Base!$B$29),DCF_Base!$L$19*DCF_Base!$B$29))/(1+$A$25/100)^DCF_Base!$L$4+Assumptions!$B$5-Assumptions!$B$4)/Assumptions!$B$3*Assumptions!$B$10</f>
        <v>188.249045397867</v>
      </c>
      <c r="E25" s="0" t="n">
        <f aca="false">(SUMPRODUCT(DCF_Base!$C$19:$L$19/(1+$A$25/100)^DCF_Base!$C$4:$L$4)+MAX(0,MIN(IF($A$25&gt;$E$23,DCF_Base!$L$19*(1+$E$23/100)/(($A$25-$E$23)/100),DCF_Base!$L$19*DCF_Base!$B$29),DCF_Base!$L$19*DCF_Base!$B$29))/(1+$A$25/100)^DCF_Base!$L$4+Assumptions!$B$5-Assumptions!$B$4)/Assumptions!$B$3*Assumptions!$B$10</f>
        <v>188.249045397867</v>
      </c>
      <c r="F25" s="0" t="n">
        <f aca="false">(SUMPRODUCT(DCF_Base!$C$19:$L$19/(1+$A$25/100)^DCF_Base!$C$4:$L$4)+MAX(0,MIN(IF($A$25&gt;$F$23,DCF_Base!$L$19*(1+$F$23/100)/(($A$25-$F$23)/100),DCF_Base!$L$19*DCF_Base!$B$29),DCF_Base!$L$19*DCF_Base!$B$29))/(1+$A$25/100)^DCF_Base!$L$4+Assumptions!$B$5-Assumptions!$B$4)/Assumptions!$B$3*Assumptions!$B$10</f>
        <v>188.249045397867</v>
      </c>
    </row>
    <row r="26" customFormat="false" ht="15" hidden="false" customHeight="false" outlineLevel="0" collapsed="false">
      <c r="A26" s="3" t="n">
        <v>9.75</v>
      </c>
      <c r="B26" s="0" t="n">
        <f aca="false">(SUMPRODUCT(DCF_Base!$C$19:$L$19/(1+$A$26/100)^DCF_Base!$C$4:$L$4)+MAX(0,MIN(IF($A$26&gt;$B$23,DCF_Base!$L$19*(1+$B$23/100)/(($A$26-$B$23)/100),DCF_Base!$L$19*DCF_Base!$B$29),DCF_Base!$L$19*DCF_Base!$B$29))/(1+$A$26/100)^DCF_Base!$L$4+Assumptions!$B$5-Assumptions!$B$4)/Assumptions!$B$3*Assumptions!$B$10</f>
        <v>163.035289857688</v>
      </c>
      <c r="C26" s="0" t="n">
        <f aca="false">(SUMPRODUCT(DCF_Base!$C$19:$L$19/(1+$A$26/100)^DCF_Base!$C$4:$L$4)+MAX(0,MIN(IF($A$26&gt;$C$23,DCF_Base!$L$19*(1+$C$23/100)/(($A$26-$C$23)/100),DCF_Base!$L$19*DCF_Base!$B$29),DCF_Base!$L$19*DCF_Base!$B$29))/(1+$A$26/100)^DCF_Base!$L$4+Assumptions!$B$5-Assumptions!$B$4)/Assumptions!$B$3*Assumptions!$B$10</f>
        <v>169.402403258379</v>
      </c>
      <c r="D26" s="0" t="n">
        <f aca="false">(SUMPRODUCT(DCF_Base!$C$19:$L$19/(1+$A$26/100)^DCF_Base!$C$4:$L$4)+MAX(0,MIN(IF($A$26&gt;$D$23,DCF_Base!$L$19*(1+$D$23/100)/(($A$26-$D$23)/100),DCF_Base!$L$19*DCF_Base!$B$29),DCF_Base!$L$19*DCF_Base!$B$29))/(1+$A$26/100)^DCF_Base!$L$4+Assumptions!$B$5-Assumptions!$B$4)/Assumptions!$B$3*Assumptions!$B$10</f>
        <v>175.022577387691</v>
      </c>
      <c r="E26" s="0" t="n">
        <f aca="false">(SUMPRODUCT(DCF_Base!$C$19:$L$19/(1+$A$26/100)^DCF_Base!$C$4:$L$4)+MAX(0,MIN(IF($A$26&gt;$E$23,DCF_Base!$L$19*(1+$E$23/100)/(($A$26-$E$23)/100),DCF_Base!$L$19*DCF_Base!$B$29),DCF_Base!$L$19*DCF_Base!$B$29))/(1+$A$26/100)^DCF_Base!$L$4+Assumptions!$B$5-Assumptions!$B$4)/Assumptions!$B$3*Assumptions!$B$10</f>
        <v>175.022577387691</v>
      </c>
      <c r="F26" s="0" t="n">
        <f aca="false">(SUMPRODUCT(DCF_Base!$C$19:$L$19/(1+$A$26/100)^DCF_Base!$C$4:$L$4)+MAX(0,MIN(IF($A$26&gt;$F$23,DCF_Base!$L$19*(1+$F$23/100)/(($A$26-$F$23)/100),DCF_Base!$L$19*DCF_Base!$B$29),DCF_Base!$L$19*DCF_Base!$B$29))/(1+$A$26/100)^DCF_Base!$L$4+Assumptions!$B$5-Assumptions!$B$4)/Assumptions!$B$3*Assumptions!$B$10</f>
        <v>175.022577387691</v>
      </c>
    </row>
    <row r="27" customFormat="false" ht="15" hidden="false" customHeight="false" outlineLevel="0" collapsed="false">
      <c r="A27" s="3" t="n">
        <v>10.75</v>
      </c>
      <c r="B27" s="0" t="n">
        <f aca="false">(SUMPRODUCT(DCF_Base!$C$19:$L$19/(1+$A$27/100)^DCF_Base!$C$4:$L$4)+MAX(0,MIN(IF($A$27&gt;$B$23,DCF_Base!$L$19*(1+$B$23/100)/(($A$27-$B$23)/100),DCF_Base!$L$19*DCF_Base!$B$29),DCF_Base!$L$19*DCF_Base!$B$29))/(1+$A$27/100)^DCF_Base!$L$4+Assumptions!$B$5-Assumptions!$B$4)/Assumptions!$B$3*Assumptions!$B$10</f>
        <v>143.050985106992</v>
      </c>
      <c r="C27" s="0" t="n">
        <f aca="false">(SUMPRODUCT(DCF_Base!$C$19:$L$19/(1+$A$27/100)^DCF_Base!$C$4:$L$4)+MAX(0,MIN(IF($A$27&gt;$C$23,DCF_Base!$L$19*(1+$C$23/100)/(($A$27-$C$23)/100),DCF_Base!$L$19*DCF_Base!$B$29),DCF_Base!$L$19*DCF_Base!$B$29))/(1+$A$27/100)^DCF_Base!$L$4+Assumptions!$B$5-Assumptions!$B$4)/Assumptions!$B$3*Assumptions!$B$10</f>
        <v>147.618368185452</v>
      </c>
      <c r="D27" s="0" t="n">
        <f aca="false">(SUMPRODUCT(DCF_Base!$C$19:$L$19/(1+$A$27/100)^DCF_Base!$C$4:$L$4)+MAX(0,MIN(IF($A$27&gt;$D$23,DCF_Base!$L$19*(1+$D$23/100)/(($A$27-$D$23)/100),DCF_Base!$L$19*DCF_Base!$B$29),DCF_Base!$L$19*DCF_Base!$B$29))/(1+$A$27/100)^DCF_Base!$L$4+Assumptions!$B$5-Assumptions!$B$4)/Assumptions!$B$3*Assumptions!$B$10</f>
        <v>152.775091015971</v>
      </c>
      <c r="E27" s="0" t="n">
        <f aca="false">(SUMPRODUCT(DCF_Base!$C$19:$L$19/(1+$A$27/100)^DCF_Base!$C$4:$L$4)+MAX(0,MIN(IF($A$27&gt;$E$23,DCF_Base!$L$19*(1+$E$23/100)/(($A$27-$E$23)/100),DCF_Base!$L$19*DCF_Base!$B$29),DCF_Base!$L$19*DCF_Base!$B$29))/(1+$A$27/100)^DCF_Base!$L$4+Assumptions!$B$5-Assumptions!$B$4)/Assumptions!$B$3*Assumptions!$B$10</f>
        <v>158.643085961045</v>
      </c>
      <c r="F27" s="0" t="n">
        <f aca="false">(SUMPRODUCT(DCF_Base!$C$19:$L$19/(1+$A$27/100)^DCF_Base!$C$4:$L$4)+MAX(0,MIN(IF($A$27&gt;$F$23,DCF_Base!$L$19*(1+$F$23/100)/(($A$27-$F$23)/100),DCF_Base!$L$19*DCF_Base!$B$29),DCF_Base!$L$19*DCF_Base!$B$29))/(1+$A$27/100)^DCF_Base!$L$4+Assumptions!$B$5-Assumptions!$B$4)/Assumptions!$B$3*Assumptions!$B$10</f>
        <v>162.954671411658</v>
      </c>
    </row>
    <row r="28" customFormat="false" ht="15" hidden="false" customHeight="false" outlineLevel="0" collapsed="false">
      <c r="A28" s="3" t="n">
        <v>11.75</v>
      </c>
      <c r="B28" s="0" t="n">
        <f aca="false">(SUMPRODUCT(DCF_Base!$C$19:$L$19/(1+$A$28/100)^DCF_Base!$C$4:$L$4)+MAX(0,MIN(IF($A$28&gt;$B$23,DCF_Base!$L$19*(1+$B$23/100)/(($A$28-$B$23)/100),DCF_Base!$L$19*DCF_Base!$B$29),DCF_Base!$L$19*DCF_Base!$B$29))/(1+$A$28/100)^DCF_Base!$L$4+Assumptions!$B$5-Assumptions!$B$4)/Assumptions!$B$3*Assumptions!$B$10</f>
        <v>127.231717985256</v>
      </c>
      <c r="C28" s="0" t="n">
        <f aca="false">(SUMPRODUCT(DCF_Base!$C$19:$L$19/(1+$A$28/100)^DCF_Base!$C$4:$L$4)+MAX(0,MIN(IF($A$28&gt;$C$23,DCF_Base!$L$19*(1+$C$23/100)/(($A$28-$C$23)/100),DCF_Base!$L$19*DCF_Base!$B$29),DCF_Base!$L$19*DCF_Base!$B$29))/(1+$A$28/100)^DCF_Base!$L$4+Assumptions!$B$5-Assumptions!$B$4)/Assumptions!$B$3*Assumptions!$B$10</f>
        <v>130.603417935398</v>
      </c>
      <c r="D28" s="0" t="n">
        <f aca="false">(SUMPRODUCT(DCF_Base!$C$19:$L$19/(1+$A$28/100)^DCF_Base!$C$4:$L$4)+MAX(0,MIN(IF($A$28&gt;$D$23,DCF_Base!$L$19*(1+$D$23/100)/(($A$28-$D$23)/100),DCF_Base!$L$19*DCF_Base!$B$29),DCF_Base!$L$19*DCF_Base!$B$29))/(1+$A$28/100)^DCF_Base!$L$4+Assumptions!$B$5-Assumptions!$B$4)/Assumptions!$B$3*Assumptions!$B$10</f>
        <v>134.360455022698</v>
      </c>
      <c r="E28" s="0" t="n">
        <f aca="false">(SUMPRODUCT(DCF_Base!$C$19:$L$19/(1+$A$28/100)^DCF_Base!$C$4:$L$4)+MAX(0,MIN(IF($A$28&gt;$E$23,DCF_Base!$L$19*(1+$E$23/100)/(($A$28-$E$23)/100),DCF_Base!$L$19*DCF_Base!$B$29),DCF_Base!$L$19*DCF_Base!$B$29))/(1+$A$28/100)^DCF_Base!$L$4+Assumptions!$B$5-Assumptions!$B$4)/Assumptions!$B$3*Assumptions!$B$10</f>
        <v>138.572890544823</v>
      </c>
      <c r="F28" s="0" t="n">
        <f aca="false">(SUMPRODUCT(DCF_Base!$C$19:$L$19/(1+$A$28/100)^DCF_Base!$C$4:$L$4)+MAX(0,MIN(IF($A$28&gt;$F$23,DCF_Base!$L$19*(1+$F$23/100)/(($A$28-$F$23)/100),DCF_Base!$L$19*DCF_Base!$B$29),DCF_Base!$L$19*DCF_Base!$B$29))/(1+$A$28/100)^DCF_Base!$L$4+Assumptions!$B$5-Assumptions!$B$4)/Assumptions!$B$3*Assumptions!$B$10</f>
        <v>143.328866134319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2026-10-10T09:16:15Z</dcterms:created>
  <dc:creator>openpyxl</dc:creator>
  <dc:description/>
  <dc:language>en-NZ</dc:language>
  <cp:lastModifiedBy/>
  <dcterms:modified xsi:type="dcterms:W3CDTF">2026-10-10T09:16:15Z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