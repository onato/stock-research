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<sst xmlns="http://schemas.openxmlformats.org/spreadsheetml/2006/main" count="354" uniqueCount="164">
  <si>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</si>
  <si>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0839.HK</t>
  </si>
  <si>
    <t xml:space="preserve">Company</t>
  </si>
  <si>
    <t xml:space="preserve">China Education Group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</si>
  <si>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</si>
  <si>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</si>
  <si>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</si>
  <si>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</si>
  <si>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</t>
  </si>
  <si>
    <t xml:space="preserve">Balance sheet date</t>
  </si>
  <si>
    <t xml:space="preserve">2026-02-28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</si>
  <si>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</si>
  <si>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</si>
  <si>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</si>
  <si>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</si>
  <si>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</si>
  <si>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</si>
  <si>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</si>
  <si>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</si>
  <si>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</si>
  <si>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</si>
  <si>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</si>
  <si>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2026-10-11T09:01:00Z</t>
  </si>
  <si>
    <t xml:space="preserve">Drivers file</t>
  </si>
  <si>
    <t xml:space="preserve">0839.HK_Drivers.json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</si>
  <si>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</si>
  <si>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</si>
  <si>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</si>
  <si>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prepaid-tuition business with a 52-55% adjusted EBITDA margin on RMB7.4bn of revenue, trading at ~3x EV/EBITDA and ~3-4x normalised earnings because the market treats Chinese private higher education as un-investable after the 2021 K-12 crackdown and two years of campus impairments. The DCF values the cash the campuses can generate once the construction programme tapers; it does not assume a re-rating (the terminal multiple is capped at 15x FCF, not a sector multiple) but it does assume cash can eventually reach shareholders, which is the thesis a buyer is really underwriting. The 30% bear weight and bear path -- which values the equity below the current price -- is where the regulatory and demographic tail is charged.
key_risks_to_valuation: Regulatory: a restriction on for-profit distributions or a reclassification of higher-education schools would trap cash inside the schools; the equity value is then a claim on assets, not on flows; Capex never tapers: management has built RMB10-12bn of campuses since FY2021 and has HK$2bn of undeployed placing proceeds plus ADB/AIIB facilities; if capex stays at 35-40% of revenue the base-case FCF does not materialise; Demographics and public-sector overcapacity in Hainan/Guangdong/Henan driving further impairments and negative enrolment growth (the bear path); Tax rate: H1 FY2026 EIT was ~30% of PBT; a full 25% rate on every school plus indirect taxes could push the cash rate above the 26% modelled; Leverage: RMB10.2bn of borrowings, 80% variable-rate, RMB2.9bn net current liabilities; a refinancing squeeze would force higher-cost debt or an equity raise; FX: CNY/HKD moves pass straight through to the HKD intrinsic value; no hedging of USD/HKD/AUD borrowings
no_rerate_memo: Approximate memo, not the house basis: holding the terminal value at today's ~3x EV/adjusted-EBITDA instead of the 15x FCF cap gives a base-case value in the region of HK$4 per share -- still roughly double the price. The gap between that and the house base value is the price of the thesis that the exit multiple normalises.</t>
  </si>
  <si>
    <t xml:space="preserve">Data sources</t>
  </si>
  <si>
    <t xml:space="preserve">price: Yahoo Finance chart API (0839.HK) at inputs.price_as_of; 52-week range 1.60-3.40 HKD. FX from Yahoo CNYHKD=X, 2026-10-10.
financials: 0839.HK_Metrics.csv (RMB millions) derived from core_metrics; FY2025 annual report (adjusted EBITDA reconciliation p.11, income statement p.130, cash flow p.134-135, note on CGU impairments p.13); H1 FY2026 interim report (28 Feb 2026 balance sheet, note 15 borrowings, note 11 structured deposits, EPS note 8, MD&amp;A taxation and gearing).
qualitative: 0839.HK_Analysis.json (2026-10-11): business model, regulatory risk, FY2025 impairments, enrolment deceleration, bull/bear cases.</t>
  </si>
  <si>
    <t xml:space="preserve">Scenario narrative: bear</t>
  </si>
  <si>
    <t xml:space="preserve">The FY2025 impairments were the leading edge: public universities keep expanding intake in Hainan, Guangdong and Henan, the secondary-vocational pipeline shrinks as provinces expand public high-school capacity, and the shrinking birth cohort arrives earlier than expected. Revenue declines 1-2% a year for four years and only stabilises at +1%; the margin falls to 45% because faculty costs and depreciation on RMB24bn of PP&amp;E are fixed. Tax is 28%, working-capital tailwind zero, capex stays elevated longer because committed campus builds complete regardless. Terminal growth 1% and a 10x cap reflect a market that continues to price Chinese private education as a sector where cash may never reach shareholders (dividend cut to RMB82m in FY2025, 'development fund' appropriations, rising gearing). This scenario carries the regulatory tail: a tightening that restricts for-profit distributions would look like this path, not like a going-concern event.</t>
  </si>
  <si>
    <t xml:space="preserve">Scenario narrative: base</t>
  </si>
  <si>
    <t xml:space="preserve">Enrolment growth stays near zero in total but mixes toward higher-education and bachelor's programmes, so revenue grows 3-3.5% on tuition increases and mix, fading to 2.5%. The adjusted EBITDA margin troughs at 52% (H1 FY2026 run-rate) as teacher investment and new-campus opex are absorbed, recovering only to 53%. The step-up in enterprise income tax seen in H1 FY2026 is permanent (26% of EBIT). Capex, the key swing factor, tapers from 36% of revenue to 18% by year 8 as the current construction programme completes and the group stops adding capacity into regions where public providers are expanding; D&amp;A rises to 16% then settles at 15.5%. No further impairments of the FY2024/FY2025 scale, but no reversal either. Regulation stays where it is: higher education remains 'restricted' on the Negative List but for-profit operation continues.</t>
  </si>
  <si>
    <t xml:space="preserve">Scenario narrative: bull</t>
  </si>
  <si>
    <t xml:space="preserve">The 2024-2035 'Education Power' plan and employment-first policy translate into real demand for applied-degree and master's programmes; enrolment re-accelerates to mid-single digits with tuition increases on top (5-6% revenue growth for four years). International programmes (UK QAA-accredited, +18% new students) and Greater Bay Area campuses lift the margin to 56%. The capex cycle ends sooner (16% of revenue by year 7), the undeployed HK$2bn placing proceeds fund a bolt-on at a sector-trough multiple, and the group returns to a meaningful payout. Terminal 3%, 18x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</si>
  <si>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</si>
  <si>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</si>
  <si>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</si>
  <si>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</si>
  <si>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</si>
  <si>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</si>
  <si>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</si>
  <si>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</si>
  <si>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</si>
  <si>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</si>
  <si>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</si>
  <si>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</si>
  <si>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</si>
  <si>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</si>
  <si>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</si>
  <si>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</si>
  <si>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</si>
  <si>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</si>
  <si>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</si>
  <si>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</si>
  <si>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</si>
  <si>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</si>
  <si>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</si>
  <si>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</si>
  <si>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</si>
  <si>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</si>
  <si>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</si>
  <si>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</si>
  <si>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</si>
  <si>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</si>
  <si>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</si>
  <si>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</si>
  <si>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</si>
  <si>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</si>
  <si>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</si>
  <si>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</si>
  <si>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</si>
  <si>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</si>
  <si>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</si>
  <si>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</si>
  <si>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</si>
  <si>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</si>
  <si>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</si>
  <si>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</si>
  <si>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</si>
  <si>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</si>
  <si>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</si>
  <si>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</si>
  <si>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</si>
  <si>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</si>
  <si>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</si>
  <si>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</si>
  <si>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</si>
  <si>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</si>
  <si>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</si>
  <si>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</si>
  <si>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</si>
  <si>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</si>
  <si>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</si>
  <si>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</si>
  <si>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</si>
  <si>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</si>
  <si>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</si>
  <si>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</si>
  <si>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</si>
  <si>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</si>
  <si>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</si>
  <si>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</si>
  <si>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</si>
  <si>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</si>
  <si>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</si>
  <si>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</si>
  <si>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0839.HK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</si>
  <si>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</si>
  <si>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</si>
  <si>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</si>
  <si>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</si>
  <si>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</si>
  <si>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</si>
  <si>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</si>
  <si>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</si>
  <si>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</si>
  <si>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</si>
  <si>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</si>
  <si>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</si>
  <si>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</si>
  <si>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</si>
  <si>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</si>
  <si>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</si>
  <si>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</si>
  <si>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</si>
  <si>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</si>
  <si>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</si>
  <si>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</si>
  <si>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</si>
  <si>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</si>
  <si>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</si>
  <si>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</si>
  <si>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</si>
  <si>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</si>
  <si>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</si>
  <si>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</si>
  <si>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</si>
  <si>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0839.HK owner-FCF component DCF: base case (millions, CNY)</t>
  </si>
  <si>
    <t xml:space="preserve">0839.HK owner-FCF component DCF: bull case (millions, CNY)</t>
  </si>
  <si>
    <t xml:space="preserve">0839.HK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</si>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</sst>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35.0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949.171</v>
      </c>
      <c r="C2" s="0" t="n">
        <v>389.448</v>
      </c>
      <c r="D2" s="0" t="n">
        <v>559.723</v>
      </c>
      <c r="E2" s="0" t="n">
        <v>59</v>
      </c>
      <c r="F2" s="0" t="n">
        <v>441.667</v>
      </c>
      <c r="G2" s="0" t="n">
        <v>46.5</v>
      </c>
      <c r="H2" s="0" t="n">
        <v>578.051</v>
      </c>
      <c r="I2" s="0" t="n">
        <v>428.884</v>
      </c>
      <c r="J2" s="0" t="n">
        <v>45.2</v>
      </c>
      <c r="L2" s="0" t="n">
        <v>706.135</v>
      </c>
      <c r="M2" s="0" t="n">
        <v>112.607</v>
      </c>
      <c r="N2" s="0" t="n">
        <v>593.528</v>
      </c>
      <c r="O2" s="0" t="n">
        <v>5639.043</v>
      </c>
      <c r="R2" s="0" t="n">
        <v>0</v>
      </c>
      <c r="S2" s="0" t="n">
        <v>3243.144</v>
      </c>
      <c r="U2" s="0" t="n">
        <v>3.077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1954.874</v>
      </c>
      <c r="C3" s="0" t="n">
        <v>833.401</v>
      </c>
      <c r="D3" s="0" t="n">
        <v>1121.473</v>
      </c>
      <c r="E3" s="0" t="n">
        <v>57.4</v>
      </c>
      <c r="F3" s="0" t="n">
        <v>772.071</v>
      </c>
      <c r="G3" s="0" t="n">
        <v>39.5</v>
      </c>
      <c r="H3" s="0" t="n">
        <v>1008.49</v>
      </c>
      <c r="I3" s="0" t="n">
        <v>592.617</v>
      </c>
      <c r="J3" s="0" t="n">
        <v>30.3</v>
      </c>
      <c r="K3" s="0" t="n">
        <v>0.2916</v>
      </c>
      <c r="L3" s="0" t="n">
        <v>1141.302</v>
      </c>
      <c r="M3" s="0" t="n">
        <v>620.323</v>
      </c>
      <c r="N3" s="0" t="n">
        <v>520.979</v>
      </c>
      <c r="O3" s="0" t="n">
        <v>6594.543</v>
      </c>
      <c r="R3" s="0" t="n">
        <v>4266.61</v>
      </c>
      <c r="S3" s="0" t="n">
        <v>3496.587</v>
      </c>
      <c r="T3" s="0" t="n">
        <v>2020.5</v>
      </c>
      <c r="U3" s="0" t="n">
        <v>48.863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2678.088</v>
      </c>
      <c r="C4" s="0" t="n">
        <v>1077.101</v>
      </c>
      <c r="D4" s="0" t="n">
        <v>1600.987</v>
      </c>
      <c r="E4" s="0" t="n">
        <v>59.8</v>
      </c>
      <c r="F4" s="0" t="n">
        <v>822.19</v>
      </c>
      <c r="G4" s="0" t="n">
        <v>30.7</v>
      </c>
      <c r="H4" s="0" t="n">
        <v>1144.239</v>
      </c>
      <c r="I4" s="0" t="n">
        <v>633.202</v>
      </c>
      <c r="J4" s="0" t="n">
        <v>23.6</v>
      </c>
      <c r="K4" s="0" t="n">
        <v>0.3105</v>
      </c>
      <c r="L4" s="0" t="n">
        <v>910.937</v>
      </c>
      <c r="M4" s="0" t="n">
        <v>1000.923</v>
      </c>
      <c r="N4" s="0" t="n">
        <v>-89.986</v>
      </c>
      <c r="O4" s="0" t="n">
        <v>8573.467</v>
      </c>
      <c r="R4" s="0" t="n">
        <v>5106.756</v>
      </c>
      <c r="S4" s="0" t="n">
        <v>3443.07</v>
      </c>
      <c r="T4" s="0" t="n">
        <v>2024.3</v>
      </c>
      <c r="U4" s="0" t="n">
        <v>6.32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3682.44</v>
      </c>
      <c r="C5" s="0" t="n">
        <v>1507.348</v>
      </c>
      <c r="D5" s="0" t="n">
        <v>2175.092</v>
      </c>
      <c r="E5" s="0" t="n">
        <v>59.1</v>
      </c>
      <c r="F5" s="0" t="n">
        <v>1673.024</v>
      </c>
      <c r="G5" s="0" t="n">
        <v>45.4</v>
      </c>
      <c r="H5" s="0" t="n">
        <v>2094.429</v>
      </c>
      <c r="I5" s="0" t="n">
        <v>1443.799</v>
      </c>
      <c r="J5" s="0" t="n">
        <v>39.2</v>
      </c>
      <c r="K5" s="0" t="n">
        <v>0.5402</v>
      </c>
      <c r="L5" s="0" t="n">
        <v>2530.175</v>
      </c>
      <c r="M5" s="0" t="n">
        <v>2964.267</v>
      </c>
      <c r="N5" s="0" t="n">
        <v>-434.092</v>
      </c>
      <c r="O5" s="0" t="n">
        <v>10919.404</v>
      </c>
      <c r="R5" s="0" t="n">
        <v>8334.814</v>
      </c>
      <c r="S5" s="0" t="n">
        <v>3327.191</v>
      </c>
      <c r="T5" s="0" t="n">
        <v>2220.5</v>
      </c>
      <c r="U5" s="0" t="n">
        <v>-25.072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4756</v>
      </c>
      <c r="C6" s="0" t="n">
        <v>2002</v>
      </c>
      <c r="D6" s="0" t="n">
        <v>2754</v>
      </c>
      <c r="E6" s="0" t="n">
        <v>57.9</v>
      </c>
      <c r="F6" s="0" t="n">
        <v>2277</v>
      </c>
      <c r="G6" s="0" t="n">
        <v>47.9</v>
      </c>
      <c r="H6" s="0" t="n">
        <v>2905</v>
      </c>
      <c r="I6" s="0" t="n">
        <v>1845</v>
      </c>
      <c r="J6" s="0" t="n">
        <v>38.8</v>
      </c>
      <c r="K6" s="0" t="n">
        <v>0.6177</v>
      </c>
      <c r="L6" s="0" t="n">
        <v>2753</v>
      </c>
      <c r="M6" s="0" t="n">
        <v>2171</v>
      </c>
      <c r="N6" s="0" t="n">
        <v>582</v>
      </c>
      <c r="O6" s="0" t="n">
        <v>14008</v>
      </c>
      <c r="R6" s="0" t="n">
        <v>8891</v>
      </c>
      <c r="S6" s="0" t="n">
        <v>4793</v>
      </c>
      <c r="T6" s="0" t="n">
        <v>2394.9</v>
      </c>
      <c r="U6" s="0" t="n">
        <v>20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5616</v>
      </c>
      <c r="C7" s="0" t="n">
        <v>2452</v>
      </c>
      <c r="D7" s="0" t="n">
        <v>3164</v>
      </c>
      <c r="E7" s="0" t="n">
        <v>56.3</v>
      </c>
      <c r="F7" s="0" t="n">
        <v>2030</v>
      </c>
      <c r="G7" s="0" t="n">
        <v>36.1</v>
      </c>
      <c r="H7" s="0" t="n">
        <v>2762</v>
      </c>
      <c r="I7" s="0" t="n">
        <v>1380</v>
      </c>
      <c r="J7" s="0" t="n">
        <v>24.6</v>
      </c>
      <c r="K7" s="0" t="n">
        <v>0.5522</v>
      </c>
      <c r="L7" s="0" t="n">
        <v>3846</v>
      </c>
      <c r="M7" s="0" t="n">
        <v>2818</v>
      </c>
      <c r="N7" s="0" t="n">
        <v>1028</v>
      </c>
      <c r="O7" s="0" t="n">
        <v>15574</v>
      </c>
      <c r="R7" s="0" t="n">
        <v>8606</v>
      </c>
      <c r="S7" s="0" t="n">
        <v>5177</v>
      </c>
      <c r="T7" s="0" t="n">
        <v>2495</v>
      </c>
      <c r="U7" s="0" t="n">
        <v>17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6579</v>
      </c>
      <c r="C8" s="0" t="n">
        <v>2935</v>
      </c>
      <c r="D8" s="0" t="n">
        <v>3644</v>
      </c>
      <c r="E8" s="0" t="n">
        <v>55.4</v>
      </c>
      <c r="F8" s="0" t="n">
        <v>972</v>
      </c>
      <c r="G8" s="0" t="n">
        <v>14.8</v>
      </c>
      <c r="H8" s="0" t="n">
        <v>1841</v>
      </c>
      <c r="I8" s="0" t="n">
        <v>418</v>
      </c>
      <c r="J8" s="0" t="n">
        <v>6.4</v>
      </c>
      <c r="K8" s="0" t="n">
        <v>0.1613</v>
      </c>
      <c r="L8" s="0" t="n">
        <v>4515</v>
      </c>
      <c r="M8" s="0" t="n">
        <v>4434</v>
      </c>
      <c r="N8" s="0" t="n">
        <v>81</v>
      </c>
      <c r="O8" s="0" t="n">
        <v>15848</v>
      </c>
      <c r="R8" s="0" t="n">
        <v>10237</v>
      </c>
      <c r="S8" s="0" t="n">
        <v>6238</v>
      </c>
      <c r="T8" s="0" t="n">
        <v>2591.4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7363</v>
      </c>
      <c r="C9" s="0" t="n">
        <v>3437</v>
      </c>
      <c r="D9" s="0" t="n">
        <v>3926</v>
      </c>
      <c r="E9" s="0" t="n">
        <v>53.3</v>
      </c>
      <c r="F9" s="0" t="n">
        <v>1313</v>
      </c>
      <c r="G9" s="0" t="n">
        <v>17.8</v>
      </c>
      <c r="H9" s="0" t="n">
        <v>2395</v>
      </c>
      <c r="I9" s="0" t="n">
        <v>977</v>
      </c>
      <c r="J9" s="0" t="n">
        <v>13.3</v>
      </c>
      <c r="K9" s="0" t="n">
        <v>0.3551</v>
      </c>
      <c r="L9" s="0" t="n">
        <v>3885</v>
      </c>
      <c r="M9" s="0" t="n">
        <v>2952</v>
      </c>
      <c r="N9" s="0" t="n">
        <v>933</v>
      </c>
      <c r="O9" s="0" t="n">
        <v>16744</v>
      </c>
      <c r="R9" s="0" t="n">
        <v>10233</v>
      </c>
      <c r="S9" s="0" t="n">
        <v>5797</v>
      </c>
      <c r="T9" s="0" t="n">
        <v>2751.3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1.92</v>
      </c>
    </row>
    <row r="3" customFormat="false" ht="15" hidden="false" customHeight="false" outlineLevel="0" collapsed="false">
      <c r="A3" s="0" t="s">
        <v>75</v>
      </c>
      <c r="B3" s="3" t="n">
        <v>2800.3</v>
      </c>
    </row>
    <row r="4" customFormat="false" ht="15" hidden="false" customHeight="false" outlineLevel="0" collapsed="false">
      <c r="A4" s="0" t="s">
        <v>76</v>
      </c>
      <c r="B4" s="3" t="n">
        <v>5207</v>
      </c>
    </row>
    <row r="5" customFormat="false" ht="15" hidden="false" customHeight="false" outlineLevel="0" collapsed="false">
      <c r="A5" s="0" t="s">
        <v>77</v>
      </c>
      <c r="B5" s="3" t="n">
        <v>-2295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7363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</v>
      </c>
      <c r="D13" s="3" t="n">
        <v>-1</v>
      </c>
      <c r="E13" s="3" t="n">
        <v>-2</v>
      </c>
      <c r="F13" s="3" t="n">
        <v>-2</v>
      </c>
      <c r="G13" s="3" t="n">
        <v>-1</v>
      </c>
      <c r="H13" s="3" t="n">
        <v>0</v>
      </c>
      <c r="I13" s="3" t="n">
        <v>0.5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96</v>
      </c>
      <c r="C14" s="3" t="n">
        <v>51</v>
      </c>
      <c r="D14" s="3" t="n">
        <v>49</v>
      </c>
      <c r="E14" s="3" t="n">
        <v>47</v>
      </c>
      <c r="F14" s="3" t="n">
        <v>46</v>
      </c>
      <c r="G14" s="3" t="n">
        <v>45</v>
      </c>
      <c r="H14" s="3" t="n">
        <v>45</v>
      </c>
      <c r="I14" s="3" t="n">
        <v>45</v>
      </c>
      <c r="J14" s="3" t="n">
        <v>45</v>
      </c>
      <c r="K14" s="3" t="n">
        <v>45</v>
      </c>
      <c r="L14" s="3" t="n">
        <v>45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15.2</v>
      </c>
      <c r="D17" s="3" t="n">
        <v>15.8</v>
      </c>
      <c r="E17" s="3" t="n">
        <v>16.5</v>
      </c>
      <c r="F17" s="3" t="n">
        <v>17</v>
      </c>
      <c r="G17" s="3" t="n">
        <v>17</v>
      </c>
      <c r="H17" s="3" t="n">
        <v>17</v>
      </c>
      <c r="I17" s="3" t="n">
        <v>16.5</v>
      </c>
      <c r="J17" s="3" t="n">
        <v>16</v>
      </c>
      <c r="K17" s="3" t="n">
        <v>16</v>
      </c>
      <c r="L17" s="3" t="n">
        <v>16</v>
      </c>
    </row>
    <row r="18" customFormat="false" ht="15" hidden="false" customHeight="false" outlineLevel="0" collapsed="false">
      <c r="A18" s="0" t="s">
        <v>100</v>
      </c>
      <c r="C18" s="3" t="n">
        <v>36</v>
      </c>
      <c r="D18" s="3" t="n">
        <v>34</v>
      </c>
      <c r="E18" s="3" t="n">
        <v>30</v>
      </c>
      <c r="F18" s="3" t="n">
        <v>27</v>
      </c>
      <c r="G18" s="3" t="n">
        <v>24</v>
      </c>
      <c r="H18" s="3" t="n">
        <v>22</v>
      </c>
      <c r="I18" s="3" t="n">
        <v>20</v>
      </c>
      <c r="J18" s="3" t="n">
        <v>19</v>
      </c>
      <c r="K18" s="3" t="n">
        <v>19</v>
      </c>
      <c r="L18" s="3" t="n">
        <v>19</v>
      </c>
    </row>
    <row r="19" customFormat="false" ht="15" hidden="false" customHeight="false" outlineLevel="0" collapsed="false">
      <c r="A19" s="0" t="s">
        <v>101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1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3.5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52.5</v>
      </c>
      <c r="D28" s="3" t="n">
        <v>52</v>
      </c>
      <c r="E28" s="3" t="n">
        <v>52</v>
      </c>
      <c r="F28" s="3" t="n">
        <v>52</v>
      </c>
      <c r="G28" s="3" t="n">
        <v>52.5</v>
      </c>
      <c r="H28" s="3" t="n">
        <v>52.5</v>
      </c>
      <c r="I28" s="3" t="n">
        <v>53</v>
      </c>
      <c r="J28" s="3" t="n">
        <v>53</v>
      </c>
      <c r="K28" s="3" t="n">
        <v>53</v>
      </c>
      <c r="L28" s="3" t="n">
        <v>53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15.2</v>
      </c>
      <c r="D31" s="3" t="n">
        <v>15.5</v>
      </c>
      <c r="E31" s="3" t="n">
        <v>15.8</v>
      </c>
      <c r="F31" s="3" t="n">
        <v>16</v>
      </c>
      <c r="G31" s="3" t="n">
        <v>16</v>
      </c>
      <c r="H31" s="3" t="n">
        <v>16</v>
      </c>
      <c r="I31" s="3" t="n">
        <v>15.8</v>
      </c>
      <c r="J31" s="3" t="n">
        <v>15.5</v>
      </c>
      <c r="K31" s="3" t="n">
        <v>15.5</v>
      </c>
      <c r="L31" s="3" t="n">
        <v>15.5</v>
      </c>
    </row>
    <row r="32" customFormat="false" ht="15" hidden="false" customHeight="false" outlineLevel="0" collapsed="false">
      <c r="A32" s="0" t="s">
        <v>100</v>
      </c>
      <c r="C32" s="3" t="n">
        <v>36</v>
      </c>
      <c r="D32" s="3" t="n">
        <v>32</v>
      </c>
      <c r="E32" s="3" t="n">
        <v>28</v>
      </c>
      <c r="F32" s="3" t="n">
        <v>25</v>
      </c>
      <c r="G32" s="3" t="n">
        <v>22</v>
      </c>
      <c r="H32" s="3" t="n">
        <v>20</v>
      </c>
      <c r="I32" s="3" t="n">
        <v>19</v>
      </c>
      <c r="J32" s="3" t="n">
        <v>18</v>
      </c>
      <c r="K32" s="3" t="n">
        <v>18</v>
      </c>
      <c r="L32" s="3" t="n">
        <v>18</v>
      </c>
    </row>
    <row r="33" customFormat="false" ht="15" hidden="false" customHeight="false" outlineLevel="0" collapsed="false">
      <c r="A33" s="0" t="s">
        <v>101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5</v>
      </c>
      <c r="D41" s="3" t="n">
        <v>6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53</v>
      </c>
      <c r="D42" s="3" t="n">
        <v>54</v>
      </c>
      <c r="E42" s="3" t="n">
        <v>55</v>
      </c>
      <c r="F42" s="3" t="n">
        <v>55.5</v>
      </c>
      <c r="G42" s="3" t="n">
        <v>56</v>
      </c>
      <c r="H42" s="3" t="n">
        <v>56</v>
      </c>
      <c r="I42" s="3" t="n">
        <v>56</v>
      </c>
      <c r="J42" s="3" t="n">
        <v>56</v>
      </c>
      <c r="K42" s="3" t="n">
        <v>56</v>
      </c>
      <c r="L42" s="3" t="n">
        <v>56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15.2</v>
      </c>
      <c r="D45" s="3" t="n">
        <v>15.4</v>
      </c>
      <c r="E45" s="3" t="n">
        <v>15.5</v>
      </c>
      <c r="F45" s="3" t="n">
        <v>15.5</v>
      </c>
      <c r="G45" s="3" t="n">
        <v>15.5</v>
      </c>
      <c r="H45" s="3" t="n">
        <v>15.2</v>
      </c>
      <c r="I45" s="3" t="n">
        <v>15</v>
      </c>
      <c r="J45" s="3" t="n">
        <v>15</v>
      </c>
      <c r="K45" s="3" t="n">
        <v>15</v>
      </c>
      <c r="L45" s="3" t="n">
        <v>15</v>
      </c>
    </row>
    <row r="46" customFormat="false" ht="15" hidden="false" customHeight="false" outlineLevel="0" collapsed="false">
      <c r="A46" s="0" t="s">
        <v>100</v>
      </c>
      <c r="C46" s="3" t="n">
        <v>34</v>
      </c>
      <c r="D46" s="3" t="n">
        <v>29</v>
      </c>
      <c r="E46" s="3" t="n">
        <v>25</v>
      </c>
      <c r="F46" s="3" t="n">
        <v>21</v>
      </c>
      <c r="G46" s="3" t="n">
        <v>18</v>
      </c>
      <c r="H46" s="3" t="n">
        <v>17</v>
      </c>
      <c r="I46" s="3" t="n">
        <v>16</v>
      </c>
      <c r="J46" s="3" t="n">
        <v>16</v>
      </c>
      <c r="K46" s="3" t="n">
        <v>16</v>
      </c>
      <c r="L46" s="3" t="n">
        <v>16</v>
      </c>
    </row>
    <row r="47" customFormat="false" ht="15" hidden="false" customHeight="false" outlineLevel="0" collapsed="false">
      <c r="A47" s="0" t="s">
        <v>101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25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</v>
      </c>
      <c r="D5" s="4" t="n">
        <f aca="false">Assumptions!D13</f>
        <v>-1</v>
      </c>
      <c r="E5" s="4" t="n">
        <f aca="false">Assumptions!E13</f>
        <v>-2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7363</v>
      </c>
      <c r="C6" s="0" t="n">
        <f aca="false">B6*(1+C5/100)</f>
        <v>7436.63</v>
      </c>
      <c r="D6" s="0" t="n">
        <f aca="false">C6*(1+D5/100)</f>
        <v>7362.2637</v>
      </c>
      <c r="E6" s="0" t="n">
        <f aca="false">D6*(1+E5/100)</f>
        <v>7215.018426</v>
      </c>
      <c r="F6" s="0" t="n">
        <f aca="false">E6*(1+F5/100)</f>
        <v>7070.71805748</v>
      </c>
      <c r="G6" s="0" t="n">
        <f aca="false">F6*(1+G5/100)</f>
        <v>7000.0108769052</v>
      </c>
      <c r="H6" s="0" t="n">
        <f aca="false">G6*(1+H5/100)</f>
        <v>7000.0108769052</v>
      </c>
      <c r="I6" s="0" t="n">
        <f aca="false">H6*(1+I5/100)</f>
        <v>7035.01093128973</v>
      </c>
      <c r="J6" s="0" t="n">
        <f aca="false">I6*(1+J5/100)</f>
        <v>7105.36104060262</v>
      </c>
      <c r="K6" s="0" t="n">
        <f aca="false">J6*(1+K5/100)</f>
        <v>7176.41465100865</v>
      </c>
      <c r="L6" s="0" t="n">
        <f aca="false">K6*(1+L5/100)</f>
        <v>7248.17879751874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51</v>
      </c>
      <c r="D7" s="4" t="n">
        <f aca="false">Assumptions!D14</f>
        <v>49</v>
      </c>
      <c r="E7" s="4" t="n">
        <f aca="false">Assumptions!E14</f>
        <v>47</v>
      </c>
      <c r="F7" s="4" t="n">
        <f aca="false">Assumptions!F14</f>
        <v>46</v>
      </c>
      <c r="G7" s="4" t="n">
        <f aca="false">Assumptions!G14</f>
        <v>45</v>
      </c>
      <c r="H7" s="4" t="n">
        <f aca="false">Assumptions!H14</f>
        <v>45</v>
      </c>
      <c r="I7" s="4" t="n">
        <f aca="false">Assumptions!I14</f>
        <v>45</v>
      </c>
      <c r="J7" s="4" t="n">
        <f aca="false">Assumptions!J14</f>
        <v>45</v>
      </c>
      <c r="K7" s="4" t="n">
        <f aca="false">Assumptions!K14</f>
        <v>45</v>
      </c>
      <c r="L7" s="4" t="n">
        <f aca="false">Assumptions!L14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3792.6813</v>
      </c>
      <c r="D8" s="0" t="n">
        <f aca="false">D6*D7/100</f>
        <v>3607.509213</v>
      </c>
      <c r="E8" s="0" t="n">
        <f aca="false">E6*E7/100</f>
        <v>3391.05866022</v>
      </c>
      <c r="F8" s="0" t="n">
        <f aca="false">F6*F7/100</f>
        <v>3252.5303064408</v>
      </c>
      <c r="G8" s="0" t="n">
        <f aca="false">G6*G7/100</f>
        <v>3150.00489460734</v>
      </c>
      <c r="H8" s="0" t="n">
        <f aca="false">H6*H7/100</f>
        <v>3150.00489460734</v>
      </c>
      <c r="I8" s="0" t="n">
        <f aca="false">I6*I7/100</f>
        <v>3165.75491908038</v>
      </c>
      <c r="J8" s="0" t="n">
        <f aca="false">J6*J7/100</f>
        <v>3197.41246827118</v>
      </c>
      <c r="K8" s="0" t="n">
        <f aca="false">K6*K7/100</f>
        <v>3229.38659295389</v>
      </c>
      <c r="L8" s="0" t="n">
        <f aca="false">L6*L7/100</f>
        <v>3261.68045888343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3792.6813</v>
      </c>
      <c r="D11" s="0" t="n">
        <f aca="false">D8+D10+D24</f>
        <v>3607.509213</v>
      </c>
      <c r="E11" s="0" t="n">
        <f aca="false">E8+E10+E24</f>
        <v>3391.05866022</v>
      </c>
      <c r="F11" s="0" t="n">
        <f aca="false">F8+F10+F24</f>
        <v>3252.5303064408</v>
      </c>
      <c r="G11" s="0" t="n">
        <f aca="false">G8+G10+G24</f>
        <v>3150.00489460734</v>
      </c>
      <c r="H11" s="0" t="n">
        <f aca="false">H8+H10+H24</f>
        <v>3150.00489460734</v>
      </c>
      <c r="I11" s="0" t="n">
        <f aca="false">I8+I10+I24</f>
        <v>3165.75491908038</v>
      </c>
      <c r="J11" s="0" t="n">
        <f aca="false">J8+J10+J24</f>
        <v>3197.41246827118</v>
      </c>
      <c r="K11" s="0" t="n">
        <f aca="false">K8+K10+K24</f>
        <v>3229.38659295389</v>
      </c>
      <c r="L11" s="0" t="n">
        <f aca="false">L8+L10+L24</f>
        <v>3261.68045888343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-1130.36776</v>
      </c>
      <c r="D12" s="4" t="n">
        <f aca="false">-D6*Assumptions!D17/100</f>
        <v>-1163.2376646</v>
      </c>
      <c r="E12" s="4" t="n">
        <f aca="false">-E6*Assumptions!E17/100</f>
        <v>-1190.47804029</v>
      </c>
      <c r="F12" s="4" t="n">
        <f aca="false">-F6*Assumptions!F17/100</f>
        <v>-1202.0220697716</v>
      </c>
      <c r="G12" s="4" t="n">
        <f aca="false">-G6*Assumptions!G17/100</f>
        <v>-1190.00184907388</v>
      </c>
      <c r="H12" s="4" t="n">
        <f aca="false">-H6*Assumptions!H17/100</f>
        <v>-1190.00184907388</v>
      </c>
      <c r="I12" s="4" t="n">
        <f aca="false">-I6*Assumptions!I17/100</f>
        <v>-1160.7768036628</v>
      </c>
      <c r="J12" s="4" t="n">
        <f aca="false">-J6*Assumptions!J17/100</f>
        <v>-1136.85776649642</v>
      </c>
      <c r="K12" s="4" t="n">
        <f aca="false">-K6*Assumptions!K17/100</f>
        <v>-1148.22634416138</v>
      </c>
      <c r="L12" s="4" t="n">
        <f aca="false">-L6*Assumptions!L17/100</f>
        <v>-1159.708607603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2662.31354</v>
      </c>
      <c r="D13" s="0" t="n">
        <f aca="false">D11+D12</f>
        <v>2444.2715484</v>
      </c>
      <c r="E13" s="0" t="n">
        <f aca="false">E11+E12</f>
        <v>2200.58061993</v>
      </c>
      <c r="F13" s="0" t="n">
        <f aca="false">F11+F12</f>
        <v>2050.5082366692</v>
      </c>
      <c r="G13" s="0" t="n">
        <f aca="false">G11+G12</f>
        <v>1960.00304553346</v>
      </c>
      <c r="H13" s="0" t="n">
        <f aca="false">H11+H12</f>
        <v>1960.00304553346</v>
      </c>
      <c r="I13" s="0" t="n">
        <f aca="false">I11+I12</f>
        <v>2004.97811541757</v>
      </c>
      <c r="J13" s="0" t="n">
        <f aca="false">J11+J12</f>
        <v>2060.55470177476</v>
      </c>
      <c r="K13" s="0" t="n">
        <f aca="false">K11+K12</f>
        <v>2081.16024879251</v>
      </c>
      <c r="L13" s="0" t="n">
        <f aca="false">L11+L12</f>
        <v>2101.97185128043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1916.8657488</v>
      </c>
      <c r="D15" s="0" t="n">
        <f aca="false">D13-MAX(0,D13)*D14/100</f>
        <v>1759.875514848</v>
      </c>
      <c r="E15" s="0" t="n">
        <f aca="false">E13-MAX(0,E13)*E14/100</f>
        <v>1584.4180463496</v>
      </c>
      <c r="F15" s="0" t="n">
        <f aca="false">F13-MAX(0,F13)*F14/100</f>
        <v>1476.36593040182</v>
      </c>
      <c r="G15" s="0" t="n">
        <f aca="false">G13-MAX(0,G13)*G14/100</f>
        <v>1411.20219278409</v>
      </c>
      <c r="H15" s="0" t="n">
        <f aca="false">H13-MAX(0,H13)*H14/100</f>
        <v>1411.20219278409</v>
      </c>
      <c r="I15" s="0" t="n">
        <f aca="false">I13-MAX(0,I13)*I14/100</f>
        <v>1443.58424310065</v>
      </c>
      <c r="J15" s="0" t="n">
        <f aca="false">J13-MAX(0,J13)*J14/100</f>
        <v>1483.59938527783</v>
      </c>
      <c r="K15" s="0" t="n">
        <f aca="false">K13-MAX(0,K13)*K14/100</f>
        <v>1498.43537913061</v>
      </c>
      <c r="L15" s="0" t="n">
        <f aca="false">L13-MAX(0,L13)*L14/100</f>
        <v>1513.41973292191</v>
      </c>
    </row>
    <row r="16" customFormat="false" ht="15" hidden="false" customHeight="false" outlineLevel="0" collapsed="false">
      <c r="A16" s="0" t="s">
        <v>117</v>
      </c>
      <c r="C16" s="0" t="n">
        <f aca="false">-C12</f>
        <v>1130.36776</v>
      </c>
      <c r="D16" s="0" t="n">
        <f aca="false">-D12</f>
        <v>1163.2376646</v>
      </c>
      <c r="E16" s="0" t="n">
        <f aca="false">-E12</f>
        <v>1190.47804029</v>
      </c>
      <c r="F16" s="0" t="n">
        <f aca="false">-F12</f>
        <v>1202.0220697716</v>
      </c>
      <c r="G16" s="0" t="n">
        <f aca="false">-G12</f>
        <v>1190.00184907388</v>
      </c>
      <c r="H16" s="0" t="n">
        <f aca="false">-H12</f>
        <v>1190.00184907388</v>
      </c>
      <c r="I16" s="0" t="n">
        <f aca="false">-I12</f>
        <v>1160.7768036628</v>
      </c>
      <c r="J16" s="0" t="n">
        <f aca="false">-J12</f>
        <v>1136.85776649642</v>
      </c>
      <c r="K16" s="0" t="n">
        <f aca="false">-K12</f>
        <v>1148.22634416138</v>
      </c>
      <c r="L16" s="0" t="n">
        <f aca="false">-L12</f>
        <v>1159.708607603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-2677.1868</v>
      </c>
      <c r="D17" s="4" t="n">
        <f aca="false">-D6*Assumptions!D18/100</f>
        <v>-2503.169658</v>
      </c>
      <c r="E17" s="4" t="n">
        <f aca="false">-E6*Assumptions!E18/100</f>
        <v>-2164.5055278</v>
      </c>
      <c r="F17" s="4" t="n">
        <f aca="false">-F6*Assumptions!F18/100</f>
        <v>-1909.0938755196</v>
      </c>
      <c r="G17" s="4" t="n">
        <f aca="false">-G6*Assumptions!G18/100</f>
        <v>-1680.00261045725</v>
      </c>
      <c r="H17" s="4" t="n">
        <f aca="false">-H6*Assumptions!H18/100</f>
        <v>-1540.00239291914</v>
      </c>
      <c r="I17" s="4" t="n">
        <f aca="false">-I6*Assumptions!I18/100</f>
        <v>-1407.00218625795</v>
      </c>
      <c r="J17" s="4" t="n">
        <f aca="false">-J6*Assumptions!J18/100</f>
        <v>-1350.0185977145</v>
      </c>
      <c r="K17" s="4" t="n">
        <f aca="false">-K6*Assumptions!K18/100</f>
        <v>-1363.51878369164</v>
      </c>
      <c r="L17" s="4" t="n">
        <f aca="false">-L6*Assumptions!L18/100</f>
        <v>-1377.15397152856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370.0467088</v>
      </c>
      <c r="D19" s="0" t="n">
        <f aca="false">D15+D16+D17+D18</f>
        <v>419.943521448</v>
      </c>
      <c r="E19" s="0" t="n">
        <f aca="false">E15+E16+E17+E18</f>
        <v>610.3905588396</v>
      </c>
      <c r="F19" s="0" t="n">
        <f aca="false">F15+F16+F17+F18</f>
        <v>769.294124653824</v>
      </c>
      <c r="G19" s="0" t="n">
        <f aca="false">G15+G16+G17+G18</f>
        <v>921.201431400725</v>
      </c>
      <c r="H19" s="0" t="n">
        <f aca="false">H15+H16+H17+H18</f>
        <v>1061.20164893883</v>
      </c>
      <c r="I19" s="0" t="n">
        <f aca="false">I15+I16+I17+I18</f>
        <v>1197.35886050551</v>
      </c>
      <c r="J19" s="0" t="n">
        <f aca="false">J15+J16+J17+J18</f>
        <v>1270.43855405975</v>
      </c>
      <c r="K19" s="0" t="n">
        <f aca="false">K15+K16+K17+K18</f>
        <v>1283.14293960035</v>
      </c>
      <c r="L19" s="0" t="n">
        <f aca="false">L15+L16+L17+L18</f>
        <v>1295.97436899635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341.056874470046</v>
      </c>
      <c r="D21" s="0" t="n">
        <f aca="false">D19*D20</f>
        <v>356.723244450296</v>
      </c>
      <c r="E21" s="0" t="n">
        <f aca="false">E19*E20</f>
        <v>477.879711721181</v>
      </c>
      <c r="F21" s="0" t="n">
        <f aca="false">F19*F20</f>
        <v>555.102857388625</v>
      </c>
      <c r="G21" s="0" t="n">
        <f aca="false">G19*G20</f>
        <v>612.640795879808</v>
      </c>
      <c r="H21" s="0" t="n">
        <f aca="false">H19*H20</f>
        <v>650.458340841392</v>
      </c>
      <c r="I21" s="0" t="n">
        <f aca="false">I19*I20</f>
        <v>676.419571630783</v>
      </c>
      <c r="J21" s="0" t="n">
        <f aca="false">J19*J20</f>
        <v>661.478540300431</v>
      </c>
      <c r="K21" s="0" t="n">
        <f aca="false">K19*K20</f>
        <v>615.754217238189</v>
      </c>
      <c r="L21" s="0" t="n">
        <f aca="false">L19*L20</f>
        <v>573.190561668729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5520.70471558948</v>
      </c>
    </row>
    <row r="31" customFormat="false" ht="15" hidden="false" customHeight="false" outlineLevel="0" collapsed="false">
      <c r="A31" s="0" t="s">
        <v>126</v>
      </c>
      <c r="B31" s="0" t="n">
        <f aca="false">L19</f>
        <v>1295.97436899635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17452.4548358175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12959.7436899635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12959.7436899635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5731.90561668729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11252.6103322768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3750.61033227677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1.56986407544249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-0.182362460707037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1.56986407544249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9349.52937633081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-0.520320083317294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7363</v>
      </c>
      <c r="C6" s="0" t="n">
        <f aca="false">B6*(1+C5/100)</f>
        <v>7620.705</v>
      </c>
      <c r="D6" s="0" t="n">
        <f aca="false">C6*(1+D5/100)</f>
        <v>7887.429675</v>
      </c>
      <c r="E6" s="0" t="n">
        <f aca="false">D6*(1+E5/100)</f>
        <v>8163.489713625</v>
      </c>
      <c r="F6" s="0" t="n">
        <f aca="false">E6*(1+F5/100)</f>
        <v>8449.21185360187</v>
      </c>
      <c r="G6" s="0" t="n">
        <f aca="false">F6*(1+G5/100)</f>
        <v>8702.68820920993</v>
      </c>
      <c r="H6" s="0" t="n">
        <f aca="false">G6*(1+H5/100)</f>
        <v>8963.76885548623</v>
      </c>
      <c r="I6" s="0" t="n">
        <f aca="false">H6*(1+I5/100)</f>
        <v>9187.86307687338</v>
      </c>
      <c r="J6" s="0" t="n">
        <f aca="false">I6*(1+J5/100)</f>
        <v>9417.55965379521</v>
      </c>
      <c r="K6" s="0" t="n">
        <f aca="false">J6*(1+K5/100)</f>
        <v>9652.99864514009</v>
      </c>
      <c r="L6" s="0" t="n">
        <f aca="false">K6*(1+L5/100)</f>
        <v>9894.32361126859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52.5</v>
      </c>
      <c r="D7" s="4" t="n">
        <f aca="false">Assumptions!D28</f>
        <v>52</v>
      </c>
      <c r="E7" s="4" t="n">
        <f aca="false">Assumptions!E28</f>
        <v>52</v>
      </c>
      <c r="F7" s="4" t="n">
        <f aca="false">Assumptions!F28</f>
        <v>52</v>
      </c>
      <c r="G7" s="4" t="n">
        <f aca="false">Assumptions!G28</f>
        <v>52.5</v>
      </c>
      <c r="H7" s="4" t="n">
        <f aca="false">Assumptions!H28</f>
        <v>52.5</v>
      </c>
      <c r="I7" s="4" t="n">
        <f aca="false">Assumptions!I28</f>
        <v>53</v>
      </c>
      <c r="J7" s="4" t="n">
        <f aca="false">Assumptions!J28</f>
        <v>53</v>
      </c>
      <c r="K7" s="4" t="n">
        <f aca="false">Assumptions!K28</f>
        <v>53</v>
      </c>
      <c r="L7" s="4" t="n">
        <f aca="false">Assumptions!L28</f>
        <v>53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4000.870125</v>
      </c>
      <c r="D8" s="0" t="n">
        <f aca="false">D6*D7/100</f>
        <v>4101.463431</v>
      </c>
      <c r="E8" s="0" t="n">
        <f aca="false">E6*E7/100</f>
        <v>4245.014651085</v>
      </c>
      <c r="F8" s="0" t="n">
        <f aca="false">F6*F7/100</f>
        <v>4393.59016387297</v>
      </c>
      <c r="G8" s="0" t="n">
        <f aca="false">G6*G7/100</f>
        <v>4568.91130983521</v>
      </c>
      <c r="H8" s="0" t="n">
        <f aca="false">H6*H7/100</f>
        <v>4705.97864913027</v>
      </c>
      <c r="I8" s="0" t="n">
        <f aca="false">I6*I7/100</f>
        <v>4869.56743074289</v>
      </c>
      <c r="J8" s="0" t="n">
        <f aca="false">J6*J7/100</f>
        <v>4991.30661651146</v>
      </c>
      <c r="K8" s="0" t="n">
        <f aca="false">K6*K7/100</f>
        <v>5116.08928192425</v>
      </c>
      <c r="L8" s="0" t="n">
        <f aca="false">L6*L7/100</f>
        <v>5243.99151397235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4000.870125</v>
      </c>
      <c r="D11" s="0" t="n">
        <f aca="false">D8+D10+D24</f>
        <v>4101.463431</v>
      </c>
      <c r="E11" s="0" t="n">
        <f aca="false">E8+E10+E24</f>
        <v>4245.014651085</v>
      </c>
      <c r="F11" s="0" t="n">
        <f aca="false">F8+F10+F24</f>
        <v>4393.59016387297</v>
      </c>
      <c r="G11" s="0" t="n">
        <f aca="false">G8+G10+G24</f>
        <v>4568.91130983521</v>
      </c>
      <c r="H11" s="0" t="n">
        <f aca="false">H8+H10+H24</f>
        <v>4705.97864913027</v>
      </c>
      <c r="I11" s="0" t="n">
        <f aca="false">I8+I10+I24</f>
        <v>4869.56743074289</v>
      </c>
      <c r="J11" s="0" t="n">
        <f aca="false">J8+J10+J24</f>
        <v>4991.30661651146</v>
      </c>
      <c r="K11" s="0" t="n">
        <f aca="false">K8+K10+K24</f>
        <v>5116.08928192425</v>
      </c>
      <c r="L11" s="0" t="n">
        <f aca="false">L8+L10+L24</f>
        <v>5243.99151397235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-1158.34716</v>
      </c>
      <c r="D12" s="4" t="n">
        <f aca="false">-D6*Assumptions!D31/100</f>
        <v>-1222.551599625</v>
      </c>
      <c r="E12" s="4" t="n">
        <f aca="false">-E6*Assumptions!E31/100</f>
        <v>-1289.83137475275</v>
      </c>
      <c r="F12" s="4" t="n">
        <f aca="false">-F6*Assumptions!F31/100</f>
        <v>-1351.8738965763</v>
      </c>
      <c r="G12" s="4" t="n">
        <f aca="false">-G6*Assumptions!G31/100</f>
        <v>-1392.43011347359</v>
      </c>
      <c r="H12" s="4" t="n">
        <f aca="false">-H6*Assumptions!H31/100</f>
        <v>-1434.2030168778</v>
      </c>
      <c r="I12" s="4" t="n">
        <f aca="false">-I6*Assumptions!I31/100</f>
        <v>-1451.68236614599</v>
      </c>
      <c r="J12" s="4" t="n">
        <f aca="false">-J6*Assumptions!J31/100</f>
        <v>-1459.72174633826</v>
      </c>
      <c r="K12" s="4" t="n">
        <f aca="false">-K6*Assumptions!K31/100</f>
        <v>-1496.21478999671</v>
      </c>
      <c r="L12" s="4" t="n">
        <f aca="false">-L6*Assumptions!L31/100</f>
        <v>-1533.62015974663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2842.522965</v>
      </c>
      <c r="D13" s="0" t="n">
        <f aca="false">D11+D12</f>
        <v>2878.911831375</v>
      </c>
      <c r="E13" s="0" t="n">
        <f aca="false">E11+E12</f>
        <v>2955.18327633225</v>
      </c>
      <c r="F13" s="0" t="n">
        <f aca="false">F11+F12</f>
        <v>3041.71626729667</v>
      </c>
      <c r="G13" s="0" t="n">
        <f aca="false">G11+G12</f>
        <v>3176.48119636162</v>
      </c>
      <c r="H13" s="0" t="n">
        <f aca="false">H11+H12</f>
        <v>3271.77563225247</v>
      </c>
      <c r="I13" s="0" t="n">
        <f aca="false">I11+I12</f>
        <v>3417.8850645969</v>
      </c>
      <c r="J13" s="0" t="n">
        <f aca="false">J11+J12</f>
        <v>3531.58487017321</v>
      </c>
      <c r="K13" s="0" t="n">
        <f aca="false">K11+K12</f>
        <v>3619.87449192753</v>
      </c>
      <c r="L13" s="0" t="n">
        <f aca="false">L11+L12</f>
        <v>3710.37135422572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2103.4669941</v>
      </c>
      <c r="D15" s="0" t="n">
        <f aca="false">D13-MAX(0,D13)*D14/100</f>
        <v>2130.3947552175</v>
      </c>
      <c r="E15" s="0" t="n">
        <f aca="false">E13-MAX(0,E13)*E14/100</f>
        <v>2186.83562448586</v>
      </c>
      <c r="F15" s="0" t="n">
        <f aca="false">F13-MAX(0,F13)*F14/100</f>
        <v>2250.87003779954</v>
      </c>
      <c r="G15" s="0" t="n">
        <f aca="false">G13-MAX(0,G13)*G14/100</f>
        <v>2350.5960853076</v>
      </c>
      <c r="H15" s="0" t="n">
        <f aca="false">H13-MAX(0,H13)*H14/100</f>
        <v>2421.11396786683</v>
      </c>
      <c r="I15" s="0" t="n">
        <f aca="false">I13-MAX(0,I13)*I14/100</f>
        <v>2529.2349478017</v>
      </c>
      <c r="J15" s="0" t="n">
        <f aca="false">J13-MAX(0,J13)*J14/100</f>
        <v>2613.37280392817</v>
      </c>
      <c r="K15" s="0" t="n">
        <f aca="false">K13-MAX(0,K13)*K14/100</f>
        <v>2678.70712402638</v>
      </c>
      <c r="L15" s="0" t="n">
        <f aca="false">L13-MAX(0,L13)*L14/100</f>
        <v>2745.67480212703</v>
      </c>
    </row>
    <row r="16" customFormat="false" ht="15" hidden="false" customHeight="false" outlineLevel="0" collapsed="false">
      <c r="A16" s="0" t="s">
        <v>117</v>
      </c>
      <c r="C16" s="0" t="n">
        <f aca="false">-C12</f>
        <v>1158.34716</v>
      </c>
      <c r="D16" s="0" t="n">
        <f aca="false">-D12</f>
        <v>1222.551599625</v>
      </c>
      <c r="E16" s="0" t="n">
        <f aca="false">-E12</f>
        <v>1289.83137475275</v>
      </c>
      <c r="F16" s="0" t="n">
        <f aca="false">-F12</f>
        <v>1351.8738965763</v>
      </c>
      <c r="G16" s="0" t="n">
        <f aca="false">-G12</f>
        <v>1392.43011347359</v>
      </c>
      <c r="H16" s="0" t="n">
        <f aca="false">-H12</f>
        <v>1434.2030168778</v>
      </c>
      <c r="I16" s="0" t="n">
        <f aca="false">-I12</f>
        <v>1451.68236614599</v>
      </c>
      <c r="J16" s="0" t="n">
        <f aca="false">-J12</f>
        <v>1459.72174633826</v>
      </c>
      <c r="K16" s="0" t="n">
        <f aca="false">-K12</f>
        <v>1496.21478999671</v>
      </c>
      <c r="L16" s="0" t="n">
        <f aca="false">-L12</f>
        <v>1533.62015974663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-2743.4538</v>
      </c>
      <c r="D17" s="4" t="n">
        <f aca="false">-D6*Assumptions!D32/100</f>
        <v>-2523.977496</v>
      </c>
      <c r="E17" s="4" t="n">
        <f aca="false">-E6*Assumptions!E32/100</f>
        <v>-2285.777119815</v>
      </c>
      <c r="F17" s="4" t="n">
        <f aca="false">-F6*Assumptions!F32/100</f>
        <v>-2112.30296340047</v>
      </c>
      <c r="G17" s="4" t="n">
        <f aca="false">-G6*Assumptions!G32/100</f>
        <v>-1914.59140602618</v>
      </c>
      <c r="H17" s="4" t="n">
        <f aca="false">-H6*Assumptions!H32/100</f>
        <v>-1792.75377109725</v>
      </c>
      <c r="I17" s="4" t="n">
        <f aca="false">-I6*Assumptions!I32/100</f>
        <v>-1745.69398460594</v>
      </c>
      <c r="J17" s="4" t="n">
        <f aca="false">-J6*Assumptions!J32/100</f>
        <v>-1695.16073768314</v>
      </c>
      <c r="K17" s="4" t="n">
        <f aca="false">-K6*Assumptions!K32/100</f>
        <v>-1737.53975612522</v>
      </c>
      <c r="L17" s="4" t="n">
        <f aca="false">-L6*Assumptions!L32/100</f>
        <v>-1780.97825002835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38.6557499999999</v>
      </c>
      <c r="D18" s="4" t="n">
        <f aca="false">(D6-C6)*Assumptions!$B$37/100</f>
        <v>40.0087012499999</v>
      </c>
      <c r="E18" s="4" t="n">
        <f aca="false">(E6-D6)*Assumptions!$B$37/100</f>
        <v>41.4090057937498</v>
      </c>
      <c r="F18" s="4" t="n">
        <f aca="false">(F6-E6)*Assumptions!$B$37/100</f>
        <v>42.8583209965311</v>
      </c>
      <c r="G18" s="4" t="n">
        <f aca="false">(G6-F6)*Assumptions!$B$37/100</f>
        <v>38.0214533412084</v>
      </c>
      <c r="H18" s="4" t="n">
        <f aca="false">(H6-G6)*Assumptions!$B$37/100</f>
        <v>39.1620969414446</v>
      </c>
      <c r="I18" s="4" t="n">
        <f aca="false">(I6-H6)*Assumptions!$B$37/100</f>
        <v>33.6141332080732</v>
      </c>
      <c r="J18" s="4" t="n">
        <f aca="false">(J6-I6)*Assumptions!$B$37/100</f>
        <v>34.454486538275</v>
      </c>
      <c r="K18" s="4" t="n">
        <f aca="false">(K6-J6)*Assumptions!$B$37/100</f>
        <v>35.3158487017319</v>
      </c>
      <c r="L18" s="4" t="n">
        <f aca="false">(L6-K6)*Assumptions!$B$37/100</f>
        <v>36.1987449192751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557.0161041</v>
      </c>
      <c r="D19" s="0" t="n">
        <f aca="false">D15+D16+D17+D18</f>
        <v>868.9775600925</v>
      </c>
      <c r="E19" s="0" t="n">
        <f aca="false">E15+E16+E17+E18</f>
        <v>1232.29888521737</v>
      </c>
      <c r="F19" s="0" t="n">
        <f aca="false">F15+F16+F17+F18</f>
        <v>1533.2992919719</v>
      </c>
      <c r="G19" s="0" t="n">
        <f aca="false">G15+G16+G17+G18</f>
        <v>1866.45624609622</v>
      </c>
      <c r="H19" s="0" t="n">
        <f aca="false">H15+H16+H17+H18</f>
        <v>2101.72531058883</v>
      </c>
      <c r="I19" s="0" t="n">
        <f aca="false">I15+I16+I17+I18</f>
        <v>2268.83746254983</v>
      </c>
      <c r="J19" s="0" t="n">
        <f aca="false">J15+J16+J17+J18</f>
        <v>2412.38829912157</v>
      </c>
      <c r="K19" s="0" t="n">
        <f aca="false">K15+K16+K17+K18</f>
        <v>2472.69800659961</v>
      </c>
      <c r="L19" s="0" t="n">
        <f aca="false">L15+L16+L17+L18</f>
        <v>2534.51545676459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513.378897788019</v>
      </c>
      <c r="D21" s="0" t="n">
        <f aca="false">D19*D20</f>
        <v>738.157582528828</v>
      </c>
      <c r="E21" s="0" t="n">
        <f aca="false">E19*E20</f>
        <v>964.776776923835</v>
      </c>
      <c r="F21" s="0" t="n">
        <f aca="false">F19*F20</f>
        <v>1106.38933917318</v>
      </c>
      <c r="G21" s="0" t="n">
        <f aca="false">G19*G20</f>
        <v>1241.2781842344</v>
      </c>
      <c r="H21" s="0" t="n">
        <f aca="false">H19*H20</f>
        <v>1288.24221089084</v>
      </c>
      <c r="I21" s="0" t="n">
        <f aca="false">I19*I20</f>
        <v>1281.72606821475</v>
      </c>
      <c r="J21" s="0" t="n">
        <f aca="false">J19*J20</f>
        <v>1256.05688338212</v>
      </c>
      <c r="K21" s="0" t="n">
        <f aca="false">K19*K20</f>
        <v>1186.59751655914</v>
      </c>
      <c r="L21" s="0" t="n">
        <f aca="false">L19*L20</f>
        <v>1120.97922071256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10697.5826804077</v>
      </c>
    </row>
    <row r="31" customFormat="false" ht="15" hidden="false" customHeight="false" outlineLevel="0" collapsed="false">
      <c r="A31" s="0" t="s">
        <v>126</v>
      </c>
      <c r="B31" s="0" t="n">
        <f aca="false">L19</f>
        <v>2534.51545676459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39772.3963984598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38017.7318514689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38017.7318514689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16814.6883106883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27512.270991096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20010.270991096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8.37554498755977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3.36226301435405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8.37554498755977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19886.1981992299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2.11351283025437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5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7363</v>
      </c>
      <c r="C6" s="0" t="n">
        <f aca="false">B6*(1+C5/100)</f>
        <v>7731.15</v>
      </c>
      <c r="D6" s="0" t="n">
        <f aca="false">C6*(1+D5/100)</f>
        <v>8195.019</v>
      </c>
      <c r="E6" s="0" t="n">
        <f aca="false">D6*(1+E5/100)</f>
        <v>8686.72014</v>
      </c>
      <c r="F6" s="0" t="n">
        <f aca="false">E6*(1+F5/100)</f>
        <v>9164.4897477</v>
      </c>
      <c r="G6" s="0" t="n">
        <f aca="false">F6*(1+G5/100)</f>
        <v>9622.714235085</v>
      </c>
      <c r="H6" s="0" t="n">
        <f aca="false">G6*(1+H5/100)</f>
        <v>10055.7363756638</v>
      </c>
      <c r="I6" s="0" t="n">
        <f aca="false">H6*(1+I5/100)</f>
        <v>10457.9658306904</v>
      </c>
      <c r="J6" s="0" t="n">
        <f aca="false">I6*(1+J5/100)</f>
        <v>10823.9946347645</v>
      </c>
      <c r="K6" s="0" t="n">
        <f aca="false">J6*(1+K5/100)</f>
        <v>11148.7144738075</v>
      </c>
      <c r="L6" s="0" t="n">
        <f aca="false">K6*(1+L5/100)</f>
        <v>11483.1759080217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53</v>
      </c>
      <c r="D7" s="4" t="n">
        <f aca="false">Assumptions!D42</f>
        <v>54</v>
      </c>
      <c r="E7" s="4" t="n">
        <f aca="false">Assumptions!E42</f>
        <v>55</v>
      </c>
      <c r="F7" s="4" t="n">
        <f aca="false">Assumptions!F42</f>
        <v>55.5</v>
      </c>
      <c r="G7" s="4" t="n">
        <f aca="false">Assumptions!G42</f>
        <v>56</v>
      </c>
      <c r="H7" s="4" t="n">
        <f aca="false">Assumptions!H42</f>
        <v>56</v>
      </c>
      <c r="I7" s="4" t="n">
        <f aca="false">Assumptions!I42</f>
        <v>56</v>
      </c>
      <c r="J7" s="4" t="n">
        <f aca="false">Assumptions!J42</f>
        <v>56</v>
      </c>
      <c r="K7" s="4" t="n">
        <f aca="false">Assumptions!K42</f>
        <v>56</v>
      </c>
      <c r="L7" s="4" t="n">
        <f aca="false">Assumptions!L42</f>
        <v>56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4097.5095</v>
      </c>
      <c r="D8" s="0" t="n">
        <f aca="false">D6*D7/100</f>
        <v>4425.31026</v>
      </c>
      <c r="E8" s="0" t="n">
        <f aca="false">E6*E7/100</f>
        <v>4777.696077</v>
      </c>
      <c r="F8" s="0" t="n">
        <f aca="false">F6*F7/100</f>
        <v>5086.2918099735</v>
      </c>
      <c r="G8" s="0" t="n">
        <f aca="false">G6*G7/100</f>
        <v>5388.7199716476</v>
      </c>
      <c r="H8" s="0" t="n">
        <f aca="false">H6*H7/100</f>
        <v>5631.21237037174</v>
      </c>
      <c r="I8" s="0" t="n">
        <f aca="false">I6*I7/100</f>
        <v>5856.46086518661</v>
      </c>
      <c r="J8" s="0" t="n">
        <f aca="false">J6*J7/100</f>
        <v>6061.43699546815</v>
      </c>
      <c r="K8" s="0" t="n">
        <f aca="false">K6*K7/100</f>
        <v>6243.28010533219</v>
      </c>
      <c r="L8" s="0" t="n">
        <f aca="false">L6*L7/100</f>
        <v>6430.57850849216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4097.5095</v>
      </c>
      <c r="D11" s="0" t="n">
        <f aca="false">D8+D10+D24</f>
        <v>4425.31026</v>
      </c>
      <c r="E11" s="0" t="n">
        <f aca="false">E8+E10+E24</f>
        <v>4777.696077</v>
      </c>
      <c r="F11" s="0" t="n">
        <f aca="false">F8+F10+F24</f>
        <v>5086.2918099735</v>
      </c>
      <c r="G11" s="0" t="n">
        <f aca="false">G8+G10+G24</f>
        <v>5388.7199716476</v>
      </c>
      <c r="H11" s="0" t="n">
        <f aca="false">H8+H10+H24</f>
        <v>5631.21237037174</v>
      </c>
      <c r="I11" s="0" t="n">
        <f aca="false">I8+I10+I24</f>
        <v>5856.46086518661</v>
      </c>
      <c r="J11" s="0" t="n">
        <f aca="false">J8+J10+J24</f>
        <v>6061.43699546815</v>
      </c>
      <c r="K11" s="0" t="n">
        <f aca="false">K8+K10+K24</f>
        <v>6243.28010533219</v>
      </c>
      <c r="L11" s="0" t="n">
        <f aca="false">L8+L10+L24</f>
        <v>6430.57850849216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-1175.1348</v>
      </c>
      <c r="D12" s="4" t="n">
        <f aca="false">-D6*Assumptions!D45/100</f>
        <v>-1262.032926</v>
      </c>
      <c r="E12" s="4" t="n">
        <f aca="false">-E6*Assumptions!E45/100</f>
        <v>-1346.4416217</v>
      </c>
      <c r="F12" s="4" t="n">
        <f aca="false">-F6*Assumptions!F45/100</f>
        <v>-1420.4959108935</v>
      </c>
      <c r="G12" s="4" t="n">
        <f aca="false">-G6*Assumptions!G45/100</f>
        <v>-1491.52070643818</v>
      </c>
      <c r="H12" s="4" t="n">
        <f aca="false">-H6*Assumptions!H45/100</f>
        <v>-1528.4719291009</v>
      </c>
      <c r="I12" s="4" t="n">
        <f aca="false">-I6*Assumptions!I45/100</f>
        <v>-1568.69487460356</v>
      </c>
      <c r="J12" s="4" t="n">
        <f aca="false">-J6*Assumptions!J45/100</f>
        <v>-1623.59919521468</v>
      </c>
      <c r="K12" s="4" t="n">
        <f aca="false">-K6*Assumptions!K45/100</f>
        <v>-1672.30717107112</v>
      </c>
      <c r="L12" s="4" t="n">
        <f aca="false">-L6*Assumptions!L45/100</f>
        <v>-1722.47638620326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2922.3747</v>
      </c>
      <c r="D13" s="0" t="n">
        <f aca="false">D11+D12</f>
        <v>3163.277334</v>
      </c>
      <c r="E13" s="0" t="n">
        <f aca="false">E11+E12</f>
        <v>3431.2544553</v>
      </c>
      <c r="F13" s="0" t="n">
        <f aca="false">F11+F12</f>
        <v>3665.79589908</v>
      </c>
      <c r="G13" s="0" t="n">
        <f aca="false">G11+G12</f>
        <v>3897.19926520943</v>
      </c>
      <c r="H13" s="0" t="n">
        <f aca="false">H11+H12</f>
        <v>4102.74044127084</v>
      </c>
      <c r="I13" s="0" t="n">
        <f aca="false">I11+I12</f>
        <v>4287.76599058306</v>
      </c>
      <c r="J13" s="0" t="n">
        <f aca="false">J11+J12</f>
        <v>4437.83780025346</v>
      </c>
      <c r="K13" s="0" t="n">
        <f aca="false">K11+K12</f>
        <v>4570.97293426107</v>
      </c>
      <c r="L13" s="0" t="n">
        <f aca="false">L11+L12</f>
        <v>4708.1021222889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2191.781025</v>
      </c>
      <c r="D15" s="0" t="n">
        <f aca="false">D13-MAX(0,D13)*D14/100</f>
        <v>2372.4580005</v>
      </c>
      <c r="E15" s="0" t="n">
        <f aca="false">E13-MAX(0,E13)*E14/100</f>
        <v>2573.440841475</v>
      </c>
      <c r="F15" s="0" t="n">
        <f aca="false">F13-MAX(0,F13)*F14/100</f>
        <v>2749.34692431</v>
      </c>
      <c r="G15" s="0" t="n">
        <f aca="false">G13-MAX(0,G13)*G14/100</f>
        <v>2922.89944890707</v>
      </c>
      <c r="H15" s="0" t="n">
        <f aca="false">H13-MAX(0,H13)*H14/100</f>
        <v>3077.05533095313</v>
      </c>
      <c r="I15" s="0" t="n">
        <f aca="false">I13-MAX(0,I13)*I14/100</f>
        <v>3215.82449293729</v>
      </c>
      <c r="J15" s="0" t="n">
        <f aca="false">J13-MAX(0,J13)*J14/100</f>
        <v>3328.3783501901</v>
      </c>
      <c r="K15" s="0" t="n">
        <f aca="false">K13-MAX(0,K13)*K14/100</f>
        <v>3428.2297006958</v>
      </c>
      <c r="L15" s="0" t="n">
        <f aca="false">L13-MAX(0,L13)*L14/100</f>
        <v>3531.07659171668</v>
      </c>
    </row>
    <row r="16" customFormat="false" ht="15" hidden="false" customHeight="false" outlineLevel="0" collapsed="false">
      <c r="A16" s="0" t="s">
        <v>117</v>
      </c>
      <c r="C16" s="0" t="n">
        <f aca="false">-C12</f>
        <v>1175.1348</v>
      </c>
      <c r="D16" s="0" t="n">
        <f aca="false">-D12</f>
        <v>1262.032926</v>
      </c>
      <c r="E16" s="0" t="n">
        <f aca="false">-E12</f>
        <v>1346.4416217</v>
      </c>
      <c r="F16" s="0" t="n">
        <f aca="false">-F12</f>
        <v>1420.4959108935</v>
      </c>
      <c r="G16" s="0" t="n">
        <f aca="false">-G12</f>
        <v>1491.52070643818</v>
      </c>
      <c r="H16" s="0" t="n">
        <f aca="false">-H12</f>
        <v>1528.4719291009</v>
      </c>
      <c r="I16" s="0" t="n">
        <f aca="false">-I12</f>
        <v>1568.69487460356</v>
      </c>
      <c r="J16" s="0" t="n">
        <f aca="false">-J12</f>
        <v>1623.59919521468</v>
      </c>
      <c r="K16" s="0" t="n">
        <f aca="false">-K12</f>
        <v>1672.30717107112</v>
      </c>
      <c r="L16" s="0" t="n">
        <f aca="false">-L12</f>
        <v>1722.47638620326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-2628.591</v>
      </c>
      <c r="D17" s="4" t="n">
        <f aca="false">-D6*Assumptions!D46/100</f>
        <v>-2376.55551</v>
      </c>
      <c r="E17" s="4" t="n">
        <f aca="false">-E6*Assumptions!E46/100</f>
        <v>-2171.680035</v>
      </c>
      <c r="F17" s="4" t="n">
        <f aca="false">-F6*Assumptions!F46/100</f>
        <v>-1924.542847017</v>
      </c>
      <c r="G17" s="4" t="n">
        <f aca="false">-G6*Assumptions!G46/100</f>
        <v>-1732.0885623153</v>
      </c>
      <c r="H17" s="4" t="n">
        <f aca="false">-H6*Assumptions!H46/100</f>
        <v>-1709.47518386285</v>
      </c>
      <c r="I17" s="4" t="n">
        <f aca="false">-I6*Assumptions!I46/100</f>
        <v>-1673.27453291046</v>
      </c>
      <c r="J17" s="4" t="n">
        <f aca="false">-J6*Assumptions!J46/100</f>
        <v>-1731.83914156233</v>
      </c>
      <c r="K17" s="4" t="n">
        <f aca="false">-K6*Assumptions!K46/100</f>
        <v>-1783.7943158092</v>
      </c>
      <c r="L17" s="4" t="n">
        <f aca="false">-L6*Assumptions!L46/100</f>
        <v>-1837.30814528347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92.0375000000002</v>
      </c>
      <c r="D18" s="4" t="n">
        <f aca="false">(D6-C6)*Assumptions!$B$51/100</f>
        <v>115.96725</v>
      </c>
      <c r="E18" s="4" t="n">
        <f aca="false">(E6-D6)*Assumptions!$B$51/100</f>
        <v>122.925285</v>
      </c>
      <c r="F18" s="4" t="n">
        <f aca="false">(F6-E6)*Assumptions!$B$51/100</f>
        <v>119.442401925</v>
      </c>
      <c r="G18" s="4" t="n">
        <f aca="false">(G6-F6)*Assumptions!$B$51/100</f>
        <v>114.55612184625</v>
      </c>
      <c r="H18" s="4" t="n">
        <f aca="false">(H6-G6)*Assumptions!$B$51/100</f>
        <v>108.255535144706</v>
      </c>
      <c r="I18" s="4" t="n">
        <f aca="false">(I6-H6)*Assumptions!$B$51/100</f>
        <v>100.557363756639</v>
      </c>
      <c r="J18" s="4" t="n">
        <f aca="false">(J6-I6)*Assumptions!$B$51/100</f>
        <v>91.5072010185409</v>
      </c>
      <c r="K18" s="4" t="n">
        <f aca="false">(K6-J6)*Assumptions!$B$51/100</f>
        <v>81.1799597607342</v>
      </c>
      <c r="L18" s="4" t="n">
        <f aca="false">(L6-K6)*Assumptions!$B$51/100</f>
        <v>83.6153585535562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830.362325</v>
      </c>
      <c r="D19" s="0" t="n">
        <f aca="false">D15+D16+D17+D18</f>
        <v>1373.9026665</v>
      </c>
      <c r="E19" s="0" t="n">
        <f aca="false">E15+E16+E17+E18</f>
        <v>1871.127713175</v>
      </c>
      <c r="F19" s="0" t="n">
        <f aca="false">F15+F16+F17+F18</f>
        <v>2364.7423901115</v>
      </c>
      <c r="G19" s="0" t="n">
        <f aca="false">G15+G16+G17+G18</f>
        <v>2796.88771487619</v>
      </c>
      <c r="H19" s="0" t="n">
        <f aca="false">H15+H16+H17+H18</f>
        <v>3004.30761133589</v>
      </c>
      <c r="I19" s="0" t="n">
        <f aca="false">I15+I16+I17+I18</f>
        <v>3211.80219838703</v>
      </c>
      <c r="J19" s="0" t="n">
        <f aca="false">J15+J16+J17+J18</f>
        <v>3311.64560486099</v>
      </c>
      <c r="K19" s="0" t="n">
        <f aca="false">K15+K16+K17+K18</f>
        <v>3397.92251571846</v>
      </c>
      <c r="L19" s="0" t="n">
        <f aca="false">L15+L16+L17+L18</f>
        <v>3499.86019119001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765.310898617511</v>
      </c>
      <c r="D21" s="0" t="n">
        <f aca="false">D19*D20</f>
        <v>1167.06888360339</v>
      </c>
      <c r="E21" s="0" t="n">
        <f aca="false">E19*E20</f>
        <v>1464.92103984288</v>
      </c>
      <c r="F21" s="0" t="n">
        <f aca="false">F19*F20</f>
        <v>1706.3372976228</v>
      </c>
      <c r="G21" s="0" t="n">
        <f aca="false">G19*G20</f>
        <v>1860.05737423007</v>
      </c>
      <c r="H21" s="0" t="n">
        <f aca="false">H19*H20</f>
        <v>1841.47560098576</v>
      </c>
      <c r="I21" s="0" t="n">
        <f aca="false">I19*I20</f>
        <v>1814.43169533864</v>
      </c>
      <c r="J21" s="0" t="n">
        <f aca="false">J19*J20</f>
        <v>1724.27268811677</v>
      </c>
      <c r="K21" s="0" t="n">
        <f aca="false">K19*K20</f>
        <v>1630.59395358861</v>
      </c>
      <c r="L21" s="0" t="n">
        <f aca="false">L19*L20</f>
        <v>1547.93711723158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15522.406549178</v>
      </c>
    </row>
    <row r="31" customFormat="false" ht="15" hidden="false" customHeight="false" outlineLevel="0" collapsed="false">
      <c r="A31" s="0" t="s">
        <v>126</v>
      </c>
      <c r="B31" s="0" t="n">
        <f aca="false">L19</f>
        <v>3499.86019119001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65542.8363077403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62997.4834414203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62997.4834414203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27862.8681101685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43385.2746593465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35883.2746593465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15.0193858615934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6.82259680291324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15.0193858615934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30040.4666410476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4.63651346177106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1.56986407544249</v>
      </c>
      <c r="C4" s="0" t="n">
        <f aca="false">B4/Assumptions!$B$2-1</f>
        <v>-0.182362460707037</v>
      </c>
      <c r="D4" s="4" t="n">
        <f aca="false">Assumptions!$B$24</f>
        <v>0.3</v>
      </c>
      <c r="E4" s="4" t="n">
        <f aca="false">DCF_Bear!$B$43</f>
        <v>1.56986407544249</v>
      </c>
      <c r="F4" s="4" t="n">
        <f aca="false">DCF_Bear!$B$47</f>
        <v>-0.520320083317294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8.37554498755977</v>
      </c>
      <c r="C5" s="0" t="n">
        <f aca="false">B5/Assumptions!$B$2-1</f>
        <v>3.36226301435405</v>
      </c>
      <c r="D5" s="4" t="n">
        <f aca="false">Assumptions!$B$38</f>
        <v>0.5</v>
      </c>
      <c r="E5" s="4" t="n">
        <f aca="false">DCF_Base!$B$43</f>
        <v>8.37554498755977</v>
      </c>
      <c r="F5" s="4" t="n">
        <f aca="false">DCF_Base!$B$47</f>
        <v>2.11351283025437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15.0193858615934</v>
      </c>
      <c r="C6" s="0" t="n">
        <f aca="false">B6/Assumptions!$B$2-1</f>
        <v>6.82259680291324</v>
      </c>
      <c r="D6" s="4" t="n">
        <f aca="false">Assumptions!$B$52</f>
        <v>0.2</v>
      </c>
      <c r="E6" s="4" t="n">
        <f aca="false">DCF_Bull!$B$43</f>
        <v>15.0193858615934</v>
      </c>
      <c r="F6" s="4" t="n">
        <f aca="false">DCF_Bull!$B$47</f>
        <v>4.63651346177106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7.66260888873132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7.66260888873132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0.749432598233799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1.82796308248621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8.37554498755977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7.74577798319431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6.20112636209615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5.00712722899215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4.058190925949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2.11351283025437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10.3492229753675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10.3492229753675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10.3492229753675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10.3492229753675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10.3492229753675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9.31541231395519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9.31541231395519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9.31541231395519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9.31541231395519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9.31541231395519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7.65610554355412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8.14094516886228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8.37554498755977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8.37554498755977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8.37554498755977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6.18554832638809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6.53020688601224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6.92081992025293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7.36723481652801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7.52011663032084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5.0331853365859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5.28576503309296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5.56805998801262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5.88564181229724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6.24556787981981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2026-10-11T09:01:00Z</dcterms:created>
  <dc:creator>openpyxl</dc:creator>
  <dc:description/>
  <dc:language>en-NZ</dc:language>
  <cp:lastModifiedBy/>
  <dcterms:modified xsi:type="dcterms:W3CDTF">2026-10-11T09:01:00Z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