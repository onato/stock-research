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<sst xmlns="http://schemas.openxmlformats.org/spreadsheetml/2006/main" count="387" uniqueCount="174">
  <si>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</si>
  <si>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HSIC</t>
  </si>
  <si>
    <t xml:space="preserve">Company</t>
  </si>
  <si>
    <t xml:space="preserve">Henry Schein,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</si>
  <si>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</si>
  <si>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</si>
  <si>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</si>
  <si>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</si>
  <si>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 (Yahoo Finance chart API); 52-week range 61.95-92.18</t>
  </si>
  <si>
    <t xml:space="preserve">Balance sheet date</t>
  </si>
  <si>
    <t xml:space="preserve">2026-06-27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</si>
  <si>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</si>
  <si>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</si>
  <si>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</si>
  <si>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</si>
  <si>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</si>
  <si>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</si>
  <si>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</si>
  <si>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</si>
  <si>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</si>
  <si>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</si>
  <si>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2026-09-28T21:27:09Z</t>
  </si>
  <si>
    <t xml:space="preserve">Drivers file</t>
  </si>
  <si>
    <t xml:space="preserve">HSIC_Drivers.json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</si>
  <si>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</si>
  <si>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</si>
  <si>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</si>
  <si>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and equity-award taxes expensed, share count held flat (funded by an $850M FY2025 buyback), consolidated flows with NCI deducted once in the bridge at balance-sheet value, and a GAAP (not adjusted) EBITDA basis because restructuring has recurred every year since 2022. The value hinges on whether the margin recovers, not on growth; the terminal multiple is capped at 14-18x because a 3% grower does not earn a compounder's exit.
key_risks_to_valuation: Leverage: total debt $3.46B including $1.02B of bank credit lines; net debt/GAAP EBITDA ~3.3x. A 100bp move in WACC is worth a large share of the equity value.; NCI: $906M redeemable NCI is carried at redemption value and $660M permanent NCI at book; if the economic value of the minorities' stakes (notably in Henry Schein One) exceeds book, the deduction is understated.; Margin thesis: the base case needs ~90bp of pre-SBC EBITDA margin recovery from the value-creation plan; FY2021-25 margins went the other way.; Acquisitions: ~$200M/yr of tuck-in spend is excluded from both growth and flows; if management keeps buying growth, either the growth path is too low or the flows are too high.; Dental end-market cyclicality and channel disintermediation (online, direct-from-manufacturer, DSO purchasing power).; Cyber / IT: the October 2023 incident cost roughly a year of margin; a repeat is a bear-case trigger.; Management transition: new CEO (Fred Lowery) with COO and CSO moving to advisory roles from 2026-10-30; execution of the value-creation plan changes hands.; Working-capital sign: the model charges 15% of revenue growth as cash consumed; distributors that grow faster consume more.</t>
  </si>
  <si>
    <t xml:space="preserve">Data sources</t>
  </si>
  <si>
    <t xml:space="preserve">price: Yahoo Finance chart API at inputs.price_as_of (regular close); 52-week range 61.95-92.18.
financials: SEC XBRL company facts (CIK 0001000228): FY2025 10-K and Q2 2026 10-Q (period ended 2026-06-27, filed 2026-08-04) for cash, debt, bank credit lines, NCI, shares, SBC, equity-award taxes, D&amp;A, interest, taxes; research/HSIC/Reports/HSIC_Metrics.csv for the revenue / EBITDA / FCF history.
qualitative: Q2 2026 earnings press release (8-K EX-99.1, 2026-08-04) for guidance, segment growth and buybacks; 8-K 2026-07-30 (leadership transition); 8-K 2026-09-22 (revolver amended to $1.25B, maturity Sept 2031); research/HSIC/info.json business summary. HSIC_Analysis.json did not exist at build time.</t>
  </si>
  <si>
    <t xml:space="preserve">Scenario narrative: bear</t>
  </si>
  <si>
    <t xml:space="preserve">Dental demand stays soft and consumables commoditise under online and direct-channel competition, so organic growth stalls at ~1.5% and the margin drifts to 7.0% despite continuing restructuring spend. With ~$3.3B net debt and $906M of redeemable NCI puts ahead of common equity, a modest operating disappointment is amplified at the per-share level.</t>
  </si>
  <si>
    <t xml:space="preserve">Scenario narrative: base</t>
  </si>
  <si>
    <t xml:space="preserve">Henry Schein is a 3-4% organic grower whose earnings story is margin repair rather than top line: the October 2023 cyber incident, a heavy restructuring cadence and post-COVID PPE normalisation took the GAAP EBITDA margin from 8.6% (FY2021) to 7.0-7.3%; the base case assumes the KKR-backed value-creation plan recovers roughly a third of that gap by FY2029 and that FY2026 lands at the raised guidance midpoint. Cash generation is steady but leverage (~3x net debt/EBITDA including bank lines) and $1.6B of NCI claims mean the equity is a levered claim on a modest-margin distributor.</t>
  </si>
  <si>
    <t xml:space="preserve">Scenario narrative: bull</t>
  </si>
  <si>
    <t xml:space="preserve">Specialty products and Henry Schein One carry group growth to ~5% while the distribution business regains share; the value-creation programme delivers fully, restructuring stops recurring, and the group earns its adjusted-EBITDA margin on a GAAP basis. The buyback keeps compounding per-share value and the market re-rates toward the 18x terminal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</si>
  <si>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</si>
  <si>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</si>
  <si>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</si>
  <si>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</si>
  <si>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</si>
  <si>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</si>
  <si>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</si>
  <si>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</si>
  <si>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</si>
  <si>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</si>
  <si>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</si>
  <si>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</si>
  <si>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</si>
  <si>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</si>
  <si>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</si>
  <si>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</si>
  <si>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</si>
  <si>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</si>
  <si>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</si>
  <si>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</si>
  <si>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</si>
  <si>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</si>
  <si>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</si>
  <si>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</si>
  <si>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</si>
  <si>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</si>
  <si>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</si>
  <si>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</si>
  <si>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</si>
  <si>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</si>
  <si>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</si>
  <si>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</si>
  <si>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</si>
  <si>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</si>
  <si>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</si>
  <si>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</si>
  <si>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</si>
  <si>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</si>
  <si>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</si>
  <si>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</si>
  <si>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</si>
  <si>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</si>
  <si>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</si>
  <si>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</si>
  <si>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</si>
  <si>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</si>
  <si>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</si>
  <si>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</si>
  <si>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</si>
  <si>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</si>
  <si>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</si>
  <si>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</si>
  <si>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</si>
  <si>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</si>
  <si>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</si>
  <si>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</si>
  <si>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</si>
  <si>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</si>
  <si>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</si>
  <si>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</si>
  <si>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</si>
  <si>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</si>
  <si>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</si>
  <si>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</si>
  <si>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</si>
  <si>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</si>
  <si>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</si>
  <si>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</si>
  <si>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</si>
  <si>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</si>
  <si>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</si>
  <si>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</si>
  <si>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</si>
  <si>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</si>
  <si>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</si>
  <si>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</si>
  <si>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</si>
  <si>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</si>
  <si>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</si>
  <si>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</si>
  <si>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</si>
  <si>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</si>
  <si>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</si>
  <si>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HSIC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</si>
  <si>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</si>
  <si>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</si>
  <si>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</si>
  <si>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</si>
  <si>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</si>
  <si>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</si>
  <si>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</si>
  <si>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</si>
  <si>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</si>
  <si>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</si>
  <si>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</si>
  <si>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</si>
  <si>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</si>
  <si>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</si>
  <si>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</si>
  <si>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</si>
  <si>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</si>
  <si>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</si>
  <si>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</si>
  <si>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</si>
  <si>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</si>
  <si>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</si>
  <si>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</si>
  <si>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</si>
  <si>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</si>
  <si>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</si>
  <si>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</si>
  <si>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</si>
  <si>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</si>
  <si>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</si>
  <si>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HSIC owner-FCF component DCF: base case (millions, USD)</t>
  </si>
  <si>
    <t xml:space="preserve">HSIC owner-FCF component DCF: bull case (millions, USD)</t>
  </si>
  <si>
    <t xml:space="preserve">HSIC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</si>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</sst>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85.99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1674.987</v>
      </c>
      <c r="S2" s="0" t="n">
        <v>247.59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1874.295</v>
      </c>
      <c r="F3" s="0" t="n">
        <v>419.286</v>
      </c>
      <c r="H3" s="0" t="n">
        <v>497.413</v>
      </c>
      <c r="I3" s="0" t="n">
        <v>261.374</v>
      </c>
      <c r="K3" s="0" t="n">
        <v>2.69</v>
      </c>
      <c r="L3" s="0" t="n">
        <v>384.782</v>
      </c>
      <c r="M3" s="0" t="n">
        <v>50.87</v>
      </c>
      <c r="N3" s="0" t="n">
        <v>333.912</v>
      </c>
      <c r="O3" s="0" t="n">
        <v>1772.354</v>
      </c>
      <c r="P3" s="0" t="n">
        <v>3599.21</v>
      </c>
      <c r="S3" s="0" t="n">
        <v>369.57</v>
      </c>
      <c r="T3" s="0" t="n">
        <v>91.221</v>
      </c>
      <c r="U3" s="0" t="n">
        <v>25.429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1916.82</v>
      </c>
      <c r="F4" s="0" t="n">
        <v>464.085</v>
      </c>
      <c r="H4" s="0" t="n">
        <v>545.578</v>
      </c>
      <c r="I4" s="0" t="n">
        <v>333.157</v>
      </c>
      <c r="K4" s="0" t="n">
        <v>3.5</v>
      </c>
      <c r="L4" s="0" t="n">
        <v>398.029</v>
      </c>
      <c r="M4" s="0" t="n">
        <v>51.627</v>
      </c>
      <c r="N4" s="0" t="n">
        <v>346.402</v>
      </c>
      <c r="O4" s="0" t="n">
        <v>2161.508</v>
      </c>
      <c r="P4" s="0" t="n">
        <v>3835.985</v>
      </c>
      <c r="Q4" s="0" t="n">
        <v>1495.907</v>
      </c>
      <c r="R4" s="0" t="n">
        <v>266.933</v>
      </c>
      <c r="S4" s="0" t="n">
        <v>471.154</v>
      </c>
      <c r="T4" s="0" t="n">
        <v>90.630889</v>
      </c>
      <c r="U4" s="0" t="n">
        <v>25.924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2170.876</v>
      </c>
      <c r="F5" s="0" t="n">
        <v>521.131</v>
      </c>
      <c r="H5" s="0" t="n">
        <v>622.345</v>
      </c>
      <c r="I5" s="0" t="n">
        <v>352.131</v>
      </c>
      <c r="K5" s="0" t="n">
        <v>3.62</v>
      </c>
      <c r="L5" s="0" t="n">
        <v>395.48</v>
      </c>
      <c r="M5" s="0" t="n">
        <v>39</v>
      </c>
      <c r="N5" s="0" t="n">
        <v>356.48</v>
      </c>
      <c r="O5" s="0" t="n">
        <v>2412.957</v>
      </c>
      <c r="P5" s="0" t="n">
        <v>4547.471</v>
      </c>
      <c r="Q5" s="0" t="n">
        <v>1830.374</v>
      </c>
      <c r="R5" s="0" t="n">
        <v>399.796</v>
      </c>
      <c r="S5" s="0" t="n">
        <v>150.348</v>
      </c>
      <c r="T5" s="0" t="n">
        <v>93.268</v>
      </c>
      <c r="U5" s="0" t="n">
        <v>29.91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8530.242</v>
      </c>
      <c r="C6" s="0" t="n">
        <v>6112.187</v>
      </c>
      <c r="D6" s="0" t="n">
        <v>2418.055</v>
      </c>
      <c r="E6" s="0" t="n">
        <v>28.3468511209881</v>
      </c>
      <c r="F6" s="0" t="n">
        <v>582.149</v>
      </c>
      <c r="G6" s="0" t="n">
        <v>6.824530886697</v>
      </c>
      <c r="H6" s="0" t="n">
        <v>698.045</v>
      </c>
      <c r="I6" s="0" t="n">
        <v>404.656</v>
      </c>
      <c r="J6" s="0" t="n">
        <v>4.74378100879201</v>
      </c>
      <c r="K6" s="0" t="n">
        <v>4.08</v>
      </c>
      <c r="L6" s="0" t="n">
        <v>554.625</v>
      </c>
      <c r="M6" s="0" t="n">
        <v>45.176</v>
      </c>
      <c r="N6" s="0" t="n">
        <v>509.449</v>
      </c>
      <c r="O6" s="0" t="n">
        <v>2433.623</v>
      </c>
      <c r="P6" s="0" t="n">
        <v>4740.144</v>
      </c>
      <c r="Q6" s="0" t="n">
        <v>1904.471</v>
      </c>
      <c r="R6" s="0" t="n">
        <v>386.343</v>
      </c>
      <c r="S6" s="0" t="n">
        <v>147.284</v>
      </c>
      <c r="T6" s="0" t="n">
        <v>92.62</v>
      </c>
      <c r="U6" s="0" t="n">
        <v>36.932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8939.967</v>
      </c>
      <c r="C7" s="0" t="n">
        <v>6432.454</v>
      </c>
      <c r="D7" s="0" t="n">
        <v>2507.513</v>
      </c>
      <c r="E7" s="0" t="n">
        <v>28.0483473820429</v>
      </c>
      <c r="F7" s="0" t="n">
        <v>618.961</v>
      </c>
      <c r="G7" s="0" t="n">
        <v>6.92352667521032</v>
      </c>
      <c r="H7" s="0" t="n">
        <v>744.283</v>
      </c>
      <c r="I7" s="0" t="n">
        <v>423.388</v>
      </c>
      <c r="J7" s="0" t="n">
        <v>4.73590115041812</v>
      </c>
      <c r="K7" s="0" t="n">
        <v>4.44</v>
      </c>
      <c r="L7" s="0" t="n">
        <v>408.099</v>
      </c>
      <c r="M7" s="0" t="n">
        <v>51.237</v>
      </c>
      <c r="N7" s="0" t="n">
        <v>356.862</v>
      </c>
      <c r="O7" s="0" t="n">
        <v>2615.864</v>
      </c>
      <c r="P7" s="0" t="n">
        <v>5333.997</v>
      </c>
      <c r="Q7" s="0" t="n">
        <v>2282.958</v>
      </c>
      <c r="R7" s="0" t="n">
        <v>506.113</v>
      </c>
      <c r="S7" s="0" t="n">
        <v>122.08</v>
      </c>
      <c r="T7" s="0" t="n">
        <v>89.823</v>
      </c>
      <c r="U7" s="0" t="n">
        <v>37.313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9560.647</v>
      </c>
      <c r="C8" s="0" t="n">
        <v>6904.633</v>
      </c>
      <c r="D8" s="0" t="n">
        <v>2656.014</v>
      </c>
      <c r="E8" s="0" t="n">
        <v>27.7806930848927</v>
      </c>
      <c r="F8" s="0" t="n">
        <v>677.054</v>
      </c>
      <c r="G8" s="0" t="n">
        <v>7.08167553932281</v>
      </c>
      <c r="H8" s="0" t="n">
        <v>805.089</v>
      </c>
      <c r="I8" s="0" t="n">
        <v>471.462</v>
      </c>
      <c r="J8" s="0" t="n">
        <v>4.93127714055335</v>
      </c>
      <c r="K8" s="0" t="n">
        <v>5.02</v>
      </c>
      <c r="M8" s="0" t="n">
        <v>60.215</v>
      </c>
      <c r="O8" s="0" t="n">
        <v>2788.001</v>
      </c>
      <c r="P8" s="0" t="n">
        <v>5624.636</v>
      </c>
      <c r="Q8" s="0" t="n">
        <v>2339.096</v>
      </c>
      <c r="R8" s="0" t="n">
        <v>455.674</v>
      </c>
      <c r="S8" s="0" t="n">
        <v>188.616</v>
      </c>
      <c r="T8" s="0" t="n">
        <v>87.622</v>
      </c>
      <c r="U8" s="0" t="n">
        <v>35.527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10371.39</v>
      </c>
      <c r="C9" s="0" t="n">
        <v>7460.075</v>
      </c>
      <c r="D9" s="0" t="n">
        <v>2911.315</v>
      </c>
      <c r="E9" s="0" t="n">
        <v>28.0706346979527</v>
      </c>
      <c r="F9" s="0" t="n">
        <v>715.142</v>
      </c>
      <c r="G9" s="0" t="n">
        <v>6.89533418374972</v>
      </c>
      <c r="H9" s="0" t="n">
        <v>867.38</v>
      </c>
      <c r="I9" s="0" t="n">
        <v>505.436</v>
      </c>
      <c r="J9" s="0" t="n">
        <v>4.87336798635477</v>
      </c>
      <c r="K9" s="0" t="n">
        <v>5.53</v>
      </c>
      <c r="M9" s="0" t="n">
        <v>82.116</v>
      </c>
      <c r="O9" s="0" t="n">
        <v>2816.445</v>
      </c>
      <c r="P9" s="0" t="n">
        <v>6138.807</v>
      </c>
      <c r="Q9" s="0" t="n">
        <v>2757.835</v>
      </c>
      <c r="R9" s="0" t="n">
        <v>548.591</v>
      </c>
      <c r="S9" s="0" t="n">
        <v>89.474</v>
      </c>
      <c r="T9" s="0" t="n">
        <v>85.74</v>
      </c>
      <c r="U9" s="0" t="n">
        <v>45.9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10629.719</v>
      </c>
      <c r="C10" s="0" t="n">
        <v>7622.765</v>
      </c>
      <c r="D10" s="0" t="n">
        <v>3006.954</v>
      </c>
      <c r="E10" s="0" t="n">
        <v>28.2881795840511</v>
      </c>
      <c r="F10" s="0" t="n">
        <v>733.972</v>
      </c>
      <c r="G10" s="0" t="n">
        <v>6.90490501207041</v>
      </c>
      <c r="H10" s="0" t="n">
        <v>893.099</v>
      </c>
      <c r="I10" s="0" t="n">
        <v>523.427</v>
      </c>
      <c r="J10" s="0" t="n">
        <v>4.92418473150607</v>
      </c>
      <c r="K10" s="0" t="n">
        <v>2.89</v>
      </c>
      <c r="L10" s="0" t="n">
        <v>615.5</v>
      </c>
      <c r="M10" s="0" t="n">
        <v>71.684</v>
      </c>
      <c r="N10" s="0" t="n">
        <v>543.816</v>
      </c>
      <c r="O10" s="0" t="n">
        <v>2886.814</v>
      </c>
      <c r="P10" s="0" t="n">
        <v>6534.74</v>
      </c>
      <c r="Q10" s="0" t="n">
        <v>3075.732</v>
      </c>
      <c r="R10" s="0" t="n">
        <v>481.083</v>
      </c>
      <c r="S10" s="0" t="n">
        <v>72.086</v>
      </c>
      <c r="T10" s="0" t="n">
        <v>168.25</v>
      </c>
      <c r="U10" s="0" t="n">
        <v>44.614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11571.668</v>
      </c>
      <c r="C11" s="0" t="n">
        <v>8345.195</v>
      </c>
      <c r="D11" s="0" t="n">
        <v>3226.473</v>
      </c>
      <c r="E11" s="0" t="n">
        <v>27.8825230727325</v>
      </c>
      <c r="F11" s="0" t="n">
        <v>771.574</v>
      </c>
      <c r="G11" s="0" t="n">
        <v>6.66778549125329</v>
      </c>
      <c r="H11" s="0" t="n">
        <v>941.354</v>
      </c>
      <c r="I11" s="0" t="n">
        <v>556.395</v>
      </c>
      <c r="J11" s="0" t="n">
        <v>4.80825236258075</v>
      </c>
      <c r="K11" s="0" t="n">
        <v>3.14</v>
      </c>
      <c r="L11" s="0" t="n">
        <v>642.576</v>
      </c>
      <c r="M11" s="0" t="n">
        <v>70.179</v>
      </c>
      <c r="N11" s="0" t="n">
        <v>572.397</v>
      </c>
      <c r="O11" s="0" t="n">
        <v>2800.804</v>
      </c>
      <c r="P11" s="0" t="n">
        <v>6811.763</v>
      </c>
      <c r="Q11" s="0" t="n">
        <v>3351.956</v>
      </c>
      <c r="R11" s="0" t="n">
        <v>781.38</v>
      </c>
      <c r="S11" s="0" t="n">
        <v>62.381</v>
      </c>
      <c r="T11" s="0" t="n">
        <v>163.723</v>
      </c>
      <c r="U11" s="0" t="n">
        <v>58.246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8883.438</v>
      </c>
      <c r="C12" s="0" t="n">
        <v>6136.776</v>
      </c>
      <c r="D12" s="0" t="n">
        <v>2746.662</v>
      </c>
      <c r="E12" s="0" t="n">
        <v>30.9189077472033</v>
      </c>
      <c r="F12" s="0" t="n">
        <v>669.761</v>
      </c>
      <c r="G12" s="0" t="n">
        <v>7.53943461979472</v>
      </c>
      <c r="H12" s="0" t="n">
        <v>803.616</v>
      </c>
      <c r="I12" s="0" t="n">
        <v>459.293</v>
      </c>
      <c r="J12" s="0" t="n">
        <v>5.1702167561703</v>
      </c>
      <c r="K12" s="0" t="n">
        <v>2.59</v>
      </c>
      <c r="L12" s="0" t="n">
        <v>545.515</v>
      </c>
      <c r="M12" s="0" t="n">
        <v>62.404</v>
      </c>
      <c r="N12" s="0" t="n">
        <v>483.111</v>
      </c>
      <c r="O12" s="0" t="n">
        <v>2824.41</v>
      </c>
      <c r="P12" s="0" t="n">
        <v>7863.995</v>
      </c>
      <c r="Q12" s="0" t="n">
        <v>4207.447</v>
      </c>
      <c r="R12" s="0" t="n">
        <v>924.415</v>
      </c>
      <c r="S12" s="0" t="n">
        <v>174.658</v>
      </c>
      <c r="T12" s="0" t="n">
        <v>158.208</v>
      </c>
      <c r="U12" s="0" t="n">
        <v>42.3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9417.603</v>
      </c>
      <c r="C13" s="0" t="n">
        <v>6506.856</v>
      </c>
      <c r="D13" s="0" t="n">
        <v>2910.747</v>
      </c>
      <c r="E13" s="0" t="n">
        <v>30.9075143643239</v>
      </c>
      <c r="F13" s="0" t="n">
        <v>600.619</v>
      </c>
      <c r="G13" s="0" t="n">
        <v>6.37762071728868</v>
      </c>
      <c r="H13" s="0" t="n">
        <v>744.249</v>
      </c>
      <c r="I13" s="0" t="n">
        <v>562.126</v>
      </c>
      <c r="J13" s="0" t="n">
        <v>5.96888613801198</v>
      </c>
      <c r="K13" s="0" t="n">
        <v>3.51</v>
      </c>
      <c r="L13" s="0" t="n">
        <v>684.706</v>
      </c>
      <c r="M13" s="0" t="n">
        <v>71.283</v>
      </c>
      <c r="N13" s="0" t="n">
        <v>613.423</v>
      </c>
      <c r="O13" s="0" t="n">
        <v>3541.788</v>
      </c>
      <c r="P13" s="0" t="n">
        <v>8500.527</v>
      </c>
      <c r="Q13" s="0" t="n">
        <v>4646.583</v>
      </c>
      <c r="R13" s="0" t="n">
        <v>988.624</v>
      </c>
      <c r="S13" s="0" t="n">
        <v>80.209</v>
      </c>
      <c r="T13" s="0" t="n">
        <v>153.707</v>
      </c>
      <c r="U13" s="0" t="n">
        <v>32.621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9985.803</v>
      </c>
      <c r="C14" s="0" t="n">
        <v>6894.917</v>
      </c>
      <c r="D14" s="0" t="n">
        <v>3090.886</v>
      </c>
      <c r="E14" s="0" t="n">
        <v>30.9528036954064</v>
      </c>
      <c r="F14" s="0" t="n">
        <v>718.261</v>
      </c>
      <c r="G14" s="0" t="n">
        <v>7.19282164889494</v>
      </c>
      <c r="H14" s="0" t="n">
        <v>903.203</v>
      </c>
      <c r="I14" s="0" t="n">
        <v>719.138</v>
      </c>
      <c r="J14" s="0" t="n">
        <v>7.20160411736543</v>
      </c>
      <c r="K14" s="0" t="n">
        <v>4.7</v>
      </c>
      <c r="L14" s="0" t="n">
        <v>654.087</v>
      </c>
      <c r="M14" s="0" t="n">
        <v>76.219</v>
      </c>
      <c r="N14" s="0" t="n">
        <v>577.868</v>
      </c>
      <c r="O14" s="0" t="n">
        <v>3630</v>
      </c>
      <c r="P14" s="0" t="n">
        <v>7151.101</v>
      </c>
      <c r="Q14" s="0" t="n">
        <v>3233.706</v>
      </c>
      <c r="R14" s="0" t="n">
        <v>732.757</v>
      </c>
      <c r="T14" s="0" t="n">
        <v>149.257</v>
      </c>
      <c r="U14" s="0" t="n">
        <v>44.92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10119</v>
      </c>
      <c r="C15" s="0" t="n">
        <v>7303</v>
      </c>
      <c r="D15" s="0" t="n">
        <v>2816</v>
      </c>
      <c r="E15" s="0" t="n">
        <v>27.8288368415851</v>
      </c>
      <c r="F15" s="0" t="n">
        <v>535</v>
      </c>
      <c r="G15" s="0" t="n">
        <v>5.28708370392331</v>
      </c>
      <c r="H15" s="0" t="n">
        <v>721</v>
      </c>
      <c r="I15" s="0" t="n">
        <v>420</v>
      </c>
      <c r="J15" s="0" t="n">
        <v>4.15060776756597</v>
      </c>
      <c r="K15" s="0" t="n">
        <v>2.83</v>
      </c>
      <c r="L15" s="0" t="n">
        <v>599</v>
      </c>
      <c r="M15" s="0" t="n">
        <v>49</v>
      </c>
      <c r="N15" s="0" t="n">
        <v>550</v>
      </c>
      <c r="O15" s="0" t="n">
        <v>3984</v>
      </c>
      <c r="P15" s="0" t="n">
        <v>7773</v>
      </c>
      <c r="Q15" s="0" t="n">
        <v>3460.448</v>
      </c>
      <c r="R15" s="0" t="n">
        <v>625.609</v>
      </c>
      <c r="T15" s="0" t="n">
        <v>143.403682</v>
      </c>
      <c r="U15" s="0" t="n">
        <v>8.8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12401</v>
      </c>
      <c r="C16" s="0" t="n">
        <v>8727</v>
      </c>
      <c r="D16" s="0" t="n">
        <v>3674</v>
      </c>
      <c r="E16" s="0" t="n">
        <v>29.6266430126603</v>
      </c>
      <c r="F16" s="0" t="n">
        <v>852</v>
      </c>
      <c r="G16" s="0" t="n">
        <v>6.87041367631643</v>
      </c>
      <c r="H16" s="0" t="n">
        <v>1062</v>
      </c>
      <c r="I16" s="0" t="n">
        <v>660</v>
      </c>
      <c r="J16" s="0" t="n">
        <v>5.32215143940005</v>
      </c>
      <c r="K16" s="0" t="n">
        <v>4.51</v>
      </c>
      <c r="L16" s="0" t="n">
        <v>710</v>
      </c>
      <c r="M16" s="0" t="n">
        <v>79</v>
      </c>
      <c r="N16" s="0" t="n">
        <v>631</v>
      </c>
      <c r="O16" s="0" t="n">
        <v>4063</v>
      </c>
      <c r="P16" s="0" t="n">
        <v>8481</v>
      </c>
      <c r="Q16" s="0" t="n">
        <v>3805</v>
      </c>
      <c r="R16" s="0" t="n">
        <v>833</v>
      </c>
      <c r="T16" s="0" t="n">
        <v>141.772781</v>
      </c>
      <c r="U16" s="0" t="n">
        <v>78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12647</v>
      </c>
      <c r="C17" s="0" t="n">
        <v>8816</v>
      </c>
      <c r="D17" s="0" t="n">
        <v>3831</v>
      </c>
      <c r="E17" s="0" t="n">
        <v>30.2917687989247</v>
      </c>
      <c r="F17" s="0" t="n">
        <v>747</v>
      </c>
      <c r="G17" s="0" t="n">
        <v>5.90653910018186</v>
      </c>
      <c r="H17" s="0" t="n">
        <v>959</v>
      </c>
      <c r="I17" s="0" t="n">
        <v>566</v>
      </c>
      <c r="J17" s="0" t="n">
        <v>4.47536965288211</v>
      </c>
      <c r="K17" s="0" t="n">
        <v>3.95</v>
      </c>
      <c r="L17" s="0" t="n">
        <v>602</v>
      </c>
      <c r="M17" s="0" t="n">
        <v>96</v>
      </c>
      <c r="N17" s="0" t="n">
        <v>506</v>
      </c>
      <c r="O17" s="0" t="n">
        <v>4095</v>
      </c>
      <c r="P17" s="0" t="n">
        <v>8607</v>
      </c>
      <c r="Q17" s="0" t="n">
        <v>3936</v>
      </c>
      <c r="R17" s="0" t="n">
        <v>1046</v>
      </c>
      <c r="T17" s="0" t="n">
        <v>137.75567</v>
      </c>
      <c r="U17" s="0" t="n">
        <v>54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12339</v>
      </c>
      <c r="C18" s="0" t="n">
        <v>8479</v>
      </c>
      <c r="D18" s="0" t="n">
        <v>3860</v>
      </c>
      <c r="E18" s="0" t="n">
        <v>31.2829240619175</v>
      </c>
      <c r="F18" s="0" t="n">
        <v>615</v>
      </c>
      <c r="G18" s="0" t="n">
        <v>4.9841964502796</v>
      </c>
      <c r="H18" s="0" t="n">
        <v>863</v>
      </c>
      <c r="I18" s="0" t="n">
        <v>436</v>
      </c>
      <c r="J18" s="0" t="n">
        <v>3.53351162979172</v>
      </c>
      <c r="K18" s="0" t="n">
        <v>3.18</v>
      </c>
      <c r="L18" s="0" t="n">
        <v>500</v>
      </c>
      <c r="M18" s="0" t="n">
        <v>147</v>
      </c>
      <c r="N18" s="0" t="n">
        <v>353</v>
      </c>
      <c r="O18" s="0" t="n">
        <v>4289</v>
      </c>
      <c r="P18" s="0" t="n">
        <v>10573</v>
      </c>
      <c r="Q18" s="0" t="n">
        <v>5420</v>
      </c>
      <c r="R18" s="0" t="n">
        <v>2087</v>
      </c>
      <c r="T18" s="0" t="n">
        <v>131.748171</v>
      </c>
      <c r="U18" s="0" t="n">
        <v>39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12673</v>
      </c>
      <c r="C19" s="0" t="n">
        <v>8657</v>
      </c>
      <c r="D19" s="0" t="n">
        <v>4016</v>
      </c>
      <c r="E19" s="0" t="n">
        <v>31.6894184486704</v>
      </c>
      <c r="F19" s="0" t="n">
        <v>621</v>
      </c>
      <c r="G19" s="0" t="n">
        <v>4.90018148820327</v>
      </c>
      <c r="H19" s="0" t="n">
        <v>918</v>
      </c>
      <c r="I19" s="0" t="n">
        <v>398</v>
      </c>
      <c r="J19" s="0" t="n">
        <v>3.14053499566006</v>
      </c>
      <c r="K19" s="0" t="n">
        <v>3.07</v>
      </c>
      <c r="L19" s="0" t="n">
        <v>848</v>
      </c>
      <c r="M19" s="0" t="n">
        <v>148</v>
      </c>
      <c r="N19" s="0" t="n">
        <v>700</v>
      </c>
      <c r="O19" s="0" t="n">
        <v>4031</v>
      </c>
      <c r="P19" s="0" t="n">
        <v>10218</v>
      </c>
      <c r="Q19" s="0" t="n">
        <v>5381</v>
      </c>
      <c r="R19" s="0" t="n">
        <v>1886</v>
      </c>
      <c r="T19" s="0" t="n">
        <v>127.779228</v>
      </c>
      <c r="U19" s="0" t="n">
        <v>39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13184</v>
      </c>
      <c r="C20" s="0" t="n">
        <v>9079</v>
      </c>
      <c r="D20" s="0" t="n">
        <v>4105</v>
      </c>
      <c r="E20" s="0" t="n">
        <v>31.1362257281553</v>
      </c>
      <c r="F20" s="0" t="n">
        <v>653</v>
      </c>
      <c r="G20" s="0" t="n">
        <v>4.95297330097087</v>
      </c>
      <c r="H20" s="0" t="n">
        <v>964</v>
      </c>
      <c r="I20" s="0" t="n">
        <v>419</v>
      </c>
      <c r="J20" s="0" t="n">
        <v>3.17809466019418</v>
      </c>
      <c r="K20" s="0" t="n">
        <v>3.29</v>
      </c>
      <c r="L20" s="0" t="n">
        <v>712</v>
      </c>
      <c r="M20" s="0" t="n">
        <v>139</v>
      </c>
      <c r="N20" s="0" t="n">
        <v>573</v>
      </c>
      <c r="O20" s="0" t="n">
        <v>3899</v>
      </c>
      <c r="P20" s="0" t="n">
        <v>11215</v>
      </c>
      <c r="Q20" s="0" t="n">
        <v>6421</v>
      </c>
      <c r="R20" s="0" t="n">
        <v>2343</v>
      </c>
      <c r="T20" s="0" t="n">
        <v>121.717876</v>
      </c>
      <c r="U20" s="0" t="n">
        <v>39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85.99</v>
      </c>
    </row>
    <row r="3" customFormat="false" ht="15" hidden="false" customHeight="false" outlineLevel="0" collapsed="false">
      <c r="A3" s="0" t="s">
        <v>85</v>
      </c>
      <c r="B3" s="3" t="n">
        <v>112.9</v>
      </c>
    </row>
    <row r="4" customFormat="false" ht="15" hidden="false" customHeight="false" outlineLevel="0" collapsed="false">
      <c r="A4" s="0" t="s">
        <v>86</v>
      </c>
      <c r="B4" s="3" t="n">
        <v>3305</v>
      </c>
    </row>
    <row r="5" customFormat="false" ht="15" hidden="false" customHeight="false" outlineLevel="0" collapsed="false">
      <c r="A5" s="0" t="s">
        <v>87</v>
      </c>
      <c r="B5" s="3" t="n">
        <v>-1566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13184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2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106</v>
      </c>
      <c r="C14" s="3" t="n">
        <v>7.6</v>
      </c>
      <c r="D14" s="3" t="n">
        <v>7.5</v>
      </c>
      <c r="E14" s="3" t="n">
        <v>7.3</v>
      </c>
      <c r="F14" s="3" t="n">
        <v>7.2</v>
      </c>
      <c r="G14" s="3" t="n">
        <v>7.1</v>
      </c>
      <c r="H14" s="3" t="n">
        <v>7</v>
      </c>
      <c r="I14" s="3" t="n">
        <v>7</v>
      </c>
      <c r="J14" s="3" t="n">
        <v>7</v>
      </c>
      <c r="K14" s="3" t="n">
        <v>7</v>
      </c>
      <c r="L14" s="3" t="n">
        <v>7</v>
      </c>
    </row>
    <row r="15" customFormat="false" ht="15" hidden="false" customHeight="false" outlineLevel="0" collapsed="false">
      <c r="A15" s="0" t="s">
        <v>107</v>
      </c>
      <c r="C15" s="3" t="n">
        <v>0.41</v>
      </c>
      <c r="D15" s="3" t="n">
        <v>0.41</v>
      </c>
      <c r="E15" s="3" t="n">
        <v>0.41</v>
      </c>
      <c r="F15" s="3" t="n">
        <v>0.41</v>
      </c>
      <c r="G15" s="3" t="n">
        <v>0.41</v>
      </c>
      <c r="H15" s="3" t="n">
        <v>0.41</v>
      </c>
      <c r="I15" s="3" t="n">
        <v>0.41</v>
      </c>
      <c r="J15" s="3" t="n">
        <v>0.41</v>
      </c>
      <c r="K15" s="3" t="n">
        <v>0.41</v>
      </c>
      <c r="L15" s="3" t="n">
        <v>0.41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2.3</v>
      </c>
      <c r="D17" s="3" t="n">
        <v>2.2</v>
      </c>
      <c r="E17" s="3" t="n">
        <v>2.1</v>
      </c>
      <c r="F17" s="3" t="n">
        <v>2</v>
      </c>
      <c r="G17" s="3" t="n">
        <v>1.9</v>
      </c>
      <c r="H17" s="3" t="n">
        <v>1.8</v>
      </c>
      <c r="I17" s="3" t="n">
        <v>1.7</v>
      </c>
      <c r="J17" s="3" t="n">
        <v>1.6</v>
      </c>
      <c r="K17" s="3" t="n">
        <v>1.4</v>
      </c>
      <c r="L17" s="3" t="n">
        <v>1.3</v>
      </c>
    </row>
    <row r="18" customFormat="false" ht="15" hidden="false" customHeight="false" outlineLevel="0" collapsed="false">
      <c r="A18" s="0" t="s">
        <v>110</v>
      </c>
      <c r="C18" s="3" t="n">
        <v>1.1</v>
      </c>
      <c r="D18" s="3" t="n">
        <v>1.1</v>
      </c>
      <c r="E18" s="3" t="n">
        <v>1.1</v>
      </c>
      <c r="F18" s="3" t="n">
        <v>1.1</v>
      </c>
      <c r="G18" s="3" t="n">
        <v>1.1</v>
      </c>
      <c r="H18" s="3" t="n">
        <v>1.1</v>
      </c>
      <c r="I18" s="3" t="n">
        <v>1.1</v>
      </c>
      <c r="J18" s="3" t="n">
        <v>1.1</v>
      </c>
      <c r="K18" s="3" t="n">
        <v>1.1</v>
      </c>
      <c r="L18" s="3" t="n">
        <v>1.1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7.5</v>
      </c>
    </row>
    <row r="21" customFormat="false" ht="15" hidden="false" customHeight="false" outlineLevel="0" collapsed="false">
      <c r="A21" s="0" t="s">
        <v>113</v>
      </c>
      <c r="B21" s="3" t="n">
        <v>1.5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-18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5</v>
      </c>
      <c r="D27" s="3" t="n">
        <v>4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7.9</v>
      </c>
      <c r="D28" s="3" t="n">
        <v>8.1</v>
      </c>
      <c r="E28" s="3" t="n">
        <v>8.3</v>
      </c>
      <c r="F28" s="3" t="n">
        <v>8.4</v>
      </c>
      <c r="G28" s="3" t="n">
        <v>8.5</v>
      </c>
      <c r="H28" s="3" t="n">
        <v>8.5</v>
      </c>
      <c r="I28" s="3" t="n">
        <v>8.5</v>
      </c>
      <c r="J28" s="3" t="n">
        <v>8.5</v>
      </c>
      <c r="K28" s="3" t="n">
        <v>8.5</v>
      </c>
      <c r="L28" s="3" t="n">
        <v>8.5</v>
      </c>
    </row>
    <row r="29" customFormat="false" ht="15" hidden="false" customHeight="false" outlineLevel="0" collapsed="false">
      <c r="A29" s="0" t="s">
        <v>107</v>
      </c>
      <c r="C29" s="3" t="n">
        <v>0.41</v>
      </c>
      <c r="D29" s="3" t="n">
        <v>0.41</v>
      </c>
      <c r="E29" s="3" t="n">
        <v>0.41</v>
      </c>
      <c r="F29" s="3" t="n">
        <v>0.41</v>
      </c>
      <c r="G29" s="3" t="n">
        <v>0.41</v>
      </c>
      <c r="H29" s="3" t="n">
        <v>0.41</v>
      </c>
      <c r="I29" s="3" t="n">
        <v>0.41</v>
      </c>
      <c r="J29" s="3" t="n">
        <v>0.41</v>
      </c>
      <c r="K29" s="3" t="n">
        <v>0.41</v>
      </c>
      <c r="L29" s="3" t="n">
        <v>0.41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2.3</v>
      </c>
      <c r="D31" s="3" t="n">
        <v>2.2</v>
      </c>
      <c r="E31" s="3" t="n">
        <v>2.1</v>
      </c>
      <c r="F31" s="3" t="n">
        <v>2</v>
      </c>
      <c r="G31" s="3" t="n">
        <v>1.9</v>
      </c>
      <c r="H31" s="3" t="n">
        <v>1.8</v>
      </c>
      <c r="I31" s="3" t="n">
        <v>1.7</v>
      </c>
      <c r="J31" s="3" t="n">
        <v>1.6</v>
      </c>
      <c r="K31" s="3" t="n">
        <v>1.4</v>
      </c>
      <c r="L31" s="3" t="n">
        <v>1.3</v>
      </c>
    </row>
    <row r="32" customFormat="false" ht="15" hidden="false" customHeight="false" outlineLevel="0" collapsed="false">
      <c r="A32" s="0" t="s">
        <v>110</v>
      </c>
      <c r="C32" s="3" t="n">
        <v>1.1</v>
      </c>
      <c r="D32" s="3" t="n">
        <v>1.1</v>
      </c>
      <c r="E32" s="3" t="n">
        <v>1.1</v>
      </c>
      <c r="F32" s="3" t="n">
        <v>1.1</v>
      </c>
      <c r="G32" s="3" t="n">
        <v>1.1</v>
      </c>
      <c r="H32" s="3" t="n">
        <v>1.1</v>
      </c>
      <c r="I32" s="3" t="n">
        <v>1.1</v>
      </c>
      <c r="J32" s="3" t="n">
        <v>1.1</v>
      </c>
      <c r="K32" s="3" t="n">
        <v>1.1</v>
      </c>
      <c r="L32" s="3" t="n">
        <v>1.1</v>
      </c>
    </row>
    <row r="33" customFormat="false" ht="15" hidden="false" customHeight="false" outlineLevel="0" collapsed="false">
      <c r="A33" s="0" t="s">
        <v>111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7.5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16</v>
      </c>
    </row>
    <row r="37" customFormat="false" ht="15" hidden="false" customHeight="false" outlineLevel="0" collapsed="false">
      <c r="A37" s="0" t="s">
        <v>115</v>
      </c>
      <c r="B37" s="3" t="n">
        <v>-15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6</v>
      </c>
      <c r="D41" s="3" t="n">
        <v>5</v>
      </c>
      <c r="E41" s="3" t="n">
        <v>5</v>
      </c>
      <c r="F41" s="3" t="n">
        <v>4.5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8</v>
      </c>
      <c r="D42" s="3" t="n">
        <v>8.4</v>
      </c>
      <c r="E42" s="3" t="n">
        <v>8.7</v>
      </c>
      <c r="F42" s="3" t="n">
        <v>9</v>
      </c>
      <c r="G42" s="3" t="n">
        <v>9.2</v>
      </c>
      <c r="H42" s="3" t="n">
        <v>9.3</v>
      </c>
      <c r="I42" s="3" t="n">
        <v>9.3</v>
      </c>
      <c r="J42" s="3" t="n">
        <v>9.3</v>
      </c>
      <c r="K42" s="3" t="n">
        <v>9.3</v>
      </c>
      <c r="L42" s="3" t="n">
        <v>9.3</v>
      </c>
    </row>
    <row r="43" customFormat="false" ht="15" hidden="false" customHeight="false" outlineLevel="0" collapsed="false">
      <c r="A43" s="0" t="s">
        <v>107</v>
      </c>
      <c r="C43" s="3" t="n">
        <v>0.41</v>
      </c>
      <c r="D43" s="3" t="n">
        <v>0.41</v>
      </c>
      <c r="E43" s="3" t="n">
        <v>0.41</v>
      </c>
      <c r="F43" s="3" t="n">
        <v>0.41</v>
      </c>
      <c r="G43" s="3" t="n">
        <v>0.41</v>
      </c>
      <c r="H43" s="3" t="n">
        <v>0.41</v>
      </c>
      <c r="I43" s="3" t="n">
        <v>0.41</v>
      </c>
      <c r="J43" s="3" t="n">
        <v>0.41</v>
      </c>
      <c r="K43" s="3" t="n">
        <v>0.41</v>
      </c>
      <c r="L43" s="3" t="n">
        <v>0.41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2.3</v>
      </c>
      <c r="D45" s="3" t="n">
        <v>2.2</v>
      </c>
      <c r="E45" s="3" t="n">
        <v>2.1</v>
      </c>
      <c r="F45" s="3" t="n">
        <v>2</v>
      </c>
      <c r="G45" s="3" t="n">
        <v>1.9</v>
      </c>
      <c r="H45" s="3" t="n">
        <v>1.8</v>
      </c>
      <c r="I45" s="3" t="n">
        <v>1.7</v>
      </c>
      <c r="J45" s="3" t="n">
        <v>1.6</v>
      </c>
      <c r="K45" s="3" t="n">
        <v>1.4</v>
      </c>
      <c r="L45" s="3" t="n">
        <v>1.3</v>
      </c>
    </row>
    <row r="46" customFormat="false" ht="15" hidden="false" customHeight="false" outlineLevel="0" collapsed="false">
      <c r="A46" s="0" t="s">
        <v>110</v>
      </c>
      <c r="C46" s="3" t="n">
        <v>1.1</v>
      </c>
      <c r="D46" s="3" t="n">
        <v>1.1</v>
      </c>
      <c r="E46" s="3" t="n">
        <v>1.1</v>
      </c>
      <c r="F46" s="3" t="n">
        <v>1.1</v>
      </c>
      <c r="G46" s="3" t="n">
        <v>1.1</v>
      </c>
      <c r="H46" s="3" t="n">
        <v>1.1</v>
      </c>
      <c r="I46" s="3" t="n">
        <v>1.1</v>
      </c>
      <c r="J46" s="3" t="n">
        <v>1.1</v>
      </c>
      <c r="K46" s="3" t="n">
        <v>1.1</v>
      </c>
      <c r="L46" s="3" t="n">
        <v>1.1</v>
      </c>
    </row>
    <row r="47" customFormat="false" ht="15" hidden="false" customHeight="false" outlineLevel="0" collapsed="false">
      <c r="A47" s="0" t="s">
        <v>111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7.5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-12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13184</v>
      </c>
      <c r="C6" s="0" t="n">
        <f aca="false">B6*(1+C5/100)</f>
        <v>13711.36</v>
      </c>
      <c r="D6" s="0" t="n">
        <f aca="false">C6*(1+D5/100)</f>
        <v>13985.5872</v>
      </c>
      <c r="E6" s="0" t="n">
        <f aca="false">D6*(1+E5/100)</f>
        <v>14195.371008</v>
      </c>
      <c r="F6" s="0" t="n">
        <f aca="false">E6*(1+F5/100)</f>
        <v>14408.30157312</v>
      </c>
      <c r="G6" s="0" t="n">
        <f aca="false">F6*(1+G5/100)</f>
        <v>14624.4260967168</v>
      </c>
      <c r="H6" s="0" t="n">
        <f aca="false">G6*(1+H5/100)</f>
        <v>14843.7924881675</v>
      </c>
      <c r="I6" s="0" t="n">
        <f aca="false">H6*(1+I5/100)</f>
        <v>15066.4493754901</v>
      </c>
      <c r="J6" s="0" t="n">
        <f aca="false">I6*(1+J5/100)</f>
        <v>15292.4461161224</v>
      </c>
      <c r="K6" s="0" t="n">
        <f aca="false">J6*(1+K5/100)</f>
        <v>15521.8328078642</v>
      </c>
      <c r="L6" s="0" t="n">
        <f aca="false">K6*(1+L5/100)</f>
        <v>15754.6602999822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7.6</v>
      </c>
      <c r="D7" s="4" t="n">
        <f aca="false">Assumptions!D14</f>
        <v>7.5</v>
      </c>
      <c r="E7" s="4" t="n">
        <f aca="false">Assumptions!E14</f>
        <v>7.3</v>
      </c>
      <c r="F7" s="4" t="n">
        <f aca="false">Assumptions!F14</f>
        <v>7.2</v>
      </c>
      <c r="G7" s="4" t="n">
        <f aca="false">Assumptions!G14</f>
        <v>7.1</v>
      </c>
      <c r="H7" s="4" t="n">
        <f aca="false">Assumptions!H14</f>
        <v>7</v>
      </c>
      <c r="I7" s="4" t="n">
        <f aca="false">Assumptions!I14</f>
        <v>7</v>
      </c>
      <c r="J7" s="4" t="n">
        <f aca="false">Assumptions!J14</f>
        <v>7</v>
      </c>
      <c r="K7" s="4" t="n">
        <f aca="false">Assumptions!K14</f>
        <v>7</v>
      </c>
      <c r="L7" s="4" t="n">
        <f aca="false">Assumptions!L14</f>
        <v>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1042.06336</v>
      </c>
      <c r="D8" s="0" t="n">
        <f aca="false">D6*D7/100</f>
        <v>1048.91904</v>
      </c>
      <c r="E8" s="0" t="n">
        <f aca="false">E6*E7/100</f>
        <v>1036.262083584</v>
      </c>
      <c r="F8" s="0" t="n">
        <f aca="false">F6*F7/100</f>
        <v>1037.39771326464</v>
      </c>
      <c r="G8" s="0" t="n">
        <f aca="false">G6*G7/100</f>
        <v>1038.33425286689</v>
      </c>
      <c r="H8" s="0" t="n">
        <f aca="false">H6*H7/100</f>
        <v>1039.06547417173</v>
      </c>
      <c r="I8" s="0" t="n">
        <f aca="false">I6*I7/100</f>
        <v>1054.6514562843</v>
      </c>
      <c r="J8" s="0" t="n">
        <f aca="false">J6*J7/100</f>
        <v>1070.47122812857</v>
      </c>
      <c r="K8" s="0" t="n">
        <f aca="false">K6*K7/100</f>
        <v>1086.5282965505</v>
      </c>
      <c r="L8" s="0" t="n">
        <f aca="false">L6*L7/100</f>
        <v>1102.82622099875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0.41</v>
      </c>
      <c r="D9" s="4" t="n">
        <f aca="false">Assumptions!D15</f>
        <v>0.41</v>
      </c>
      <c r="E9" s="4" t="n">
        <f aca="false">Assumptions!E15</f>
        <v>0.41</v>
      </c>
      <c r="F9" s="4" t="n">
        <f aca="false">Assumptions!F15</f>
        <v>0.41</v>
      </c>
      <c r="G9" s="4" t="n">
        <f aca="false">Assumptions!G15</f>
        <v>0.41</v>
      </c>
      <c r="H9" s="4" t="n">
        <f aca="false">Assumptions!H15</f>
        <v>0.41</v>
      </c>
      <c r="I9" s="4" t="n">
        <f aca="false">Assumptions!I15</f>
        <v>0.41</v>
      </c>
      <c r="J9" s="4" t="n">
        <f aca="false">Assumptions!J15</f>
        <v>0.41</v>
      </c>
      <c r="K9" s="4" t="n">
        <f aca="false">Assumptions!K15</f>
        <v>0.41</v>
      </c>
      <c r="L9" s="4" t="n">
        <f aca="false">Assumptions!L15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-56.216576</v>
      </c>
      <c r="D10" s="0" t="n">
        <f aca="false">-D6*D9/100</f>
        <v>-57.34090752</v>
      </c>
      <c r="E10" s="0" t="n">
        <f aca="false">-E6*E9/100</f>
        <v>-58.2010211328</v>
      </c>
      <c r="F10" s="0" t="n">
        <f aca="false">-F6*F9/100</f>
        <v>-59.074036449792</v>
      </c>
      <c r="G10" s="0" t="n">
        <f aca="false">-G6*G9/100</f>
        <v>-59.9601469965389</v>
      </c>
      <c r="H10" s="0" t="n">
        <f aca="false">-H6*H9/100</f>
        <v>-60.8595492014869</v>
      </c>
      <c r="I10" s="0" t="n">
        <f aca="false">-I6*I9/100</f>
        <v>-61.7724424395092</v>
      </c>
      <c r="J10" s="0" t="n">
        <f aca="false">-J6*J9/100</f>
        <v>-62.6990290761019</v>
      </c>
      <c r="K10" s="0" t="n">
        <f aca="false">-K6*K9/100</f>
        <v>-63.6395145122434</v>
      </c>
      <c r="L10" s="0" t="n">
        <f aca="false">-L6*L9/100</f>
        <v>-64.594107229927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985.846784</v>
      </c>
      <c r="D11" s="0" t="n">
        <f aca="false">D8+D10+D24</f>
        <v>991.57813248</v>
      </c>
      <c r="E11" s="0" t="n">
        <f aca="false">E8+E10+E24</f>
        <v>978.0610624512</v>
      </c>
      <c r="F11" s="0" t="n">
        <f aca="false">F8+F10+F24</f>
        <v>978.323676814848</v>
      </c>
      <c r="G11" s="0" t="n">
        <f aca="false">G8+G10+G24</f>
        <v>978.374105870354</v>
      </c>
      <c r="H11" s="0" t="n">
        <f aca="false">H8+H10+H24</f>
        <v>978.205924970241</v>
      </c>
      <c r="I11" s="0" t="n">
        <f aca="false">I8+I10+I24</f>
        <v>992.879013844795</v>
      </c>
      <c r="J11" s="0" t="n">
        <f aca="false">J8+J10+J24</f>
        <v>1007.77219905247</v>
      </c>
      <c r="K11" s="0" t="n">
        <f aca="false">K8+K10+K24</f>
        <v>1022.88878203825</v>
      </c>
      <c r="L11" s="0" t="n">
        <f aca="false">L8+L10+L24</f>
        <v>1038.23211376883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-315.36128</v>
      </c>
      <c r="D12" s="4" t="n">
        <f aca="false">-D6*Assumptions!D17/100</f>
        <v>-307.6829184</v>
      </c>
      <c r="E12" s="4" t="n">
        <f aca="false">-E6*Assumptions!E17/100</f>
        <v>-298.102791168</v>
      </c>
      <c r="F12" s="4" t="n">
        <f aca="false">-F6*Assumptions!F17/100</f>
        <v>-288.1660314624</v>
      </c>
      <c r="G12" s="4" t="n">
        <f aca="false">-G6*Assumptions!G17/100</f>
        <v>-277.864095837619</v>
      </c>
      <c r="H12" s="4" t="n">
        <f aca="false">-H6*Assumptions!H17/100</f>
        <v>-267.188264787016</v>
      </c>
      <c r="I12" s="4" t="n">
        <f aca="false">-I6*Assumptions!I17/100</f>
        <v>-256.129639383331</v>
      </c>
      <c r="J12" s="4" t="n">
        <f aca="false">-J6*Assumptions!J17/100</f>
        <v>-244.679137857959</v>
      </c>
      <c r="K12" s="4" t="n">
        <f aca="false">-K6*Assumptions!K17/100</f>
        <v>-217.305659310099</v>
      </c>
      <c r="L12" s="4" t="n">
        <f aca="false">-L6*Assumptions!L17/100</f>
        <v>-204.810583899769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670.485504</v>
      </c>
      <c r="D13" s="0" t="n">
        <f aca="false">D11+D12</f>
        <v>683.89521408</v>
      </c>
      <c r="E13" s="0" t="n">
        <f aca="false">E11+E12</f>
        <v>679.9582712832</v>
      </c>
      <c r="F13" s="0" t="n">
        <f aca="false">F11+F12</f>
        <v>690.157645352448</v>
      </c>
      <c r="G13" s="0" t="n">
        <f aca="false">G11+G12</f>
        <v>700.510010032735</v>
      </c>
      <c r="H13" s="0" t="n">
        <f aca="false">H11+H12</f>
        <v>711.017660183225</v>
      </c>
      <c r="I13" s="0" t="n">
        <f aca="false">I11+I12</f>
        <v>736.749374461464</v>
      </c>
      <c r="J13" s="0" t="n">
        <f aca="false">J11+J12</f>
        <v>763.093061194508</v>
      </c>
      <c r="K13" s="0" t="n">
        <f aca="false">K11+K12</f>
        <v>805.583122728154</v>
      </c>
      <c r="L13" s="0" t="n">
        <f aca="false">L11+L12</f>
        <v>833.421529869059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516.27383808</v>
      </c>
      <c r="D15" s="0" t="n">
        <f aca="false">D13-MAX(0,D13)*D14/100</f>
        <v>526.5993148416</v>
      </c>
      <c r="E15" s="0" t="n">
        <f aca="false">E13-MAX(0,E13)*E14/100</f>
        <v>523.567868888064</v>
      </c>
      <c r="F15" s="0" t="n">
        <f aca="false">F13-MAX(0,F13)*F14/100</f>
        <v>531.421386921385</v>
      </c>
      <c r="G15" s="0" t="n">
        <f aca="false">G13-MAX(0,G13)*G14/100</f>
        <v>539.392707725206</v>
      </c>
      <c r="H15" s="0" t="n">
        <f aca="false">H13-MAX(0,H13)*H14/100</f>
        <v>547.483598341084</v>
      </c>
      <c r="I15" s="0" t="n">
        <f aca="false">I13-MAX(0,I13)*I14/100</f>
        <v>567.297018335327</v>
      </c>
      <c r="J15" s="0" t="n">
        <f aca="false">J13-MAX(0,J13)*J14/100</f>
        <v>587.581657119771</v>
      </c>
      <c r="K15" s="0" t="n">
        <f aca="false">K13-MAX(0,K13)*K14/100</f>
        <v>620.299004500679</v>
      </c>
      <c r="L15" s="0" t="n">
        <f aca="false">L13-MAX(0,L13)*L14/100</f>
        <v>641.734577999175</v>
      </c>
    </row>
    <row r="16" customFormat="false" ht="15" hidden="false" customHeight="false" outlineLevel="0" collapsed="false">
      <c r="A16" s="0" t="s">
        <v>127</v>
      </c>
      <c r="C16" s="0" t="n">
        <f aca="false">-C12</f>
        <v>315.36128</v>
      </c>
      <c r="D16" s="0" t="n">
        <f aca="false">-D12</f>
        <v>307.6829184</v>
      </c>
      <c r="E16" s="0" t="n">
        <f aca="false">-E12</f>
        <v>298.102791168</v>
      </c>
      <c r="F16" s="0" t="n">
        <f aca="false">-F12</f>
        <v>288.1660314624</v>
      </c>
      <c r="G16" s="0" t="n">
        <f aca="false">-G12</f>
        <v>277.864095837619</v>
      </c>
      <c r="H16" s="0" t="n">
        <f aca="false">-H12</f>
        <v>267.188264787016</v>
      </c>
      <c r="I16" s="0" t="n">
        <f aca="false">-I12</f>
        <v>256.129639383331</v>
      </c>
      <c r="J16" s="0" t="n">
        <f aca="false">-J12</f>
        <v>244.679137857959</v>
      </c>
      <c r="K16" s="0" t="n">
        <f aca="false">-K12</f>
        <v>217.305659310099</v>
      </c>
      <c r="L16" s="0" t="n">
        <f aca="false">-L12</f>
        <v>204.810583899769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-150.82496</v>
      </c>
      <c r="D17" s="4" t="n">
        <f aca="false">-D6*Assumptions!D18/100</f>
        <v>-153.8414592</v>
      </c>
      <c r="E17" s="4" t="n">
        <f aca="false">-E6*Assumptions!E18/100</f>
        <v>-156.149081088</v>
      </c>
      <c r="F17" s="4" t="n">
        <f aca="false">-F6*Assumptions!F18/100</f>
        <v>-158.49131730432</v>
      </c>
      <c r="G17" s="4" t="n">
        <f aca="false">-G6*Assumptions!G18/100</f>
        <v>-160.868687063885</v>
      </c>
      <c r="H17" s="4" t="n">
        <f aca="false">-H6*Assumptions!H18/100</f>
        <v>-163.281717369843</v>
      </c>
      <c r="I17" s="4" t="n">
        <f aca="false">-I6*Assumptions!I18/100</f>
        <v>-165.730943130391</v>
      </c>
      <c r="J17" s="4" t="n">
        <f aca="false">-J6*Assumptions!J18/100</f>
        <v>-168.216907277346</v>
      </c>
      <c r="K17" s="4" t="n">
        <f aca="false">-K6*Assumptions!K18/100</f>
        <v>-170.740160886507</v>
      </c>
      <c r="L17" s="4" t="n">
        <f aca="false">-L6*Assumptions!L18/100</f>
        <v>-173.301263299804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-94.9248000000001</v>
      </c>
      <c r="D18" s="4" t="n">
        <f aca="false">(D6-C6)*Assumptions!$B$23/100</f>
        <v>-49.3608959999999</v>
      </c>
      <c r="E18" s="4" t="n">
        <f aca="false">(E6-D6)*Assumptions!$B$23/100</f>
        <v>-37.7610854399997</v>
      </c>
      <c r="F18" s="4" t="n">
        <f aca="false">(F6-E6)*Assumptions!$B$23/100</f>
        <v>-38.3275017215999</v>
      </c>
      <c r="G18" s="4" t="n">
        <f aca="false">(G6-F6)*Assumptions!$B$23/100</f>
        <v>-38.9024142474237</v>
      </c>
      <c r="H18" s="4" t="n">
        <f aca="false">(H6-G6)*Assumptions!$B$23/100</f>
        <v>-39.4859504611351</v>
      </c>
      <c r="I18" s="4" t="n">
        <f aca="false">(I6-H6)*Assumptions!$B$23/100</f>
        <v>-40.0782397180521</v>
      </c>
      <c r="J18" s="4" t="n">
        <f aca="false">(J6-I6)*Assumptions!$B$23/100</f>
        <v>-40.6794133138227</v>
      </c>
      <c r="K18" s="4" t="n">
        <f aca="false">(K6-J6)*Assumptions!$B$23/100</f>
        <v>-41.2896045135302</v>
      </c>
      <c r="L18" s="4" t="n">
        <f aca="false">(L6-K6)*Assumptions!$B$23/100</f>
        <v>-41.9089485812331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585.88535808</v>
      </c>
      <c r="D19" s="0" t="n">
        <f aca="false">D15+D16+D17+D18</f>
        <v>631.0798780416</v>
      </c>
      <c r="E19" s="0" t="n">
        <f aca="false">E15+E16+E17+E18</f>
        <v>627.760493528064</v>
      </c>
      <c r="F19" s="0" t="n">
        <f aca="false">F15+F16+F17+F18</f>
        <v>622.768599357865</v>
      </c>
      <c r="G19" s="0" t="n">
        <f aca="false">G15+G16+G17+G18</f>
        <v>617.485702251516</v>
      </c>
      <c r="H19" s="0" t="n">
        <f aca="false">H15+H16+H17+H18</f>
        <v>611.904195297121</v>
      </c>
      <c r="I19" s="0" t="n">
        <f aca="false">I15+I16+I17+I18</f>
        <v>617.617474870216</v>
      </c>
      <c r="J19" s="0" t="n">
        <f aca="false">J15+J16+J17+J18</f>
        <v>623.364474386561</v>
      </c>
      <c r="K19" s="0" t="n">
        <f aca="false">K15+K16+K17+K18</f>
        <v>625.574898410741</v>
      </c>
      <c r="L19" s="0" t="n">
        <f aca="false">L15+L16+L17+L18</f>
        <v>631.334950017906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545.009635423255</v>
      </c>
      <c r="D21" s="0" t="n">
        <f aca="false">D19*D20</f>
        <v>546.093999386998</v>
      </c>
      <c r="E21" s="0" t="n">
        <f aca="false">E19*E20</f>
        <v>505.32244438598</v>
      </c>
      <c r="F21" s="0" t="n">
        <f aca="false">F19*F20</f>
        <v>466.32945712726</v>
      </c>
      <c r="G21" s="0" t="n">
        <f aca="false">G19*G20</f>
        <v>430.114996256067</v>
      </c>
      <c r="H21" s="0" t="n">
        <f aca="false">H19*H20</f>
        <v>396.490371539964</v>
      </c>
      <c r="I21" s="0" t="n">
        <f aca="false">I19*I20</f>
        <v>372.271959858198</v>
      </c>
      <c r="J21" s="0" t="n">
        <f aca="false">J19*J20</f>
        <v>349.521853006635</v>
      </c>
      <c r="K21" s="0" t="n">
        <f aca="false">K19*K20</f>
        <v>326.289528087199</v>
      </c>
      <c r="L21" s="0" t="n">
        <f aca="false">L19*L20</f>
        <v>306.319884473197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4243.76412954475</v>
      </c>
    </row>
    <row r="31" customFormat="false" ht="15" hidden="false" customHeight="false" outlineLevel="0" collapsed="false">
      <c r="A31" s="0" t="s">
        <v>136</v>
      </c>
      <c r="B31" s="0" t="n">
        <f aca="false">L19</f>
        <v>631.334950017906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10680.0829044696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8838.68930025069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8838.68930025069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4288.47838262475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8532.24251216951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3661.24251216951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32.4290745099159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-0.622873886383115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411.121163083618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530.179644358242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40.7665484465135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4746.70351309759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-5.32162635851618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13184</v>
      </c>
      <c r="C6" s="0" t="n">
        <f aca="false">B6*(1+C5/100)</f>
        <v>13843.2</v>
      </c>
      <c r="D6" s="0" t="n">
        <f aca="false">C6*(1+D5/100)</f>
        <v>14396.928</v>
      </c>
      <c r="E6" s="0" t="n">
        <f aca="false">D6*(1+E5/100)</f>
        <v>14972.80512</v>
      </c>
      <c r="F6" s="0" t="n">
        <f aca="false">E6*(1+F5/100)</f>
        <v>15571.7173248</v>
      </c>
      <c r="G6" s="0" t="n">
        <f aca="false">F6*(1+G5/100)</f>
        <v>16116.727431168</v>
      </c>
      <c r="H6" s="0" t="n">
        <f aca="false">G6*(1+H5/100)</f>
        <v>16680.8128912589</v>
      </c>
      <c r="I6" s="0" t="n">
        <f aca="false">H6*(1+I5/100)</f>
        <v>17181.2372779967</v>
      </c>
      <c r="J6" s="0" t="n">
        <f aca="false">I6*(1+J5/100)</f>
        <v>17696.6743963366</v>
      </c>
      <c r="K6" s="0" t="n">
        <f aca="false">J6*(1+K5/100)</f>
        <v>18227.5746282267</v>
      </c>
      <c r="L6" s="0" t="n">
        <f aca="false">K6*(1+L5/100)</f>
        <v>18683.2639939323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7.9</v>
      </c>
      <c r="D7" s="4" t="n">
        <f aca="false">Assumptions!D28</f>
        <v>8.1</v>
      </c>
      <c r="E7" s="4" t="n">
        <f aca="false">Assumptions!E28</f>
        <v>8.3</v>
      </c>
      <c r="F7" s="4" t="n">
        <f aca="false">Assumptions!F28</f>
        <v>8.4</v>
      </c>
      <c r="G7" s="4" t="n">
        <f aca="false">Assumptions!G28</f>
        <v>8.5</v>
      </c>
      <c r="H7" s="4" t="n">
        <f aca="false">Assumptions!H28</f>
        <v>8.5</v>
      </c>
      <c r="I7" s="4" t="n">
        <f aca="false">Assumptions!I28</f>
        <v>8.5</v>
      </c>
      <c r="J7" s="4" t="n">
        <f aca="false">Assumptions!J28</f>
        <v>8.5</v>
      </c>
      <c r="K7" s="4" t="n">
        <f aca="false">Assumptions!K28</f>
        <v>8.5</v>
      </c>
      <c r="L7" s="4" t="n">
        <f aca="false">Assumptions!L28</f>
        <v>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1093.6128</v>
      </c>
      <c r="D8" s="0" t="n">
        <f aca="false">D6*D7/100</f>
        <v>1166.151168</v>
      </c>
      <c r="E8" s="0" t="n">
        <f aca="false">E6*E7/100</f>
        <v>1242.74282496</v>
      </c>
      <c r="F8" s="0" t="n">
        <f aca="false">F6*F7/100</f>
        <v>1308.0242552832</v>
      </c>
      <c r="G8" s="0" t="n">
        <f aca="false">G6*G7/100</f>
        <v>1369.92183164928</v>
      </c>
      <c r="H8" s="0" t="n">
        <f aca="false">H6*H7/100</f>
        <v>1417.86909575701</v>
      </c>
      <c r="I8" s="0" t="n">
        <f aca="false">I6*I7/100</f>
        <v>1460.40516862972</v>
      </c>
      <c r="J8" s="0" t="n">
        <f aca="false">J6*J7/100</f>
        <v>1504.21732368861</v>
      </c>
      <c r="K8" s="0" t="n">
        <f aca="false">K6*K7/100</f>
        <v>1549.34384339927</v>
      </c>
      <c r="L8" s="0" t="n">
        <f aca="false">L6*L7/100</f>
        <v>1588.07743948425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0.41</v>
      </c>
      <c r="D9" s="4" t="n">
        <f aca="false">Assumptions!D29</f>
        <v>0.41</v>
      </c>
      <c r="E9" s="4" t="n">
        <f aca="false">Assumptions!E29</f>
        <v>0.41</v>
      </c>
      <c r="F9" s="4" t="n">
        <f aca="false">Assumptions!F29</f>
        <v>0.41</v>
      </c>
      <c r="G9" s="4" t="n">
        <f aca="false">Assumptions!G29</f>
        <v>0.41</v>
      </c>
      <c r="H9" s="4" t="n">
        <f aca="false">Assumptions!H29</f>
        <v>0.41</v>
      </c>
      <c r="I9" s="4" t="n">
        <f aca="false">Assumptions!I29</f>
        <v>0.41</v>
      </c>
      <c r="J9" s="4" t="n">
        <f aca="false">Assumptions!J29</f>
        <v>0.41</v>
      </c>
      <c r="K9" s="4" t="n">
        <f aca="false">Assumptions!K29</f>
        <v>0.41</v>
      </c>
      <c r="L9" s="4" t="n">
        <f aca="false">Assumptions!L29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-56.75712</v>
      </c>
      <c r="D10" s="0" t="n">
        <f aca="false">-D6*D9/100</f>
        <v>-59.0274048</v>
      </c>
      <c r="E10" s="0" t="n">
        <f aca="false">-E6*E9/100</f>
        <v>-61.388500992</v>
      </c>
      <c r="F10" s="0" t="n">
        <f aca="false">-F6*F9/100</f>
        <v>-63.84404103168</v>
      </c>
      <c r="G10" s="0" t="n">
        <f aca="false">-G6*G9/100</f>
        <v>-66.0785824677888</v>
      </c>
      <c r="H10" s="0" t="n">
        <f aca="false">-H6*H9/100</f>
        <v>-68.3913328541614</v>
      </c>
      <c r="I10" s="0" t="n">
        <f aca="false">-I6*I9/100</f>
        <v>-70.4430728397863</v>
      </c>
      <c r="J10" s="0" t="n">
        <f aca="false">-J6*J9/100</f>
        <v>-72.5563650249799</v>
      </c>
      <c r="K10" s="0" t="n">
        <f aca="false">-K6*K9/100</f>
        <v>-74.7330559757293</v>
      </c>
      <c r="L10" s="0" t="n">
        <f aca="false">-L6*L9/100</f>
        <v>-76.6013823751225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1036.85568</v>
      </c>
      <c r="D11" s="0" t="n">
        <f aca="false">D8+D10+D24</f>
        <v>1107.1237632</v>
      </c>
      <c r="E11" s="0" t="n">
        <f aca="false">E8+E10+E24</f>
        <v>1181.354323968</v>
      </c>
      <c r="F11" s="0" t="n">
        <f aca="false">F8+F10+F24</f>
        <v>1244.18021425152</v>
      </c>
      <c r="G11" s="0" t="n">
        <f aca="false">G8+G10+G24</f>
        <v>1303.84324918149</v>
      </c>
      <c r="H11" s="0" t="n">
        <f aca="false">H8+H10+H24</f>
        <v>1349.47776290284</v>
      </c>
      <c r="I11" s="0" t="n">
        <f aca="false">I8+I10+I24</f>
        <v>1389.96209578993</v>
      </c>
      <c r="J11" s="0" t="n">
        <f aca="false">J8+J10+J24</f>
        <v>1431.66095866363</v>
      </c>
      <c r="K11" s="0" t="n">
        <f aca="false">K8+K10+K24</f>
        <v>1474.61078742354</v>
      </c>
      <c r="L11" s="0" t="n">
        <f aca="false">L8+L10+L24</f>
        <v>1511.47605710912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-318.3936</v>
      </c>
      <c r="D12" s="4" t="n">
        <f aca="false">-D6*Assumptions!D31/100</f>
        <v>-316.732416</v>
      </c>
      <c r="E12" s="4" t="n">
        <f aca="false">-E6*Assumptions!E31/100</f>
        <v>-314.42890752</v>
      </c>
      <c r="F12" s="4" t="n">
        <f aca="false">-F6*Assumptions!F31/100</f>
        <v>-311.434346496</v>
      </c>
      <c r="G12" s="4" t="n">
        <f aca="false">-G6*Assumptions!G31/100</f>
        <v>-306.217821192192</v>
      </c>
      <c r="H12" s="4" t="n">
        <f aca="false">-H6*Assumptions!H31/100</f>
        <v>-300.25463204266</v>
      </c>
      <c r="I12" s="4" t="n">
        <f aca="false">-I6*Assumptions!I31/100</f>
        <v>-292.081033725943</v>
      </c>
      <c r="J12" s="4" t="n">
        <f aca="false">-J6*Assumptions!J31/100</f>
        <v>-283.146790341385</v>
      </c>
      <c r="K12" s="4" t="n">
        <f aca="false">-K6*Assumptions!K31/100</f>
        <v>-255.186044795173</v>
      </c>
      <c r="L12" s="4" t="n">
        <f aca="false">-L6*Assumptions!L31/100</f>
        <v>-242.88243192112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718.46208</v>
      </c>
      <c r="D13" s="0" t="n">
        <f aca="false">D11+D12</f>
        <v>790.3913472</v>
      </c>
      <c r="E13" s="0" t="n">
        <f aca="false">E11+E12</f>
        <v>866.925416448</v>
      </c>
      <c r="F13" s="0" t="n">
        <f aca="false">F11+F12</f>
        <v>932.74586775552</v>
      </c>
      <c r="G13" s="0" t="n">
        <f aca="false">G11+G12</f>
        <v>997.625427989299</v>
      </c>
      <c r="H13" s="0" t="n">
        <f aca="false">H11+H12</f>
        <v>1049.22313086018</v>
      </c>
      <c r="I13" s="0" t="n">
        <f aca="false">I11+I12</f>
        <v>1097.88106206399</v>
      </c>
      <c r="J13" s="0" t="n">
        <f aca="false">J11+J12</f>
        <v>1148.51416832224</v>
      </c>
      <c r="K13" s="0" t="n">
        <f aca="false">K11+K12</f>
        <v>1219.42474262836</v>
      </c>
      <c r="L13" s="0" t="n">
        <f aca="false">L11+L12</f>
        <v>1268.593625188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553.2158016</v>
      </c>
      <c r="D15" s="0" t="n">
        <f aca="false">D13-MAX(0,D13)*D14/100</f>
        <v>608.601337344</v>
      </c>
      <c r="E15" s="0" t="n">
        <f aca="false">E13-MAX(0,E13)*E14/100</f>
        <v>667.53257066496</v>
      </c>
      <c r="F15" s="0" t="n">
        <f aca="false">F13-MAX(0,F13)*F14/100</f>
        <v>718.214318171751</v>
      </c>
      <c r="G15" s="0" t="n">
        <f aca="false">G13-MAX(0,G13)*G14/100</f>
        <v>768.171579551761</v>
      </c>
      <c r="H15" s="0" t="n">
        <f aca="false">H13-MAX(0,H13)*H14/100</f>
        <v>807.901810762341</v>
      </c>
      <c r="I15" s="0" t="n">
        <f aca="false">I13-MAX(0,I13)*I14/100</f>
        <v>845.368417789269</v>
      </c>
      <c r="J15" s="0" t="n">
        <f aca="false">J13-MAX(0,J13)*J14/100</f>
        <v>884.355909608127</v>
      </c>
      <c r="K15" s="0" t="n">
        <f aca="false">K13-MAX(0,K13)*K14/100</f>
        <v>938.957051823839</v>
      </c>
      <c r="L15" s="0" t="n">
        <f aca="false">L13-MAX(0,L13)*L14/100</f>
        <v>976.817091394763</v>
      </c>
    </row>
    <row r="16" customFormat="false" ht="15" hidden="false" customHeight="false" outlineLevel="0" collapsed="false">
      <c r="A16" s="0" t="s">
        <v>127</v>
      </c>
      <c r="C16" s="0" t="n">
        <f aca="false">-C12</f>
        <v>318.3936</v>
      </c>
      <c r="D16" s="0" t="n">
        <f aca="false">-D12</f>
        <v>316.732416</v>
      </c>
      <c r="E16" s="0" t="n">
        <f aca="false">-E12</f>
        <v>314.42890752</v>
      </c>
      <c r="F16" s="0" t="n">
        <f aca="false">-F12</f>
        <v>311.434346496</v>
      </c>
      <c r="G16" s="0" t="n">
        <f aca="false">-G12</f>
        <v>306.217821192192</v>
      </c>
      <c r="H16" s="0" t="n">
        <f aca="false">-H12</f>
        <v>300.25463204266</v>
      </c>
      <c r="I16" s="0" t="n">
        <f aca="false">-I12</f>
        <v>292.081033725943</v>
      </c>
      <c r="J16" s="0" t="n">
        <f aca="false">-J12</f>
        <v>283.146790341385</v>
      </c>
      <c r="K16" s="0" t="n">
        <f aca="false">-K12</f>
        <v>255.186044795173</v>
      </c>
      <c r="L16" s="0" t="n">
        <f aca="false">-L12</f>
        <v>242.88243192112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-152.2752</v>
      </c>
      <c r="D17" s="4" t="n">
        <f aca="false">-D6*Assumptions!D32/100</f>
        <v>-158.366208</v>
      </c>
      <c r="E17" s="4" t="n">
        <f aca="false">-E6*Assumptions!E32/100</f>
        <v>-164.70085632</v>
      </c>
      <c r="F17" s="4" t="n">
        <f aca="false">-F6*Assumptions!F32/100</f>
        <v>-171.2888905728</v>
      </c>
      <c r="G17" s="4" t="n">
        <f aca="false">-G6*Assumptions!G32/100</f>
        <v>-177.284001742848</v>
      </c>
      <c r="H17" s="4" t="n">
        <f aca="false">-H6*Assumptions!H32/100</f>
        <v>-183.488941803848</v>
      </c>
      <c r="I17" s="4" t="n">
        <f aca="false">-I6*Assumptions!I32/100</f>
        <v>-188.993610057963</v>
      </c>
      <c r="J17" s="4" t="n">
        <f aca="false">-J6*Assumptions!J32/100</f>
        <v>-194.663418359702</v>
      </c>
      <c r="K17" s="4" t="n">
        <f aca="false">-K6*Assumptions!K32/100</f>
        <v>-200.503320910493</v>
      </c>
      <c r="L17" s="4" t="n">
        <f aca="false">-L6*Assumptions!L32/100</f>
        <v>-205.515903933255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-98.8800000000001</v>
      </c>
      <c r="D18" s="4" t="n">
        <f aca="false">(D6-C6)*Assumptions!$B$37/100</f>
        <v>-83.0592000000002</v>
      </c>
      <c r="E18" s="4" t="n">
        <f aca="false">(E6-D6)*Assumptions!$B$37/100</f>
        <v>-86.3815680000002</v>
      </c>
      <c r="F18" s="4" t="n">
        <f aca="false">(F6-E6)*Assumptions!$B$37/100</f>
        <v>-89.8368307200001</v>
      </c>
      <c r="G18" s="4" t="n">
        <f aca="false">(G6-F6)*Assumptions!$B$37/100</f>
        <v>-81.7515159551999</v>
      </c>
      <c r="H18" s="4" t="n">
        <f aca="false">(H6-G6)*Assumptions!$B$37/100</f>
        <v>-84.6128190136321</v>
      </c>
      <c r="I18" s="4" t="n">
        <f aca="false">(I6-H6)*Assumptions!$B$37/100</f>
        <v>-75.063658010665</v>
      </c>
      <c r="J18" s="4" t="n">
        <f aca="false">(J6-I6)*Assumptions!$B$37/100</f>
        <v>-77.3155677509853</v>
      </c>
      <c r="K18" s="4" t="n">
        <f aca="false">(K6-J6)*Assumptions!$B$37/100</f>
        <v>-79.6350347835145</v>
      </c>
      <c r="L18" s="4" t="n">
        <f aca="false">(L6-K6)*Assumptions!$B$37/100</f>
        <v>-68.3534048558497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620.4542016</v>
      </c>
      <c r="D19" s="0" t="n">
        <f aca="false">D15+D16+D17+D18</f>
        <v>683.908345344</v>
      </c>
      <c r="E19" s="0" t="n">
        <f aca="false">E15+E16+E17+E18</f>
        <v>730.87905386496</v>
      </c>
      <c r="F19" s="0" t="n">
        <f aca="false">F15+F16+F17+F18</f>
        <v>768.522943374951</v>
      </c>
      <c r="G19" s="0" t="n">
        <f aca="false">G15+G16+G17+G18</f>
        <v>815.353883045905</v>
      </c>
      <c r="H19" s="0" t="n">
        <f aca="false">H15+H16+H17+H18</f>
        <v>840.054681987521</v>
      </c>
      <c r="I19" s="0" t="n">
        <f aca="false">I15+I16+I17+I18</f>
        <v>873.392183446584</v>
      </c>
      <c r="J19" s="0" t="n">
        <f aca="false">J15+J16+J17+J18</f>
        <v>895.523713838824</v>
      </c>
      <c r="K19" s="0" t="n">
        <f aca="false">K15+K16+K17+K18</f>
        <v>914.004740925005</v>
      </c>
      <c r="L19" s="0" t="n">
        <f aca="false">L15+L16+L17+L18</f>
        <v>945.830214526778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577.166699162791</v>
      </c>
      <c r="D21" s="0" t="n">
        <f aca="false">D19*D20</f>
        <v>591.808194997512</v>
      </c>
      <c r="E21" s="0" t="n">
        <f aca="false">E19*E20</f>
        <v>588.328819441778</v>
      </c>
      <c r="F21" s="0" t="n">
        <f aca="false">F19*F20</f>
        <v>575.470387144462</v>
      </c>
      <c r="G21" s="0" t="n">
        <f aca="false">G19*G20</f>
        <v>567.941785655812</v>
      </c>
      <c r="H21" s="0" t="n">
        <f aca="false">H19*H20</f>
        <v>544.323107334456</v>
      </c>
      <c r="I21" s="0" t="n">
        <f aca="false">I19*I20</f>
        <v>526.441418978332</v>
      </c>
      <c r="J21" s="0" t="n">
        <f aca="false">J19*J20</f>
        <v>502.122146406163</v>
      </c>
      <c r="K21" s="0" t="n">
        <f aca="false">K19*K20</f>
        <v>476.729767040733</v>
      </c>
      <c r="L21" s="0" t="n">
        <f aca="false">L19*L20</f>
        <v>458.911077292464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5409.2434034545</v>
      </c>
    </row>
    <row r="31" customFormat="false" ht="15" hidden="false" customHeight="false" outlineLevel="0" collapsed="false">
      <c r="A31" s="0" t="s">
        <v>136</v>
      </c>
      <c r="B31" s="0" t="n">
        <f aca="false">L19</f>
        <v>945.830214526778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19389.5193977989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15133.2834324284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15133.2834324284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7342.57723667943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12751.8206401339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7880.82064013393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69.8035486282899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-0.188236438791837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450.728468514296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761.913775372119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80.5444010984973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7755.80775911958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8.0248030925482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13184</v>
      </c>
      <c r="C6" s="0" t="n">
        <f aca="false">B6*(1+C5/100)</f>
        <v>13975.04</v>
      </c>
      <c r="D6" s="0" t="n">
        <f aca="false">C6*(1+D5/100)</f>
        <v>14673.792</v>
      </c>
      <c r="E6" s="0" t="n">
        <f aca="false">D6*(1+E5/100)</f>
        <v>15407.4816</v>
      </c>
      <c r="F6" s="0" t="n">
        <f aca="false">E6*(1+F5/100)</f>
        <v>16100.818272</v>
      </c>
      <c r="G6" s="0" t="n">
        <f aca="false">F6*(1+G5/100)</f>
        <v>16825.35509424</v>
      </c>
      <c r="H6" s="0" t="n">
        <f aca="false">G6*(1+H5/100)</f>
        <v>17498.3692980096</v>
      </c>
      <c r="I6" s="0" t="n">
        <f aca="false">H6*(1+I5/100)</f>
        <v>18198.30406993</v>
      </c>
      <c r="J6" s="0" t="n">
        <f aca="false">I6*(1+J5/100)</f>
        <v>18835.2447123775</v>
      </c>
      <c r="K6" s="0" t="n">
        <f aca="false">J6*(1+K5/100)</f>
        <v>19400.3020537489</v>
      </c>
      <c r="L6" s="0" t="n">
        <f aca="false">K6*(1+L5/100)</f>
        <v>19982.3111153613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8</v>
      </c>
      <c r="D7" s="4" t="n">
        <f aca="false">Assumptions!D42</f>
        <v>8.4</v>
      </c>
      <c r="E7" s="4" t="n">
        <f aca="false">Assumptions!E42</f>
        <v>8.7</v>
      </c>
      <c r="F7" s="4" t="n">
        <f aca="false">Assumptions!F42</f>
        <v>9</v>
      </c>
      <c r="G7" s="4" t="n">
        <f aca="false">Assumptions!G42</f>
        <v>9.2</v>
      </c>
      <c r="H7" s="4" t="n">
        <f aca="false">Assumptions!H42</f>
        <v>9.3</v>
      </c>
      <c r="I7" s="4" t="n">
        <f aca="false">Assumptions!I42</f>
        <v>9.3</v>
      </c>
      <c r="J7" s="4" t="n">
        <f aca="false">Assumptions!J42</f>
        <v>9.3</v>
      </c>
      <c r="K7" s="4" t="n">
        <f aca="false">Assumptions!K42</f>
        <v>9.3</v>
      </c>
      <c r="L7" s="4" t="n">
        <f aca="false">Assumptions!L42</f>
        <v>9.3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1118.0032</v>
      </c>
      <c r="D8" s="0" t="n">
        <f aca="false">D6*D7/100</f>
        <v>1232.598528</v>
      </c>
      <c r="E8" s="0" t="n">
        <f aca="false">E6*E7/100</f>
        <v>1340.4508992</v>
      </c>
      <c r="F8" s="0" t="n">
        <f aca="false">F6*F7/100</f>
        <v>1449.07364448</v>
      </c>
      <c r="G8" s="0" t="n">
        <f aca="false">G6*G7/100</f>
        <v>1547.93266867008</v>
      </c>
      <c r="H8" s="0" t="n">
        <f aca="false">H6*H7/100</f>
        <v>1627.34834471489</v>
      </c>
      <c r="I8" s="0" t="n">
        <f aca="false">I6*I7/100</f>
        <v>1692.44227850349</v>
      </c>
      <c r="J8" s="0" t="n">
        <f aca="false">J6*J7/100</f>
        <v>1751.67775825111</v>
      </c>
      <c r="K8" s="0" t="n">
        <f aca="false">K6*K7/100</f>
        <v>1804.22809099864</v>
      </c>
      <c r="L8" s="0" t="n">
        <f aca="false">L6*L7/100</f>
        <v>1858.3549337286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0.41</v>
      </c>
      <c r="D9" s="4" t="n">
        <f aca="false">Assumptions!D43</f>
        <v>0.41</v>
      </c>
      <c r="E9" s="4" t="n">
        <f aca="false">Assumptions!E43</f>
        <v>0.41</v>
      </c>
      <c r="F9" s="4" t="n">
        <f aca="false">Assumptions!F43</f>
        <v>0.41</v>
      </c>
      <c r="G9" s="4" t="n">
        <f aca="false">Assumptions!G43</f>
        <v>0.41</v>
      </c>
      <c r="H9" s="4" t="n">
        <f aca="false">Assumptions!H43</f>
        <v>0.41</v>
      </c>
      <c r="I9" s="4" t="n">
        <f aca="false">Assumptions!I43</f>
        <v>0.41</v>
      </c>
      <c r="J9" s="4" t="n">
        <f aca="false">Assumptions!J43</f>
        <v>0.41</v>
      </c>
      <c r="K9" s="4" t="n">
        <f aca="false">Assumptions!K43</f>
        <v>0.41</v>
      </c>
      <c r="L9" s="4" t="n">
        <f aca="false">Assumptions!L43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-57.297664</v>
      </c>
      <c r="D10" s="0" t="n">
        <f aca="false">-D6*D9/100</f>
        <v>-60.1625472</v>
      </c>
      <c r="E10" s="0" t="n">
        <f aca="false">-E6*E9/100</f>
        <v>-63.17067456</v>
      </c>
      <c r="F10" s="0" t="n">
        <f aca="false">-F6*F9/100</f>
        <v>-66.0133549152</v>
      </c>
      <c r="G10" s="0" t="n">
        <f aca="false">-G6*G9/100</f>
        <v>-68.983955886384</v>
      </c>
      <c r="H10" s="0" t="n">
        <f aca="false">-H6*H9/100</f>
        <v>-71.7433141218394</v>
      </c>
      <c r="I10" s="0" t="n">
        <f aca="false">-I6*I9/100</f>
        <v>-74.6130466867129</v>
      </c>
      <c r="J10" s="0" t="n">
        <f aca="false">-J6*J9/100</f>
        <v>-77.2245033207479</v>
      </c>
      <c r="K10" s="0" t="n">
        <f aca="false">-K6*K9/100</f>
        <v>-79.5412384203703</v>
      </c>
      <c r="L10" s="0" t="n">
        <f aca="false">-L6*L9/100</f>
        <v>-81.9274755729814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1060.705536</v>
      </c>
      <c r="D11" s="0" t="n">
        <f aca="false">D8+D10+D24</f>
        <v>1172.4359808</v>
      </c>
      <c r="E11" s="0" t="n">
        <f aca="false">E8+E10+E24</f>
        <v>1277.28022464</v>
      </c>
      <c r="F11" s="0" t="n">
        <f aca="false">F8+F10+F24</f>
        <v>1383.0602895648</v>
      </c>
      <c r="G11" s="0" t="n">
        <f aca="false">G8+G10+G24</f>
        <v>1478.9487127837</v>
      </c>
      <c r="H11" s="0" t="n">
        <f aca="false">H8+H10+H24</f>
        <v>1555.60503059305</v>
      </c>
      <c r="I11" s="0" t="n">
        <f aca="false">I8+I10+I24</f>
        <v>1617.82923181678</v>
      </c>
      <c r="J11" s="0" t="n">
        <f aca="false">J8+J10+J24</f>
        <v>1674.45325493036</v>
      </c>
      <c r="K11" s="0" t="n">
        <f aca="false">K8+K10+K24</f>
        <v>1724.68685257827</v>
      </c>
      <c r="L11" s="0" t="n">
        <f aca="false">L8+L10+L24</f>
        <v>1776.42745815562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-321.42592</v>
      </c>
      <c r="D12" s="4" t="n">
        <f aca="false">-D6*Assumptions!D45/100</f>
        <v>-322.823424</v>
      </c>
      <c r="E12" s="4" t="n">
        <f aca="false">-E6*Assumptions!E45/100</f>
        <v>-323.5571136</v>
      </c>
      <c r="F12" s="4" t="n">
        <f aca="false">-F6*Assumptions!F45/100</f>
        <v>-322.01636544</v>
      </c>
      <c r="G12" s="4" t="n">
        <f aca="false">-G6*Assumptions!G45/100</f>
        <v>-319.68174679056</v>
      </c>
      <c r="H12" s="4" t="n">
        <f aca="false">-H6*Assumptions!H45/100</f>
        <v>-314.970647364173</v>
      </c>
      <c r="I12" s="4" t="n">
        <f aca="false">-I6*Assumptions!I45/100</f>
        <v>-309.37116918881</v>
      </c>
      <c r="J12" s="4" t="n">
        <f aca="false">-J6*Assumptions!J45/100</f>
        <v>-301.363915398041</v>
      </c>
      <c r="K12" s="4" t="n">
        <f aca="false">-K6*Assumptions!K45/100</f>
        <v>-271.604228752484</v>
      </c>
      <c r="L12" s="4" t="n">
        <f aca="false">-L6*Assumptions!L45/100</f>
        <v>-259.770044499697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739.279616</v>
      </c>
      <c r="D13" s="0" t="n">
        <f aca="false">D11+D12</f>
        <v>849.6125568</v>
      </c>
      <c r="E13" s="0" t="n">
        <f aca="false">E11+E12</f>
        <v>953.72311104</v>
      </c>
      <c r="F13" s="0" t="n">
        <f aca="false">F11+F12</f>
        <v>1061.0439241248</v>
      </c>
      <c r="G13" s="0" t="n">
        <f aca="false">G11+G12</f>
        <v>1159.26696599314</v>
      </c>
      <c r="H13" s="0" t="n">
        <f aca="false">H11+H12</f>
        <v>1240.63438322888</v>
      </c>
      <c r="I13" s="0" t="n">
        <f aca="false">I11+I12</f>
        <v>1308.45806262797</v>
      </c>
      <c r="J13" s="0" t="n">
        <f aca="false">J11+J12</f>
        <v>1373.08933953232</v>
      </c>
      <c r="K13" s="0" t="n">
        <f aca="false">K11+K12</f>
        <v>1453.08262382579</v>
      </c>
      <c r="L13" s="0" t="n">
        <f aca="false">L11+L12</f>
        <v>1516.65741365592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569.24530432</v>
      </c>
      <c r="D15" s="0" t="n">
        <f aca="false">D13-MAX(0,D13)*D14/100</f>
        <v>654.201668736</v>
      </c>
      <c r="E15" s="0" t="n">
        <f aca="false">E13-MAX(0,E13)*E14/100</f>
        <v>734.3667955008</v>
      </c>
      <c r="F15" s="0" t="n">
        <f aca="false">F13-MAX(0,F13)*F14/100</f>
        <v>817.003821576096</v>
      </c>
      <c r="G15" s="0" t="n">
        <f aca="false">G13-MAX(0,G13)*G14/100</f>
        <v>892.635563814715</v>
      </c>
      <c r="H15" s="0" t="n">
        <f aca="false">H13-MAX(0,H13)*H14/100</f>
        <v>955.288475086238</v>
      </c>
      <c r="I15" s="0" t="n">
        <f aca="false">I13-MAX(0,I13)*I14/100</f>
        <v>1007.51270822353</v>
      </c>
      <c r="J15" s="0" t="n">
        <f aca="false">J13-MAX(0,J13)*J14/100</f>
        <v>1057.27879143989</v>
      </c>
      <c r="K15" s="0" t="n">
        <f aca="false">K13-MAX(0,K13)*K14/100</f>
        <v>1118.87362034586</v>
      </c>
      <c r="L15" s="0" t="n">
        <f aca="false">L13-MAX(0,L13)*L14/100</f>
        <v>1167.82620851506</v>
      </c>
    </row>
    <row r="16" customFormat="false" ht="15" hidden="false" customHeight="false" outlineLevel="0" collapsed="false">
      <c r="A16" s="0" t="s">
        <v>127</v>
      </c>
      <c r="C16" s="0" t="n">
        <f aca="false">-C12</f>
        <v>321.42592</v>
      </c>
      <c r="D16" s="0" t="n">
        <f aca="false">-D12</f>
        <v>322.823424</v>
      </c>
      <c r="E16" s="0" t="n">
        <f aca="false">-E12</f>
        <v>323.5571136</v>
      </c>
      <c r="F16" s="0" t="n">
        <f aca="false">-F12</f>
        <v>322.01636544</v>
      </c>
      <c r="G16" s="0" t="n">
        <f aca="false">-G12</f>
        <v>319.68174679056</v>
      </c>
      <c r="H16" s="0" t="n">
        <f aca="false">-H12</f>
        <v>314.970647364173</v>
      </c>
      <c r="I16" s="0" t="n">
        <f aca="false">-I12</f>
        <v>309.37116918881</v>
      </c>
      <c r="J16" s="0" t="n">
        <f aca="false">-J12</f>
        <v>301.363915398041</v>
      </c>
      <c r="K16" s="0" t="n">
        <f aca="false">-K12</f>
        <v>271.604228752484</v>
      </c>
      <c r="L16" s="0" t="n">
        <f aca="false">-L12</f>
        <v>259.770044499697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-153.72544</v>
      </c>
      <c r="D17" s="4" t="n">
        <f aca="false">-D6*Assumptions!D46/100</f>
        <v>-161.411712</v>
      </c>
      <c r="E17" s="4" t="n">
        <f aca="false">-E6*Assumptions!E46/100</f>
        <v>-169.4822976</v>
      </c>
      <c r="F17" s="4" t="n">
        <f aca="false">-F6*Assumptions!F46/100</f>
        <v>-177.109000992</v>
      </c>
      <c r="G17" s="4" t="n">
        <f aca="false">-G6*Assumptions!G46/100</f>
        <v>-185.07890603664</v>
      </c>
      <c r="H17" s="4" t="n">
        <f aca="false">-H6*Assumptions!H46/100</f>
        <v>-192.482062278106</v>
      </c>
      <c r="I17" s="4" t="n">
        <f aca="false">-I6*Assumptions!I46/100</f>
        <v>-200.18134476923</v>
      </c>
      <c r="J17" s="4" t="n">
        <f aca="false">-J6*Assumptions!J46/100</f>
        <v>-207.187691836153</v>
      </c>
      <c r="K17" s="4" t="n">
        <f aca="false">-K6*Assumptions!K46/100</f>
        <v>-213.403322591238</v>
      </c>
      <c r="L17" s="4" t="n">
        <f aca="false">-L6*Assumptions!L46/100</f>
        <v>-219.805422268975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-94.9248000000001</v>
      </c>
      <c r="D18" s="4" t="n">
        <f aca="false">(D6-C6)*Assumptions!$B$51/100</f>
        <v>-83.85024</v>
      </c>
      <c r="E18" s="4" t="n">
        <f aca="false">(E6-D6)*Assumptions!$B$51/100</f>
        <v>-88.0427520000002</v>
      </c>
      <c r="F18" s="4" t="n">
        <f aca="false">(F6-E6)*Assumptions!$B$51/100</f>
        <v>-83.2004006399999</v>
      </c>
      <c r="G18" s="4" t="n">
        <f aca="false">(G6-F6)*Assumptions!$B$51/100</f>
        <v>-86.9444186687997</v>
      </c>
      <c r="H18" s="4" t="n">
        <f aca="false">(H6-G6)*Assumptions!$B$51/100</f>
        <v>-80.7617044523523</v>
      </c>
      <c r="I18" s="4" t="n">
        <f aca="false">(I6-H6)*Assumptions!$B$51/100</f>
        <v>-83.992172630446</v>
      </c>
      <c r="J18" s="4" t="n">
        <f aca="false">(J6-I6)*Assumptions!$B$51/100</f>
        <v>-76.4328770937059</v>
      </c>
      <c r="K18" s="4" t="n">
        <f aca="false">(K6-J6)*Assumptions!$B$51/100</f>
        <v>-67.8068809645594</v>
      </c>
      <c r="L18" s="4" t="n">
        <f aca="false">(L6-K6)*Assumptions!$B$51/100</f>
        <v>-69.8410873934958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642.02098432</v>
      </c>
      <c r="D19" s="0" t="n">
        <f aca="false">D15+D16+D17+D18</f>
        <v>731.763140736</v>
      </c>
      <c r="E19" s="0" t="n">
        <f aca="false">E15+E16+E17+E18</f>
        <v>800.3988595008</v>
      </c>
      <c r="F19" s="0" t="n">
        <f aca="false">F15+F16+F17+F18</f>
        <v>878.710785384096</v>
      </c>
      <c r="G19" s="0" t="n">
        <f aca="false">G15+G16+G17+G18</f>
        <v>940.293985899835</v>
      </c>
      <c r="H19" s="0" t="n">
        <f aca="false">H15+H16+H17+H18</f>
        <v>997.015355719953</v>
      </c>
      <c r="I19" s="0" t="n">
        <f aca="false">I15+I16+I17+I18</f>
        <v>1032.71036001267</v>
      </c>
      <c r="J19" s="0" t="n">
        <f aca="false">J15+J16+J17+J18</f>
        <v>1075.02213790807</v>
      </c>
      <c r="K19" s="0" t="n">
        <f aca="false">K15+K16+K17+K18</f>
        <v>1109.26764554255</v>
      </c>
      <c r="L19" s="0" t="n">
        <f aca="false">L15+L16+L17+L18</f>
        <v>1137.94974335229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597.228822623256</v>
      </c>
      <c r="D21" s="0" t="n">
        <f aca="false">D19*D20</f>
        <v>633.21851010146</v>
      </c>
      <c r="E21" s="0" t="n">
        <f aca="false">E19*E20</f>
        <v>644.289521778601</v>
      </c>
      <c r="F21" s="0" t="n">
        <f aca="false">F19*F20</f>
        <v>657.979101615826</v>
      </c>
      <c r="G21" s="0" t="n">
        <f aca="false">G19*G20</f>
        <v>654.969892825428</v>
      </c>
      <c r="H21" s="0" t="n">
        <f aca="false">H19*H20</f>
        <v>646.027583825447</v>
      </c>
      <c r="I21" s="0" t="n">
        <f aca="false">I19*I20</f>
        <v>622.471230705653</v>
      </c>
      <c r="J21" s="0" t="n">
        <f aca="false">J19*J20</f>
        <v>602.767313672381</v>
      </c>
      <c r="K21" s="0" t="n">
        <f aca="false">K19*K20</f>
        <v>578.575670964392</v>
      </c>
      <c r="L21" s="0" t="n">
        <f aca="false">L19*L20</f>
        <v>552.12630618674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6189.65395429918</v>
      </c>
    </row>
    <row r="31" customFormat="false" ht="15" hidden="false" customHeight="false" outlineLevel="0" collapsed="false">
      <c r="A31" s="0" t="s">
        <v>136</v>
      </c>
      <c r="B31" s="0" t="n">
        <f aca="false">L19</f>
        <v>1137.94974335229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26046.4052367302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20483.0953803412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20483.0953803412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9938.27351136133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16127.9274656605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11256.9274656605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99.7070634690922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0.159519286766975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469.691220843103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909.849669341099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111.926203329005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9767.40196377382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16.9922735753394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32.4290745099159</v>
      </c>
      <c r="C4" s="0" t="n">
        <f aca="false">B4/Assumptions!$B$2-1</f>
        <v>-0.622873886383115</v>
      </c>
      <c r="D4" s="4" t="n">
        <f aca="false">Assumptions!$B$24</f>
        <v>0.25</v>
      </c>
      <c r="E4" s="4" t="n">
        <f aca="false">DCF_Bear!$B$43</f>
        <v>40.7665484465135</v>
      </c>
      <c r="F4" s="4" t="n">
        <f aca="false">DCF_Bear!$B$47</f>
        <v>-5.32162635851618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69.8035486282899</v>
      </c>
      <c r="C5" s="0" t="n">
        <f aca="false">B5/Assumptions!$B$2-1</f>
        <v>-0.188236438791837</v>
      </c>
      <c r="D5" s="4" t="n">
        <f aca="false">Assumptions!$B$38</f>
        <v>0.5</v>
      </c>
      <c r="E5" s="4" t="n">
        <f aca="false">DCF_Base!$B$43</f>
        <v>80.5444010984973</v>
      </c>
      <c r="F5" s="4" t="n">
        <f aca="false">DCF_Base!$B$47</f>
        <v>8.0248030925482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99.7070634690922</v>
      </c>
      <c r="C6" s="0" t="n">
        <f aca="false">B6/Assumptions!$B$2-1</f>
        <v>0.159519286766975</v>
      </c>
      <c r="D6" s="4" t="n">
        <f aca="false">Assumptions!$B$52</f>
        <v>0.25</v>
      </c>
      <c r="E6" s="4" t="n">
        <f aca="false">DCF_Bull!$B$43</f>
        <v>111.926203329005</v>
      </c>
      <c r="F6" s="4" t="n">
        <f aca="false">DCF_Bull!$B$47</f>
        <v>16.9922735753394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67.935808808897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78.4453884931284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-0.265753679946453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171.787947125912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6.93006335047991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69.8035486282899</v>
      </c>
      <c r="C15" s="3" t="n">
        <v>7.5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57.2305151632763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43.5311126715279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33.0669881265919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24.815839475827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8.0248030925482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88.3003101989444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88.3003101989444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88.3003101989444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88.3003101989444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88.3003101989444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78.6120496832837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78.6120496832837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78.6120496832837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78.6120496832837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78.6120496832837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69.8035486282899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69.8035486282899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69.8035486282899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69.8035486282899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69.8035486282899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56.2273030879214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60.6451453508426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61.7852336767577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61.7852336767577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61.7852336767577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43.2796475266208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46.3643332458426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49.8896883535246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53.9574057854653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54.4774792470833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2026-09-28T21:27:09Z</dcterms:created>
  <dc:creator>openpyxl</dc:creator>
  <dc:description/>
  <dc:language>en-NZ</dc:language>
  <cp:lastModifiedBy/>
  <dcterms:modified xsi:type="dcterms:W3CDTF">2026-09-28T21:27:09Z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