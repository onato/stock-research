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<sst xmlns="http://schemas.openxmlformats.org/spreadsheetml/2006/main" count="356" uniqueCount="163">
  <si>
    <t xml:space="preserve">Ticker</t>
  </si>
  <si>
    <t xml:space="preserve">0467.HK</t>
  </si>
  <si>
    <t xml:space="preserve">Company</t>
  </si>
  <si>
    <t xml:space="preserve">United Energy Group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</si>
  <si>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</si>
  <si>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</si>
  <si>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</si>
  <si>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</si>
  <si>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 close (HKEX), Yahoo Finance chart API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</si>
  <si>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</si>
  <si>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</si>
  <si>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</si>
  <si>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</si>
  <si>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</si>
  <si>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</si>
  <si>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</si>
  <si>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</si>
  <si>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</si>
  <si>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</si>
  <si>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</si>
  <si>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</si>
  <si>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2026-10-10T22:45:21Z</t>
  </si>
  <si>
    <t xml:space="preserve">Drivers file</t>
  </si>
  <si>
    <t xml:space="preserve">0467.HK_Drivers.json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</si>
  <si>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</si>
  <si>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</si>
  <si>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</si>
  <si>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 depleting, high-payout upstream producer on mid-cycle owner FCF. Revenue excludes zero-margin trading, capex is held near D&amp;A so the model pays to sustain reserves, sovereign/country risk sits in a 12% HKD WACC, and commodity and volume risk sit in the bear-weighted scenarios. The exit multiples (5-7x FCF) are close to what the stock already trades on; no re-rating is assumed.
key_risks_to_valuation: Oil price: margin is mostly price-driven (opex ~US$4.9/boe); each US$10/bbl moves EBITDA by roughly HK$1.5-2bn; Iraq Block 9 concentration (~50% of WI production) and Strait of Hormuz export dependence; BOC curtailments in H1 FY2026; Sovereign counterparty credit: Pakistan circular debt (SSGC), EGPC receivables in Egypt, Basra Oil Company liftings; Reserve replacement: WI 2P 679.6 mmboe (~16 years) and net-entitlement 1P only ~176 mmboe; the model's sustaining capex may be too low if replacement costs rise; Dividend above mid-cycle FCF, funded with ~9.9% USD debt: a payout cut is likely in the base case; Decommissioning obligations (HK$752m provision) could be under-provisioned for older Pakistan fields; Governance overhang: former Chairman Zhang Hong Wei's CSRC fine and lifetime ban, and a charging order over ~13.85% of shares held by an affiliated entity (per 0467.HK_Analysis.json)</t>
  </si>
  <si>
    <t xml:space="preserve">Data sources</t>
  </si>
  <si>
    <t xml:space="preserve">price: Yahoo Finance chart API at inputs.price_as_of; 52-week range 0.33-1.10 HKD
financials: 0467.HK_Metrics.csv (core_metrics, HKD millions); FY2025 annual report (turnover by segment, cash flow statement, provisions); H1 FY2026 interim report (balance sheet 30 June 2026, borrowings, lease liabilities, decommissioning provision, production and realised prices, FY2026 production and capex guidance)
qualitative: Management discussion and outlook in the FY2025 annual and H1 FY2026 interim reports; 0467.HK_Analysis.json (risks, bull/bear case) cross-checked after it landed -- consistent with the scenario axes used</t>
  </si>
  <si>
    <t xml:space="preserve">Scenario narrative: bear</t>
  </si>
  <si>
    <t xml:space="preserve">Oil falls to ~US$55 as the post-Hormuz supply surge (OPEC+ +3 mmbbld in June 2026) meets weaker demand; renewed Gulf conflict or a BOC dispute curtails Iraq again; Pakistan circular debt stretches receivables and gas output declines ~5%/yr; Egypt EGPC payment delays recur. Revenue steps down 15% in FY2027 and keeps declining ~3%/yr as reserves deplete faster than capex replaces them; margin compresses to the high 50s while capex stays at half of revenue. Exit at 5x with negative terminal growth: a run-off.</t>
  </si>
  <si>
    <t xml:space="preserve">Scenario narrative: base</t>
  </si>
  <si>
    <t xml:space="preserve">Brent settles near US$65 after the 2026 Hormuz spike; Iraq Block 9 liftings run at pre-conflict levels, Egypt (with Apex) grows modestly and offsets Pakistan's gas decline, so working-interest output holds around 105-115k boed. Capex reverts from the FY2026 squeeze to roughly D&amp;A to keep the ~16-year 2P reserve life intact. Owner FCF settles near HK$1.0bn a year -- roughly FY2025's HK$0.9bn -- which does not cover the current ~HK$1.3bn dividend; the payout is trimmed or debt-funded. Exit at 6x FCF reflects a depleting asset in frontier jurisdictions.</t>
  </si>
  <si>
    <t xml:space="preserve">Scenario narrative: bull</t>
  </si>
  <si>
    <t xml:space="preserve">Brent holds US$70-75, Egypt's exploration hits (3 discoveries in H1 FY2026) and the Apex integration lift volumes, Pakistan discoveries slow the gas decline, and Iraq expands beyond plateau. Margin stays near FY2024's ~70%, capex runs below D&amp;A as recent discoveries are developed cheaply, and the market grants a 7x FCF exit as reserve replacement proves out.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</si>
  <si>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</si>
  <si>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</si>
  <si>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</si>
  <si>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</si>
  <si>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</si>
  <si>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</si>
  <si>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</si>
  <si>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</si>
  <si>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</si>
  <si>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</si>
  <si>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</si>
  <si>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</si>
  <si>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</si>
  <si>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</si>
  <si>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</si>
  <si>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</si>
  <si>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</si>
  <si>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</si>
  <si>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</si>
  <si>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</si>
  <si>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</si>
  <si>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</si>
  <si>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</si>
  <si>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</si>
  <si>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</si>
  <si>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</si>
  <si>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</si>
  <si>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</si>
  <si>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</si>
  <si>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</si>
  <si>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</si>
  <si>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</si>
  <si>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</si>
  <si>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</si>
  <si>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</si>
  <si>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</si>
  <si>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</si>
  <si>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</si>
  <si>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</si>
  <si>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</si>
  <si>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</si>
  <si>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</si>
  <si>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</si>
  <si>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</si>
  <si>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</si>
  <si>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</si>
  <si>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</si>
  <si>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</si>
  <si>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</si>
  <si>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</si>
  <si>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</si>
  <si>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</si>
  <si>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</si>
  <si>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</si>
  <si>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</si>
  <si>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</si>
  <si>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</si>
  <si>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</si>
  <si>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</si>
  <si>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</si>
  <si>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</si>
  <si>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</si>
  <si>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</si>
  <si>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</si>
  <si>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</si>
  <si>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</si>
  <si>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</si>
  <si>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</si>
  <si>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</si>
  <si>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</si>
  <si>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</si>
  <si>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</si>
  <si>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</si>
  <si>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0467.HK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</si>
  <si>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</si>
  <si>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</si>
  <si>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</si>
  <si>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</si>
  <si>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</si>
  <si>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</si>
  <si>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</si>
  <si>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</si>
  <si>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</si>
  <si>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</si>
  <si>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</si>
  <si>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</si>
  <si>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</si>
  <si>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</si>
  <si>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</si>
  <si>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</si>
  <si>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</si>
  <si>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</si>
  <si>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</si>
  <si>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</si>
  <si>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</si>
  <si>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</si>
  <si>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</si>
  <si>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</si>
  <si>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</si>
  <si>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</si>
  <si>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</si>
  <si>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</si>
  <si>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</si>
  <si>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</si>
  <si>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0467.HK owner-FCF component DCF: base case (millions, HKD)</t>
  </si>
  <si>
    <t xml:space="preserve">0467.HK owner-FCF component DCF: bull case (millions, HKD)</t>
  </si>
  <si>
    <t xml:space="preserve">0467.HK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</si>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</sst>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0.43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4420.508</v>
      </c>
      <c r="C2" s="0" t="n">
        <v>1768.344</v>
      </c>
      <c r="D2" s="0" t="n">
        <v>2652.164</v>
      </c>
      <c r="E2" s="0" t="n">
        <v>60</v>
      </c>
      <c r="F2" s="0" t="n">
        <v>1876.858</v>
      </c>
      <c r="G2" s="0" t="n">
        <v>42.5</v>
      </c>
      <c r="H2" s="0" t="n">
        <v>3428.387</v>
      </c>
      <c r="I2" s="0" t="n">
        <v>1316.34</v>
      </c>
      <c r="J2" s="0" t="n">
        <v>29.8</v>
      </c>
      <c r="K2" s="0" t="n">
        <v>0.0502</v>
      </c>
      <c r="L2" s="0" t="n">
        <v>3417.58</v>
      </c>
      <c r="M2" s="0" t="n">
        <v>1737.893</v>
      </c>
      <c r="N2" s="0" t="n">
        <v>1679.687</v>
      </c>
      <c r="O2" s="0" t="n">
        <v>10677.019</v>
      </c>
      <c r="P2" s="0" t="n">
        <v>13275.537</v>
      </c>
      <c r="Q2" s="0" t="n">
        <v>2598.518</v>
      </c>
      <c r="R2" s="0" t="n">
        <v>0</v>
      </c>
      <c r="S2" s="0" t="n">
        <v>2746.793</v>
      </c>
      <c r="T2" s="0" t="n">
        <v>26239.95</v>
      </c>
      <c r="U2" s="0" t="n">
        <v>10.709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5279.204</v>
      </c>
      <c r="C3" s="0" t="n">
        <v>2321.995</v>
      </c>
      <c r="D3" s="0" t="n">
        <v>2957.209</v>
      </c>
      <c r="E3" s="0" t="n">
        <v>56</v>
      </c>
      <c r="F3" s="0" t="n">
        <v>2337.526</v>
      </c>
      <c r="G3" s="0" t="n">
        <v>44.3</v>
      </c>
      <c r="H3" s="0" t="n">
        <v>4092.854</v>
      </c>
      <c r="I3" s="0" t="n">
        <v>1637.991</v>
      </c>
      <c r="J3" s="0" t="n">
        <v>31</v>
      </c>
      <c r="K3" s="0" t="n">
        <v>0.0623</v>
      </c>
      <c r="L3" s="0" t="n">
        <v>3893.436</v>
      </c>
      <c r="M3" s="0" t="n">
        <v>1891.239</v>
      </c>
      <c r="N3" s="0" t="n">
        <v>2002.197</v>
      </c>
      <c r="O3" s="0" t="n">
        <v>11263.144</v>
      </c>
      <c r="P3" s="0" t="n">
        <v>16147.438</v>
      </c>
      <c r="Q3" s="0" t="n">
        <v>4884.294</v>
      </c>
      <c r="R3" s="0" t="n">
        <v>641.736</v>
      </c>
      <c r="S3" s="0" t="n">
        <v>2516.532</v>
      </c>
      <c r="T3" s="0" t="n">
        <v>26280.773</v>
      </c>
      <c r="U3" s="0" t="n">
        <v>10.413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7103.644</v>
      </c>
      <c r="C4" s="0" t="n">
        <v>3625.839</v>
      </c>
      <c r="D4" s="0" t="n">
        <v>3477.805</v>
      </c>
      <c r="E4" s="0" t="n">
        <v>49</v>
      </c>
      <c r="F4" s="0" t="n">
        <v>2733.167</v>
      </c>
      <c r="G4" s="0" t="n">
        <v>38.5</v>
      </c>
      <c r="H4" s="0" t="n">
        <v>5477.288</v>
      </c>
      <c r="I4" s="0" t="n">
        <v>1905.957</v>
      </c>
      <c r="J4" s="0" t="n">
        <v>26.8</v>
      </c>
      <c r="K4" s="0" t="n">
        <v>0.0726</v>
      </c>
      <c r="L4" s="0" t="n">
        <v>4011.814</v>
      </c>
      <c r="M4" s="0" t="n">
        <v>2657.186</v>
      </c>
      <c r="N4" s="0" t="n">
        <v>1354.628</v>
      </c>
      <c r="O4" s="0" t="n">
        <v>12054.089</v>
      </c>
      <c r="P4" s="0" t="n">
        <v>25743.105</v>
      </c>
      <c r="Q4" s="0" t="n">
        <v>13689.016</v>
      </c>
      <c r="R4" s="0" t="n">
        <v>4695.786</v>
      </c>
      <c r="S4" s="0" t="n">
        <v>3358.627</v>
      </c>
      <c r="T4" s="0" t="n">
        <v>26263.168</v>
      </c>
      <c r="U4" s="0" t="n">
        <v>7.335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6204.227</v>
      </c>
      <c r="C5" s="0" t="n">
        <v>4171.478</v>
      </c>
      <c r="D5" s="0" t="n">
        <v>2032.749</v>
      </c>
      <c r="E5" s="0" t="n">
        <v>32.8</v>
      </c>
      <c r="F5" s="0" t="n">
        <v>1308.622</v>
      </c>
      <c r="G5" s="0" t="n">
        <v>21.1</v>
      </c>
      <c r="H5" s="0" t="n">
        <v>4453.219</v>
      </c>
      <c r="I5" s="0" t="n">
        <v>864.176</v>
      </c>
      <c r="J5" s="0" t="n">
        <v>13.9</v>
      </c>
      <c r="K5" s="0" t="n">
        <v>0.033</v>
      </c>
      <c r="L5" s="0" t="n">
        <v>1910.339</v>
      </c>
      <c r="M5" s="0" t="n">
        <v>1885.773</v>
      </c>
      <c r="N5" s="0" t="n">
        <v>24.566</v>
      </c>
      <c r="O5" s="0" t="n">
        <v>12915.792</v>
      </c>
      <c r="P5" s="0" t="n">
        <v>24941.385</v>
      </c>
      <c r="Q5" s="0" t="n">
        <v>12025.593</v>
      </c>
      <c r="R5" s="0" t="n">
        <v>5235.811</v>
      </c>
      <c r="S5" s="0" t="n">
        <v>3093.281</v>
      </c>
      <c r="T5" s="0" t="n">
        <v>26232.988</v>
      </c>
      <c r="U5" s="0" t="n">
        <v>7.745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7436.936</v>
      </c>
      <c r="C6" s="0" t="n">
        <v>4079.501</v>
      </c>
      <c r="D6" s="0" t="n">
        <v>3357.435</v>
      </c>
      <c r="E6" s="0" t="n">
        <v>45.1</v>
      </c>
      <c r="F6" s="0" t="n">
        <v>2758.691</v>
      </c>
      <c r="G6" s="0" t="n">
        <v>37.1</v>
      </c>
      <c r="H6" s="0" t="n">
        <v>5843.458</v>
      </c>
      <c r="I6" s="0" t="n">
        <v>2000.597</v>
      </c>
      <c r="J6" s="0" t="n">
        <v>26.9</v>
      </c>
      <c r="K6" s="0" t="n">
        <v>0.0763</v>
      </c>
      <c r="L6" s="0" t="n">
        <v>4280.826</v>
      </c>
      <c r="M6" s="0" t="n">
        <v>2729.241</v>
      </c>
      <c r="N6" s="0" t="n">
        <v>1551.585</v>
      </c>
      <c r="O6" s="0" t="n">
        <v>14240.28</v>
      </c>
      <c r="P6" s="0" t="n">
        <v>25032.35</v>
      </c>
      <c r="Q6" s="0" t="n">
        <v>10792.07</v>
      </c>
      <c r="R6" s="0" t="n">
        <v>4594.073</v>
      </c>
      <c r="S6" s="0" t="n">
        <v>3170.562</v>
      </c>
      <c r="T6" s="0" t="n">
        <v>26221.462</v>
      </c>
      <c r="U6" s="0" t="n">
        <v>8.221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10753.743</v>
      </c>
      <c r="C7" s="0" t="n">
        <v>5240.76</v>
      </c>
      <c r="D7" s="0" t="n">
        <v>5512.983</v>
      </c>
      <c r="E7" s="0" t="n">
        <v>51.3</v>
      </c>
      <c r="F7" s="0" t="n">
        <v>3595.822</v>
      </c>
      <c r="G7" s="0" t="n">
        <v>33.4</v>
      </c>
      <c r="H7" s="0" t="n">
        <v>9266.023</v>
      </c>
      <c r="I7" s="0" t="n">
        <v>2601.162</v>
      </c>
      <c r="J7" s="0" t="n">
        <v>24.2</v>
      </c>
      <c r="K7" s="0" t="n">
        <v>0.0994</v>
      </c>
      <c r="L7" s="0" t="n">
        <v>7824.906</v>
      </c>
      <c r="M7" s="0" t="n">
        <v>5392.499</v>
      </c>
      <c r="N7" s="0" t="n">
        <v>2432.407</v>
      </c>
      <c r="O7" s="0" t="n">
        <v>15807.82</v>
      </c>
      <c r="P7" s="0" t="n">
        <v>27419.844</v>
      </c>
      <c r="Q7" s="0" t="n">
        <v>11612.024</v>
      </c>
      <c r="R7" s="0" t="n">
        <v>3472.313</v>
      </c>
      <c r="S7" s="0" t="n">
        <v>3255.124</v>
      </c>
      <c r="T7" s="0" t="n">
        <v>26163.69</v>
      </c>
      <c r="U7" s="0" t="n">
        <v>13.379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13591.075</v>
      </c>
      <c r="C8" s="0" t="n">
        <v>9151.835</v>
      </c>
      <c r="D8" s="0" t="n">
        <v>4439.24</v>
      </c>
      <c r="E8" s="0" t="n">
        <v>32.7</v>
      </c>
      <c r="F8" s="0" t="n">
        <v>-1730.641</v>
      </c>
      <c r="G8" s="0" t="n">
        <v>-12.7</v>
      </c>
      <c r="H8" s="0" t="n">
        <v>8885.063</v>
      </c>
      <c r="I8" s="0" t="n">
        <v>-1707.385</v>
      </c>
      <c r="J8" s="0" t="n">
        <v>-12.6</v>
      </c>
      <c r="K8" s="0" t="n">
        <v>-0.0653</v>
      </c>
      <c r="L8" s="0" t="n">
        <v>7326.562</v>
      </c>
      <c r="M8" s="0" t="n">
        <v>6669.825</v>
      </c>
      <c r="N8" s="0" t="n">
        <v>656.737</v>
      </c>
      <c r="O8" s="0" t="n">
        <v>12836.149</v>
      </c>
      <c r="P8" s="0" t="n">
        <v>25829.15</v>
      </c>
      <c r="Q8" s="0" t="n">
        <v>12993.001</v>
      </c>
      <c r="R8" s="0" t="n">
        <v>2794.035</v>
      </c>
      <c r="S8" s="0" t="n">
        <v>3327.279</v>
      </c>
      <c r="T8" s="0" t="n">
        <v>26151.549</v>
      </c>
      <c r="U8" s="0" t="n">
        <v>17.574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17794.465</v>
      </c>
      <c r="C9" s="0" t="n">
        <v>14221.273</v>
      </c>
      <c r="D9" s="0" t="n">
        <v>3573.192</v>
      </c>
      <c r="E9" s="0" t="n">
        <v>20.1</v>
      </c>
      <c r="F9" s="0" t="n">
        <v>2025.045</v>
      </c>
      <c r="G9" s="0" t="n">
        <v>11.4</v>
      </c>
      <c r="H9" s="0" t="n">
        <v>7444.753</v>
      </c>
      <c r="I9" s="0" t="n">
        <v>1558.132</v>
      </c>
      <c r="J9" s="0" t="n">
        <v>8.8</v>
      </c>
      <c r="K9" s="0" t="n">
        <v>0.0604</v>
      </c>
      <c r="L9" s="0" t="n">
        <v>7425.999</v>
      </c>
      <c r="M9" s="0" t="n">
        <v>6238.691</v>
      </c>
      <c r="N9" s="0" t="n">
        <v>1187.308</v>
      </c>
      <c r="O9" s="0" t="n">
        <v>13295.38</v>
      </c>
      <c r="P9" s="0" t="n">
        <v>26120.4</v>
      </c>
      <c r="Q9" s="0" t="n">
        <v>12825.02</v>
      </c>
      <c r="R9" s="0" t="n">
        <v>233.775</v>
      </c>
      <c r="S9" s="0" t="n">
        <v>2935.796</v>
      </c>
      <c r="T9" s="0" t="n">
        <v>25801.598</v>
      </c>
      <c r="U9" s="0" t="n">
        <v>15.552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19191.27</v>
      </c>
      <c r="C10" s="0" t="n">
        <v>15810.093</v>
      </c>
      <c r="D10" s="0" t="n">
        <v>3381.177</v>
      </c>
      <c r="E10" s="0" t="n">
        <v>17.6</v>
      </c>
      <c r="F10" s="0" t="n">
        <v>1647.362</v>
      </c>
      <c r="G10" s="0" t="n">
        <v>8.6</v>
      </c>
      <c r="H10" s="0" t="n">
        <v>6446.29</v>
      </c>
      <c r="I10" s="0" t="n">
        <v>1117.131</v>
      </c>
      <c r="J10" s="0" t="n">
        <v>5.8</v>
      </c>
      <c r="K10" s="0" t="n">
        <v>0.0435</v>
      </c>
      <c r="L10" s="0" t="n">
        <v>6162.796</v>
      </c>
      <c r="M10" s="0" t="n">
        <v>5262.55</v>
      </c>
      <c r="N10" s="0" t="n">
        <v>900.246</v>
      </c>
      <c r="O10" s="0" t="n">
        <v>13184.823</v>
      </c>
      <c r="P10" s="0" t="n">
        <v>29138.82</v>
      </c>
      <c r="Q10" s="0" t="n">
        <v>15953.997</v>
      </c>
      <c r="R10" s="0" t="n">
        <v>3537.181</v>
      </c>
      <c r="S10" s="0" t="n">
        <v>3685.528</v>
      </c>
      <c r="T10" s="0" t="n">
        <v>25694.872</v>
      </c>
      <c r="U10" s="0" t="n">
        <v>6.79</v>
      </c>
      <c r="AA10" s="0" t="s">
        <v>17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0.43</v>
      </c>
    </row>
    <row r="3" customFormat="false" ht="15" hidden="false" customHeight="false" outlineLevel="0" collapsed="false">
      <c r="A3" s="0" t="s">
        <v>75</v>
      </c>
      <c r="B3" s="3" t="n">
        <v>25679.6</v>
      </c>
    </row>
    <row r="4" customFormat="false" ht="15" hidden="false" customHeight="false" outlineLevel="0" collapsed="false">
      <c r="A4" s="0" t="s">
        <v>76</v>
      </c>
      <c r="B4" s="3" t="n">
        <v>232.8</v>
      </c>
    </row>
    <row r="5" customFormat="false" ht="15" hidden="false" customHeight="false" outlineLevel="0" collapsed="false">
      <c r="A5" s="0" t="s">
        <v>77</v>
      </c>
      <c r="B5" s="3" t="n">
        <v>-751.6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9603.1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3</v>
      </c>
      <c r="D13" s="3" t="n">
        <v>-15</v>
      </c>
      <c r="E13" s="3" t="n">
        <v>-5</v>
      </c>
      <c r="F13" s="3" t="n">
        <v>-3</v>
      </c>
      <c r="G13" s="3" t="n">
        <v>-3</v>
      </c>
      <c r="H13" s="3" t="n">
        <v>-3</v>
      </c>
      <c r="I13" s="3" t="n">
        <v>-3</v>
      </c>
      <c r="J13" s="3" t="n">
        <v>-3</v>
      </c>
      <c r="K13" s="3" t="n">
        <v>-3</v>
      </c>
      <c r="L13" s="3" t="n">
        <v>-3</v>
      </c>
    </row>
    <row r="14" customFormat="false" ht="15" hidden="false" customHeight="false" outlineLevel="0" collapsed="false">
      <c r="A14" s="0" t="s">
        <v>96</v>
      </c>
      <c r="C14" s="3" t="n">
        <v>71</v>
      </c>
      <c r="D14" s="3" t="n">
        <v>60</v>
      </c>
      <c r="E14" s="3" t="n">
        <v>58</v>
      </c>
      <c r="F14" s="3" t="n">
        <v>58</v>
      </c>
      <c r="G14" s="3" t="n">
        <v>58</v>
      </c>
      <c r="H14" s="3" t="n">
        <v>58</v>
      </c>
      <c r="I14" s="3" t="n">
        <v>58</v>
      </c>
      <c r="J14" s="3" t="n">
        <v>58</v>
      </c>
      <c r="K14" s="3" t="n">
        <v>58</v>
      </c>
      <c r="L14" s="3" t="n">
        <v>58</v>
      </c>
    </row>
    <row r="15" customFormat="false" ht="15" hidden="false" customHeight="false" outlineLevel="0" collapsed="false">
      <c r="A15" s="0" t="s">
        <v>97</v>
      </c>
      <c r="C15" s="3" t="n">
        <v>0.07</v>
      </c>
      <c r="D15" s="3" t="n">
        <v>0.07</v>
      </c>
      <c r="E15" s="3" t="n">
        <v>0.07</v>
      </c>
      <c r="F15" s="3" t="n">
        <v>0.07</v>
      </c>
      <c r="G15" s="3" t="n">
        <v>0.07</v>
      </c>
      <c r="H15" s="3" t="n">
        <v>0.07</v>
      </c>
      <c r="I15" s="3" t="n">
        <v>0.07</v>
      </c>
      <c r="J15" s="3" t="n">
        <v>0.07</v>
      </c>
      <c r="K15" s="3" t="n">
        <v>0.07</v>
      </c>
      <c r="L15" s="3" t="n">
        <v>0.07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46</v>
      </c>
      <c r="D17" s="3" t="n">
        <v>48</v>
      </c>
      <c r="E17" s="3" t="n">
        <v>48</v>
      </c>
      <c r="F17" s="3" t="n">
        <v>48</v>
      </c>
      <c r="G17" s="3" t="n">
        <v>48</v>
      </c>
      <c r="H17" s="3" t="n">
        <v>48</v>
      </c>
      <c r="I17" s="3" t="n">
        <v>48</v>
      </c>
      <c r="J17" s="3" t="n">
        <v>48</v>
      </c>
      <c r="K17" s="3" t="n">
        <v>48</v>
      </c>
      <c r="L17" s="3" t="n">
        <v>48</v>
      </c>
    </row>
    <row r="18" customFormat="false" ht="15" hidden="false" customHeight="false" outlineLevel="0" collapsed="false">
      <c r="A18" s="0" t="s">
        <v>100</v>
      </c>
      <c r="C18" s="3" t="n">
        <v>41</v>
      </c>
      <c r="D18" s="3" t="n">
        <v>48</v>
      </c>
      <c r="E18" s="3" t="n">
        <v>50</v>
      </c>
      <c r="F18" s="3" t="n">
        <v>50</v>
      </c>
      <c r="G18" s="3" t="n">
        <v>50</v>
      </c>
      <c r="H18" s="3" t="n">
        <v>50</v>
      </c>
      <c r="I18" s="3" t="n">
        <v>50</v>
      </c>
      <c r="J18" s="3" t="n">
        <v>50</v>
      </c>
      <c r="K18" s="3" t="n">
        <v>50</v>
      </c>
      <c r="L18" s="3" t="n">
        <v>50</v>
      </c>
    </row>
    <row r="19" customFormat="false" ht="15" hidden="false" customHeight="false" outlineLevel="0" collapsed="false">
      <c r="A19" s="0" t="s">
        <v>101</v>
      </c>
      <c r="C19" s="3" t="n">
        <v>42</v>
      </c>
      <c r="D19" s="3" t="n">
        <v>42</v>
      </c>
      <c r="E19" s="3" t="n">
        <v>42</v>
      </c>
      <c r="F19" s="3" t="n">
        <v>42</v>
      </c>
      <c r="G19" s="3" t="n">
        <v>42</v>
      </c>
      <c r="H19" s="3" t="n">
        <v>42</v>
      </c>
      <c r="I19" s="3" t="n">
        <v>42</v>
      </c>
      <c r="J19" s="3" t="n">
        <v>42</v>
      </c>
      <c r="K19" s="3" t="n">
        <v>42</v>
      </c>
      <c r="L19" s="3" t="n">
        <v>42</v>
      </c>
    </row>
    <row r="20" customFormat="false" ht="15" hidden="false" customHeight="false" outlineLevel="0" collapsed="false">
      <c r="A20" s="0" t="s">
        <v>102</v>
      </c>
      <c r="B20" s="3" t="n">
        <v>12</v>
      </c>
    </row>
    <row r="21" customFormat="false" ht="15" hidden="false" customHeight="false" outlineLevel="0" collapsed="false">
      <c r="A21" s="0" t="s">
        <v>103</v>
      </c>
      <c r="B21" s="3" t="n">
        <v>-2</v>
      </c>
    </row>
    <row r="22" customFormat="false" ht="15" hidden="false" customHeight="false" outlineLevel="0" collapsed="false">
      <c r="A22" s="0" t="s">
        <v>104</v>
      </c>
      <c r="B22" s="3" t="n">
        <v>5</v>
      </c>
    </row>
    <row r="23" customFormat="false" ht="15" hidden="false" customHeight="false" outlineLevel="0" collapsed="false">
      <c r="A23" s="0" t="s">
        <v>105</v>
      </c>
      <c r="B23" s="3" t="n">
        <v>-10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5</v>
      </c>
      <c r="D27" s="3" t="n">
        <v>-6</v>
      </c>
      <c r="E27" s="3" t="n">
        <v>0</v>
      </c>
      <c r="F27" s="3" t="n">
        <v>1</v>
      </c>
      <c r="G27" s="3" t="n">
        <v>1</v>
      </c>
      <c r="H27" s="3" t="n">
        <v>0.5</v>
      </c>
      <c r="I27" s="3" t="n">
        <v>0</v>
      </c>
      <c r="J27" s="3" t="n">
        <v>0</v>
      </c>
      <c r="K27" s="3" t="n">
        <v>-0.5</v>
      </c>
      <c r="L27" s="3" t="n">
        <v>-0.5</v>
      </c>
    </row>
    <row r="28" customFormat="false" ht="15" hidden="false" customHeight="false" outlineLevel="0" collapsed="false">
      <c r="A28" s="0" t="s">
        <v>96</v>
      </c>
      <c r="C28" s="3" t="n">
        <v>72</v>
      </c>
      <c r="D28" s="3" t="n">
        <v>67</v>
      </c>
      <c r="E28" s="3" t="n">
        <v>66</v>
      </c>
      <c r="F28" s="3" t="n">
        <v>66</v>
      </c>
      <c r="G28" s="3" t="n">
        <v>66</v>
      </c>
      <c r="H28" s="3" t="n">
        <v>66</v>
      </c>
      <c r="I28" s="3" t="n">
        <v>66</v>
      </c>
      <c r="J28" s="3" t="n">
        <v>66</v>
      </c>
      <c r="K28" s="3" t="n">
        <v>66</v>
      </c>
      <c r="L28" s="3" t="n">
        <v>66</v>
      </c>
    </row>
    <row r="29" customFormat="false" ht="15" hidden="false" customHeight="false" outlineLevel="0" collapsed="false">
      <c r="A29" s="0" t="s">
        <v>97</v>
      </c>
      <c r="C29" s="3" t="n">
        <v>0.07</v>
      </c>
      <c r="D29" s="3" t="n">
        <v>0.07</v>
      </c>
      <c r="E29" s="3" t="n">
        <v>0.07</v>
      </c>
      <c r="F29" s="3" t="n">
        <v>0.07</v>
      </c>
      <c r="G29" s="3" t="n">
        <v>0.07</v>
      </c>
      <c r="H29" s="3" t="n">
        <v>0.07</v>
      </c>
      <c r="I29" s="3" t="n">
        <v>0.07</v>
      </c>
      <c r="J29" s="3" t="n">
        <v>0.07</v>
      </c>
      <c r="K29" s="3" t="n">
        <v>0.07</v>
      </c>
      <c r="L29" s="3" t="n">
        <v>0.07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46</v>
      </c>
      <c r="D31" s="3" t="n">
        <v>47</v>
      </c>
      <c r="E31" s="3" t="n">
        <v>48</v>
      </c>
      <c r="F31" s="3" t="n">
        <v>48</v>
      </c>
      <c r="G31" s="3" t="n">
        <v>48</v>
      </c>
      <c r="H31" s="3" t="n">
        <v>48</v>
      </c>
      <c r="I31" s="3" t="n">
        <v>48</v>
      </c>
      <c r="J31" s="3" t="n">
        <v>48</v>
      </c>
      <c r="K31" s="3" t="n">
        <v>48</v>
      </c>
      <c r="L31" s="3" t="n">
        <v>48</v>
      </c>
    </row>
    <row r="32" customFormat="false" ht="15" hidden="false" customHeight="false" outlineLevel="0" collapsed="false">
      <c r="A32" s="0" t="s">
        <v>100</v>
      </c>
      <c r="C32" s="3" t="n">
        <v>41</v>
      </c>
      <c r="D32" s="3" t="n">
        <v>46</v>
      </c>
      <c r="E32" s="3" t="n">
        <v>48</v>
      </c>
      <c r="F32" s="3" t="n">
        <v>48</v>
      </c>
      <c r="G32" s="3" t="n">
        <v>48</v>
      </c>
      <c r="H32" s="3" t="n">
        <v>48</v>
      </c>
      <c r="I32" s="3" t="n">
        <v>48</v>
      </c>
      <c r="J32" s="3" t="n">
        <v>48</v>
      </c>
      <c r="K32" s="3" t="n">
        <v>48</v>
      </c>
      <c r="L32" s="3" t="n">
        <v>48</v>
      </c>
    </row>
    <row r="33" customFormat="false" ht="15" hidden="false" customHeight="false" outlineLevel="0" collapsed="false">
      <c r="A33" s="0" t="s">
        <v>101</v>
      </c>
      <c r="C33" s="3" t="n">
        <v>40</v>
      </c>
      <c r="D33" s="3" t="n">
        <v>40</v>
      </c>
      <c r="E33" s="3" t="n">
        <v>40</v>
      </c>
      <c r="F33" s="3" t="n">
        <v>40</v>
      </c>
      <c r="G33" s="3" t="n">
        <v>40</v>
      </c>
      <c r="H33" s="3" t="n">
        <v>40</v>
      </c>
      <c r="I33" s="3" t="n">
        <v>40</v>
      </c>
      <c r="J33" s="3" t="n">
        <v>40</v>
      </c>
      <c r="K33" s="3" t="n">
        <v>40</v>
      </c>
      <c r="L33" s="3" t="n">
        <v>40</v>
      </c>
    </row>
    <row r="34" customFormat="false" ht="15" hidden="false" customHeight="false" outlineLevel="0" collapsed="false">
      <c r="A34" s="0" t="s">
        <v>102</v>
      </c>
      <c r="B34" s="3" t="n">
        <v>12</v>
      </c>
    </row>
    <row r="35" customFormat="false" ht="15" hidden="false" customHeight="false" outlineLevel="0" collapsed="false">
      <c r="A35" s="0" t="s">
        <v>103</v>
      </c>
      <c r="B35" s="3" t="n">
        <v>0</v>
      </c>
    </row>
    <row r="36" customFormat="false" ht="15" hidden="false" customHeight="false" outlineLevel="0" collapsed="false">
      <c r="A36" s="0" t="s">
        <v>104</v>
      </c>
      <c r="B36" s="3" t="n">
        <v>6</v>
      </c>
    </row>
    <row r="37" customFormat="false" ht="15" hidden="false" customHeight="false" outlineLevel="0" collapsed="false">
      <c r="A37" s="0" t="s">
        <v>105</v>
      </c>
      <c r="B37" s="3" t="n">
        <v>-10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8</v>
      </c>
      <c r="D41" s="3" t="n">
        <v>0</v>
      </c>
      <c r="E41" s="3" t="n">
        <v>3</v>
      </c>
      <c r="F41" s="3" t="n">
        <v>3</v>
      </c>
      <c r="G41" s="3" t="n">
        <v>2</v>
      </c>
      <c r="H41" s="3" t="n">
        <v>2</v>
      </c>
      <c r="I41" s="3" t="n">
        <v>1</v>
      </c>
      <c r="J41" s="3" t="n">
        <v>1</v>
      </c>
      <c r="K41" s="3" t="n">
        <v>0.5</v>
      </c>
      <c r="L41" s="3" t="n">
        <v>0.5</v>
      </c>
    </row>
    <row r="42" customFormat="false" ht="15" hidden="false" customHeight="false" outlineLevel="0" collapsed="false">
      <c r="A42" s="0" t="s">
        <v>96</v>
      </c>
      <c r="C42" s="3" t="n">
        <v>73</v>
      </c>
      <c r="D42" s="3" t="n">
        <v>71</v>
      </c>
      <c r="E42" s="3" t="n">
        <v>70</v>
      </c>
      <c r="F42" s="3" t="n">
        <v>70</v>
      </c>
      <c r="G42" s="3" t="n">
        <v>70</v>
      </c>
      <c r="H42" s="3" t="n">
        <v>70</v>
      </c>
      <c r="I42" s="3" t="n">
        <v>70</v>
      </c>
      <c r="J42" s="3" t="n">
        <v>70</v>
      </c>
      <c r="K42" s="3" t="n">
        <v>70</v>
      </c>
      <c r="L42" s="3" t="n">
        <v>70</v>
      </c>
    </row>
    <row r="43" customFormat="false" ht="15" hidden="false" customHeight="false" outlineLevel="0" collapsed="false">
      <c r="A43" s="0" t="s">
        <v>97</v>
      </c>
      <c r="C43" s="3" t="n">
        <v>0.07</v>
      </c>
      <c r="D43" s="3" t="n">
        <v>0.07</v>
      </c>
      <c r="E43" s="3" t="n">
        <v>0.07</v>
      </c>
      <c r="F43" s="3" t="n">
        <v>0.07</v>
      </c>
      <c r="G43" s="3" t="n">
        <v>0.07</v>
      </c>
      <c r="H43" s="3" t="n">
        <v>0.07</v>
      </c>
      <c r="I43" s="3" t="n">
        <v>0.07</v>
      </c>
      <c r="J43" s="3" t="n">
        <v>0.07</v>
      </c>
      <c r="K43" s="3" t="n">
        <v>0.07</v>
      </c>
      <c r="L43" s="3" t="n">
        <v>0.07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45</v>
      </c>
      <c r="D45" s="3" t="n">
        <v>46</v>
      </c>
      <c r="E45" s="3" t="n">
        <v>46</v>
      </c>
      <c r="F45" s="3" t="n">
        <v>46</v>
      </c>
      <c r="G45" s="3" t="n">
        <v>46</v>
      </c>
      <c r="H45" s="3" t="n">
        <v>46</v>
      </c>
      <c r="I45" s="3" t="n">
        <v>46</v>
      </c>
      <c r="J45" s="3" t="n">
        <v>46</v>
      </c>
      <c r="K45" s="3" t="n">
        <v>46</v>
      </c>
      <c r="L45" s="3" t="n">
        <v>46</v>
      </c>
    </row>
    <row r="46" customFormat="false" ht="15" hidden="false" customHeight="false" outlineLevel="0" collapsed="false">
      <c r="A46" s="0" t="s">
        <v>100</v>
      </c>
      <c r="C46" s="3" t="n">
        <v>40</v>
      </c>
      <c r="D46" s="3" t="n">
        <v>43</v>
      </c>
      <c r="E46" s="3" t="n">
        <v>45</v>
      </c>
      <c r="F46" s="3" t="n">
        <v>45</v>
      </c>
      <c r="G46" s="3" t="n">
        <v>45</v>
      </c>
      <c r="H46" s="3" t="n">
        <v>45</v>
      </c>
      <c r="I46" s="3" t="n">
        <v>45</v>
      </c>
      <c r="J46" s="3" t="n">
        <v>45</v>
      </c>
      <c r="K46" s="3" t="n">
        <v>45</v>
      </c>
      <c r="L46" s="3" t="n">
        <v>45</v>
      </c>
    </row>
    <row r="47" customFormat="false" ht="15" hidden="false" customHeight="false" outlineLevel="0" collapsed="false">
      <c r="A47" s="0" t="s">
        <v>101</v>
      </c>
      <c r="C47" s="3" t="n">
        <v>38</v>
      </c>
      <c r="D47" s="3" t="n">
        <v>38</v>
      </c>
      <c r="E47" s="3" t="n">
        <v>38</v>
      </c>
      <c r="F47" s="3" t="n">
        <v>38</v>
      </c>
      <c r="G47" s="3" t="n">
        <v>38</v>
      </c>
      <c r="H47" s="3" t="n">
        <v>38</v>
      </c>
      <c r="I47" s="3" t="n">
        <v>38</v>
      </c>
      <c r="J47" s="3" t="n">
        <v>38</v>
      </c>
      <c r="K47" s="3" t="n">
        <v>38</v>
      </c>
      <c r="L47" s="3" t="n">
        <v>38</v>
      </c>
    </row>
    <row r="48" customFormat="false" ht="15" hidden="false" customHeight="false" outlineLevel="0" collapsed="false">
      <c r="A48" s="0" t="s">
        <v>102</v>
      </c>
      <c r="B48" s="3" t="n">
        <v>12</v>
      </c>
    </row>
    <row r="49" customFormat="false" ht="15" hidden="false" customHeight="false" outlineLevel="0" collapsed="false">
      <c r="A49" s="0" t="s">
        <v>103</v>
      </c>
      <c r="B49" s="3" t="n">
        <v>1</v>
      </c>
    </row>
    <row r="50" customFormat="false" ht="15" hidden="false" customHeight="false" outlineLevel="0" collapsed="false">
      <c r="A50" s="0" t="s">
        <v>104</v>
      </c>
      <c r="B50" s="3" t="n">
        <v>7</v>
      </c>
    </row>
    <row r="51" customFormat="false" ht="15" hidden="false" customHeight="false" outlineLevel="0" collapsed="false">
      <c r="A51" s="0" t="s">
        <v>105</v>
      </c>
      <c r="B51" s="3" t="n">
        <v>-10</v>
      </c>
    </row>
    <row r="52" customFormat="false" ht="15" hidden="false" customHeight="false" outlineLevel="0" collapsed="false">
      <c r="A52" s="0" t="s">
        <v>106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3</v>
      </c>
      <c r="D5" s="4" t="n">
        <f aca="false">Assumptions!D13</f>
        <v>-15</v>
      </c>
      <c r="E5" s="4" t="n">
        <f aca="false">Assumptions!E13</f>
        <v>-5</v>
      </c>
      <c r="F5" s="4" t="n">
        <f aca="false">Assumptions!F13</f>
        <v>-3</v>
      </c>
      <c r="G5" s="4" t="n">
        <f aca="false">Assumptions!G13</f>
        <v>-3</v>
      </c>
      <c r="H5" s="4" t="n">
        <f aca="false">Assumptions!H13</f>
        <v>-3</v>
      </c>
      <c r="I5" s="4" t="n">
        <f aca="false">Assumptions!I13</f>
        <v>-3</v>
      </c>
      <c r="J5" s="4" t="n">
        <f aca="false">Assumptions!J13</f>
        <v>-3</v>
      </c>
      <c r="K5" s="4" t="n">
        <f aca="false">Assumptions!K13</f>
        <v>-3</v>
      </c>
      <c r="L5" s="4" t="n">
        <f aca="false">Assumptions!L13</f>
        <v>-3</v>
      </c>
    </row>
    <row r="6" customFormat="false" ht="15" hidden="false" customHeight="false" outlineLevel="0" collapsed="false">
      <c r="A6" s="0" t="s">
        <v>37</v>
      </c>
      <c r="B6" s="3" t="n">
        <v>9603.1</v>
      </c>
      <c r="C6" s="0" t="n">
        <f aca="false">B6*(1+C5/100)</f>
        <v>9891.193</v>
      </c>
      <c r="D6" s="0" t="n">
        <f aca="false">C6*(1+D5/100)</f>
        <v>8407.51405</v>
      </c>
      <c r="E6" s="0" t="n">
        <f aca="false">D6*(1+E5/100)</f>
        <v>7987.1383475</v>
      </c>
      <c r="F6" s="0" t="n">
        <f aca="false">E6*(1+F5/100)</f>
        <v>7747.524197075</v>
      </c>
      <c r="G6" s="0" t="n">
        <f aca="false">F6*(1+G5/100)</f>
        <v>7515.09847116275</v>
      </c>
      <c r="H6" s="0" t="n">
        <f aca="false">G6*(1+H5/100)</f>
        <v>7289.64551702787</v>
      </c>
      <c r="I6" s="0" t="n">
        <f aca="false">H6*(1+I5/100)</f>
        <v>7070.95615151703</v>
      </c>
      <c r="J6" s="0" t="n">
        <f aca="false">I6*(1+J5/100)</f>
        <v>6858.82746697152</v>
      </c>
      <c r="K6" s="0" t="n">
        <f aca="false">J6*(1+K5/100)</f>
        <v>6653.06264296237</v>
      </c>
      <c r="L6" s="0" t="n">
        <f aca="false">K6*(1+L5/100)</f>
        <v>6453.4707636735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71</v>
      </c>
      <c r="D7" s="4" t="n">
        <f aca="false">Assumptions!D14</f>
        <v>60</v>
      </c>
      <c r="E7" s="4" t="n">
        <f aca="false">Assumptions!E14</f>
        <v>58</v>
      </c>
      <c r="F7" s="4" t="n">
        <f aca="false">Assumptions!F14</f>
        <v>58</v>
      </c>
      <c r="G7" s="4" t="n">
        <f aca="false">Assumptions!G14</f>
        <v>58</v>
      </c>
      <c r="H7" s="4" t="n">
        <f aca="false">Assumptions!H14</f>
        <v>58</v>
      </c>
      <c r="I7" s="4" t="n">
        <f aca="false">Assumptions!I14</f>
        <v>58</v>
      </c>
      <c r="J7" s="4" t="n">
        <f aca="false">Assumptions!J14</f>
        <v>58</v>
      </c>
      <c r="K7" s="4" t="n">
        <f aca="false">Assumptions!K14</f>
        <v>58</v>
      </c>
      <c r="L7" s="4" t="n">
        <f aca="false">Assumptions!L14</f>
        <v>58</v>
      </c>
    </row>
    <row r="8" customFormat="false" ht="15" hidden="false" customHeight="false" outlineLevel="0" collapsed="false">
      <c r="A8" s="0" t="s">
        <v>43</v>
      </c>
      <c r="C8" s="0" t="n">
        <f aca="false">C6*C7/100</f>
        <v>7022.74703</v>
      </c>
      <c r="D8" s="0" t="n">
        <f aca="false">D6*D7/100</f>
        <v>5044.50843</v>
      </c>
      <c r="E8" s="0" t="n">
        <f aca="false">E6*E7/100</f>
        <v>4632.54024155</v>
      </c>
      <c r="F8" s="0" t="n">
        <f aca="false">F6*F7/100</f>
        <v>4493.5640343035</v>
      </c>
      <c r="G8" s="0" t="n">
        <f aca="false">G6*G7/100</f>
        <v>4358.7571132744</v>
      </c>
      <c r="H8" s="0" t="n">
        <f aca="false">H6*H7/100</f>
        <v>4227.99439987616</v>
      </c>
      <c r="I8" s="0" t="n">
        <f aca="false">I6*I7/100</f>
        <v>4101.15456787988</v>
      </c>
      <c r="J8" s="0" t="n">
        <f aca="false">J6*J7/100</f>
        <v>3978.11993084348</v>
      </c>
      <c r="K8" s="0" t="n">
        <f aca="false">K6*K7/100</f>
        <v>3858.77633291818</v>
      </c>
      <c r="L8" s="0" t="n">
        <f aca="false">L6*L7/100</f>
        <v>3743.01304293063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0.07</v>
      </c>
      <c r="D9" s="4" t="n">
        <f aca="false">Assumptions!D15</f>
        <v>0.07</v>
      </c>
      <c r="E9" s="4" t="n">
        <f aca="false">Assumptions!E15</f>
        <v>0.07</v>
      </c>
      <c r="F9" s="4" t="n">
        <f aca="false">Assumptions!F15</f>
        <v>0.07</v>
      </c>
      <c r="G9" s="4" t="n">
        <f aca="false">Assumptions!G15</f>
        <v>0.07</v>
      </c>
      <c r="H9" s="4" t="n">
        <f aca="false">Assumptions!H15</f>
        <v>0.07</v>
      </c>
      <c r="I9" s="4" t="n">
        <f aca="false">Assumptions!I15</f>
        <v>0.07</v>
      </c>
      <c r="J9" s="4" t="n">
        <f aca="false">Assumptions!J15</f>
        <v>0.07</v>
      </c>
      <c r="K9" s="4" t="n">
        <f aca="false">Assumptions!K15</f>
        <v>0.07</v>
      </c>
      <c r="L9" s="4" t="n">
        <f aca="false">Assumptions!L15</f>
        <v>0.07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-6.9238351</v>
      </c>
      <c r="D10" s="0" t="n">
        <f aca="false">-D6*D9/100</f>
        <v>-5.885259835</v>
      </c>
      <c r="E10" s="0" t="n">
        <f aca="false">-E6*E9/100</f>
        <v>-5.59099684325</v>
      </c>
      <c r="F10" s="0" t="n">
        <f aca="false">-F6*F9/100</f>
        <v>-5.4232669379525</v>
      </c>
      <c r="G10" s="0" t="n">
        <f aca="false">-G6*G9/100</f>
        <v>-5.26056892981393</v>
      </c>
      <c r="H10" s="0" t="n">
        <f aca="false">-H6*H9/100</f>
        <v>-5.10275186191951</v>
      </c>
      <c r="I10" s="0" t="n">
        <f aca="false">-I6*I9/100</f>
        <v>-4.94966930606192</v>
      </c>
      <c r="J10" s="0" t="n">
        <f aca="false">-J6*J9/100</f>
        <v>-4.80117922688006</v>
      </c>
      <c r="K10" s="0" t="n">
        <f aca="false">-K6*K9/100</f>
        <v>-4.65714385007366</v>
      </c>
      <c r="L10" s="0" t="n">
        <f aca="false">-L6*L9/100</f>
        <v>-4.51742953457145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7015.8231949</v>
      </c>
      <c r="D11" s="0" t="n">
        <f aca="false">D8+D10+D24</f>
        <v>5038.623170165</v>
      </c>
      <c r="E11" s="0" t="n">
        <f aca="false">E8+E10+E24</f>
        <v>4626.94924470675</v>
      </c>
      <c r="F11" s="0" t="n">
        <f aca="false">F8+F10+F24</f>
        <v>4488.14076736555</v>
      </c>
      <c r="G11" s="0" t="n">
        <f aca="false">G8+G10+G24</f>
        <v>4353.49654434458</v>
      </c>
      <c r="H11" s="0" t="n">
        <f aca="false">H8+H10+H24</f>
        <v>4222.89164801424</v>
      </c>
      <c r="I11" s="0" t="n">
        <f aca="false">I8+I10+I24</f>
        <v>4096.20489857382</v>
      </c>
      <c r="J11" s="0" t="n">
        <f aca="false">J8+J10+J24</f>
        <v>3973.3187516166</v>
      </c>
      <c r="K11" s="0" t="n">
        <f aca="false">K8+K10+K24</f>
        <v>3854.1191890681</v>
      </c>
      <c r="L11" s="0" t="n">
        <f aca="false">L8+L10+L24</f>
        <v>3738.49561339606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-4549.94878</v>
      </c>
      <c r="D12" s="4" t="n">
        <f aca="false">-D6*Assumptions!D17/100</f>
        <v>-4035.606744</v>
      </c>
      <c r="E12" s="4" t="n">
        <f aca="false">-E6*Assumptions!E17/100</f>
        <v>-3833.8264068</v>
      </c>
      <c r="F12" s="4" t="n">
        <f aca="false">-F6*Assumptions!F17/100</f>
        <v>-3718.811614596</v>
      </c>
      <c r="G12" s="4" t="n">
        <f aca="false">-G6*Assumptions!G17/100</f>
        <v>-3607.24726615812</v>
      </c>
      <c r="H12" s="4" t="n">
        <f aca="false">-H6*Assumptions!H17/100</f>
        <v>-3499.02984817338</v>
      </c>
      <c r="I12" s="4" t="n">
        <f aca="false">-I6*Assumptions!I17/100</f>
        <v>-3394.05895272818</v>
      </c>
      <c r="J12" s="4" t="n">
        <f aca="false">-J6*Assumptions!J17/100</f>
        <v>-3292.23718414633</v>
      </c>
      <c r="K12" s="4" t="n">
        <f aca="false">-K6*Assumptions!K17/100</f>
        <v>-3193.47006862194</v>
      </c>
      <c r="L12" s="4" t="n">
        <f aca="false">-L6*Assumptions!L17/100</f>
        <v>-3097.66596656328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2465.8744149</v>
      </c>
      <c r="D13" s="0" t="n">
        <f aca="false">D11+D12</f>
        <v>1003.016426165</v>
      </c>
      <c r="E13" s="0" t="n">
        <f aca="false">E11+E12</f>
        <v>793.12283790675</v>
      </c>
      <c r="F13" s="0" t="n">
        <f aca="false">F11+F12</f>
        <v>769.329152769548</v>
      </c>
      <c r="G13" s="0" t="n">
        <f aca="false">G11+G12</f>
        <v>746.24927818646</v>
      </c>
      <c r="H13" s="0" t="n">
        <f aca="false">H11+H12</f>
        <v>723.861799840867</v>
      </c>
      <c r="I13" s="0" t="n">
        <f aca="false">I11+I12</f>
        <v>702.145945845641</v>
      </c>
      <c r="J13" s="0" t="n">
        <f aca="false">J11+J12</f>
        <v>681.081567470272</v>
      </c>
      <c r="K13" s="0" t="n">
        <f aca="false">K11+K12</f>
        <v>660.649120446164</v>
      </c>
      <c r="L13" s="0" t="n">
        <f aca="false">L11+L12</f>
        <v>640.829646832779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42</v>
      </c>
      <c r="D14" s="4" t="n">
        <f aca="false">Assumptions!D19</f>
        <v>42</v>
      </c>
      <c r="E14" s="4" t="n">
        <f aca="false">Assumptions!E19</f>
        <v>42</v>
      </c>
      <c r="F14" s="4" t="n">
        <f aca="false">Assumptions!F19</f>
        <v>42</v>
      </c>
      <c r="G14" s="4" t="n">
        <f aca="false">Assumptions!G19</f>
        <v>42</v>
      </c>
      <c r="H14" s="4" t="n">
        <f aca="false">Assumptions!H19</f>
        <v>42</v>
      </c>
      <c r="I14" s="4" t="n">
        <f aca="false">Assumptions!I19</f>
        <v>42</v>
      </c>
      <c r="J14" s="4" t="n">
        <f aca="false">Assumptions!J19</f>
        <v>42</v>
      </c>
      <c r="K14" s="4" t="n">
        <f aca="false">Assumptions!K19</f>
        <v>42</v>
      </c>
      <c r="L14" s="4" t="n">
        <f aca="false">Assumptions!L19</f>
        <v>42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1430.207160642</v>
      </c>
      <c r="D15" s="0" t="n">
        <f aca="false">D13-MAX(0,D13)*D14/100</f>
        <v>581.7495271757</v>
      </c>
      <c r="E15" s="0" t="n">
        <f aca="false">E13-MAX(0,E13)*E14/100</f>
        <v>460.011245985915</v>
      </c>
      <c r="F15" s="0" t="n">
        <f aca="false">F13-MAX(0,F13)*F14/100</f>
        <v>446.210908606338</v>
      </c>
      <c r="G15" s="0" t="n">
        <f aca="false">G13-MAX(0,G13)*G14/100</f>
        <v>432.824581348147</v>
      </c>
      <c r="H15" s="0" t="n">
        <f aca="false">H13-MAX(0,H13)*H14/100</f>
        <v>419.839843907703</v>
      </c>
      <c r="I15" s="0" t="n">
        <f aca="false">I13-MAX(0,I13)*I14/100</f>
        <v>407.244648590472</v>
      </c>
      <c r="J15" s="0" t="n">
        <f aca="false">J13-MAX(0,J13)*J14/100</f>
        <v>395.027309132758</v>
      </c>
      <c r="K15" s="0" t="n">
        <f aca="false">K13-MAX(0,K13)*K14/100</f>
        <v>383.176489858775</v>
      </c>
      <c r="L15" s="0" t="n">
        <f aca="false">L13-MAX(0,L13)*L14/100</f>
        <v>371.681195163012</v>
      </c>
    </row>
    <row r="16" customFormat="false" ht="15" hidden="false" customHeight="false" outlineLevel="0" collapsed="false">
      <c r="A16" s="0" t="s">
        <v>117</v>
      </c>
      <c r="C16" s="0" t="n">
        <f aca="false">-C12</f>
        <v>4549.94878</v>
      </c>
      <c r="D16" s="0" t="n">
        <f aca="false">-D12</f>
        <v>4035.606744</v>
      </c>
      <c r="E16" s="0" t="n">
        <f aca="false">-E12</f>
        <v>3833.8264068</v>
      </c>
      <c r="F16" s="0" t="n">
        <f aca="false">-F12</f>
        <v>3718.811614596</v>
      </c>
      <c r="G16" s="0" t="n">
        <f aca="false">-G12</f>
        <v>3607.24726615812</v>
      </c>
      <c r="H16" s="0" t="n">
        <f aca="false">-H12</f>
        <v>3499.02984817338</v>
      </c>
      <c r="I16" s="0" t="n">
        <f aca="false">-I12</f>
        <v>3394.05895272818</v>
      </c>
      <c r="J16" s="0" t="n">
        <f aca="false">-J12</f>
        <v>3292.23718414633</v>
      </c>
      <c r="K16" s="0" t="n">
        <f aca="false">-K12</f>
        <v>3193.47006862194</v>
      </c>
      <c r="L16" s="0" t="n">
        <f aca="false">-L12</f>
        <v>3097.66596656328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-4055.38913</v>
      </c>
      <c r="D17" s="4" t="n">
        <f aca="false">-D6*Assumptions!D18/100</f>
        <v>-4035.606744</v>
      </c>
      <c r="E17" s="4" t="n">
        <f aca="false">-E6*Assumptions!E18/100</f>
        <v>-3993.56917375</v>
      </c>
      <c r="F17" s="4" t="n">
        <f aca="false">-F6*Assumptions!F18/100</f>
        <v>-3873.7620985375</v>
      </c>
      <c r="G17" s="4" t="n">
        <f aca="false">-G6*Assumptions!G18/100</f>
        <v>-3757.54923558138</v>
      </c>
      <c r="H17" s="4" t="n">
        <f aca="false">-H6*Assumptions!H18/100</f>
        <v>-3644.82275851393</v>
      </c>
      <c r="I17" s="4" t="n">
        <f aca="false">-I6*Assumptions!I18/100</f>
        <v>-3535.47807575852</v>
      </c>
      <c r="J17" s="4" t="n">
        <f aca="false">-J6*Assumptions!J18/100</f>
        <v>-3429.41373348576</v>
      </c>
      <c r="K17" s="4" t="n">
        <f aca="false">-K6*Assumptions!K18/100</f>
        <v>-3326.53132148119</v>
      </c>
      <c r="L17" s="4" t="n">
        <f aca="false">-L6*Assumptions!L18/100</f>
        <v>-3226.73538183675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-28.8093000000001</v>
      </c>
      <c r="D18" s="4" t="n">
        <f aca="false">(D6-C6)*Assumptions!$B$23/100</f>
        <v>148.367895</v>
      </c>
      <c r="E18" s="4" t="n">
        <f aca="false">(E6-D6)*Assumptions!$B$23/100</f>
        <v>42.03757025</v>
      </c>
      <c r="F18" s="4" t="n">
        <f aca="false">(F6-E6)*Assumptions!$B$23/100</f>
        <v>23.9614150425</v>
      </c>
      <c r="G18" s="4" t="n">
        <f aca="false">(G6-F6)*Assumptions!$B$23/100</f>
        <v>23.2425725912251</v>
      </c>
      <c r="H18" s="4" t="n">
        <f aca="false">(H6-G6)*Assumptions!$B$23/100</f>
        <v>22.5452954134883</v>
      </c>
      <c r="I18" s="4" t="n">
        <f aca="false">(I6-H6)*Assumptions!$B$23/100</f>
        <v>21.8689365510836</v>
      </c>
      <c r="J18" s="4" t="n">
        <f aca="false">(J6-I6)*Assumptions!$B$23/100</f>
        <v>21.2128684545512</v>
      </c>
      <c r="K18" s="4" t="n">
        <f aca="false">(K6-J6)*Assumptions!$B$23/100</f>
        <v>20.5764824009146</v>
      </c>
      <c r="L18" s="4" t="n">
        <f aca="false">(L6-K6)*Assumptions!$B$23/100</f>
        <v>19.9591879288872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1895.957510642</v>
      </c>
      <c r="D19" s="0" t="n">
        <f aca="false">D15+D16+D17+D18</f>
        <v>730.1174221757</v>
      </c>
      <c r="E19" s="0" t="n">
        <f aca="false">E15+E16+E17+E18</f>
        <v>342.306049285915</v>
      </c>
      <c r="F19" s="0" t="n">
        <f aca="false">F15+F16+F17+F18</f>
        <v>315.221839707338</v>
      </c>
      <c r="G19" s="0" t="n">
        <f aca="false">G15+G16+G17+G18</f>
        <v>305.765184516117</v>
      </c>
      <c r="H19" s="0" t="n">
        <f aca="false">H15+H16+H17+H18</f>
        <v>296.592228980634</v>
      </c>
      <c r="I19" s="0" t="n">
        <f aca="false">I15+I16+I17+I18</f>
        <v>287.694462111215</v>
      </c>
      <c r="J19" s="0" t="n">
        <f aca="false">J15+J16+J17+J18</f>
        <v>279.063628247878</v>
      </c>
      <c r="K19" s="0" t="n">
        <f aca="false">K15+K16+K17+K18</f>
        <v>270.691719400442</v>
      </c>
      <c r="L19" s="0" t="n">
        <f aca="false">L15+L16+L17+L18</f>
        <v>262.570967818429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1692.81920593036</v>
      </c>
      <c r="D21" s="0" t="n">
        <f aca="false">D19*D20</f>
        <v>582.045138851801</v>
      </c>
      <c r="E21" s="0" t="n">
        <f aca="false">E19*E20</f>
        <v>243.646684588758</v>
      </c>
      <c r="F21" s="0" t="n">
        <f aca="false">F19*F20</f>
        <v>200.329177842043</v>
      </c>
      <c r="G21" s="0" t="n">
        <f aca="false">G19*G20</f>
        <v>173.499377238198</v>
      </c>
      <c r="H21" s="0" t="n">
        <f aca="false">H19*H20</f>
        <v>150.262853500939</v>
      </c>
      <c r="I21" s="0" t="n">
        <f aca="false">I19*I20</f>
        <v>130.138364192778</v>
      </c>
      <c r="J21" s="0" t="n">
        <f aca="false">J19*J20</f>
        <v>112.709118988388</v>
      </c>
      <c r="K21" s="0" t="n">
        <f aca="false">K19*K20</f>
        <v>97.6141476953001</v>
      </c>
      <c r="L21" s="0" t="n">
        <f aca="false">L19*L20</f>
        <v>84.540824343251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12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-2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3467.60489317181</v>
      </c>
    </row>
    <row r="31" customFormat="false" ht="15" hidden="false" customHeight="false" outlineLevel="0" collapsed="false">
      <c r="A31" s="0" t="s">
        <v>126</v>
      </c>
      <c r="B31" s="0" t="n">
        <f aca="false">L19</f>
        <v>262.570967818429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1837.996774729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1312.85483909214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1312.85483909214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422.704121716255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3890.30901488807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2905.90901488807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0.113160213355662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-0.736836713126366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31.1820339784529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10.1814398582146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0.114770965619587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1312.85483909214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0.0999870578648566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5</v>
      </c>
      <c r="D5" s="4" t="n">
        <f aca="false">Assumptions!D27</f>
        <v>-6</v>
      </c>
      <c r="E5" s="4" t="n">
        <f aca="false">Assumptions!E27</f>
        <v>0</v>
      </c>
      <c r="F5" s="4" t="n">
        <f aca="false">Assumptions!F27</f>
        <v>1</v>
      </c>
      <c r="G5" s="4" t="n">
        <f aca="false">Assumptions!G27</f>
        <v>1</v>
      </c>
      <c r="H5" s="4" t="n">
        <f aca="false">Assumptions!H27</f>
        <v>0.5</v>
      </c>
      <c r="I5" s="4" t="n">
        <f aca="false">Assumptions!I27</f>
        <v>0</v>
      </c>
      <c r="J5" s="4" t="n">
        <f aca="false">Assumptions!J27</f>
        <v>0</v>
      </c>
      <c r="K5" s="4" t="n">
        <f aca="false">Assumptions!K27</f>
        <v>-0.5</v>
      </c>
      <c r="L5" s="4" t="n">
        <f aca="false">Assumptions!L27</f>
        <v>-0.5</v>
      </c>
    </row>
    <row r="6" customFormat="false" ht="15" hidden="false" customHeight="false" outlineLevel="0" collapsed="false">
      <c r="A6" s="0" t="s">
        <v>37</v>
      </c>
      <c r="B6" s="3" t="n">
        <v>9603.1</v>
      </c>
      <c r="C6" s="0" t="n">
        <f aca="false">B6*(1+C5/100)</f>
        <v>10083.255</v>
      </c>
      <c r="D6" s="0" t="n">
        <f aca="false">C6*(1+D5/100)</f>
        <v>9478.2597</v>
      </c>
      <c r="E6" s="0" t="n">
        <f aca="false">D6*(1+E5/100)</f>
        <v>9478.2597</v>
      </c>
      <c r="F6" s="0" t="n">
        <f aca="false">E6*(1+F5/100)</f>
        <v>9573.042297</v>
      </c>
      <c r="G6" s="0" t="n">
        <f aca="false">F6*(1+G5/100)</f>
        <v>9668.77271997</v>
      </c>
      <c r="H6" s="0" t="n">
        <f aca="false">G6*(1+H5/100)</f>
        <v>9717.11658356985</v>
      </c>
      <c r="I6" s="0" t="n">
        <f aca="false">H6*(1+I5/100)</f>
        <v>9717.11658356985</v>
      </c>
      <c r="J6" s="0" t="n">
        <f aca="false">I6*(1+J5/100)</f>
        <v>9717.11658356985</v>
      </c>
      <c r="K6" s="0" t="n">
        <f aca="false">J6*(1+K5/100)</f>
        <v>9668.531000652</v>
      </c>
      <c r="L6" s="0" t="n">
        <f aca="false">K6*(1+L5/100)</f>
        <v>9620.18834564874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72</v>
      </c>
      <c r="D7" s="4" t="n">
        <f aca="false">Assumptions!D28</f>
        <v>67</v>
      </c>
      <c r="E7" s="4" t="n">
        <f aca="false">Assumptions!E28</f>
        <v>66</v>
      </c>
      <c r="F7" s="4" t="n">
        <f aca="false">Assumptions!F28</f>
        <v>66</v>
      </c>
      <c r="G7" s="4" t="n">
        <f aca="false">Assumptions!G28</f>
        <v>66</v>
      </c>
      <c r="H7" s="4" t="n">
        <f aca="false">Assumptions!H28</f>
        <v>66</v>
      </c>
      <c r="I7" s="4" t="n">
        <f aca="false">Assumptions!I28</f>
        <v>66</v>
      </c>
      <c r="J7" s="4" t="n">
        <f aca="false">Assumptions!J28</f>
        <v>66</v>
      </c>
      <c r="K7" s="4" t="n">
        <f aca="false">Assumptions!K28</f>
        <v>66</v>
      </c>
      <c r="L7" s="4" t="n">
        <f aca="false">Assumptions!L28</f>
        <v>66</v>
      </c>
    </row>
    <row r="8" customFormat="false" ht="15" hidden="false" customHeight="false" outlineLevel="0" collapsed="false">
      <c r="A8" s="0" t="s">
        <v>43</v>
      </c>
      <c r="C8" s="0" t="n">
        <f aca="false">C6*C7/100</f>
        <v>7259.9436</v>
      </c>
      <c r="D8" s="0" t="n">
        <f aca="false">D6*D7/100</f>
        <v>6350.433999</v>
      </c>
      <c r="E8" s="0" t="n">
        <f aca="false">E6*E7/100</f>
        <v>6255.651402</v>
      </c>
      <c r="F8" s="0" t="n">
        <f aca="false">F6*F7/100</f>
        <v>6318.20791602</v>
      </c>
      <c r="G8" s="0" t="n">
        <f aca="false">G6*G7/100</f>
        <v>6381.3899951802</v>
      </c>
      <c r="H8" s="0" t="n">
        <f aca="false">H6*H7/100</f>
        <v>6413.2969451561</v>
      </c>
      <c r="I8" s="0" t="n">
        <f aca="false">I6*I7/100</f>
        <v>6413.2969451561</v>
      </c>
      <c r="J8" s="0" t="n">
        <f aca="false">J6*J7/100</f>
        <v>6413.2969451561</v>
      </c>
      <c r="K8" s="0" t="n">
        <f aca="false">K6*K7/100</f>
        <v>6381.23046043032</v>
      </c>
      <c r="L8" s="0" t="n">
        <f aca="false">L6*L7/100</f>
        <v>6349.32430812817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0.07</v>
      </c>
      <c r="D9" s="4" t="n">
        <f aca="false">Assumptions!D29</f>
        <v>0.07</v>
      </c>
      <c r="E9" s="4" t="n">
        <f aca="false">Assumptions!E29</f>
        <v>0.07</v>
      </c>
      <c r="F9" s="4" t="n">
        <f aca="false">Assumptions!F29</f>
        <v>0.07</v>
      </c>
      <c r="G9" s="4" t="n">
        <f aca="false">Assumptions!G29</f>
        <v>0.07</v>
      </c>
      <c r="H9" s="4" t="n">
        <f aca="false">Assumptions!H29</f>
        <v>0.07</v>
      </c>
      <c r="I9" s="4" t="n">
        <f aca="false">Assumptions!I29</f>
        <v>0.07</v>
      </c>
      <c r="J9" s="4" t="n">
        <f aca="false">Assumptions!J29</f>
        <v>0.07</v>
      </c>
      <c r="K9" s="4" t="n">
        <f aca="false">Assumptions!K29</f>
        <v>0.07</v>
      </c>
      <c r="L9" s="4" t="n">
        <f aca="false">Assumptions!L29</f>
        <v>0.07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-7.0582785</v>
      </c>
      <c r="D10" s="0" t="n">
        <f aca="false">-D6*D9/100</f>
        <v>-6.63478179</v>
      </c>
      <c r="E10" s="0" t="n">
        <f aca="false">-E6*E9/100</f>
        <v>-6.63478179</v>
      </c>
      <c r="F10" s="0" t="n">
        <f aca="false">-F6*F9/100</f>
        <v>-6.7011296079</v>
      </c>
      <c r="G10" s="0" t="n">
        <f aca="false">-G6*G9/100</f>
        <v>-6.768140903979</v>
      </c>
      <c r="H10" s="0" t="n">
        <f aca="false">-H6*H9/100</f>
        <v>-6.80198160849889</v>
      </c>
      <c r="I10" s="0" t="n">
        <f aca="false">-I6*I9/100</f>
        <v>-6.80198160849889</v>
      </c>
      <c r="J10" s="0" t="n">
        <f aca="false">-J6*J9/100</f>
        <v>-6.80198160849889</v>
      </c>
      <c r="K10" s="0" t="n">
        <f aca="false">-K6*K9/100</f>
        <v>-6.7679717004564</v>
      </c>
      <c r="L10" s="0" t="n">
        <f aca="false">-L6*L9/100</f>
        <v>-6.73413184195412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7252.8853215</v>
      </c>
      <c r="D11" s="0" t="n">
        <f aca="false">D8+D10+D24</f>
        <v>6343.79921721</v>
      </c>
      <c r="E11" s="0" t="n">
        <f aca="false">E8+E10+E24</f>
        <v>6249.01662021</v>
      </c>
      <c r="F11" s="0" t="n">
        <f aca="false">F8+F10+F24</f>
        <v>6311.5067864121</v>
      </c>
      <c r="G11" s="0" t="n">
        <f aca="false">G8+G10+G24</f>
        <v>6374.62185427622</v>
      </c>
      <c r="H11" s="0" t="n">
        <f aca="false">H8+H10+H24</f>
        <v>6406.4949635476</v>
      </c>
      <c r="I11" s="0" t="n">
        <f aca="false">I8+I10+I24</f>
        <v>6406.4949635476</v>
      </c>
      <c r="J11" s="0" t="n">
        <f aca="false">J8+J10+J24</f>
        <v>6406.4949635476</v>
      </c>
      <c r="K11" s="0" t="n">
        <f aca="false">K8+K10+K24</f>
        <v>6374.46248872986</v>
      </c>
      <c r="L11" s="0" t="n">
        <f aca="false">L8+L10+L24</f>
        <v>6342.59017628621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-4638.2973</v>
      </c>
      <c r="D12" s="4" t="n">
        <f aca="false">-D6*Assumptions!D31/100</f>
        <v>-4454.782059</v>
      </c>
      <c r="E12" s="4" t="n">
        <f aca="false">-E6*Assumptions!E31/100</f>
        <v>-4549.564656</v>
      </c>
      <c r="F12" s="4" t="n">
        <f aca="false">-F6*Assumptions!F31/100</f>
        <v>-4595.06030256</v>
      </c>
      <c r="G12" s="4" t="n">
        <f aca="false">-G6*Assumptions!G31/100</f>
        <v>-4641.0109055856</v>
      </c>
      <c r="H12" s="4" t="n">
        <f aca="false">-H6*Assumptions!H31/100</f>
        <v>-4664.21596011353</v>
      </c>
      <c r="I12" s="4" t="n">
        <f aca="false">-I6*Assumptions!I31/100</f>
        <v>-4664.21596011353</v>
      </c>
      <c r="J12" s="4" t="n">
        <f aca="false">-J6*Assumptions!J31/100</f>
        <v>-4664.21596011353</v>
      </c>
      <c r="K12" s="4" t="n">
        <f aca="false">-K6*Assumptions!K31/100</f>
        <v>-4640.89488031296</v>
      </c>
      <c r="L12" s="4" t="n">
        <f aca="false">-L6*Assumptions!L31/100</f>
        <v>-4617.6904059114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2614.5880215</v>
      </c>
      <c r="D13" s="0" t="n">
        <f aca="false">D11+D12</f>
        <v>1889.01715821</v>
      </c>
      <c r="E13" s="0" t="n">
        <f aca="false">E11+E12</f>
        <v>1699.45196421</v>
      </c>
      <c r="F13" s="0" t="n">
        <f aca="false">F11+F12</f>
        <v>1716.4464838521</v>
      </c>
      <c r="G13" s="0" t="n">
        <f aca="false">G11+G12</f>
        <v>1733.61094869062</v>
      </c>
      <c r="H13" s="0" t="n">
        <f aca="false">H11+H12</f>
        <v>1742.27900343407</v>
      </c>
      <c r="I13" s="0" t="n">
        <f aca="false">I11+I12</f>
        <v>1742.27900343407</v>
      </c>
      <c r="J13" s="0" t="n">
        <f aca="false">J11+J12</f>
        <v>1742.27900343407</v>
      </c>
      <c r="K13" s="0" t="n">
        <f aca="false">K11+K12</f>
        <v>1733.5676084169</v>
      </c>
      <c r="L13" s="0" t="n">
        <f aca="false">L11+L12</f>
        <v>1724.89977037482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40</v>
      </c>
      <c r="D14" s="4" t="n">
        <f aca="false">Assumptions!D33</f>
        <v>40</v>
      </c>
      <c r="E14" s="4" t="n">
        <f aca="false">Assumptions!E33</f>
        <v>40</v>
      </c>
      <c r="F14" s="4" t="n">
        <f aca="false">Assumptions!F33</f>
        <v>40</v>
      </c>
      <c r="G14" s="4" t="n">
        <f aca="false">Assumptions!G33</f>
        <v>40</v>
      </c>
      <c r="H14" s="4" t="n">
        <f aca="false">Assumptions!H33</f>
        <v>40</v>
      </c>
      <c r="I14" s="4" t="n">
        <f aca="false">Assumptions!I33</f>
        <v>40</v>
      </c>
      <c r="J14" s="4" t="n">
        <f aca="false">Assumptions!J33</f>
        <v>40</v>
      </c>
      <c r="K14" s="4" t="n">
        <f aca="false">Assumptions!K33</f>
        <v>40</v>
      </c>
      <c r="L14" s="4" t="n">
        <f aca="false">Assumptions!L33</f>
        <v>40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1568.7528129</v>
      </c>
      <c r="D15" s="0" t="n">
        <f aca="false">D13-MAX(0,D13)*D14/100</f>
        <v>1133.410294926</v>
      </c>
      <c r="E15" s="0" t="n">
        <f aca="false">E13-MAX(0,E13)*E14/100</f>
        <v>1019.671178526</v>
      </c>
      <c r="F15" s="0" t="n">
        <f aca="false">F13-MAX(0,F13)*F14/100</f>
        <v>1029.86789031126</v>
      </c>
      <c r="G15" s="0" t="n">
        <f aca="false">G13-MAX(0,G13)*G14/100</f>
        <v>1040.16656921437</v>
      </c>
      <c r="H15" s="0" t="n">
        <f aca="false">H13-MAX(0,H13)*H14/100</f>
        <v>1045.36740206044</v>
      </c>
      <c r="I15" s="0" t="n">
        <f aca="false">I13-MAX(0,I13)*I14/100</f>
        <v>1045.36740206044</v>
      </c>
      <c r="J15" s="0" t="n">
        <f aca="false">J13-MAX(0,J13)*J14/100</f>
        <v>1045.36740206044</v>
      </c>
      <c r="K15" s="0" t="n">
        <f aca="false">K13-MAX(0,K13)*K14/100</f>
        <v>1040.14056505014</v>
      </c>
      <c r="L15" s="0" t="n">
        <f aca="false">L13-MAX(0,L13)*L14/100</f>
        <v>1034.93986222489</v>
      </c>
    </row>
    <row r="16" customFormat="false" ht="15" hidden="false" customHeight="false" outlineLevel="0" collapsed="false">
      <c r="A16" s="0" t="s">
        <v>117</v>
      </c>
      <c r="C16" s="0" t="n">
        <f aca="false">-C12</f>
        <v>4638.2973</v>
      </c>
      <c r="D16" s="0" t="n">
        <f aca="false">-D12</f>
        <v>4454.782059</v>
      </c>
      <c r="E16" s="0" t="n">
        <f aca="false">-E12</f>
        <v>4549.564656</v>
      </c>
      <c r="F16" s="0" t="n">
        <f aca="false">-F12</f>
        <v>4595.06030256</v>
      </c>
      <c r="G16" s="0" t="n">
        <f aca="false">-G12</f>
        <v>4641.0109055856</v>
      </c>
      <c r="H16" s="0" t="n">
        <f aca="false">-H12</f>
        <v>4664.21596011353</v>
      </c>
      <c r="I16" s="0" t="n">
        <f aca="false">-I12</f>
        <v>4664.21596011353</v>
      </c>
      <c r="J16" s="0" t="n">
        <f aca="false">-J12</f>
        <v>4664.21596011353</v>
      </c>
      <c r="K16" s="0" t="n">
        <f aca="false">-K12</f>
        <v>4640.89488031296</v>
      </c>
      <c r="L16" s="0" t="n">
        <f aca="false">-L12</f>
        <v>4617.6904059114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-4134.13455</v>
      </c>
      <c r="D17" s="4" t="n">
        <f aca="false">-D6*Assumptions!D32/100</f>
        <v>-4359.999462</v>
      </c>
      <c r="E17" s="4" t="n">
        <f aca="false">-E6*Assumptions!E32/100</f>
        <v>-4549.564656</v>
      </c>
      <c r="F17" s="4" t="n">
        <f aca="false">-F6*Assumptions!F32/100</f>
        <v>-4595.06030256</v>
      </c>
      <c r="G17" s="4" t="n">
        <f aca="false">-G6*Assumptions!G32/100</f>
        <v>-4641.0109055856</v>
      </c>
      <c r="H17" s="4" t="n">
        <f aca="false">-H6*Assumptions!H32/100</f>
        <v>-4664.21596011353</v>
      </c>
      <c r="I17" s="4" t="n">
        <f aca="false">-I6*Assumptions!I32/100</f>
        <v>-4664.21596011353</v>
      </c>
      <c r="J17" s="4" t="n">
        <f aca="false">-J6*Assumptions!J32/100</f>
        <v>-4664.21596011353</v>
      </c>
      <c r="K17" s="4" t="n">
        <f aca="false">-K6*Assumptions!K32/100</f>
        <v>-4640.89488031296</v>
      </c>
      <c r="L17" s="4" t="n">
        <f aca="false">-L6*Assumptions!L32/100</f>
        <v>-4617.6904059114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-48.0155000000001</v>
      </c>
      <c r="D18" s="4" t="n">
        <f aca="false">(D6-C6)*Assumptions!$B$37/100</f>
        <v>60.4995300000001</v>
      </c>
      <c r="E18" s="4" t="n">
        <f aca="false">(E6-D6)*Assumptions!$B$37/100</f>
        <v>-0</v>
      </c>
      <c r="F18" s="4" t="n">
        <f aca="false">(F6-E6)*Assumptions!$B$37/100</f>
        <v>-9.47825969999994</v>
      </c>
      <c r="G18" s="4" t="n">
        <f aca="false">(G6-F6)*Assumptions!$B$37/100</f>
        <v>-9.57304229700003</v>
      </c>
      <c r="H18" s="4" t="n">
        <f aca="false">(H6-G6)*Assumptions!$B$37/100</f>
        <v>-4.83438635998482</v>
      </c>
      <c r="I18" s="4" t="n">
        <f aca="false">(I6-H6)*Assumptions!$B$37/100</f>
        <v>-0</v>
      </c>
      <c r="J18" s="4" t="n">
        <f aca="false">(J6-I6)*Assumptions!$B$37/100</f>
        <v>-0</v>
      </c>
      <c r="K18" s="4" t="n">
        <f aca="false">(K6-J6)*Assumptions!$B$37/100</f>
        <v>4.8585582917849</v>
      </c>
      <c r="L18" s="4" t="n">
        <f aca="false">(L6-K6)*Assumptions!$B$37/100</f>
        <v>4.834265500326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2024.9000629</v>
      </c>
      <c r="D19" s="0" t="n">
        <f aca="false">D15+D16+D17+D18</f>
        <v>1288.692421926</v>
      </c>
      <c r="E19" s="0" t="n">
        <f aca="false">E15+E16+E17+E18</f>
        <v>1019.671178526</v>
      </c>
      <c r="F19" s="0" t="n">
        <f aca="false">F15+F16+F17+F18</f>
        <v>1020.38963061126</v>
      </c>
      <c r="G19" s="0" t="n">
        <f aca="false">G15+G16+G17+G18</f>
        <v>1030.59352691737</v>
      </c>
      <c r="H19" s="0" t="n">
        <f aca="false">H15+H16+H17+H18</f>
        <v>1040.53301570046</v>
      </c>
      <c r="I19" s="0" t="n">
        <f aca="false">I15+I16+I17+I18</f>
        <v>1045.36740206044</v>
      </c>
      <c r="J19" s="0" t="n">
        <f aca="false">J15+J16+J17+J18</f>
        <v>1045.36740206044</v>
      </c>
      <c r="K19" s="0" t="n">
        <f aca="false">K15+K16+K17+K18</f>
        <v>1044.99912334193</v>
      </c>
      <c r="L19" s="0" t="n">
        <f aca="false">L15+L16+L17+L18</f>
        <v>1039.77412772522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1807.94648473214</v>
      </c>
      <c r="D21" s="0" t="n">
        <f aca="false">D19*D20</f>
        <v>1027.3377088058</v>
      </c>
      <c r="E21" s="0" t="n">
        <f aca="false">E19*E20</f>
        <v>725.781804139429</v>
      </c>
      <c r="F21" s="0" t="n">
        <f aca="false">F19*F20</f>
        <v>648.476057270284</v>
      </c>
      <c r="G21" s="0" t="n">
        <f aca="false">G19*G20</f>
        <v>584.786444502666</v>
      </c>
      <c r="H21" s="0" t="n">
        <f aca="false">H19*H20</f>
        <v>527.166408366342</v>
      </c>
      <c r="I21" s="0" t="n">
        <f aca="false">I19*I20</f>
        <v>472.871124060809</v>
      </c>
      <c r="J21" s="0" t="n">
        <f aca="false">J19*J20</f>
        <v>422.206360768579</v>
      </c>
      <c r="K21" s="0" t="n">
        <f aca="false">K19*K20</f>
        <v>376.837159974061</v>
      </c>
      <c r="L21" s="0" t="n">
        <f aca="false">L19*L20</f>
        <v>334.779441226956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12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0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6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6928.18899384707</v>
      </c>
    </row>
    <row r="31" customFormat="false" ht="15" hidden="false" customHeight="false" outlineLevel="0" collapsed="false">
      <c r="A31" s="0" t="s">
        <v>126</v>
      </c>
      <c r="B31" s="0" t="n">
        <f aca="false">L19</f>
        <v>1039.77412772522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8664.78439771015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6238.64476635131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6238.64476635131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2008.67664736174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8936.86564120881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7952.46564120881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0.309680276998427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-0.279813309305983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38.2918439166459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18.0684185398536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0.311875025454653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6238.64476635131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0.26471641169872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8</v>
      </c>
      <c r="D5" s="4" t="n">
        <f aca="false">Assumptions!D41</f>
        <v>0</v>
      </c>
      <c r="E5" s="4" t="n">
        <f aca="false">Assumptions!E41</f>
        <v>3</v>
      </c>
      <c r="F5" s="4" t="n">
        <f aca="false">Assumptions!F41</f>
        <v>3</v>
      </c>
      <c r="G5" s="4" t="n">
        <f aca="false">Assumptions!G41</f>
        <v>2</v>
      </c>
      <c r="H5" s="4" t="n">
        <f aca="false">Assumptions!H41</f>
        <v>2</v>
      </c>
      <c r="I5" s="4" t="n">
        <f aca="false">Assumptions!I41</f>
        <v>1</v>
      </c>
      <c r="J5" s="4" t="n">
        <f aca="false">Assumptions!J41</f>
        <v>1</v>
      </c>
      <c r="K5" s="4" t="n">
        <f aca="false">Assumptions!K41</f>
        <v>0.5</v>
      </c>
      <c r="L5" s="4" t="n">
        <f aca="false">Assumptions!L41</f>
        <v>0.5</v>
      </c>
    </row>
    <row r="6" customFormat="false" ht="15" hidden="false" customHeight="false" outlineLevel="0" collapsed="false">
      <c r="A6" s="0" t="s">
        <v>37</v>
      </c>
      <c r="B6" s="3" t="n">
        <v>9603.1</v>
      </c>
      <c r="C6" s="0" t="n">
        <f aca="false">B6*(1+C5/100)</f>
        <v>10371.348</v>
      </c>
      <c r="D6" s="0" t="n">
        <f aca="false">C6*(1+D5/100)</f>
        <v>10371.348</v>
      </c>
      <c r="E6" s="0" t="n">
        <f aca="false">D6*(1+E5/100)</f>
        <v>10682.48844</v>
      </c>
      <c r="F6" s="0" t="n">
        <f aca="false">E6*(1+F5/100)</f>
        <v>11002.9630932</v>
      </c>
      <c r="G6" s="0" t="n">
        <f aca="false">F6*(1+G5/100)</f>
        <v>11223.022355064</v>
      </c>
      <c r="H6" s="0" t="n">
        <f aca="false">G6*(1+H5/100)</f>
        <v>11447.4828021653</v>
      </c>
      <c r="I6" s="0" t="n">
        <f aca="false">H6*(1+I5/100)</f>
        <v>11561.9576301869</v>
      </c>
      <c r="J6" s="0" t="n">
        <f aca="false">I6*(1+J5/100)</f>
        <v>11677.5772064888</v>
      </c>
      <c r="K6" s="0" t="n">
        <f aca="false">J6*(1+K5/100)</f>
        <v>11735.9650925213</v>
      </c>
      <c r="L6" s="0" t="n">
        <f aca="false">K6*(1+L5/100)</f>
        <v>11794.6449179839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73</v>
      </c>
      <c r="D7" s="4" t="n">
        <f aca="false">Assumptions!D42</f>
        <v>71</v>
      </c>
      <c r="E7" s="4" t="n">
        <f aca="false">Assumptions!E42</f>
        <v>70</v>
      </c>
      <c r="F7" s="4" t="n">
        <f aca="false">Assumptions!F42</f>
        <v>70</v>
      </c>
      <c r="G7" s="4" t="n">
        <f aca="false">Assumptions!G42</f>
        <v>70</v>
      </c>
      <c r="H7" s="4" t="n">
        <f aca="false">Assumptions!H42</f>
        <v>70</v>
      </c>
      <c r="I7" s="4" t="n">
        <f aca="false">Assumptions!I42</f>
        <v>70</v>
      </c>
      <c r="J7" s="4" t="n">
        <f aca="false">Assumptions!J42</f>
        <v>70</v>
      </c>
      <c r="K7" s="4" t="n">
        <f aca="false">Assumptions!K42</f>
        <v>70</v>
      </c>
      <c r="L7" s="4" t="n">
        <f aca="false">Assumptions!L42</f>
        <v>70</v>
      </c>
    </row>
    <row r="8" customFormat="false" ht="15" hidden="false" customHeight="false" outlineLevel="0" collapsed="false">
      <c r="A8" s="0" t="s">
        <v>43</v>
      </c>
      <c r="C8" s="0" t="n">
        <f aca="false">C6*C7/100</f>
        <v>7571.08404</v>
      </c>
      <c r="D8" s="0" t="n">
        <f aca="false">D6*D7/100</f>
        <v>7363.65708</v>
      </c>
      <c r="E8" s="0" t="n">
        <f aca="false">E6*E7/100</f>
        <v>7477.741908</v>
      </c>
      <c r="F8" s="0" t="n">
        <f aca="false">F6*F7/100</f>
        <v>7702.07416524</v>
      </c>
      <c r="G8" s="0" t="n">
        <f aca="false">G6*G7/100</f>
        <v>7856.1156485448</v>
      </c>
      <c r="H8" s="0" t="n">
        <f aca="false">H6*H7/100</f>
        <v>8013.2379615157</v>
      </c>
      <c r="I8" s="0" t="n">
        <f aca="false">I6*I7/100</f>
        <v>8093.37034113086</v>
      </c>
      <c r="J8" s="0" t="n">
        <f aca="false">J6*J7/100</f>
        <v>8174.30404454217</v>
      </c>
      <c r="K8" s="0" t="n">
        <f aca="false">K6*K7/100</f>
        <v>8215.17556476488</v>
      </c>
      <c r="L8" s="0" t="n">
        <f aca="false">L6*L7/100</f>
        <v>8256.2514425887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0.07</v>
      </c>
      <c r="D9" s="4" t="n">
        <f aca="false">Assumptions!D43</f>
        <v>0.07</v>
      </c>
      <c r="E9" s="4" t="n">
        <f aca="false">Assumptions!E43</f>
        <v>0.07</v>
      </c>
      <c r="F9" s="4" t="n">
        <f aca="false">Assumptions!F43</f>
        <v>0.07</v>
      </c>
      <c r="G9" s="4" t="n">
        <f aca="false">Assumptions!G43</f>
        <v>0.07</v>
      </c>
      <c r="H9" s="4" t="n">
        <f aca="false">Assumptions!H43</f>
        <v>0.07</v>
      </c>
      <c r="I9" s="4" t="n">
        <f aca="false">Assumptions!I43</f>
        <v>0.07</v>
      </c>
      <c r="J9" s="4" t="n">
        <f aca="false">Assumptions!J43</f>
        <v>0.07</v>
      </c>
      <c r="K9" s="4" t="n">
        <f aca="false">Assumptions!K43</f>
        <v>0.07</v>
      </c>
      <c r="L9" s="4" t="n">
        <f aca="false">Assumptions!L43</f>
        <v>0.07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-7.2599436</v>
      </c>
      <c r="D10" s="0" t="n">
        <f aca="false">-D6*D9/100</f>
        <v>-7.2599436</v>
      </c>
      <c r="E10" s="0" t="n">
        <f aca="false">-E6*E9/100</f>
        <v>-7.477741908</v>
      </c>
      <c r="F10" s="0" t="n">
        <f aca="false">-F6*F9/100</f>
        <v>-7.70207416524</v>
      </c>
      <c r="G10" s="0" t="n">
        <f aca="false">-G6*G9/100</f>
        <v>-7.8561156485448</v>
      </c>
      <c r="H10" s="0" t="n">
        <f aca="false">-H6*H9/100</f>
        <v>-8.0132379615157</v>
      </c>
      <c r="I10" s="0" t="n">
        <f aca="false">-I6*I9/100</f>
        <v>-8.09337034113086</v>
      </c>
      <c r="J10" s="0" t="n">
        <f aca="false">-J6*J9/100</f>
        <v>-8.17430404454217</v>
      </c>
      <c r="K10" s="0" t="n">
        <f aca="false">-K6*K9/100</f>
        <v>-8.21517556476488</v>
      </c>
      <c r="L10" s="0" t="n">
        <f aca="false">-L6*L9/100</f>
        <v>-8.2562514425887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7563.8240964</v>
      </c>
      <c r="D11" s="0" t="n">
        <f aca="false">D8+D10+D24</f>
        <v>7356.3971364</v>
      </c>
      <c r="E11" s="0" t="n">
        <f aca="false">E8+E10+E24</f>
        <v>7470.264166092</v>
      </c>
      <c r="F11" s="0" t="n">
        <f aca="false">F8+F10+F24</f>
        <v>7694.37209107476</v>
      </c>
      <c r="G11" s="0" t="n">
        <f aca="false">G8+G10+G24</f>
        <v>7848.25953289626</v>
      </c>
      <c r="H11" s="0" t="n">
        <f aca="false">H8+H10+H24</f>
        <v>8005.22472355418</v>
      </c>
      <c r="I11" s="0" t="n">
        <f aca="false">I8+I10+I24</f>
        <v>8085.27697078973</v>
      </c>
      <c r="J11" s="0" t="n">
        <f aca="false">J8+J10+J24</f>
        <v>8166.12974049762</v>
      </c>
      <c r="K11" s="0" t="n">
        <f aca="false">K8+K10+K24</f>
        <v>8206.96038920011</v>
      </c>
      <c r="L11" s="0" t="n">
        <f aca="false">L8+L10+L24</f>
        <v>8247.99519114611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-4667.1066</v>
      </c>
      <c r="D12" s="4" t="n">
        <f aca="false">-D6*Assumptions!D45/100</f>
        <v>-4770.82008</v>
      </c>
      <c r="E12" s="4" t="n">
        <f aca="false">-E6*Assumptions!E45/100</f>
        <v>-4913.9446824</v>
      </c>
      <c r="F12" s="4" t="n">
        <f aca="false">-F6*Assumptions!F45/100</f>
        <v>-5061.363022872</v>
      </c>
      <c r="G12" s="4" t="n">
        <f aca="false">-G6*Assumptions!G45/100</f>
        <v>-5162.59028332944</v>
      </c>
      <c r="H12" s="4" t="n">
        <f aca="false">-H6*Assumptions!H45/100</f>
        <v>-5265.84208899603</v>
      </c>
      <c r="I12" s="4" t="n">
        <f aca="false">-I6*Assumptions!I45/100</f>
        <v>-5318.50050988599</v>
      </c>
      <c r="J12" s="4" t="n">
        <f aca="false">-J6*Assumptions!J45/100</f>
        <v>-5371.68551498485</v>
      </c>
      <c r="K12" s="4" t="n">
        <f aca="false">-K6*Assumptions!K45/100</f>
        <v>-5398.54394255978</v>
      </c>
      <c r="L12" s="4" t="n">
        <f aca="false">-L6*Assumptions!L45/100</f>
        <v>-5425.53666227257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2896.7174964</v>
      </c>
      <c r="D13" s="0" t="n">
        <f aca="false">D11+D12</f>
        <v>2585.5770564</v>
      </c>
      <c r="E13" s="0" t="n">
        <f aca="false">E11+E12</f>
        <v>2556.319483692</v>
      </c>
      <c r="F13" s="0" t="n">
        <f aca="false">F11+F12</f>
        <v>2633.00906820276</v>
      </c>
      <c r="G13" s="0" t="n">
        <f aca="false">G11+G12</f>
        <v>2685.66924956682</v>
      </c>
      <c r="H13" s="0" t="n">
        <f aca="false">H11+H12</f>
        <v>2739.38263455815</v>
      </c>
      <c r="I13" s="0" t="n">
        <f aca="false">I11+I12</f>
        <v>2766.77646090373</v>
      </c>
      <c r="J13" s="0" t="n">
        <f aca="false">J11+J12</f>
        <v>2794.44422551277</v>
      </c>
      <c r="K13" s="0" t="n">
        <f aca="false">K11+K12</f>
        <v>2808.41644664034</v>
      </c>
      <c r="L13" s="0" t="n">
        <f aca="false">L11+L12</f>
        <v>2822.45852887354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38</v>
      </c>
      <c r="D14" s="4" t="n">
        <f aca="false">Assumptions!D47</f>
        <v>38</v>
      </c>
      <c r="E14" s="4" t="n">
        <f aca="false">Assumptions!E47</f>
        <v>38</v>
      </c>
      <c r="F14" s="4" t="n">
        <f aca="false">Assumptions!F47</f>
        <v>38</v>
      </c>
      <c r="G14" s="4" t="n">
        <f aca="false">Assumptions!G47</f>
        <v>38</v>
      </c>
      <c r="H14" s="4" t="n">
        <f aca="false">Assumptions!H47</f>
        <v>38</v>
      </c>
      <c r="I14" s="4" t="n">
        <f aca="false">Assumptions!I47</f>
        <v>38</v>
      </c>
      <c r="J14" s="4" t="n">
        <f aca="false">Assumptions!J47</f>
        <v>38</v>
      </c>
      <c r="K14" s="4" t="n">
        <f aca="false">Assumptions!K47</f>
        <v>38</v>
      </c>
      <c r="L14" s="4" t="n">
        <f aca="false">Assumptions!L47</f>
        <v>38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1795.964847768</v>
      </c>
      <c r="D15" s="0" t="n">
        <f aca="false">D13-MAX(0,D13)*D14/100</f>
        <v>1603.057774968</v>
      </c>
      <c r="E15" s="0" t="n">
        <f aca="false">E13-MAX(0,E13)*E14/100</f>
        <v>1584.91807988904</v>
      </c>
      <c r="F15" s="0" t="n">
        <f aca="false">F13-MAX(0,F13)*F14/100</f>
        <v>1632.46562228571</v>
      </c>
      <c r="G15" s="0" t="n">
        <f aca="false">G13-MAX(0,G13)*G14/100</f>
        <v>1665.11493473143</v>
      </c>
      <c r="H15" s="0" t="n">
        <f aca="false">H13-MAX(0,H13)*H14/100</f>
        <v>1698.41723342605</v>
      </c>
      <c r="I15" s="0" t="n">
        <f aca="false">I13-MAX(0,I13)*I14/100</f>
        <v>1715.40140576032</v>
      </c>
      <c r="J15" s="0" t="n">
        <f aca="false">J13-MAX(0,J13)*J14/100</f>
        <v>1732.55541981792</v>
      </c>
      <c r="K15" s="0" t="n">
        <f aca="false">K13-MAX(0,K13)*K14/100</f>
        <v>1741.21819691701</v>
      </c>
      <c r="L15" s="0" t="n">
        <f aca="false">L13-MAX(0,L13)*L14/100</f>
        <v>1749.92428790159</v>
      </c>
    </row>
    <row r="16" customFormat="false" ht="15" hidden="false" customHeight="false" outlineLevel="0" collapsed="false">
      <c r="A16" s="0" t="s">
        <v>117</v>
      </c>
      <c r="C16" s="0" t="n">
        <f aca="false">-C12</f>
        <v>4667.1066</v>
      </c>
      <c r="D16" s="0" t="n">
        <f aca="false">-D12</f>
        <v>4770.82008</v>
      </c>
      <c r="E16" s="0" t="n">
        <f aca="false">-E12</f>
        <v>4913.9446824</v>
      </c>
      <c r="F16" s="0" t="n">
        <f aca="false">-F12</f>
        <v>5061.363022872</v>
      </c>
      <c r="G16" s="0" t="n">
        <f aca="false">-G12</f>
        <v>5162.59028332944</v>
      </c>
      <c r="H16" s="0" t="n">
        <f aca="false">-H12</f>
        <v>5265.84208899603</v>
      </c>
      <c r="I16" s="0" t="n">
        <f aca="false">-I12</f>
        <v>5318.50050988599</v>
      </c>
      <c r="J16" s="0" t="n">
        <f aca="false">-J12</f>
        <v>5371.68551498485</v>
      </c>
      <c r="K16" s="0" t="n">
        <f aca="false">-K12</f>
        <v>5398.54394255978</v>
      </c>
      <c r="L16" s="0" t="n">
        <f aca="false">-L12</f>
        <v>5425.53666227257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-4148.5392</v>
      </c>
      <c r="D17" s="4" t="n">
        <f aca="false">-D6*Assumptions!D46/100</f>
        <v>-4459.67964</v>
      </c>
      <c r="E17" s="4" t="n">
        <f aca="false">-E6*Assumptions!E46/100</f>
        <v>-4807.119798</v>
      </c>
      <c r="F17" s="4" t="n">
        <f aca="false">-F6*Assumptions!F46/100</f>
        <v>-4951.33339194</v>
      </c>
      <c r="G17" s="4" t="n">
        <f aca="false">-G6*Assumptions!G46/100</f>
        <v>-5050.3600597788</v>
      </c>
      <c r="H17" s="4" t="n">
        <f aca="false">-H6*Assumptions!H46/100</f>
        <v>-5151.36726097438</v>
      </c>
      <c r="I17" s="4" t="n">
        <f aca="false">-I6*Assumptions!I46/100</f>
        <v>-5202.88093358412</v>
      </c>
      <c r="J17" s="4" t="n">
        <f aca="false">-J6*Assumptions!J46/100</f>
        <v>-5254.90974291996</v>
      </c>
      <c r="K17" s="4" t="n">
        <f aca="false">-K6*Assumptions!K46/100</f>
        <v>-5281.18429163456</v>
      </c>
      <c r="L17" s="4" t="n">
        <f aca="false">-L6*Assumptions!L46/100</f>
        <v>-5307.59021309273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-76.8248000000001</v>
      </c>
      <c r="D18" s="4" t="n">
        <f aca="false">(D6-C6)*Assumptions!$B$51/100</f>
        <v>-0</v>
      </c>
      <c r="E18" s="4" t="n">
        <f aca="false">(E6-D6)*Assumptions!$B$51/100</f>
        <v>-31.1140440000001</v>
      </c>
      <c r="F18" s="4" t="n">
        <f aca="false">(F6-E6)*Assumptions!$B$51/100</f>
        <v>-32.0474653200001</v>
      </c>
      <c r="G18" s="4" t="n">
        <f aca="false">(G6-F6)*Assumptions!$B$51/100</f>
        <v>-22.0059261864</v>
      </c>
      <c r="H18" s="4" t="n">
        <f aca="false">(H6-G6)*Assumptions!$B$51/100</f>
        <v>-22.4460447101281</v>
      </c>
      <c r="I18" s="4" t="n">
        <f aca="false">(I6-H6)*Assumptions!$B$51/100</f>
        <v>-11.4474828021654</v>
      </c>
      <c r="J18" s="4" t="n">
        <f aca="false">(J6-I6)*Assumptions!$B$51/100</f>
        <v>-11.561957630187</v>
      </c>
      <c r="K18" s="4" t="n">
        <f aca="false">(K6-J6)*Assumptions!$B$51/100</f>
        <v>-5.83878860324421</v>
      </c>
      <c r="L18" s="4" t="n">
        <f aca="false">(L6-K6)*Assumptions!$B$51/100</f>
        <v>-5.86798254626046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2237.707447768</v>
      </c>
      <c r="D19" s="0" t="n">
        <f aca="false">D15+D16+D17+D18</f>
        <v>1914.198214968</v>
      </c>
      <c r="E19" s="0" t="n">
        <f aca="false">E15+E16+E17+E18</f>
        <v>1660.62892028904</v>
      </c>
      <c r="F19" s="0" t="n">
        <f aca="false">F15+F16+F17+F18</f>
        <v>1710.44778789771</v>
      </c>
      <c r="G19" s="0" t="n">
        <f aca="false">G15+G16+G17+G18</f>
        <v>1755.33923209567</v>
      </c>
      <c r="H19" s="0" t="n">
        <f aca="false">H15+H16+H17+H18</f>
        <v>1790.44601673758</v>
      </c>
      <c r="I19" s="0" t="n">
        <f aca="false">I15+I16+I17+I18</f>
        <v>1819.57349926002</v>
      </c>
      <c r="J19" s="0" t="n">
        <f aca="false">J15+J16+J17+J18</f>
        <v>1837.76923425262</v>
      </c>
      <c r="K19" s="0" t="n">
        <f aca="false">K15+K16+K17+K18</f>
        <v>1852.73905923898</v>
      </c>
      <c r="L19" s="0" t="n">
        <f aca="false">L15+L16+L17+L18</f>
        <v>1862.00275453517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1997.95307836429</v>
      </c>
      <c r="D21" s="0" t="n">
        <f aca="false">D19*D20</f>
        <v>1525.98709739158</v>
      </c>
      <c r="E21" s="0" t="n">
        <f aca="false">E19*E20</f>
        <v>1182.00286440945</v>
      </c>
      <c r="F21" s="0" t="n">
        <f aca="false">F19*F20</f>
        <v>1087.02049137655</v>
      </c>
      <c r="G21" s="0" t="n">
        <f aca="false">G19*G20</f>
        <v>996.026621187544</v>
      </c>
      <c r="H21" s="0" t="n">
        <f aca="false">H19*H20</f>
        <v>907.095672867227</v>
      </c>
      <c r="I21" s="0" t="n">
        <f aca="false">I19*I20</f>
        <v>823.082644638075</v>
      </c>
      <c r="J21" s="0" t="n">
        <f aca="false">J19*J20</f>
        <v>742.244170611121</v>
      </c>
      <c r="K21" s="0" t="n">
        <f aca="false">K19*K20</f>
        <v>668.116278436515</v>
      </c>
      <c r="L21" s="0" t="n">
        <f aca="false">L19*L20</f>
        <v>599.51505341848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12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1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7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10529.0439727008</v>
      </c>
    </row>
    <row r="31" customFormat="false" ht="15" hidden="false" customHeight="false" outlineLevel="0" collapsed="false">
      <c r="A31" s="0" t="s">
        <v>126</v>
      </c>
      <c r="B31" s="0" t="n">
        <f aca="false">L19</f>
        <v>1862.00275453517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17096.5707461866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13034.0192817462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13034.0192817462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4196.60537392936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14725.6493466302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13741.2493466302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0.535103714490498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0.244427243001158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43.5877788761411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24.407953809706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0.537751564639482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13034.0192817462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0.452460592012882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0.113160213355662</v>
      </c>
      <c r="C4" s="0" t="n">
        <f aca="false">B4/Assumptions!$B$2-1</f>
        <v>-0.736836713126366</v>
      </c>
      <c r="D4" s="4" t="n">
        <f aca="false">Assumptions!$B$24</f>
        <v>0.3</v>
      </c>
      <c r="E4" s="4" t="n">
        <f aca="false">DCF_Bear!$B$43</f>
        <v>0.114770965619587</v>
      </c>
      <c r="F4" s="4" t="n">
        <f aca="false">DCF_Bear!$B$47</f>
        <v>0.0999870578648566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0.309680276998427</v>
      </c>
      <c r="C5" s="0" t="n">
        <f aca="false">B5/Assumptions!$B$2-1</f>
        <v>-0.279813309305983</v>
      </c>
      <c r="D5" s="4" t="n">
        <f aca="false">Assumptions!$B$38</f>
        <v>0.5</v>
      </c>
      <c r="E5" s="4" t="n">
        <f aca="false">DCF_Base!$B$43</f>
        <v>0.311875025454653</v>
      </c>
      <c r="F5" s="4" t="n">
        <f aca="false">DCF_Base!$B$47</f>
        <v>0.26471641169872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0.535103714490498</v>
      </c>
      <c r="C6" s="0" t="n">
        <f aca="false">B6/Assumptions!$B$2-1</f>
        <v>0.244427243001158</v>
      </c>
      <c r="D6" s="4" t="n">
        <f aca="false">Assumptions!$B$52</f>
        <v>0.2</v>
      </c>
      <c r="E6" s="4" t="n">
        <f aca="false">DCF_Bull!$B$43</f>
        <v>0.537751564639482</v>
      </c>
      <c r="F6" s="4" t="n">
        <f aca="false">DCF_Bull!$B$47</f>
        <v>0.452460592012882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0.295808945404012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0.297919115341099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-0.453640962117328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0.252846441611394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0.366461426464716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0.346002119581675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0.327123723323183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0.309680276998427</v>
      </c>
      <c r="C18" s="3" t="n">
        <v>12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0.26471641169872</v>
      </c>
      <c r="C19" s="3" t="n">
        <v>15</v>
      </c>
    </row>
    <row r="21" customFormat="false" ht="15" hidden="false" customHeight="false" outlineLevel="0" collapsed="false">
      <c r="A21" s="2" t="s">
        <v>162</v>
      </c>
    </row>
    <row r="22" customFormat="false" ht="15" hidden="false" customHeight="false" outlineLevel="0" collapsed="false">
      <c r="B22" s="3" t="n">
        <v>-1</v>
      </c>
      <c r="C22" s="3" t="n">
        <v>-0.5</v>
      </c>
      <c r="D22" s="3" t="n">
        <v>0</v>
      </c>
      <c r="E22" s="3" t="n">
        <v>0.5</v>
      </c>
      <c r="F22" s="3" t="n">
        <v>1</v>
      </c>
    </row>
    <row r="23" customFormat="false" ht="15" hidden="false" customHeight="false" outlineLevel="0" collapsed="false">
      <c r="A23" s="3" t="n">
        <v>10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0.346002119581675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0.346002119581675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0.346002119581675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0.346002119581675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0.346002119581675</v>
      </c>
    </row>
    <row r="24" customFormat="false" ht="15" hidden="false" customHeight="false" outlineLevel="0" collapsed="false">
      <c r="A24" s="3" t="n">
        <v>11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0.327123723323183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0.327123723323183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0.327123723323183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0.327123723323183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0.327123723323183</v>
      </c>
    </row>
    <row r="25" customFormat="false" ht="15" hidden="false" customHeight="false" outlineLevel="0" collapsed="false">
      <c r="A25" s="3" t="n">
        <v>12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0.309680276998427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0.309680276998427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0.309680276998427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0.309680276998427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0.309680276998427</v>
      </c>
    </row>
    <row r="26" customFormat="false" ht="15" hidden="false" customHeight="false" outlineLevel="0" collapsed="false">
      <c r="A26" s="3" t="n">
        <v>13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0.293540912593711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0.293540912593711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0.293540912593711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0.293540912593711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0.293540912593711</v>
      </c>
    </row>
    <row r="27" customFormat="false" ht="15" hidden="false" customHeight="false" outlineLevel="0" collapsed="false">
      <c r="A27" s="3" t="n">
        <v>14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0.278588152136001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0.278588152136001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0.278588152136001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0.278588152136001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0.278588152136001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2026-10-10T22:45:21Z</dcterms:created>
  <dc:creator>openpyxl</dc:creator>
  <dc:description/>
  <dc:language>en-NZ</dc:language>
  <cp:lastModifiedBy/>
  <dcterms:modified xsi:type="dcterms:W3CDTF">2026-10-10T22:45:21Z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