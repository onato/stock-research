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CF Model" sheetId="1" r:id="rId1"/>
    <sheet name="Scenarios" sheetId="2" r:id="rId2"/>
    <sheet name="Sensitivity" sheetId="3" r:id="rId3"/>
    <sheet name="FCF Quality" sheetId="4" r:id="rId4"/>
    <sheet name="Historical" sheetId="5" r:id="rId5"/>
    <sheet name="Model_Info" sheetId="6" r:id="rId6"/>
  </sheets>
  <calcPr calcId="124519" fullCalcOnLoad="1"/>
</workbook>
</file>

<file path=xl/sharedStrings.xml><?xml version="1.0" encoding="utf-8"?>
<sst xmlns="http://schemas.openxmlformats.org/spreadsheetml/2006/main" count="170" uniqueCount="156">
  <si>
    <t>AIR.NZ (Air New Zealand) DCF Valuation Model - BASE CASE</t>
  </si>
  <si>
    <t>Gray cells are INPUTS. 10-year horizon (component-built margins; FY2026 loss-year excluded as base).</t>
  </si>
  <si>
    <t>FY2026 guided pre-tax loss NZ$340-390m; owner FCF deducts IFRS-16 lease principal repayments (~5.5% of revenue) in addition to SBC.</t>
  </si>
  <si>
    <t>KEY INPUTS</t>
  </si>
  <si>
    <t>Current Stock Price (NZD)</t>
  </si>
  <si>
    <t>Shares Outstanding (M)</t>
  </si>
  <si>
    <t>Cash &amp; Equivalents (M, NZD)</t>
  </si>
  <si>
    <t>Total Debt (M, NZD)</t>
  </si>
  <si>
    <t>Net Debt (M)</t>
  </si>
  <si>
    <t>Revenue FY2025 (base year, M)</t>
  </si>
  <si>
    <t>WACC</t>
  </si>
  <si>
    <t>Terminal Growth Rate</t>
  </si>
  <si>
    <t>Terminal Cap Multiple (x FCF Y10)</t>
  </si>
  <si>
    <t>D&amp;A % of Revenue</t>
  </si>
  <si>
    <t>Working Capital Capture % (of YoY revenue growth)</t>
  </si>
  <si>
    <t>ASSUMPTION PATHS (10 years)</t>
  </si>
  <si>
    <t>Y1</t>
  </si>
  <si>
    <t>Y2</t>
  </si>
  <si>
    <t>Y3</t>
  </si>
  <si>
    <t>Y4</t>
  </si>
  <si>
    <t>Y5</t>
  </si>
  <si>
    <t>Y6</t>
  </si>
  <si>
    <t>Y7</t>
  </si>
  <si>
    <t>Y8</t>
  </si>
  <si>
    <t>Y9</t>
  </si>
  <si>
    <t>Y10</t>
  </si>
  <si>
    <t>Revenue Growth %</t>
  </si>
  <si>
    <t>EBITDA Margin %</t>
  </si>
  <si>
    <t>SBC % of Revenue</t>
  </si>
  <si>
    <t>CapEx % of Revenue</t>
  </si>
  <si>
    <t>Lease Principal % of Revenue</t>
  </si>
  <si>
    <t>Cash Tax Rate %</t>
  </si>
  <si>
    <t>PROJECTIONS (component build)</t>
  </si>
  <si>
    <t>Revenue</t>
  </si>
  <si>
    <t>Adj. EBITDA</t>
  </si>
  <si>
    <t>Less: SBC</t>
  </si>
  <si>
    <t>Owner EBITDA</t>
  </si>
  <si>
    <t>Less: D&amp;A</t>
  </si>
  <si>
    <t>EBIT</t>
  </si>
  <si>
    <t>Less: Cash Tax</t>
  </si>
  <si>
    <t>NOPAT</t>
  </si>
  <si>
    <t>Add back: D&amp;A</t>
  </si>
  <si>
    <t>Less: CapEx</t>
  </si>
  <si>
    <t>Less: Lease Principal Repmt</t>
  </si>
  <si>
    <t>+/- Working Capital</t>
  </si>
  <si>
    <t>Owner FCF</t>
  </si>
  <si>
    <t>Owner FCF Margin %</t>
  </si>
  <si>
    <t>Discount Factor</t>
  </si>
  <si>
    <t>PV of FCF</t>
  </si>
  <si>
    <t>VALUATION</t>
  </si>
  <si>
    <t>Sum of PV of FCF</t>
  </si>
  <si>
    <t>Terminal FCF (Year 10 * (1+g))</t>
  </si>
  <si>
    <t>Terminal Value (Gordon)</t>
  </si>
  <si>
    <t>Terminal Value (Cap, 12x FCF Y10)</t>
  </si>
  <si>
    <t>Terminal Value Used (MIN, if FCF Y10 &gt; 0)</t>
  </si>
  <si>
    <t>PV of Terminal Value</t>
  </si>
  <si>
    <t>Enterprise Value</t>
  </si>
  <si>
    <t>Less: Net Debt</t>
  </si>
  <si>
    <t>Equity Value</t>
  </si>
  <si>
    <t>INTRINSIC VALUE/SHARE (NZD)</t>
  </si>
  <si>
    <t>ENTRY PRICE (15% IRR Target)</t>
  </si>
  <si>
    <t>PV of Yrs 1-10 FCF @15%</t>
  </si>
  <si>
    <t>PV of Terminal Value @15%</t>
  </si>
  <si>
    <t>Entry Price (15% IRR, NZD)</t>
  </si>
  <si>
    <t>Upside to Intrinsic Value</t>
  </si>
  <si>
    <t>Upside to Entry Price</t>
  </si>
  <si>
    <t>Note: Bull/Bear scenarios (with distinct WACC, margins, capex) are on the Scenarios sheet;</t>
  </si>
  <si>
    <t>this sheet models BASE CASE only and is fully formula-driven for sensitivity testing.</t>
  </si>
  <si>
    <t>Scenario Summary</t>
  </si>
  <si>
    <t>Base</t>
  </si>
  <si>
    <t>Bull</t>
  </si>
  <si>
    <t>Bear</t>
  </si>
  <si>
    <t>Terminal Growth</t>
  </si>
  <si>
    <t>Terminal Cap Multiple</t>
  </si>
  <si>
    <t>Sum PV of FCF (NZDm)</t>
  </si>
  <si>
    <t>Terminal Value Used (NZDm)</t>
  </si>
  <si>
    <t>PV of Terminal Value (NZDm)</t>
  </si>
  <si>
    <t>Enterprise Value (NZDm)</t>
  </si>
  <si>
    <t>Equity Value (NZDm)</t>
  </si>
  <si>
    <t>Intrinsic Value/Share (NZD)</t>
  </si>
  <si>
    <t>Upside/Downside vs Current</t>
  </si>
  <si>
    <t>Terminal % of EV</t>
  </si>
  <si>
    <t>Probability Weight</t>
  </si>
  <si>
    <t>PROBABILITY-WEIGHTED IV (NZD)</t>
  </si>
  <si>
    <t>Bear scenario note:</t>
  </si>
  <si>
    <t>Raw DCF output for the bear scenario is negative equity value (NZ$-896m / -$0.28/share) because deep, multi-year cash burn (Years 1-5 owner FCF averaging roughly -$240m/yr) is not fully offset by the modest positive terminal FCF, even discounted at a 13% WACC. A listed equity cannot trade below zero; the negative model output signals a scenario approaching further dilutive recapitalisation (as in the 2022 rights issue) rather than a literal per-share value. Displayed bear IV is floored at a nominal NZ$0.02/share (deep going-concern discount) for dashboard purposes; the unfloored model value is retained in intrinsic_value_model_raw for transparency.</t>
  </si>
  <si>
    <t>Sensitivity Analysis - Base Case Intrinsic Value (NZD/share)</t>
  </si>
  <si>
    <t>Base-case 10yr FCF path and 12x terminal cap held constant; WACC and terminal growth vary.</t>
  </si>
  <si>
    <t>WACC \ Term G</t>
  </si>
  <si>
    <t>FCF Quality: Reported vs Owner FCF Reconciliation</t>
  </si>
  <si>
    <t>Air NZ reported FCF (OCF - CapEx) excludes IFRS-16 lease liability principal repayments, a</t>
  </si>
  <si>
    <t>material recurring cash cost (~5.5% of revenue) of the largely-leased widebody/narrowbody fleet.</t>
  </si>
  <si>
    <t>FY2021</t>
  </si>
  <si>
    <t>FY2022</t>
  </si>
  <si>
    <t>FY2023</t>
  </si>
  <si>
    <t>FY2024</t>
  </si>
  <si>
    <t>FY2025</t>
  </si>
  <si>
    <t>Revenue (NZDm)</t>
  </si>
  <si>
    <t>Reported FCF (OCF - CapEx, NZDm)</t>
  </si>
  <si>
    <t>Reported FCF Margin</t>
  </si>
  <si>
    <t>Less: SBC (NZDm)</t>
  </si>
  <si>
    <t>Less: Lease Principal Repayments (NZDm)</t>
  </si>
  <si>
    <t>Owner FCF (NZDm)</t>
  </si>
  <si>
    <t>Owner FCF Margin</t>
  </si>
  <si>
    <t>Memo: FY2023 revenue-in-advance (deferred revenue) increase</t>
  </si>
  <si>
    <t>Memo: as % of FY2023 reported FCF ($1,251m)</t>
  </si>
  <si>
    <t>Note: FY2023 revenue-in-advance jumped from ~$1,620m (FY2022) to $2,235m,</t>
  </si>
  <si>
    <t>a post-COVID booking-recovery windfall inflating that single year's OCF/FCF -- not repeatable.</t>
  </si>
  <si>
    <t>Memo: Cash tax rate paid (effective)</t>
  </si>
  <si>
    <t>Flag: FY2021-23 near-zero/negative cash tax reflects use of carried-forward COVID tax losses;</t>
  </si>
  <si>
    <t>ramped to NZ statutory 28% by Year 7-8 of the projection (see assumptions.base.cash_tax_rate_path).</t>
  </si>
  <si>
    <t>Historical Growth Rates</t>
  </si>
  <si>
    <t>Metric</t>
  </si>
  <si>
    <t>Value</t>
  </si>
  <si>
    <t>Revenue CAGR, FY2019-&gt;FY2025 (6yr, pre-COVID anchor)</t>
  </si>
  <si>
    <t>Revenue CAGR, FY2020-&gt;FY2025 (5yr, COVID-distorted)</t>
  </si>
  <si>
    <t>Equity CAGR, FY2023-&gt;FY2025 (2yr, post-rights-issue only)</t>
  </si>
  <si>
    <t>Selected Growth Rate for DCF</t>
  </si>
  <si>
    <t>Growth Rate Source:</t>
  </si>
  <si>
    <t>revenue_precovid_anchor_cagr (FY2019-&gt;FY2025, 6yr, avoids COVID trough and 2022 rights-issue break)</t>
  </si>
  <si>
    <t>Divergence Warning:</t>
  </si>
  <si>
    <t>Equity, EPS and reported-FCF CAGRs are NOT usable across FY2020-22: COVID losses, a ~3x dilutive 2022 rights issue (1.1bn-&gt;3.4bn shares), and revenue-in-advance working-capital swings (FY2023 FCF inflated 34%+ by booking recovery) make per-share and reported-FCF CAGRs meaningless growth signals for this cycle. Revenue CAGR anchored pre-COVID (FY2019) to latest (FY2025) is used as the cleanest available growth proxy at 2.6%/yr, consistent with a mature, low-growth domestic/Pacific network carrier. SBC-adjusted (owner) FCF CAGR could not be computed reliably because owner FCF (after lease-principal deduction) was negative in 4 of the last 5 fiscal years (FY2021, FY2022, FY2024, FY2025) -- see FCF Quality sheet.</t>
  </si>
  <si>
    <t>Model Provenance &amp; Notes</t>
  </si>
  <si>
    <t>Built by</t>
  </si>
  <si>
    <t>Claude (dcf-analyst agent), Claude Agent SDK</t>
  </si>
  <si>
    <t>Build date</t>
  </si>
  <si>
    <t>2026-08-08</t>
  </si>
  <si>
    <t>Share price date/source</t>
  </si>
  <si>
    <t>Live Yahoo Finance quote as of 2026-08-08: NZ$0.425</t>
  </si>
  <si>
    <t>Data vintage</t>
  </si>
  <si>
    <t>FY2025 Annual Report (year ended 30 June 2025, filed Aug 2025); H1 FY2026 interim (6 months to 31 Dec 2025, filed Feb 2026); FY2026 guidance per May 2026 trading update and Aug 2026 trading commentary</t>
  </si>
  <si>
    <t>Fiscal year end</t>
  </si>
  <si>
    <t>30 June</t>
  </si>
  <si>
    <t>Horizon</t>
  </si>
  <si>
    <t>10 years (component-built margins still maturing at Year 5; see dcf-analyst skill for 5yr-vs-10yr test)</t>
  </si>
  <si>
    <t>Key methodology choice 1</t>
  </si>
  <si>
    <t>FY2026 (guided pre-tax loss NZ$340-390m) explicitly excluded as DCF base year. Model builds off FY2025 revenue ($6,755m) with a still-depressed Year-1 (FY2027) EBITDA margin, recovering gradually.</t>
  </si>
  <si>
    <t>Key methodology choice 2</t>
  </si>
  <si>
    <t>Owner FCF = NOPAT + D&amp;A - CapEx - IFRS-16 lease liability principal repayments (financing activities) - SBC + working capital. Lease principal (~$330-380m/yr, ~5.5% of revenue) is NOT captured in the reported "CapEx" line and must be separately deducted for a majority-leased fleet.</t>
  </si>
  <si>
    <t>Key methodology choice 3</t>
  </si>
  <si>
    <t>Working capital modeled as a capture rate (12% base case) on YoY revenue growth (deferred/revenue-in-advance dynamics), not as a flat % of revenue level -- avoids repeating the FY2023 windfall (revenue-in-advance jumped ~$615m, 34%+ of that year's reported FCF).</t>
  </si>
  <si>
    <t>Key methodology choice 4</t>
  </si>
  <si>
    <t>Cash tax rate ramped from ~0% (COVID-era carried-forward tax losses still being used) to NZ statutory 28% by Year 7-8.</t>
  </si>
  <si>
    <t>Key methodology choice 5</t>
  </si>
  <si>
    <t>Terminal value = MIN(Gordon growth, 12x Year-10 FCF cap) for base/bull; bear scenario cap is 10x reflecting lower quality of a structurally impaired earnings base. 12-15x range (not the 20x default) used throughout per instructions for a cyclical airline.</t>
  </si>
  <si>
    <t>Key methodology choice 6</t>
  </si>
  <si>
    <t>Bear-case raw DCF equity value is negative (~-$896m); floored to a nominal $0.02/share for display, since equity cannot trade below zero. This signals a scenario approaching further dilutive recapitalisation (as in the Aug-2022 rights issue), not a literal per-share value.</t>
  </si>
  <si>
    <t>11.5% base / 10.0% bull / 13.0% bear -- elevated vs a typical industrial to reflect extreme earnings cyclicality (EBITDA went negative FY2022), fuel/FX pass-through risk, leverage above the 1.5-2.5x net debt/EBITDA target range (2.6x at H1 FY2026), and ~51% Crown ownership overhang.</t>
  </si>
  <si>
    <t>Per-share CAGR break</t>
  </si>
  <si>
    <t>Do NOT compute per-share (EPS, equity/share, FCF/share) CAGRs across FY2020-2022: COVID losses plus the ~3x dilutive August-2022 rights issue (1.1bn -&gt; 3.4bn shares) make any pre/post comparison meaningless.</t>
  </si>
  <si>
    <t>What to refresh after next earnings</t>
  </si>
  <si>
    <t>FY2026 annual result due 28 August 2026 -- update FY2026 actuals (revenue, EBITDA, OCF, CapEx, lease payments, net debt/EBITDA), re-anchor Year-1 (FY2027) assumptions to the actual FY2026 trough depth and management's FY2027 guidance, and refresh the live share price.</t>
  </si>
  <si>
    <t>Cell colour convention</t>
  </si>
  <si>
    <t>Gray-shaded cells on the DCF Model sheet are INPUTS -- edit these to re-run the model. All other cells are FORMULAS that recalculate automatically. Do not hardcode over formula cells.</t>
  </si>
  <si>
    <t>Staleness warning</t>
  </si>
  <si>
    <t>All figures are point-in-time as of the build date above. Air NZ is exceptionally newsflow-sensitive (jet fuel, engine-groundings, competitive/regulatory developments) -- re-verify guidance and price before relying on this model more than a few weeks old.</t>
  </si>
</sst>
</file>

<file path=xl/styles.xml><?xml version="1.0" encoding="utf-8"?>
<styleSheet xmlns="http://schemas.openxmlformats.org/spreadsheetml/2006/main">
  <numFmts count="5">
    <numFmt numFmtId="164" formatCode="#,##0.00"/>
    <numFmt numFmtId="165" formatCode="#,##0.0"/>
    <numFmt numFmtId="166" formatCode="0.00%"/>
    <numFmt numFmtId="167" formatCode="0.0%"/>
    <numFmt numFmtId="168" formatCode="&quot;$&quot;#,##0.0000"/>
  </numFmts>
  <fonts count="7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11"/>
      <color rgb="FF808080"/>
      <name val="Calibri"/>
      <family val="2"/>
      <scheme val="minor"/>
    </font>
    <font>
      <i/>
      <sz val="11"/>
      <color rgb="FFD6303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FE6E9"/>
        <bgColor indexed="64"/>
      </patternFill>
    </fill>
    <fill>
      <patternFill patternType="solid">
        <fgColor rgb="FF2D3436"/>
        <bgColor indexed="64"/>
      </patternFill>
    </fill>
    <fill>
      <patternFill patternType="solid">
        <fgColor rgb="FF00B894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4" fillId="0" borderId="1" xfId="0" applyFont="1" applyBorder="1"/>
    <xf numFmtId="164" fontId="0" fillId="2" borderId="2" xfId="0" applyNumberFormat="1" applyFill="1" applyBorder="1"/>
    <xf numFmtId="165" fontId="0" fillId="0" borderId="2" xfId="0" applyNumberFormat="1" applyBorder="1"/>
    <xf numFmtId="166" fontId="0" fillId="2" borderId="2" xfId="0" applyNumberFormat="1" applyFill="1" applyBorder="1"/>
    <xf numFmtId="0" fontId="5" fillId="3" borderId="2" xfId="0" applyFont="1" applyFill="1" applyBorder="1"/>
    <xf numFmtId="0" fontId="6" fillId="0" borderId="0" xfId="0" applyFont="1"/>
    <xf numFmtId="167" fontId="0" fillId="0" borderId="2" xfId="0" applyNumberFormat="1" applyBorder="1"/>
    <xf numFmtId="168" fontId="5" fillId="4" borderId="2" xfId="0" applyNumberFormat="1" applyFont="1" applyFill="1" applyBorder="1"/>
    <xf numFmtId="168" fontId="0" fillId="0" borderId="2" xfId="0" applyNumberFormat="1" applyBorder="1"/>
    <xf numFmtId="167" fontId="5" fillId="3" borderId="0" xfId="0" applyNumberFormat="1" applyFont="1" applyFill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9"/>
  <sheetViews>
    <sheetView tabSelected="1" workbookViewId="0"/>
  </sheetViews>
  <sheetFormatPr defaultRowHeight="15"/>
  <cols>
    <col min="1" max="1" width="30.7109375" customWidth="1"/>
    <col min="2" max="12" width="12.7109375" customWidth="1"/>
  </cols>
  <sheetData>
    <row r="1" spans="1:2">
      <c r="A1" s="1" t="s">
        <v>0</v>
      </c>
    </row>
    <row r="2" spans="1:2">
      <c r="A2" s="2" t="s">
        <v>1</v>
      </c>
    </row>
    <row r="3" spans="1:2">
      <c r="A3" s="3" t="s">
        <v>2</v>
      </c>
    </row>
    <row r="5" spans="1:2">
      <c r="A5" s="4" t="s">
        <v>3</v>
      </c>
    </row>
    <row r="6" spans="1:2">
      <c r="A6" t="s">
        <v>4</v>
      </c>
      <c r="B6" s="5">
        <v>0.425</v>
      </c>
    </row>
    <row r="7" spans="1:2">
      <c r="A7" t="s">
        <v>5</v>
      </c>
      <c r="B7" s="5">
        <v>3233.6</v>
      </c>
    </row>
    <row r="8" spans="1:2">
      <c r="A8" t="s">
        <v>6</v>
      </c>
      <c r="B8" s="5">
        <v>1094</v>
      </c>
    </row>
    <row r="9" spans="1:2">
      <c r="A9" t="s">
        <v>7</v>
      </c>
      <c r="B9" s="5">
        <v>1544</v>
      </c>
    </row>
    <row r="10" spans="1:2">
      <c r="A10" t="s">
        <v>8</v>
      </c>
      <c r="B10" s="6">
        <f>B9-B8</f>
        <v>0</v>
      </c>
    </row>
    <row r="11" spans="1:2">
      <c r="A11" t="s">
        <v>9</v>
      </c>
      <c r="B11" s="5">
        <v>6755.049504950495</v>
      </c>
    </row>
    <row r="13" spans="1:2">
      <c r="A13" t="s">
        <v>10</v>
      </c>
      <c r="B13" s="7">
        <v>0.115</v>
      </c>
    </row>
    <row r="14" spans="1:2">
      <c r="A14" t="s">
        <v>11</v>
      </c>
      <c r="B14" s="7">
        <v>0.02</v>
      </c>
    </row>
    <row r="15" spans="1:2">
      <c r="A15" t="s">
        <v>12</v>
      </c>
      <c r="B15" s="5">
        <v>12</v>
      </c>
    </row>
    <row r="16" spans="1:2">
      <c r="A16" t="s">
        <v>13</v>
      </c>
      <c r="B16" s="7">
        <v>0.1</v>
      </c>
    </row>
    <row r="17" spans="1:11">
      <c r="A17" t="s">
        <v>14</v>
      </c>
      <c r="B17" s="7">
        <v>0.12</v>
      </c>
    </row>
    <row r="19" spans="1:11">
      <c r="A19" s="4" t="s">
        <v>15</v>
      </c>
    </row>
    <row r="20" spans="1:11">
      <c r="A20" s="8"/>
      <c r="B20" s="8" t="s">
        <v>16</v>
      </c>
      <c r="C20" s="8" t="s">
        <v>17</v>
      </c>
      <c r="D20" s="8" t="s">
        <v>18</v>
      </c>
      <c r="E20" s="8" t="s">
        <v>19</v>
      </c>
      <c r="F20" s="8" t="s">
        <v>20</v>
      </c>
      <c r="G20" s="8" t="s">
        <v>21</v>
      </c>
      <c r="H20" s="8" t="s">
        <v>22</v>
      </c>
      <c r="I20" s="8" t="s">
        <v>23</v>
      </c>
      <c r="J20" s="8" t="s">
        <v>24</v>
      </c>
      <c r="K20" s="8" t="s">
        <v>25</v>
      </c>
    </row>
    <row r="21" spans="1:11">
      <c r="A21" t="s">
        <v>26</v>
      </c>
      <c r="B21" s="7">
        <v>0.01</v>
      </c>
      <c r="C21" s="7">
        <v>0.03</v>
      </c>
      <c r="D21" s="7">
        <v>0.04</v>
      </c>
      <c r="E21" s="7">
        <v>0.035</v>
      </c>
      <c r="F21" s="7">
        <v>0.035</v>
      </c>
      <c r="G21" s="7">
        <v>0.03</v>
      </c>
      <c r="H21" s="7">
        <v>0.03</v>
      </c>
      <c r="I21" s="7">
        <v>0.025</v>
      </c>
      <c r="J21" s="7">
        <v>0.025</v>
      </c>
      <c r="K21" s="7">
        <v>0.02</v>
      </c>
    </row>
    <row r="22" spans="1:11">
      <c r="A22" t="s">
        <v>27</v>
      </c>
      <c r="B22" s="7">
        <v>0.125</v>
      </c>
      <c r="C22" s="7">
        <v>0.145</v>
      </c>
      <c r="D22" s="7">
        <v>0.16</v>
      </c>
      <c r="E22" s="7">
        <v>0.17</v>
      </c>
      <c r="F22" s="7">
        <v>0.178</v>
      </c>
      <c r="G22" s="7">
        <v>0.182</v>
      </c>
      <c r="H22" s="7">
        <v>0.185</v>
      </c>
      <c r="I22" s="7">
        <v>0.185</v>
      </c>
      <c r="J22" s="7">
        <v>0.185</v>
      </c>
      <c r="K22" s="7">
        <v>0.185</v>
      </c>
    </row>
    <row r="23" spans="1:11">
      <c r="A23" t="s">
        <v>28</v>
      </c>
      <c r="B23" s="7">
        <v>0.0012</v>
      </c>
      <c r="C23" s="7">
        <v>0.0013</v>
      </c>
      <c r="D23" s="7">
        <v>0.0013</v>
      </c>
      <c r="E23" s="7">
        <v>0.0014</v>
      </c>
      <c r="F23" s="7">
        <v>0.0014</v>
      </c>
      <c r="G23" s="7">
        <v>0.0014</v>
      </c>
      <c r="H23" s="7">
        <v>0.0014</v>
      </c>
      <c r="I23" s="7">
        <v>0.0014</v>
      </c>
      <c r="J23" s="7">
        <v>0.0014</v>
      </c>
      <c r="K23" s="7">
        <v>0.0014</v>
      </c>
    </row>
    <row r="24" spans="1:11">
      <c r="A24" t="s">
        <v>29</v>
      </c>
      <c r="B24" s="7">
        <v>0.11</v>
      </c>
      <c r="C24" s="7">
        <v>0.125</v>
      </c>
      <c r="D24" s="7">
        <v>0.12</v>
      </c>
      <c r="E24" s="7">
        <v>0.105</v>
      </c>
      <c r="F24" s="7">
        <v>0.095</v>
      </c>
      <c r="G24" s="7">
        <v>0.09</v>
      </c>
      <c r="H24" s="7">
        <v>0.08699999999999999</v>
      </c>
      <c r="I24" s="7">
        <v>0.08500000000000001</v>
      </c>
      <c r="J24" s="7">
        <v>0.08500000000000001</v>
      </c>
      <c r="K24" s="7">
        <v>0.08500000000000001</v>
      </c>
    </row>
    <row r="25" spans="1:11">
      <c r="A25" t="s">
        <v>30</v>
      </c>
      <c r="B25" s="7">
        <v>0.05599999999999999</v>
      </c>
      <c r="C25" s="7">
        <v>0.05599999999999999</v>
      </c>
      <c r="D25" s="7">
        <v>0.055</v>
      </c>
      <c r="E25" s="7">
        <v>0.05400000000000001</v>
      </c>
      <c r="F25" s="7">
        <v>0.053</v>
      </c>
      <c r="G25" s="7">
        <v>0.052</v>
      </c>
      <c r="H25" s="7">
        <v>0.051</v>
      </c>
      <c r="I25" s="7">
        <v>0.05</v>
      </c>
      <c r="J25" s="7">
        <v>0.05</v>
      </c>
      <c r="K25" s="7">
        <v>0.05</v>
      </c>
    </row>
    <row r="26" spans="1:11">
      <c r="A26" t="s">
        <v>31</v>
      </c>
      <c r="B26" s="7">
        <v>0</v>
      </c>
      <c r="C26" s="7">
        <v>0.05</v>
      </c>
      <c r="D26" s="7">
        <v>0.1</v>
      </c>
      <c r="E26" s="7">
        <v>0.15</v>
      </c>
      <c r="F26" s="7">
        <v>0.2</v>
      </c>
      <c r="G26" s="7">
        <v>0.24</v>
      </c>
      <c r="H26" s="7">
        <v>0.26</v>
      </c>
      <c r="I26" s="7">
        <v>0.28</v>
      </c>
      <c r="J26" s="7">
        <v>0.28</v>
      </c>
      <c r="K26" s="7">
        <v>0.28</v>
      </c>
    </row>
    <row r="28" spans="1:11">
      <c r="A28" s="8"/>
      <c r="B28" s="8" t="s">
        <v>16</v>
      </c>
      <c r="C28" s="8" t="s">
        <v>17</v>
      </c>
      <c r="D28" s="8" t="s">
        <v>18</v>
      </c>
      <c r="E28" s="8" t="s">
        <v>19</v>
      </c>
      <c r="F28" s="8" t="s">
        <v>20</v>
      </c>
      <c r="G28" s="8" t="s">
        <v>21</v>
      </c>
      <c r="H28" s="8" t="s">
        <v>22</v>
      </c>
      <c r="I28" s="8" t="s">
        <v>23</v>
      </c>
      <c r="J28" s="8" t="s">
        <v>24</v>
      </c>
      <c r="K28" s="8" t="s">
        <v>25</v>
      </c>
    </row>
    <row r="29" spans="1:11">
      <c r="A29" t="s">
        <v>33</v>
      </c>
      <c r="B29" s="6">
        <f>$B$11*(1+B20)</f>
        <v>0</v>
      </c>
      <c r="C29" s="6">
        <f>B29*(1+C20)</f>
        <v>0</v>
      </c>
      <c r="D29" s="6">
        <f>C29*(1+D20)</f>
        <v>0</v>
      </c>
      <c r="E29" s="6">
        <f>D29*(1+E20)</f>
        <v>0</v>
      </c>
      <c r="F29" s="6">
        <f>E29*(1+F20)</f>
        <v>0</v>
      </c>
      <c r="G29" s="6">
        <f>F29*(1+G20)</f>
        <v>0</v>
      </c>
      <c r="H29" s="6">
        <f>G29*(1+H20)</f>
        <v>0</v>
      </c>
      <c r="I29" s="6">
        <f>H29*(1+I20)</f>
        <v>0</v>
      </c>
      <c r="J29" s="6">
        <f>I29*(1+J20)</f>
        <v>0</v>
      </c>
      <c r="K29" s="6">
        <f>J29*(1+K20)</f>
        <v>0</v>
      </c>
    </row>
    <row r="30" spans="1:11">
      <c r="A30" t="s">
        <v>34</v>
      </c>
      <c r="B30" s="6">
        <f>B29*B21</f>
        <v>0</v>
      </c>
      <c r="C30" s="6">
        <f>C29*C21</f>
        <v>0</v>
      </c>
      <c r="D30" s="6">
        <f>D29*D21</f>
        <v>0</v>
      </c>
      <c r="E30" s="6">
        <f>E29*E21</f>
        <v>0</v>
      </c>
      <c r="F30" s="6">
        <f>F29*F21</f>
        <v>0</v>
      </c>
      <c r="G30" s="6">
        <f>G29*G21</f>
        <v>0</v>
      </c>
      <c r="H30" s="6">
        <f>H29*H21</f>
        <v>0</v>
      </c>
      <c r="I30" s="6">
        <f>I29*I21</f>
        <v>0</v>
      </c>
      <c r="J30" s="6">
        <f>J29*J21</f>
        <v>0</v>
      </c>
      <c r="K30" s="6">
        <f>K29*K21</f>
        <v>0</v>
      </c>
    </row>
    <row r="31" spans="1:11">
      <c r="A31" t="s">
        <v>35</v>
      </c>
      <c r="B31" s="6">
        <f>B29*B22</f>
        <v>0</v>
      </c>
      <c r="C31" s="6">
        <f>C29*C22</f>
        <v>0</v>
      </c>
      <c r="D31" s="6">
        <f>D29*D22</f>
        <v>0</v>
      </c>
      <c r="E31" s="6">
        <f>E29*E22</f>
        <v>0</v>
      </c>
      <c r="F31" s="6">
        <f>F29*F22</f>
        <v>0</v>
      </c>
      <c r="G31" s="6">
        <f>G29*G22</f>
        <v>0</v>
      </c>
      <c r="H31" s="6">
        <f>H29*H22</f>
        <v>0</v>
      </c>
      <c r="I31" s="6">
        <f>I29*I22</f>
        <v>0</v>
      </c>
      <c r="J31" s="6">
        <f>J29*J22</f>
        <v>0</v>
      </c>
      <c r="K31" s="6">
        <f>K29*K22</f>
        <v>0</v>
      </c>
    </row>
    <row r="32" spans="1:11">
      <c r="A32" t="s">
        <v>36</v>
      </c>
      <c r="B32" s="6">
        <f>B30-B31</f>
        <v>0</v>
      </c>
      <c r="C32" s="6">
        <f>C30-C31</f>
        <v>0</v>
      </c>
      <c r="D32" s="6">
        <f>D30-D31</f>
        <v>0</v>
      </c>
      <c r="E32" s="6">
        <f>E30-E31</f>
        <v>0</v>
      </c>
      <c r="F32" s="6">
        <f>F30-F31</f>
        <v>0</v>
      </c>
      <c r="G32" s="6">
        <f>G30-G31</f>
        <v>0</v>
      </c>
      <c r="H32" s="6">
        <f>H30-H31</f>
        <v>0</v>
      </c>
      <c r="I32" s="6">
        <f>I30-I31</f>
        <v>0</v>
      </c>
      <c r="J32" s="6">
        <f>J30-J31</f>
        <v>0</v>
      </c>
      <c r="K32" s="6">
        <f>K30-K31</f>
        <v>0</v>
      </c>
    </row>
    <row r="33" spans="1:11">
      <c r="A33" t="s">
        <v>37</v>
      </c>
      <c r="B33" s="6">
        <f>B29*$B$16</f>
        <v>0</v>
      </c>
      <c r="C33" s="6">
        <f>C29*$B$16</f>
        <v>0</v>
      </c>
      <c r="D33" s="6">
        <f>D29*$B$16</f>
        <v>0</v>
      </c>
      <c r="E33" s="6">
        <f>E29*$B$16</f>
        <v>0</v>
      </c>
      <c r="F33" s="6">
        <f>F29*$B$16</f>
        <v>0</v>
      </c>
      <c r="G33" s="6">
        <f>G29*$B$16</f>
        <v>0</v>
      </c>
      <c r="H33" s="6">
        <f>H29*$B$16</f>
        <v>0</v>
      </c>
      <c r="I33" s="6">
        <f>I29*$B$16</f>
        <v>0</v>
      </c>
      <c r="J33" s="6">
        <f>J29*$B$16</f>
        <v>0</v>
      </c>
      <c r="K33" s="6">
        <f>K29*$B$16</f>
        <v>0</v>
      </c>
    </row>
    <row r="34" spans="1:11">
      <c r="A34" t="s">
        <v>38</v>
      </c>
      <c r="B34" s="6">
        <f>B32-B33</f>
        <v>0</v>
      </c>
      <c r="C34" s="6">
        <f>C32-C33</f>
        <v>0</v>
      </c>
      <c r="D34" s="6">
        <f>D32-D33</f>
        <v>0</v>
      </c>
      <c r="E34" s="6">
        <f>E32-E33</f>
        <v>0</v>
      </c>
      <c r="F34" s="6">
        <f>F32-F33</f>
        <v>0</v>
      </c>
      <c r="G34" s="6">
        <f>G32-G33</f>
        <v>0</v>
      </c>
      <c r="H34" s="6">
        <f>H32-H33</f>
        <v>0</v>
      </c>
      <c r="I34" s="6">
        <f>I32-I33</f>
        <v>0</v>
      </c>
      <c r="J34" s="6">
        <f>J32-J33</f>
        <v>0</v>
      </c>
      <c r="K34" s="6">
        <f>K32-K33</f>
        <v>0</v>
      </c>
    </row>
    <row r="35" spans="1:11">
      <c r="A35" t="s">
        <v>39</v>
      </c>
      <c r="B35" s="6">
        <f>MAX(0,B34)*B25</f>
        <v>0</v>
      </c>
      <c r="C35" s="6">
        <f>MAX(0,C34)*C25</f>
        <v>0</v>
      </c>
      <c r="D35" s="6">
        <f>MAX(0,D34)*D25</f>
        <v>0</v>
      </c>
      <c r="E35" s="6">
        <f>MAX(0,E34)*E25</f>
        <v>0</v>
      </c>
      <c r="F35" s="6">
        <f>MAX(0,F34)*F25</f>
        <v>0</v>
      </c>
      <c r="G35" s="6">
        <f>MAX(0,G34)*G25</f>
        <v>0</v>
      </c>
      <c r="H35" s="6">
        <f>MAX(0,H34)*H25</f>
        <v>0</v>
      </c>
      <c r="I35" s="6">
        <f>MAX(0,I34)*I25</f>
        <v>0</v>
      </c>
      <c r="J35" s="6">
        <f>MAX(0,J34)*J25</f>
        <v>0</v>
      </c>
      <c r="K35" s="6">
        <f>MAX(0,K34)*K25</f>
        <v>0</v>
      </c>
    </row>
    <row r="36" spans="1:11">
      <c r="A36" t="s">
        <v>40</v>
      </c>
      <c r="B36" s="6">
        <f>B34-B35</f>
        <v>0</v>
      </c>
      <c r="C36" s="6">
        <f>C34-C35</f>
        <v>0</v>
      </c>
      <c r="D36" s="6">
        <f>D34-D35</f>
        <v>0</v>
      </c>
      <c r="E36" s="6">
        <f>E34-E35</f>
        <v>0</v>
      </c>
      <c r="F36" s="6">
        <f>F34-F35</f>
        <v>0</v>
      </c>
      <c r="G36" s="6">
        <f>G34-G35</f>
        <v>0</v>
      </c>
      <c r="H36" s="6">
        <f>H34-H35</f>
        <v>0</v>
      </c>
      <c r="I36" s="6">
        <f>I34-I35</f>
        <v>0</v>
      </c>
      <c r="J36" s="6">
        <f>J34-J35</f>
        <v>0</v>
      </c>
      <c r="K36" s="6">
        <f>K34-K35</f>
        <v>0</v>
      </c>
    </row>
    <row r="37" spans="1:11">
      <c r="A37" t="s">
        <v>41</v>
      </c>
      <c r="B37" s="6">
        <f>B33</f>
        <v>0</v>
      </c>
      <c r="C37" s="6">
        <f>C33</f>
        <v>0</v>
      </c>
      <c r="D37" s="6">
        <f>D33</f>
        <v>0</v>
      </c>
      <c r="E37" s="6">
        <f>E33</f>
        <v>0</v>
      </c>
      <c r="F37" s="6">
        <f>F33</f>
        <v>0</v>
      </c>
      <c r="G37" s="6">
        <f>G33</f>
        <v>0</v>
      </c>
      <c r="H37" s="6">
        <f>H33</f>
        <v>0</v>
      </c>
      <c r="I37" s="6">
        <f>I33</f>
        <v>0</v>
      </c>
      <c r="J37" s="6">
        <f>J33</f>
        <v>0</v>
      </c>
      <c r="K37" s="6">
        <f>K33</f>
        <v>0</v>
      </c>
    </row>
    <row r="38" spans="1:11">
      <c r="A38" t="s">
        <v>42</v>
      </c>
      <c r="B38" s="6">
        <f>B29*B23</f>
        <v>0</v>
      </c>
      <c r="C38" s="6">
        <f>C29*C23</f>
        <v>0</v>
      </c>
      <c r="D38" s="6">
        <f>D29*D23</f>
        <v>0</v>
      </c>
      <c r="E38" s="6">
        <f>E29*E23</f>
        <v>0</v>
      </c>
      <c r="F38" s="6">
        <f>F29*F23</f>
        <v>0</v>
      </c>
      <c r="G38" s="6">
        <f>G29*G23</f>
        <v>0</v>
      </c>
      <c r="H38" s="6">
        <f>H29*H23</f>
        <v>0</v>
      </c>
      <c r="I38" s="6">
        <f>I29*I23</f>
        <v>0</v>
      </c>
      <c r="J38" s="6">
        <f>J29*J23</f>
        <v>0</v>
      </c>
      <c r="K38" s="6">
        <f>K29*K23</f>
        <v>0</v>
      </c>
    </row>
    <row r="39" spans="1:11">
      <c r="A39" t="s">
        <v>43</v>
      </c>
      <c r="B39" s="6">
        <f>B29*B24</f>
        <v>0</v>
      </c>
      <c r="C39" s="6">
        <f>C29*C24</f>
        <v>0</v>
      </c>
      <c r="D39" s="6">
        <f>D29*D24</f>
        <v>0</v>
      </c>
      <c r="E39" s="6">
        <f>E29*E24</f>
        <v>0</v>
      </c>
      <c r="F39" s="6">
        <f>F29*F24</f>
        <v>0</v>
      </c>
      <c r="G39" s="6">
        <f>G29*G24</f>
        <v>0</v>
      </c>
      <c r="H39" s="6">
        <f>H29*H24</f>
        <v>0</v>
      </c>
      <c r="I39" s="6">
        <f>I29*I24</f>
        <v>0</v>
      </c>
      <c r="J39" s="6">
        <f>J29*J24</f>
        <v>0</v>
      </c>
      <c r="K39" s="6">
        <f>K29*K24</f>
        <v>0</v>
      </c>
    </row>
    <row r="40" spans="1:11">
      <c r="A40" t="s">
        <v>44</v>
      </c>
      <c r="B40" s="6">
        <f>$B$17*(B29-$B$11)</f>
        <v>0</v>
      </c>
      <c r="C40" s="6">
        <f>$B$17*(C29-B29)</f>
        <v>0</v>
      </c>
      <c r="D40" s="6">
        <f>$B$17*(D29-C29)</f>
        <v>0</v>
      </c>
      <c r="E40" s="6">
        <f>$B$17*(E29-D29)</f>
        <v>0</v>
      </c>
      <c r="F40" s="6">
        <f>$B$17*(F29-E29)</f>
        <v>0</v>
      </c>
      <c r="G40" s="6">
        <f>$B$17*(G29-F29)</f>
        <v>0</v>
      </c>
      <c r="H40" s="6">
        <f>$B$17*(H29-G29)</f>
        <v>0</v>
      </c>
      <c r="I40" s="6">
        <f>$B$17*(I29-H29)</f>
        <v>0</v>
      </c>
      <c r="J40" s="6">
        <f>$B$17*(J29-I29)</f>
        <v>0</v>
      </c>
      <c r="K40" s="6">
        <f>$B$17*(K29-J29)</f>
        <v>0</v>
      </c>
    </row>
    <row r="41" spans="1:11">
      <c r="A41" s="9" t="s">
        <v>45</v>
      </c>
      <c r="B41" s="6">
        <f>B36+B37-B38-B39+B40</f>
        <v>0</v>
      </c>
      <c r="C41" s="6">
        <f>C36+C37-C38-C39+C40</f>
        <v>0</v>
      </c>
      <c r="D41" s="6">
        <f>D36+D37-D38-D39+D40</f>
        <v>0</v>
      </c>
      <c r="E41" s="6">
        <f>E36+E37-E38-E39+E40</f>
        <v>0</v>
      </c>
      <c r="F41" s="6">
        <f>F36+F37-F38-F39+F40</f>
        <v>0</v>
      </c>
      <c r="G41" s="6">
        <f>G36+G37-G38-G39+G40</f>
        <v>0</v>
      </c>
      <c r="H41" s="6">
        <f>H36+H37-H38-H39+H40</f>
        <v>0</v>
      </c>
      <c r="I41" s="6">
        <f>I36+I37-I38-I39+I40</f>
        <v>0</v>
      </c>
      <c r="J41" s="6">
        <f>J36+J37-J38-J39+J40</f>
        <v>0</v>
      </c>
      <c r="K41" s="6">
        <f>K36+K37-K38-K39+K40</f>
        <v>0</v>
      </c>
    </row>
    <row r="42" spans="1:11">
      <c r="A42" t="s">
        <v>46</v>
      </c>
      <c r="B42" s="10">
        <f>B41/B29</f>
        <v>0</v>
      </c>
      <c r="C42" s="10">
        <f>C41/C29</f>
        <v>0</v>
      </c>
      <c r="D42" s="10">
        <f>D41/D29</f>
        <v>0</v>
      </c>
      <c r="E42" s="10">
        <f>E41/E29</f>
        <v>0</v>
      </c>
      <c r="F42" s="10">
        <f>F41/F29</f>
        <v>0</v>
      </c>
      <c r="G42" s="10">
        <f>G41/G29</f>
        <v>0</v>
      </c>
      <c r="H42" s="10">
        <f>H41/H29</f>
        <v>0</v>
      </c>
      <c r="I42" s="10">
        <f>I41/I29</f>
        <v>0</v>
      </c>
      <c r="J42" s="10">
        <f>J41/J29</f>
        <v>0</v>
      </c>
      <c r="K42" s="10">
        <f>K41/K29</f>
        <v>0</v>
      </c>
    </row>
    <row r="43" spans="1:11">
      <c r="A43" t="s">
        <v>47</v>
      </c>
      <c r="B43" s="6">
        <f>1/(1+$B$13)^1</f>
        <v>0</v>
      </c>
      <c r="C43" s="6">
        <f>1/(1+$B$13)^2</f>
        <v>0</v>
      </c>
      <c r="D43" s="6">
        <f>1/(1+$B$13)^3</f>
        <v>0</v>
      </c>
      <c r="E43" s="6">
        <f>1/(1+$B$13)^4</f>
        <v>0</v>
      </c>
      <c r="F43" s="6">
        <f>1/(1+$B$13)^5</f>
        <v>0</v>
      </c>
      <c r="G43" s="6">
        <f>1/(1+$B$13)^6</f>
        <v>0</v>
      </c>
      <c r="H43" s="6">
        <f>1/(1+$B$13)^7</f>
        <v>0</v>
      </c>
      <c r="I43" s="6">
        <f>1/(1+$B$13)^8</f>
        <v>0</v>
      </c>
      <c r="J43" s="6">
        <f>1/(1+$B$13)^9</f>
        <v>0</v>
      </c>
      <c r="K43" s="6">
        <f>1/(1+$B$13)^10</f>
        <v>0</v>
      </c>
    </row>
    <row r="44" spans="1:11">
      <c r="A44" t="s">
        <v>48</v>
      </c>
      <c r="B44" s="6">
        <f>B41*B43</f>
        <v>0</v>
      </c>
      <c r="C44" s="6">
        <f>C41*C43</f>
        <v>0</v>
      </c>
      <c r="D44" s="6">
        <f>D41*D43</f>
        <v>0</v>
      </c>
      <c r="E44" s="6">
        <f>E41*E43</f>
        <v>0</v>
      </c>
      <c r="F44" s="6">
        <f>F41*F43</f>
        <v>0</v>
      </c>
      <c r="G44" s="6">
        <f>G41*G43</f>
        <v>0</v>
      </c>
      <c r="H44" s="6">
        <f>H41*H43</f>
        <v>0</v>
      </c>
      <c r="I44" s="6">
        <f>I41*I43</f>
        <v>0</v>
      </c>
      <c r="J44" s="6">
        <f>J41*J43</f>
        <v>0</v>
      </c>
      <c r="K44" s="6">
        <f>K41*K43</f>
        <v>0</v>
      </c>
    </row>
    <row r="47" spans="1:11">
      <c r="A47" s="4" t="s">
        <v>49</v>
      </c>
    </row>
    <row r="48" spans="1:11">
      <c r="A48" t="s">
        <v>50</v>
      </c>
      <c r="B48" s="6">
        <f>SUM(B44:K44)</f>
        <v>0</v>
      </c>
    </row>
    <row r="49" spans="1:2">
      <c r="A49" t="s">
        <v>51</v>
      </c>
      <c r="B49" s="6">
        <f>K41*(1+$B$14)</f>
        <v>0</v>
      </c>
    </row>
    <row r="50" spans="1:2">
      <c r="A50" t="s">
        <v>52</v>
      </c>
      <c r="B50" s="6">
        <f>B49/($B$13-$B$14)</f>
        <v>0</v>
      </c>
    </row>
    <row r="51" spans="1:2">
      <c r="A51" t="s">
        <v>53</v>
      </c>
      <c r="B51" s="6">
        <f>$B$15*K41</f>
        <v>0</v>
      </c>
    </row>
    <row r="52" spans="1:2">
      <c r="A52" t="s">
        <v>54</v>
      </c>
      <c r="B52" s="6">
        <f>IF(K41&gt;0,MIN(B50,B51),B50)</f>
        <v>0</v>
      </c>
    </row>
    <row r="53" spans="1:2">
      <c r="A53" t="s">
        <v>55</v>
      </c>
      <c r="B53" s="6">
        <f>B52*K43</f>
        <v>0</v>
      </c>
    </row>
    <row r="54" spans="1:2">
      <c r="A54" t="s">
        <v>56</v>
      </c>
      <c r="B54" s="6">
        <f>B48+B53</f>
        <v>0</v>
      </c>
    </row>
    <row r="55" spans="1:2">
      <c r="A55" t="s">
        <v>57</v>
      </c>
      <c r="B55" s="6">
        <f>B10</f>
        <v>0</v>
      </c>
    </row>
    <row r="56" spans="1:2">
      <c r="A56" t="s">
        <v>58</v>
      </c>
      <c r="B56" s="6">
        <f>B54-B55</f>
        <v>0</v>
      </c>
    </row>
    <row r="57" spans="1:2">
      <c r="A57" s="9" t="s">
        <v>59</v>
      </c>
      <c r="B57" s="11">
        <f>B56/$B$7</f>
        <v>0</v>
      </c>
    </row>
    <row r="59" spans="1:2">
      <c r="A59" s="4" t="s">
        <v>60</v>
      </c>
    </row>
    <row r="60" spans="1:2">
      <c r="A60" t="s">
        <v>61</v>
      </c>
      <c r="B60" s="6">
        <f>NPV(0.15,B41:K41)</f>
        <v>0</v>
      </c>
    </row>
    <row r="61" spans="1:2">
      <c r="A61" t="s">
        <v>62</v>
      </c>
      <c r="B61" s="6">
        <f>B52/(1.15^10)</f>
        <v>0</v>
      </c>
    </row>
    <row r="62" spans="1:2">
      <c r="A62" t="s">
        <v>57</v>
      </c>
      <c r="B62" s="6">
        <f>B10</f>
        <v>0</v>
      </c>
    </row>
    <row r="63" spans="1:2">
      <c r="A63" t="s">
        <v>63</v>
      </c>
      <c r="B63" s="11">
        <f>(B60+B61-B62)/$B$7</f>
        <v>0</v>
      </c>
    </row>
    <row r="65" spans="1:2">
      <c r="A65" t="s">
        <v>64</v>
      </c>
      <c r="B65" s="10">
        <f>(B57-B6)/B6</f>
        <v>0</v>
      </c>
    </row>
    <row r="66" spans="1:2">
      <c r="A66" t="s">
        <v>65</v>
      </c>
      <c r="B66" s="10">
        <f>(B6-B63)/B6</f>
        <v>0</v>
      </c>
    </row>
    <row r="68" spans="1:2">
      <c r="A68" s="2" t="s">
        <v>66</v>
      </c>
    </row>
    <row r="69" spans="1:2">
      <c r="A69" s="2" t="s">
        <v>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1"/>
  <sheetViews>
    <sheetView workbookViewId="0"/>
  </sheetViews>
  <sheetFormatPr defaultRowHeight="15"/>
  <cols>
    <col min="1" max="1" width="28.7109375" customWidth="1"/>
    <col min="2" max="5" width="16.7109375" customWidth="1"/>
  </cols>
  <sheetData>
    <row r="1" spans="1:4">
      <c r="A1" s="1" t="s">
        <v>68</v>
      </c>
    </row>
    <row r="3" spans="1:4">
      <c r="A3" s="8"/>
      <c r="B3" s="8" t="s">
        <v>69</v>
      </c>
      <c r="C3" s="8" t="s">
        <v>70</v>
      </c>
      <c r="D3" s="8" t="s">
        <v>71</v>
      </c>
    </row>
    <row r="4" spans="1:4">
      <c r="A4" t="s">
        <v>10</v>
      </c>
      <c r="B4" s="10">
        <v>0.115</v>
      </c>
      <c r="C4" s="10">
        <v>0.1</v>
      </c>
      <c r="D4" s="10">
        <v>0.13</v>
      </c>
    </row>
    <row r="5" spans="1:4">
      <c r="A5" t="s">
        <v>72</v>
      </c>
      <c r="B5" s="10">
        <v>0.02</v>
      </c>
      <c r="C5" s="10">
        <v>0.025</v>
      </c>
      <c r="D5" s="10">
        <v>0.015</v>
      </c>
    </row>
    <row r="6" spans="1:4">
      <c r="A6" t="s">
        <v>73</v>
      </c>
      <c r="B6" s="6">
        <v>12</v>
      </c>
      <c r="C6" s="6">
        <v>12</v>
      </c>
      <c r="D6" s="6">
        <v>10</v>
      </c>
    </row>
    <row r="7" spans="1:4">
      <c r="A7" t="s">
        <v>74</v>
      </c>
      <c r="B7" s="6">
        <v>24.7</v>
      </c>
      <c r="C7" s="6">
        <v>2059.9</v>
      </c>
      <c r="D7" s="6">
        <v>-759.2</v>
      </c>
    </row>
    <row r="8" spans="1:4">
      <c r="A8" t="s">
        <v>75</v>
      </c>
      <c r="B8" s="6">
        <v>2632.3</v>
      </c>
      <c r="C8" s="6">
        <v>7440.9</v>
      </c>
      <c r="D8" s="6">
        <v>1062.4</v>
      </c>
    </row>
    <row r="9" spans="1:4">
      <c r="A9" t="s">
        <v>76</v>
      </c>
      <c r="B9" s="6">
        <v>886.3</v>
      </c>
      <c r="C9" s="6">
        <v>2868.8</v>
      </c>
      <c r="D9" s="6">
        <v>313</v>
      </c>
    </row>
    <row r="10" spans="1:4">
      <c r="A10" t="s">
        <v>77</v>
      </c>
      <c r="B10" s="6">
        <v>911</v>
      </c>
      <c r="C10" s="6">
        <v>4928.7</v>
      </c>
      <c r="D10" s="6">
        <v>-446.3</v>
      </c>
    </row>
    <row r="11" spans="1:4">
      <c r="A11" t="s">
        <v>78</v>
      </c>
      <c r="B11" s="6">
        <v>461</v>
      </c>
      <c r="C11" s="6">
        <v>4478.7</v>
      </c>
      <c r="D11" s="6">
        <v>-896.3</v>
      </c>
    </row>
    <row r="12" spans="1:4">
      <c r="A12" t="s">
        <v>79</v>
      </c>
      <c r="B12" s="12">
        <v>0.1426</v>
      </c>
      <c r="C12" s="12">
        <v>1.3851</v>
      </c>
      <c r="D12" s="12">
        <v>0.02</v>
      </c>
    </row>
    <row r="13" spans="1:4">
      <c r="A13" t="s">
        <v>80</v>
      </c>
      <c r="B13" s="10">
        <v>-0.665</v>
      </c>
      <c r="C13" s="10">
        <v>2.259</v>
      </c>
      <c r="D13" s="10">
        <v>-0.953</v>
      </c>
    </row>
    <row r="14" spans="1:4">
      <c r="A14" t="s">
        <v>81</v>
      </c>
      <c r="B14" s="10">
        <v>0.973</v>
      </c>
      <c r="C14" s="10">
        <v>0.5820000000000001</v>
      </c>
      <c r="D14" s="10">
        <v>-0.701</v>
      </c>
    </row>
    <row r="16" spans="1:4">
      <c r="A16" s="9" t="s">
        <v>82</v>
      </c>
      <c r="B16" s="10">
        <v>0.5</v>
      </c>
      <c r="C16" s="10">
        <v>0.2</v>
      </c>
      <c r="D16" s="10">
        <v>0.3</v>
      </c>
    </row>
    <row r="18" spans="1:2">
      <c r="A18" s="9" t="s">
        <v>83</v>
      </c>
      <c r="B18" s="11">
        <v>0.3543</v>
      </c>
    </row>
    <row r="20" spans="1:2">
      <c r="A20" s="9" t="s">
        <v>84</v>
      </c>
    </row>
    <row r="21" spans="1:2" ht="60" customHeight="1">
      <c r="A21" s="3" t="s">
        <v>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cols>
    <col min="1" max="1" width="18.7109375" customWidth="1"/>
    <col min="2" max="7" width="12.7109375" customWidth="1"/>
  </cols>
  <sheetData>
    <row r="1" spans="1:6">
      <c r="A1" s="1" t="s">
        <v>86</v>
      </c>
    </row>
    <row r="2" spans="1:6">
      <c r="A2" s="2" t="s">
        <v>87</v>
      </c>
    </row>
    <row r="4" spans="1:6">
      <c r="A4" s="8" t="s">
        <v>88</v>
      </c>
      <c r="B4" s="13">
        <v>0.01</v>
      </c>
      <c r="C4" s="13">
        <v>0.015</v>
      </c>
      <c r="D4" s="13">
        <v>0.02</v>
      </c>
      <c r="E4" s="13">
        <v>0.025</v>
      </c>
      <c r="F4" s="13">
        <v>0.03</v>
      </c>
    </row>
    <row r="5" spans="1:6">
      <c r="A5" s="13">
        <v>0.095</v>
      </c>
      <c r="B5" s="12">
        <v>0.252</v>
      </c>
      <c r="C5" s="12">
        <v>0.256</v>
      </c>
      <c r="D5" s="12">
        <v>0.256</v>
      </c>
      <c r="E5" s="12">
        <v>0.256</v>
      </c>
      <c r="F5" s="12">
        <v>0.256</v>
      </c>
    </row>
    <row r="6" spans="1:6">
      <c r="A6" s="13">
        <v>0.105</v>
      </c>
      <c r="B6" s="12">
        <v>0.175</v>
      </c>
      <c r="C6" s="12">
        <v>0.193</v>
      </c>
      <c r="D6" s="12">
        <v>0.213</v>
      </c>
      <c r="E6" s="12">
        <v>0.213</v>
      </c>
      <c r="F6" s="12">
        <v>0.213</v>
      </c>
    </row>
    <row r="7" spans="1:6">
      <c r="A7" s="13">
        <v>0.115</v>
      </c>
      <c r="B7" s="12">
        <v>0.114</v>
      </c>
      <c r="C7" s="12">
        <v>0.128</v>
      </c>
      <c r="D7" s="12">
        <v>0.143</v>
      </c>
      <c r="E7" s="12">
        <v>0.159</v>
      </c>
      <c r="F7" s="12">
        <v>0.175</v>
      </c>
    </row>
    <row r="8" spans="1:6">
      <c r="A8" s="13">
        <v>0.125</v>
      </c>
      <c r="B8" s="12">
        <v>0.065</v>
      </c>
      <c r="C8" s="12">
        <v>0.075</v>
      </c>
      <c r="D8" s="12">
        <v>0.08699999999999999</v>
      </c>
      <c r="E8" s="12">
        <v>0.099</v>
      </c>
      <c r="F8" s="12">
        <v>0.113</v>
      </c>
    </row>
    <row r="9" spans="1:6">
      <c r="A9" s="13">
        <v>0.135</v>
      </c>
      <c r="B9" s="12">
        <v>0.024</v>
      </c>
      <c r="C9" s="12">
        <v>0.033</v>
      </c>
      <c r="D9" s="12">
        <v>0.041</v>
      </c>
      <c r="E9" s="12">
        <v>0.051</v>
      </c>
      <c r="F9" s="12">
        <v>0.061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40.7109375" customWidth="1"/>
    <col min="2" max="8" width="12.7109375" customWidth="1"/>
  </cols>
  <sheetData>
    <row r="1" spans="1:6">
      <c r="A1" s="1" t="s">
        <v>89</v>
      </c>
    </row>
    <row r="2" spans="1:6">
      <c r="A2" s="2" t="s">
        <v>90</v>
      </c>
    </row>
    <row r="3" spans="1:6">
      <c r="A3" s="2" t="s">
        <v>91</v>
      </c>
    </row>
    <row r="5" spans="1:6">
      <c r="A5" s="8"/>
      <c r="B5" s="8" t="s">
        <v>92</v>
      </c>
      <c r="C5" s="8" t="s">
        <v>93</v>
      </c>
      <c r="D5" s="8" t="s">
        <v>94</v>
      </c>
      <c r="E5" s="8" t="s">
        <v>95</v>
      </c>
      <c r="F5" s="8" t="s">
        <v>96</v>
      </c>
    </row>
    <row r="6" spans="1:6">
      <c r="A6" t="s">
        <v>97</v>
      </c>
      <c r="B6" s="6">
        <v>2517</v>
      </c>
      <c r="C6" s="6">
        <v>2734</v>
      </c>
      <c r="D6" s="6">
        <v>6330</v>
      </c>
      <c r="E6" s="6">
        <v>6752</v>
      </c>
      <c r="F6" s="6">
        <v>6755</v>
      </c>
    </row>
    <row r="7" spans="1:6">
      <c r="A7" t="s">
        <v>98</v>
      </c>
      <c r="B7" s="6">
        <v>92</v>
      </c>
      <c r="C7" s="6">
        <v>223</v>
      </c>
      <c r="D7" s="6">
        <v>1251</v>
      </c>
      <c r="E7" s="6">
        <v>19</v>
      </c>
      <c r="F7" s="6">
        <v>160</v>
      </c>
    </row>
    <row r="8" spans="1:6">
      <c r="A8" t="s">
        <v>99</v>
      </c>
      <c r="B8" s="10">
        <v>0.03655145013905443</v>
      </c>
      <c r="C8" s="10">
        <v>0.08156547183613752</v>
      </c>
      <c r="D8" s="10">
        <v>0.1976303317535545</v>
      </c>
      <c r="E8" s="10">
        <v>0.002813981042654028</v>
      </c>
      <c r="F8" s="10">
        <v>0.02368615840118431</v>
      </c>
    </row>
    <row r="9" spans="1:6">
      <c r="A9" t="s">
        <v>100</v>
      </c>
      <c r="B9" s="6">
        <v>4</v>
      </c>
      <c r="C9" s="6">
        <v>8</v>
      </c>
      <c r="D9" s="6">
        <v>6</v>
      </c>
      <c r="E9" s="6">
        <v>7</v>
      </c>
      <c r="F9" s="6">
        <v>8</v>
      </c>
    </row>
    <row r="10" spans="1:6">
      <c r="A10" t="s">
        <v>101</v>
      </c>
      <c r="B10" s="6">
        <v>350</v>
      </c>
      <c r="C10" s="6">
        <v>331</v>
      </c>
      <c r="D10" s="6">
        <v>368</v>
      </c>
      <c r="E10" s="6">
        <v>376</v>
      </c>
      <c r="F10" s="6">
        <v>372</v>
      </c>
    </row>
    <row r="11" spans="1:6">
      <c r="A11" s="9" t="s">
        <v>102</v>
      </c>
      <c r="B11" s="6">
        <f>B7-B9-B10</f>
        <v>0</v>
      </c>
      <c r="C11" s="6">
        <f>C7-C9-C10</f>
        <v>0</v>
      </c>
      <c r="D11" s="6">
        <f>D7-D9-D10</f>
        <v>0</v>
      </c>
      <c r="E11" s="6">
        <f>E7-E9-E10</f>
        <v>0</v>
      </c>
      <c r="F11" s="6">
        <f>F7-F9-F10</f>
        <v>0</v>
      </c>
    </row>
    <row r="12" spans="1:6">
      <c r="A12" s="9" t="s">
        <v>103</v>
      </c>
      <c r="B12" s="10">
        <f>B11/B6</f>
        <v>0</v>
      </c>
      <c r="C12" s="10">
        <f>C11/C6</f>
        <v>0</v>
      </c>
      <c r="D12" s="10">
        <f>D11/D6</f>
        <v>0</v>
      </c>
      <c r="E12" s="10">
        <f>E11/E6</f>
        <v>0</v>
      </c>
      <c r="F12" s="10">
        <f>F11/F6</f>
        <v>0</v>
      </c>
    </row>
    <row r="14" spans="1:6">
      <c r="A14" s="9" t="s">
        <v>104</v>
      </c>
      <c r="D14" s="6">
        <v>615</v>
      </c>
    </row>
    <row r="15" spans="1:6">
      <c r="A15" s="9" t="s">
        <v>105</v>
      </c>
      <c r="D15" s="10">
        <f>D14/1251</f>
        <v>0</v>
      </c>
    </row>
    <row r="16" spans="1:6">
      <c r="A16" s="2" t="s">
        <v>106</v>
      </c>
    </row>
    <row r="17" spans="1:6">
      <c r="A17" s="2" t="s">
        <v>107</v>
      </c>
    </row>
    <row r="19" spans="1:6">
      <c r="A19" s="9" t="s">
        <v>108</v>
      </c>
      <c r="B19" s="10">
        <v>0.08433734939759036</v>
      </c>
      <c r="C19" s="10">
        <v>-0</v>
      </c>
      <c r="D19" s="10">
        <v>-0.005226480836236934</v>
      </c>
      <c r="E19" s="10">
        <v>0.1171171171171171</v>
      </c>
      <c r="F19" s="10">
        <v>0.005291005291005291</v>
      </c>
    </row>
    <row r="20" spans="1:6">
      <c r="A20" s="2" t="s">
        <v>109</v>
      </c>
    </row>
    <row r="21" spans="1:6">
      <c r="A21" s="2" t="s">
        <v>110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sheetFormatPr defaultRowHeight="15"/>
  <cols>
    <col min="1" max="1" width="30.7109375" customWidth="1"/>
    <col min="2" max="3" width="16.7109375" customWidth="1"/>
  </cols>
  <sheetData>
    <row r="1" spans="1:4">
      <c r="A1" s="1" t="s">
        <v>111</v>
      </c>
    </row>
    <row r="3" spans="1:4">
      <c r="A3" s="8" t="s">
        <v>112</v>
      </c>
      <c r="B3" s="8" t="s">
        <v>113</v>
      </c>
    </row>
    <row r="4" spans="1:4">
      <c r="A4" t="s">
        <v>114</v>
      </c>
      <c r="B4" s="10">
        <v>0.0262</v>
      </c>
    </row>
    <row r="5" spans="1:4">
      <c r="A5" t="s">
        <v>115</v>
      </c>
      <c r="B5" s="10">
        <v>0.06909999999999999</v>
      </c>
    </row>
    <row r="6" spans="1:4">
      <c r="A6" t="s">
        <v>116</v>
      </c>
      <c r="B6" s="10">
        <v>-0.0325</v>
      </c>
    </row>
    <row r="7" spans="1:4">
      <c r="A7" t="s">
        <v>117</v>
      </c>
      <c r="B7" s="10">
        <v>0.026</v>
      </c>
    </row>
    <row r="10" spans="1:4" ht="30" customHeight="1">
      <c r="A10" s="9" t="s">
        <v>118</v>
      </c>
      <c r="B10" t="s">
        <v>119</v>
      </c>
    </row>
    <row r="12" spans="1:4">
      <c r="A12" s="3" t="s">
        <v>121</v>
      </c>
      <c r="B12" s="3"/>
      <c r="C12" s="3"/>
      <c r="D12" s="3"/>
    </row>
    <row r="13" spans="1:4" ht="150" customHeight="1">
      <c r="A13" s="3" t="s">
        <v>121</v>
      </c>
    </row>
  </sheetData>
  <mergeCells count="1">
    <mergeCell ref="A12:D1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9"/>
  <sheetViews>
    <sheetView workbookViewId="0"/>
  </sheetViews>
  <sheetFormatPr defaultRowHeight="15"/>
  <cols>
    <col min="1" max="1" width="28.7109375" customWidth="1"/>
    <col min="2" max="2" width="90.7109375" customWidth="1"/>
  </cols>
  <sheetData>
    <row r="1" spans="1:2">
      <c r="A1" s="1" t="s">
        <v>122</v>
      </c>
    </row>
    <row r="3" spans="1:2" ht="30" customHeight="1">
      <c r="A3" s="9" t="s">
        <v>123</v>
      </c>
      <c r="B3" s="14" t="s">
        <v>124</v>
      </c>
    </row>
    <row r="4" spans="1:2" ht="30" customHeight="1">
      <c r="A4" s="9" t="s">
        <v>125</v>
      </c>
      <c r="B4" s="14" t="s">
        <v>126</v>
      </c>
    </row>
    <row r="5" spans="1:2" ht="30" customHeight="1">
      <c r="A5" s="9" t="s">
        <v>127</v>
      </c>
      <c r="B5" s="14" t="s">
        <v>128</v>
      </c>
    </row>
    <row r="6" spans="1:2" ht="30" customHeight="1">
      <c r="A6" s="9" t="s">
        <v>129</v>
      </c>
      <c r="B6" s="14" t="s">
        <v>130</v>
      </c>
    </row>
    <row r="7" spans="1:2" ht="30" customHeight="1">
      <c r="A7" s="9" t="s">
        <v>131</v>
      </c>
      <c r="B7" s="14" t="s">
        <v>132</v>
      </c>
    </row>
    <row r="8" spans="1:2" ht="30" customHeight="1">
      <c r="A8" s="9" t="s">
        <v>133</v>
      </c>
      <c r="B8" s="14" t="s">
        <v>134</v>
      </c>
    </row>
    <row r="9" spans="1:2" ht="30" customHeight="1">
      <c r="A9" s="9" t="s">
        <v>135</v>
      </c>
      <c r="B9" s="14" t="s">
        <v>136</v>
      </c>
    </row>
    <row r="10" spans="1:2" ht="30" customHeight="1">
      <c r="A10" s="9" t="s">
        <v>137</v>
      </c>
      <c r="B10" s="14" t="s">
        <v>138</v>
      </c>
    </row>
    <row r="11" spans="1:2" ht="30" customHeight="1">
      <c r="A11" s="9" t="s">
        <v>139</v>
      </c>
      <c r="B11" s="14" t="s">
        <v>140</v>
      </c>
    </row>
    <row r="12" spans="1:2" ht="30" customHeight="1">
      <c r="A12" s="9" t="s">
        <v>141</v>
      </c>
      <c r="B12" s="14" t="s">
        <v>142</v>
      </c>
    </row>
    <row r="13" spans="1:2" ht="30" customHeight="1">
      <c r="A13" s="9" t="s">
        <v>143</v>
      </c>
      <c r="B13" s="14" t="s">
        <v>144</v>
      </c>
    </row>
    <row r="14" spans="1:2" ht="30" customHeight="1">
      <c r="A14" s="9" t="s">
        <v>145</v>
      </c>
      <c r="B14" s="14" t="s">
        <v>146</v>
      </c>
    </row>
    <row r="15" spans="1:2" ht="30" customHeight="1">
      <c r="A15" s="9" t="s">
        <v>10</v>
      </c>
      <c r="B15" s="14" t="s">
        <v>147</v>
      </c>
    </row>
    <row r="16" spans="1:2" ht="30" customHeight="1">
      <c r="A16" s="9" t="s">
        <v>148</v>
      </c>
      <c r="B16" s="14" t="s">
        <v>149</v>
      </c>
    </row>
    <row r="17" spans="1:2" ht="30" customHeight="1">
      <c r="A17" s="9" t="s">
        <v>150</v>
      </c>
      <c r="B17" s="14" t="s">
        <v>151</v>
      </c>
    </row>
    <row r="18" spans="1:2" ht="30" customHeight="1">
      <c r="A18" s="9" t="s">
        <v>152</v>
      </c>
      <c r="B18" s="14" t="s">
        <v>153</v>
      </c>
    </row>
    <row r="19" spans="1:2" ht="30" customHeight="1">
      <c r="A19" s="9" t="s">
        <v>154</v>
      </c>
      <c r="B19" s="14" t="s">
        <v>155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DCF Model</vt:lpstr>
      <vt:lpstr>Scenarios</vt:lpstr>
      <vt:lpstr>Sensitivity</vt:lpstr>
      <vt:lpstr>FCF Quality</vt:lpstr>
      <vt:lpstr>Historical</vt:lpstr>
      <vt:lpstr>Model_Info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2026-08-08T00:26:48Z</dcterms:created>
  <dcterms:modified xsi:type="dcterms:W3CDTF">2026-08-08T00:26:48Z</dcterms:modified>
</cp:coreProperties>
</file>