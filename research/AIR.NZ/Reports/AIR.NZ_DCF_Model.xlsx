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FCF Quality" sheetId="3" r:id="rId3"/>
    <sheet name="Historical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<sst xmlns="http://schemas.openxmlformats.org/spreadsheetml/2006/main" count="171" uniqueCount="154">
  <si>
    <t>AIR.NZ DCF Valuation Model (Base Case, 10-Year Horizon)</t>
  </si>
  <si>
    <t>Gray cells are INPUTS - adjust to see valuation change. All figures NZD millions unless noted.</t>
  </si>
  <si>
    <t>KEY INPUTS</t>
  </si>
  <si>
    <t>Current Stock Price (NZD)</t>
  </si>
  <si>
    <t>Shares Outstanding (M)</t>
  </si>
  <si>
    <t>Cash &amp; Equivalents (M)</t>
  </si>
  <si>
    <t>Total Debt incl. Leases (M)</t>
  </si>
  <si>
    <t>Net Debt (M)</t>
  </si>
  <si>
    <t>FY2025 Revenue (M) - base for projections</t>
  </si>
  <si>
    <t>FY2025 Reported FCF (M)</t>
  </si>
  <si>
    <t>Less: SBC incl. equity-award taxes (M)</t>
  </si>
  <si>
    <t>FY2025 Owner FCF (M)</t>
  </si>
  <si>
    <t>Annual Share Growth (uncovered dilution)</t>
  </si>
  <si>
    <t>WACC (Base)</t>
  </si>
  <si>
    <t>Terminal Growth Rate</t>
  </si>
  <si>
    <t>Terminal Cap Multiple (x Year-10 FCF)</t>
  </si>
  <si>
    <t>D&amp;A % of Revenue</t>
  </si>
  <si>
    <t>Working Capital Capture % of Rev Growth</t>
  </si>
  <si>
    <t>BASE CASE ASSUMPTION PATHS (10yr)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</si>
  <si>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</si>
  <si>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</si>
  <si>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</si>
  <si>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</si>
  <si>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</si>
  <si>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</si>
  <si>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</si>
  <si>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</si>
  <si>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</si>
  <si>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</si>
  <si>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Revenue Growth %</t>
  </si>
  <si>
    <t>EBITDA Margin %</t>
  </si>
  <si>
    <t>SBC % of Revenue</t>
  </si>
  <si>
    <t>Capex % of Revenue</t>
  </si>
  <si>
    <t>Cash Tax Rate %</t>
  </si>
  <si>
    <t>PROJECTIONS (Component Build)</t>
  </si>
  <si>
    <t>Revenue</t>
  </si>
  <si>
    <t>Adj. EBITDA</t>
  </si>
  <si>
    <t>Less: SBC</t>
  </si>
  <si>
    <t>Owner EBITDA</t>
  </si>
  <si>
    <t>Less: D&amp;A</t>
  </si>
  <si>
    <t>EBIT</t>
  </si>
  <si>
    <t>NOPAT</t>
  </si>
  <si>
    <t>Less: Capex</t>
  </si>
  <si>
    <t>Plus: Working Capital (on rev growth)</t>
  </si>
  <si>
    <t>Owner Free Cash Flow</t>
  </si>
  <si>
    <t>Owner FCF Margin %</t>
  </si>
  <si>
    <t>Discount Factor</t>
  </si>
  <si>
    <t>PV of FCF</t>
  </si>
  <si>
    <t>Projected Shares Outstanding (M)</t>
  </si>
  <si>
    <t>VALUATION</t>
  </si>
  <si>
    <t>Sum of PV of FCF (Yrs 1-10)</t>
  </si>
  <si>
    <t>Terminal FCF (Year 10 x (1+g))</t>
  </si>
  <si>
    <t>Terminal Value - Gordon Growth</t>
  </si>
  <si>
    <t>Terminal Value - Cap (x Yr10 FCF)</t>
  </si>
  <si>
    <t>Terminal Value (lower of the two)</t>
  </si>
  <si>
    <t>PV of Terminal Value</t>
  </si>
  <si>
    <t>Enterprise Value</t>
  </si>
  <si>
    <t>Less: Net Debt</t>
  </si>
  <si>
    <t>Equity Value</t>
  </si>
  <si>
    <t>INTRINSIC VALUE/SHARE (NZD)</t>
  </si>
  <si>
    <t>ENTRY PRICE (15% IRR Target)</t>
  </si>
  <si>
    <t>PV of Yrs 1-10 FCF @15%</t>
  </si>
  <si>
    <t>PV of Terminal Value @15%</t>
  </si>
  <si>
    <t>Entry Price (15% IRR, NZD)</t>
  </si>
  <si>
    <t>Upside to Intrinsic Value</t>
  </si>
  <si>
    <t>Discount of Current Price to Entry Price</t>
  </si>
  <si>
    <t>NOTE: Bear case (in JSON) implies equity value &lt; 0 (raise/dilution risk).</t>
  </si>
  <si>
    <t>This sheet models the BASE case only. See Sensitivity + Model_Info sheets.</t>
  </si>
  <si>
    <t>Sensitivity Analysis - Base Case Intrinsic Value</t>
  </si>
  <si>
    <t>NZD per share by WACC (rows) and Terminal Growth (columns)</t>
  </si>
  <si>
    <t>WACC \ Term G</t>
  </si>
  <si>
    <t>Note: matrix recalculates live from the DCF Model sheet Year 1-10 FCF path (base case).</t>
  </si>
  <si>
    <t>Terminal cap multiple (13x) still applies as the ceiling in each cell.</t>
  </si>
  <si>
    <t>FCF Quality: Reported vs Owner FCF Reconciliation</t>
  </si>
  <si>
    <t>All figures NZD millions. Owner FCF = Reported FCF - SBC (incl. equity-award taxes). Interest income NOT stripped (Air NZ is net-debt).</t>
  </si>
  <si>
    <t>FY2015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</si>
  <si>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</si>
  <si>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</si>
  <si>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</si>
  <si>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</si>
  <si>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</si>
  <si>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</si>
  <si>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</si>
  <si>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</si>
  <si>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</si>
  <si>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</si>
  <si>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Reported FCF (company definition)</t>
  </si>
  <si>
    <t>Less: Equity-award taxes</t>
  </si>
  <si>
    <t>Owner FCF</t>
  </si>
  <si>
    <t>Reported FCF Margin</t>
  </si>
  <si>
    <t>Owner FCF Margin</t>
  </si>
  <si>
    <t>Memo: Interest Income (not stripped - net debt co.)</t>
  </si>
  <si>
    <t>Memo: FY2022 recapitalisation nearly tripled share count (1,123M -&gt; 3,368M); FY2020-22 are COVID loss years.</t>
  </si>
  <si>
    <t>Memo: FY2023 FCF margin (19.8%) is inflated by post-COVID working-capital catch-up (advance ticket sales rebuild) - not repeatable.</t>
  </si>
  <si>
    <t>Memo: FY2026 guided pre-tax LOSS of NZ$340-390m (fuel shock + engine groundings) is the DCF Year-1 trough, not shown as an actual here.</t>
  </si>
  <si>
    <t>Historical Growth Rates (Reference Only - Not Used as DCF Growth Driver)</t>
  </si>
  <si>
    <t>Metric</t>
  </si>
  <si>
    <t>3-Year CAGR</t>
  </si>
  <si>
    <t>5-Year CAGR</t>
  </si>
  <si>
    <t>EPS</t>
  </si>
  <si>
    <t>n/m</t>
  </si>
  <si>
    <t>Equity</t>
  </si>
  <si>
    <t>FCF</t>
  </si>
  <si>
    <t>Growth Rate Source:</t>
  </si>
  <si>
    <t>mid_cycle_component_build_not_historical_cagr</t>
  </si>
  <si>
    <t>Divergence Warning:</t>
  </si>
  <si>
    <t>Standard CAGR-based growth selection is NOT used for this ticker. FY2020-22 COVID losses and the 2022 recapitalisation (share count 1,123M-&gt;3,368M) make revenue/equity/EPS/FCF CAGRs across that window not economically meaningful (e.g. revenue 3yr CAGR of 35.2% is a COVID-recovery base effect, not sustainable growth; EPS and FCF CAGRs are undefined or distorted by negative/near-zero base years). The DCF instead builds mid-cycle owner-FCF directly from FY2025 revenue using component margins (EBITDA/SBC/D&amp;A/tax/capex/working-capital) that ramp from a guided FY2026 trough to a competition-adjusted mature level by Year 8-10. See model_notes.</t>
  </si>
  <si>
    <t>Notes:</t>
  </si>
  <si>
    <t>Pre-COVID (FY2015-19) NPAT margin averaged ~7.0% on ~1,123M shares; FY2023 (post-recap, pre-engine-crisis) NPAT margin was 6.5%, the best recent-era mid-cycle anchor. FY2024/25 NPAT margins (2.2%/1.9%) are depressed by the engine-availability crisis (~$165m FY25 EBT impact) and are treated as a Year-1/Year-2 trough, not the steady state.</t>
  </si>
  <si>
    <t>Model Provenance &amp; Methodology Notes</t>
  </si>
  <si>
    <t>Built by</t>
  </si>
  <si>
    <t>Claude (dcf-analyst agent), Stocks/Research repo</t>
  </si>
  <si>
    <t>Build date</t>
  </si>
  <si>
    <t>2026-08-01</t>
  </si>
  <si>
    <t>Ticker / Company</t>
  </si>
  <si>
    <t>AIR.NZ / Air New Zealand Limited</t>
  </si>
  <si>
    <t>Currency</t>
  </si>
  <si>
    <t>NZD</t>
  </si>
  <si>
    <t>Share price date/source</t>
  </si>
  <si>
    <t>NZ$0.415 - Yahoo Finance live quote, fetched 2026-08-01</t>
  </si>
  <si>
    <t>Shares outstanding source</t>
  </si>
  <si>
    <t>AIR.NZ_Metrics.csv FY2025 row (post-FY2025 buyback), 3,307M</t>
  </si>
  <si>
    <t>Data vintage</t>
  </si>
  <si>
    <t>FY2015-FY2025 annual filings (AIR.NZ_Metrics.csv); FY2026 guidance from May 2026 trading update and H1 FY2026 result (Feb 2026), per AIR.NZ_Analysis.json</t>
  </si>
  <si>
    <t>Horizon</t>
  </si>
  <si>
    <t>10-year explicit build (FY2026-FY2035). Used instead of 5yr because owner-FCF margins are still well below their mature level in Year 5 across all scenarios (recovering out of a guided FY2026 trough) - capitalizing an immature Year-5 margin would understate the business.</t>
  </si>
  <si>
    <t>Base-year methodology</t>
  </si>
  <si>
    <t>DOES NOT use FY2025 or guided FY2026 as the DCF base year. Builds forward from FY2025 revenue ($6,755M) using component margins (EBITDA/SBC/D&amp;A/tax/capex/working-capital) that trough in FY2026 (reflecting the guided NZ$340-390m pre-tax loss) and recover toward a competition-adjusted mature margin by ~Year 8-10.</t>
  </si>
  <si>
    <t>Historical CAGR usage</t>
  </si>
  <si>
    <t>NOT used as the growth driver. FY2020-22 COVID losses + the 2022 recapitalisation (share count 1,123M -&gt; 3,368M) make standard revenue/EPS/equity/FCF CAGRs across that window economically meaningless. See Historical sheet for the raw (flagged) figures.</t>
  </si>
  <si>
    <t>Mid-cycle margin anchor</t>
  </si>
  <si>
    <t>Pre-COVID (FY2015-19) NPAT margin averaged ~7.0%; FY2023 (post-recap, pre-engine-crisis) NPAT margin was 6.5% - the best recent-era anchor. Mature EBITDA margin capped at 18.5% (base case), below the pre-COVID ~24% average, to reflect Jetstar competitive erosion of the domestic monopoly.</t>
  </si>
  <si>
    <t>Capex treatment</t>
  </si>
  <si>
    <t>Elevated (12-14.5% of revenue) through explicit fleet-renewal window (10x Boeing 787s FY26-29, A321neo/ATR deliveries), tapering to a ~9% of revenue normalized maintenance level once the renewal programme completes (~Year 6-7). NOT held flat at the historically-lumpy actual level.</t>
  </si>
  <si>
    <t>Net debt definition</t>
  </si>
  <si>
    <t>CSV TotalDebt (gross interest-bearing debt incl. lease liabilities, $2,838M FY2025) less Cash &amp; Equivalents ($1,436M) = $1,402M net debt. Note the company's own narrower net-debt metric (nets interest-bearing assets/derivatives too) is lower at $1,080M FY2025 - the more conservative CSV-based figure is used throughout.</t>
  </si>
  <si>
    <t>SBC treatment</t>
  </si>
  <si>
    <t>Immaterial for an airline (~0.16% of revenue incl. equity-award taxes). Deducted from FCF per standard methodology; buybacks (FY2025: $38M) exceed SBC+tax ($11M) so uncovered dilution = 0 and share count is held flat across the projection.</t>
  </si>
  <si>
    <t>Interest income treatment</t>
  </si>
  <si>
    <t>NOT stripped from FCF. Air NZ is a net-debt company (net debt $1,402M) - the interest-income strip rule only applies when net CASH is material, to avoid double-counting a cash pile. No such double-count risk here.</t>
  </si>
  <si>
    <t>Terminal value</t>
  </si>
  <si>
    <t>Lower of Gordon growth and a cyclical cap multiple (13x Year-10 FCF base case; 14x bull; 10x bear), reflecting that Air NZ has historically traded around 3-5x EV/EBITDA and airlines rarely sustain double-digit FCF multiples through a full cycle.</t>
  </si>
  <si>
    <t>WACC</t>
  </si>
  <si>
    <t>Built up from an NZ mid-cap base (9.5%) plus explicit premiums for extreme cyclicality (+1.5pp), fuel/FX exposure (+1.0pp), and the engine-availability crisis (+0.9pp), less an offset (-0.5pp) for Crown ownership/Baa1 credit quality. Resulting base WACC ~12.9%. See wacc_rationale in the JSON and DCF Model sheet.</t>
  </si>
  <si>
    <t>Bear case equity-wipeout flag</t>
  </si>
  <si>
    <t>The bear scenario DCF produces an enterprise value below current net debt (mechanically negative equity value per share), reflecting genuine dilution/recapitalisation tail risk (the bear case explicitly includes "another equity raise risk"). Displayed/weighted bear IV is floored at a nominal NZ$0.02/share; the raw negative figure is retained in the JSON for transparency. This sheet models the BASE case only.</t>
  </si>
  <si>
    <t>Entry price</t>
  </si>
  <si>
    <t>15% IRR hurdle: PV of Years 1-10 base-case owner FCF at 15%, plus PV of the WACC-discounted Gordon terminal value at 15%, less net debt, divided by the Year-10 projected share count.</t>
  </si>
  <si>
    <t>What to refresh after next earnings print</t>
  </si>
  <si>
    <t>FY2026 full-year actual result (expected ~Aug 2026) - update AIR.NZ_Metrics.csv, re-anchor the FY2026 trough EBITDA margin/FCF to the actual (not the May-2026 guided range), and check whether fuel costs/engine groundings have tracked guidance. Also re-check net debt/EBITDA against the 1.5x-2.5x Capital Management Framework, and any change to the buyback/dividend programme.</t>
  </si>
  <si>
    <t>Cell colour conventions</t>
  </si>
  <si>
    <t>Gray-shaded cells (DCF Model sheet, column B and assumption-path rows) are INPUTS - editable. White cells contain FORMULAS and recalculate automatically. Green cell = key output (Intrinsic Value / Entry Price).</t>
  </si>
  <si>
    <t>Staleness warning</t>
  </si>
  <si>
    <t>All figures in this model will go stale as new filings, guidance updates, and price moves occur. This is a snapshot as of 2026-08-01 (H1 FY2026 result + May 2026 guidance update) and MUST be re-checked before relying on it for a live investment decision.</t>
  </si>
</sst>
</file>

<file path=xl/styles.xml><?xml version="1.0" encoding="utf-8"?>
<styleSheet xmlns="http://schemas.openxmlformats.org/spreadsheetml/2006/main">
  <numFmts count="5">
    <numFmt numFmtId="164" formatCode="#,##0.00"/>
    <numFmt numFmtId="165" formatCode="#,##0.0"/>
    <numFmt numFmtId="166" formatCode="0.00%"/>
    <numFmt numFmtId="167" formatCode="0.0%"/>
    <numFmt numFmtId="168" formatCode="&quot;$&quot;#,##0.00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5" fontId="0" fillId="0" borderId="2" xfId="0" applyNumberFormat="1" applyBorder="1"/>
    <xf numFmtId="166" fontId="0" fillId="2" borderId="2" xfId="0" applyNumberFormat="1" applyFill="1" applyBorder="1"/>
    <xf numFmtId="0" fontId="4" fillId="3" borderId="2" xfId="0" applyFont="1" applyFill="1" applyBorder="1"/>
    <xf numFmtId="167" fontId="0" fillId="0" borderId="2" xfId="0" applyNumberFormat="1" applyBorder="1"/>
    <xf numFmtId="0" fontId="5" fillId="0" borderId="0" xfId="0" applyFont="1"/>
    <xf numFmtId="168" fontId="4" fillId="4" borderId="2" xfId="0" applyNumberFormat="1" applyFont="1" applyFill="1" applyBorder="1"/>
    <xf numFmtId="167" fontId="4" fillId="3" borderId="0" xfId="0" applyNumberFormat="1" applyFont="1" applyFill="1"/>
    <xf numFmtId="168" fontId="0" fillId="0" borderId="2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2"/>
  <sheetViews>
    <sheetView tabSelected="1" workbookViewId="0"/>
  </sheetViews>
  <sheetFormatPr defaultRowHeight="15"/>
  <cols>
    <col min="1" max="1" width="30.7109375" customWidth="1"/>
    <col min="2" max="12" width="12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0.415</v>
      </c>
    </row>
    <row r="6" spans="1:2">
      <c r="A6" t="s">
        <v>4</v>
      </c>
      <c r="B6" s="4">
        <v>3307</v>
      </c>
    </row>
    <row r="7" spans="1:2">
      <c r="A7" t="s">
        <v>5</v>
      </c>
      <c r="B7" s="4">
        <v>1436</v>
      </c>
    </row>
    <row r="8" spans="1:2">
      <c r="A8" t="s">
        <v>6</v>
      </c>
      <c r="B8" s="4">
        <v>2838</v>
      </c>
    </row>
    <row r="9" spans="1:2">
      <c r="A9" t="s">
        <v>7</v>
      </c>
      <c r="B9" s="5">
        <f>B8-B7</f>
        <v>0</v>
      </c>
    </row>
    <row r="10" spans="1:2">
      <c r="A10" t="s">
        <v>8</v>
      </c>
      <c r="B10" s="4">
        <v>6755</v>
      </c>
    </row>
    <row r="11" spans="1:2">
      <c r="A11" t="s">
        <v>9</v>
      </c>
      <c r="B11" s="4">
        <v>160</v>
      </c>
    </row>
    <row r="12" spans="1:2">
      <c r="A12" t="s">
        <v>10</v>
      </c>
      <c r="B12" s="4">
        <v>11</v>
      </c>
    </row>
    <row r="13" spans="1:2">
      <c r="A13" t="s">
        <v>11</v>
      </c>
      <c r="B13" s="5">
        <f>B11-B12</f>
        <v>0</v>
      </c>
    </row>
    <row r="14" spans="1:2">
      <c r="A14" t="s">
        <v>12</v>
      </c>
      <c r="B14" s="6">
        <v>0</v>
      </c>
    </row>
    <row r="16" spans="1:2">
      <c r="A16" t="s">
        <v>13</v>
      </c>
      <c r="B16" s="6">
        <v>0.129</v>
      </c>
    </row>
    <row r="17" spans="1:11">
      <c r="A17" t="s">
        <v>14</v>
      </c>
      <c r="B17" s="6">
        <v>0.02</v>
      </c>
    </row>
    <row r="18" spans="1:11">
      <c r="A18" t="s">
        <v>15</v>
      </c>
      <c r="B18" s="4">
        <v>13</v>
      </c>
    </row>
    <row r="19" spans="1:11">
      <c r="A19" t="s">
        <v>16</v>
      </c>
      <c r="B19" s="6">
        <v>0.105</v>
      </c>
    </row>
    <row r="20" spans="1:11">
      <c r="A20" t="s">
        <v>17</v>
      </c>
      <c r="B20" s="6">
        <v>0.15</v>
      </c>
    </row>
    <row r="22" spans="1:11">
      <c r="A22" s="3" t="s">
        <v>18</v>
      </c>
    </row>
    <row r="23" spans="1:11">
      <c r="A23" s="7"/>
      <c r="B23" s="7" t="s">
        <v>19</v>
      </c>
      <c r="C23" s="7" t="s">
        <v>20</v>
      </c>
      <c r="D23" s="7" t="s">
        <v>21</v>
      </c>
      <c r="E23" s="7" t="s">
        <v>22</v>
      </c>
      <c r="F23" s="7" t="s">
        <v>23</v>
      </c>
      <c r="G23" s="7" t="s">
        <v>24</v>
      </c>
      <c r="H23" s="7" t="s">
        <v>25</v>
      </c>
      <c r="I23" s="7" t="s">
        <v>26</v>
      </c>
      <c r="J23" s="7" t="s">
        <v>27</v>
      </c>
      <c r="K23" s="7" t="s">
        <v>28</v>
      </c>
    </row>
    <row r="24" spans="1:11">
      <c r="A24" t="s">
        <v>29</v>
      </c>
      <c r="B24" s="6">
        <v>0.01</v>
      </c>
      <c r="C24" s="6">
        <v>0.035</v>
      </c>
      <c r="D24" s="6">
        <v>0.045</v>
      </c>
      <c r="E24" s="6">
        <v>0.04</v>
      </c>
      <c r="F24" s="6">
        <v>0.035</v>
      </c>
      <c r="G24" s="6">
        <v>0.03</v>
      </c>
      <c r="H24" s="6">
        <v>0.027</v>
      </c>
      <c r="I24" s="6">
        <v>0.024</v>
      </c>
      <c r="J24" s="6">
        <v>0.022</v>
      </c>
      <c r="K24" s="6">
        <v>0.02</v>
      </c>
    </row>
    <row r="25" spans="1:11">
      <c r="A25" t="s">
        <v>30</v>
      </c>
      <c r="B25" s="6">
        <v>0.073</v>
      </c>
      <c r="C25" s="6">
        <v>0.115</v>
      </c>
      <c r="D25" s="6">
        <v>0.15</v>
      </c>
      <c r="E25" s="6">
        <v>0.165</v>
      </c>
      <c r="F25" s="6">
        <v>0.173</v>
      </c>
      <c r="G25" s="6">
        <v>0.178</v>
      </c>
      <c r="H25" s="6">
        <v>0.181</v>
      </c>
      <c r="I25" s="6">
        <v>0.183</v>
      </c>
      <c r="J25" s="6">
        <v>0.184</v>
      </c>
      <c r="K25" s="6">
        <v>0.185</v>
      </c>
    </row>
    <row r="26" spans="1:11">
      <c r="A26" t="s">
        <v>31</v>
      </c>
      <c r="B26" s="6">
        <v>0.0016</v>
      </c>
      <c r="C26" s="6">
        <v>0.0016</v>
      </c>
      <c r="D26" s="6">
        <v>0.0016</v>
      </c>
      <c r="E26" s="6">
        <v>0.0016</v>
      </c>
      <c r="F26" s="6">
        <v>0.0016</v>
      </c>
      <c r="G26" s="6">
        <v>0.0016</v>
      </c>
      <c r="H26" s="6">
        <v>0.0016</v>
      </c>
      <c r="I26" s="6">
        <v>0.0016</v>
      </c>
      <c r="J26" s="6">
        <v>0.0016</v>
      </c>
      <c r="K26" s="6">
        <v>0.0016</v>
      </c>
    </row>
    <row r="27" spans="1:11">
      <c r="A27" t="s">
        <v>32</v>
      </c>
      <c r="B27" s="6">
        <v>0.12</v>
      </c>
      <c r="C27" s="6">
        <v>0.135</v>
      </c>
      <c r="D27" s="6">
        <v>0.145</v>
      </c>
      <c r="E27" s="6">
        <v>0.14</v>
      </c>
      <c r="F27" s="6">
        <v>0.12</v>
      </c>
      <c r="G27" s="6">
        <v>0.105</v>
      </c>
      <c r="H27" s="6">
        <v>0.095</v>
      </c>
      <c r="I27" s="6">
        <v>0.09</v>
      </c>
      <c r="J27" s="6">
        <v>0.09</v>
      </c>
      <c r="K27" s="6">
        <v>0.09</v>
      </c>
    </row>
    <row r="28" spans="1:11">
      <c r="A28" t="s">
        <v>33</v>
      </c>
      <c r="B28" s="6">
        <v>0</v>
      </c>
      <c r="C28" s="6">
        <v>0</v>
      </c>
      <c r="D28" s="6">
        <v>0.05</v>
      </c>
      <c r="E28" s="6">
        <v>0.15</v>
      </c>
      <c r="F28" s="6">
        <v>0.22</v>
      </c>
      <c r="G28" s="6">
        <v>0.26</v>
      </c>
      <c r="H28" s="6">
        <v>0.28</v>
      </c>
      <c r="I28" s="6">
        <v>0.28</v>
      </c>
      <c r="J28" s="6">
        <v>0.28</v>
      </c>
      <c r="K28" s="6">
        <v>0.28</v>
      </c>
    </row>
    <row r="30" spans="1:11">
      <c r="A30" s="3" t="s">
        <v>34</v>
      </c>
    </row>
    <row r="31" spans="1:11">
      <c r="A31" s="7"/>
      <c r="B31" s="7" t="s">
        <v>19</v>
      </c>
      <c r="C31" s="7" t="s">
        <v>20</v>
      </c>
      <c r="D31" s="7" t="s">
        <v>21</v>
      </c>
      <c r="E31" s="7" t="s">
        <v>22</v>
      </c>
      <c r="F31" s="7" t="s">
        <v>23</v>
      </c>
      <c r="G31" s="7" t="s">
        <v>24</v>
      </c>
      <c r="H31" s="7" t="s">
        <v>25</v>
      </c>
      <c r="I31" s="7" t="s">
        <v>26</v>
      </c>
      <c r="J31" s="7" t="s">
        <v>27</v>
      </c>
      <c r="K31" s="7" t="s">
        <v>28</v>
      </c>
    </row>
    <row r="32" spans="1:11">
      <c r="A32" t="s">
        <v>35</v>
      </c>
      <c r="B32" s="5">
        <f>$B$10*(1+B24)</f>
        <v>0</v>
      </c>
      <c r="C32" s="5">
        <f>B32*(1+C24)</f>
        <v>0</v>
      </c>
      <c r="D32" s="5">
        <f>C32*(1+D24)</f>
        <v>0</v>
      </c>
      <c r="E32" s="5">
        <f>D32*(1+E24)</f>
        <v>0</v>
      </c>
      <c r="F32" s="5">
        <f>E32*(1+F24)</f>
        <v>0</v>
      </c>
      <c r="G32" s="5">
        <f>F32*(1+G24)</f>
        <v>0</v>
      </c>
      <c r="H32" s="5">
        <f>G32*(1+H24)</f>
        <v>0</v>
      </c>
      <c r="I32" s="5">
        <f>H32*(1+I24)</f>
        <v>0</v>
      </c>
      <c r="J32" s="5">
        <f>I32*(1+J24)</f>
        <v>0</v>
      </c>
      <c r="K32" s="5">
        <f>J32*(1+K24)</f>
        <v>0</v>
      </c>
    </row>
    <row r="33" spans="1:11">
      <c r="A33" t="s">
        <v>36</v>
      </c>
      <c r="B33" s="5">
        <f>B32*B25</f>
        <v>0</v>
      </c>
      <c r="C33" s="5">
        <f>C32*C25</f>
        <v>0</v>
      </c>
      <c r="D33" s="5">
        <f>D32*D25</f>
        <v>0</v>
      </c>
      <c r="E33" s="5">
        <f>E32*E25</f>
        <v>0</v>
      </c>
      <c r="F33" s="5">
        <f>F32*F25</f>
        <v>0</v>
      </c>
      <c r="G33" s="5">
        <f>G32*G25</f>
        <v>0</v>
      </c>
      <c r="H33" s="5">
        <f>H32*H25</f>
        <v>0</v>
      </c>
      <c r="I33" s="5">
        <f>I32*I25</f>
        <v>0</v>
      </c>
      <c r="J33" s="5">
        <f>J32*J25</f>
        <v>0</v>
      </c>
      <c r="K33" s="5">
        <f>K32*K25</f>
        <v>0</v>
      </c>
    </row>
    <row r="34" spans="1:11">
      <c r="A34" t="s">
        <v>37</v>
      </c>
      <c r="B34" s="5">
        <f>B32*B26</f>
        <v>0</v>
      </c>
      <c r="C34" s="5">
        <f>C32*C26</f>
        <v>0</v>
      </c>
      <c r="D34" s="5">
        <f>D32*D26</f>
        <v>0</v>
      </c>
      <c r="E34" s="5">
        <f>E32*E26</f>
        <v>0</v>
      </c>
      <c r="F34" s="5">
        <f>F32*F26</f>
        <v>0</v>
      </c>
      <c r="G34" s="5">
        <f>G32*G26</f>
        <v>0</v>
      </c>
      <c r="H34" s="5">
        <f>H32*H26</f>
        <v>0</v>
      </c>
      <c r="I34" s="5">
        <f>I32*I26</f>
        <v>0</v>
      </c>
      <c r="J34" s="5">
        <f>J32*J26</f>
        <v>0</v>
      </c>
      <c r="K34" s="5">
        <f>K32*K26</f>
        <v>0</v>
      </c>
    </row>
    <row r="35" spans="1:11">
      <c r="A35" t="s">
        <v>38</v>
      </c>
      <c r="B35" s="5">
        <f>B33-B34</f>
        <v>0</v>
      </c>
      <c r="C35" s="5">
        <f>C33-C34</f>
        <v>0</v>
      </c>
      <c r="D35" s="5">
        <f>D33-D34</f>
        <v>0</v>
      </c>
      <c r="E35" s="5">
        <f>E33-E34</f>
        <v>0</v>
      </c>
      <c r="F35" s="5">
        <f>F33-F34</f>
        <v>0</v>
      </c>
      <c r="G35" s="5">
        <f>G33-G34</f>
        <v>0</v>
      </c>
      <c r="H35" s="5">
        <f>H33-H34</f>
        <v>0</v>
      </c>
      <c r="I35" s="5">
        <f>I33-I34</f>
        <v>0</v>
      </c>
      <c r="J35" s="5">
        <f>J33-J34</f>
        <v>0</v>
      </c>
      <c r="K35" s="5">
        <f>K33-K34</f>
        <v>0</v>
      </c>
    </row>
    <row r="36" spans="1:11">
      <c r="A36" t="s">
        <v>39</v>
      </c>
      <c r="B36" s="5">
        <f>B32*$B$19</f>
        <v>0</v>
      </c>
      <c r="C36" s="5">
        <f>C32*$B$19</f>
        <v>0</v>
      </c>
      <c r="D36" s="5">
        <f>D32*$B$19</f>
        <v>0</v>
      </c>
      <c r="E36" s="5">
        <f>E32*$B$19</f>
        <v>0</v>
      </c>
      <c r="F36" s="5">
        <f>F32*$B$19</f>
        <v>0</v>
      </c>
      <c r="G36" s="5">
        <f>G32*$B$19</f>
        <v>0</v>
      </c>
      <c r="H36" s="5">
        <f>H32*$B$19</f>
        <v>0</v>
      </c>
      <c r="I36" s="5">
        <f>I32*$B$19</f>
        <v>0</v>
      </c>
      <c r="J36" s="5">
        <f>J32*$B$19</f>
        <v>0</v>
      </c>
      <c r="K36" s="5">
        <f>K32*$B$19</f>
        <v>0</v>
      </c>
    </row>
    <row r="37" spans="1:11">
      <c r="A37" t="s">
        <v>40</v>
      </c>
      <c r="B37" s="5">
        <f>B35-B36</f>
        <v>0</v>
      </c>
      <c r="C37" s="5">
        <f>C35-C36</f>
        <v>0</v>
      </c>
      <c r="D37" s="5">
        <f>D35-D36</f>
        <v>0</v>
      </c>
      <c r="E37" s="5">
        <f>E35-E36</f>
        <v>0</v>
      </c>
      <c r="F37" s="5">
        <f>F35-F36</f>
        <v>0</v>
      </c>
      <c r="G37" s="5">
        <f>G35-G36</f>
        <v>0</v>
      </c>
      <c r="H37" s="5">
        <f>H35-H36</f>
        <v>0</v>
      </c>
      <c r="I37" s="5">
        <f>I35-I36</f>
        <v>0</v>
      </c>
      <c r="J37" s="5">
        <f>J35-J36</f>
        <v>0</v>
      </c>
      <c r="K37" s="5">
        <f>K35-K36</f>
        <v>0</v>
      </c>
    </row>
    <row r="39" spans="1:11">
      <c r="A39" t="s">
        <v>41</v>
      </c>
      <c r="B39" s="5">
        <f>B37*(1-B28)</f>
        <v>0</v>
      </c>
      <c r="C39" s="5">
        <f>C37*(1-C28)</f>
        <v>0</v>
      </c>
      <c r="D39" s="5">
        <f>D37*(1-D28)</f>
        <v>0</v>
      </c>
      <c r="E39" s="5">
        <f>E37*(1-E28)</f>
        <v>0</v>
      </c>
      <c r="F39" s="5">
        <f>F37*(1-F28)</f>
        <v>0</v>
      </c>
      <c r="G39" s="5">
        <f>G37*(1-G28)</f>
        <v>0</v>
      </c>
      <c r="H39" s="5">
        <f>H37*(1-H28)</f>
        <v>0</v>
      </c>
      <c r="I39" s="5">
        <f>I37*(1-I28)</f>
        <v>0</v>
      </c>
      <c r="J39" s="5">
        <f>J37*(1-J28)</f>
        <v>0</v>
      </c>
      <c r="K39" s="5">
        <f>K37*(1-K28)</f>
        <v>0</v>
      </c>
    </row>
    <row r="40" spans="1:11">
      <c r="A40" t="s">
        <v>42</v>
      </c>
      <c r="B40" s="5">
        <f>B32*B27</f>
        <v>0</v>
      </c>
      <c r="C40" s="5">
        <f>C32*C27</f>
        <v>0</v>
      </c>
      <c r="D40" s="5">
        <f>D32*D27</f>
        <v>0</v>
      </c>
      <c r="E40" s="5">
        <f>E32*E27</f>
        <v>0</v>
      </c>
      <c r="F40" s="5">
        <f>F32*F27</f>
        <v>0</v>
      </c>
      <c r="G40" s="5">
        <f>G32*G27</f>
        <v>0</v>
      </c>
      <c r="H40" s="5">
        <f>H32*H27</f>
        <v>0</v>
      </c>
      <c r="I40" s="5">
        <f>I32*I27</f>
        <v>0</v>
      </c>
      <c r="J40" s="5">
        <f>J32*J27</f>
        <v>0</v>
      </c>
      <c r="K40" s="5">
        <f>K32*K27</f>
        <v>0</v>
      </c>
    </row>
    <row r="41" spans="1:11">
      <c r="A41" t="s">
        <v>43</v>
      </c>
      <c r="B41" s="5">
        <f>$B$20*(B32-$B$10)</f>
        <v>0</v>
      </c>
      <c r="C41" s="5">
        <f>$B$20*(C32-B32)</f>
        <v>0</v>
      </c>
      <c r="D41" s="5">
        <f>$B$20*(D32-C32)</f>
        <v>0</v>
      </c>
      <c r="E41" s="5">
        <f>$B$20*(E32-D32)</f>
        <v>0</v>
      </c>
      <c r="F41" s="5">
        <f>$B$20*(F32-E32)</f>
        <v>0</v>
      </c>
      <c r="G41" s="5">
        <f>$B$20*(G32-F32)</f>
        <v>0</v>
      </c>
      <c r="H41" s="5">
        <f>$B$20*(H32-G32)</f>
        <v>0</v>
      </c>
      <c r="I41" s="5">
        <f>$B$20*(I32-H32)</f>
        <v>0</v>
      </c>
      <c r="J41" s="5">
        <f>$B$20*(J32-I32)</f>
        <v>0</v>
      </c>
      <c r="K41" s="5">
        <f>$B$20*(K32-J32)</f>
        <v>0</v>
      </c>
    </row>
    <row r="42" spans="1:11">
      <c r="A42" t="s">
        <v>44</v>
      </c>
      <c r="B42" s="5">
        <f>B39+B36-B40+B41</f>
        <v>0</v>
      </c>
      <c r="C42" s="5">
        <f>C39+C36-C40+C41</f>
        <v>0</v>
      </c>
      <c r="D42" s="5">
        <f>D39+D36-D40+D41</f>
        <v>0</v>
      </c>
      <c r="E42" s="5">
        <f>E39+E36-E40+E41</f>
        <v>0</v>
      </c>
      <c r="F42" s="5">
        <f>F39+F36-F40+F41</f>
        <v>0</v>
      </c>
      <c r="G42" s="5">
        <f>G39+G36-G40+G41</f>
        <v>0</v>
      </c>
      <c r="H42" s="5">
        <f>H39+H36-H40+H41</f>
        <v>0</v>
      </c>
      <c r="I42" s="5">
        <f>I39+I36-I40+I41</f>
        <v>0</v>
      </c>
      <c r="J42" s="5">
        <f>J39+J36-J40+J41</f>
        <v>0</v>
      </c>
      <c r="K42" s="5">
        <f>K39+K36-K40+K41</f>
        <v>0</v>
      </c>
    </row>
    <row r="43" spans="1:11">
      <c r="A43" t="s">
        <v>45</v>
      </c>
      <c r="B43" s="8">
        <f>B42/B32</f>
        <v>0</v>
      </c>
      <c r="C43" s="8">
        <f>C42/C32</f>
        <v>0</v>
      </c>
      <c r="D43" s="8">
        <f>D42/D32</f>
        <v>0</v>
      </c>
      <c r="E43" s="8">
        <f>E42/E32</f>
        <v>0</v>
      </c>
      <c r="F43" s="8">
        <f>F42/F32</f>
        <v>0</v>
      </c>
      <c r="G43" s="8">
        <f>G42/G32</f>
        <v>0</v>
      </c>
      <c r="H43" s="8">
        <f>H42/H32</f>
        <v>0</v>
      </c>
      <c r="I43" s="8">
        <f>I42/I32</f>
        <v>0</v>
      </c>
      <c r="J43" s="8">
        <f>J42/J32</f>
        <v>0</v>
      </c>
      <c r="K43" s="8">
        <f>K42/K32</f>
        <v>0</v>
      </c>
    </row>
    <row r="44" spans="1:11">
      <c r="A44" t="s">
        <v>46</v>
      </c>
      <c r="B44" s="5">
        <f>1/(1+$B$16)^1</f>
        <v>0</v>
      </c>
      <c r="C44" s="5">
        <f>1/(1+$B$16)^2</f>
        <v>0</v>
      </c>
      <c r="D44" s="5">
        <f>1/(1+$B$16)^3</f>
        <v>0</v>
      </c>
      <c r="E44" s="5">
        <f>1/(1+$B$16)^4</f>
        <v>0</v>
      </c>
      <c r="F44" s="5">
        <f>1/(1+$B$16)^5</f>
        <v>0</v>
      </c>
      <c r="G44" s="5">
        <f>1/(1+$B$16)^6</f>
        <v>0</v>
      </c>
      <c r="H44" s="5">
        <f>1/(1+$B$16)^7</f>
        <v>0</v>
      </c>
      <c r="I44" s="5">
        <f>1/(1+$B$16)^8</f>
        <v>0</v>
      </c>
      <c r="J44" s="5">
        <f>1/(1+$B$16)^9</f>
        <v>0</v>
      </c>
      <c r="K44" s="5">
        <f>1/(1+$B$16)^10</f>
        <v>0</v>
      </c>
    </row>
    <row r="45" spans="1:11">
      <c r="A45" t="s">
        <v>47</v>
      </c>
      <c r="B45" s="5">
        <f>B42*B44</f>
        <v>0</v>
      </c>
      <c r="C45" s="5">
        <f>C42*C44</f>
        <v>0</v>
      </c>
      <c r="D45" s="5">
        <f>D42*D44</f>
        <v>0</v>
      </c>
      <c r="E45" s="5">
        <f>E42*E44</f>
        <v>0</v>
      </c>
      <c r="F45" s="5">
        <f>F42*F44</f>
        <v>0</v>
      </c>
      <c r="G45" s="5">
        <f>G42*G44</f>
        <v>0</v>
      </c>
      <c r="H45" s="5">
        <f>H42*H44</f>
        <v>0</v>
      </c>
      <c r="I45" s="5">
        <f>I42*I44</f>
        <v>0</v>
      </c>
      <c r="J45" s="5">
        <f>J42*J44</f>
        <v>0</v>
      </c>
      <c r="K45" s="5">
        <f>K42*K44</f>
        <v>0</v>
      </c>
    </row>
    <row r="47" spans="1:11">
      <c r="A47" t="s">
        <v>48</v>
      </c>
      <c r="B47" s="5">
        <f>$B$6*(1+$B$14)</f>
        <v>0</v>
      </c>
      <c r="C47" s="5">
        <f>B47*(1+$B$14)</f>
        <v>0</v>
      </c>
      <c r="D47" s="5">
        <f>C47*(1+$B$14)</f>
        <v>0</v>
      </c>
      <c r="E47" s="5">
        <f>D47*(1+$B$14)</f>
        <v>0</v>
      </c>
      <c r="F47" s="5">
        <f>E47*(1+$B$14)</f>
        <v>0</v>
      </c>
      <c r="G47" s="5">
        <f>F47*(1+$B$14)</f>
        <v>0</v>
      </c>
      <c r="H47" s="5">
        <f>G47*(1+$B$14)</f>
        <v>0</v>
      </c>
      <c r="I47" s="5">
        <f>H47*(1+$B$14)</f>
        <v>0</v>
      </c>
      <c r="J47" s="5">
        <f>I47*(1+$B$14)</f>
        <v>0</v>
      </c>
      <c r="K47" s="5">
        <f>J47*(1+$B$14)</f>
        <v>0</v>
      </c>
    </row>
    <row r="49" spans="1:2">
      <c r="A49" s="3" t="s">
        <v>49</v>
      </c>
    </row>
    <row r="50" spans="1:2">
      <c r="A50" t="s">
        <v>50</v>
      </c>
      <c r="B50" s="5">
        <f>SUM(B45:K45)</f>
        <v>0</v>
      </c>
    </row>
    <row r="51" spans="1:2">
      <c r="A51" t="s">
        <v>51</v>
      </c>
      <c r="B51" s="5">
        <f>K42*(1+$B$17)</f>
        <v>0</v>
      </c>
    </row>
    <row r="52" spans="1:2">
      <c r="A52" t="s">
        <v>52</v>
      </c>
      <c r="B52" s="5">
        <f>B51/($B$16-$B$17)</f>
        <v>0</v>
      </c>
    </row>
    <row r="53" spans="1:2">
      <c r="A53" t="s">
        <v>53</v>
      </c>
      <c r="B53" s="5">
        <f>$B$18*K42</f>
        <v>0</v>
      </c>
    </row>
    <row r="54" spans="1:2">
      <c r="A54" t="s">
        <v>54</v>
      </c>
      <c r="B54" s="5">
        <f>MIN(B52,B53)</f>
        <v>0</v>
      </c>
    </row>
    <row r="55" spans="1:2">
      <c r="A55" t="s">
        <v>55</v>
      </c>
      <c r="B55" s="5">
        <f>B54*K44</f>
        <v>0</v>
      </c>
    </row>
    <row r="56" spans="1:2">
      <c r="A56" t="s">
        <v>56</v>
      </c>
      <c r="B56" s="5">
        <f>B50+B55</f>
        <v>0</v>
      </c>
    </row>
    <row r="57" spans="1:2">
      <c r="A57" t="s">
        <v>57</v>
      </c>
      <c r="B57" s="5">
        <f>B9</f>
        <v>0</v>
      </c>
    </row>
    <row r="58" spans="1:2">
      <c r="A58" t="s">
        <v>58</v>
      </c>
      <c r="B58" s="5">
        <f>B56-B57</f>
        <v>0</v>
      </c>
    </row>
    <row r="59" spans="1:2">
      <c r="A59" s="9" t="s">
        <v>59</v>
      </c>
      <c r="B59" s="10">
        <f>B58/K47</f>
        <v>0</v>
      </c>
    </row>
    <row r="61" spans="1:2">
      <c r="A61" s="3" t="s">
        <v>60</v>
      </c>
    </row>
    <row r="62" spans="1:2">
      <c r="A62" t="s">
        <v>61</v>
      </c>
      <c r="B62" s="5">
        <f>NPV(0.15,B42:K42)</f>
        <v>0</v>
      </c>
    </row>
    <row r="63" spans="1:2">
      <c r="A63" t="s">
        <v>62</v>
      </c>
      <c r="B63" s="5">
        <f>B54/(1.15^10)</f>
        <v>0</v>
      </c>
    </row>
    <row r="64" spans="1:2">
      <c r="A64" t="s">
        <v>57</v>
      </c>
      <c r="B64" s="5">
        <f>B9</f>
        <v>0</v>
      </c>
    </row>
    <row r="65" spans="1:2">
      <c r="A65" t="s">
        <v>63</v>
      </c>
      <c r="B65" s="10">
        <f>(B62+B63-B64)/K47</f>
        <v>0</v>
      </c>
    </row>
    <row r="68" spans="1:2">
      <c r="A68" t="s">
        <v>64</v>
      </c>
      <c r="B68" s="8">
        <f>(B59-B5)/B5</f>
        <v>0</v>
      </c>
    </row>
    <row r="69" spans="1:2">
      <c r="A69" t="s">
        <v>65</v>
      </c>
      <c r="B69" s="8">
        <f>(B5-B65)/B5</f>
        <v>0</v>
      </c>
    </row>
    <row r="71" spans="1:2">
      <c r="A71" s="2" t="s">
        <v>66</v>
      </c>
    </row>
    <row r="72" spans="1:2">
      <c r="A72" s="2" t="s">
        <v>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68</v>
      </c>
    </row>
    <row r="2" spans="1:6">
      <c r="A2" t="s">
        <v>69</v>
      </c>
    </row>
    <row r="4" spans="1:6">
      <c r="A4" s="7" t="s">
        <v>70</v>
      </c>
      <c r="B4" s="11">
        <v>0.01</v>
      </c>
      <c r="C4" s="11">
        <v>0.015</v>
      </c>
      <c r="D4" s="11">
        <v>0.02</v>
      </c>
      <c r="E4" s="11">
        <v>0.025</v>
      </c>
      <c r="F4" s="11">
        <v>0.03</v>
      </c>
    </row>
    <row r="5" spans="1:6">
      <c r="A5" s="11">
        <v>0.109</v>
      </c>
      <c r="B5" s="12">
        <f>(NPV(0.109,'DCF Model'!$B$42:$K$42)+MIN('DCF Model'!$K$42*(1+0.01)/(0.109-0.01),'DCF Model'!$B$18*'DCF Model'!$K$42)/(1+0.109)^10-'DCF Model'!$B$9)/'DCF Model'!$K$47</f>
        <v>0</v>
      </c>
      <c r="C5" s="12">
        <f>(NPV(0.109,'DCF Model'!$B$42:$K$42)+MIN('DCF Model'!$K$42*(1+0.015)/(0.109-0.015),'DCF Model'!$B$18*'DCF Model'!$K$42)/(1+0.109)^10-'DCF Model'!$B$9)/'DCF Model'!$K$47</f>
        <v>0</v>
      </c>
      <c r="D5" s="12">
        <f>(NPV(0.109,'DCF Model'!$B$42:$K$42)+MIN('DCF Model'!$K$42*(1+0.02)/(0.109-0.02),'DCF Model'!$B$18*'DCF Model'!$K$42)/(1+0.109)^10-'DCF Model'!$B$9)/'DCF Model'!$K$47</f>
        <v>0</v>
      </c>
      <c r="E5" s="12">
        <f>(NPV(0.109,'DCF Model'!$B$42:$K$42)+MIN('DCF Model'!$K$42*(1+0.025)/(0.109-0.025),'DCF Model'!$B$18*'DCF Model'!$K$42)/(1+0.109)^10-'DCF Model'!$B$9)/'DCF Model'!$K$47</f>
        <v>0</v>
      </c>
      <c r="F5" s="12">
        <f>(NPV(0.109,'DCF Model'!$B$42:$K$42)+MIN('DCF Model'!$K$42*(1+0.03)/(0.109-0.03),'DCF Model'!$B$18*'DCF Model'!$K$42)/(1+0.109)^10-'DCF Model'!$B$9)/'DCF Model'!$K$47</f>
        <v>0</v>
      </c>
    </row>
    <row r="6" spans="1:6">
      <c r="A6" s="11">
        <v>0.119</v>
      </c>
      <c r="B6" s="12">
        <f>(NPV(0.11900000000000001,'DCF Model'!$B$42:$K$42)+MIN('DCF Model'!$K$42*(1+0.01)/(0.11900000000000001-0.01),'DCF Model'!$B$18*'DCF Model'!$K$42)/(1+0.11900000000000001)^10-'DCF Model'!$B$9)/'DCF Model'!$K$47</f>
        <v>0</v>
      </c>
      <c r="C6" s="12">
        <f>(NPV(0.11900000000000001,'DCF Model'!$B$42:$K$42)+MIN('DCF Model'!$K$42*(1+0.015)/(0.11900000000000001-0.015),'DCF Model'!$B$18*'DCF Model'!$K$42)/(1+0.11900000000000001)^10-'DCF Model'!$B$9)/'DCF Model'!$K$47</f>
        <v>0</v>
      </c>
      <c r="D6" s="12">
        <f>(NPV(0.11900000000000001,'DCF Model'!$B$42:$K$42)+MIN('DCF Model'!$K$42*(1+0.02)/(0.11900000000000001-0.02),'DCF Model'!$B$18*'DCF Model'!$K$42)/(1+0.11900000000000001)^10-'DCF Model'!$B$9)/'DCF Model'!$K$47</f>
        <v>0</v>
      </c>
      <c r="E6" s="12">
        <f>(NPV(0.11900000000000001,'DCF Model'!$B$42:$K$42)+MIN('DCF Model'!$K$42*(1+0.025)/(0.11900000000000001-0.025),'DCF Model'!$B$18*'DCF Model'!$K$42)/(1+0.11900000000000001)^10-'DCF Model'!$B$9)/'DCF Model'!$K$47</f>
        <v>0</v>
      </c>
      <c r="F6" s="12">
        <f>(NPV(0.11900000000000001,'DCF Model'!$B$42:$K$42)+MIN('DCF Model'!$K$42*(1+0.03)/(0.11900000000000001-0.03),'DCF Model'!$B$18*'DCF Model'!$K$42)/(1+0.11900000000000001)^10-'DCF Model'!$B$9)/'DCF Model'!$K$47</f>
        <v>0</v>
      </c>
    </row>
    <row r="7" spans="1:6">
      <c r="A7" s="11">
        <v>0.129</v>
      </c>
      <c r="B7" s="12">
        <f>(NPV(0.129,'DCF Model'!$B$42:$K$42)+MIN('DCF Model'!$K$42*(1+0.01)/(0.129-0.01),'DCF Model'!$B$18*'DCF Model'!$K$42)/(1+0.129)^10-'DCF Model'!$B$9)/'DCF Model'!$K$47</f>
        <v>0</v>
      </c>
      <c r="C7" s="12">
        <f>(NPV(0.129,'DCF Model'!$B$42:$K$42)+MIN('DCF Model'!$K$42*(1+0.015)/(0.129-0.015),'DCF Model'!$B$18*'DCF Model'!$K$42)/(1+0.129)^10-'DCF Model'!$B$9)/'DCF Model'!$K$47</f>
        <v>0</v>
      </c>
      <c r="D7" s="12">
        <f>(NPV(0.129,'DCF Model'!$B$42:$K$42)+MIN('DCF Model'!$K$42*(1+0.02)/(0.129-0.02),'DCF Model'!$B$18*'DCF Model'!$K$42)/(1+0.129)^10-'DCF Model'!$B$9)/'DCF Model'!$K$47</f>
        <v>0</v>
      </c>
      <c r="E7" s="12">
        <f>(NPV(0.129,'DCF Model'!$B$42:$K$42)+MIN('DCF Model'!$K$42*(1+0.025)/(0.129-0.025),'DCF Model'!$B$18*'DCF Model'!$K$42)/(1+0.129)^10-'DCF Model'!$B$9)/'DCF Model'!$K$47</f>
        <v>0</v>
      </c>
      <c r="F7" s="12">
        <f>(NPV(0.129,'DCF Model'!$B$42:$K$42)+MIN('DCF Model'!$K$42*(1+0.03)/(0.129-0.03),'DCF Model'!$B$18*'DCF Model'!$K$42)/(1+0.129)^10-'DCF Model'!$B$9)/'DCF Model'!$K$47</f>
        <v>0</v>
      </c>
    </row>
    <row r="8" spans="1:6">
      <c r="A8" s="11">
        <v>0.139</v>
      </c>
      <c r="B8" s="12">
        <f>(NPV(0.139,'DCF Model'!$B$42:$K$42)+MIN('DCF Model'!$K$42*(1+0.01)/(0.139-0.01),'DCF Model'!$B$18*'DCF Model'!$K$42)/(1+0.139)^10-'DCF Model'!$B$9)/'DCF Model'!$K$47</f>
        <v>0</v>
      </c>
      <c r="C8" s="12">
        <f>(NPV(0.139,'DCF Model'!$B$42:$K$42)+MIN('DCF Model'!$K$42*(1+0.015)/(0.139-0.015),'DCF Model'!$B$18*'DCF Model'!$K$42)/(1+0.139)^10-'DCF Model'!$B$9)/'DCF Model'!$K$47</f>
        <v>0</v>
      </c>
      <c r="D8" s="12">
        <f>(NPV(0.139,'DCF Model'!$B$42:$K$42)+MIN('DCF Model'!$K$42*(1+0.02)/(0.139-0.02),'DCF Model'!$B$18*'DCF Model'!$K$42)/(1+0.139)^10-'DCF Model'!$B$9)/'DCF Model'!$K$47</f>
        <v>0</v>
      </c>
      <c r="E8" s="12">
        <f>(NPV(0.139,'DCF Model'!$B$42:$K$42)+MIN('DCF Model'!$K$42*(1+0.025)/(0.139-0.025),'DCF Model'!$B$18*'DCF Model'!$K$42)/(1+0.139)^10-'DCF Model'!$B$9)/'DCF Model'!$K$47</f>
        <v>0</v>
      </c>
      <c r="F8" s="12">
        <f>(NPV(0.139,'DCF Model'!$B$42:$K$42)+MIN('DCF Model'!$K$42*(1+0.03)/(0.139-0.03),'DCF Model'!$B$18*'DCF Model'!$K$42)/(1+0.139)^10-'DCF Model'!$B$9)/'DCF Model'!$K$47</f>
        <v>0</v>
      </c>
    </row>
    <row r="9" spans="1:6">
      <c r="A9" s="11">
        <v>0.149</v>
      </c>
      <c r="B9" s="12">
        <f>(NPV(0.149,'DCF Model'!$B$42:$K$42)+MIN('DCF Model'!$K$42*(1+0.01)/(0.149-0.01),'DCF Model'!$B$18*'DCF Model'!$K$42)/(1+0.149)^10-'DCF Model'!$B$9)/'DCF Model'!$K$47</f>
        <v>0</v>
      </c>
      <c r="C9" s="12">
        <f>(NPV(0.149,'DCF Model'!$B$42:$K$42)+MIN('DCF Model'!$K$42*(1+0.015)/(0.149-0.015),'DCF Model'!$B$18*'DCF Model'!$K$42)/(1+0.149)^10-'DCF Model'!$B$9)/'DCF Model'!$K$47</f>
        <v>0</v>
      </c>
      <c r="D9" s="12">
        <f>(NPV(0.149,'DCF Model'!$B$42:$K$42)+MIN('DCF Model'!$K$42*(1+0.02)/(0.149-0.02),'DCF Model'!$B$18*'DCF Model'!$K$42)/(1+0.149)^10-'DCF Model'!$B$9)/'DCF Model'!$K$47</f>
        <v>0</v>
      </c>
      <c r="E9" s="12">
        <f>(NPV(0.149,'DCF Model'!$B$42:$K$42)+MIN('DCF Model'!$K$42*(1+0.025)/(0.149-0.025),'DCF Model'!$B$18*'DCF Model'!$K$42)/(1+0.149)^10-'DCF Model'!$B$9)/'DCF Model'!$K$47</f>
        <v>0</v>
      </c>
      <c r="F9" s="12">
        <f>(NPV(0.149,'DCF Model'!$B$42:$K$42)+MIN('DCF Model'!$K$42*(1+0.03)/(0.149-0.03),'DCF Model'!$B$18*'DCF Model'!$K$42)/(1+0.149)^10-'DCF Model'!$B$9)/'DCF Model'!$K$47</f>
        <v>0</v>
      </c>
    </row>
    <row r="11" spans="1:6">
      <c r="A11" s="2" t="s">
        <v>71</v>
      </c>
    </row>
    <row r="12" spans="1:6">
      <c r="A12" s="2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6"/>
  <sheetViews>
    <sheetView workbookViewId="0"/>
  </sheetViews>
  <sheetFormatPr defaultRowHeight="15"/>
  <cols>
    <col min="1" max="1" width="28.7109375" customWidth="1"/>
    <col min="2" max="12" width="11.7109375" customWidth="1"/>
  </cols>
  <sheetData>
    <row r="1" spans="1:12">
      <c r="A1" s="1" t="s">
        <v>73</v>
      </c>
    </row>
    <row r="2" spans="1:12">
      <c r="A2" s="2" t="s">
        <v>74</v>
      </c>
    </row>
    <row r="4" spans="1:12">
      <c r="A4" s="7"/>
      <c r="B4" s="7" t="s">
        <v>75</v>
      </c>
      <c r="C4" s="7" t="s">
        <v>76</v>
      </c>
      <c r="D4" s="7" t="s">
        <v>77</v>
      </c>
      <c r="E4" s="7" t="s">
        <v>78</v>
      </c>
      <c r="F4" s="7" t="s">
        <v>79</v>
      </c>
      <c r="G4" s="7" t="s">
        <v>80</v>
      </c>
      <c r="H4" s="7" t="s">
        <v>81</v>
      </c>
      <c r="I4" s="7" t="s">
        <v>82</v>
      </c>
      <c r="J4" s="7" t="s">
        <v>83</v>
      </c>
      <c r="K4" s="7" t="s">
        <v>84</v>
      </c>
      <c r="L4" s="7" t="s">
        <v>85</v>
      </c>
    </row>
    <row r="5" spans="1:12">
      <c r="A5" t="s">
        <v>35</v>
      </c>
      <c r="B5" s="5">
        <v>4925</v>
      </c>
      <c r="C5" s="5">
        <v>5231</v>
      </c>
      <c r="D5" s="5">
        <v>5109</v>
      </c>
      <c r="E5" s="5">
        <v>5495</v>
      </c>
      <c r="F5" s="5">
        <v>5785</v>
      </c>
      <c r="G5" s="5">
        <v>4836</v>
      </c>
      <c r="H5" s="5">
        <v>2517</v>
      </c>
      <c r="I5" s="5">
        <v>2734</v>
      </c>
      <c r="J5" s="5">
        <v>6330</v>
      </c>
      <c r="K5" s="5">
        <v>6752</v>
      </c>
      <c r="L5" s="5">
        <v>6755</v>
      </c>
    </row>
    <row r="6" spans="1:12">
      <c r="A6" t="s">
        <v>86</v>
      </c>
      <c r="B6" s="5">
        <v>-18</v>
      </c>
      <c r="C6" s="5">
        <v>76</v>
      </c>
      <c r="D6" s="5">
        <v>51</v>
      </c>
      <c r="E6" s="5">
        <v>222</v>
      </c>
      <c r="F6" s="5">
        <v>165</v>
      </c>
      <c r="G6" s="5">
        <v>-385</v>
      </c>
      <c r="H6" s="5">
        <v>92</v>
      </c>
      <c r="I6" s="5">
        <v>223</v>
      </c>
      <c r="J6" s="5">
        <v>1251</v>
      </c>
      <c r="K6" s="5">
        <v>19</v>
      </c>
      <c r="L6" s="5">
        <v>160</v>
      </c>
    </row>
    <row r="7" spans="1:12">
      <c r="A7" t="s">
        <v>37</v>
      </c>
      <c r="B7" s="5">
        <v>4</v>
      </c>
      <c r="C7" s="5">
        <v>5</v>
      </c>
      <c r="D7" s="5">
        <v>5</v>
      </c>
      <c r="E7" s="5">
        <v>5</v>
      </c>
      <c r="F7" s="5">
        <v>7</v>
      </c>
      <c r="G7" s="5">
        <v>5</v>
      </c>
      <c r="H7" s="5">
        <v>4</v>
      </c>
      <c r="I7" s="5">
        <v>8</v>
      </c>
      <c r="J7" s="5">
        <v>6</v>
      </c>
      <c r="K7" s="5">
        <v>7</v>
      </c>
      <c r="L7" s="5">
        <v>8</v>
      </c>
    </row>
    <row r="8" spans="1:12">
      <c r="A8" t="s">
        <v>87</v>
      </c>
      <c r="B8" s="5">
        <v>0</v>
      </c>
      <c r="C8" s="5">
        <v>39</v>
      </c>
      <c r="D8" s="5">
        <v>19</v>
      </c>
      <c r="E8" s="5">
        <v>17</v>
      </c>
      <c r="F8" s="5">
        <v>14</v>
      </c>
      <c r="G8" s="5">
        <v>15</v>
      </c>
      <c r="H8" s="5">
        <v>0</v>
      </c>
      <c r="I8" s="5">
        <v>4</v>
      </c>
      <c r="J8" s="5">
        <v>2</v>
      </c>
      <c r="K8" s="5">
        <v>5</v>
      </c>
      <c r="L8" s="5">
        <v>3</v>
      </c>
    </row>
    <row r="9" spans="1:12">
      <c r="A9" t="s">
        <v>88</v>
      </c>
      <c r="B9" s="5">
        <v>-22</v>
      </c>
      <c r="C9" s="5">
        <v>32</v>
      </c>
      <c r="D9" s="5">
        <v>27</v>
      </c>
      <c r="E9" s="5">
        <v>200</v>
      </c>
      <c r="F9" s="5">
        <v>144</v>
      </c>
      <c r="G9" s="5">
        <v>-405</v>
      </c>
      <c r="H9" s="5">
        <v>88</v>
      </c>
      <c r="I9" s="5">
        <v>211</v>
      </c>
      <c r="J9" s="5">
        <v>1243</v>
      </c>
      <c r="K9" s="5">
        <v>7</v>
      </c>
      <c r="L9" s="5">
        <v>149</v>
      </c>
    </row>
    <row r="10" spans="1:12">
      <c r="A10" t="s">
        <v>89</v>
      </c>
      <c r="B10" s="8">
        <v>-0.003654822335025381</v>
      </c>
      <c r="C10" s="8">
        <v>0.01452877078952399</v>
      </c>
      <c r="D10" s="8">
        <v>0.009982384028185555</v>
      </c>
      <c r="E10" s="8">
        <v>0.04040036396724295</v>
      </c>
      <c r="F10" s="8">
        <v>0.02852203975799482</v>
      </c>
      <c r="G10" s="8">
        <v>-0.07961124896608768</v>
      </c>
      <c r="H10" s="8">
        <v>0.03655145013905443</v>
      </c>
      <c r="I10" s="8">
        <v>0.08156547183613752</v>
      </c>
      <c r="J10" s="8">
        <v>0.1976303317535545</v>
      </c>
      <c r="K10" s="8">
        <v>0.002813981042654028</v>
      </c>
      <c r="L10" s="8">
        <v>0.02368615840118431</v>
      </c>
    </row>
    <row r="11" spans="1:12">
      <c r="A11" t="s">
        <v>90</v>
      </c>
      <c r="B11" s="8">
        <v>-0.004467005076142132</v>
      </c>
      <c r="C11" s="8">
        <v>0.006117377174536418</v>
      </c>
      <c r="D11" s="8">
        <v>0.005284791544333529</v>
      </c>
      <c r="E11" s="8">
        <v>0.03639672429481346</v>
      </c>
      <c r="F11" s="8">
        <v>0.02489196197061366</v>
      </c>
      <c r="G11" s="8">
        <v>-0.08374689826302729</v>
      </c>
      <c r="H11" s="8">
        <v>0.03496225665474772</v>
      </c>
      <c r="I11" s="8">
        <v>0.07717629846378932</v>
      </c>
      <c r="J11" s="8">
        <v>0.1963665086887836</v>
      </c>
      <c r="K11" s="8">
        <v>0.001036729857819905</v>
      </c>
      <c r="L11" s="8">
        <v>0.02205773501110289</v>
      </c>
    </row>
    <row r="12" spans="1:12">
      <c r="A12" t="s">
        <v>91</v>
      </c>
      <c r="B12" s="5">
        <v>56</v>
      </c>
      <c r="C12" s="5">
        <v>53</v>
      </c>
      <c r="D12" s="5">
        <v>43</v>
      </c>
      <c r="E12" s="5">
        <v>40</v>
      </c>
      <c r="F12" s="5">
        <v>48</v>
      </c>
      <c r="G12" s="5">
        <v>34</v>
      </c>
      <c r="H12" s="5">
        <v>8</v>
      </c>
      <c r="I12" s="5">
        <v>14</v>
      </c>
      <c r="J12" s="5">
        <v>119</v>
      </c>
      <c r="K12" s="5">
        <v>153</v>
      </c>
      <c r="L12" s="5">
        <v>101</v>
      </c>
    </row>
    <row r="14" spans="1:12">
      <c r="A14" s="2" t="s">
        <v>92</v>
      </c>
    </row>
    <row r="15" spans="1:12">
      <c r="A15" s="2" t="s">
        <v>93</v>
      </c>
    </row>
    <row r="16" spans="1:12">
      <c r="A16" s="2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workbookViewId="0"/>
  </sheetViews>
  <sheetFormatPr defaultRowHeight="15"/>
  <cols>
    <col min="1" max="1" width="30.7109375" customWidth="1"/>
    <col min="2" max="3" width="15.7109375" customWidth="1"/>
  </cols>
  <sheetData>
    <row r="1" spans="1:3">
      <c r="A1" s="1" t="s">
        <v>95</v>
      </c>
    </row>
    <row r="3" spans="1:3">
      <c r="A3" s="7" t="s">
        <v>96</v>
      </c>
      <c r="B3" s="7" t="s">
        <v>97</v>
      </c>
      <c r="C3" s="7" t="s">
        <v>98</v>
      </c>
    </row>
    <row r="4" spans="1:3">
      <c r="A4" t="s">
        <v>35</v>
      </c>
      <c r="B4" s="8">
        <v>0.352</v>
      </c>
      <c r="C4" s="8">
        <v>0.06900000000000001</v>
      </c>
    </row>
    <row r="5" spans="1:3">
      <c r="A5" t="s">
        <v>99</v>
      </c>
      <c r="B5" t="s">
        <v>100</v>
      </c>
      <c r="C5" t="s">
        <v>100</v>
      </c>
    </row>
    <row r="6" spans="1:3">
      <c r="A6" t="s">
        <v>101</v>
      </c>
      <c r="B6" s="8">
        <v>0.051</v>
      </c>
      <c r="C6" s="8">
        <v>0.081</v>
      </c>
    </row>
    <row r="7" spans="1:3">
      <c r="A7" t="s">
        <v>102</v>
      </c>
      <c r="B7" t="s">
        <v>100</v>
      </c>
      <c r="C7" t="s">
        <v>100</v>
      </c>
    </row>
    <row r="9" spans="1:3">
      <c r="A9" s="9" t="s">
        <v>103</v>
      </c>
      <c r="B9" t="s">
        <v>104</v>
      </c>
    </row>
    <row r="11" spans="1:3">
      <c r="A11" s="9" t="s">
        <v>105</v>
      </c>
    </row>
    <row r="12" spans="1:3" ht="120" customHeight="1">
      <c r="A12" s="13" t="s">
        <v>106</v>
      </c>
    </row>
    <row r="14" spans="1:3">
      <c r="A14" s="9" t="s">
        <v>107</v>
      </c>
    </row>
    <row r="15" spans="1:3" ht="60" customHeight="1">
      <c r="A15" s="13" t="s">
        <v>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109</v>
      </c>
    </row>
    <row r="3" spans="1:2" ht="24" customHeight="1">
      <c r="A3" s="9" t="s">
        <v>110</v>
      </c>
      <c r="B3" s="13" t="s">
        <v>111</v>
      </c>
    </row>
    <row r="4" spans="1:2" ht="20" customHeight="1">
      <c r="A4" s="9" t="s">
        <v>112</v>
      </c>
      <c r="B4" s="13" t="s">
        <v>113</v>
      </c>
    </row>
    <row r="5" spans="1:2" ht="20" customHeight="1">
      <c r="A5" s="9" t="s">
        <v>114</v>
      </c>
      <c r="B5" s="13" t="s">
        <v>115</v>
      </c>
    </row>
    <row r="6" spans="1:2" ht="20" customHeight="1">
      <c r="A6" s="9" t="s">
        <v>116</v>
      </c>
      <c r="B6" s="13" t="s">
        <v>117</v>
      </c>
    </row>
    <row r="7" spans="1:2" ht="27" customHeight="1">
      <c r="A7" s="9" t="s">
        <v>118</v>
      </c>
      <c r="B7" s="13" t="s">
        <v>119</v>
      </c>
    </row>
    <row r="8" spans="1:2" ht="29" customHeight="1">
      <c r="A8" s="9" t="s">
        <v>120</v>
      </c>
      <c r="B8" s="13" t="s">
        <v>121</v>
      </c>
    </row>
    <row r="9" spans="1:2" ht="76" customHeight="1">
      <c r="A9" s="9" t="s">
        <v>122</v>
      </c>
      <c r="B9" s="13" t="s">
        <v>123</v>
      </c>
    </row>
    <row r="10" spans="1:2" ht="120" customHeight="1">
      <c r="A10" s="9" t="s">
        <v>124</v>
      </c>
      <c r="B10" s="13" t="s">
        <v>125</v>
      </c>
    </row>
    <row r="11" spans="1:2" ht="120" customHeight="1">
      <c r="A11" s="9" t="s">
        <v>126</v>
      </c>
      <c r="B11" s="13" t="s">
        <v>127</v>
      </c>
    </row>
    <row r="12" spans="1:2" ht="120" customHeight="1">
      <c r="A12" s="9" t="s">
        <v>128</v>
      </c>
      <c r="B12" s="13" t="s">
        <v>129</v>
      </c>
    </row>
    <row r="13" spans="1:2" ht="120" customHeight="1">
      <c r="A13" s="9" t="s">
        <v>130</v>
      </c>
      <c r="B13" s="13" t="s">
        <v>131</v>
      </c>
    </row>
    <row r="14" spans="1:2" ht="120" customHeight="1">
      <c r="A14" s="9" t="s">
        <v>132</v>
      </c>
      <c r="B14" s="13" t="s">
        <v>133</v>
      </c>
    </row>
    <row r="15" spans="1:2" ht="120" customHeight="1">
      <c r="A15" s="9" t="s">
        <v>134</v>
      </c>
      <c r="B15" s="13" t="s">
        <v>135</v>
      </c>
    </row>
    <row r="16" spans="1:2" ht="119" customHeight="1">
      <c r="A16" s="9" t="s">
        <v>136</v>
      </c>
      <c r="B16" s="13" t="s">
        <v>137</v>
      </c>
    </row>
    <row r="17" spans="1:2" ht="106" customHeight="1">
      <c r="A17" s="9" t="s">
        <v>138</v>
      </c>
      <c r="B17" s="13" t="s">
        <v>139</v>
      </c>
    </row>
    <row r="18" spans="1:2" ht="120" customHeight="1">
      <c r="A18" s="9" t="s">
        <v>140</v>
      </c>
      <c r="B18" s="13" t="s">
        <v>141</v>
      </c>
    </row>
    <row r="19" spans="1:2" ht="120" customHeight="1">
      <c r="A19" s="9" t="s">
        <v>142</v>
      </c>
      <c r="B19" s="13" t="s">
        <v>143</v>
      </c>
    </row>
    <row r="20" spans="1:2" ht="120" customHeight="1">
      <c r="A20" s="9" t="s">
        <v>144</v>
      </c>
      <c r="B20" s="13" t="s">
        <v>145</v>
      </c>
    </row>
    <row r="21" spans="1:2" ht="91" customHeight="1">
      <c r="A21" s="9" t="s">
        <v>146</v>
      </c>
      <c r="B21" s="13" t="s">
        <v>147</v>
      </c>
    </row>
    <row r="22" spans="1:2" ht="120" customHeight="1">
      <c r="A22" s="9" t="s">
        <v>148</v>
      </c>
      <c r="B22" s="13" t="s">
        <v>149</v>
      </c>
    </row>
    <row r="23" spans="1:2" ht="105" customHeight="1">
      <c r="A23" s="9" t="s">
        <v>150</v>
      </c>
      <c r="B23" s="13" t="s">
        <v>151</v>
      </c>
    </row>
    <row r="24" spans="1:2" ht="120" customHeight="1">
      <c r="A24" s="9" t="s">
        <v>152</v>
      </c>
      <c r="B24" s="13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2026-08-01T08:16:16Z</dcterms:created>
  <dcterms:modified xsi:type="dcterms:W3CDTF">2026-08-01T08:16:16Z</dcterms:modified>
</cp:coreProperties>
</file>