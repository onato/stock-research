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<sst xmlns="http://schemas.openxmlformats.org/spreadsheetml/2006/main" count="366" uniqueCount="167">
  <si>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</si>
  <si>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X.TO</t>
  </si>
  <si>
    <t xml:space="preserve">Company</t>
  </si>
  <si>
    <t xml:space="preserve">TMX Group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</si>
  <si>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</si>
  <si>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</si>
  <si>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</si>
  <si>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</si>
  <si>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2026-10-09T20:00:00Z regular close (TSX, Friday); Yahoo chart API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</si>
  <si>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</si>
  <si>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</si>
  <si>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</si>
  <si>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</si>
  <si>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</si>
  <si>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</si>
  <si>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</si>
  <si>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</si>
  <si>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</si>
  <si>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</si>
  <si>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</si>
  <si>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</si>
  <si>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2026-10-10T11:30:43Z</t>
  </si>
  <si>
    <t xml:space="preserve">Drivers file</t>
  </si>
  <si>
    <t xml:space="preserve">X.TO_Drivers.json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</si>
  <si>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</si>
  <si>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</si>
  <si>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</si>
  <si>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TMX is a regulated, network-effect exchange and market-infrastructure operator with a quasi-monopoly on Canadian listings, clearing and depository, plus faster-growing global data/energy-trading assets. Valued as an operating company on unlevered owner FCF at a CAD WACC; the clearing balance sheet is pass-through and excluded. SBC is genuinely small on the house basis because the share units are cash-settled and already in EBITDA, so house and street values nearly coincide.
key_risks_to_valuation: Volume cyclicality: FY2025-26 revenue growth was driven by record derivatives (+32%) and equities trading (+20%) volumes; a normalization year is in the bear case.; BOX NCI fair value is an estimate (~935); each 1x on the 17x multiple moves value ~0.20/share.; Terminal value carries most of the value; the 20x cap binds in the base because Gordon at 7.5%/3.0% exceeds it.; Balance sheet anchors are from 31-Mar-2026; the June 2026 interim has not been extracted.; Pending US$300m Cboe Australia/Canada acquisition treated as value-neutral.; Acquisitive capital allocation (VettaFi, Newsfile, iNDEX, Bond Indices, ETF Stream, Verity): the model does not credit future M&amp;A, nor charge for overpaying.</t>
  </si>
  <si>
    <t xml:space="preserve">Data sources</t>
  </si>
  <si>
    <t xml:space="preserve">price: Yahoo Finance chart API at inputs.price_as_of; 52-week range 44.10-57.27 CAD.
financials: X.TO_Metrics.csv (core_metrics, CAD millions) FY2014-FY2025 and Q1 2026; FY2025 Annual Report consolidated statements and Notes 6, 23, 26; Q1 2026 interim financial statements (balance sheet, Note 5 EPS, Note 9 other income, Note 10 subsequent events).
qualitative: FY2025 MD&amp;A (segments, financial objectives, adjusted EPS reconciliation). X.TO_Analysis.json not yet available at build time - cross-check later.</t>
  </si>
  <si>
    <t xml:space="preserve">Scenario narrative: bear</t>
  </si>
  <si>
    <t xml:space="preserve">2025-26 proves to be a cyclical volume peak: a market drawdown in FY2027 cuts trading, clearing and listings revenue and VettaFi AUM-linked fees together (revenue -2%), while the cost base (AlphaX US, tech, regulatory build) does not flex, compressing margin to ~54-55%. Alternative Canadian venues and Cboe/Nasdaq competition take share in cash equities, Trayport faces a well-funded competitor, and the OSC/AMF recognition orders cap clearing-fee pricing. Long-run growth ~3% with a 16x cap.</t>
  </si>
  <si>
    <t xml:space="preserve">Scenario narrative: base</t>
  </si>
  <si>
    <t xml:space="preserve">Exchange franchise compounds at mid-to-high single digits once the 2025-26 volume surge normalizes. TSX/TSXV listings and trading recover cyclically but grow only with Canadian market cap; the growth engines are TMX Trayport (European energy trading network, subscription pricing), TMX VettaFi (index licensing tied to ETF AUM), TMX Datalinx market data, and MX/CDCC derivatives (Canadian rates futures, CORRA). BOX contributes but 52% of it belongs to the NCI. Margins edge up from ~57.5% to ~58.5% on operating leverage. FY2026 +12% on Q1's +16.5%, then 8% fading to 4%.</t>
  </si>
  <si>
    <t xml:space="preserve">Scenario narrative: bull</t>
  </si>
  <si>
    <t xml:space="preserve">Volumes stay structurally higher (retail options and rates-hedging demand persist), Trayport keeps double-digit growth as European power/gas trading electrifies, VettaFi index royalties ride ETF AUM growth, and AlphaX US plus the pending Cboe Australia/Canada deal extend the franchise beyond Canada. Revenue grows ~15% in FY2026 and stays near 9-10% through the mid-decade; margin reaches 61% as the PTM and cloud migrations stop costing. Terminal multiple 22x reflects a global data-and-infrastructure mix closer to LSEG/ICE.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</si>
  <si>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</si>
  <si>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</si>
  <si>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</si>
  <si>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</si>
  <si>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</si>
  <si>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</si>
  <si>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</si>
  <si>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</si>
  <si>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</si>
  <si>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</si>
  <si>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</si>
  <si>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</si>
  <si>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</si>
  <si>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</si>
  <si>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</si>
  <si>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</si>
  <si>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</si>
  <si>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</si>
  <si>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</si>
  <si>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</si>
  <si>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</si>
  <si>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</si>
  <si>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</si>
  <si>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</si>
  <si>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</si>
  <si>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</si>
  <si>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</si>
  <si>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</si>
  <si>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</si>
  <si>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</si>
  <si>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</si>
  <si>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</si>
  <si>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</si>
  <si>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</si>
  <si>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</si>
  <si>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</si>
  <si>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</si>
  <si>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</si>
  <si>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</si>
  <si>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</si>
  <si>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</si>
  <si>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</si>
  <si>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</si>
  <si>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</si>
  <si>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</si>
  <si>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</si>
  <si>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</si>
  <si>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</si>
  <si>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</si>
  <si>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</si>
  <si>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</si>
  <si>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</si>
  <si>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</si>
  <si>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</si>
  <si>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</si>
  <si>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</si>
  <si>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</si>
  <si>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</si>
  <si>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</si>
  <si>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</si>
  <si>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</si>
  <si>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</si>
  <si>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</si>
  <si>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</si>
  <si>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</si>
  <si>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</si>
  <si>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</si>
  <si>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</si>
  <si>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</si>
  <si>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</si>
  <si>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</si>
  <si>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</si>
  <si>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</si>
  <si>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</si>
  <si>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</si>
  <si>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</si>
  <si>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X.TO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</si>
  <si>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</si>
  <si>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</si>
  <si>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</si>
  <si>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</si>
  <si>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</si>
  <si>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</si>
  <si>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</si>
  <si>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</si>
  <si>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</si>
  <si>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</si>
  <si>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</si>
  <si>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</si>
  <si>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</si>
  <si>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</si>
  <si>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</si>
  <si>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</si>
  <si>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</si>
  <si>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</si>
  <si>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</si>
  <si>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</si>
  <si>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</si>
  <si>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</si>
  <si>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</si>
  <si>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</si>
  <si>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</si>
  <si>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</si>
  <si>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</si>
  <si>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</si>
  <si>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</si>
  <si>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</si>
  <si>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X.TO owner-FCF component DCF: base case (millions, CAD)</t>
  </si>
  <si>
    <t xml:space="preserve">X.TO owner-FCF component DCF: bull case (millions, CAD)</t>
  </si>
  <si>
    <t xml:space="preserve">X.TO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</si>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</sst>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53.01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717.3</v>
      </c>
      <c r="F2" s="0" t="n">
        <v>278.6</v>
      </c>
      <c r="G2" s="0" t="n">
        <v>38.8</v>
      </c>
      <c r="H2" s="0" t="n">
        <v>348.9</v>
      </c>
      <c r="I2" s="0" t="n">
        <v>100.5</v>
      </c>
      <c r="J2" s="0" t="n">
        <v>14</v>
      </c>
      <c r="K2" s="0" t="n">
        <v>0.37</v>
      </c>
      <c r="L2" s="0" t="n">
        <v>254.2</v>
      </c>
      <c r="M2" s="0" t="n">
        <v>27.8</v>
      </c>
      <c r="N2" s="0" t="n">
        <v>226.4</v>
      </c>
      <c r="O2" s="0" t="n">
        <v>2908.8</v>
      </c>
      <c r="P2" s="0" t="n">
        <v>14964.1</v>
      </c>
      <c r="Q2" s="0" t="n">
        <v>12018.2</v>
      </c>
      <c r="R2" s="0" t="n">
        <v>1231.1</v>
      </c>
      <c r="S2" s="0" t="n">
        <v>214</v>
      </c>
      <c r="T2" s="0" t="n">
        <v>271.67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717</v>
      </c>
      <c r="F3" s="0" t="n">
        <v>244.7</v>
      </c>
      <c r="G3" s="0" t="n">
        <v>34.1</v>
      </c>
      <c r="H3" s="0" t="n">
        <v>313.7</v>
      </c>
      <c r="I3" s="0" t="n">
        <v>-52.3</v>
      </c>
      <c r="J3" s="0" t="n">
        <v>-7.3</v>
      </c>
      <c r="K3" s="0" t="n">
        <v>-0.192</v>
      </c>
      <c r="L3" s="0" t="n">
        <v>250.3</v>
      </c>
      <c r="M3" s="0" t="n">
        <v>23.7</v>
      </c>
      <c r="N3" s="0" t="n">
        <v>226.6</v>
      </c>
      <c r="O3" s="0" t="n">
        <v>2788</v>
      </c>
      <c r="P3" s="0" t="n">
        <v>17017.4</v>
      </c>
      <c r="Q3" s="0" t="n">
        <v>14199.1</v>
      </c>
      <c r="R3" s="0" t="n">
        <v>1072.2</v>
      </c>
      <c r="S3" s="0" t="n">
        <v>154.1</v>
      </c>
      <c r="T3" s="0" t="n">
        <v>271.89</v>
      </c>
      <c r="U3" s="0" t="n">
        <v>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742</v>
      </c>
      <c r="F4" s="0" t="n">
        <v>298.3</v>
      </c>
      <c r="G4" s="0" t="n">
        <v>40.2</v>
      </c>
      <c r="H4" s="0" t="n">
        <v>359.5</v>
      </c>
      <c r="I4" s="0" t="n">
        <v>196.4</v>
      </c>
      <c r="J4" s="0" t="n">
        <v>26.5</v>
      </c>
      <c r="K4" s="0" t="n">
        <v>0.716</v>
      </c>
      <c r="L4" s="0" t="n">
        <v>314.4</v>
      </c>
      <c r="M4" s="0" t="n">
        <v>13.5</v>
      </c>
      <c r="N4" s="0" t="n">
        <v>300.9</v>
      </c>
      <c r="O4" s="0" t="n">
        <v>2920.7</v>
      </c>
      <c r="P4" s="0" t="n">
        <v>22201.4</v>
      </c>
      <c r="Q4" s="0" t="n">
        <v>19280.7</v>
      </c>
      <c r="R4" s="0" t="n">
        <v>958.6</v>
      </c>
      <c r="S4" s="0" t="n">
        <v>240.6</v>
      </c>
      <c r="T4" s="0" t="n">
        <v>274.05</v>
      </c>
      <c r="U4" s="0" t="n">
        <v>30.8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668.9</v>
      </c>
      <c r="F5" s="0" t="n">
        <v>298.8</v>
      </c>
      <c r="G5" s="0" t="n">
        <v>44.7</v>
      </c>
      <c r="H5" s="0" t="n">
        <v>350.4</v>
      </c>
      <c r="I5" s="0" t="n">
        <v>368</v>
      </c>
      <c r="J5" s="0" t="n">
        <v>55</v>
      </c>
      <c r="K5" s="0" t="n">
        <v>1.32</v>
      </c>
      <c r="L5" s="0" t="n">
        <v>276.6</v>
      </c>
      <c r="M5" s="0" t="n">
        <v>39.6</v>
      </c>
      <c r="N5" s="0" t="n">
        <v>237</v>
      </c>
      <c r="O5" s="0" t="n">
        <v>3182.8</v>
      </c>
      <c r="P5" s="0" t="n">
        <v>25624.8</v>
      </c>
      <c r="Q5" s="0" t="n">
        <v>22442</v>
      </c>
      <c r="R5" s="0" t="n">
        <v>1342.6</v>
      </c>
      <c r="S5" s="0" t="n">
        <v>175</v>
      </c>
      <c r="T5" s="0" t="n">
        <v>278.65</v>
      </c>
      <c r="U5" s="0" t="n">
        <v>19.1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817.1</v>
      </c>
      <c r="F6" s="0" t="n">
        <v>369</v>
      </c>
      <c r="G6" s="0" t="n">
        <v>45.2</v>
      </c>
      <c r="H6" s="0" t="n">
        <v>439.3</v>
      </c>
      <c r="I6" s="0" t="n">
        <v>286</v>
      </c>
      <c r="J6" s="0" t="n">
        <v>35</v>
      </c>
      <c r="K6" s="0" t="n">
        <v>1.02</v>
      </c>
      <c r="L6" s="0" t="n">
        <v>347.1</v>
      </c>
      <c r="M6" s="0" t="n">
        <v>58.8</v>
      </c>
      <c r="N6" s="0" t="n">
        <v>288.3</v>
      </c>
      <c r="O6" s="0" t="n">
        <v>3381.8</v>
      </c>
      <c r="P6" s="0" t="n">
        <v>31657.9</v>
      </c>
      <c r="Q6" s="0" t="n">
        <v>28276.1</v>
      </c>
      <c r="R6" s="0" t="n">
        <v>1066.3</v>
      </c>
      <c r="S6" s="0" t="n">
        <v>175.1</v>
      </c>
      <c r="T6" s="0" t="n">
        <v>280.47</v>
      </c>
      <c r="U6" s="0" t="n">
        <v>20.8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806.9</v>
      </c>
      <c r="F7" s="0" t="n">
        <v>382.4</v>
      </c>
      <c r="G7" s="0" t="n">
        <v>47.4</v>
      </c>
      <c r="H7" s="0" t="n">
        <v>462</v>
      </c>
      <c r="I7" s="0" t="n">
        <v>247.6</v>
      </c>
      <c r="J7" s="0" t="n">
        <v>30.7</v>
      </c>
      <c r="K7" s="0" t="n">
        <v>0.876</v>
      </c>
      <c r="L7" s="0" t="n">
        <v>344</v>
      </c>
      <c r="M7" s="0" t="n">
        <v>57.6</v>
      </c>
      <c r="N7" s="0" t="n">
        <v>286.4</v>
      </c>
      <c r="O7" s="0" t="n">
        <v>3499.1</v>
      </c>
      <c r="P7" s="0" t="n">
        <v>32359.7</v>
      </c>
      <c r="Q7" s="0" t="n">
        <v>28860.6</v>
      </c>
      <c r="R7" s="0" t="n">
        <v>986.7</v>
      </c>
      <c r="S7" s="0" t="n">
        <v>149</v>
      </c>
      <c r="T7" s="0" t="n">
        <v>282.85</v>
      </c>
      <c r="U7" s="0" t="n">
        <v>32.4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865.1</v>
      </c>
      <c r="F8" s="0" t="n">
        <v>415.9</v>
      </c>
      <c r="G8" s="0" t="n">
        <v>48.1</v>
      </c>
      <c r="H8" s="0" t="n">
        <v>496.2</v>
      </c>
      <c r="I8" s="0" t="n">
        <v>279.7</v>
      </c>
      <c r="J8" s="0" t="n">
        <v>32.3</v>
      </c>
      <c r="K8" s="0" t="n">
        <v>0.982</v>
      </c>
      <c r="L8" s="0" t="n">
        <v>410.9</v>
      </c>
      <c r="M8" s="0" t="n">
        <v>67.1</v>
      </c>
      <c r="N8" s="0" t="n">
        <v>343.8</v>
      </c>
      <c r="O8" s="0" t="n">
        <v>3611.5</v>
      </c>
      <c r="P8" s="0" t="n">
        <v>36098.6</v>
      </c>
      <c r="Q8" s="0" t="n">
        <v>32487.1</v>
      </c>
      <c r="R8" s="0" t="n">
        <v>907.5</v>
      </c>
      <c r="S8" s="0" t="n">
        <v>222.1</v>
      </c>
      <c r="T8" s="0" t="n">
        <v>284.75</v>
      </c>
      <c r="U8" s="0" t="n">
        <v>26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980.7</v>
      </c>
      <c r="F9" s="0" t="n">
        <v>491.2</v>
      </c>
      <c r="G9" s="0" t="n">
        <v>50.1</v>
      </c>
      <c r="H9" s="0" t="n">
        <v>578.3</v>
      </c>
      <c r="I9" s="0" t="n">
        <v>338.5</v>
      </c>
      <c r="J9" s="0" t="n">
        <v>34.5</v>
      </c>
      <c r="K9" s="0" t="n">
        <v>1.198</v>
      </c>
      <c r="L9" s="0" t="n">
        <v>441.4</v>
      </c>
      <c r="M9" s="0" t="n">
        <v>51.2</v>
      </c>
      <c r="N9" s="0" t="n">
        <v>390.2</v>
      </c>
      <c r="O9" s="0" t="n">
        <v>3706.1</v>
      </c>
      <c r="P9" s="0" t="n">
        <v>63199.4</v>
      </c>
      <c r="Q9" s="0" t="n">
        <v>59493.3</v>
      </c>
      <c r="R9" s="0" t="n">
        <v>997.1</v>
      </c>
      <c r="S9" s="0" t="n">
        <v>264.3</v>
      </c>
      <c r="T9" s="0" t="n">
        <v>282.37</v>
      </c>
      <c r="U9" s="0" t="n">
        <v>14.5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1116.6</v>
      </c>
      <c r="F10" s="0" t="n">
        <v>524.5</v>
      </c>
      <c r="G10" s="0" t="n">
        <v>47</v>
      </c>
      <c r="H10" s="0" t="n">
        <v>638.3</v>
      </c>
      <c r="I10" s="0" t="n">
        <v>542.7</v>
      </c>
      <c r="J10" s="0" t="n">
        <v>48.6</v>
      </c>
      <c r="K10" s="0" t="n">
        <v>1.94</v>
      </c>
      <c r="L10" s="0" t="n">
        <v>444.1</v>
      </c>
      <c r="M10" s="0" t="n">
        <v>51.9</v>
      </c>
      <c r="N10" s="0" t="n">
        <v>392.2</v>
      </c>
      <c r="O10" s="0" t="n">
        <v>3987.2</v>
      </c>
      <c r="P10" s="0" t="n">
        <v>55983.1</v>
      </c>
      <c r="Q10" s="0" t="n">
        <v>51775.7</v>
      </c>
      <c r="R10" s="0" t="n">
        <v>997.7</v>
      </c>
      <c r="S10" s="0" t="n">
        <v>375.7</v>
      </c>
      <c r="T10" s="0" t="n">
        <v>279.97</v>
      </c>
      <c r="U10" s="0" t="n">
        <v>21.9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1194.1</v>
      </c>
      <c r="F11" s="0" t="n">
        <v>540</v>
      </c>
      <c r="G11" s="0" t="n">
        <v>45.2</v>
      </c>
      <c r="H11" s="0" t="n">
        <v>652.5</v>
      </c>
      <c r="I11" s="0" t="n">
        <v>356</v>
      </c>
      <c r="J11" s="0" t="n">
        <v>29.8</v>
      </c>
      <c r="K11" s="0" t="n">
        <v>1.28</v>
      </c>
      <c r="L11" s="0" t="n">
        <v>524.9</v>
      </c>
      <c r="M11" s="0" t="n">
        <v>65.2</v>
      </c>
      <c r="N11" s="0" t="n">
        <v>459.7</v>
      </c>
      <c r="O11" s="0" t="n">
        <v>4107.6</v>
      </c>
      <c r="P11" s="0" t="n">
        <v>64337.4</v>
      </c>
      <c r="Q11" s="0" t="n">
        <v>60015.7</v>
      </c>
      <c r="R11" s="0" t="n">
        <v>1042.5</v>
      </c>
      <c r="S11" s="0" t="n">
        <v>301.1</v>
      </c>
      <c r="T11" s="0" t="n">
        <v>279.04</v>
      </c>
      <c r="U11" s="0" t="n">
        <v>26.4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1460.1</v>
      </c>
      <c r="F12" s="0" t="n">
        <v>642.3</v>
      </c>
      <c r="G12" s="0" t="n">
        <v>44</v>
      </c>
      <c r="H12" s="0" t="n">
        <v>807.9</v>
      </c>
      <c r="I12" s="0" t="n">
        <v>481.5</v>
      </c>
      <c r="J12" s="0" t="n">
        <v>33</v>
      </c>
      <c r="K12" s="0" t="n">
        <v>1.73</v>
      </c>
      <c r="L12" s="0" t="n">
        <v>623.4</v>
      </c>
      <c r="M12" s="0" t="n">
        <v>73.7</v>
      </c>
      <c r="N12" s="0" t="n">
        <v>549.7</v>
      </c>
      <c r="O12" s="0" t="n">
        <v>4577.4</v>
      </c>
      <c r="P12" s="0" t="n">
        <v>40209.9</v>
      </c>
      <c r="Q12" s="0" t="n">
        <v>35387.8</v>
      </c>
      <c r="R12" s="0" t="n">
        <v>2068.2</v>
      </c>
      <c r="S12" s="0" t="n">
        <v>325</v>
      </c>
      <c r="T12" s="0" t="n">
        <v>278.72</v>
      </c>
      <c r="U12" s="0" t="n">
        <v>59.4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1717.2</v>
      </c>
      <c r="F13" s="0" t="n">
        <v>771</v>
      </c>
      <c r="G13" s="0" t="n">
        <v>44.9</v>
      </c>
      <c r="H13" s="0" t="n">
        <v>951.7</v>
      </c>
      <c r="I13" s="0" t="n">
        <v>415.7</v>
      </c>
      <c r="J13" s="0" t="n">
        <v>24.2</v>
      </c>
      <c r="K13" s="0" t="n">
        <v>1.49</v>
      </c>
      <c r="L13" s="0" t="n">
        <v>764.8</v>
      </c>
      <c r="M13" s="0" t="n">
        <v>121.2</v>
      </c>
      <c r="N13" s="0" t="n">
        <v>643.6</v>
      </c>
      <c r="O13" s="0" t="n">
        <v>4757.8</v>
      </c>
      <c r="P13" s="0" t="n">
        <v>50721.2</v>
      </c>
      <c r="Q13" s="0" t="n">
        <v>45749.1</v>
      </c>
      <c r="R13" s="0" t="n">
        <v>2054.4</v>
      </c>
      <c r="S13" s="0" t="n">
        <v>348.3</v>
      </c>
      <c r="T13" s="0" t="n">
        <v>279.6</v>
      </c>
      <c r="U13" s="0" t="n">
        <v>50.6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53.01</v>
      </c>
    </row>
    <row r="3" customFormat="false" ht="15" hidden="false" customHeight="false" outlineLevel="0" collapsed="false">
      <c r="A3" s="0" t="s">
        <v>78</v>
      </c>
      <c r="B3" s="3" t="n">
        <v>279.3</v>
      </c>
    </row>
    <row r="4" customFormat="false" ht="15" hidden="false" customHeight="false" outlineLevel="0" collapsed="false">
      <c r="A4" s="0" t="s">
        <v>79</v>
      </c>
      <c r="B4" s="3" t="n">
        <v>1650.6</v>
      </c>
    </row>
    <row r="5" customFormat="false" ht="15" hidden="false" customHeight="false" outlineLevel="0" collapsed="false">
      <c r="A5" s="0" t="s">
        <v>80</v>
      </c>
      <c r="B5" s="3" t="n">
        <v>-935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1717.2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9</v>
      </c>
      <c r="D13" s="3" t="n">
        <v>-2</v>
      </c>
      <c r="E13" s="3" t="n">
        <v>3.5</v>
      </c>
      <c r="F13" s="3" t="n">
        <v>4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99</v>
      </c>
      <c r="C14" s="3" t="n">
        <v>56.5</v>
      </c>
      <c r="D14" s="3" t="n">
        <v>54</v>
      </c>
      <c r="E14" s="3" t="n">
        <v>54.5</v>
      </c>
      <c r="F14" s="3" t="n">
        <v>55</v>
      </c>
      <c r="G14" s="3" t="n">
        <v>55</v>
      </c>
      <c r="H14" s="3" t="n">
        <v>55</v>
      </c>
      <c r="I14" s="3" t="n">
        <v>55</v>
      </c>
      <c r="J14" s="3" t="n">
        <v>55</v>
      </c>
      <c r="K14" s="3" t="n">
        <v>55</v>
      </c>
      <c r="L14" s="3" t="n">
        <v>55</v>
      </c>
    </row>
    <row r="15" customFormat="false" ht="15" hidden="false" customHeight="false" outlineLevel="0" collapsed="false">
      <c r="A15" s="0" t="s">
        <v>100</v>
      </c>
      <c r="C15" s="3" t="n">
        <v>0.12</v>
      </c>
      <c r="D15" s="3" t="n">
        <v>0.12</v>
      </c>
      <c r="E15" s="3" t="n">
        <v>0.12</v>
      </c>
      <c r="F15" s="3" t="n">
        <v>0.12</v>
      </c>
      <c r="G15" s="3" t="n">
        <v>0.12</v>
      </c>
      <c r="H15" s="3" t="n">
        <v>0.12</v>
      </c>
      <c r="I15" s="3" t="n">
        <v>0.12</v>
      </c>
      <c r="J15" s="3" t="n">
        <v>0.12</v>
      </c>
      <c r="K15" s="3" t="n">
        <v>0.12</v>
      </c>
      <c r="L15" s="3" t="n">
        <v>0.12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10</v>
      </c>
      <c r="D17" s="3" t="n">
        <v>10</v>
      </c>
      <c r="E17" s="3" t="n">
        <v>9.8</v>
      </c>
      <c r="F17" s="3" t="n">
        <v>9.5</v>
      </c>
      <c r="G17" s="3" t="n">
        <v>9.2</v>
      </c>
      <c r="H17" s="3" t="n">
        <v>9</v>
      </c>
      <c r="I17" s="3" t="n">
        <v>8.7</v>
      </c>
      <c r="J17" s="3" t="n">
        <v>8.4</v>
      </c>
      <c r="K17" s="3" t="n">
        <v>8.2</v>
      </c>
      <c r="L17" s="3" t="n">
        <v>8</v>
      </c>
    </row>
    <row r="18" customFormat="false" ht="15" hidden="false" customHeight="false" outlineLevel="0" collapsed="false">
      <c r="A18" s="0" t="s">
        <v>103</v>
      </c>
      <c r="C18" s="3" t="n">
        <v>6</v>
      </c>
      <c r="D18" s="3" t="n">
        <v>6</v>
      </c>
      <c r="E18" s="3" t="n">
        <v>5.8</v>
      </c>
      <c r="F18" s="3" t="n">
        <v>5.7</v>
      </c>
      <c r="G18" s="3" t="n">
        <v>5.6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104</v>
      </c>
      <c r="C19" s="3" t="n">
        <v>27</v>
      </c>
      <c r="D19" s="3" t="n">
        <v>27</v>
      </c>
      <c r="E19" s="3" t="n">
        <v>27</v>
      </c>
      <c r="F19" s="3" t="n">
        <v>26.5</v>
      </c>
      <c r="G19" s="3" t="n">
        <v>26.5</v>
      </c>
      <c r="H19" s="3" t="n">
        <v>26.5</v>
      </c>
      <c r="I19" s="3" t="n">
        <v>26.5</v>
      </c>
      <c r="J19" s="3" t="n">
        <v>26.5</v>
      </c>
      <c r="K19" s="3" t="n">
        <v>26.5</v>
      </c>
      <c r="L19" s="3" t="n">
        <v>26.5</v>
      </c>
    </row>
    <row r="20" customFormat="false" ht="15" hidden="false" customHeight="false" outlineLevel="0" collapsed="false">
      <c r="A20" s="0" t="s">
        <v>105</v>
      </c>
      <c r="B20" s="3" t="n">
        <v>7.5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16</v>
      </c>
    </row>
    <row r="23" customFormat="false" ht="15" hidden="false" customHeight="false" outlineLevel="0" collapsed="false">
      <c r="A23" s="0" t="s">
        <v>108</v>
      </c>
      <c r="B23" s="3" t="n">
        <v>-5</v>
      </c>
    </row>
    <row r="24" customFormat="false" ht="15" hidden="false" customHeight="false" outlineLevel="0" collapsed="false">
      <c r="A24" s="0" t="s">
        <v>109</v>
      </c>
      <c r="B24" s="3" t="n">
        <v>0.2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12</v>
      </c>
      <c r="D27" s="3" t="n">
        <v>8</v>
      </c>
      <c r="E27" s="3" t="n">
        <v>7.5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99</v>
      </c>
      <c r="C28" s="3" t="n">
        <v>57.5</v>
      </c>
      <c r="D28" s="3" t="n">
        <v>57.8</v>
      </c>
      <c r="E28" s="3" t="n">
        <v>58</v>
      </c>
      <c r="F28" s="3" t="n">
        <v>58.2</v>
      </c>
      <c r="G28" s="3" t="n">
        <v>58.4</v>
      </c>
      <c r="H28" s="3" t="n">
        <v>58.5</v>
      </c>
      <c r="I28" s="3" t="n">
        <v>58.5</v>
      </c>
      <c r="J28" s="3" t="n">
        <v>58.5</v>
      </c>
      <c r="K28" s="3" t="n">
        <v>58.5</v>
      </c>
      <c r="L28" s="3" t="n">
        <v>58.5</v>
      </c>
    </row>
    <row r="29" customFormat="false" ht="15" hidden="false" customHeight="false" outlineLevel="0" collapsed="false">
      <c r="A29" s="0" t="s">
        <v>100</v>
      </c>
      <c r="C29" s="3" t="n">
        <v>0.12</v>
      </c>
      <c r="D29" s="3" t="n">
        <v>0.12</v>
      </c>
      <c r="E29" s="3" t="n">
        <v>0.12</v>
      </c>
      <c r="F29" s="3" t="n">
        <v>0.12</v>
      </c>
      <c r="G29" s="3" t="n">
        <v>0.12</v>
      </c>
      <c r="H29" s="3" t="n">
        <v>0.12</v>
      </c>
      <c r="I29" s="3" t="n">
        <v>0.12</v>
      </c>
      <c r="J29" s="3" t="n">
        <v>0.12</v>
      </c>
      <c r="K29" s="3" t="n">
        <v>0.12</v>
      </c>
      <c r="L29" s="3" t="n">
        <v>0.12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10</v>
      </c>
      <c r="D31" s="3" t="n">
        <v>9.7</v>
      </c>
      <c r="E31" s="3" t="n">
        <v>9.4</v>
      </c>
      <c r="F31" s="3" t="n">
        <v>9.1</v>
      </c>
      <c r="G31" s="3" t="n">
        <v>8.8</v>
      </c>
      <c r="H31" s="3" t="n">
        <v>8.5</v>
      </c>
      <c r="I31" s="3" t="n">
        <v>8.2</v>
      </c>
      <c r="J31" s="3" t="n">
        <v>7.9</v>
      </c>
      <c r="K31" s="3" t="n">
        <v>7.7</v>
      </c>
      <c r="L31" s="3" t="n">
        <v>7.5</v>
      </c>
    </row>
    <row r="32" customFormat="false" ht="15" hidden="false" customHeight="false" outlineLevel="0" collapsed="false">
      <c r="A32" s="0" t="s">
        <v>103</v>
      </c>
      <c r="C32" s="3" t="n">
        <v>6</v>
      </c>
      <c r="D32" s="3" t="n">
        <v>5.8</v>
      </c>
      <c r="E32" s="3" t="n">
        <v>5.6</v>
      </c>
      <c r="F32" s="3" t="n">
        <v>5.5</v>
      </c>
      <c r="G32" s="3" t="n">
        <v>5.5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104</v>
      </c>
      <c r="C33" s="3" t="n">
        <v>27</v>
      </c>
      <c r="D33" s="3" t="n">
        <v>27</v>
      </c>
      <c r="E33" s="3" t="n">
        <v>27</v>
      </c>
      <c r="F33" s="3" t="n">
        <v>26.5</v>
      </c>
      <c r="G33" s="3" t="n">
        <v>26.5</v>
      </c>
      <c r="H33" s="3" t="n">
        <v>26.5</v>
      </c>
      <c r="I33" s="3" t="n">
        <v>26.5</v>
      </c>
      <c r="J33" s="3" t="n">
        <v>26.5</v>
      </c>
      <c r="K33" s="3" t="n">
        <v>26.5</v>
      </c>
      <c r="L33" s="3" t="n">
        <v>26.5</v>
      </c>
    </row>
    <row r="34" customFormat="false" ht="15" hidden="false" customHeight="false" outlineLevel="0" collapsed="false">
      <c r="A34" s="0" t="s">
        <v>105</v>
      </c>
      <c r="B34" s="3" t="n">
        <v>7.5</v>
      </c>
    </row>
    <row r="35" customFormat="false" ht="15" hidden="false" customHeight="false" outlineLevel="0" collapsed="false">
      <c r="A35" s="0" t="s">
        <v>106</v>
      </c>
      <c r="B35" s="3" t="n">
        <v>3</v>
      </c>
    </row>
    <row r="36" customFormat="false" ht="15" hidden="false" customHeight="false" outlineLevel="0" collapsed="false">
      <c r="A36" s="0" t="s">
        <v>107</v>
      </c>
      <c r="B36" s="3" t="n">
        <v>20</v>
      </c>
    </row>
    <row r="37" customFormat="false" ht="15" hidden="false" customHeight="false" outlineLevel="0" collapsed="false">
      <c r="A37" s="0" t="s">
        <v>108</v>
      </c>
      <c r="B37" s="3" t="n">
        <v>-5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15</v>
      </c>
      <c r="D41" s="3" t="n">
        <v>11</v>
      </c>
      <c r="E41" s="3" t="n">
        <v>10</v>
      </c>
      <c r="F41" s="3" t="n">
        <v>9</v>
      </c>
      <c r="G41" s="3" t="n">
        <v>8</v>
      </c>
      <c r="H41" s="3" t="n">
        <v>7.5</v>
      </c>
      <c r="I41" s="3" t="n">
        <v>7</v>
      </c>
      <c r="J41" s="3" t="n">
        <v>6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99</v>
      </c>
      <c r="C42" s="3" t="n">
        <v>58.5</v>
      </c>
      <c r="D42" s="3" t="n">
        <v>59</v>
      </c>
      <c r="E42" s="3" t="n">
        <v>59.5</v>
      </c>
      <c r="F42" s="3" t="n">
        <v>60</v>
      </c>
      <c r="G42" s="3" t="n">
        <v>60.5</v>
      </c>
      <c r="H42" s="3" t="n">
        <v>61</v>
      </c>
      <c r="I42" s="3" t="n">
        <v>61</v>
      </c>
      <c r="J42" s="3" t="n">
        <v>61</v>
      </c>
      <c r="K42" s="3" t="n">
        <v>61</v>
      </c>
      <c r="L42" s="3" t="n">
        <v>61</v>
      </c>
    </row>
    <row r="43" customFormat="false" ht="15" hidden="false" customHeight="false" outlineLevel="0" collapsed="false">
      <c r="A43" s="0" t="s">
        <v>100</v>
      </c>
      <c r="C43" s="3" t="n">
        <v>0.12</v>
      </c>
      <c r="D43" s="3" t="n">
        <v>0.12</v>
      </c>
      <c r="E43" s="3" t="n">
        <v>0.12</v>
      </c>
      <c r="F43" s="3" t="n">
        <v>0.12</v>
      </c>
      <c r="G43" s="3" t="n">
        <v>0.12</v>
      </c>
      <c r="H43" s="3" t="n">
        <v>0.12</v>
      </c>
      <c r="I43" s="3" t="n">
        <v>0.12</v>
      </c>
      <c r="J43" s="3" t="n">
        <v>0.12</v>
      </c>
      <c r="K43" s="3" t="n">
        <v>0.12</v>
      </c>
      <c r="L43" s="3" t="n">
        <v>0.12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10</v>
      </c>
      <c r="D45" s="3" t="n">
        <v>9.6</v>
      </c>
      <c r="E45" s="3" t="n">
        <v>9.2</v>
      </c>
      <c r="F45" s="3" t="n">
        <v>8.8</v>
      </c>
      <c r="G45" s="3" t="n">
        <v>8.4</v>
      </c>
      <c r="H45" s="3" t="n">
        <v>8</v>
      </c>
      <c r="I45" s="3" t="n">
        <v>7.7</v>
      </c>
      <c r="J45" s="3" t="n">
        <v>7.5</v>
      </c>
      <c r="K45" s="3" t="n">
        <v>7.3</v>
      </c>
      <c r="L45" s="3" t="n">
        <v>7</v>
      </c>
    </row>
    <row r="46" customFormat="false" ht="15" hidden="false" customHeight="false" outlineLevel="0" collapsed="false">
      <c r="A46" s="0" t="s">
        <v>103</v>
      </c>
      <c r="C46" s="3" t="n">
        <v>6</v>
      </c>
      <c r="D46" s="3" t="n">
        <v>5.8</v>
      </c>
      <c r="E46" s="3" t="n">
        <v>5.6</v>
      </c>
      <c r="F46" s="3" t="n">
        <v>5.5</v>
      </c>
      <c r="G46" s="3" t="n">
        <v>5.5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104</v>
      </c>
      <c r="C47" s="3" t="n">
        <v>27</v>
      </c>
      <c r="D47" s="3" t="n">
        <v>27</v>
      </c>
      <c r="E47" s="3" t="n">
        <v>27</v>
      </c>
      <c r="F47" s="3" t="n">
        <v>26.5</v>
      </c>
      <c r="G47" s="3" t="n">
        <v>26.5</v>
      </c>
      <c r="H47" s="3" t="n">
        <v>26.5</v>
      </c>
      <c r="I47" s="3" t="n">
        <v>26.5</v>
      </c>
      <c r="J47" s="3" t="n">
        <v>26.5</v>
      </c>
      <c r="K47" s="3" t="n">
        <v>26.5</v>
      </c>
      <c r="L47" s="3" t="n">
        <v>26.5</v>
      </c>
    </row>
    <row r="48" customFormat="false" ht="15" hidden="false" customHeight="false" outlineLevel="0" collapsed="false">
      <c r="A48" s="0" t="s">
        <v>105</v>
      </c>
      <c r="B48" s="3" t="n">
        <v>7.5</v>
      </c>
    </row>
    <row r="49" customFormat="false" ht="15" hidden="false" customHeight="false" outlineLevel="0" collapsed="false">
      <c r="A49" s="0" t="s">
        <v>106</v>
      </c>
      <c r="B49" s="3" t="n">
        <v>3.5</v>
      </c>
    </row>
    <row r="50" customFormat="false" ht="15" hidden="false" customHeight="false" outlineLevel="0" collapsed="false">
      <c r="A50" s="0" t="s">
        <v>107</v>
      </c>
      <c r="B50" s="3" t="n">
        <v>22</v>
      </c>
    </row>
    <row r="51" customFormat="false" ht="15" hidden="false" customHeight="false" outlineLevel="0" collapsed="false">
      <c r="A51" s="0" t="s">
        <v>108</v>
      </c>
      <c r="B51" s="3" t="n">
        <v>-5</v>
      </c>
    </row>
    <row r="52" customFormat="false" ht="15" hidden="false" customHeight="false" outlineLevel="0" collapsed="false">
      <c r="A52" s="0" t="s">
        <v>109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9</v>
      </c>
      <c r="D5" s="4" t="n">
        <f aca="false">Assumptions!D13</f>
        <v>-2</v>
      </c>
      <c r="E5" s="4" t="n">
        <f aca="false">Assumptions!E13</f>
        <v>3.5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1717.2</v>
      </c>
      <c r="C6" s="0" t="n">
        <f aca="false">B6*(1+C5/100)</f>
        <v>1871.748</v>
      </c>
      <c r="D6" s="0" t="n">
        <f aca="false">C6*(1+D5/100)</f>
        <v>1834.31304</v>
      </c>
      <c r="E6" s="0" t="n">
        <f aca="false">D6*(1+E5/100)</f>
        <v>1898.5139964</v>
      </c>
      <c r="F6" s="0" t="n">
        <f aca="false">E6*(1+F5/100)</f>
        <v>1974.454556256</v>
      </c>
      <c r="G6" s="0" t="n">
        <f aca="false">F6*(1+G5/100)</f>
        <v>2053.43273850624</v>
      </c>
      <c r="H6" s="0" t="n">
        <f aca="false">G6*(1+H5/100)</f>
        <v>2125.30288435396</v>
      </c>
      <c r="I6" s="0" t="n">
        <f aca="false">H6*(1+I5/100)</f>
        <v>2189.06197088458</v>
      </c>
      <c r="J6" s="0" t="n">
        <f aca="false">I6*(1+J5/100)</f>
        <v>2254.73383001111</v>
      </c>
      <c r="K6" s="0" t="n">
        <f aca="false">J6*(1+K5/100)</f>
        <v>2322.37584491145</v>
      </c>
      <c r="L6" s="0" t="n">
        <f aca="false">K6*(1+L5/100)</f>
        <v>2380.43524103423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56.5</v>
      </c>
      <c r="D7" s="4" t="n">
        <f aca="false">Assumptions!D14</f>
        <v>54</v>
      </c>
      <c r="E7" s="4" t="n">
        <f aca="false">Assumptions!E14</f>
        <v>54.5</v>
      </c>
      <c r="F7" s="4" t="n">
        <f aca="false">Assumptions!F14</f>
        <v>55</v>
      </c>
      <c r="G7" s="4" t="n">
        <f aca="false">Assumptions!G14</f>
        <v>55</v>
      </c>
      <c r="H7" s="4" t="n">
        <f aca="false">Assumptions!H14</f>
        <v>55</v>
      </c>
      <c r="I7" s="4" t="n">
        <f aca="false">Assumptions!I14</f>
        <v>55</v>
      </c>
      <c r="J7" s="4" t="n">
        <f aca="false">Assumptions!J14</f>
        <v>55</v>
      </c>
      <c r="K7" s="4" t="n">
        <f aca="false">Assumptions!K14</f>
        <v>55</v>
      </c>
      <c r="L7" s="4" t="n">
        <f aca="false">Assumptions!L14</f>
        <v>55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1057.53762</v>
      </c>
      <c r="D8" s="0" t="n">
        <f aca="false">D6*D7/100</f>
        <v>990.5290416</v>
      </c>
      <c r="E8" s="0" t="n">
        <f aca="false">E6*E7/100</f>
        <v>1034.690128038</v>
      </c>
      <c r="F8" s="0" t="n">
        <f aca="false">F6*F7/100</f>
        <v>1085.9500059408</v>
      </c>
      <c r="G8" s="0" t="n">
        <f aca="false">G6*G7/100</f>
        <v>1129.38800617843</v>
      </c>
      <c r="H8" s="0" t="n">
        <f aca="false">H6*H7/100</f>
        <v>1168.91658639468</v>
      </c>
      <c r="I8" s="0" t="n">
        <f aca="false">I6*I7/100</f>
        <v>1203.98408398652</v>
      </c>
      <c r="J8" s="0" t="n">
        <f aca="false">J6*J7/100</f>
        <v>1240.10360650611</v>
      </c>
      <c r="K8" s="0" t="n">
        <f aca="false">K6*K7/100</f>
        <v>1277.3067147013</v>
      </c>
      <c r="L8" s="0" t="n">
        <f aca="false">L6*L7/100</f>
        <v>1309.23938256883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0.12</v>
      </c>
      <c r="D9" s="4" t="n">
        <f aca="false">Assumptions!D15</f>
        <v>0.12</v>
      </c>
      <c r="E9" s="4" t="n">
        <f aca="false">Assumptions!E15</f>
        <v>0.12</v>
      </c>
      <c r="F9" s="4" t="n">
        <f aca="false">Assumptions!F15</f>
        <v>0.12</v>
      </c>
      <c r="G9" s="4" t="n">
        <f aca="false">Assumptions!G15</f>
        <v>0.12</v>
      </c>
      <c r="H9" s="4" t="n">
        <f aca="false">Assumptions!H15</f>
        <v>0.12</v>
      </c>
      <c r="I9" s="4" t="n">
        <f aca="false">Assumptions!I15</f>
        <v>0.12</v>
      </c>
      <c r="J9" s="4" t="n">
        <f aca="false">Assumptions!J15</f>
        <v>0.12</v>
      </c>
      <c r="K9" s="4" t="n">
        <f aca="false">Assumptions!K15</f>
        <v>0.12</v>
      </c>
      <c r="L9" s="4" t="n">
        <f aca="false">Assumptions!L15</f>
        <v>0.12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-2.2460976</v>
      </c>
      <c r="D10" s="0" t="n">
        <f aca="false">-D6*D9/100</f>
        <v>-2.201175648</v>
      </c>
      <c r="E10" s="0" t="n">
        <f aca="false">-E6*E9/100</f>
        <v>-2.27821679568</v>
      </c>
      <c r="F10" s="0" t="n">
        <f aca="false">-F6*F9/100</f>
        <v>-2.3693454675072</v>
      </c>
      <c r="G10" s="0" t="n">
        <f aca="false">-G6*G9/100</f>
        <v>-2.46411928620749</v>
      </c>
      <c r="H10" s="0" t="n">
        <f aca="false">-H6*H9/100</f>
        <v>-2.55036346122475</v>
      </c>
      <c r="I10" s="0" t="n">
        <f aca="false">-I6*I9/100</f>
        <v>-2.62687436506149</v>
      </c>
      <c r="J10" s="0" t="n">
        <f aca="false">-J6*J9/100</f>
        <v>-2.70568059601334</v>
      </c>
      <c r="K10" s="0" t="n">
        <f aca="false">-K6*K9/100</f>
        <v>-2.78685101389374</v>
      </c>
      <c r="L10" s="0" t="n">
        <f aca="false">-L6*L9/100</f>
        <v>-2.85652228924108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1055.2915224</v>
      </c>
      <c r="D11" s="0" t="n">
        <f aca="false">D8+D10+D24</f>
        <v>988.327865952</v>
      </c>
      <c r="E11" s="0" t="n">
        <f aca="false">E8+E10+E24</f>
        <v>1032.41191124232</v>
      </c>
      <c r="F11" s="0" t="n">
        <f aca="false">F8+F10+F24</f>
        <v>1083.58066047329</v>
      </c>
      <c r="G11" s="0" t="n">
        <f aca="false">G8+G10+G24</f>
        <v>1126.92388689222</v>
      </c>
      <c r="H11" s="0" t="n">
        <f aca="false">H8+H10+H24</f>
        <v>1166.36622293345</v>
      </c>
      <c r="I11" s="0" t="n">
        <f aca="false">I8+I10+I24</f>
        <v>1201.35720962146</v>
      </c>
      <c r="J11" s="0" t="n">
        <f aca="false">J8+J10+J24</f>
        <v>1237.3979259101</v>
      </c>
      <c r="K11" s="0" t="n">
        <f aca="false">K8+K10+K24</f>
        <v>1274.5198636874</v>
      </c>
      <c r="L11" s="0" t="n">
        <f aca="false">L8+L10+L24</f>
        <v>1306.38286027959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-187.1748</v>
      </c>
      <c r="D12" s="4" t="n">
        <f aca="false">-D6*Assumptions!D17/100</f>
        <v>-183.431304</v>
      </c>
      <c r="E12" s="4" t="n">
        <f aca="false">-E6*Assumptions!E17/100</f>
        <v>-186.0543716472</v>
      </c>
      <c r="F12" s="4" t="n">
        <f aca="false">-F6*Assumptions!F17/100</f>
        <v>-187.57318284432</v>
      </c>
      <c r="G12" s="4" t="n">
        <f aca="false">-G6*Assumptions!G17/100</f>
        <v>-188.915811942574</v>
      </c>
      <c r="H12" s="4" t="n">
        <f aca="false">-H6*Assumptions!H17/100</f>
        <v>-191.277259591856</v>
      </c>
      <c r="I12" s="4" t="n">
        <f aca="false">-I6*Assumptions!I17/100</f>
        <v>-190.448391466958</v>
      </c>
      <c r="J12" s="4" t="n">
        <f aca="false">-J6*Assumptions!J17/100</f>
        <v>-189.397641720934</v>
      </c>
      <c r="K12" s="4" t="n">
        <f aca="false">-K6*Assumptions!K17/100</f>
        <v>-190.434819282739</v>
      </c>
      <c r="L12" s="4" t="n">
        <f aca="false">-L6*Assumptions!L17/100</f>
        <v>-190.434819282739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868.1167224</v>
      </c>
      <c r="D13" s="0" t="n">
        <f aca="false">D11+D12</f>
        <v>804.896561952</v>
      </c>
      <c r="E13" s="0" t="n">
        <f aca="false">E11+E12</f>
        <v>846.35753959512</v>
      </c>
      <c r="F13" s="0" t="n">
        <f aca="false">F11+F12</f>
        <v>896.007477628973</v>
      </c>
      <c r="G13" s="0" t="n">
        <f aca="false">G11+G12</f>
        <v>938.008074949651</v>
      </c>
      <c r="H13" s="0" t="n">
        <f aca="false">H11+H12</f>
        <v>975.088963341596</v>
      </c>
      <c r="I13" s="0" t="n">
        <f aca="false">I11+I12</f>
        <v>1010.9088181545</v>
      </c>
      <c r="J13" s="0" t="n">
        <f aca="false">J11+J12</f>
        <v>1048.00028418917</v>
      </c>
      <c r="K13" s="0" t="n">
        <f aca="false">K11+K12</f>
        <v>1084.08504440466</v>
      </c>
      <c r="L13" s="0" t="n">
        <f aca="false">L11+L12</f>
        <v>1115.94804099685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26.5</v>
      </c>
      <c r="G14" s="4" t="n">
        <f aca="false">Assumptions!G19</f>
        <v>26.5</v>
      </c>
      <c r="H14" s="4" t="n">
        <f aca="false">Assumptions!H19</f>
        <v>26.5</v>
      </c>
      <c r="I14" s="4" t="n">
        <f aca="false">Assumptions!I19</f>
        <v>26.5</v>
      </c>
      <c r="J14" s="4" t="n">
        <f aca="false">Assumptions!J19</f>
        <v>26.5</v>
      </c>
      <c r="K14" s="4" t="n">
        <f aca="false">Assumptions!K19</f>
        <v>26.5</v>
      </c>
      <c r="L14" s="4" t="n">
        <f aca="false">Assumptions!L19</f>
        <v>26.5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633.725207352</v>
      </c>
      <c r="D15" s="0" t="n">
        <f aca="false">D13-MAX(0,D13)*D14/100</f>
        <v>587.57449022496</v>
      </c>
      <c r="E15" s="0" t="n">
        <f aca="false">E13-MAX(0,E13)*E14/100</f>
        <v>617.841003904438</v>
      </c>
      <c r="F15" s="0" t="n">
        <f aca="false">F13-MAX(0,F13)*F14/100</f>
        <v>658.565496057295</v>
      </c>
      <c r="G15" s="0" t="n">
        <f aca="false">G13-MAX(0,G13)*G14/100</f>
        <v>689.435935087993</v>
      </c>
      <c r="H15" s="0" t="n">
        <f aca="false">H13-MAX(0,H13)*H14/100</f>
        <v>716.690388056073</v>
      </c>
      <c r="I15" s="0" t="n">
        <f aca="false">I13-MAX(0,I13)*I14/100</f>
        <v>743.017981343556</v>
      </c>
      <c r="J15" s="0" t="n">
        <f aca="false">J13-MAX(0,J13)*J14/100</f>
        <v>770.280208879037</v>
      </c>
      <c r="K15" s="0" t="n">
        <f aca="false">K13-MAX(0,K13)*K14/100</f>
        <v>796.802507637428</v>
      </c>
      <c r="L15" s="0" t="n">
        <f aca="false">L13-MAX(0,L13)*L14/100</f>
        <v>820.221810132684</v>
      </c>
    </row>
    <row r="16" customFormat="false" ht="15" hidden="false" customHeight="false" outlineLevel="0" collapsed="false">
      <c r="A16" s="0" t="s">
        <v>120</v>
      </c>
      <c r="C16" s="0" t="n">
        <f aca="false">-C12</f>
        <v>187.1748</v>
      </c>
      <c r="D16" s="0" t="n">
        <f aca="false">-D12</f>
        <v>183.431304</v>
      </c>
      <c r="E16" s="0" t="n">
        <f aca="false">-E12</f>
        <v>186.0543716472</v>
      </c>
      <c r="F16" s="0" t="n">
        <f aca="false">-F12</f>
        <v>187.57318284432</v>
      </c>
      <c r="G16" s="0" t="n">
        <f aca="false">-G12</f>
        <v>188.915811942574</v>
      </c>
      <c r="H16" s="0" t="n">
        <f aca="false">-H12</f>
        <v>191.277259591856</v>
      </c>
      <c r="I16" s="0" t="n">
        <f aca="false">-I12</f>
        <v>190.448391466958</v>
      </c>
      <c r="J16" s="0" t="n">
        <f aca="false">-J12</f>
        <v>189.397641720934</v>
      </c>
      <c r="K16" s="0" t="n">
        <f aca="false">-K12</f>
        <v>190.434819282739</v>
      </c>
      <c r="L16" s="0" t="n">
        <f aca="false">-L12</f>
        <v>190.434819282739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-112.30488</v>
      </c>
      <c r="D17" s="4" t="n">
        <f aca="false">-D6*Assumptions!D18/100</f>
        <v>-110.0587824</v>
      </c>
      <c r="E17" s="4" t="n">
        <f aca="false">-E6*Assumptions!E18/100</f>
        <v>-110.1138117912</v>
      </c>
      <c r="F17" s="4" t="n">
        <f aca="false">-F6*Assumptions!F18/100</f>
        <v>-112.543909706592</v>
      </c>
      <c r="G17" s="4" t="n">
        <f aca="false">-G6*Assumptions!G18/100</f>
        <v>-114.992233356349</v>
      </c>
      <c r="H17" s="4" t="n">
        <f aca="false">-H6*Assumptions!H18/100</f>
        <v>-116.891658639468</v>
      </c>
      <c r="I17" s="4" t="n">
        <f aca="false">-I6*Assumptions!I18/100</f>
        <v>-120.398408398652</v>
      </c>
      <c r="J17" s="4" t="n">
        <f aca="false">-J6*Assumptions!J18/100</f>
        <v>-124.010360650611</v>
      </c>
      <c r="K17" s="4" t="n">
        <f aca="false">-K6*Assumptions!K18/100</f>
        <v>-127.73067147013</v>
      </c>
      <c r="L17" s="4" t="n">
        <f aca="false">-L6*Assumptions!L18/100</f>
        <v>-130.923938256883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-7.72740000000001</v>
      </c>
      <c r="D18" s="4" t="n">
        <f aca="false">(D6-C6)*Assumptions!$B$23/100</f>
        <v>1.871748</v>
      </c>
      <c r="E18" s="4" t="n">
        <f aca="false">(E6-D6)*Assumptions!$B$23/100</f>
        <v>-3.21004781999999</v>
      </c>
      <c r="F18" s="4" t="n">
        <f aca="false">(F6-E6)*Assumptions!$B$23/100</f>
        <v>-3.79702799280001</v>
      </c>
      <c r="G18" s="4" t="n">
        <f aca="false">(G6-F6)*Assumptions!$B$23/100</f>
        <v>-3.948909112512</v>
      </c>
      <c r="H18" s="4" t="n">
        <f aca="false">(H6-G6)*Assumptions!$B$23/100</f>
        <v>-3.5935072923859</v>
      </c>
      <c r="I18" s="4" t="n">
        <f aca="false">(I6-H6)*Assumptions!$B$23/100</f>
        <v>-3.18795432653094</v>
      </c>
      <c r="J18" s="4" t="n">
        <f aca="false">(J6-I6)*Assumptions!$B$23/100</f>
        <v>-3.28359295632688</v>
      </c>
      <c r="K18" s="4" t="n">
        <f aca="false">(K6-J6)*Assumptions!$B$23/100</f>
        <v>-3.38210074501667</v>
      </c>
      <c r="L18" s="4" t="n">
        <f aca="false">(L6-K6)*Assumptions!$B$23/100</f>
        <v>-2.9029698061393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700.867727352</v>
      </c>
      <c r="D19" s="0" t="n">
        <f aca="false">D15+D16+D17+D18</f>
        <v>662.81875982496</v>
      </c>
      <c r="E19" s="0" t="n">
        <f aca="false">E15+E16+E17+E18</f>
        <v>690.571515940438</v>
      </c>
      <c r="F19" s="0" t="n">
        <f aca="false">F15+F16+F17+F18</f>
        <v>729.797741202223</v>
      </c>
      <c r="G19" s="0" t="n">
        <f aca="false">G15+G16+G17+G18</f>
        <v>759.410604561706</v>
      </c>
      <c r="H19" s="0" t="n">
        <f aca="false">H15+H16+H17+H18</f>
        <v>787.482481716076</v>
      </c>
      <c r="I19" s="0" t="n">
        <f aca="false">I15+I16+I17+I18</f>
        <v>809.880010085331</v>
      </c>
      <c r="J19" s="0" t="n">
        <f aca="false">J15+J16+J17+J18</f>
        <v>832.383896993032</v>
      </c>
      <c r="K19" s="0" t="n">
        <f aca="false">K15+K16+K17+K18</f>
        <v>856.12455470502</v>
      </c>
      <c r="L19" s="0" t="n">
        <f aca="false">L15+L16+L17+L18</f>
        <v>876.8297213524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651.969978932093</v>
      </c>
      <c r="D21" s="0" t="n">
        <f aca="false">D19*D20</f>
        <v>573.558688869625</v>
      </c>
      <c r="E21" s="0" t="n">
        <f aca="false">E19*E20</f>
        <v>555.882840758525</v>
      </c>
      <c r="F21" s="0" t="n">
        <f aca="false">F19*F20</f>
        <v>546.472935241826</v>
      </c>
      <c r="G21" s="0" t="n">
        <f aca="false">G19*G20</f>
        <v>528.974012105677</v>
      </c>
      <c r="H21" s="0" t="n">
        <f aca="false">H19*H20</f>
        <v>510.258344617512</v>
      </c>
      <c r="I21" s="0" t="n">
        <f aca="false">I19*I20</f>
        <v>488.15914521816</v>
      </c>
      <c r="J21" s="0" t="n">
        <f aca="false">J19*J20</f>
        <v>466.719510084678</v>
      </c>
      <c r="K21" s="0" t="n">
        <f aca="false">K19*K20</f>
        <v>446.540418498621</v>
      </c>
      <c r="L21" s="0" t="n">
        <f aca="false">L19*L20</f>
        <v>425.43245695445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5193.96833128117</v>
      </c>
    </row>
    <row r="31" customFormat="false" ht="15" hidden="false" customHeight="false" outlineLevel="0" collapsed="false">
      <c r="A31" s="0" t="s">
        <v>129</v>
      </c>
      <c r="B31" s="0" t="n">
        <f aca="false">L19</f>
        <v>876.8297213524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17975.0092877242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14029.2755416384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14029.2755416384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6806.91931127119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12000.8876425524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9415.28764255236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33.710303052461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-0.36407653174003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16.9111102130193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28.4123290513502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33.8725781661895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7190.00371508968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10.4844534790535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12</v>
      </c>
      <c r="D5" s="4" t="n">
        <f aca="false">Assumptions!D27</f>
        <v>8</v>
      </c>
      <c r="E5" s="4" t="n">
        <f aca="false">Assumptions!E27</f>
        <v>7.5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1717.2</v>
      </c>
      <c r="C6" s="0" t="n">
        <f aca="false">B6*(1+C5/100)</f>
        <v>1923.264</v>
      </c>
      <c r="D6" s="0" t="n">
        <f aca="false">C6*(1+D5/100)</f>
        <v>2077.12512</v>
      </c>
      <c r="E6" s="0" t="n">
        <f aca="false">D6*(1+E5/100)</f>
        <v>2232.909504</v>
      </c>
      <c r="F6" s="0" t="n">
        <f aca="false">E6*(1+F5/100)</f>
        <v>2389.21316928</v>
      </c>
      <c r="G6" s="0" t="n">
        <f aca="false">F6*(1+G5/100)</f>
        <v>2544.5120252832</v>
      </c>
      <c r="H6" s="0" t="n">
        <f aca="false">G6*(1+H5/100)</f>
        <v>2697.18274680019</v>
      </c>
      <c r="I6" s="0" t="n">
        <f aca="false">H6*(1+I5/100)</f>
        <v>2845.5277978742</v>
      </c>
      <c r="J6" s="0" t="n">
        <f aca="false">I6*(1+J5/100)</f>
        <v>2987.80418776791</v>
      </c>
      <c r="K6" s="0" t="n">
        <f aca="false">J6*(1+K5/100)</f>
        <v>3122.25537621747</v>
      </c>
      <c r="L6" s="0" t="n">
        <f aca="false">K6*(1+L5/100)</f>
        <v>3247.14559126617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57.5</v>
      </c>
      <c r="D7" s="4" t="n">
        <f aca="false">Assumptions!D28</f>
        <v>57.8</v>
      </c>
      <c r="E7" s="4" t="n">
        <f aca="false">Assumptions!E28</f>
        <v>58</v>
      </c>
      <c r="F7" s="4" t="n">
        <f aca="false">Assumptions!F28</f>
        <v>58.2</v>
      </c>
      <c r="G7" s="4" t="n">
        <f aca="false">Assumptions!G28</f>
        <v>58.4</v>
      </c>
      <c r="H7" s="4" t="n">
        <f aca="false">Assumptions!H28</f>
        <v>58.5</v>
      </c>
      <c r="I7" s="4" t="n">
        <f aca="false">Assumptions!I28</f>
        <v>58.5</v>
      </c>
      <c r="J7" s="4" t="n">
        <f aca="false">Assumptions!J28</f>
        <v>58.5</v>
      </c>
      <c r="K7" s="4" t="n">
        <f aca="false">Assumptions!K28</f>
        <v>58.5</v>
      </c>
      <c r="L7" s="4" t="n">
        <f aca="false">Assumptions!L28</f>
        <v>58.5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1105.8768</v>
      </c>
      <c r="D8" s="0" t="n">
        <f aca="false">D6*D7/100</f>
        <v>1200.57831936</v>
      </c>
      <c r="E8" s="0" t="n">
        <f aca="false">E6*E7/100</f>
        <v>1295.08751232</v>
      </c>
      <c r="F8" s="0" t="n">
        <f aca="false">F6*F7/100</f>
        <v>1390.52206452096</v>
      </c>
      <c r="G8" s="0" t="n">
        <f aca="false">G6*G7/100</f>
        <v>1485.99502276539</v>
      </c>
      <c r="H8" s="0" t="n">
        <f aca="false">H6*H7/100</f>
        <v>1577.85190687811</v>
      </c>
      <c r="I8" s="0" t="n">
        <f aca="false">I6*I7/100</f>
        <v>1664.63376175641</v>
      </c>
      <c r="J8" s="0" t="n">
        <f aca="false">J6*J7/100</f>
        <v>1747.86544984423</v>
      </c>
      <c r="K8" s="0" t="n">
        <f aca="false">K6*K7/100</f>
        <v>1826.51939508722</v>
      </c>
      <c r="L8" s="0" t="n">
        <f aca="false">L6*L7/100</f>
        <v>1899.58017089071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0.12</v>
      </c>
      <c r="D9" s="4" t="n">
        <f aca="false">Assumptions!D29</f>
        <v>0.12</v>
      </c>
      <c r="E9" s="4" t="n">
        <f aca="false">Assumptions!E29</f>
        <v>0.12</v>
      </c>
      <c r="F9" s="4" t="n">
        <f aca="false">Assumptions!F29</f>
        <v>0.12</v>
      </c>
      <c r="G9" s="4" t="n">
        <f aca="false">Assumptions!G29</f>
        <v>0.12</v>
      </c>
      <c r="H9" s="4" t="n">
        <f aca="false">Assumptions!H29</f>
        <v>0.12</v>
      </c>
      <c r="I9" s="4" t="n">
        <f aca="false">Assumptions!I29</f>
        <v>0.12</v>
      </c>
      <c r="J9" s="4" t="n">
        <f aca="false">Assumptions!J29</f>
        <v>0.12</v>
      </c>
      <c r="K9" s="4" t="n">
        <f aca="false">Assumptions!K29</f>
        <v>0.12</v>
      </c>
      <c r="L9" s="4" t="n">
        <f aca="false">Assumptions!L29</f>
        <v>0.12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-2.3079168</v>
      </c>
      <c r="D10" s="0" t="n">
        <f aca="false">-D6*D9/100</f>
        <v>-2.492550144</v>
      </c>
      <c r="E10" s="0" t="n">
        <f aca="false">-E6*E9/100</f>
        <v>-2.6794914048</v>
      </c>
      <c r="F10" s="0" t="n">
        <f aca="false">-F6*F9/100</f>
        <v>-2.867055803136</v>
      </c>
      <c r="G10" s="0" t="n">
        <f aca="false">-G6*G9/100</f>
        <v>-3.05341443033984</v>
      </c>
      <c r="H10" s="0" t="n">
        <f aca="false">-H6*H9/100</f>
        <v>-3.23661929616023</v>
      </c>
      <c r="I10" s="0" t="n">
        <f aca="false">-I6*I9/100</f>
        <v>-3.41463335744904</v>
      </c>
      <c r="J10" s="0" t="n">
        <f aca="false">-J6*J9/100</f>
        <v>-3.5853650253215</v>
      </c>
      <c r="K10" s="0" t="n">
        <f aca="false">-K6*K9/100</f>
        <v>-3.74670645146096</v>
      </c>
      <c r="L10" s="0" t="n">
        <f aca="false">-L6*L9/100</f>
        <v>-3.8965747095194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1103.5688832</v>
      </c>
      <c r="D11" s="0" t="n">
        <f aca="false">D8+D10+D24</f>
        <v>1198.085769216</v>
      </c>
      <c r="E11" s="0" t="n">
        <f aca="false">E8+E10+E24</f>
        <v>1292.4080209152</v>
      </c>
      <c r="F11" s="0" t="n">
        <f aca="false">F8+F10+F24</f>
        <v>1387.65500871782</v>
      </c>
      <c r="G11" s="0" t="n">
        <f aca="false">G8+G10+G24</f>
        <v>1482.94160833505</v>
      </c>
      <c r="H11" s="0" t="n">
        <f aca="false">H8+H10+H24</f>
        <v>1574.61528758195</v>
      </c>
      <c r="I11" s="0" t="n">
        <f aca="false">I8+I10+I24</f>
        <v>1661.21912839896</v>
      </c>
      <c r="J11" s="0" t="n">
        <f aca="false">J8+J10+J24</f>
        <v>1744.28008481891</v>
      </c>
      <c r="K11" s="0" t="n">
        <f aca="false">K8+K10+K24</f>
        <v>1822.77268863576</v>
      </c>
      <c r="L11" s="0" t="n">
        <f aca="false">L8+L10+L24</f>
        <v>1895.68359618119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-192.3264</v>
      </c>
      <c r="D12" s="4" t="n">
        <f aca="false">-D6*Assumptions!D31/100</f>
        <v>-201.48113664</v>
      </c>
      <c r="E12" s="4" t="n">
        <f aca="false">-E6*Assumptions!E31/100</f>
        <v>-209.893493376</v>
      </c>
      <c r="F12" s="4" t="n">
        <f aca="false">-F6*Assumptions!F31/100</f>
        <v>-217.41839840448</v>
      </c>
      <c r="G12" s="4" t="n">
        <f aca="false">-G6*Assumptions!G31/100</f>
        <v>-223.917058224922</v>
      </c>
      <c r="H12" s="4" t="n">
        <f aca="false">-H6*Assumptions!H31/100</f>
        <v>-229.260533478016</v>
      </c>
      <c r="I12" s="4" t="n">
        <f aca="false">-I6*Assumptions!I31/100</f>
        <v>-233.333279425685</v>
      </c>
      <c r="J12" s="4" t="n">
        <f aca="false">-J6*Assumptions!J31/100</f>
        <v>-236.036530833665</v>
      </c>
      <c r="K12" s="4" t="n">
        <f aca="false">-K6*Assumptions!K31/100</f>
        <v>-240.413663968745</v>
      </c>
      <c r="L12" s="4" t="n">
        <f aca="false">-L6*Assumptions!L31/100</f>
        <v>-243.535919344963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911.2424832</v>
      </c>
      <c r="D13" s="0" t="n">
        <f aca="false">D11+D12</f>
        <v>996.604632576</v>
      </c>
      <c r="E13" s="0" t="n">
        <f aca="false">E11+E12</f>
        <v>1082.5145275392</v>
      </c>
      <c r="F13" s="0" t="n">
        <f aca="false">F11+F12</f>
        <v>1170.23661031334</v>
      </c>
      <c r="G13" s="0" t="n">
        <f aca="false">G11+G12</f>
        <v>1259.02455011013</v>
      </c>
      <c r="H13" s="0" t="n">
        <f aca="false">H11+H12</f>
        <v>1345.35475410394</v>
      </c>
      <c r="I13" s="0" t="n">
        <f aca="false">I11+I12</f>
        <v>1427.88584897328</v>
      </c>
      <c r="J13" s="0" t="n">
        <f aca="false">J11+J12</f>
        <v>1508.24355398524</v>
      </c>
      <c r="K13" s="0" t="n">
        <f aca="false">K11+K12</f>
        <v>1582.35902466701</v>
      </c>
      <c r="L13" s="0" t="n">
        <f aca="false">L11+L12</f>
        <v>1652.14767683623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26.5</v>
      </c>
      <c r="G14" s="4" t="n">
        <f aca="false">Assumptions!G33</f>
        <v>26.5</v>
      </c>
      <c r="H14" s="4" t="n">
        <f aca="false">Assumptions!H33</f>
        <v>26.5</v>
      </c>
      <c r="I14" s="4" t="n">
        <f aca="false">Assumptions!I33</f>
        <v>26.5</v>
      </c>
      <c r="J14" s="4" t="n">
        <f aca="false">Assumptions!J33</f>
        <v>26.5</v>
      </c>
      <c r="K14" s="4" t="n">
        <f aca="false">Assumptions!K33</f>
        <v>26.5</v>
      </c>
      <c r="L14" s="4" t="n">
        <f aca="false">Assumptions!L33</f>
        <v>26.5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665.207012736</v>
      </c>
      <c r="D15" s="0" t="n">
        <f aca="false">D13-MAX(0,D13)*D14/100</f>
        <v>727.52138178048</v>
      </c>
      <c r="E15" s="0" t="n">
        <f aca="false">E13-MAX(0,E13)*E14/100</f>
        <v>790.235605103616</v>
      </c>
      <c r="F15" s="0" t="n">
        <f aca="false">F13-MAX(0,F13)*F14/100</f>
        <v>860.123908580308</v>
      </c>
      <c r="G15" s="0" t="n">
        <f aca="false">G13-MAX(0,G13)*G14/100</f>
        <v>925.383044330944</v>
      </c>
      <c r="H15" s="0" t="n">
        <f aca="false">H13-MAX(0,H13)*H14/100</f>
        <v>988.835744266393</v>
      </c>
      <c r="I15" s="0" t="n">
        <f aca="false">I13-MAX(0,I13)*I14/100</f>
        <v>1049.49609899536</v>
      </c>
      <c r="J15" s="0" t="n">
        <f aca="false">J13-MAX(0,J13)*J14/100</f>
        <v>1108.55901217915</v>
      </c>
      <c r="K15" s="0" t="n">
        <f aca="false">K13-MAX(0,K13)*K14/100</f>
        <v>1163.03388313025</v>
      </c>
      <c r="L15" s="0" t="n">
        <f aca="false">L13-MAX(0,L13)*L14/100</f>
        <v>1214.32854247463</v>
      </c>
    </row>
    <row r="16" customFormat="false" ht="15" hidden="false" customHeight="false" outlineLevel="0" collapsed="false">
      <c r="A16" s="0" t="s">
        <v>120</v>
      </c>
      <c r="C16" s="0" t="n">
        <f aca="false">-C12</f>
        <v>192.3264</v>
      </c>
      <c r="D16" s="0" t="n">
        <f aca="false">-D12</f>
        <v>201.48113664</v>
      </c>
      <c r="E16" s="0" t="n">
        <f aca="false">-E12</f>
        <v>209.893493376</v>
      </c>
      <c r="F16" s="0" t="n">
        <f aca="false">-F12</f>
        <v>217.41839840448</v>
      </c>
      <c r="G16" s="0" t="n">
        <f aca="false">-G12</f>
        <v>223.917058224922</v>
      </c>
      <c r="H16" s="0" t="n">
        <f aca="false">-H12</f>
        <v>229.260533478016</v>
      </c>
      <c r="I16" s="0" t="n">
        <f aca="false">-I12</f>
        <v>233.333279425685</v>
      </c>
      <c r="J16" s="0" t="n">
        <f aca="false">-J12</f>
        <v>236.036530833665</v>
      </c>
      <c r="K16" s="0" t="n">
        <f aca="false">-K12</f>
        <v>240.413663968745</v>
      </c>
      <c r="L16" s="0" t="n">
        <f aca="false">-L12</f>
        <v>243.535919344963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-115.39584</v>
      </c>
      <c r="D17" s="4" t="n">
        <f aca="false">-D6*Assumptions!D32/100</f>
        <v>-120.47325696</v>
      </c>
      <c r="E17" s="4" t="n">
        <f aca="false">-E6*Assumptions!E32/100</f>
        <v>-125.042932224</v>
      </c>
      <c r="F17" s="4" t="n">
        <f aca="false">-F6*Assumptions!F32/100</f>
        <v>-131.4067243104</v>
      </c>
      <c r="G17" s="4" t="n">
        <f aca="false">-G6*Assumptions!G32/100</f>
        <v>-139.948161390576</v>
      </c>
      <c r="H17" s="4" t="n">
        <f aca="false">-H6*Assumptions!H32/100</f>
        <v>-148.345051074011</v>
      </c>
      <c r="I17" s="4" t="n">
        <f aca="false">-I6*Assumptions!I32/100</f>
        <v>-156.504028883081</v>
      </c>
      <c r="J17" s="4" t="n">
        <f aca="false">-J6*Assumptions!J32/100</f>
        <v>-164.329230327235</v>
      </c>
      <c r="K17" s="4" t="n">
        <f aca="false">-K6*Assumptions!K32/100</f>
        <v>-171.724045691961</v>
      </c>
      <c r="L17" s="4" t="n">
        <f aca="false">-L6*Assumptions!L32/100</f>
        <v>-178.593007519639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-10.3032</v>
      </c>
      <c r="D18" s="4" t="n">
        <f aca="false">(D6-C6)*Assumptions!$B$37/100</f>
        <v>-7.693056</v>
      </c>
      <c r="E18" s="4" t="n">
        <f aca="false">(E6-D6)*Assumptions!$B$37/100</f>
        <v>-7.7892192</v>
      </c>
      <c r="F18" s="4" t="n">
        <f aca="false">(F6-E6)*Assumptions!$B$37/100</f>
        <v>-7.81518326400001</v>
      </c>
      <c r="G18" s="4" t="n">
        <f aca="false">(G6-F6)*Assumptions!$B$37/100</f>
        <v>-7.76494280016</v>
      </c>
      <c r="H18" s="4" t="n">
        <f aca="false">(H6-G6)*Assumptions!$B$37/100</f>
        <v>-7.63353607584961</v>
      </c>
      <c r="I18" s="4" t="n">
        <f aca="false">(I6-H6)*Assumptions!$B$37/100</f>
        <v>-7.41725255370052</v>
      </c>
      <c r="J18" s="4" t="n">
        <f aca="false">(J6-I6)*Assumptions!$B$37/100</f>
        <v>-7.1138194946855</v>
      </c>
      <c r="K18" s="4" t="n">
        <f aca="false">(K6-J6)*Assumptions!$B$37/100</f>
        <v>-6.7225594224778</v>
      </c>
      <c r="L18" s="4" t="n">
        <f aca="false">(L6-K6)*Assumptions!$B$37/100</f>
        <v>-6.24451075243494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731.834372736</v>
      </c>
      <c r="D19" s="0" t="n">
        <f aca="false">D15+D16+D17+D18</f>
        <v>800.83620546048</v>
      </c>
      <c r="E19" s="0" t="n">
        <f aca="false">E15+E16+E17+E18</f>
        <v>867.296947055616</v>
      </c>
      <c r="F19" s="0" t="n">
        <f aca="false">F15+F16+F17+F18</f>
        <v>938.320399410388</v>
      </c>
      <c r="G19" s="0" t="n">
        <f aca="false">G15+G16+G17+G18</f>
        <v>1001.58699836513</v>
      </c>
      <c r="H19" s="0" t="n">
        <f aca="false">H15+H16+H17+H18</f>
        <v>1062.11769059455</v>
      </c>
      <c r="I19" s="0" t="n">
        <f aca="false">I15+I16+I17+I18</f>
        <v>1118.90809698426</v>
      </c>
      <c r="J19" s="0" t="n">
        <f aca="false">J15+J16+J17+J18</f>
        <v>1173.1524931909</v>
      </c>
      <c r="K19" s="0" t="n">
        <f aca="false">K15+K16+K17+K18</f>
        <v>1225.00094198456</v>
      </c>
      <c r="L19" s="0" t="n">
        <f aca="false">L15+L16+L17+L18</f>
        <v>1273.02694354751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680.776160684651</v>
      </c>
      <c r="D21" s="0" t="n">
        <f aca="false">D19*D20</f>
        <v>692.989685633731</v>
      </c>
      <c r="E21" s="0" t="n">
        <f aca="false">E19*E20</f>
        <v>698.139844435829</v>
      </c>
      <c r="F21" s="0" t="n">
        <f aca="false">F19*F20</f>
        <v>702.614812178478</v>
      </c>
      <c r="G21" s="0" t="n">
        <f aca="false">G19*G20</f>
        <v>697.664069760873</v>
      </c>
      <c r="H21" s="0" t="n">
        <f aca="false">H19*H20</f>
        <v>688.211391586422</v>
      </c>
      <c r="I21" s="0" t="n">
        <f aca="false">I19*I20</f>
        <v>674.427339111587</v>
      </c>
      <c r="J21" s="0" t="n">
        <f aca="false">J19*J20</f>
        <v>657.789223043148</v>
      </c>
      <c r="K21" s="0" t="n">
        <f aca="false">K19*K20</f>
        <v>638.94024565557</v>
      </c>
      <c r="L21" s="0" t="n">
        <f aca="false">L19*L20</f>
        <v>617.664943573425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6749.21771566371</v>
      </c>
    </row>
    <row r="31" customFormat="false" ht="15" hidden="false" customHeight="false" outlineLevel="0" collapsed="false">
      <c r="A31" s="0" t="s">
        <v>129</v>
      </c>
      <c r="B31" s="0" t="n">
        <f aca="false">L19</f>
        <v>1273.02694354751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29138.1722634209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25460.5388709503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25460.5388709503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12353.2988714685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19102.5165871322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16516.9165871322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59.1368298859012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0.115578756572368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20.7449327623731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43.2736049319736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59.3660405471771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10926.8145987828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17.5016241857188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15</v>
      </c>
      <c r="D5" s="4" t="n">
        <f aca="false">Assumptions!D41</f>
        <v>11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7.5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1717.2</v>
      </c>
      <c r="C6" s="0" t="n">
        <f aca="false">B6*(1+C5/100)</f>
        <v>1974.78</v>
      </c>
      <c r="D6" s="0" t="n">
        <f aca="false">C6*(1+D5/100)</f>
        <v>2192.0058</v>
      </c>
      <c r="E6" s="0" t="n">
        <f aca="false">D6*(1+E5/100)</f>
        <v>2411.20638</v>
      </c>
      <c r="F6" s="0" t="n">
        <f aca="false">E6*(1+F5/100)</f>
        <v>2628.2149542</v>
      </c>
      <c r="G6" s="0" t="n">
        <f aca="false">F6*(1+G5/100)</f>
        <v>2838.472150536</v>
      </c>
      <c r="H6" s="0" t="n">
        <f aca="false">G6*(1+H5/100)</f>
        <v>3051.3575618262</v>
      </c>
      <c r="I6" s="0" t="n">
        <f aca="false">H6*(1+I5/100)</f>
        <v>3264.95259115404</v>
      </c>
      <c r="J6" s="0" t="n">
        <f aca="false">I6*(1+J5/100)</f>
        <v>3460.84974662328</v>
      </c>
      <c r="K6" s="0" t="n">
        <f aca="false">J6*(1+K5/100)</f>
        <v>3633.89223395444</v>
      </c>
      <c r="L6" s="0" t="n">
        <f aca="false">K6*(1+L5/100)</f>
        <v>3797.41738448239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58.5</v>
      </c>
      <c r="D7" s="4" t="n">
        <f aca="false">Assumptions!D42</f>
        <v>59</v>
      </c>
      <c r="E7" s="4" t="n">
        <f aca="false">Assumptions!E42</f>
        <v>59.5</v>
      </c>
      <c r="F7" s="4" t="n">
        <f aca="false">Assumptions!F42</f>
        <v>60</v>
      </c>
      <c r="G7" s="4" t="n">
        <f aca="false">Assumptions!G42</f>
        <v>60.5</v>
      </c>
      <c r="H7" s="4" t="n">
        <f aca="false">Assumptions!H42</f>
        <v>61</v>
      </c>
      <c r="I7" s="4" t="n">
        <f aca="false">Assumptions!I42</f>
        <v>61</v>
      </c>
      <c r="J7" s="4" t="n">
        <f aca="false">Assumptions!J42</f>
        <v>61</v>
      </c>
      <c r="K7" s="4" t="n">
        <f aca="false">Assumptions!K42</f>
        <v>61</v>
      </c>
      <c r="L7" s="4" t="n">
        <f aca="false">Assumptions!L42</f>
        <v>61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1155.2463</v>
      </c>
      <c r="D8" s="0" t="n">
        <f aca="false">D6*D7/100</f>
        <v>1293.283422</v>
      </c>
      <c r="E8" s="0" t="n">
        <f aca="false">E6*E7/100</f>
        <v>1434.6677961</v>
      </c>
      <c r="F8" s="0" t="n">
        <f aca="false">F6*F7/100</f>
        <v>1576.92897252</v>
      </c>
      <c r="G8" s="0" t="n">
        <f aca="false">G6*G7/100</f>
        <v>1717.27565107428</v>
      </c>
      <c r="H8" s="0" t="n">
        <f aca="false">H6*H7/100</f>
        <v>1861.32811271398</v>
      </c>
      <c r="I8" s="0" t="n">
        <f aca="false">I6*I7/100</f>
        <v>1991.62108060396</v>
      </c>
      <c r="J8" s="0" t="n">
        <f aca="false">J6*J7/100</f>
        <v>2111.1183454402</v>
      </c>
      <c r="K8" s="0" t="n">
        <f aca="false">K6*K7/100</f>
        <v>2216.67426271221</v>
      </c>
      <c r="L8" s="0" t="n">
        <f aca="false">L6*L7/100</f>
        <v>2316.42460453426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0.12</v>
      </c>
      <c r="D9" s="4" t="n">
        <f aca="false">Assumptions!D43</f>
        <v>0.12</v>
      </c>
      <c r="E9" s="4" t="n">
        <f aca="false">Assumptions!E43</f>
        <v>0.12</v>
      </c>
      <c r="F9" s="4" t="n">
        <f aca="false">Assumptions!F43</f>
        <v>0.12</v>
      </c>
      <c r="G9" s="4" t="n">
        <f aca="false">Assumptions!G43</f>
        <v>0.12</v>
      </c>
      <c r="H9" s="4" t="n">
        <f aca="false">Assumptions!H43</f>
        <v>0.12</v>
      </c>
      <c r="I9" s="4" t="n">
        <f aca="false">Assumptions!I43</f>
        <v>0.12</v>
      </c>
      <c r="J9" s="4" t="n">
        <f aca="false">Assumptions!J43</f>
        <v>0.12</v>
      </c>
      <c r="K9" s="4" t="n">
        <f aca="false">Assumptions!K43</f>
        <v>0.12</v>
      </c>
      <c r="L9" s="4" t="n">
        <f aca="false">Assumptions!L43</f>
        <v>0.12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-2.369736</v>
      </c>
      <c r="D10" s="0" t="n">
        <f aca="false">-D6*D9/100</f>
        <v>-2.63040696</v>
      </c>
      <c r="E10" s="0" t="n">
        <f aca="false">-E6*E9/100</f>
        <v>-2.893447656</v>
      </c>
      <c r="F10" s="0" t="n">
        <f aca="false">-F6*F9/100</f>
        <v>-3.15385794504</v>
      </c>
      <c r="G10" s="0" t="n">
        <f aca="false">-G6*G9/100</f>
        <v>-3.4061665806432</v>
      </c>
      <c r="H10" s="0" t="n">
        <f aca="false">-H6*H9/100</f>
        <v>-3.66162907419144</v>
      </c>
      <c r="I10" s="0" t="n">
        <f aca="false">-I6*I9/100</f>
        <v>-3.91794310938484</v>
      </c>
      <c r="J10" s="0" t="n">
        <f aca="false">-J6*J9/100</f>
        <v>-4.15301969594793</v>
      </c>
      <c r="K10" s="0" t="n">
        <f aca="false">-K6*K9/100</f>
        <v>-4.36067068074533</v>
      </c>
      <c r="L10" s="0" t="n">
        <f aca="false">-L6*L9/100</f>
        <v>-4.55690086137887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1152.876564</v>
      </c>
      <c r="D11" s="0" t="n">
        <f aca="false">D8+D10+D24</f>
        <v>1290.65301504</v>
      </c>
      <c r="E11" s="0" t="n">
        <f aca="false">E8+E10+E24</f>
        <v>1431.774348444</v>
      </c>
      <c r="F11" s="0" t="n">
        <f aca="false">F8+F10+F24</f>
        <v>1573.77511457496</v>
      </c>
      <c r="G11" s="0" t="n">
        <f aca="false">G8+G10+G24</f>
        <v>1713.86948449364</v>
      </c>
      <c r="H11" s="0" t="n">
        <f aca="false">H8+H10+H24</f>
        <v>1857.66648363979</v>
      </c>
      <c r="I11" s="0" t="n">
        <f aca="false">I8+I10+I24</f>
        <v>1987.70313749458</v>
      </c>
      <c r="J11" s="0" t="n">
        <f aca="false">J8+J10+J24</f>
        <v>2106.96532574425</v>
      </c>
      <c r="K11" s="0" t="n">
        <f aca="false">K8+K10+K24</f>
        <v>2212.31359203146</v>
      </c>
      <c r="L11" s="0" t="n">
        <f aca="false">L8+L10+L24</f>
        <v>2311.86770367288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-197.478</v>
      </c>
      <c r="D12" s="4" t="n">
        <f aca="false">-D6*Assumptions!D45/100</f>
        <v>-210.4325568</v>
      </c>
      <c r="E12" s="4" t="n">
        <f aca="false">-E6*Assumptions!E45/100</f>
        <v>-221.83098696</v>
      </c>
      <c r="F12" s="4" t="n">
        <f aca="false">-F6*Assumptions!F45/100</f>
        <v>-231.2829159696</v>
      </c>
      <c r="G12" s="4" t="n">
        <f aca="false">-G6*Assumptions!G45/100</f>
        <v>-238.431660645024</v>
      </c>
      <c r="H12" s="4" t="n">
        <f aca="false">-H6*Assumptions!H45/100</f>
        <v>-244.108604946096</v>
      </c>
      <c r="I12" s="4" t="n">
        <f aca="false">-I6*Assumptions!I45/100</f>
        <v>-251.401349518861</v>
      </c>
      <c r="J12" s="4" t="n">
        <f aca="false">-J6*Assumptions!J45/100</f>
        <v>-259.563730996746</v>
      </c>
      <c r="K12" s="4" t="n">
        <f aca="false">-K6*Assumptions!K45/100</f>
        <v>-265.274133078674</v>
      </c>
      <c r="L12" s="4" t="n">
        <f aca="false">-L6*Assumptions!L45/100</f>
        <v>-265.819216913767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955.398564</v>
      </c>
      <c r="D13" s="0" t="n">
        <f aca="false">D11+D12</f>
        <v>1080.22045824</v>
      </c>
      <c r="E13" s="0" t="n">
        <f aca="false">E11+E12</f>
        <v>1209.943361484</v>
      </c>
      <c r="F13" s="0" t="n">
        <f aca="false">F11+F12</f>
        <v>1342.49219860536</v>
      </c>
      <c r="G13" s="0" t="n">
        <f aca="false">G11+G12</f>
        <v>1475.43782384861</v>
      </c>
      <c r="H13" s="0" t="n">
        <f aca="false">H11+H12</f>
        <v>1613.55787869369</v>
      </c>
      <c r="I13" s="0" t="n">
        <f aca="false">I11+I12</f>
        <v>1736.30178797572</v>
      </c>
      <c r="J13" s="0" t="n">
        <f aca="false">J11+J12</f>
        <v>1847.40159474751</v>
      </c>
      <c r="K13" s="0" t="n">
        <f aca="false">K11+K12</f>
        <v>1947.03945895279</v>
      </c>
      <c r="L13" s="0" t="n">
        <f aca="false">L11+L12</f>
        <v>2046.04848675911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26.5</v>
      </c>
      <c r="G14" s="4" t="n">
        <f aca="false">Assumptions!G47</f>
        <v>26.5</v>
      </c>
      <c r="H14" s="4" t="n">
        <f aca="false">Assumptions!H47</f>
        <v>26.5</v>
      </c>
      <c r="I14" s="4" t="n">
        <f aca="false">Assumptions!I47</f>
        <v>26.5</v>
      </c>
      <c r="J14" s="4" t="n">
        <f aca="false">Assumptions!J47</f>
        <v>26.5</v>
      </c>
      <c r="K14" s="4" t="n">
        <f aca="false">Assumptions!K47</f>
        <v>26.5</v>
      </c>
      <c r="L14" s="4" t="n">
        <f aca="false">Assumptions!L47</f>
        <v>26.5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697.44095172</v>
      </c>
      <c r="D15" s="0" t="n">
        <f aca="false">D13-MAX(0,D13)*D14/100</f>
        <v>788.5609345152</v>
      </c>
      <c r="E15" s="0" t="n">
        <f aca="false">E13-MAX(0,E13)*E14/100</f>
        <v>883.25865388332</v>
      </c>
      <c r="F15" s="0" t="n">
        <f aca="false">F13-MAX(0,F13)*F14/100</f>
        <v>986.73176597494</v>
      </c>
      <c r="G15" s="0" t="n">
        <f aca="false">G13-MAX(0,G13)*G14/100</f>
        <v>1084.44680052873</v>
      </c>
      <c r="H15" s="0" t="n">
        <f aca="false">H13-MAX(0,H13)*H14/100</f>
        <v>1185.96504083987</v>
      </c>
      <c r="I15" s="0" t="n">
        <f aca="false">I13-MAX(0,I13)*I14/100</f>
        <v>1276.18181416215</v>
      </c>
      <c r="J15" s="0" t="n">
        <f aca="false">J13-MAX(0,J13)*J14/100</f>
        <v>1357.84017213942</v>
      </c>
      <c r="K15" s="0" t="n">
        <f aca="false">K13-MAX(0,K13)*K14/100</f>
        <v>1431.0740023303</v>
      </c>
      <c r="L15" s="0" t="n">
        <f aca="false">L13-MAX(0,L13)*L14/100</f>
        <v>1503.84563776795</v>
      </c>
    </row>
    <row r="16" customFormat="false" ht="15" hidden="false" customHeight="false" outlineLevel="0" collapsed="false">
      <c r="A16" s="0" t="s">
        <v>120</v>
      </c>
      <c r="C16" s="0" t="n">
        <f aca="false">-C12</f>
        <v>197.478</v>
      </c>
      <c r="D16" s="0" t="n">
        <f aca="false">-D12</f>
        <v>210.4325568</v>
      </c>
      <c r="E16" s="0" t="n">
        <f aca="false">-E12</f>
        <v>221.83098696</v>
      </c>
      <c r="F16" s="0" t="n">
        <f aca="false">-F12</f>
        <v>231.2829159696</v>
      </c>
      <c r="G16" s="0" t="n">
        <f aca="false">-G12</f>
        <v>238.431660645024</v>
      </c>
      <c r="H16" s="0" t="n">
        <f aca="false">-H12</f>
        <v>244.108604946096</v>
      </c>
      <c r="I16" s="0" t="n">
        <f aca="false">-I12</f>
        <v>251.401349518861</v>
      </c>
      <c r="J16" s="0" t="n">
        <f aca="false">-J12</f>
        <v>259.563730996746</v>
      </c>
      <c r="K16" s="0" t="n">
        <f aca="false">-K12</f>
        <v>265.274133078674</v>
      </c>
      <c r="L16" s="0" t="n">
        <f aca="false">-L12</f>
        <v>265.819216913767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-118.4868</v>
      </c>
      <c r="D17" s="4" t="n">
        <f aca="false">-D6*Assumptions!D46/100</f>
        <v>-127.1363364</v>
      </c>
      <c r="E17" s="4" t="n">
        <f aca="false">-E6*Assumptions!E46/100</f>
        <v>-135.02755728</v>
      </c>
      <c r="F17" s="4" t="n">
        <f aca="false">-F6*Assumptions!F46/100</f>
        <v>-144.551822481</v>
      </c>
      <c r="G17" s="4" t="n">
        <f aca="false">-G6*Assumptions!G46/100</f>
        <v>-156.11596827948</v>
      </c>
      <c r="H17" s="4" t="n">
        <f aca="false">-H6*Assumptions!H46/100</f>
        <v>-167.824665900441</v>
      </c>
      <c r="I17" s="4" t="n">
        <f aca="false">-I6*Assumptions!I46/100</f>
        <v>-179.572392513472</v>
      </c>
      <c r="J17" s="4" t="n">
        <f aca="false">-J6*Assumptions!J46/100</f>
        <v>-190.34673606428</v>
      </c>
      <c r="K17" s="4" t="n">
        <f aca="false">-K6*Assumptions!K46/100</f>
        <v>-199.864072867494</v>
      </c>
      <c r="L17" s="4" t="n">
        <f aca="false">-L6*Assumptions!L46/100</f>
        <v>-208.857956146532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-12.879</v>
      </c>
      <c r="D18" s="4" t="n">
        <f aca="false">(D6-C6)*Assumptions!$B$51/100</f>
        <v>-10.86129</v>
      </c>
      <c r="E18" s="4" t="n">
        <f aca="false">(E6-D6)*Assumptions!$B$51/100</f>
        <v>-10.960029</v>
      </c>
      <c r="F18" s="4" t="n">
        <f aca="false">(F6-E6)*Assumptions!$B$51/100</f>
        <v>-10.85042871</v>
      </c>
      <c r="G18" s="4" t="n">
        <f aca="false">(G6-F6)*Assumptions!$B$51/100</f>
        <v>-10.5128598168</v>
      </c>
      <c r="H18" s="4" t="n">
        <f aca="false">(H6-G6)*Assumptions!$B$51/100</f>
        <v>-10.64427056451</v>
      </c>
      <c r="I18" s="4" t="n">
        <f aca="false">(I6-H6)*Assumptions!$B$51/100</f>
        <v>-10.6797514663917</v>
      </c>
      <c r="J18" s="4" t="n">
        <f aca="false">(J6-I6)*Assumptions!$B$51/100</f>
        <v>-9.7948577734621</v>
      </c>
      <c r="K18" s="4" t="n">
        <f aca="false">(K6-J6)*Assumptions!$B$51/100</f>
        <v>-8.6521243665582</v>
      </c>
      <c r="L18" s="4" t="n">
        <f aca="false">(L6-K6)*Assumptions!$B$51/100</f>
        <v>-8.17625752639749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763.55315172</v>
      </c>
      <c r="D19" s="0" t="n">
        <f aca="false">D15+D16+D17+D18</f>
        <v>860.9958649152</v>
      </c>
      <c r="E19" s="0" t="n">
        <f aca="false">E15+E16+E17+E18</f>
        <v>959.10205456332</v>
      </c>
      <c r="F19" s="0" t="n">
        <f aca="false">F15+F16+F17+F18</f>
        <v>1062.61243075354</v>
      </c>
      <c r="G19" s="0" t="n">
        <f aca="false">G15+G16+G17+G18</f>
        <v>1156.24963307747</v>
      </c>
      <c r="H19" s="0" t="n">
        <f aca="false">H15+H16+H17+H18</f>
        <v>1251.60470932101</v>
      </c>
      <c r="I19" s="0" t="n">
        <f aca="false">I15+I16+I17+I18</f>
        <v>1337.33101970115</v>
      </c>
      <c r="J19" s="0" t="n">
        <f aca="false">J15+J16+J17+J18</f>
        <v>1417.26230929842</v>
      </c>
      <c r="K19" s="0" t="n">
        <f aca="false">K15+K16+K17+K18</f>
        <v>1487.83193817492</v>
      </c>
      <c r="L19" s="0" t="n">
        <f aca="false">L15+L16+L17+L18</f>
        <v>1552.63064100879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710.2820016</v>
      </c>
      <c r="D21" s="0" t="n">
        <f aca="false">D19*D20</f>
        <v>745.047800900119</v>
      </c>
      <c r="E21" s="0" t="n">
        <f aca="false">E19*E20</f>
        <v>772.039336059121</v>
      </c>
      <c r="F21" s="0" t="n">
        <f aca="false">F19*F20</f>
        <v>795.684751095212</v>
      </c>
      <c r="G21" s="0" t="n">
        <f aca="false">G19*G20</f>
        <v>805.395663071769</v>
      </c>
      <c r="H21" s="0" t="n">
        <f aca="false">H19*H20</f>
        <v>810.991687969868</v>
      </c>
      <c r="I21" s="0" t="n">
        <f aca="false">I19*I20</f>
        <v>806.082826247631</v>
      </c>
      <c r="J21" s="0" t="n">
        <f aca="false">J19*J20</f>
        <v>794.662142127883</v>
      </c>
      <c r="K21" s="0" t="n">
        <f aca="false">K19*K20</f>
        <v>776.028549440632</v>
      </c>
      <c r="L21" s="0" t="n">
        <f aca="false">L19*L20</f>
        <v>753.326959912274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7769.54171842451</v>
      </c>
    </row>
    <row r="31" customFormat="false" ht="15" hidden="false" customHeight="false" outlineLevel="0" collapsed="false">
      <c r="A31" s="0" t="s">
        <v>129</v>
      </c>
      <c r="B31" s="0" t="n">
        <f aca="false">L19</f>
        <v>1552.63064100879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40174.3178361023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34157.8741021933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34157.8741021933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16573.19311807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24342.7348364945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21757.1348364945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77.8987999874491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0.46951141270419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23.0920949675652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57.2091237964047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78.186308826561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13973.6757690791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22.5936082776249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33.710303052461</v>
      </c>
      <c r="C4" s="0" t="n">
        <f aca="false">B4/Assumptions!$B$2-1</f>
        <v>-0.36407653174003</v>
      </c>
      <c r="D4" s="4" t="n">
        <f aca="false">Assumptions!$B$24</f>
        <v>0.2</v>
      </c>
      <c r="E4" s="4" t="n">
        <f aca="false">DCF_Bear!$B$43</f>
        <v>33.8725781661895</v>
      </c>
      <c r="F4" s="4" t="n">
        <f aca="false">DCF_Bear!$B$47</f>
        <v>10.4844534790535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59.1368298859012</v>
      </c>
      <c r="C5" s="0" t="n">
        <f aca="false">B5/Assumptions!$B$2-1</f>
        <v>0.115578756572368</v>
      </c>
      <c r="D5" s="4" t="n">
        <f aca="false">Assumptions!$B$38</f>
        <v>0.5</v>
      </c>
      <c r="E5" s="4" t="n">
        <f aca="false">DCF_Base!$B$43</f>
        <v>59.3660405471771</v>
      </c>
      <c r="F5" s="4" t="n">
        <f aca="false">DCF_Base!$B$47</f>
        <v>17.5016241857188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77.8987999874491</v>
      </c>
      <c r="C6" s="0" t="n">
        <f aca="false">B6/Assumptions!$B$2-1</f>
        <v>0.46951141270419</v>
      </c>
      <c r="D6" s="4" t="n">
        <f aca="false">Assumptions!$B$52</f>
        <v>0.3</v>
      </c>
      <c r="E6" s="4" t="n">
        <f aca="false">DCF_Bull!$B$43</f>
        <v>78.186308826561</v>
      </c>
      <c r="F6" s="4" t="n">
        <f aca="false">DCF_Bull!$B$47</f>
        <v>22.5936082776249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59.6801155496775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59.9134285547948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0.111764454345357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17.6257852719576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59.1368298859012</v>
      </c>
      <c r="C15" s="3" t="n">
        <v>7.5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46.2312469241635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37.984810055801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31.8145041544129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27.0274141597514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17.5016241857188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70.8955131190484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70.8955131190484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70.8955131190484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70.8955131190484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70.8955131190484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64.7314760441919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64.7314760441919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64.7314760441919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64.7314760441919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64.7314760441919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55.9201391014157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59.1368298859012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59.1368298859012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59.1368298859012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59.1368298859012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45.3691901005497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48.173360583244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51.4873802446099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54.0530728856673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54.0530728856673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37.6574513076967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39.5754587509517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41.7885442623997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44.370477359089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47.4218528369946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2026-10-10T11:30:43Z</dcterms:created>
  <dc:creator>openpyxl</dc:creator>
  <dc:description/>
  <dc:language>en-NZ</dc:language>
  <cp:lastModifiedBy/>
  <dcterms:modified xsi:type="dcterms:W3CDTF">2026-10-10T11:30:43Z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