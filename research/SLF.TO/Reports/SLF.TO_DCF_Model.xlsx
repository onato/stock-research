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<sst xmlns="http://schemas.openxmlformats.org/spreadsheetml/2006/main" count="366" uniqueCount="170">
  <si>
    <t xml:space="preserve">Ticker</t>
  </si>
  <si>
    <t xml:space="preserve">SLF.TO</t>
  </si>
  <si>
    <t xml:space="preserve">Company</t>
  </si>
  <si>
    <t xml:space="preserve">Sun Life Financial Inc.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</si>
  <si>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</si>
  <si>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</si>
  <si>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</si>
  <si>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</si>
  <si>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(Yahoo Finance chart API)</t>
  </si>
  <si>
    <t xml:space="preserve">Balance sheet date</t>
  </si>
  <si>
    <t xml:space="preserve">2026-06-30</t>
  </si>
  <si>
    <t xml:space="preserve">Model</t>
  </si>
  <si>
    <t xml:space="preserve">Life insurer FCFE on distributable underlying earnings at cost of equity (engine route)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</si>
  <si>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</si>
  <si>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</si>
  <si>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</si>
  <si>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</si>
  <si>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</si>
  <si>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</si>
  <si>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</si>
  <si>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</si>
  <si>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2026-10-10T10:51:53Z</t>
  </si>
  <si>
    <t xml:space="preserve">Drivers file</t>
  </si>
  <si>
    <t xml:space="preserve">SLF.TO_Drivers.json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</si>
  <si>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</si>
  <si>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</si>
  <si>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</si>
  <si>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common shareholder's claim on distributable underlying earnings, discounted at a CAD cost of equity, with no debt deduction (the stream is post-interest and post-preferred). Underlying NI is management's own capital-planning measure and excludes mark-to-market noise that dominates IFRS 17 reported earnings; the conversion ratio (78-80% base) haircuts it for the capital needed to grow and the recurring items it excludes. Cross-check: BVPS 42.49 (Q2-2026) at an underlying ROE of ~19% and CoE of 9% with ~4% long-run growth supports a justified P/B of roughly (0.19-0.04)/(0.09-0.04) = 3.0x, i.e. ~$127/share; the market price implies ~2.6x book.
key_risks_to_valuation: MFS net outflows (largest single asset-management earnings contributor) accelerating as US retail rotates to passive; Equity-market drawdown: ~47% of underlying earnings is AUM/fee-linked; LICAT at 145% (down from 157%) after BGO/Crescent buyouts may slow buybacks and reduce conversion; Underlying NI excludes recurring acquisition/integration charges and persistent negative real-estate experience; if those keep recurring, the earnings base is overstated; Rates and credit spreads: long-duration liabilities and general-account credit/real-estate exposure</t>
  </si>
  <si>
    <t xml:space="preserve">Data sources</t>
  </si>
  <si>
    <t xml:space="preserve">price: Yahoo Finance chart API at inputs.price_as_of; 52-week range 79.99-118.99
financials: SLF.TO_Metrics.csv and kpis (core_metrics, IFRS 17 FY2022+); Q2-2026 MD&amp;A (underlying NI reconciliation, LICAT, organic capital generation, NCIB, capital transactions); FY2024/FY2025 annual MD&amp;A (organic capital generation, common dividends)
qualitative: SLF.TO_Analysis.json (medium-term objectives, MFS flows, LICAT, leverage)</t>
  </si>
  <si>
    <t xml:space="preserve">Scenario narrative: bear</t>
  </si>
  <si>
    <t xml:space="preserve">MFS's active-equity retail franchise keeps bleeding to passive and an equity bear market cuts AUM-linked earnings (~47% of underlying), real-estate and credit experience stays negative, and US health/benefits pricing tightens. LICAT, already down to 145% after M&amp;A, constrains buybacks, financial leverage (23.8%) limits flexibility, and conversion falls to ~70% as capital is retained. Aggregate earnings grow low-single-digit and the market pays a trough multiple.</t>
  </si>
  <si>
    <t xml:space="preserve">Scenario narrative: base</t>
  </si>
  <si>
    <t xml:space="preserve">Sun Life compounds aggregate underlying earnings ~7% near term (10% per share with buybacks), ROE drifts from ~19% toward but not reliably above the 20% target, and the company distributes ~80% of underlying earnings via a 40-50% dividend payout plus NCIB buybacks. MFS outflows continue but are offset by institutional/Solutions mandates and private-markets growth at SLC; LICAT rebuilds from 145% as the BGO/Crescent buyout capital is absorbed.</t>
  </si>
  <si>
    <t xml:space="preserve">Scenario narrative: bull</t>
  </si>
  <si>
    <t xml:space="preserve">The multi-pillar model delivers: Asia (bancassurance, Malaysia JV majority, Bowtie) grows double-digit, SLC Management's alternatives platform rides the institutional shift to private credit and real estate, US Group Benefits margins recover, and MFS stabilises through active ETFs. Underlying ROE holds 20%+, M&amp;A integration charges fade, and capital conversion rises toward the ~100% organic capital generation printed in FY2024-25.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</si>
  <si>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</si>
  <si>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</si>
  <si>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</si>
  <si>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</si>
  <si>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</si>
  <si>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</si>
  <si>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</si>
  <si>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</si>
  <si>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</si>
  <si>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</si>
  <si>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</si>
  <si>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</si>
  <si>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</si>
  <si>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</si>
  <si>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</si>
  <si>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</si>
  <si>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</si>
  <si>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</si>
  <si>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</si>
  <si>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</si>
  <si>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</si>
  <si>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</si>
  <si>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</si>
  <si>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</si>
  <si>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</si>
  <si>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</si>
  <si>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</si>
  <si>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AUM</t>
  </si>
  <si>
    <t xml:space="preserve">AdjustedNetIncome</t>
  </si>
  <si>
    <t xml:space="preserve">BookValuePerShare</t>
  </si>
  <si>
    <t xml:space="preserve">UnderlyingEPS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</si>
  <si>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</si>
  <si>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</si>
  <si>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</si>
  <si>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</si>
  <si>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</si>
  <si>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</si>
  <si>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</si>
  <si>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</si>
  <si>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</si>
  <si>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</si>
  <si>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</si>
  <si>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</si>
  <si>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</si>
  <si>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</si>
  <si>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</si>
  <si>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</si>
  <si>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</si>
  <si>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</si>
  <si>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</si>
  <si>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</si>
  <si>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Q2-2026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</si>
  <si>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</si>
  <si>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</si>
  <si>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</si>
  <si>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</si>
  <si>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Q2-2027</t>
  </si>
  <si>
    <t xml:space="preserve">TTM Q2-2028</t>
  </si>
  <si>
    <t xml:space="preserve">TTM Q2-2029</t>
  </si>
  <si>
    <t xml:space="preserve">TTM Q2-2030</t>
  </si>
  <si>
    <t xml:space="preserve">TTM Q2-2031</t>
  </si>
  <si>
    <t xml:space="preserve">TTM Q2-2032</t>
  </si>
  <si>
    <t xml:space="preserve">TTM Q2-2033</t>
  </si>
  <si>
    <t xml:space="preserve">TTM Q2-2034</t>
  </si>
  <si>
    <t xml:space="preserve">TTM Q2-2035</t>
  </si>
  <si>
    <t xml:space="preserve">TTM Q2-2036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</si>
  <si>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</si>
  <si>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</si>
  <si>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</si>
  <si>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</si>
  <si>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</si>
  <si>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</si>
  <si>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</si>
  <si>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</si>
  <si>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</si>
  <si>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</si>
  <si>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</si>
  <si>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</si>
  <si>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</si>
  <si>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</si>
  <si>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SLF.TO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</si>
  <si>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</si>
  <si>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</si>
  <si>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</si>
  <si>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</si>
  <si>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</si>
  <si>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</si>
  <si>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</si>
  <si>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</si>
  <si>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</si>
  <si>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</si>
  <si>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</si>
  <si>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</si>
  <si>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</si>
  <si>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</si>
  <si>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</si>
  <si>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</si>
  <si>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</si>
  <si>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</si>
  <si>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</si>
  <si>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</si>
  <si>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</si>
  <si>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</si>
  <si>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</si>
  <si>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</si>
  <si>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</si>
  <si>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</si>
  <si>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</si>
  <si>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</si>
  <si>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</si>
  <si>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</si>
  <si>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SLF.TO owner-FCF component DCF: base case (millions, CAD)</t>
  </si>
  <si>
    <t xml:space="preserve">SLF.TO owner-FCF component DCF: bull case (millions, CAD)</t>
  </si>
  <si>
    <t xml:space="preserve">SLF.TO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</si>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</sst>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109.82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19274</v>
      </c>
      <c r="F2" s="0" t="n">
        <v>2899</v>
      </c>
      <c r="G2" s="0" t="n">
        <v>15</v>
      </c>
      <c r="I2" s="0" t="n">
        <v>2185</v>
      </c>
      <c r="J2" s="0" t="n">
        <v>11.3</v>
      </c>
      <c r="K2" s="0" t="n">
        <v>3.55</v>
      </c>
      <c r="L2" s="0" t="n">
        <v>4461</v>
      </c>
      <c r="M2" s="0" t="n">
        <v>106</v>
      </c>
      <c r="N2" s="0" t="n">
        <v>4355</v>
      </c>
      <c r="O2" s="0" t="n">
        <v>21250</v>
      </c>
      <c r="P2" s="0" t="n">
        <v>246853</v>
      </c>
      <c r="Q2" s="0" t="n">
        <v>225435</v>
      </c>
      <c r="R2" s="0" t="n">
        <v>4740</v>
      </c>
      <c r="S2" s="0" t="n">
        <v>8983</v>
      </c>
      <c r="T2" s="0" t="n">
        <v>615.5</v>
      </c>
      <c r="U2" s="0" t="n">
        <v>342</v>
      </c>
      <c r="V2" s="0" t="n">
        <v>1.51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28573</v>
      </c>
      <c r="F3" s="0" t="n">
        <v>3445</v>
      </c>
      <c r="G3" s="0" t="n">
        <v>12.1</v>
      </c>
      <c r="I3" s="0" t="n">
        <v>2485</v>
      </c>
      <c r="J3" s="0" t="n">
        <v>8.7</v>
      </c>
      <c r="K3" s="0" t="n">
        <v>4.03</v>
      </c>
      <c r="L3" s="0" t="n">
        <v>3668</v>
      </c>
      <c r="M3" s="0" t="n">
        <v>131</v>
      </c>
      <c r="N3" s="0" t="n">
        <v>3537</v>
      </c>
      <c r="O3" s="0" t="n">
        <v>21956</v>
      </c>
      <c r="P3" s="0" t="n">
        <v>258238</v>
      </c>
      <c r="Q3" s="0" t="n">
        <v>235870</v>
      </c>
      <c r="R3" s="0" t="n">
        <v>5135</v>
      </c>
      <c r="S3" s="0" t="n">
        <v>8642</v>
      </c>
      <c r="T3" s="0" t="n">
        <v>616.6</v>
      </c>
      <c r="U3" s="0" t="n">
        <v>356</v>
      </c>
      <c r="V3" s="0" t="n">
        <v>1.62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69</v>
      </c>
      <c r="B4" s="0" t="n">
        <v>29334</v>
      </c>
      <c r="F4" s="0" t="n">
        <v>2789</v>
      </c>
      <c r="G4" s="0" t="n">
        <v>9.5</v>
      </c>
      <c r="I4" s="0" t="n">
        <v>2149</v>
      </c>
      <c r="J4" s="0" t="n">
        <v>7.3</v>
      </c>
      <c r="K4" s="0" t="n">
        <v>3.49</v>
      </c>
      <c r="L4" s="0" t="n">
        <v>1984</v>
      </c>
      <c r="M4" s="0" t="n">
        <v>182</v>
      </c>
      <c r="N4" s="0" t="n">
        <v>1802</v>
      </c>
      <c r="O4" s="0" t="n">
        <v>22321</v>
      </c>
      <c r="P4" s="0" t="n">
        <v>269112</v>
      </c>
      <c r="Q4" s="0" t="n">
        <v>246141</v>
      </c>
      <c r="R4" s="0" t="n">
        <v>4736</v>
      </c>
      <c r="S4" s="0" t="n">
        <v>8890</v>
      </c>
      <c r="T4" s="0" t="n">
        <v>615.8</v>
      </c>
      <c r="U4" s="0" t="n">
        <v>469</v>
      </c>
      <c r="V4" s="0" t="n">
        <v>1.745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70</v>
      </c>
      <c r="B5" s="0" t="n">
        <v>26997</v>
      </c>
      <c r="F5" s="0" t="n">
        <v>3511</v>
      </c>
      <c r="G5" s="0" t="n">
        <v>13</v>
      </c>
      <c r="I5" s="0" t="n">
        <v>2522</v>
      </c>
      <c r="J5" s="0" t="n">
        <v>9.3</v>
      </c>
      <c r="K5" s="0" t="n">
        <v>4.14</v>
      </c>
      <c r="L5" s="0" t="n">
        <v>3834</v>
      </c>
      <c r="M5" s="0" t="n">
        <v>85</v>
      </c>
      <c r="N5" s="0" t="n">
        <v>3749</v>
      </c>
      <c r="O5" s="0" t="n">
        <v>23706</v>
      </c>
      <c r="P5" s="0" t="n">
        <v>271827</v>
      </c>
      <c r="Q5" s="0" t="n">
        <v>247257</v>
      </c>
      <c r="R5" s="0" t="n">
        <v>4338</v>
      </c>
      <c r="S5" s="0" t="n">
        <v>9506</v>
      </c>
      <c r="T5" s="0" t="n">
        <v>609.2</v>
      </c>
      <c r="U5" s="0" t="n">
        <v>338</v>
      </c>
      <c r="V5" s="0" t="n">
        <v>1.905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71</v>
      </c>
      <c r="B6" s="0" t="n">
        <v>39679</v>
      </c>
      <c r="F6" s="0" t="n">
        <v>3233</v>
      </c>
      <c r="G6" s="0" t="n">
        <v>8.1</v>
      </c>
      <c r="I6" s="0" t="n">
        <v>2618</v>
      </c>
      <c r="J6" s="0" t="n">
        <v>6.6</v>
      </c>
      <c r="K6" s="0" t="n">
        <v>4.4</v>
      </c>
      <c r="L6" s="0" t="n">
        <v>2474</v>
      </c>
      <c r="M6" s="0" t="n">
        <v>114</v>
      </c>
      <c r="N6" s="0" t="n">
        <v>2360</v>
      </c>
      <c r="O6" s="0" t="n">
        <v>23398</v>
      </c>
      <c r="P6" s="0" t="n">
        <v>297202</v>
      </c>
      <c r="Q6" s="0" t="n">
        <v>272694</v>
      </c>
      <c r="R6" s="0" t="n">
        <v>4038</v>
      </c>
      <c r="S6" s="0" t="n">
        <v>9575</v>
      </c>
      <c r="T6" s="0" t="n">
        <v>595</v>
      </c>
      <c r="U6" s="0" t="n">
        <v>537</v>
      </c>
      <c r="V6" s="0" t="n">
        <v>2.1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72</v>
      </c>
      <c r="B7" s="0" t="n">
        <v>43337</v>
      </c>
      <c r="F7" s="0" t="n">
        <v>3287</v>
      </c>
      <c r="G7" s="0" t="n">
        <v>7.6</v>
      </c>
      <c r="I7" s="0" t="n">
        <v>2404</v>
      </c>
      <c r="J7" s="0" t="n">
        <v>5.5</v>
      </c>
      <c r="K7" s="0" t="n">
        <v>4.1</v>
      </c>
      <c r="L7" s="0" t="n">
        <v>7253</v>
      </c>
      <c r="M7" s="0" t="n">
        <v>158</v>
      </c>
      <c r="N7" s="0" t="n">
        <v>7095</v>
      </c>
      <c r="O7" s="0" t="n">
        <v>24469</v>
      </c>
      <c r="P7" s="0" t="n">
        <v>323011</v>
      </c>
      <c r="Q7" s="0" t="n">
        <v>297149</v>
      </c>
      <c r="R7" s="0" t="n">
        <v>5281</v>
      </c>
      <c r="S7" s="0" t="n">
        <v>13527</v>
      </c>
      <c r="T7" s="0" t="n">
        <v>589</v>
      </c>
      <c r="U7" s="0" t="n">
        <v>531</v>
      </c>
      <c r="V7" s="0" t="n">
        <v>2.2</v>
      </c>
      <c r="AA7" s="0" t="s">
        <v>17</v>
      </c>
      <c r="AB7" s="0" t="s">
        <v>14</v>
      </c>
      <c r="AC7" s="0" t="n">
        <v>1295930</v>
      </c>
      <c r="AE7" s="0" t="n">
        <v>37.96</v>
      </c>
    </row>
    <row r="8" customFormat="false" ht="15" hidden="false" customHeight="false" outlineLevel="0" collapsed="false">
      <c r="A8" s="0" t="s">
        <v>73</v>
      </c>
      <c r="B8" s="0" t="n">
        <v>35688</v>
      </c>
      <c r="F8" s="0" t="n">
        <v>5097</v>
      </c>
      <c r="G8" s="0" t="n">
        <v>14.3</v>
      </c>
      <c r="I8" s="0" t="n">
        <v>3934</v>
      </c>
      <c r="J8" s="0" t="n">
        <v>11</v>
      </c>
      <c r="K8" s="0" t="n">
        <v>6.69</v>
      </c>
      <c r="L8" s="0" t="n">
        <v>-1857</v>
      </c>
      <c r="M8" s="0" t="n">
        <v>81</v>
      </c>
      <c r="N8" s="0" t="n">
        <v>-1938</v>
      </c>
      <c r="O8" s="0" t="n">
        <v>26314</v>
      </c>
      <c r="P8" s="0" t="n">
        <v>345370</v>
      </c>
      <c r="Q8" s="0" t="n">
        <v>317297</v>
      </c>
      <c r="R8" s="0" t="n">
        <v>6625</v>
      </c>
      <c r="S8" s="0" t="n">
        <v>12278</v>
      </c>
      <c r="T8" s="0" t="n">
        <v>590</v>
      </c>
      <c r="U8" s="0" t="n">
        <v>748</v>
      </c>
      <c r="V8" s="0" t="n">
        <v>2.31</v>
      </c>
      <c r="AA8" s="0" t="s">
        <v>17</v>
      </c>
      <c r="AB8" s="0" t="s">
        <v>14</v>
      </c>
      <c r="AC8" s="0" t="n">
        <v>1491721</v>
      </c>
      <c r="AE8" s="0" t="n">
        <v>41.08</v>
      </c>
    </row>
    <row r="9" customFormat="false" ht="15" hidden="false" customHeight="false" outlineLevel="0" collapsed="false">
      <c r="A9" s="0" t="s">
        <v>74</v>
      </c>
      <c r="B9" s="0" t="n">
        <v>5769</v>
      </c>
      <c r="F9" s="0" t="n">
        <v>3626</v>
      </c>
      <c r="G9" s="0" t="n">
        <v>62.9</v>
      </c>
      <c r="I9" s="0" t="n">
        <v>2871</v>
      </c>
      <c r="J9" s="0" t="n">
        <v>49.8</v>
      </c>
      <c r="K9" s="0" t="n">
        <v>4.89</v>
      </c>
      <c r="L9" s="0" t="n">
        <v>4311</v>
      </c>
      <c r="M9" s="0" t="n">
        <v>-71</v>
      </c>
      <c r="N9" s="0" t="n">
        <v>4382</v>
      </c>
      <c r="O9" s="0" t="n">
        <v>22529</v>
      </c>
      <c r="P9" s="0" t="n">
        <v>323608</v>
      </c>
      <c r="Q9" s="0" t="n">
        <v>300721</v>
      </c>
      <c r="R9" s="0" t="n">
        <v>6876</v>
      </c>
      <c r="S9" s="0" t="n">
        <v>11219</v>
      </c>
      <c r="T9" s="0" t="n">
        <v>589</v>
      </c>
      <c r="U9" s="0" t="n">
        <v>218</v>
      </c>
      <c r="V9" s="0" t="n">
        <v>2.76</v>
      </c>
      <c r="AA9" s="0" t="s">
        <v>17</v>
      </c>
      <c r="AB9" s="0" t="s">
        <v>14</v>
      </c>
      <c r="AC9" s="0" t="n">
        <v>1362427</v>
      </c>
      <c r="AD9" s="0" t="n">
        <v>3369</v>
      </c>
      <c r="AE9" s="0" t="n">
        <v>34.6</v>
      </c>
    </row>
    <row r="10" customFormat="false" ht="15" hidden="false" customHeight="false" outlineLevel="0" collapsed="false">
      <c r="A10" s="0" t="s">
        <v>75</v>
      </c>
      <c r="B10" s="0" t="n">
        <v>40774</v>
      </c>
      <c r="F10" s="0" t="n">
        <v>3930</v>
      </c>
      <c r="G10" s="0" t="n">
        <v>9.6</v>
      </c>
      <c r="I10" s="0" t="n">
        <v>3086</v>
      </c>
      <c r="J10" s="0" t="n">
        <v>7.6</v>
      </c>
      <c r="K10" s="0" t="n">
        <v>5.26</v>
      </c>
      <c r="L10" s="0" t="n">
        <v>5612</v>
      </c>
      <c r="M10" s="0" t="n">
        <v>172</v>
      </c>
      <c r="N10" s="0" t="n">
        <v>5440</v>
      </c>
      <c r="O10" s="0" t="n">
        <v>23582</v>
      </c>
      <c r="P10" s="0" t="n">
        <v>333241</v>
      </c>
      <c r="Q10" s="0" t="n">
        <v>309041</v>
      </c>
      <c r="R10" s="0" t="n">
        <v>6378</v>
      </c>
      <c r="S10" s="0" t="n">
        <v>13173</v>
      </c>
      <c r="T10" s="0" t="n">
        <v>589</v>
      </c>
      <c r="U10" s="0" t="n">
        <v>481</v>
      </c>
      <c r="V10" s="0" t="n">
        <v>3</v>
      </c>
      <c r="AA10" s="0" t="s">
        <v>17</v>
      </c>
      <c r="AB10" s="0" t="s">
        <v>14</v>
      </c>
      <c r="AC10" s="0" t="n">
        <v>1498955</v>
      </c>
      <c r="AD10" s="0" t="n">
        <v>3728</v>
      </c>
      <c r="AE10" s="0" t="n">
        <v>36.51</v>
      </c>
    </row>
    <row r="11" customFormat="false" ht="15" hidden="false" customHeight="false" outlineLevel="0" collapsed="false">
      <c r="A11" s="0" t="s">
        <v>76</v>
      </c>
      <c r="B11" s="0" t="n">
        <v>38633</v>
      </c>
      <c r="F11" s="0" t="n">
        <v>4339</v>
      </c>
      <c r="G11" s="0" t="n">
        <v>11.2</v>
      </c>
      <c r="I11" s="0" t="n">
        <v>3049</v>
      </c>
      <c r="J11" s="0" t="n">
        <v>7.9</v>
      </c>
      <c r="K11" s="0" t="n">
        <v>5.26</v>
      </c>
      <c r="L11" s="0" t="n">
        <v>2532</v>
      </c>
      <c r="M11" s="0" t="n">
        <v>143</v>
      </c>
      <c r="N11" s="0" t="n">
        <v>2389</v>
      </c>
      <c r="O11" s="0" t="n">
        <v>25557</v>
      </c>
      <c r="P11" s="0" t="n">
        <v>370721</v>
      </c>
      <c r="Q11" s="0" t="n">
        <v>344592</v>
      </c>
      <c r="R11" s="0" t="n">
        <v>6379</v>
      </c>
      <c r="S11" s="0" t="n">
        <v>13873</v>
      </c>
      <c r="T11" s="0" t="n">
        <v>582</v>
      </c>
      <c r="U11" s="0" t="n">
        <v>596</v>
      </c>
      <c r="V11" s="0" t="n">
        <v>3.24</v>
      </c>
      <c r="AA11" s="0" t="s">
        <v>17</v>
      </c>
      <c r="AB11" s="0" t="s">
        <v>14</v>
      </c>
      <c r="AC11" s="0" t="n">
        <v>1616314</v>
      </c>
      <c r="AD11" s="0" t="n">
        <v>3856</v>
      </c>
      <c r="AE11" s="0" t="n">
        <v>40.63</v>
      </c>
      <c r="AF11" s="0" t="n">
        <v>6.66</v>
      </c>
    </row>
    <row r="12" customFormat="false" ht="15" hidden="false" customHeight="false" outlineLevel="0" collapsed="false">
      <c r="A12" s="0" t="s">
        <v>77</v>
      </c>
      <c r="B12" s="0" t="n">
        <v>41900</v>
      </c>
      <c r="F12" s="0" t="n">
        <v>4798</v>
      </c>
      <c r="G12" s="0" t="n">
        <v>11.5</v>
      </c>
      <c r="I12" s="0" t="n">
        <v>3472</v>
      </c>
      <c r="J12" s="0" t="n">
        <v>8.3</v>
      </c>
      <c r="K12" s="0" t="n">
        <v>6.15</v>
      </c>
      <c r="L12" s="0" t="n">
        <v>2799</v>
      </c>
      <c r="M12" s="0" t="n">
        <v>145</v>
      </c>
      <c r="N12" s="0" t="n">
        <v>2654</v>
      </c>
      <c r="O12" s="0" t="n">
        <v>24532</v>
      </c>
      <c r="P12" s="0" t="n">
        <v>398455</v>
      </c>
      <c r="Q12" s="0" t="n">
        <v>372963</v>
      </c>
      <c r="R12" s="0" t="n">
        <v>8371</v>
      </c>
      <c r="S12" s="0" t="n">
        <v>14841</v>
      </c>
      <c r="T12" s="0" t="n">
        <v>566</v>
      </c>
      <c r="U12" s="0" t="n">
        <v>480</v>
      </c>
      <c r="V12" s="0" t="n">
        <v>3.52</v>
      </c>
      <c r="AA12" s="0" t="s">
        <v>17</v>
      </c>
      <c r="AB12" s="0" t="s">
        <v>14</v>
      </c>
      <c r="AC12" s="0" t="n">
        <v>1689741</v>
      </c>
      <c r="AD12" s="0" t="n">
        <v>4201</v>
      </c>
      <c r="AE12" s="0" t="n">
        <v>40.25</v>
      </c>
      <c r="AF12" s="0" t="n">
        <v>7.45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109.82</v>
      </c>
    </row>
    <row r="3" customFormat="false" ht="15" hidden="false" customHeight="false" outlineLevel="0" collapsed="false">
      <c r="A3" s="0" t="s">
        <v>81</v>
      </c>
      <c r="B3" s="3" t="n">
        <v>556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4314</v>
      </c>
    </row>
    <row r="8" customFormat="false" ht="15" hidden="false" customHeight="false" outlineLevel="0" collapsed="false">
      <c r="A8" s="0" t="s">
        <v>86</v>
      </c>
      <c r="B8" s="3" t="s">
        <v>87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2</v>
      </c>
      <c r="D13" s="3" t="n">
        <v>3</v>
      </c>
      <c r="E13" s="3" t="n">
        <v>4</v>
      </c>
      <c r="F13" s="3" t="n">
        <v>4</v>
      </c>
      <c r="G13" s="3" t="n">
        <v>4</v>
      </c>
      <c r="H13" s="3" t="n">
        <v>3.5</v>
      </c>
      <c r="I13" s="3" t="n">
        <v>3.5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103</v>
      </c>
      <c r="C14" s="3" t="n">
        <v>70</v>
      </c>
      <c r="D14" s="3" t="n">
        <v>70</v>
      </c>
      <c r="E14" s="3" t="n">
        <v>70</v>
      </c>
      <c r="F14" s="3" t="n">
        <v>70</v>
      </c>
      <c r="G14" s="3" t="n">
        <v>70</v>
      </c>
      <c r="H14" s="3" t="n">
        <v>70</v>
      </c>
      <c r="I14" s="3" t="n">
        <v>70</v>
      </c>
      <c r="J14" s="3" t="n">
        <v>70</v>
      </c>
      <c r="K14" s="3" t="n">
        <v>70</v>
      </c>
      <c r="L14" s="3" t="n">
        <v>70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107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108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109</v>
      </c>
      <c r="B20" s="3" t="n">
        <v>10</v>
      </c>
    </row>
    <row r="21" customFormat="false" ht="15" hidden="false" customHeight="false" outlineLevel="0" collapsed="false">
      <c r="A21" s="0" t="s">
        <v>110</v>
      </c>
      <c r="B21" s="3" t="n">
        <v>2.5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7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3.5</v>
      </c>
    </row>
    <row r="28" customFormat="false" ht="15" hidden="false" customHeight="false" outlineLevel="0" collapsed="false">
      <c r="A28" s="0" t="s">
        <v>103</v>
      </c>
      <c r="C28" s="3" t="n">
        <v>78</v>
      </c>
      <c r="D28" s="3" t="n">
        <v>79</v>
      </c>
      <c r="E28" s="3" t="n">
        <v>80</v>
      </c>
      <c r="F28" s="3" t="n">
        <v>80</v>
      </c>
      <c r="G28" s="3" t="n">
        <v>80</v>
      </c>
      <c r="H28" s="3" t="n">
        <v>80</v>
      </c>
      <c r="I28" s="3" t="n">
        <v>80</v>
      </c>
      <c r="J28" s="3" t="n">
        <v>80</v>
      </c>
      <c r="K28" s="3" t="n">
        <v>80</v>
      </c>
      <c r="L28" s="3" t="n">
        <v>80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107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108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109</v>
      </c>
      <c r="B34" s="3" t="n">
        <v>9</v>
      </c>
    </row>
    <row r="35" customFormat="false" ht="15" hidden="false" customHeight="false" outlineLevel="0" collapsed="false">
      <c r="A35" s="0" t="s">
        <v>110</v>
      </c>
      <c r="B35" s="3" t="n">
        <v>3.5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9</v>
      </c>
      <c r="D41" s="3" t="n">
        <v>9</v>
      </c>
      <c r="E41" s="3" t="n">
        <v>8.5</v>
      </c>
      <c r="F41" s="3" t="n">
        <v>8</v>
      </c>
      <c r="G41" s="3" t="n">
        <v>7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103</v>
      </c>
      <c r="C42" s="3" t="n">
        <v>82</v>
      </c>
      <c r="D42" s="3" t="n">
        <v>84</v>
      </c>
      <c r="E42" s="3" t="n">
        <v>85</v>
      </c>
      <c r="F42" s="3" t="n">
        <v>86</v>
      </c>
      <c r="G42" s="3" t="n">
        <v>87</v>
      </c>
      <c r="H42" s="3" t="n">
        <v>88</v>
      </c>
      <c r="I42" s="3" t="n">
        <v>88</v>
      </c>
      <c r="J42" s="3" t="n">
        <v>88</v>
      </c>
      <c r="K42" s="3" t="n">
        <v>88</v>
      </c>
      <c r="L42" s="3" t="n">
        <v>88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107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108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109</v>
      </c>
      <c r="B48" s="3" t="n">
        <v>8.5</v>
      </c>
    </row>
    <row r="49" customFormat="false" ht="15" hidden="false" customHeight="false" outlineLevel="0" collapsed="false">
      <c r="A49" s="0" t="s">
        <v>110</v>
      </c>
      <c r="B49" s="3" t="n">
        <v>4</v>
      </c>
    </row>
    <row r="50" customFormat="false" ht="15" hidden="false" customHeight="false" outlineLevel="0" collapsed="false">
      <c r="A50" s="0" t="s">
        <v>111</v>
      </c>
      <c r="B50" s="3" t="n">
        <v>17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2</v>
      </c>
      <c r="D5" s="4" t="n">
        <f aca="false">Assumptions!D13</f>
        <v>3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4314</v>
      </c>
      <c r="C6" s="0" t="n">
        <f aca="false">B6*(1+C5/100)</f>
        <v>4400.28</v>
      </c>
      <c r="D6" s="0" t="n">
        <f aca="false">C6*(1+D5/100)</f>
        <v>4532.2884</v>
      </c>
      <c r="E6" s="0" t="n">
        <f aca="false">D6*(1+E5/100)</f>
        <v>4713.579936</v>
      </c>
      <c r="F6" s="0" t="n">
        <f aca="false">E6*(1+F5/100)</f>
        <v>4902.12313344</v>
      </c>
      <c r="G6" s="0" t="n">
        <f aca="false">F6*(1+G5/100)</f>
        <v>5098.2080587776</v>
      </c>
      <c r="H6" s="0" t="n">
        <f aca="false">G6*(1+H5/100)</f>
        <v>5276.64534083481</v>
      </c>
      <c r="I6" s="0" t="n">
        <f aca="false">H6*(1+I5/100)</f>
        <v>5461.32792776403</v>
      </c>
      <c r="J6" s="0" t="n">
        <f aca="false">I6*(1+J5/100)</f>
        <v>5625.16776559695</v>
      </c>
      <c r="K6" s="0" t="n">
        <f aca="false">J6*(1+K5/100)</f>
        <v>5793.92279856486</v>
      </c>
      <c r="L6" s="0" t="n">
        <f aca="false">K6*(1+L5/100)</f>
        <v>5967.74048252181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70</v>
      </c>
      <c r="D7" s="4" t="n">
        <f aca="false">Assumptions!D14</f>
        <v>70</v>
      </c>
      <c r="E7" s="4" t="n">
        <f aca="false">Assumptions!E14</f>
        <v>70</v>
      </c>
      <c r="F7" s="4" t="n">
        <f aca="false">Assumptions!F14</f>
        <v>70</v>
      </c>
      <c r="G7" s="4" t="n">
        <f aca="false">Assumptions!G14</f>
        <v>70</v>
      </c>
      <c r="H7" s="4" t="n">
        <f aca="false">Assumptions!H14</f>
        <v>70</v>
      </c>
      <c r="I7" s="4" t="n">
        <f aca="false">Assumptions!I14</f>
        <v>70</v>
      </c>
      <c r="J7" s="4" t="n">
        <f aca="false">Assumptions!J14</f>
        <v>70</v>
      </c>
      <c r="K7" s="4" t="n">
        <f aca="false">Assumptions!K14</f>
        <v>70</v>
      </c>
      <c r="L7" s="4" t="n">
        <f aca="false">Assumptions!L14</f>
        <v>70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3080.196</v>
      </c>
      <c r="D8" s="0" t="n">
        <f aca="false">D6*D7/100</f>
        <v>3172.60188</v>
      </c>
      <c r="E8" s="0" t="n">
        <f aca="false">E6*E7/100</f>
        <v>3299.5059552</v>
      </c>
      <c r="F8" s="0" t="n">
        <f aca="false">F6*F7/100</f>
        <v>3431.486193408</v>
      </c>
      <c r="G8" s="0" t="n">
        <f aca="false">G6*G7/100</f>
        <v>3568.74564114432</v>
      </c>
      <c r="H8" s="0" t="n">
        <f aca="false">H6*H7/100</f>
        <v>3693.65173858437</v>
      </c>
      <c r="I8" s="0" t="n">
        <f aca="false">I6*I7/100</f>
        <v>3822.92954943482</v>
      </c>
      <c r="J8" s="0" t="n">
        <f aca="false">J6*J7/100</f>
        <v>3937.61743591787</v>
      </c>
      <c r="K8" s="0" t="n">
        <f aca="false">K6*K7/100</f>
        <v>4055.7459589954</v>
      </c>
      <c r="L8" s="0" t="n">
        <f aca="false">L6*L7/100</f>
        <v>4177.41833776527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3080.196</v>
      </c>
      <c r="D11" s="0" t="n">
        <f aca="false">D8+D10+D24</f>
        <v>3172.60188</v>
      </c>
      <c r="E11" s="0" t="n">
        <f aca="false">E8+E10+E24</f>
        <v>3299.5059552</v>
      </c>
      <c r="F11" s="0" t="n">
        <f aca="false">F8+F10+F24</f>
        <v>3431.486193408</v>
      </c>
      <c r="G11" s="0" t="n">
        <f aca="false">G8+G10+G24</f>
        <v>3568.74564114432</v>
      </c>
      <c r="H11" s="0" t="n">
        <f aca="false">H8+H10+H24</f>
        <v>3693.65173858437</v>
      </c>
      <c r="I11" s="0" t="n">
        <f aca="false">I8+I10+I24</f>
        <v>3822.92954943482</v>
      </c>
      <c r="J11" s="0" t="n">
        <f aca="false">J8+J10+J24</f>
        <v>3937.61743591787</v>
      </c>
      <c r="K11" s="0" t="n">
        <f aca="false">K8+K10+K24</f>
        <v>4055.7459589954</v>
      </c>
      <c r="L11" s="0" t="n">
        <f aca="false">L8+L10+L24</f>
        <v>4177.41833776527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3080.196</v>
      </c>
      <c r="D13" s="0" t="n">
        <f aca="false">D11+D12</f>
        <v>3172.60188</v>
      </c>
      <c r="E13" s="0" t="n">
        <f aca="false">E11+E12</f>
        <v>3299.5059552</v>
      </c>
      <c r="F13" s="0" t="n">
        <f aca="false">F11+F12</f>
        <v>3431.486193408</v>
      </c>
      <c r="G13" s="0" t="n">
        <f aca="false">G11+G12</f>
        <v>3568.74564114432</v>
      </c>
      <c r="H13" s="0" t="n">
        <f aca="false">H11+H12</f>
        <v>3693.65173858437</v>
      </c>
      <c r="I13" s="0" t="n">
        <f aca="false">I11+I12</f>
        <v>3822.92954943482</v>
      </c>
      <c r="J13" s="0" t="n">
        <f aca="false">J11+J12</f>
        <v>3937.61743591787</v>
      </c>
      <c r="K13" s="0" t="n">
        <f aca="false">K11+K12</f>
        <v>4055.7459589954</v>
      </c>
      <c r="L13" s="0" t="n">
        <f aca="false">L11+L12</f>
        <v>4177.41833776527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3080.196</v>
      </c>
      <c r="D15" s="0" t="n">
        <f aca="false">D13-MAX(0,D13)*D14/100</f>
        <v>3172.60188</v>
      </c>
      <c r="E15" s="0" t="n">
        <f aca="false">E13-MAX(0,E13)*E14/100</f>
        <v>3299.5059552</v>
      </c>
      <c r="F15" s="0" t="n">
        <f aca="false">F13-MAX(0,F13)*F14/100</f>
        <v>3431.486193408</v>
      </c>
      <c r="G15" s="0" t="n">
        <f aca="false">G13-MAX(0,G13)*G14/100</f>
        <v>3568.74564114432</v>
      </c>
      <c r="H15" s="0" t="n">
        <f aca="false">H13-MAX(0,H13)*H14/100</f>
        <v>3693.65173858437</v>
      </c>
      <c r="I15" s="0" t="n">
        <f aca="false">I13-MAX(0,I13)*I14/100</f>
        <v>3822.92954943482</v>
      </c>
      <c r="J15" s="0" t="n">
        <f aca="false">J13-MAX(0,J13)*J14/100</f>
        <v>3937.61743591787</v>
      </c>
      <c r="K15" s="0" t="n">
        <f aca="false">K13-MAX(0,K13)*K14/100</f>
        <v>4055.7459589954</v>
      </c>
      <c r="L15" s="0" t="n">
        <f aca="false">L13-MAX(0,L13)*L14/100</f>
        <v>4177.41833776527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3080.196</v>
      </c>
      <c r="D19" s="0" t="n">
        <f aca="false">D15+D16+D17+D18</f>
        <v>3172.60188</v>
      </c>
      <c r="E19" s="0" t="n">
        <f aca="false">E15+E16+E17+E18</f>
        <v>3299.5059552</v>
      </c>
      <c r="F19" s="0" t="n">
        <f aca="false">F15+F16+F17+F18</f>
        <v>3431.486193408</v>
      </c>
      <c r="G19" s="0" t="n">
        <f aca="false">G15+G16+G17+G18</f>
        <v>3568.74564114432</v>
      </c>
      <c r="H19" s="0" t="n">
        <f aca="false">H15+H16+H17+H18</f>
        <v>3693.65173858437</v>
      </c>
      <c r="I19" s="0" t="n">
        <f aca="false">I15+I16+I17+I18</f>
        <v>3822.92954943482</v>
      </c>
      <c r="J19" s="0" t="n">
        <f aca="false">J15+J16+J17+J18</f>
        <v>3937.61743591787</v>
      </c>
      <c r="K19" s="0" t="n">
        <f aca="false">K15+K16+K17+K18</f>
        <v>4055.7459589954</v>
      </c>
      <c r="L19" s="0" t="n">
        <f aca="false">L15+L16+L17+L18</f>
        <v>4177.41833776527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2800.17818181818</v>
      </c>
      <c r="D21" s="0" t="n">
        <f aca="false">D19*D20</f>
        <v>2621.98502479339</v>
      </c>
      <c r="E21" s="0" t="n">
        <f aca="false">E19*E20</f>
        <v>2478.96765980466</v>
      </c>
      <c r="F21" s="0" t="n">
        <f aca="false">F19*F20</f>
        <v>2343.75124199713</v>
      </c>
      <c r="G21" s="0" t="n">
        <f aca="false">G19*G20</f>
        <v>2215.91026516092</v>
      </c>
      <c r="H21" s="0" t="n">
        <f aca="false">H19*H20</f>
        <v>2084.97011312869</v>
      </c>
      <c r="I21" s="0" t="n">
        <f aca="false">I19*I20</f>
        <v>1961.76733371654</v>
      </c>
      <c r="J21" s="0" t="n">
        <f aca="false">J19*J20</f>
        <v>1836.92759429821</v>
      </c>
      <c r="K21" s="0" t="n">
        <f aca="false">K19*K20</f>
        <v>1720.03220193378</v>
      </c>
      <c r="L21" s="0" t="n">
        <f aca="false">L19*L20</f>
        <v>1610.57560726527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21675.0652239168</v>
      </c>
    </row>
    <row r="31" customFormat="false" ht="15" hidden="false" customHeight="false" outlineLevel="0" collapsed="false">
      <c r="A31" s="0" t="s">
        <v>133</v>
      </c>
      <c r="B31" s="0" t="n">
        <f aca="false">L19</f>
        <v>4177.41833776527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57091.3839494586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50129.0200531832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50129.0200531832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19326.9072871832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41001.9725110999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41001.9725110999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73.744554876079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-0.32849613115936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73.744554876079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34254.8303696752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46.6854968980373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7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4314</v>
      </c>
      <c r="C6" s="0" t="n">
        <f aca="false">B6*(1+C5/100)</f>
        <v>4615.98</v>
      </c>
      <c r="D6" s="0" t="n">
        <f aca="false">C6*(1+D5/100)</f>
        <v>4939.0986</v>
      </c>
      <c r="E6" s="0" t="n">
        <f aca="false">D6*(1+E5/100)</f>
        <v>5260.140009</v>
      </c>
      <c r="F6" s="0" t="n">
        <f aca="false">E6*(1+F5/100)</f>
        <v>5575.74840954</v>
      </c>
      <c r="G6" s="0" t="n">
        <f aca="false">F6*(1+G5/100)</f>
        <v>5882.4145720647</v>
      </c>
      <c r="H6" s="0" t="n">
        <f aca="false">G6*(1+H5/100)</f>
        <v>6176.53530066794</v>
      </c>
      <c r="I6" s="0" t="n">
        <f aca="false">H6*(1+I5/100)</f>
        <v>6454.47938919799</v>
      </c>
      <c r="J6" s="0" t="n">
        <f aca="false">I6*(1+J5/100)</f>
        <v>6712.65856476591</v>
      </c>
      <c r="K6" s="0" t="n">
        <f aca="false">J6*(1+K5/100)</f>
        <v>6947.60161453272</v>
      </c>
      <c r="L6" s="0" t="n">
        <f aca="false">K6*(1+L5/100)</f>
        <v>7190.76767104136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78</v>
      </c>
      <c r="D7" s="4" t="n">
        <f aca="false">Assumptions!D28</f>
        <v>79</v>
      </c>
      <c r="E7" s="4" t="n">
        <f aca="false">Assumptions!E28</f>
        <v>80</v>
      </c>
      <c r="F7" s="4" t="n">
        <f aca="false">Assumptions!F28</f>
        <v>80</v>
      </c>
      <c r="G7" s="4" t="n">
        <f aca="false">Assumptions!G28</f>
        <v>80</v>
      </c>
      <c r="H7" s="4" t="n">
        <f aca="false">Assumptions!H28</f>
        <v>80</v>
      </c>
      <c r="I7" s="4" t="n">
        <f aca="false">Assumptions!I28</f>
        <v>80</v>
      </c>
      <c r="J7" s="4" t="n">
        <f aca="false">Assumptions!J28</f>
        <v>80</v>
      </c>
      <c r="K7" s="4" t="n">
        <f aca="false">Assumptions!K28</f>
        <v>80</v>
      </c>
      <c r="L7" s="4" t="n">
        <f aca="false">Assumptions!L28</f>
        <v>80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3600.4644</v>
      </c>
      <c r="D8" s="0" t="n">
        <f aca="false">D6*D7/100</f>
        <v>3901.887894</v>
      </c>
      <c r="E8" s="0" t="n">
        <f aca="false">E6*E7/100</f>
        <v>4208.1120072</v>
      </c>
      <c r="F8" s="0" t="n">
        <f aca="false">F6*F7/100</f>
        <v>4460.598727632</v>
      </c>
      <c r="G8" s="0" t="n">
        <f aca="false">G6*G7/100</f>
        <v>4705.93165765176</v>
      </c>
      <c r="H8" s="0" t="n">
        <f aca="false">H6*H7/100</f>
        <v>4941.22824053435</v>
      </c>
      <c r="I8" s="0" t="n">
        <f aca="false">I6*I7/100</f>
        <v>5163.58351135839</v>
      </c>
      <c r="J8" s="0" t="n">
        <f aca="false">J6*J7/100</f>
        <v>5370.12685181273</v>
      </c>
      <c r="K8" s="0" t="n">
        <f aca="false">K6*K7/100</f>
        <v>5558.08129162618</v>
      </c>
      <c r="L8" s="0" t="n">
        <f aca="false">L6*L7/100</f>
        <v>5752.61413683309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3600.4644</v>
      </c>
      <c r="D11" s="0" t="n">
        <f aca="false">D8+D10+D24</f>
        <v>3901.887894</v>
      </c>
      <c r="E11" s="0" t="n">
        <f aca="false">E8+E10+E24</f>
        <v>4208.1120072</v>
      </c>
      <c r="F11" s="0" t="n">
        <f aca="false">F8+F10+F24</f>
        <v>4460.598727632</v>
      </c>
      <c r="G11" s="0" t="n">
        <f aca="false">G8+G10+G24</f>
        <v>4705.93165765176</v>
      </c>
      <c r="H11" s="0" t="n">
        <f aca="false">H8+H10+H24</f>
        <v>4941.22824053435</v>
      </c>
      <c r="I11" s="0" t="n">
        <f aca="false">I8+I10+I24</f>
        <v>5163.58351135839</v>
      </c>
      <c r="J11" s="0" t="n">
        <f aca="false">J8+J10+J24</f>
        <v>5370.12685181273</v>
      </c>
      <c r="K11" s="0" t="n">
        <f aca="false">K8+K10+K24</f>
        <v>5558.08129162618</v>
      </c>
      <c r="L11" s="0" t="n">
        <f aca="false">L8+L10+L24</f>
        <v>5752.61413683309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3600.4644</v>
      </c>
      <c r="D13" s="0" t="n">
        <f aca="false">D11+D12</f>
        <v>3901.887894</v>
      </c>
      <c r="E13" s="0" t="n">
        <f aca="false">E11+E12</f>
        <v>4208.1120072</v>
      </c>
      <c r="F13" s="0" t="n">
        <f aca="false">F11+F12</f>
        <v>4460.598727632</v>
      </c>
      <c r="G13" s="0" t="n">
        <f aca="false">G11+G12</f>
        <v>4705.93165765176</v>
      </c>
      <c r="H13" s="0" t="n">
        <f aca="false">H11+H12</f>
        <v>4941.22824053435</v>
      </c>
      <c r="I13" s="0" t="n">
        <f aca="false">I11+I12</f>
        <v>5163.58351135839</v>
      </c>
      <c r="J13" s="0" t="n">
        <f aca="false">J11+J12</f>
        <v>5370.12685181273</v>
      </c>
      <c r="K13" s="0" t="n">
        <f aca="false">K11+K12</f>
        <v>5558.08129162618</v>
      </c>
      <c r="L13" s="0" t="n">
        <f aca="false">L11+L12</f>
        <v>5752.61413683309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3600.4644</v>
      </c>
      <c r="D15" s="0" t="n">
        <f aca="false">D13-MAX(0,D13)*D14/100</f>
        <v>3901.887894</v>
      </c>
      <c r="E15" s="0" t="n">
        <f aca="false">E13-MAX(0,E13)*E14/100</f>
        <v>4208.1120072</v>
      </c>
      <c r="F15" s="0" t="n">
        <f aca="false">F13-MAX(0,F13)*F14/100</f>
        <v>4460.598727632</v>
      </c>
      <c r="G15" s="0" t="n">
        <f aca="false">G13-MAX(0,G13)*G14/100</f>
        <v>4705.93165765176</v>
      </c>
      <c r="H15" s="0" t="n">
        <f aca="false">H13-MAX(0,H13)*H14/100</f>
        <v>4941.22824053435</v>
      </c>
      <c r="I15" s="0" t="n">
        <f aca="false">I13-MAX(0,I13)*I14/100</f>
        <v>5163.58351135839</v>
      </c>
      <c r="J15" s="0" t="n">
        <f aca="false">J13-MAX(0,J13)*J14/100</f>
        <v>5370.12685181273</v>
      </c>
      <c r="K15" s="0" t="n">
        <f aca="false">K13-MAX(0,K13)*K14/100</f>
        <v>5558.08129162618</v>
      </c>
      <c r="L15" s="0" t="n">
        <f aca="false">L13-MAX(0,L13)*L14/100</f>
        <v>5752.61413683309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3600.4644</v>
      </c>
      <c r="D19" s="0" t="n">
        <f aca="false">D15+D16+D17+D18</f>
        <v>3901.887894</v>
      </c>
      <c r="E19" s="0" t="n">
        <f aca="false">E15+E16+E17+E18</f>
        <v>4208.1120072</v>
      </c>
      <c r="F19" s="0" t="n">
        <f aca="false">F15+F16+F17+F18</f>
        <v>4460.598727632</v>
      </c>
      <c r="G19" s="0" t="n">
        <f aca="false">G15+G16+G17+G18</f>
        <v>4705.93165765176</v>
      </c>
      <c r="H19" s="0" t="n">
        <f aca="false">H15+H16+H17+H18</f>
        <v>4941.22824053435</v>
      </c>
      <c r="I19" s="0" t="n">
        <f aca="false">I15+I16+I17+I18</f>
        <v>5163.58351135839</v>
      </c>
      <c r="J19" s="0" t="n">
        <f aca="false">J15+J16+J17+J18</f>
        <v>5370.12685181273</v>
      </c>
      <c r="K19" s="0" t="n">
        <f aca="false">K15+K16+K17+K18</f>
        <v>5558.08129162618</v>
      </c>
      <c r="L19" s="0" t="n">
        <f aca="false">L15+L16+L17+L18</f>
        <v>5752.61413683309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3303.17834862385</v>
      </c>
      <c r="D21" s="0" t="n">
        <f aca="false">D19*D20</f>
        <v>3284.14097634879</v>
      </c>
      <c r="E21" s="0" t="n">
        <f aca="false">E19*E20</f>
        <v>3249.43457420645</v>
      </c>
      <c r="F21" s="0" t="n">
        <f aca="false">F19*F20</f>
        <v>3160.00059509985</v>
      </c>
      <c r="G21" s="0" t="n">
        <f aca="false">G19*G20</f>
        <v>3058.53268608288</v>
      </c>
      <c r="H21" s="0" t="n">
        <f aca="false">H19*H20</f>
        <v>2946.29295448351</v>
      </c>
      <c r="I21" s="0" t="n">
        <f aca="false">I19*I20</f>
        <v>2824.65700682134</v>
      </c>
      <c r="J21" s="0" t="n">
        <f aca="false">J19*J20</f>
        <v>2695.08558449009</v>
      </c>
      <c r="K21" s="0" t="n">
        <f aca="false">K19*K20</f>
        <v>2559.09502747453</v>
      </c>
      <c r="L21" s="0" t="n">
        <f aca="false">L19*L20</f>
        <v>2429.96637929921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29510.3841329305</v>
      </c>
    </row>
    <row r="31" customFormat="false" ht="15" hidden="false" customHeight="false" outlineLevel="0" collapsed="false">
      <c r="A31" s="0" t="s">
        <v>133</v>
      </c>
      <c r="B31" s="0" t="n">
        <f aca="false">L19</f>
        <v>5752.61413683309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108253.738756768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86289.2120524964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86289.2120524964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36449.4956894882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65959.8798224187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65959.8798224187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118.632877378451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0.0802483826120095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118.632877378451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51773.5272314978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63.6162256904192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9</v>
      </c>
      <c r="D5" s="4" t="n">
        <f aca="false">Assumptions!D41</f>
        <v>9</v>
      </c>
      <c r="E5" s="4" t="n">
        <f aca="false">Assumptions!E41</f>
        <v>8.5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4314</v>
      </c>
      <c r="C6" s="0" t="n">
        <f aca="false">B6*(1+C5/100)</f>
        <v>4702.26</v>
      </c>
      <c r="D6" s="0" t="n">
        <f aca="false">C6*(1+D5/100)</f>
        <v>5125.4634</v>
      </c>
      <c r="E6" s="0" t="n">
        <f aca="false">D6*(1+E5/100)</f>
        <v>5561.127789</v>
      </c>
      <c r="F6" s="0" t="n">
        <f aca="false">E6*(1+F5/100)</f>
        <v>6006.01801212</v>
      </c>
      <c r="G6" s="0" t="n">
        <f aca="false">F6*(1+G5/100)</f>
        <v>6426.4392729684</v>
      </c>
      <c r="H6" s="0" t="n">
        <f aca="false">G6*(1+H5/100)</f>
        <v>6812.0256293465</v>
      </c>
      <c r="I6" s="0" t="n">
        <f aca="false">H6*(1+I5/100)</f>
        <v>7186.68703896056</v>
      </c>
      <c r="J6" s="0" t="n">
        <f aca="false">I6*(1+J5/100)</f>
        <v>7546.02139090859</v>
      </c>
      <c r="K6" s="0" t="n">
        <f aca="false">J6*(1+K5/100)</f>
        <v>7885.59235349948</v>
      </c>
      <c r="L6" s="0" t="n">
        <f aca="false">K6*(1+L5/100)</f>
        <v>8201.01604763946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82</v>
      </c>
      <c r="D7" s="4" t="n">
        <f aca="false">Assumptions!D42</f>
        <v>84</v>
      </c>
      <c r="E7" s="4" t="n">
        <f aca="false">Assumptions!E42</f>
        <v>85</v>
      </c>
      <c r="F7" s="4" t="n">
        <f aca="false">Assumptions!F42</f>
        <v>86</v>
      </c>
      <c r="G7" s="4" t="n">
        <f aca="false">Assumptions!G42</f>
        <v>87</v>
      </c>
      <c r="H7" s="4" t="n">
        <f aca="false">Assumptions!H42</f>
        <v>88</v>
      </c>
      <c r="I7" s="4" t="n">
        <f aca="false">Assumptions!I42</f>
        <v>88</v>
      </c>
      <c r="J7" s="4" t="n">
        <f aca="false">Assumptions!J42</f>
        <v>88</v>
      </c>
      <c r="K7" s="4" t="n">
        <f aca="false">Assumptions!K42</f>
        <v>88</v>
      </c>
      <c r="L7" s="4" t="n">
        <f aca="false">Assumptions!L42</f>
        <v>88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3855.8532</v>
      </c>
      <c r="D8" s="0" t="n">
        <f aca="false">D6*D7/100</f>
        <v>4305.389256</v>
      </c>
      <c r="E8" s="0" t="n">
        <f aca="false">E6*E7/100</f>
        <v>4726.95862065</v>
      </c>
      <c r="F8" s="0" t="n">
        <f aca="false">F6*F7/100</f>
        <v>5165.1754904232</v>
      </c>
      <c r="G8" s="0" t="n">
        <f aca="false">G6*G7/100</f>
        <v>5591.00216748251</v>
      </c>
      <c r="H8" s="0" t="n">
        <f aca="false">H6*H7/100</f>
        <v>5994.58255382493</v>
      </c>
      <c r="I8" s="0" t="n">
        <f aca="false">I6*I7/100</f>
        <v>6324.2845942853</v>
      </c>
      <c r="J8" s="0" t="n">
        <f aca="false">J6*J7/100</f>
        <v>6640.49882399956</v>
      </c>
      <c r="K8" s="0" t="n">
        <f aca="false">K6*K7/100</f>
        <v>6939.32127107954</v>
      </c>
      <c r="L8" s="0" t="n">
        <f aca="false">L6*L7/100</f>
        <v>7216.89412192272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3855.8532</v>
      </c>
      <c r="D11" s="0" t="n">
        <f aca="false">D8+D10+D24</f>
        <v>4305.389256</v>
      </c>
      <c r="E11" s="0" t="n">
        <f aca="false">E8+E10+E24</f>
        <v>4726.95862065</v>
      </c>
      <c r="F11" s="0" t="n">
        <f aca="false">F8+F10+F24</f>
        <v>5165.1754904232</v>
      </c>
      <c r="G11" s="0" t="n">
        <f aca="false">G8+G10+G24</f>
        <v>5591.00216748251</v>
      </c>
      <c r="H11" s="0" t="n">
        <f aca="false">H8+H10+H24</f>
        <v>5994.58255382493</v>
      </c>
      <c r="I11" s="0" t="n">
        <f aca="false">I8+I10+I24</f>
        <v>6324.2845942853</v>
      </c>
      <c r="J11" s="0" t="n">
        <f aca="false">J8+J10+J24</f>
        <v>6640.49882399956</v>
      </c>
      <c r="K11" s="0" t="n">
        <f aca="false">K8+K10+K24</f>
        <v>6939.32127107954</v>
      </c>
      <c r="L11" s="0" t="n">
        <f aca="false">L8+L10+L24</f>
        <v>7216.89412192272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3855.8532</v>
      </c>
      <c r="D13" s="0" t="n">
        <f aca="false">D11+D12</f>
        <v>4305.389256</v>
      </c>
      <c r="E13" s="0" t="n">
        <f aca="false">E11+E12</f>
        <v>4726.95862065</v>
      </c>
      <c r="F13" s="0" t="n">
        <f aca="false">F11+F12</f>
        <v>5165.1754904232</v>
      </c>
      <c r="G13" s="0" t="n">
        <f aca="false">G11+G12</f>
        <v>5591.00216748251</v>
      </c>
      <c r="H13" s="0" t="n">
        <f aca="false">H11+H12</f>
        <v>5994.58255382493</v>
      </c>
      <c r="I13" s="0" t="n">
        <f aca="false">I11+I12</f>
        <v>6324.2845942853</v>
      </c>
      <c r="J13" s="0" t="n">
        <f aca="false">J11+J12</f>
        <v>6640.49882399956</v>
      </c>
      <c r="K13" s="0" t="n">
        <f aca="false">K11+K12</f>
        <v>6939.32127107954</v>
      </c>
      <c r="L13" s="0" t="n">
        <f aca="false">L11+L12</f>
        <v>7216.89412192272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3855.8532</v>
      </c>
      <c r="D15" s="0" t="n">
        <f aca="false">D13-MAX(0,D13)*D14/100</f>
        <v>4305.389256</v>
      </c>
      <c r="E15" s="0" t="n">
        <f aca="false">E13-MAX(0,E13)*E14/100</f>
        <v>4726.95862065</v>
      </c>
      <c r="F15" s="0" t="n">
        <f aca="false">F13-MAX(0,F13)*F14/100</f>
        <v>5165.1754904232</v>
      </c>
      <c r="G15" s="0" t="n">
        <f aca="false">G13-MAX(0,G13)*G14/100</f>
        <v>5591.00216748251</v>
      </c>
      <c r="H15" s="0" t="n">
        <f aca="false">H13-MAX(0,H13)*H14/100</f>
        <v>5994.58255382493</v>
      </c>
      <c r="I15" s="0" t="n">
        <f aca="false">I13-MAX(0,I13)*I14/100</f>
        <v>6324.2845942853</v>
      </c>
      <c r="J15" s="0" t="n">
        <f aca="false">J13-MAX(0,J13)*J14/100</f>
        <v>6640.49882399956</v>
      </c>
      <c r="K15" s="0" t="n">
        <f aca="false">K13-MAX(0,K13)*K14/100</f>
        <v>6939.32127107954</v>
      </c>
      <c r="L15" s="0" t="n">
        <f aca="false">L13-MAX(0,L13)*L14/100</f>
        <v>7216.89412192272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3855.8532</v>
      </c>
      <c r="D19" s="0" t="n">
        <f aca="false">D15+D16+D17+D18</f>
        <v>4305.389256</v>
      </c>
      <c r="E19" s="0" t="n">
        <f aca="false">E15+E16+E17+E18</f>
        <v>4726.95862065</v>
      </c>
      <c r="F19" s="0" t="n">
        <f aca="false">F15+F16+F17+F18</f>
        <v>5165.1754904232</v>
      </c>
      <c r="G19" s="0" t="n">
        <f aca="false">G15+G16+G17+G18</f>
        <v>5591.00216748251</v>
      </c>
      <c r="H19" s="0" t="n">
        <f aca="false">H15+H16+H17+H18</f>
        <v>5994.58255382493</v>
      </c>
      <c r="I19" s="0" t="n">
        <f aca="false">I15+I16+I17+I18</f>
        <v>6324.2845942853</v>
      </c>
      <c r="J19" s="0" t="n">
        <f aca="false">J15+J16+J17+J18</f>
        <v>6640.49882399956</v>
      </c>
      <c r="K19" s="0" t="n">
        <f aca="false">K15+K16+K17+K18</f>
        <v>6939.32127107954</v>
      </c>
      <c r="L19" s="0" t="n">
        <f aca="false">L15+L16+L17+L18</f>
        <v>7216.89412192272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3553.78175115207</v>
      </c>
      <c r="D21" s="0" t="n">
        <f aca="false">D19*D20</f>
        <v>3657.23566522967</v>
      </c>
      <c r="E21" s="0" t="n">
        <f aca="false">E19*E20</f>
        <v>3700.77418505384</v>
      </c>
      <c r="F21" s="0" t="n">
        <f aca="false">F19*F20</f>
        <v>3727.0578076205</v>
      </c>
      <c r="G21" s="0" t="n">
        <f aca="false">G19*G20</f>
        <v>3718.27040307997</v>
      </c>
      <c r="H21" s="0" t="n">
        <f aca="false">H19*H20</f>
        <v>3674.34994649398</v>
      </c>
      <c r="I21" s="0" t="n">
        <f aca="false">I19*I20</f>
        <v>3572.75501709784</v>
      </c>
      <c r="J21" s="0" t="n">
        <f aca="false">J19*J20</f>
        <v>3457.50485525597</v>
      </c>
      <c r="K21" s="0" t="n">
        <f aca="false">K19*K20</f>
        <v>3330.03923847234</v>
      </c>
      <c r="L21" s="0" t="n">
        <f aca="false">L19*L20</f>
        <v>3191.92701199192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35583.6958814481</v>
      </c>
    </row>
    <row r="31" customFormat="false" ht="15" hidden="false" customHeight="false" outlineLevel="0" collapsed="false">
      <c r="A31" s="0" t="s">
        <v>133</v>
      </c>
      <c r="B31" s="0" t="n">
        <f aca="false">L19</f>
        <v>7216.89412192272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166790.441928881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122687.200072686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122687.200072686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54262.7592038627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89846.4550853108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89846.4550853108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161.594343678617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0.471447310859739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161.594343678617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68232.4535163603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77.7191418885441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73.744554876079</v>
      </c>
      <c r="C4" s="0" t="n">
        <f aca="false">B4/Assumptions!$B$2-1</f>
        <v>-0.32849613115936</v>
      </c>
      <c r="D4" s="4" t="n">
        <f aca="false">Assumptions!$B$24</f>
        <v>0.2</v>
      </c>
      <c r="E4" s="4" t="n">
        <f aca="false">DCF_Bear!$B$43</f>
        <v>73.744554876079</v>
      </c>
      <c r="F4" s="4" t="n">
        <f aca="false">DCF_Bear!$B$47</f>
        <v>46.6854968980373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118.632877378451</v>
      </c>
      <c r="C5" s="0" t="n">
        <f aca="false">B5/Assumptions!$B$2-1</f>
        <v>0.0802483826120095</v>
      </c>
      <c r="D5" s="4" t="n">
        <f aca="false">Assumptions!$B$38</f>
        <v>0.5</v>
      </c>
      <c r="E5" s="4" t="n">
        <f aca="false">DCF_Base!$B$43</f>
        <v>118.632877378451</v>
      </c>
      <c r="F5" s="4" t="n">
        <f aca="false">DCF_Base!$B$47</f>
        <v>63.6162256904192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161.594343678617</v>
      </c>
      <c r="C6" s="0" t="n">
        <f aca="false">B6/Assumptions!$B$2-1</f>
        <v>0.471447310859739</v>
      </c>
      <c r="D6" s="4" t="n">
        <f aca="false">Assumptions!$B$52</f>
        <v>0.3</v>
      </c>
      <c r="E6" s="4" t="n">
        <f aca="false">DCF_Bull!$B$43</f>
        <v>161.594343678617</v>
      </c>
      <c r="F6" s="4" t="n">
        <f aca="false">DCF_Bull!$B$47</f>
        <v>77.7191418885441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122.543652768026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122.543652768026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0.103829553637608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64.4609547913803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118.632877378451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110.459604124482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98.6240202148825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86.7683463416278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63.6162256904192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2.5</v>
      </c>
      <c r="C22" s="3" t="n">
        <v>3</v>
      </c>
      <c r="D22" s="3" t="n">
        <v>3.5</v>
      </c>
      <c r="E22" s="3" t="n">
        <v>4</v>
      </c>
      <c r="F22" s="3" t="n">
        <v>4.5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137.432632599012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137.432632599012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137.432632599012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137.432632599012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137.432632599012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127.594629952251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127.594629952251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127.594629952251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127.594629952251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127.594629952251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118.632877378451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118.632877378451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118.632877378451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118.632877378451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118.632877378451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105.140942788431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109.319890981043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110.459604124482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110.459604124482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110.459604124482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92.2794317916295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95.2534576150294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98.6240202148825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102.476091757572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102.996641966043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2026-10-10T10:51:53Z</dcterms:created>
  <dc:creator>openpyxl</dc:creator>
  <dc:description/>
  <dc:language>en-NZ</dc:language>
  <cp:lastModifiedBy/>
  <dcterms:modified xsi:type="dcterms:W3CDTF">2026-10-10T10:51:53Z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