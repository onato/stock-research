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<sst xmlns="http://schemas.openxmlformats.org/spreadsheetml/2006/main" count="354" uniqueCount="164">
  <si>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</si>
  <si>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0598.HK</t>
  </si>
  <si>
    <t xml:space="preserve">Company</t>
  </si>
  <si>
    <t xml:space="preserve">Sinotrans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</si>
  <si>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</si>
  <si>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</si>
  <si>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</si>
  <si>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</si>
  <si>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HKEX regular close (Yahoo chart API); 52-week range 3.80-5.51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</si>
  <si>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</si>
  <si>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</si>
  <si>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</si>
  <si>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</si>
  <si>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</si>
  <si>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</si>
  <si>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</si>
  <si>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</si>
  <si>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</si>
  <si>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</si>
  <si>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</si>
  <si>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</si>
  <si>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</si>
  <si>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2026-10-11T02:30:34Z</t>
  </si>
  <si>
    <t xml:space="preserve">Drivers file</t>
  </si>
  <si>
    <t xml:space="preserve">0598.HK_Drivers.json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</si>
  <si>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</si>
  <si>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</si>
  <si>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</si>
  <si>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Sinotrans is valued as three pieces: (1) the consolidated forwarding/logistics operation on an owner-FCF basis, with leases charged as operating cost and subsidies kept in only at their recurring level, (2) the equity-accounted JVs, mainly 50% of DHL-Sinotrans, capitalised at 10x their recurring profit share, and (3) net financial cash and fair-value investments, less minorities at book. The operating business is worth less than the JVs plus net cash. The H-share's ~75% discount to the A-share is why the HKD price sits well below the value of the parts.
key_risks_to_valuation: JV value (~RMB2.1/share) depends on DHL-Sinotrans international express volumes; US de minimis removal and trade conflict could cut its profit; Government logistics subsidies (~RMB1.5bn recurring, ~1.5% of revenue) are discretionary and already falling; Freight-rate cyclicality drives large working-capital swings; the 30-Jun-2026 net cash is a seasonal low; Further goodwill impairment on overseas acquisitions; SOE capital allocation may prioritise policy objectives; The A/H premium has persisted for years; H-share holders may never be paid for the value gap</t>
  </si>
  <si>
    <t xml:space="preserve">Data sources</t>
  </si>
  <si>
    <t xml:space="preserve">price: Yahoo Finance chart API (0598.HK) at inputs.price_as_of; 52-week range 3.80-5.51. FX: Yahoo CNYHKD=X, see inputs.fx_note.
financials: 0598.HK_Metrics.csv; FY2025 Annual Report (consolidated BS/IS/CF, notes IX.35 leases, IX.52-54 finance costs/other income/investment income, IX.65 cash-flow items, segment note, non-recurring items table); H1-2026 Interim Report (30-Jun-2026 balance sheet, H1 P&amp;L, interim dividend FX).
qualitative: 0598.HK_Analysis.json (2026-10-11)</t>
  </si>
  <si>
    <t xml:space="preserve">Scenario narrative: bear</t>
  </si>
  <si>
    <t xml:space="preserve">Container shipping overcapacity drags spot rates through 2027. The end of US de minimis and further tariff rounds keep shrinking US-lane air freight and cross-border e-commerce, which already drove FY2025's 47% fall in core profit. Forwarding commoditises further as domestic competitors undercut. Policy withdraws about half of the RMB1.6bn logistics subsidy, a third of operating EBIT. More goodwill impairments at European acquisitions (KLG Europe) signal that past M&amp;A destroyed value. Revenue falls 6% then 2%, and margin slides to 4.0%.</t>
  </si>
  <si>
    <t xml:space="preserve">Scenario narrative: base</t>
  </si>
  <si>
    <t xml:space="preserve">Freight rates normalise from the early-2026 spike while volumes grow with China's export base. Revenue dips 3% in FY2026, then grows 2-3%. Forwarding stays a thin-spread agency business. Air and rail gains (H1-2026 air +88%, rail off a small base) and Southeast Asia/Middle East expansion roughly offset a slow fade in local-government logistics subsidies (RMB1.62bn FY2025 vs 1.90bn FY2024). Pre-lease EBITDA margin holds near 5.0%, which gives owner FCF of about RMB1.6-1.9bn a year. DHL-Sinotrans keeps paying about RMB1.4-1.5bn a year to Sinotrans. The payout ratio stays around 65%.</t>
  </si>
  <si>
    <t xml:space="preserve">Scenario narrative: bull</t>
  </si>
  <si>
    <t xml:space="preserve">The 'new carrier' transformation works: controllable capacity, industry-specific contract logistics (auto/new energy, electronics, chemicals) and overseas networks push direct-customer share and mix up. The China-Europe/China-Asia rail express becomes a structural hedge against ocean volatility. Trade lanes re-route rather than shrink under US tariffs. The REIT platform recycles warehouse capital at a premium to book. Revenue grows 4-5% mid-cycle and margin steps up to 5.8%, still well below global peers like DSV and K+N.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</si>
  <si>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</si>
  <si>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</si>
  <si>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</si>
  <si>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</si>
  <si>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</si>
  <si>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</si>
  <si>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</si>
  <si>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</si>
  <si>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</si>
  <si>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</si>
  <si>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</si>
  <si>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</si>
  <si>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</si>
  <si>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</si>
  <si>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</si>
  <si>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</si>
  <si>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</si>
  <si>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</si>
  <si>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</si>
  <si>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</si>
  <si>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</si>
  <si>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</si>
  <si>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</si>
  <si>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</si>
  <si>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</si>
  <si>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</si>
  <si>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</si>
  <si>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</si>
  <si>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</si>
  <si>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</si>
  <si>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</si>
  <si>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</si>
  <si>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</si>
  <si>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</si>
  <si>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</si>
  <si>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</si>
  <si>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</si>
  <si>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</si>
  <si>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</si>
  <si>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</si>
  <si>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</si>
  <si>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</si>
  <si>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</si>
  <si>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</si>
  <si>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</si>
  <si>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</si>
  <si>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</si>
  <si>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</si>
  <si>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</si>
  <si>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</si>
  <si>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</si>
  <si>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</si>
  <si>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</si>
  <si>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</si>
  <si>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</si>
  <si>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</si>
  <si>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</si>
  <si>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</si>
  <si>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</si>
  <si>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</si>
  <si>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</si>
  <si>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</si>
  <si>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</si>
  <si>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</si>
  <si>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</si>
  <si>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</si>
  <si>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</si>
  <si>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</si>
  <si>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</si>
  <si>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</si>
  <si>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</si>
  <si>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</si>
  <si>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0598.HK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</si>
  <si>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</si>
  <si>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</si>
  <si>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</si>
  <si>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</si>
  <si>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</si>
  <si>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</si>
  <si>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</si>
  <si>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</si>
  <si>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</si>
  <si>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</si>
  <si>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</si>
  <si>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</si>
  <si>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</si>
  <si>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</si>
  <si>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</si>
  <si>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</si>
  <si>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</si>
  <si>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</si>
  <si>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</si>
  <si>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</si>
  <si>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</si>
  <si>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</si>
  <si>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</si>
  <si>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</si>
  <si>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</si>
  <si>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</si>
  <si>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</si>
  <si>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</si>
  <si>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</si>
  <si>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</si>
  <si>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0598.HK owner-FCF component DCF: base case (millions, CNY)</t>
  </si>
  <si>
    <t xml:space="preserve">0598.HK owner-FCF component DCF: bull case (millions, CNY)</t>
  </si>
  <si>
    <t xml:space="preserve">0598.HK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</si>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</sst>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4.615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77311.837</v>
      </c>
      <c r="C2" s="0" t="n">
        <v>71767.22</v>
      </c>
      <c r="D2" s="0" t="n">
        <v>5544.617</v>
      </c>
      <c r="E2" s="0" t="n">
        <v>7.1718</v>
      </c>
      <c r="F2" s="0" t="n">
        <v>4317.999</v>
      </c>
      <c r="G2" s="0" t="n">
        <v>5.5852</v>
      </c>
      <c r="I2" s="0" t="n">
        <v>2704.106</v>
      </c>
      <c r="J2" s="0" t="n">
        <v>3.4977</v>
      </c>
      <c r="K2" s="0" t="n">
        <v>0.45</v>
      </c>
      <c r="L2" s="0" t="n">
        <v>2013.393</v>
      </c>
      <c r="M2" s="0" t="n">
        <v>2585.734</v>
      </c>
      <c r="N2" s="0" t="n">
        <v>-572.341</v>
      </c>
      <c r="O2" s="0" t="n">
        <v>23236.402</v>
      </c>
      <c r="P2" s="0" t="n">
        <v>61494.222</v>
      </c>
      <c r="Q2" s="0" t="n">
        <v>33640.781</v>
      </c>
      <c r="R2" s="0" t="n">
        <v>15404.791</v>
      </c>
      <c r="S2" s="0" t="n">
        <v>15528.433</v>
      </c>
      <c r="T2" s="0" t="n">
        <v>6049.167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77650.091</v>
      </c>
      <c r="C3" s="0" t="n">
        <v>73422.167</v>
      </c>
      <c r="D3" s="0" t="n">
        <v>4227.924</v>
      </c>
      <c r="E3" s="0" t="n">
        <v>5.4448</v>
      </c>
      <c r="F3" s="0" t="n">
        <v>3371.589</v>
      </c>
      <c r="G3" s="0" t="n">
        <v>4.342</v>
      </c>
      <c r="I3" s="0" t="n">
        <v>2803.495</v>
      </c>
      <c r="J3" s="0" t="n">
        <v>3.6104</v>
      </c>
      <c r="K3" s="0" t="n">
        <v>0.38</v>
      </c>
      <c r="L3" s="0" t="n">
        <v>3319.984</v>
      </c>
      <c r="M3" s="0" t="n">
        <v>1920.703</v>
      </c>
      <c r="N3" s="0" t="n">
        <v>1399.281</v>
      </c>
      <c r="O3" s="0" t="n">
        <v>28438.616</v>
      </c>
      <c r="P3" s="0" t="n">
        <v>61886.408</v>
      </c>
      <c r="Q3" s="0" t="n">
        <v>31634.929</v>
      </c>
      <c r="R3" s="0" t="n">
        <v>12916.699</v>
      </c>
      <c r="S3" s="0" t="n">
        <v>10475.5</v>
      </c>
      <c r="T3" s="0" t="n">
        <v>7400.804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84536.841</v>
      </c>
      <c r="C4" s="0" t="n">
        <v>79595.941</v>
      </c>
      <c r="D4" s="0" t="n">
        <v>4940.9</v>
      </c>
      <c r="E4" s="0" t="n">
        <v>5.8447</v>
      </c>
      <c r="F4" s="0" t="n">
        <v>3379.477</v>
      </c>
      <c r="G4" s="0" t="n">
        <v>3.9976</v>
      </c>
      <c r="I4" s="0" t="n">
        <v>2754.423</v>
      </c>
      <c r="J4" s="0" t="n">
        <v>3.2583</v>
      </c>
      <c r="K4" s="0" t="n">
        <v>0.37</v>
      </c>
      <c r="L4" s="0" t="n">
        <v>3956.385</v>
      </c>
      <c r="M4" s="0" t="n">
        <v>1813.011</v>
      </c>
      <c r="N4" s="0" t="n">
        <v>2143.374</v>
      </c>
      <c r="O4" s="0" t="n">
        <v>30448.005</v>
      </c>
      <c r="P4" s="0" t="n">
        <v>65818.699</v>
      </c>
      <c r="Q4" s="0" t="n">
        <v>33567.92</v>
      </c>
      <c r="R4" s="0" t="n">
        <v>13010.48</v>
      </c>
      <c r="S4" s="0" t="n">
        <v>11369.323</v>
      </c>
      <c r="T4" s="0" t="n">
        <v>7400.804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124345.531</v>
      </c>
      <c r="C5" s="0" t="n">
        <v>118717.656</v>
      </c>
      <c r="D5" s="0" t="n">
        <v>5627.875</v>
      </c>
      <c r="E5" s="0" t="n">
        <v>4.526</v>
      </c>
      <c r="F5" s="0" t="n">
        <v>4867.288</v>
      </c>
      <c r="G5" s="0" t="n">
        <v>3.9143</v>
      </c>
      <c r="I5" s="0" t="n">
        <v>3713.405</v>
      </c>
      <c r="J5" s="0" t="n">
        <v>2.9864</v>
      </c>
      <c r="K5" s="0" t="n">
        <v>0.5</v>
      </c>
      <c r="L5" s="0" t="n">
        <v>4164.9</v>
      </c>
      <c r="M5" s="0" t="n">
        <v>1446.897</v>
      </c>
      <c r="N5" s="0" t="n">
        <v>2718.003</v>
      </c>
      <c r="O5" s="0" t="n">
        <v>33101.217</v>
      </c>
      <c r="P5" s="0" t="n">
        <v>74302.892</v>
      </c>
      <c r="Q5" s="0" t="n">
        <v>39254.829</v>
      </c>
      <c r="R5" s="0" t="n">
        <v>13345.324</v>
      </c>
      <c r="S5" s="0" t="n">
        <v>14495.229</v>
      </c>
      <c r="T5" s="0" t="n">
        <v>7400.804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108816.723</v>
      </c>
      <c r="C6" s="0" t="n">
        <v>102782.669</v>
      </c>
      <c r="D6" s="0" t="n">
        <v>6034.054</v>
      </c>
      <c r="E6" s="0" t="n">
        <v>5.5452</v>
      </c>
      <c r="F6" s="0" t="n">
        <v>5203.876</v>
      </c>
      <c r="G6" s="0" t="n">
        <v>4.7822</v>
      </c>
      <c r="I6" s="0" t="n">
        <v>4068.26</v>
      </c>
      <c r="J6" s="0" t="n">
        <v>3.7386</v>
      </c>
      <c r="K6" s="0" t="n">
        <v>0.55</v>
      </c>
      <c r="L6" s="0" t="n">
        <v>5118.248</v>
      </c>
      <c r="M6" s="0" t="n">
        <v>1558.249</v>
      </c>
      <c r="N6" s="0" t="n">
        <v>3559.999</v>
      </c>
      <c r="O6" s="0" t="n">
        <v>34866.026</v>
      </c>
      <c r="P6" s="0" t="n">
        <v>77825.771</v>
      </c>
      <c r="Q6" s="0" t="n">
        <v>40957.327</v>
      </c>
      <c r="R6" s="0" t="n">
        <v>13154.511</v>
      </c>
      <c r="S6" s="0" t="n">
        <v>16308.894</v>
      </c>
      <c r="T6" s="0" t="n">
        <v>7355.105</v>
      </c>
      <c r="U6" s="0" t="n">
        <v>30.116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101704.563</v>
      </c>
      <c r="C7" s="0" t="n">
        <v>95891.214</v>
      </c>
      <c r="D7" s="0" t="n">
        <v>5813.349</v>
      </c>
      <c r="E7" s="0" t="n">
        <v>5.7159</v>
      </c>
      <c r="F7" s="0" t="n">
        <v>5473.439</v>
      </c>
      <c r="G7" s="0" t="n">
        <v>5.3817</v>
      </c>
      <c r="I7" s="0" t="n">
        <v>4221.842</v>
      </c>
      <c r="J7" s="0" t="n">
        <v>4.1511</v>
      </c>
      <c r="K7" s="0" t="n">
        <v>0.5827</v>
      </c>
      <c r="L7" s="0" t="n">
        <v>3837.121</v>
      </c>
      <c r="M7" s="0" t="n">
        <v>1611.008</v>
      </c>
      <c r="N7" s="0" t="n">
        <v>2226.113</v>
      </c>
      <c r="O7" s="0" t="n">
        <v>37801.725</v>
      </c>
      <c r="P7" s="0" t="n">
        <v>75886.622</v>
      </c>
      <c r="Q7" s="0" t="n">
        <v>35767.341</v>
      </c>
      <c r="R7" s="0" t="n">
        <v>10175.796</v>
      </c>
      <c r="S7" s="0" t="n">
        <v>13964.178</v>
      </c>
      <c r="T7" s="0" t="n">
        <v>7294.217</v>
      </c>
      <c r="U7" s="0" t="n">
        <v>30.048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105620.773</v>
      </c>
      <c r="C8" s="0" t="n">
        <v>100077.475</v>
      </c>
      <c r="D8" s="0" t="n">
        <v>5543.298</v>
      </c>
      <c r="E8" s="0" t="n">
        <v>5.2483</v>
      </c>
      <c r="F8" s="0" t="n">
        <v>4939.813</v>
      </c>
      <c r="G8" s="0" t="n">
        <v>4.6769</v>
      </c>
      <c r="I8" s="0" t="n">
        <v>3917.651</v>
      </c>
      <c r="J8" s="0" t="n">
        <v>3.7092</v>
      </c>
      <c r="K8" s="0" t="n">
        <v>0.5396</v>
      </c>
      <c r="L8" s="0" t="n">
        <v>4111.26</v>
      </c>
      <c r="M8" s="0" t="n">
        <v>1554.692</v>
      </c>
      <c r="N8" s="0" t="n">
        <v>2556.568</v>
      </c>
      <c r="O8" s="0" t="n">
        <v>39567.595</v>
      </c>
      <c r="P8" s="0" t="n">
        <v>77195.5</v>
      </c>
      <c r="Q8" s="0" t="n">
        <v>35154.822</v>
      </c>
      <c r="R8" s="0" t="n">
        <v>9522.662</v>
      </c>
      <c r="S8" s="0" t="n">
        <v>13467.665</v>
      </c>
      <c r="T8" s="0" t="n">
        <v>7294.217</v>
      </c>
      <c r="U8" s="0" t="n">
        <v>-14.31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96808.664</v>
      </c>
      <c r="C9" s="0" t="n">
        <v>91304.873</v>
      </c>
      <c r="D9" s="0" t="n">
        <v>5503.791</v>
      </c>
      <c r="E9" s="0" t="n">
        <v>5.6852</v>
      </c>
      <c r="F9" s="0" t="n">
        <v>5157.607</v>
      </c>
      <c r="G9" s="0" t="n">
        <v>5.3276</v>
      </c>
      <c r="I9" s="0" t="n">
        <v>4021.797</v>
      </c>
      <c r="J9" s="0" t="n">
        <v>4.1544</v>
      </c>
      <c r="K9" s="0" t="n">
        <v>0.5598</v>
      </c>
      <c r="L9" s="0" t="n">
        <v>3085.506</v>
      </c>
      <c r="M9" s="0" t="n">
        <v>1652.519</v>
      </c>
      <c r="N9" s="0" t="n">
        <v>1432.987</v>
      </c>
      <c r="O9" s="0" t="n">
        <v>41289.564</v>
      </c>
      <c r="P9" s="0" t="n">
        <v>78347.869</v>
      </c>
      <c r="Q9" s="0" t="n">
        <v>34303.421</v>
      </c>
      <c r="R9" s="0" t="n">
        <v>8963.438</v>
      </c>
      <c r="S9" s="0" t="n">
        <v>17009.624</v>
      </c>
      <c r="T9" s="0" t="n">
        <v>7173.751</v>
      </c>
      <c r="U9" s="0" t="n">
        <v>-45.853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4.615</v>
      </c>
    </row>
    <row r="3" customFormat="false" ht="15" hidden="false" customHeight="false" outlineLevel="0" collapsed="false">
      <c r="A3" s="0" t="s">
        <v>75</v>
      </c>
      <c r="B3" s="3" t="n">
        <v>7173.751</v>
      </c>
    </row>
    <row r="4" customFormat="false" ht="15" hidden="false" customHeight="false" outlineLevel="0" collapsed="false">
      <c r="A4" s="0" t="s">
        <v>76</v>
      </c>
      <c r="B4" s="3" t="n">
        <v>-5501</v>
      </c>
    </row>
    <row r="5" customFormat="false" ht="15" hidden="false" customHeight="false" outlineLevel="0" collapsed="false">
      <c r="A5" s="0" t="s">
        <v>77</v>
      </c>
      <c r="B5" s="3" t="n">
        <v>14556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96808.664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-6</v>
      </c>
      <c r="D13" s="3" t="n">
        <v>-2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4.9</v>
      </c>
      <c r="D14" s="3" t="n">
        <v>4.6</v>
      </c>
      <c r="E14" s="3" t="n">
        <v>4.4</v>
      </c>
      <c r="F14" s="3" t="n">
        <v>4.2</v>
      </c>
      <c r="G14" s="3" t="n">
        <v>4</v>
      </c>
      <c r="H14" s="3" t="n">
        <v>4</v>
      </c>
      <c r="I14" s="3" t="n">
        <v>4</v>
      </c>
      <c r="J14" s="3" t="n">
        <v>4</v>
      </c>
      <c r="K14" s="3" t="n">
        <v>4</v>
      </c>
      <c r="L14" s="3" t="n">
        <v>4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1.05</v>
      </c>
      <c r="D16" s="3" t="n">
        <v>1.05</v>
      </c>
      <c r="E16" s="3" t="n">
        <v>1.05</v>
      </c>
      <c r="F16" s="3" t="n">
        <v>1.05</v>
      </c>
      <c r="G16" s="3" t="n">
        <v>1.05</v>
      </c>
      <c r="H16" s="3" t="n">
        <v>1.05</v>
      </c>
      <c r="I16" s="3" t="n">
        <v>1.05</v>
      </c>
      <c r="J16" s="3" t="n">
        <v>1.05</v>
      </c>
      <c r="K16" s="3" t="n">
        <v>1.05</v>
      </c>
      <c r="L16" s="3" t="n">
        <v>1.05</v>
      </c>
    </row>
    <row r="17" customFormat="false" ht="15" hidden="false" customHeight="false" outlineLevel="0" collapsed="false">
      <c r="A17" s="0" t="s">
        <v>99</v>
      </c>
      <c r="C17" s="3" t="n">
        <v>1.8</v>
      </c>
      <c r="D17" s="3" t="n">
        <v>1.8</v>
      </c>
      <c r="E17" s="3" t="n">
        <v>1.8</v>
      </c>
      <c r="F17" s="3" t="n">
        <v>1.8</v>
      </c>
      <c r="G17" s="3" t="n">
        <v>1.8</v>
      </c>
      <c r="H17" s="3" t="n">
        <v>1.8</v>
      </c>
      <c r="I17" s="3" t="n">
        <v>1.8</v>
      </c>
      <c r="J17" s="3" t="n">
        <v>1.8</v>
      </c>
      <c r="K17" s="3" t="n">
        <v>1.8</v>
      </c>
      <c r="L17" s="3" t="n">
        <v>1.8</v>
      </c>
    </row>
    <row r="18" customFormat="false" ht="15" hidden="false" customHeight="false" outlineLevel="0" collapsed="false">
      <c r="A18" s="0" t="s">
        <v>100</v>
      </c>
      <c r="C18" s="3" t="n">
        <v>1.7</v>
      </c>
      <c r="D18" s="3" t="n">
        <v>1.7</v>
      </c>
      <c r="E18" s="3" t="n">
        <v>1.7</v>
      </c>
      <c r="F18" s="3" t="n">
        <v>1.7</v>
      </c>
      <c r="G18" s="3" t="n">
        <v>1.7</v>
      </c>
      <c r="H18" s="3" t="n">
        <v>1.7</v>
      </c>
      <c r="I18" s="3" t="n">
        <v>1.7</v>
      </c>
      <c r="J18" s="3" t="n">
        <v>1.7</v>
      </c>
      <c r="K18" s="3" t="n">
        <v>1.7</v>
      </c>
      <c r="L18" s="3" t="n">
        <v>1.7</v>
      </c>
    </row>
    <row r="19" customFormat="false" ht="15" hidden="false" customHeight="false" outlineLevel="0" collapsed="false">
      <c r="A19" s="0" t="s">
        <v>101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102</v>
      </c>
      <c r="B20" s="3" t="n">
        <v>8.5</v>
      </c>
    </row>
    <row r="21" customFormat="false" ht="15" hidden="false" customHeight="false" outlineLevel="0" collapsed="false">
      <c r="A21" s="0" t="s">
        <v>103</v>
      </c>
      <c r="B21" s="3" t="n">
        <v>1</v>
      </c>
    </row>
    <row r="22" customFormat="false" ht="15" hidden="false" customHeight="false" outlineLevel="0" collapsed="false">
      <c r="A22" s="0" t="s">
        <v>104</v>
      </c>
      <c r="B22" s="3" t="n">
        <v>9</v>
      </c>
    </row>
    <row r="23" customFormat="false" ht="15" hidden="false" customHeight="false" outlineLevel="0" collapsed="false">
      <c r="A23" s="0" t="s">
        <v>105</v>
      </c>
      <c r="B23" s="3" t="n">
        <v>-2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-3</v>
      </c>
      <c r="D27" s="3" t="n">
        <v>3</v>
      </c>
      <c r="E27" s="3" t="n">
        <v>3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96</v>
      </c>
      <c r="C28" s="3" t="n">
        <v>5.2</v>
      </c>
      <c r="D28" s="3" t="n">
        <v>5.1</v>
      </c>
      <c r="E28" s="3" t="n">
        <v>5</v>
      </c>
      <c r="F28" s="3" t="n">
        <v>5</v>
      </c>
      <c r="G28" s="3" t="n">
        <v>5</v>
      </c>
      <c r="H28" s="3" t="n">
        <v>5</v>
      </c>
      <c r="I28" s="3" t="n">
        <v>5</v>
      </c>
      <c r="J28" s="3" t="n">
        <v>5</v>
      </c>
      <c r="K28" s="3" t="n">
        <v>5</v>
      </c>
      <c r="L28" s="3" t="n">
        <v>5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1.05</v>
      </c>
      <c r="D30" s="3" t="n">
        <v>1.05</v>
      </c>
      <c r="E30" s="3" t="n">
        <v>1.05</v>
      </c>
      <c r="F30" s="3" t="n">
        <v>1.05</v>
      </c>
      <c r="G30" s="3" t="n">
        <v>1.05</v>
      </c>
      <c r="H30" s="3" t="n">
        <v>1.05</v>
      </c>
      <c r="I30" s="3" t="n">
        <v>1.05</v>
      </c>
      <c r="J30" s="3" t="n">
        <v>1.05</v>
      </c>
      <c r="K30" s="3" t="n">
        <v>1.05</v>
      </c>
      <c r="L30" s="3" t="n">
        <v>1.05</v>
      </c>
    </row>
    <row r="31" customFormat="false" ht="15" hidden="false" customHeight="false" outlineLevel="0" collapsed="false">
      <c r="A31" s="0" t="s">
        <v>99</v>
      </c>
      <c r="C31" s="3" t="n">
        <v>1.8</v>
      </c>
      <c r="D31" s="3" t="n">
        <v>1.8</v>
      </c>
      <c r="E31" s="3" t="n">
        <v>1.8</v>
      </c>
      <c r="F31" s="3" t="n">
        <v>1.8</v>
      </c>
      <c r="G31" s="3" t="n">
        <v>1.8</v>
      </c>
      <c r="H31" s="3" t="n">
        <v>1.8</v>
      </c>
      <c r="I31" s="3" t="n">
        <v>1.8</v>
      </c>
      <c r="J31" s="3" t="n">
        <v>1.8</v>
      </c>
      <c r="K31" s="3" t="n">
        <v>1.8</v>
      </c>
      <c r="L31" s="3" t="n">
        <v>1.8</v>
      </c>
    </row>
    <row r="32" customFormat="false" ht="15" hidden="false" customHeight="false" outlineLevel="0" collapsed="false">
      <c r="A32" s="0" t="s">
        <v>100</v>
      </c>
      <c r="C32" s="3" t="n">
        <v>1.75</v>
      </c>
      <c r="D32" s="3" t="n">
        <v>1.75</v>
      </c>
      <c r="E32" s="3" t="n">
        <v>1.75</v>
      </c>
      <c r="F32" s="3" t="n">
        <v>1.75</v>
      </c>
      <c r="G32" s="3" t="n">
        <v>1.75</v>
      </c>
      <c r="H32" s="3" t="n">
        <v>1.75</v>
      </c>
      <c r="I32" s="3" t="n">
        <v>1.75</v>
      </c>
      <c r="J32" s="3" t="n">
        <v>1.75</v>
      </c>
      <c r="K32" s="3" t="n">
        <v>1.75</v>
      </c>
      <c r="L32" s="3" t="n">
        <v>1.75</v>
      </c>
    </row>
    <row r="33" customFormat="false" ht="15" hidden="false" customHeight="false" outlineLevel="0" collapsed="false">
      <c r="A33" s="0" t="s">
        <v>101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102</v>
      </c>
      <c r="B34" s="3" t="n">
        <v>8.5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11</v>
      </c>
    </row>
    <row r="37" customFormat="false" ht="15" hidden="false" customHeight="false" outlineLevel="0" collapsed="false">
      <c r="A37" s="0" t="s">
        <v>105</v>
      </c>
      <c r="B37" s="3" t="n">
        <v>-2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1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96</v>
      </c>
      <c r="C42" s="3" t="n">
        <v>5.3</v>
      </c>
      <c r="D42" s="3" t="n">
        <v>5.4</v>
      </c>
      <c r="E42" s="3" t="n">
        <v>5.5</v>
      </c>
      <c r="F42" s="3" t="n">
        <v>5.6</v>
      </c>
      <c r="G42" s="3" t="n">
        <v>5.7</v>
      </c>
      <c r="H42" s="3" t="n">
        <v>5.8</v>
      </c>
      <c r="I42" s="3" t="n">
        <v>5.8</v>
      </c>
      <c r="J42" s="3" t="n">
        <v>5.8</v>
      </c>
      <c r="K42" s="3" t="n">
        <v>5.8</v>
      </c>
      <c r="L42" s="3" t="n">
        <v>5.8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1.05</v>
      </c>
      <c r="D44" s="3" t="n">
        <v>1.05</v>
      </c>
      <c r="E44" s="3" t="n">
        <v>1.05</v>
      </c>
      <c r="F44" s="3" t="n">
        <v>1.05</v>
      </c>
      <c r="G44" s="3" t="n">
        <v>1.05</v>
      </c>
      <c r="H44" s="3" t="n">
        <v>1.05</v>
      </c>
      <c r="I44" s="3" t="n">
        <v>1.05</v>
      </c>
      <c r="J44" s="3" t="n">
        <v>1.05</v>
      </c>
      <c r="K44" s="3" t="n">
        <v>1.05</v>
      </c>
      <c r="L44" s="3" t="n">
        <v>1.05</v>
      </c>
    </row>
    <row r="45" customFormat="false" ht="15" hidden="false" customHeight="false" outlineLevel="0" collapsed="false">
      <c r="A45" s="0" t="s">
        <v>99</v>
      </c>
      <c r="C45" s="3" t="n">
        <v>1.8</v>
      </c>
      <c r="D45" s="3" t="n">
        <v>1.8</v>
      </c>
      <c r="E45" s="3" t="n">
        <v>1.8</v>
      </c>
      <c r="F45" s="3" t="n">
        <v>1.8</v>
      </c>
      <c r="G45" s="3" t="n">
        <v>1.8</v>
      </c>
      <c r="H45" s="3" t="n">
        <v>1.8</v>
      </c>
      <c r="I45" s="3" t="n">
        <v>1.8</v>
      </c>
      <c r="J45" s="3" t="n">
        <v>1.8</v>
      </c>
      <c r="K45" s="3" t="n">
        <v>1.8</v>
      </c>
      <c r="L45" s="3" t="n">
        <v>1.8</v>
      </c>
    </row>
    <row r="46" customFormat="false" ht="15" hidden="false" customHeight="false" outlineLevel="0" collapsed="false">
      <c r="A46" s="0" t="s">
        <v>100</v>
      </c>
      <c r="C46" s="3" t="n">
        <v>1.8</v>
      </c>
      <c r="D46" s="3" t="n">
        <v>1.8</v>
      </c>
      <c r="E46" s="3" t="n">
        <v>1.8</v>
      </c>
      <c r="F46" s="3" t="n">
        <v>1.8</v>
      </c>
      <c r="G46" s="3" t="n">
        <v>1.8</v>
      </c>
      <c r="H46" s="3" t="n">
        <v>1.8</v>
      </c>
      <c r="I46" s="3" t="n">
        <v>1.8</v>
      </c>
      <c r="J46" s="3" t="n">
        <v>1.8</v>
      </c>
      <c r="K46" s="3" t="n">
        <v>1.8</v>
      </c>
      <c r="L46" s="3" t="n">
        <v>1.8</v>
      </c>
    </row>
    <row r="47" customFormat="false" ht="15" hidden="false" customHeight="false" outlineLevel="0" collapsed="false">
      <c r="A47" s="0" t="s">
        <v>101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102</v>
      </c>
      <c r="B48" s="3" t="n">
        <v>8.5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-2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-6</v>
      </c>
      <c r="D5" s="4" t="n">
        <f aca="false">Assumptions!D13</f>
        <v>-2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96808.664</v>
      </c>
      <c r="C6" s="0" t="n">
        <f aca="false">B6*(1+C5/100)</f>
        <v>91000.14416</v>
      </c>
      <c r="D6" s="0" t="n">
        <f aca="false">C6*(1+D5/100)</f>
        <v>89180.1412768</v>
      </c>
      <c r="E6" s="0" t="n">
        <f aca="false">D6*(1+E5/100)</f>
        <v>90071.942689568</v>
      </c>
      <c r="F6" s="0" t="n">
        <f aca="false">E6*(1+F5/100)</f>
        <v>91873.3815433594</v>
      </c>
      <c r="G6" s="0" t="n">
        <f aca="false">F6*(1+G5/100)</f>
        <v>93710.8491742266</v>
      </c>
      <c r="H6" s="0" t="n">
        <f aca="false">G6*(1+H5/100)</f>
        <v>95585.0661577111</v>
      </c>
      <c r="I6" s="0" t="n">
        <f aca="false">H6*(1+I5/100)</f>
        <v>97018.8421500767</v>
      </c>
      <c r="J6" s="0" t="n">
        <f aca="false">I6*(1+J5/100)</f>
        <v>98474.1247823279</v>
      </c>
      <c r="K6" s="0" t="n">
        <f aca="false">J6*(1+K5/100)</f>
        <v>99951.2366540628</v>
      </c>
      <c r="L6" s="0" t="n">
        <f aca="false">K6*(1+L5/100)</f>
        <v>101450.505203874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4.9</v>
      </c>
      <c r="D7" s="4" t="n">
        <f aca="false">Assumptions!D14</f>
        <v>4.6</v>
      </c>
      <c r="E7" s="4" t="n">
        <f aca="false">Assumptions!E14</f>
        <v>4.4</v>
      </c>
      <c r="F7" s="4" t="n">
        <f aca="false">Assumptions!F14</f>
        <v>4.2</v>
      </c>
      <c r="G7" s="4" t="n">
        <f aca="false">Assumptions!G14</f>
        <v>4</v>
      </c>
      <c r="H7" s="4" t="n">
        <f aca="false">Assumptions!H14</f>
        <v>4</v>
      </c>
      <c r="I7" s="4" t="n">
        <f aca="false">Assumptions!I14</f>
        <v>4</v>
      </c>
      <c r="J7" s="4" t="n">
        <f aca="false">Assumptions!J14</f>
        <v>4</v>
      </c>
      <c r="K7" s="4" t="n">
        <f aca="false">Assumptions!K14</f>
        <v>4</v>
      </c>
      <c r="L7" s="4" t="n">
        <f aca="false">Assumptions!L14</f>
        <v>4</v>
      </c>
    </row>
    <row r="8" customFormat="false" ht="15" hidden="false" customHeight="false" outlineLevel="0" collapsed="false">
      <c r="A8" s="0" t="s">
        <v>44</v>
      </c>
      <c r="C8" s="0" t="n">
        <f aca="false">C6*C7/100</f>
        <v>4459.00706384</v>
      </c>
      <c r="D8" s="0" t="n">
        <f aca="false">D6*D7/100</f>
        <v>4102.2864987328</v>
      </c>
      <c r="E8" s="0" t="n">
        <f aca="false">E6*E7/100</f>
        <v>3963.16547834099</v>
      </c>
      <c r="F8" s="0" t="n">
        <f aca="false">F6*F7/100</f>
        <v>3858.68202482109</v>
      </c>
      <c r="G8" s="0" t="n">
        <f aca="false">G6*G7/100</f>
        <v>3748.43396696906</v>
      </c>
      <c r="H8" s="0" t="n">
        <f aca="false">H6*H7/100</f>
        <v>3823.40264630844</v>
      </c>
      <c r="I8" s="0" t="n">
        <f aca="false">I6*I7/100</f>
        <v>3880.75368600307</v>
      </c>
      <c r="J8" s="0" t="n">
        <f aca="false">J6*J7/100</f>
        <v>3938.96499129312</v>
      </c>
      <c r="K8" s="0" t="n">
        <f aca="false">K6*K7/100</f>
        <v>3998.04946616251</v>
      </c>
      <c r="L8" s="0" t="n">
        <f aca="false">L6*L7/100</f>
        <v>4058.02020815495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3503.50555016</v>
      </c>
      <c r="D11" s="0" t="n">
        <f aca="false">D8+D10+D24</f>
        <v>3165.8950153264</v>
      </c>
      <c r="E11" s="0" t="n">
        <f aca="false">E8+E10+E24</f>
        <v>3017.41008010053</v>
      </c>
      <c r="F11" s="0" t="n">
        <f aca="false">F8+F10+F24</f>
        <v>2894.01151861582</v>
      </c>
      <c r="G11" s="0" t="n">
        <f aca="false">G8+G10+G24</f>
        <v>2764.47005063968</v>
      </c>
      <c r="H11" s="0" t="n">
        <f aca="false">H8+H10+H24</f>
        <v>2819.75945165248</v>
      </c>
      <c r="I11" s="0" t="n">
        <f aca="false">I8+I10+I24</f>
        <v>2862.05584342726</v>
      </c>
      <c r="J11" s="0" t="n">
        <f aca="false">J8+J10+J24</f>
        <v>2904.98668107867</v>
      </c>
      <c r="K11" s="0" t="n">
        <f aca="false">K8+K10+K24</f>
        <v>2948.56148129485</v>
      </c>
      <c r="L11" s="0" t="n">
        <f aca="false">L8+L10+L24</f>
        <v>2992.78990351427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-1638.00259488</v>
      </c>
      <c r="D12" s="4" t="n">
        <f aca="false">-D6*Assumptions!D17/100</f>
        <v>-1605.2425429824</v>
      </c>
      <c r="E12" s="4" t="n">
        <f aca="false">-E6*Assumptions!E17/100</f>
        <v>-1621.29496841222</v>
      </c>
      <c r="F12" s="4" t="n">
        <f aca="false">-F6*Assumptions!F17/100</f>
        <v>-1653.72086778047</v>
      </c>
      <c r="G12" s="4" t="n">
        <f aca="false">-G6*Assumptions!G17/100</f>
        <v>-1686.79528513608</v>
      </c>
      <c r="H12" s="4" t="n">
        <f aca="false">-H6*Assumptions!H17/100</f>
        <v>-1720.5311908388</v>
      </c>
      <c r="I12" s="4" t="n">
        <f aca="false">-I6*Assumptions!I17/100</f>
        <v>-1746.33915870138</v>
      </c>
      <c r="J12" s="4" t="n">
        <f aca="false">-J6*Assumptions!J17/100</f>
        <v>-1772.5342460819</v>
      </c>
      <c r="K12" s="4" t="n">
        <f aca="false">-K6*Assumptions!K17/100</f>
        <v>-1799.12225977313</v>
      </c>
      <c r="L12" s="4" t="n">
        <f aca="false">-L6*Assumptions!L17/100</f>
        <v>-1826.10909366973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1865.50295528</v>
      </c>
      <c r="D13" s="0" t="n">
        <f aca="false">D11+D12</f>
        <v>1560.652472344</v>
      </c>
      <c r="E13" s="0" t="n">
        <f aca="false">E11+E12</f>
        <v>1396.1151116883</v>
      </c>
      <c r="F13" s="0" t="n">
        <f aca="false">F11+F12</f>
        <v>1240.29065083535</v>
      </c>
      <c r="G13" s="0" t="n">
        <f aca="false">G11+G12</f>
        <v>1077.67476550361</v>
      </c>
      <c r="H13" s="0" t="n">
        <f aca="false">H11+H12</f>
        <v>1099.22826081368</v>
      </c>
      <c r="I13" s="0" t="n">
        <f aca="false">I11+I12</f>
        <v>1115.71668472588</v>
      </c>
      <c r="J13" s="0" t="n">
        <f aca="false">J11+J12</f>
        <v>1132.45243499677</v>
      </c>
      <c r="K13" s="0" t="n">
        <f aca="false">K11+K12</f>
        <v>1149.43922152172</v>
      </c>
      <c r="L13" s="0" t="n">
        <f aca="false">L11+L12</f>
        <v>1166.68080984455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1361.8171573544</v>
      </c>
      <c r="D15" s="0" t="n">
        <f aca="false">D13-MAX(0,D13)*D14/100</f>
        <v>1139.27630481112</v>
      </c>
      <c r="E15" s="0" t="n">
        <f aca="false">E13-MAX(0,E13)*E14/100</f>
        <v>1019.16403153246</v>
      </c>
      <c r="F15" s="0" t="n">
        <f aca="false">F13-MAX(0,F13)*F14/100</f>
        <v>905.412175109807</v>
      </c>
      <c r="G15" s="0" t="n">
        <f aca="false">G13-MAX(0,G13)*G14/100</f>
        <v>786.702578817632</v>
      </c>
      <c r="H15" s="0" t="n">
        <f aca="false">H13-MAX(0,H13)*H14/100</f>
        <v>802.436630393984</v>
      </c>
      <c r="I15" s="0" t="n">
        <f aca="false">I13-MAX(0,I13)*I14/100</f>
        <v>814.473179849894</v>
      </c>
      <c r="J15" s="0" t="n">
        <f aca="false">J13-MAX(0,J13)*J14/100</f>
        <v>826.690277547643</v>
      </c>
      <c r="K15" s="0" t="n">
        <f aca="false">K13-MAX(0,K13)*K14/100</f>
        <v>839.090631710857</v>
      </c>
      <c r="L15" s="0" t="n">
        <f aca="false">L13-MAX(0,L13)*L14/100</f>
        <v>851.67699118652</v>
      </c>
    </row>
    <row r="16" customFormat="false" ht="15" hidden="false" customHeight="false" outlineLevel="0" collapsed="false">
      <c r="A16" s="0" t="s">
        <v>117</v>
      </c>
      <c r="C16" s="0" t="n">
        <f aca="false">-C12</f>
        <v>1638.00259488</v>
      </c>
      <c r="D16" s="0" t="n">
        <f aca="false">-D12</f>
        <v>1605.2425429824</v>
      </c>
      <c r="E16" s="0" t="n">
        <f aca="false">-E12</f>
        <v>1621.29496841222</v>
      </c>
      <c r="F16" s="0" t="n">
        <f aca="false">-F12</f>
        <v>1653.72086778047</v>
      </c>
      <c r="G16" s="0" t="n">
        <f aca="false">-G12</f>
        <v>1686.79528513608</v>
      </c>
      <c r="H16" s="0" t="n">
        <f aca="false">-H12</f>
        <v>1720.5311908388</v>
      </c>
      <c r="I16" s="0" t="n">
        <f aca="false">-I12</f>
        <v>1746.33915870138</v>
      </c>
      <c r="J16" s="0" t="n">
        <f aca="false">-J12</f>
        <v>1772.5342460819</v>
      </c>
      <c r="K16" s="0" t="n">
        <f aca="false">-K12</f>
        <v>1799.12225977313</v>
      </c>
      <c r="L16" s="0" t="n">
        <f aca="false">-L12</f>
        <v>1826.10909366973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-1547.00245072</v>
      </c>
      <c r="D17" s="4" t="n">
        <f aca="false">-D6*Assumptions!D18/100</f>
        <v>-1516.0624017056</v>
      </c>
      <c r="E17" s="4" t="n">
        <f aca="false">-E6*Assumptions!E18/100</f>
        <v>-1531.22302572266</v>
      </c>
      <c r="F17" s="4" t="n">
        <f aca="false">-F6*Assumptions!F18/100</f>
        <v>-1561.84748623711</v>
      </c>
      <c r="G17" s="4" t="n">
        <f aca="false">-G6*Assumptions!G18/100</f>
        <v>-1593.08443596185</v>
      </c>
      <c r="H17" s="4" t="n">
        <f aca="false">-H6*Assumptions!H18/100</f>
        <v>-1624.94612468109</v>
      </c>
      <c r="I17" s="4" t="n">
        <f aca="false">-I6*Assumptions!I18/100</f>
        <v>-1649.3203165513</v>
      </c>
      <c r="J17" s="4" t="n">
        <f aca="false">-J6*Assumptions!J18/100</f>
        <v>-1674.06012129957</v>
      </c>
      <c r="K17" s="4" t="n">
        <f aca="false">-K6*Assumptions!K18/100</f>
        <v>-1699.17102311907</v>
      </c>
      <c r="L17" s="4" t="n">
        <f aca="false">-L6*Assumptions!L18/100</f>
        <v>-1724.65858846585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116.1703968</v>
      </c>
      <c r="D18" s="4" t="n">
        <f aca="false">(D6-C6)*Assumptions!$B$23/100</f>
        <v>36.4000576639999</v>
      </c>
      <c r="E18" s="4" t="n">
        <f aca="false">(E6-D6)*Assumptions!$B$23/100</f>
        <v>-17.8360282553601</v>
      </c>
      <c r="F18" s="4" t="n">
        <f aca="false">(F6-E6)*Assumptions!$B$23/100</f>
        <v>-36.0287770758272</v>
      </c>
      <c r="G18" s="4" t="n">
        <f aca="false">(G6-F6)*Assumptions!$B$23/100</f>
        <v>-36.7493526173438</v>
      </c>
      <c r="H18" s="4" t="n">
        <f aca="false">(H6-G6)*Assumptions!$B$23/100</f>
        <v>-37.4843396696905</v>
      </c>
      <c r="I18" s="4" t="n">
        <f aca="false">(I6-H6)*Assumptions!$B$23/100</f>
        <v>-28.6755198473131</v>
      </c>
      <c r="J18" s="4" t="n">
        <f aca="false">(J6-I6)*Assumptions!$B$23/100</f>
        <v>-29.1056526450228</v>
      </c>
      <c r="K18" s="4" t="n">
        <f aca="false">(K6-J6)*Assumptions!$B$23/100</f>
        <v>-29.542237434698</v>
      </c>
      <c r="L18" s="4" t="n">
        <f aca="false">(L6-K6)*Assumptions!$B$23/100</f>
        <v>-29.9853709962187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1568.9876983144</v>
      </c>
      <c r="D19" s="0" t="n">
        <f aca="false">D15+D16+D17+D18</f>
        <v>1264.85650375192</v>
      </c>
      <c r="E19" s="0" t="n">
        <f aca="false">E15+E16+E17+E18</f>
        <v>1091.39994596667</v>
      </c>
      <c r="F19" s="0" t="n">
        <f aca="false">F15+F16+F17+F18</f>
        <v>961.256779577339</v>
      </c>
      <c r="G19" s="0" t="n">
        <f aca="false">G15+G16+G17+G18</f>
        <v>843.664075374515</v>
      </c>
      <c r="H19" s="0" t="n">
        <f aca="false">H15+H16+H17+H18</f>
        <v>860.537356882005</v>
      </c>
      <c r="I19" s="0" t="n">
        <f aca="false">I15+I16+I17+I18</f>
        <v>882.816502152657</v>
      </c>
      <c r="J19" s="0" t="n">
        <f aca="false">J15+J16+J17+J18</f>
        <v>896.058749684947</v>
      </c>
      <c r="K19" s="0" t="n">
        <f aca="false">K15+K16+K17+K18</f>
        <v>909.499630930222</v>
      </c>
      <c r="L19" s="0" t="n">
        <f aca="false">L15+L16+L17+L18</f>
        <v>923.142125394175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1446.07161134968</v>
      </c>
      <c r="D21" s="0" t="n">
        <f aca="false">D19*D20</f>
        <v>1074.43904415207</v>
      </c>
      <c r="E21" s="0" t="n">
        <f aca="false">E19*E20</f>
        <v>854.465856324167</v>
      </c>
      <c r="F21" s="0" t="n">
        <f aca="false">F19*F20</f>
        <v>693.618172721236</v>
      </c>
      <c r="G21" s="0" t="n">
        <f aca="false">G19*G20</f>
        <v>561.074932120691</v>
      </c>
      <c r="H21" s="0" t="n">
        <f aca="false">H19*H20</f>
        <v>527.462148168761</v>
      </c>
      <c r="I21" s="0" t="n">
        <f aca="false">I19*I20</f>
        <v>498.726304963054</v>
      </c>
      <c r="J21" s="0" t="n">
        <f aca="false">J19*J20</f>
        <v>466.550414320276</v>
      </c>
      <c r="K21" s="0" t="n">
        <f aca="false">K19*K20</f>
        <v>436.450387589936</v>
      </c>
      <c r="L21" s="0" t="n">
        <f aca="false">L19*L20</f>
        <v>408.292298068004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1.05</v>
      </c>
      <c r="D23" s="4" t="n">
        <f aca="false">Assumptions!D16</f>
        <v>1.05</v>
      </c>
      <c r="E23" s="4" t="n">
        <f aca="false">Assumptions!E16</f>
        <v>1.05</v>
      </c>
      <c r="F23" s="4" t="n">
        <f aca="false">Assumptions!F16</f>
        <v>1.05</v>
      </c>
      <c r="G23" s="4" t="n">
        <f aca="false">Assumptions!G16</f>
        <v>1.05</v>
      </c>
      <c r="H23" s="4" t="n">
        <f aca="false">Assumptions!H16</f>
        <v>1.05</v>
      </c>
      <c r="I23" s="4" t="n">
        <f aca="false">Assumptions!I16</f>
        <v>1.05</v>
      </c>
      <c r="J23" s="4" t="n">
        <f aca="false">Assumptions!J16</f>
        <v>1.05</v>
      </c>
      <c r="K23" s="4" t="n">
        <f aca="false">Assumptions!K16</f>
        <v>1.05</v>
      </c>
      <c r="L23" s="4" t="n">
        <f aca="false">Assumptions!L16</f>
        <v>1.05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-955.50151368</v>
      </c>
      <c r="D24" s="0" t="n">
        <f aca="false">-D6*D23/100</f>
        <v>-936.3914834064</v>
      </c>
      <c r="E24" s="0" t="n">
        <f aca="false">-E6*E23/100</f>
        <v>-945.755398240464</v>
      </c>
      <c r="F24" s="0" t="n">
        <f aca="false">-F6*F23/100</f>
        <v>-964.670506205274</v>
      </c>
      <c r="G24" s="0" t="n">
        <f aca="false">-G6*G23/100</f>
        <v>-983.963916329379</v>
      </c>
      <c r="H24" s="0" t="n">
        <f aca="false">-H6*H23/100</f>
        <v>-1003.64319465597</v>
      </c>
      <c r="I24" s="0" t="n">
        <f aca="false">-I6*I23/100</f>
        <v>-1018.69784257581</v>
      </c>
      <c r="J24" s="0" t="n">
        <f aca="false">-J6*J23/100</f>
        <v>-1033.97831021444</v>
      </c>
      <c r="K24" s="0" t="n">
        <f aca="false">-K6*K23/100</f>
        <v>-1049.48798486766</v>
      </c>
      <c r="L24" s="0" t="n">
        <f aca="false">-L6*L23/100</f>
        <v>-1065.23030464067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6967.15116977787</v>
      </c>
    </row>
    <row r="31" customFormat="false" ht="15" hidden="false" customHeight="false" outlineLevel="0" collapsed="false">
      <c r="A31" s="0" t="s">
        <v>126</v>
      </c>
      <c r="B31" s="0" t="n">
        <f aca="false">L19</f>
        <v>923.142125394175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12431.6472886416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8308.27912854757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8308.27912854757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3674.63068261204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10641.7818523899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30698.7818523899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5.01536397499732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0.086752757312528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5.01536397499732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6659.81104748655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4.44280573301223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-3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96808.664</v>
      </c>
      <c r="C6" s="0" t="n">
        <f aca="false">B6*(1+C5/100)</f>
        <v>93904.40408</v>
      </c>
      <c r="D6" s="0" t="n">
        <f aca="false">C6*(1+D5/100)</f>
        <v>96721.5362024</v>
      </c>
      <c r="E6" s="0" t="n">
        <f aca="false">D6*(1+E5/100)</f>
        <v>99623.182288472</v>
      </c>
      <c r="F6" s="0" t="n">
        <f aca="false">E6*(1+F5/100)</f>
        <v>102611.877757126</v>
      </c>
      <c r="G6" s="0" t="n">
        <f aca="false">F6*(1+G5/100)</f>
        <v>105690.23408984</v>
      </c>
      <c r="H6" s="0" t="n">
        <f aca="false">G6*(1+H5/100)</f>
        <v>108332.489942086</v>
      </c>
      <c r="I6" s="0" t="n">
        <f aca="false">H6*(1+I5/100)</f>
        <v>111040.802190638</v>
      </c>
      <c r="J6" s="0" t="n">
        <f aca="false">I6*(1+J5/100)</f>
        <v>113261.618234451</v>
      </c>
      <c r="K6" s="0" t="n">
        <f aca="false">J6*(1+K5/100)</f>
        <v>115526.85059914</v>
      </c>
      <c r="L6" s="0" t="n">
        <f aca="false">K6*(1+L5/100)</f>
        <v>117837.387611123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5.2</v>
      </c>
      <c r="D7" s="4" t="n">
        <f aca="false">Assumptions!D28</f>
        <v>5.1</v>
      </c>
      <c r="E7" s="4" t="n">
        <f aca="false">Assumptions!E28</f>
        <v>5</v>
      </c>
      <c r="F7" s="4" t="n">
        <f aca="false">Assumptions!F28</f>
        <v>5</v>
      </c>
      <c r="G7" s="4" t="n">
        <f aca="false">Assumptions!G28</f>
        <v>5</v>
      </c>
      <c r="H7" s="4" t="n">
        <f aca="false">Assumptions!H28</f>
        <v>5</v>
      </c>
      <c r="I7" s="4" t="n">
        <f aca="false">Assumptions!I28</f>
        <v>5</v>
      </c>
      <c r="J7" s="4" t="n">
        <f aca="false">Assumptions!J28</f>
        <v>5</v>
      </c>
      <c r="K7" s="4" t="n">
        <f aca="false">Assumptions!K28</f>
        <v>5</v>
      </c>
      <c r="L7" s="4" t="n">
        <f aca="false">Assumptions!L28</f>
        <v>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4883.02901216</v>
      </c>
      <c r="D8" s="0" t="n">
        <f aca="false">D6*D7/100</f>
        <v>4932.7983463224</v>
      </c>
      <c r="E8" s="0" t="n">
        <f aca="false">E6*E7/100</f>
        <v>4981.1591144236</v>
      </c>
      <c r="F8" s="0" t="n">
        <f aca="false">F6*F7/100</f>
        <v>5130.59388785631</v>
      </c>
      <c r="G8" s="0" t="n">
        <f aca="false">G6*G7/100</f>
        <v>5284.511704492</v>
      </c>
      <c r="H8" s="0" t="n">
        <f aca="false">H6*H7/100</f>
        <v>5416.6244971043</v>
      </c>
      <c r="I8" s="0" t="n">
        <f aca="false">I6*I7/100</f>
        <v>5552.0401095319</v>
      </c>
      <c r="J8" s="0" t="n">
        <f aca="false">J6*J7/100</f>
        <v>5663.08091172254</v>
      </c>
      <c r="K8" s="0" t="n">
        <f aca="false">K6*K7/100</f>
        <v>5776.34252995699</v>
      </c>
      <c r="L8" s="0" t="n">
        <f aca="false">L6*L7/100</f>
        <v>5891.86938055613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3897.03276932</v>
      </c>
      <c r="D11" s="0" t="n">
        <f aca="false">D8+D10+D24</f>
        <v>3917.2222161972</v>
      </c>
      <c r="E11" s="0" t="n">
        <f aca="false">E8+E10+E24</f>
        <v>3935.11570039464</v>
      </c>
      <c r="F11" s="0" t="n">
        <f aca="false">F8+F10+F24</f>
        <v>4053.16917140648</v>
      </c>
      <c r="G11" s="0" t="n">
        <f aca="false">G8+G10+G24</f>
        <v>4174.76424654868</v>
      </c>
      <c r="H11" s="0" t="n">
        <f aca="false">H8+H10+H24</f>
        <v>4279.13335271239</v>
      </c>
      <c r="I11" s="0" t="n">
        <f aca="false">I8+I10+I24</f>
        <v>4386.1116865302</v>
      </c>
      <c r="J11" s="0" t="n">
        <f aca="false">J8+J10+J24</f>
        <v>4473.83392026081</v>
      </c>
      <c r="K11" s="0" t="n">
        <f aca="false">K8+K10+K24</f>
        <v>4563.31059866602</v>
      </c>
      <c r="L11" s="0" t="n">
        <f aca="false">L8+L10+L24</f>
        <v>4654.57681063935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-1690.27927344</v>
      </c>
      <c r="D12" s="4" t="n">
        <f aca="false">-D6*Assumptions!D31/100</f>
        <v>-1740.9876516432</v>
      </c>
      <c r="E12" s="4" t="n">
        <f aca="false">-E6*Assumptions!E31/100</f>
        <v>-1793.2172811925</v>
      </c>
      <c r="F12" s="4" t="n">
        <f aca="false">-F6*Assumptions!F31/100</f>
        <v>-1847.01379962827</v>
      </c>
      <c r="G12" s="4" t="n">
        <f aca="false">-G6*Assumptions!G31/100</f>
        <v>-1902.42421361712</v>
      </c>
      <c r="H12" s="4" t="n">
        <f aca="false">-H6*Assumptions!H31/100</f>
        <v>-1949.98481895755</v>
      </c>
      <c r="I12" s="4" t="n">
        <f aca="false">-I6*Assumptions!I31/100</f>
        <v>-1998.73443943149</v>
      </c>
      <c r="J12" s="4" t="n">
        <f aca="false">-J6*Assumptions!J31/100</f>
        <v>-2038.70912822012</v>
      </c>
      <c r="K12" s="4" t="n">
        <f aca="false">-K6*Assumptions!K31/100</f>
        <v>-2079.48331078452</v>
      </c>
      <c r="L12" s="4" t="n">
        <f aca="false">-L6*Assumptions!L31/100</f>
        <v>-2121.07297700021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2206.75349588</v>
      </c>
      <c r="D13" s="0" t="n">
        <f aca="false">D11+D12</f>
        <v>2176.234564554</v>
      </c>
      <c r="E13" s="0" t="n">
        <f aca="false">E11+E12</f>
        <v>2141.89841920215</v>
      </c>
      <c r="F13" s="0" t="n">
        <f aca="false">F11+F12</f>
        <v>2206.15537177821</v>
      </c>
      <c r="G13" s="0" t="n">
        <f aca="false">G11+G12</f>
        <v>2272.34003293156</v>
      </c>
      <c r="H13" s="0" t="n">
        <f aca="false">H11+H12</f>
        <v>2329.14853375485</v>
      </c>
      <c r="I13" s="0" t="n">
        <f aca="false">I11+I12</f>
        <v>2387.37724709872</v>
      </c>
      <c r="J13" s="0" t="n">
        <f aca="false">J11+J12</f>
        <v>2435.12479204069</v>
      </c>
      <c r="K13" s="0" t="n">
        <f aca="false">K11+K12</f>
        <v>2483.82728788151</v>
      </c>
      <c r="L13" s="0" t="n">
        <f aca="false">L11+L12</f>
        <v>2533.50383363914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1610.9300519924</v>
      </c>
      <c r="D15" s="0" t="n">
        <f aca="false">D13-MAX(0,D13)*D14/100</f>
        <v>1588.65123212442</v>
      </c>
      <c r="E15" s="0" t="n">
        <f aca="false">E13-MAX(0,E13)*E14/100</f>
        <v>1563.58584601757</v>
      </c>
      <c r="F15" s="0" t="n">
        <f aca="false">F13-MAX(0,F13)*F14/100</f>
        <v>1610.4934213981</v>
      </c>
      <c r="G15" s="0" t="n">
        <f aca="false">G13-MAX(0,G13)*G14/100</f>
        <v>1658.80822404004</v>
      </c>
      <c r="H15" s="0" t="n">
        <f aca="false">H13-MAX(0,H13)*H14/100</f>
        <v>1700.27842964104</v>
      </c>
      <c r="I15" s="0" t="n">
        <f aca="false">I13-MAX(0,I13)*I14/100</f>
        <v>1742.78539038206</v>
      </c>
      <c r="J15" s="0" t="n">
        <f aca="false">J13-MAX(0,J13)*J14/100</f>
        <v>1777.64109818971</v>
      </c>
      <c r="K15" s="0" t="n">
        <f aca="false">K13-MAX(0,K13)*K14/100</f>
        <v>1813.1939201535</v>
      </c>
      <c r="L15" s="0" t="n">
        <f aca="false">L13-MAX(0,L13)*L14/100</f>
        <v>1849.45779855657</v>
      </c>
    </row>
    <row r="16" customFormat="false" ht="15" hidden="false" customHeight="false" outlineLevel="0" collapsed="false">
      <c r="A16" s="0" t="s">
        <v>117</v>
      </c>
      <c r="C16" s="0" t="n">
        <f aca="false">-C12</f>
        <v>1690.27927344</v>
      </c>
      <c r="D16" s="0" t="n">
        <f aca="false">-D12</f>
        <v>1740.9876516432</v>
      </c>
      <c r="E16" s="0" t="n">
        <f aca="false">-E12</f>
        <v>1793.2172811925</v>
      </c>
      <c r="F16" s="0" t="n">
        <f aca="false">-F12</f>
        <v>1847.01379962827</v>
      </c>
      <c r="G16" s="0" t="n">
        <f aca="false">-G12</f>
        <v>1902.42421361712</v>
      </c>
      <c r="H16" s="0" t="n">
        <f aca="false">-H12</f>
        <v>1949.98481895755</v>
      </c>
      <c r="I16" s="0" t="n">
        <f aca="false">-I12</f>
        <v>1998.73443943149</v>
      </c>
      <c r="J16" s="0" t="n">
        <f aca="false">-J12</f>
        <v>2038.70912822012</v>
      </c>
      <c r="K16" s="0" t="n">
        <f aca="false">-K12</f>
        <v>2079.48331078452</v>
      </c>
      <c r="L16" s="0" t="n">
        <f aca="false">-L12</f>
        <v>2121.07297700021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-1643.3270714</v>
      </c>
      <c r="D17" s="4" t="n">
        <f aca="false">-D6*Assumptions!D32/100</f>
        <v>-1692.626883542</v>
      </c>
      <c r="E17" s="4" t="n">
        <f aca="false">-E6*Assumptions!E32/100</f>
        <v>-1743.40569004826</v>
      </c>
      <c r="F17" s="4" t="n">
        <f aca="false">-F6*Assumptions!F32/100</f>
        <v>-1795.70786074971</v>
      </c>
      <c r="G17" s="4" t="n">
        <f aca="false">-G6*Assumptions!G32/100</f>
        <v>-1849.5790965722</v>
      </c>
      <c r="H17" s="4" t="n">
        <f aca="false">-H6*Assumptions!H32/100</f>
        <v>-1895.8185739865</v>
      </c>
      <c r="I17" s="4" t="n">
        <f aca="false">-I6*Assumptions!I32/100</f>
        <v>-1943.21403833617</v>
      </c>
      <c r="J17" s="4" t="n">
        <f aca="false">-J6*Assumptions!J32/100</f>
        <v>-1982.07831910289</v>
      </c>
      <c r="K17" s="4" t="n">
        <f aca="false">-K6*Assumptions!K32/100</f>
        <v>-2021.71988548495</v>
      </c>
      <c r="L17" s="4" t="n">
        <f aca="false">-L6*Assumptions!L32/100</f>
        <v>-2062.15428319465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58.0851983999999</v>
      </c>
      <c r="D18" s="4" t="n">
        <f aca="false">(D6-C6)*Assumptions!$B$37/100</f>
        <v>-56.342642448</v>
      </c>
      <c r="E18" s="4" t="n">
        <f aca="false">(E6-D6)*Assumptions!$B$37/100</f>
        <v>-58.0329217214399</v>
      </c>
      <c r="F18" s="4" t="n">
        <f aca="false">(F6-E6)*Assumptions!$B$37/100</f>
        <v>-59.7739093730832</v>
      </c>
      <c r="G18" s="4" t="n">
        <f aca="false">(G6-F6)*Assumptions!$B$37/100</f>
        <v>-61.5671266542756</v>
      </c>
      <c r="H18" s="4" t="n">
        <f aca="false">(H6-G6)*Assumptions!$B$37/100</f>
        <v>-52.8451170449198</v>
      </c>
      <c r="I18" s="4" t="n">
        <f aca="false">(I6-H6)*Assumptions!$B$37/100</f>
        <v>-54.1662449710429</v>
      </c>
      <c r="J18" s="4" t="n">
        <f aca="false">(J6-I6)*Assumptions!$B$37/100</f>
        <v>-44.4163208762553</v>
      </c>
      <c r="K18" s="4" t="n">
        <f aca="false">(K6-J6)*Assumptions!$B$37/100</f>
        <v>-45.3046472937803</v>
      </c>
      <c r="L18" s="4" t="n">
        <f aca="false">(L6-K6)*Assumptions!$B$37/100</f>
        <v>-46.210740239656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1715.9674524324</v>
      </c>
      <c r="D19" s="0" t="n">
        <f aca="false">D15+D16+D17+D18</f>
        <v>1580.66935777762</v>
      </c>
      <c r="E19" s="0" t="n">
        <f aca="false">E15+E16+E17+E18</f>
        <v>1555.36451544036</v>
      </c>
      <c r="F19" s="0" t="n">
        <f aca="false">F15+F16+F17+F18</f>
        <v>1602.02545090358</v>
      </c>
      <c r="G19" s="0" t="n">
        <f aca="false">G15+G16+G17+G18</f>
        <v>1650.08621443068</v>
      </c>
      <c r="H19" s="0" t="n">
        <f aca="false">H15+H16+H17+H18</f>
        <v>1701.59955756716</v>
      </c>
      <c r="I19" s="0" t="n">
        <f aca="false">I15+I16+I17+I18</f>
        <v>1744.13954650634</v>
      </c>
      <c r="J19" s="0" t="n">
        <f aca="false">J15+J16+J17+J18</f>
        <v>1789.85558643068</v>
      </c>
      <c r="K19" s="0" t="n">
        <f aca="false">K15+K16+K17+K18</f>
        <v>1825.65269815929</v>
      </c>
      <c r="L19" s="0" t="n">
        <f aca="false">L15+L16+L17+L18</f>
        <v>1862.16575212248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1581.53682251834</v>
      </c>
      <c r="D21" s="0" t="n">
        <f aca="false">D19*D20</f>
        <v>1342.70794264276</v>
      </c>
      <c r="E21" s="0" t="n">
        <f aca="false">E19*E20</f>
        <v>1217.70747515005</v>
      </c>
      <c r="F21" s="0" t="n">
        <f aca="false">F19*F20</f>
        <v>1155.98036811479</v>
      </c>
      <c r="G21" s="0" t="n">
        <f aca="false">G19*G20</f>
        <v>1097.38228493847</v>
      </c>
      <c r="H21" s="0" t="n">
        <f aca="false">H19*H20</f>
        <v>1042.98709495822</v>
      </c>
      <c r="I21" s="0" t="n">
        <f aca="false">I19*I20</f>
        <v>985.310389246245</v>
      </c>
      <c r="J21" s="0" t="n">
        <f aca="false">J19*J20</f>
        <v>931.923119679705</v>
      </c>
      <c r="K21" s="0" t="n">
        <f aca="false">K19*K20</f>
        <v>876.093624030691</v>
      </c>
      <c r="L21" s="0" t="n">
        <f aca="false">L19*L20</f>
        <v>823.608752544982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1.05</v>
      </c>
      <c r="D23" s="4" t="n">
        <f aca="false">Assumptions!D30</f>
        <v>1.05</v>
      </c>
      <c r="E23" s="4" t="n">
        <f aca="false">Assumptions!E30</f>
        <v>1.05</v>
      </c>
      <c r="F23" s="4" t="n">
        <f aca="false">Assumptions!F30</f>
        <v>1.05</v>
      </c>
      <c r="G23" s="4" t="n">
        <f aca="false">Assumptions!G30</f>
        <v>1.05</v>
      </c>
      <c r="H23" s="4" t="n">
        <f aca="false">Assumptions!H30</f>
        <v>1.05</v>
      </c>
      <c r="I23" s="4" t="n">
        <f aca="false">Assumptions!I30</f>
        <v>1.05</v>
      </c>
      <c r="J23" s="4" t="n">
        <f aca="false">Assumptions!J30</f>
        <v>1.05</v>
      </c>
      <c r="K23" s="4" t="n">
        <f aca="false">Assumptions!K30</f>
        <v>1.05</v>
      </c>
      <c r="L23" s="4" t="n">
        <f aca="false">Assumptions!L30</f>
        <v>1.05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-985.99624284</v>
      </c>
      <c r="D24" s="0" t="n">
        <f aca="false">-D6*D23/100</f>
        <v>-1015.5761301252</v>
      </c>
      <c r="E24" s="0" t="n">
        <f aca="false">-E6*E23/100</f>
        <v>-1046.04341402896</v>
      </c>
      <c r="F24" s="0" t="n">
        <f aca="false">-F6*F23/100</f>
        <v>-1077.42471644982</v>
      </c>
      <c r="G24" s="0" t="n">
        <f aca="false">-G6*G23/100</f>
        <v>-1109.74745794332</v>
      </c>
      <c r="H24" s="0" t="n">
        <f aca="false">-H6*H23/100</f>
        <v>-1137.4911443919</v>
      </c>
      <c r="I24" s="0" t="n">
        <f aca="false">-I6*I23/100</f>
        <v>-1165.9284230017</v>
      </c>
      <c r="J24" s="0" t="n">
        <f aca="false">-J6*J23/100</f>
        <v>-1189.24699146173</v>
      </c>
      <c r="K24" s="0" t="n">
        <f aca="false">-K6*K23/100</f>
        <v>-1213.03193129097</v>
      </c>
      <c r="L24" s="0" t="n">
        <f aca="false">-L6*L23/100</f>
        <v>-1237.29256991679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11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11055.2378738242</v>
      </c>
    </row>
    <row r="31" customFormat="false" ht="15" hidden="false" customHeight="false" outlineLevel="0" collapsed="false">
      <c r="A31" s="0" t="s">
        <v>126</v>
      </c>
      <c r="B31" s="0" t="n">
        <f aca="false">L19</f>
        <v>1862.16575212248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29221.6779563835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20483.8232733472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20483.8232733472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9059.6962779948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20114.9341518191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40171.9341518191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6.56302495388144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0.422107248945057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6.56302495388144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14610.8389781917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5.23949320818179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1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96808.664</v>
      </c>
      <c r="C6" s="0" t="n">
        <f aca="false">B6*(1+C5/100)</f>
        <v>97776.75064</v>
      </c>
      <c r="D6" s="0" t="n">
        <f aca="false">C6*(1+D5/100)</f>
        <v>102665.588172</v>
      </c>
      <c r="E6" s="0" t="n">
        <f aca="false">D6*(1+E5/100)</f>
        <v>107798.8675806</v>
      </c>
      <c r="F6" s="0" t="n">
        <f aca="false">E6*(1+F5/100)</f>
        <v>112649.816621727</v>
      </c>
      <c r="G6" s="0" t="n">
        <f aca="false">F6*(1+G5/100)</f>
        <v>117155.809286596</v>
      </c>
      <c r="H6" s="0" t="n">
        <f aca="false">G6*(1+H5/100)</f>
        <v>121256.262611627</v>
      </c>
      <c r="I6" s="0" t="n">
        <f aca="false">H6*(1+I5/100)</f>
        <v>124893.950489976</v>
      </c>
      <c r="J6" s="0" t="n">
        <f aca="false">I6*(1+J5/100)</f>
        <v>128640.769004675</v>
      </c>
      <c r="K6" s="0" t="n">
        <f aca="false">J6*(1+K5/100)</f>
        <v>131856.788229792</v>
      </c>
      <c r="L6" s="0" t="n">
        <f aca="false">K6*(1+L5/100)</f>
        <v>135153.207935537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5.3</v>
      </c>
      <c r="D7" s="4" t="n">
        <f aca="false">Assumptions!D42</f>
        <v>5.4</v>
      </c>
      <c r="E7" s="4" t="n">
        <f aca="false">Assumptions!E42</f>
        <v>5.5</v>
      </c>
      <c r="F7" s="4" t="n">
        <f aca="false">Assumptions!F42</f>
        <v>5.6</v>
      </c>
      <c r="G7" s="4" t="n">
        <f aca="false">Assumptions!G42</f>
        <v>5.7</v>
      </c>
      <c r="H7" s="4" t="n">
        <f aca="false">Assumptions!H42</f>
        <v>5.8</v>
      </c>
      <c r="I7" s="4" t="n">
        <f aca="false">Assumptions!I42</f>
        <v>5.8</v>
      </c>
      <c r="J7" s="4" t="n">
        <f aca="false">Assumptions!J42</f>
        <v>5.8</v>
      </c>
      <c r="K7" s="4" t="n">
        <f aca="false">Assumptions!K42</f>
        <v>5.8</v>
      </c>
      <c r="L7" s="4" t="n">
        <f aca="false">Assumptions!L42</f>
        <v>5.8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5182.16778392</v>
      </c>
      <c r="D8" s="0" t="n">
        <f aca="false">D6*D7/100</f>
        <v>5543.941761288</v>
      </c>
      <c r="E8" s="0" t="n">
        <f aca="false">E6*E7/100</f>
        <v>5928.937716933</v>
      </c>
      <c r="F8" s="0" t="n">
        <f aca="false">F6*F7/100</f>
        <v>6308.38973081671</v>
      </c>
      <c r="G8" s="0" t="n">
        <f aca="false">G6*G7/100</f>
        <v>6677.88112933598</v>
      </c>
      <c r="H8" s="0" t="n">
        <f aca="false">H6*H7/100</f>
        <v>7032.86323147436</v>
      </c>
      <c r="I8" s="0" t="n">
        <f aca="false">I6*I7/100</f>
        <v>7243.84912841859</v>
      </c>
      <c r="J8" s="0" t="n">
        <f aca="false">J6*J7/100</f>
        <v>7461.16460227115</v>
      </c>
      <c r="K8" s="0" t="n">
        <f aca="false">K6*K7/100</f>
        <v>7647.69371732793</v>
      </c>
      <c r="L8" s="0" t="n">
        <f aca="false">L6*L7/100</f>
        <v>7838.88606026113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4155.5119022</v>
      </c>
      <c r="D11" s="0" t="n">
        <f aca="false">D8+D10+D24</f>
        <v>4465.953085482</v>
      </c>
      <c r="E11" s="0" t="n">
        <f aca="false">E8+E10+E24</f>
        <v>4797.0496073367</v>
      </c>
      <c r="F11" s="0" t="n">
        <f aca="false">F8+F10+F24</f>
        <v>5125.56665628858</v>
      </c>
      <c r="G11" s="0" t="n">
        <f aca="false">G8+G10+G24</f>
        <v>5447.74513182672</v>
      </c>
      <c r="H11" s="0" t="n">
        <f aca="false">H8+H10+H24</f>
        <v>5759.67247405228</v>
      </c>
      <c r="I11" s="0" t="n">
        <f aca="false">I8+I10+I24</f>
        <v>5932.46264827385</v>
      </c>
      <c r="J11" s="0" t="n">
        <f aca="false">J8+J10+J24</f>
        <v>6110.43652772206</v>
      </c>
      <c r="K11" s="0" t="n">
        <f aca="false">K8+K10+K24</f>
        <v>6263.19744091512</v>
      </c>
      <c r="L11" s="0" t="n">
        <f aca="false">L8+L10+L24</f>
        <v>6419.77737693799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-1759.98151152</v>
      </c>
      <c r="D12" s="4" t="n">
        <f aca="false">-D6*Assumptions!D45/100</f>
        <v>-1847.980587096</v>
      </c>
      <c r="E12" s="4" t="n">
        <f aca="false">-E6*Assumptions!E45/100</f>
        <v>-1940.3796164508</v>
      </c>
      <c r="F12" s="4" t="n">
        <f aca="false">-F6*Assumptions!F45/100</f>
        <v>-2027.69669919109</v>
      </c>
      <c r="G12" s="4" t="n">
        <f aca="false">-G6*Assumptions!G45/100</f>
        <v>-2108.80456715873</v>
      </c>
      <c r="H12" s="4" t="n">
        <f aca="false">-H6*Assumptions!H45/100</f>
        <v>-2182.61272700929</v>
      </c>
      <c r="I12" s="4" t="n">
        <f aca="false">-I6*Assumptions!I45/100</f>
        <v>-2248.09110881956</v>
      </c>
      <c r="J12" s="4" t="n">
        <f aca="false">-J6*Assumptions!J45/100</f>
        <v>-2315.53384208415</v>
      </c>
      <c r="K12" s="4" t="n">
        <f aca="false">-K6*Assumptions!K45/100</f>
        <v>-2373.42218813625</v>
      </c>
      <c r="L12" s="4" t="n">
        <f aca="false">-L6*Assumptions!L45/100</f>
        <v>-2432.75774283966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2395.53039068</v>
      </c>
      <c r="D13" s="0" t="n">
        <f aca="false">D11+D12</f>
        <v>2617.972498386</v>
      </c>
      <c r="E13" s="0" t="n">
        <f aca="false">E11+E12</f>
        <v>2856.6699908859</v>
      </c>
      <c r="F13" s="0" t="n">
        <f aca="false">F11+F12</f>
        <v>3097.86995709749</v>
      </c>
      <c r="G13" s="0" t="n">
        <f aca="false">G11+G12</f>
        <v>3338.94056466799</v>
      </c>
      <c r="H13" s="0" t="n">
        <f aca="false">H11+H12</f>
        <v>3577.05974704299</v>
      </c>
      <c r="I13" s="0" t="n">
        <f aca="false">I11+I12</f>
        <v>3684.37153945428</v>
      </c>
      <c r="J13" s="0" t="n">
        <f aca="false">J11+J12</f>
        <v>3794.90268563791</v>
      </c>
      <c r="K13" s="0" t="n">
        <f aca="false">K11+K12</f>
        <v>3889.77525277886</v>
      </c>
      <c r="L13" s="0" t="n">
        <f aca="false">L11+L12</f>
        <v>3987.01963409833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1748.7371851964</v>
      </c>
      <c r="D15" s="0" t="n">
        <f aca="false">D13-MAX(0,D13)*D14/100</f>
        <v>1911.11992382178</v>
      </c>
      <c r="E15" s="0" t="n">
        <f aca="false">E13-MAX(0,E13)*E14/100</f>
        <v>2085.36909334671</v>
      </c>
      <c r="F15" s="0" t="n">
        <f aca="false">F13-MAX(0,F13)*F14/100</f>
        <v>2261.44506868117</v>
      </c>
      <c r="G15" s="0" t="n">
        <f aca="false">G13-MAX(0,G13)*G14/100</f>
        <v>2437.42661220763</v>
      </c>
      <c r="H15" s="0" t="n">
        <f aca="false">H13-MAX(0,H13)*H14/100</f>
        <v>2611.25361534139</v>
      </c>
      <c r="I15" s="0" t="n">
        <f aca="false">I13-MAX(0,I13)*I14/100</f>
        <v>2689.59122380163</v>
      </c>
      <c r="J15" s="0" t="n">
        <f aca="false">J13-MAX(0,J13)*J14/100</f>
        <v>2770.27896051568</v>
      </c>
      <c r="K15" s="0" t="n">
        <f aca="false">K13-MAX(0,K13)*K14/100</f>
        <v>2839.53593452857</v>
      </c>
      <c r="L15" s="0" t="n">
        <f aca="false">L13-MAX(0,L13)*L14/100</f>
        <v>2910.52433289178</v>
      </c>
    </row>
    <row r="16" customFormat="false" ht="15" hidden="false" customHeight="false" outlineLevel="0" collapsed="false">
      <c r="A16" s="0" t="s">
        <v>117</v>
      </c>
      <c r="C16" s="0" t="n">
        <f aca="false">-C12</f>
        <v>1759.98151152</v>
      </c>
      <c r="D16" s="0" t="n">
        <f aca="false">-D12</f>
        <v>1847.980587096</v>
      </c>
      <c r="E16" s="0" t="n">
        <f aca="false">-E12</f>
        <v>1940.3796164508</v>
      </c>
      <c r="F16" s="0" t="n">
        <f aca="false">-F12</f>
        <v>2027.69669919109</v>
      </c>
      <c r="G16" s="0" t="n">
        <f aca="false">-G12</f>
        <v>2108.80456715873</v>
      </c>
      <c r="H16" s="0" t="n">
        <f aca="false">-H12</f>
        <v>2182.61272700929</v>
      </c>
      <c r="I16" s="0" t="n">
        <f aca="false">-I12</f>
        <v>2248.09110881956</v>
      </c>
      <c r="J16" s="0" t="n">
        <f aca="false">-J12</f>
        <v>2315.53384208415</v>
      </c>
      <c r="K16" s="0" t="n">
        <f aca="false">-K12</f>
        <v>2373.42218813625</v>
      </c>
      <c r="L16" s="0" t="n">
        <f aca="false">-L12</f>
        <v>2432.75774283966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-1759.98151152</v>
      </c>
      <c r="D17" s="4" t="n">
        <f aca="false">-D6*Assumptions!D46/100</f>
        <v>-1847.980587096</v>
      </c>
      <c r="E17" s="4" t="n">
        <f aca="false">-E6*Assumptions!E46/100</f>
        <v>-1940.3796164508</v>
      </c>
      <c r="F17" s="4" t="n">
        <f aca="false">-F6*Assumptions!F46/100</f>
        <v>-2027.69669919109</v>
      </c>
      <c r="G17" s="4" t="n">
        <f aca="false">-G6*Assumptions!G46/100</f>
        <v>-2108.80456715873</v>
      </c>
      <c r="H17" s="4" t="n">
        <f aca="false">-H6*Assumptions!H46/100</f>
        <v>-2182.61272700929</v>
      </c>
      <c r="I17" s="4" t="n">
        <f aca="false">-I6*Assumptions!I46/100</f>
        <v>-2248.09110881956</v>
      </c>
      <c r="J17" s="4" t="n">
        <f aca="false">-J6*Assumptions!J46/100</f>
        <v>-2315.53384208415</v>
      </c>
      <c r="K17" s="4" t="n">
        <f aca="false">-K6*Assumptions!K46/100</f>
        <v>-2373.42218813625</v>
      </c>
      <c r="L17" s="4" t="n">
        <f aca="false">-L6*Assumptions!L46/100</f>
        <v>-2432.75774283966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-19.3617327999999</v>
      </c>
      <c r="D18" s="4" t="n">
        <f aca="false">(D6-C6)*Assumptions!$B$51/100</f>
        <v>-97.7767506400001</v>
      </c>
      <c r="E18" s="4" t="n">
        <f aca="false">(E6-D6)*Assumptions!$B$51/100</f>
        <v>-102.665588172</v>
      </c>
      <c r="F18" s="4" t="n">
        <f aca="false">(F6-E6)*Assumptions!$B$51/100</f>
        <v>-97.0189808225399</v>
      </c>
      <c r="G18" s="4" t="n">
        <f aca="false">(G6-F6)*Assumptions!$B$51/100</f>
        <v>-90.1198532973818</v>
      </c>
      <c r="H18" s="4" t="n">
        <f aca="false">(H6-G6)*Assumptions!$B$51/100</f>
        <v>-82.0090665006172</v>
      </c>
      <c r="I18" s="4" t="n">
        <f aca="false">(I6-H6)*Assumptions!$B$51/100</f>
        <v>-72.7537575669761</v>
      </c>
      <c r="J18" s="4" t="n">
        <f aca="false">(J6-I6)*Assumptions!$B$51/100</f>
        <v>-74.9363702939855</v>
      </c>
      <c r="K18" s="4" t="n">
        <f aca="false">(K6-J6)*Assumptions!$B$51/100</f>
        <v>-64.3203845023376</v>
      </c>
      <c r="L18" s="4" t="n">
        <f aca="false">(L6-K6)*Assumptions!$B$51/100</f>
        <v>-65.9283941148955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1729.3754523964</v>
      </c>
      <c r="D19" s="0" t="n">
        <f aca="false">D15+D16+D17+D18</f>
        <v>1813.34317318178</v>
      </c>
      <c r="E19" s="0" t="n">
        <f aca="false">E15+E16+E17+E18</f>
        <v>1982.70350517471</v>
      </c>
      <c r="F19" s="0" t="n">
        <f aca="false">F15+F16+F17+F18</f>
        <v>2164.42608785863</v>
      </c>
      <c r="G19" s="0" t="n">
        <f aca="false">G15+G16+G17+G18</f>
        <v>2347.30675891025</v>
      </c>
      <c r="H19" s="0" t="n">
        <f aca="false">H15+H16+H17+H18</f>
        <v>2529.24454884077</v>
      </c>
      <c r="I19" s="0" t="n">
        <f aca="false">I15+I16+I17+I18</f>
        <v>2616.83746623465</v>
      </c>
      <c r="J19" s="0" t="n">
        <f aca="false">J15+J16+J17+J18</f>
        <v>2695.34259022169</v>
      </c>
      <c r="K19" s="0" t="n">
        <f aca="false">K15+K16+K17+K18</f>
        <v>2775.21555002623</v>
      </c>
      <c r="L19" s="0" t="n">
        <f aca="false">L15+L16+L17+L18</f>
        <v>2844.59593877689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1593.8944261718</v>
      </c>
      <c r="D21" s="0" t="n">
        <f aca="false">D19*D20</f>
        <v>1540.35394523713</v>
      </c>
      <c r="E21" s="0" t="n">
        <f aca="false">E19*E20</f>
        <v>1552.27463098827</v>
      </c>
      <c r="F21" s="0" t="n">
        <f aca="false">F19*F20</f>
        <v>1561.79420519748</v>
      </c>
      <c r="G21" s="0" t="n">
        <f aca="false">G19*G20</f>
        <v>1561.06561706727</v>
      </c>
      <c r="H21" s="0" t="n">
        <f aca="false">H19*H20</f>
        <v>1550.28802910947</v>
      </c>
      <c r="I21" s="0" t="n">
        <f aca="false">I19*I20</f>
        <v>1478.32044036532</v>
      </c>
      <c r="J21" s="0" t="n">
        <f aca="false">J19*J20</f>
        <v>1403.38253785832</v>
      </c>
      <c r="K21" s="0" t="n">
        <f aca="false">K19*K20</f>
        <v>1331.76953707581</v>
      </c>
      <c r="L21" s="0" t="n">
        <f aca="false">L19*L20</f>
        <v>1258.1232953942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1.05</v>
      </c>
      <c r="D23" s="4" t="n">
        <f aca="false">Assumptions!D44</f>
        <v>1.05</v>
      </c>
      <c r="E23" s="4" t="n">
        <f aca="false">Assumptions!E44</f>
        <v>1.05</v>
      </c>
      <c r="F23" s="4" t="n">
        <f aca="false">Assumptions!F44</f>
        <v>1.05</v>
      </c>
      <c r="G23" s="4" t="n">
        <f aca="false">Assumptions!G44</f>
        <v>1.05</v>
      </c>
      <c r="H23" s="4" t="n">
        <f aca="false">Assumptions!H44</f>
        <v>1.05</v>
      </c>
      <c r="I23" s="4" t="n">
        <f aca="false">Assumptions!I44</f>
        <v>1.05</v>
      </c>
      <c r="J23" s="4" t="n">
        <f aca="false">Assumptions!J44</f>
        <v>1.05</v>
      </c>
      <c r="K23" s="4" t="n">
        <f aca="false">Assumptions!K44</f>
        <v>1.05</v>
      </c>
      <c r="L23" s="4" t="n">
        <f aca="false">Assumptions!L44</f>
        <v>1.05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-1026.65588172</v>
      </c>
      <c r="D24" s="0" t="n">
        <f aca="false">-D6*D23/100</f>
        <v>-1077.988675806</v>
      </c>
      <c r="E24" s="0" t="n">
        <f aca="false">-E6*E23/100</f>
        <v>-1131.8881095963</v>
      </c>
      <c r="F24" s="0" t="n">
        <f aca="false">-F6*F23/100</f>
        <v>-1182.82307452813</v>
      </c>
      <c r="G24" s="0" t="n">
        <f aca="false">-G6*G23/100</f>
        <v>-1230.13599750926</v>
      </c>
      <c r="H24" s="0" t="n">
        <f aca="false">-H6*H23/100</f>
        <v>-1273.19075742208</v>
      </c>
      <c r="I24" s="0" t="n">
        <f aca="false">-I6*I23/100</f>
        <v>-1311.38648014475</v>
      </c>
      <c r="J24" s="0" t="n">
        <f aca="false">-J6*J23/100</f>
        <v>-1350.72807454909</v>
      </c>
      <c r="K24" s="0" t="n">
        <f aca="false">-K6*K23/100</f>
        <v>-1384.49627641282</v>
      </c>
      <c r="L24" s="0" t="n">
        <f aca="false">-L6*L23/100</f>
        <v>-1419.10868332314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14831.2666644651</v>
      </c>
    </row>
    <row r="31" customFormat="false" ht="15" hidden="false" customHeight="false" outlineLevel="0" collapsed="false">
      <c r="A31" s="0" t="s">
        <v>126</v>
      </c>
      <c r="B31" s="0" t="n">
        <f aca="false">L19</f>
        <v>2844.59593877689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48595.1806207718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34135.1512653226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34135.1512653226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15097.4795447304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29928.7462091955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49985.7462091955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8.16634067131367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0.769521272223981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8.16634067131367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23325.6866979705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6.02133532019196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5.01536397499732</v>
      </c>
      <c r="C4" s="0" t="n">
        <f aca="false">B4/Assumptions!$B$2-1</f>
        <v>0.086752757312528</v>
      </c>
      <c r="D4" s="4" t="n">
        <f aca="false">Assumptions!$B$24</f>
        <v>0.25</v>
      </c>
      <c r="E4" s="4" t="n">
        <f aca="false">DCF_Bear!$B$43</f>
        <v>5.01536397499732</v>
      </c>
      <c r="F4" s="4" t="n">
        <f aca="false">DCF_Bear!$B$47</f>
        <v>4.44280573301223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6.56302495388144</v>
      </c>
      <c r="C5" s="0" t="n">
        <f aca="false">B5/Assumptions!$B$2-1</f>
        <v>0.422107248945057</v>
      </c>
      <c r="D5" s="4" t="n">
        <f aca="false">Assumptions!$B$38</f>
        <v>0.5</v>
      </c>
      <c r="E5" s="4" t="n">
        <f aca="false">DCF_Base!$B$43</f>
        <v>6.56302495388144</v>
      </c>
      <c r="F5" s="4" t="n">
        <f aca="false">DCF_Base!$B$47</f>
        <v>5.23949320818179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8.16634067131367</v>
      </c>
      <c r="C6" s="0" t="n">
        <f aca="false">B6/Assumptions!$B$2-1</f>
        <v>0.769521272223981</v>
      </c>
      <c r="D6" s="4" t="n">
        <f aca="false">Assumptions!$B$52</f>
        <v>0.25</v>
      </c>
      <c r="E6" s="4" t="n">
        <f aca="false">DCF_Bull!$B$43</f>
        <v>8.16634067131367</v>
      </c>
      <c r="F6" s="4" t="n">
        <f aca="false">DCF_Bull!$B$47</f>
        <v>6.02133532019196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6.57693863851847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6.57693863851847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0.29830575383936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5.23578186739194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6.56302495388144</v>
      </c>
      <c r="C15" s="3" t="n">
        <v>8.5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6.45599895464579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6.25569208093818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6.07221881502024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5.82559307253135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5.23949320818179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7.0428975231993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7.0428975231993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7.0428975231993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7.0428975231993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7.0428975231993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6.79205973655065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6.79205973655065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6.79205973655065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6.79205973655065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6.79205973655065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6.56302495388144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6.56302495388144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6.56302495388144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6.56302495388144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6.56302495388144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6.35363252218672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6.35363252218672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6.35363252218672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6.35363252218672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6.35363252218672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6.12065973358905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6.16195700018708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6.16195700018708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6.16195700018708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6.16195700018708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2026-10-11T02:30:34Z</dcterms:created>
  <dc:creator>openpyxl</dc:creator>
  <dc:description/>
  <dc:language>en-NZ</dc:language>
  <cp:lastModifiedBy/>
  <dcterms:modified xsi:type="dcterms:W3CDTF">2026-10-11T02:30:34Z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