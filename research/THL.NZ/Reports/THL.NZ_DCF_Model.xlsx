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<sst xmlns="http://schemas.openxmlformats.org/spreadsheetml/2006/main" count="362" uniqueCount="165">
  <si>
    <t xml:space="preserve">Ticker</t>
  </si>
  <si>
    <t xml:space="preserve">THL.NZ</t>
  </si>
  <si>
    <t xml:space="preserve">Company</t>
  </si>
  <si>
    <t xml:space="preserve">Tourism Holdings Limited</t>
  </si>
  <si>
    <t xml:space="preserve">Valuation date</t>
  </si>
  <si>
    <t xml:space="preserve">2026-09-26</t>
  </si>
  <si>
    <t xml:space="preserve">Current price</t>
  </si>
  <si>
    <t xml:space="preserve">Price as of</t>
  </si>
  <si>
    <t xml:space="preserve">2026-09-25T05:00:32Z regular close (NZX)</t>
  </si>
  <si>
    <t xml:space="preserve">Balance sheet date</t>
  </si>
  <si>
    <t xml:space="preserve">2026-06-30</t>
  </si>
  <si>
    <t xml:space="preserve">Model</t>
  </si>
  <si>
    <t xml:space="preserve">owner_fcf_dcf_component</t>
  </si>
  <si>
    <t xml:space="preserve">Currency (model)</t>
  </si>
  <si>
    <t xml:space="preserve">NZD</t>
  </si>
  <si>
    <t xml:space="preserve">Currency (quote)</t>
  </si>
  <si>
    <t xml:space="preserve">Units</t>
  </si>
  <si>
    <t xml:space="preserve">millions</t>
  </si>
  <si>
    <t xml:space="preserve">Engine</t>
  </si>
  <si>
    <t xml:space="preserve">dcf_engine v1</t>
  </si>
  <si>
    <t xml:space="preserve">Built at</t>
  </si>
  <si>
    <t xml:space="preserve">2026-09-25T16:00:31Z</t>
  </si>
  <si>
    <t xml:space="preserve">Drivers file</t>
  </si>
  <si>
    <t xml:space="preserve">THL.NZ_Drivers.json</t>
  </si>
  <si>
    <t xml:space="preserve">Convention</t>
  </si>
  <si>
    <t xml:space="preserve">Percents stored as percents; formulas divide by 100. Blue = input, green = link, black = formula.</t>
  </si>
  <si>
    <t xml:space="preserve">Methodology</t>
  </si>
  <si>
    <t xml:space="preserve">summary: This is a standalone, intrinsic-value owner-FCF DCF for a cyclical, capital-intensive, vertically-integrated (build/rent/sell) global RV rental and NZ tourism-attraction operator, built on FY2026 continuing-operations actuals following the 31-March-2026 divestment of the UK &amp; Ireland business. The single most important modelling judgment is that this business's dominant cash flow item -- the fleet build/rent/sell cycle (gross fleet capex NZ$226m vs NZ$96m NBV of ex-fleet assets sold, net ~NZ$130m/yr, currently ~15% of revenue) -- sits inside operating cash flow under NZ IAS 7 rather than as conventional capex against a matching D&amp;A line, and is modelled as an explicit, moderating capex_pct path rather than assumed away or conflated with accounting D&amp;A. Historical revenue/EPS/FCF CAGRs are not usable anchors here (the FY2023 UK acquisition roughly doubled revenue, the FY2026 UK&amp;I divestment partially reversed it, and owner FCF was structurally negative FY2022-FY2025 during the fleet regrowth phase) -- the forward build is instead anchored to FY2026 component actuals and management's own stated targets (15% through-the-cycle ROFE vs 8.7% delivered; the NZ$100m annualised NPAT Growth Roadmap goal, whose timing management has explicitly disclosed has slipped). IMPORTANT CONTEXT NOT USED AS A VALUATION INPUT: as of this valuation date (26 September 2026), thl is the subject of two live, non-binding, conditional indicative takeover proposals -- NZ$3.10/share from a BGH Capital/Trouchet family consortium and NZ$3.30-3.40/share from a strategic bidder industry sources identify as Indie Campers -- both in due diligence, with no board recommendation or binding scheme as of this date, and a Trouchet/BGH cooperation lock-up now extended to 31 March 2027 (a sign the process could run well into next year rather than resolve imminently). The Board's own August 2025 stated view that fair value is 'well north of $3.00 per share' and the live bid range are genuine, market-tested reference points and are reported here for context, but per house methodology a live corporate action normally calls for a deal-completes-vs-deal-breaks weighting rather than a standard three-scenario growth DCF; this build deliberately keeps the two separate -- the probability-weighted intrinsic value below is the standalone fundamental case, not a blend with the takeover price. A reader should treat the gap between the two (if the intrinsic value comes in below the indicative bid range, which is expected given the bids sit above the Board's own pre-takeover valuation view) as the price of the takeover-completion optionality, not as a model error.
key_risks_to_valuation: Takeover process resolution risk: if both non-binding proposals lapse (as the original NZ$2.30/share BGH approach did in 2025), the stock could de-rate from the current price (see current_price/price_as_of) toward the standalone intrinsic value computed here, which this model expects to sit below the current price given the bid-range overhang -- verify current takeover status via NZX/ASX announcements before acting on this valuation; RV sales (Sell) segment cyclicality proving structural rather than cyclical -- affordability pressure, EV/alternative-travel substitution, and a smaller pool of first-time RV buyers could permanently impair the Sell segment's contribution and the vertically-integrated build/rent/sell economics that depend on efficient fleet churn; Fleet capex does not moderate as guided -- if gross fleet capex fails to fall toward a genuine maintenance level as the Australasian regrowth programme completes, owner FCF margin stays permanently depressed versus the base case's ramp to ~8.5%; North America fails to clear breakeven (FY2026 ROFE only 0.5%) -- a persistent drag that could keep group ROFE below the 15% target and the $100m NPAT goal out of reach indefinitely; Recurring geopolitical/macro shocks to international travel demand (the March 2026 Middle East conflict is the most recent example) directly disrupt booking intake and RV sales in a way management itself says may not be 'fully recoverable'; FX translation risk across NZD/AUD/USD/CAD and interest-rate sensitivity on a moderately leveraged (2.32x underlying EBITDA ex-lease) balance sheet</t>
  </si>
  <si>
    <t xml:space="preserve">Data sources</t>
  </si>
  <si>
    <t xml:space="preserve">price: Yahoo Finance chart API at inputs.price_as_of; 52-week range 1.965-2.98
financials: THL.NZ_Metrics.csv (core_metrics-derived, FY2016-FY2026 annual); THL.NZ_Annual_FY2026.txt cash flow statement, note 13 (right-of-use assets), note 31.1-31.3 (net debt/OCF reconciliation), segment note (continuing-operations revenue/EBITDA/EBIT)
qualitative: THL.NZ_Analysis.json (2026-09-26), including takeover_status, guidance and bull/bear case sections</t>
  </si>
  <si>
    <t xml:space="preserve">Scenario narrative: bear</t>
  </si>
  <si>
    <t xml:space="preserve">RV sales downturn proves partly structural, geopolitical disruption to bookings recurs or the March-2026 gap proves permanently unrecoverable, North America stays near breakeven, and fleet capex stays structurally elevated -- the 15% ROFE target and $100m NPAT goal stay out of reach within the horizon.</t>
  </si>
  <si>
    <t xml:space="preserve">Scenario narrative: base</t>
  </si>
  <si>
    <t xml:space="preserve">Rental-led recovery on the slower timeline management itself has now disclosed; RV sales treated as cyclical, gradually normalising; fleet capex moderates toward a maintenance level as the Australasian regrowth programme completes.</t>
  </si>
  <si>
    <t xml:space="preserve">Scenario narrative: bull</t>
  </si>
  <si>
    <t xml:space="preserve">RV sales cycle turns faster than expected, rental growth stays strong across all segments, North America and manufacturing synergies compound quickly, and the $100m NPAT Growth Roadmap goal is achieved close to its original 3-4-year timeline.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</si>
  <si>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</si>
  <si>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</si>
  <si>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</si>
  <si>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</si>
  <si>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</si>
  <si>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</si>
  <si>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</si>
  <si>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</si>
  <si>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</si>
  <si>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</si>
  <si>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</si>
  <si>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</si>
  <si>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</si>
  <si>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</si>
  <si>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</si>
  <si>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</si>
  <si>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</si>
  <si>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</si>
  <si>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</si>
  <si>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</si>
  <si>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</si>
  <si>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</si>
  <si>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</si>
  <si>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</si>
  <si>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</si>
  <si>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</si>
  <si>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</si>
  <si>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</si>
  <si>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</si>
  <si>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</si>
  <si>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</si>
  <si>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</si>
  <si>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</si>
  <si>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</si>
  <si>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</si>
  <si>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</si>
  <si>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</si>
  <si>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</si>
  <si>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</si>
  <si>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</si>
  <si>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</si>
  <si>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</si>
  <si>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</si>
  <si>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</si>
  <si>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</si>
  <si>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</si>
  <si>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</si>
  <si>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</si>
  <si>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NZD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</si>
  <si>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</si>
  <si>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</si>
  <si>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</si>
  <si>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</si>
  <si>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</si>
  <si>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</si>
  <si>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</si>
  <si>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</si>
  <si>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</si>
  <si>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</si>
  <si>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</si>
  <si>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</si>
  <si>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</si>
  <si>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</si>
  <si>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</si>
  <si>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</si>
  <si>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</si>
  <si>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</si>
  <si>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</si>
  <si>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</si>
  <si>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</si>
  <si>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</si>
  <si>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</si>
  <si>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</si>
  <si>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</si>
  <si>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</si>
  <si>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THL.NZ owner-FCF component DCF: bear case (millions, NZD)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</si>
  <si>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</si>
  <si>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</si>
  <si>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</si>
  <si>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</si>
  <si>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</si>
  <si>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</si>
  <si>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</si>
  <si>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</si>
  <si>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</si>
  <si>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</si>
  <si>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</si>
  <si>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</si>
  <si>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</si>
  <si>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</si>
  <si>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</si>
  <si>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</si>
  <si>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</si>
  <si>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</si>
  <si>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</si>
  <si>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</si>
  <si>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</si>
  <si>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</si>
  <si>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</si>
  <si>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</si>
  <si>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</si>
  <si>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</si>
  <si>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</si>
  <si>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</si>
  <si>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</si>
  <si>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</si>
  <si>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THL.NZ owner-FCF component DCF: base case (millions, NZD)</t>
  </si>
  <si>
    <t xml:space="preserve">THL.NZ owner-FCF component DCF: bull case (millions, NZD)</t>
  </si>
  <si>
    <t xml:space="preserve">THL.NZ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</si>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</sst>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2.86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278.933</v>
      </c>
      <c r="C2" s="0" t="n">
        <v>-79.241</v>
      </c>
      <c r="D2" s="0" t="n">
        <v>199.692</v>
      </c>
      <c r="E2" s="0" t="n">
        <v>71.5913857449639</v>
      </c>
      <c r="F2" s="0" t="n">
        <v>38.717</v>
      </c>
      <c r="G2" s="0" t="n">
        <v>13.8803942165323</v>
      </c>
      <c r="H2" s="0" t="n">
        <v>73.599</v>
      </c>
      <c r="I2" s="0" t="n">
        <v>24.376</v>
      </c>
      <c r="J2" s="0" t="n">
        <v>8.73901617951264</v>
      </c>
      <c r="K2" s="0" t="n">
        <v>21.4</v>
      </c>
      <c r="L2" s="0" t="n">
        <v>12.519</v>
      </c>
      <c r="M2" s="0" t="n">
        <v>-11.856</v>
      </c>
      <c r="N2" s="0" t="n">
        <v>0.663</v>
      </c>
      <c r="O2" s="0" t="n">
        <v>172.123</v>
      </c>
      <c r="P2" s="0" t="n">
        <v>333.835</v>
      </c>
      <c r="Q2" s="0" t="n">
        <v>161.712</v>
      </c>
      <c r="R2" s="0" t="n">
        <v>82.025</v>
      </c>
      <c r="S2" s="0" t="n">
        <v>3.02</v>
      </c>
      <c r="T2" s="0" t="n">
        <v>114.081</v>
      </c>
      <c r="U2" s="0" t="n">
        <v>0.187</v>
      </c>
      <c r="AA2" s="0" t="s">
        <v>17</v>
      </c>
      <c r="AB2" s="0" t="s">
        <v>14</v>
      </c>
    </row>
    <row r="3" customFormat="false" ht="15" hidden="false" customHeight="false" outlineLevel="0" collapsed="false">
      <c r="A3" s="0" t="s">
        <v>64</v>
      </c>
      <c r="B3" s="0" t="n">
        <v>340.801</v>
      </c>
      <c r="C3" s="0" t="n">
        <v>-92.473</v>
      </c>
      <c r="D3" s="0" t="n">
        <v>248.328</v>
      </c>
      <c r="E3" s="0" t="n">
        <v>72.8659833744619</v>
      </c>
      <c r="F3" s="0" t="n">
        <v>47.716</v>
      </c>
      <c r="G3" s="0" t="n">
        <v>14.0011326257846</v>
      </c>
      <c r="H3" s="0" t="n">
        <v>87.529</v>
      </c>
      <c r="I3" s="0" t="n">
        <v>30.178</v>
      </c>
      <c r="J3" s="0" t="n">
        <v>8.85502096531407</v>
      </c>
      <c r="K3" s="0" t="n">
        <v>25.6</v>
      </c>
      <c r="L3" s="0" t="n">
        <v>14.581</v>
      </c>
      <c r="M3" s="0" t="n">
        <v>-8.312</v>
      </c>
      <c r="N3" s="0" t="n">
        <v>6.269</v>
      </c>
      <c r="O3" s="0" t="n">
        <v>193.944</v>
      </c>
      <c r="P3" s="0" t="n">
        <v>470.027</v>
      </c>
      <c r="Q3" s="0" t="n">
        <v>276.083</v>
      </c>
      <c r="R3" s="0" t="n">
        <v>182.437</v>
      </c>
      <c r="S3" s="0" t="n">
        <v>6.117</v>
      </c>
      <c r="T3" s="0" t="n">
        <v>117.704</v>
      </c>
      <c r="U3" s="0" t="n">
        <v>0.275</v>
      </c>
      <c r="AA3" s="0" t="s">
        <v>17</v>
      </c>
      <c r="AB3" s="0" t="s">
        <v>14</v>
      </c>
    </row>
    <row r="4" customFormat="false" ht="15" hidden="false" customHeight="false" outlineLevel="0" collapsed="false">
      <c r="A4" s="0" t="s">
        <v>65</v>
      </c>
      <c r="B4" s="0" t="n">
        <v>425.877</v>
      </c>
      <c r="C4" s="0" t="n">
        <v>-129.765</v>
      </c>
      <c r="D4" s="0" t="n">
        <v>296.112</v>
      </c>
      <c r="E4" s="0" t="n">
        <v>69.5299346994555</v>
      </c>
      <c r="F4" s="0" t="n">
        <v>86.579</v>
      </c>
      <c r="G4" s="0" t="n">
        <v>20.3295787281304</v>
      </c>
      <c r="H4" s="0" t="n">
        <v>133.951</v>
      </c>
      <c r="I4" s="0" t="n">
        <v>62.354</v>
      </c>
      <c r="J4" s="0" t="n">
        <v>14.6413166242835</v>
      </c>
      <c r="K4" s="0" t="n">
        <v>51.4</v>
      </c>
      <c r="L4" s="0" t="n">
        <v>24.603</v>
      </c>
      <c r="M4" s="0" t="n">
        <v>-4.603</v>
      </c>
      <c r="N4" s="0" t="n">
        <v>20</v>
      </c>
      <c r="O4" s="0" t="n">
        <v>250.011</v>
      </c>
      <c r="P4" s="0" t="n">
        <v>577.987</v>
      </c>
      <c r="Q4" s="0" t="n">
        <v>327.976</v>
      </c>
      <c r="R4" s="0" t="n">
        <v>212.323</v>
      </c>
      <c r="S4" s="0" t="n">
        <v>13.534</v>
      </c>
      <c r="T4" s="0" t="n">
        <v>121.36</v>
      </c>
      <c r="U4" s="0" t="n">
        <v>0.326</v>
      </c>
      <c r="AA4" s="0" t="s">
        <v>17</v>
      </c>
      <c r="AB4" s="0" t="s">
        <v>14</v>
      </c>
    </row>
    <row r="5" customFormat="false" ht="15" hidden="false" customHeight="false" outlineLevel="0" collapsed="false">
      <c r="A5" s="0" t="s">
        <v>66</v>
      </c>
      <c r="B5" s="0" t="n">
        <v>423.004</v>
      </c>
      <c r="C5" s="0" t="n">
        <v>-114.373</v>
      </c>
      <c r="D5" s="0" t="n">
        <v>308.631</v>
      </c>
      <c r="E5" s="0" t="n">
        <v>72.9617214021617</v>
      </c>
      <c r="F5" s="0" t="n">
        <v>62.143</v>
      </c>
      <c r="G5" s="0" t="n">
        <v>14.6908776276347</v>
      </c>
      <c r="H5" s="0" t="n">
        <v>114.785</v>
      </c>
      <c r="I5" s="0" t="n">
        <v>29.753</v>
      </c>
      <c r="J5" s="0" t="n">
        <v>7.03373963366777</v>
      </c>
      <c r="K5" s="0" t="n">
        <v>23.7</v>
      </c>
      <c r="L5" s="0" t="n">
        <v>10.201</v>
      </c>
      <c r="M5" s="0" t="n">
        <v>-4.291</v>
      </c>
      <c r="N5" s="0" t="n">
        <v>5.91</v>
      </c>
      <c r="O5" s="0" t="n">
        <v>277.017</v>
      </c>
      <c r="P5" s="0" t="n">
        <v>602.473</v>
      </c>
      <c r="Q5" s="0" t="n">
        <v>325.456</v>
      </c>
      <c r="R5" s="0" t="n">
        <v>211.026</v>
      </c>
      <c r="S5" s="0" t="n">
        <v>8.837</v>
      </c>
      <c r="T5" s="0" t="n">
        <v>125.801</v>
      </c>
      <c r="U5" s="0" t="n">
        <v>0.112</v>
      </c>
      <c r="AA5" s="0" t="s">
        <v>17</v>
      </c>
      <c r="AB5" s="0" t="s">
        <v>14</v>
      </c>
    </row>
    <row r="6" customFormat="false" ht="15" hidden="false" customHeight="false" outlineLevel="0" collapsed="false">
      <c r="A6" s="0" t="s">
        <v>67</v>
      </c>
      <c r="B6" s="0" t="n">
        <v>400.93</v>
      </c>
      <c r="C6" s="0" t="n">
        <v>-125.502</v>
      </c>
      <c r="D6" s="0" t="n">
        <v>275.428</v>
      </c>
      <c r="E6" s="0" t="n">
        <v>68.6972788267279</v>
      </c>
      <c r="F6" s="0" t="n">
        <v>48.611</v>
      </c>
      <c r="G6" s="0" t="n">
        <v>12.1245603970768</v>
      </c>
      <c r="H6" s="0" t="n">
        <v>111.744</v>
      </c>
      <c r="I6" s="0" t="n">
        <v>27.356</v>
      </c>
      <c r="J6" s="0" t="n">
        <v>6.82313620831567</v>
      </c>
      <c r="K6" s="0" t="n">
        <v>18.6</v>
      </c>
      <c r="L6" s="0" t="n">
        <v>69.089</v>
      </c>
      <c r="M6" s="0" t="n">
        <v>-4.557</v>
      </c>
      <c r="N6" s="0" t="n">
        <v>64.532</v>
      </c>
      <c r="O6" s="0" t="n">
        <v>325.099</v>
      </c>
      <c r="P6" s="0" t="n">
        <v>653.552</v>
      </c>
      <c r="Q6" s="0" t="n">
        <v>328.453</v>
      </c>
      <c r="R6" s="0" t="n">
        <v>163.322</v>
      </c>
      <c r="S6" s="0" t="n">
        <v>35.514</v>
      </c>
      <c r="T6" s="0" t="n">
        <v>146.753</v>
      </c>
      <c r="U6" s="0" t="n">
        <v>0.103</v>
      </c>
      <c r="AA6" s="0" t="s">
        <v>17</v>
      </c>
      <c r="AB6" s="0" t="s">
        <v>14</v>
      </c>
    </row>
    <row r="7" customFormat="false" ht="15" hidden="false" customHeight="false" outlineLevel="0" collapsed="false">
      <c r="A7" s="0" t="s">
        <v>68</v>
      </c>
      <c r="B7" s="0" t="n">
        <v>359.173</v>
      </c>
      <c r="C7" s="0" t="n">
        <v>-186.033</v>
      </c>
      <c r="D7" s="0" t="n">
        <v>173.14</v>
      </c>
      <c r="E7" s="0" t="n">
        <v>48.2051824608197</v>
      </c>
      <c r="F7" s="0" t="n">
        <v>-8.261</v>
      </c>
      <c r="G7" s="0" t="n">
        <v>-2.30000584676465</v>
      </c>
      <c r="H7" s="0" t="n">
        <v>54.872</v>
      </c>
      <c r="I7" s="0" t="n">
        <v>-14.514</v>
      </c>
      <c r="J7" s="0" t="n">
        <v>-4.04094962594627</v>
      </c>
      <c r="K7" s="0" t="n">
        <v>-9.2</v>
      </c>
      <c r="L7" s="0" t="n">
        <v>86.976</v>
      </c>
      <c r="M7" s="0" t="n">
        <v>-5.312</v>
      </c>
      <c r="N7" s="0" t="n">
        <v>81.664</v>
      </c>
      <c r="O7" s="0" t="n">
        <v>312.599</v>
      </c>
      <c r="P7" s="0" t="n">
        <v>538.064</v>
      </c>
      <c r="Q7" s="0" t="n">
        <v>225.465</v>
      </c>
      <c r="R7" s="0" t="n">
        <v>86.784</v>
      </c>
      <c r="S7" s="0" t="n">
        <v>38.087</v>
      </c>
      <c r="T7" s="0" t="n">
        <v>148.893</v>
      </c>
      <c r="U7" s="0" t="n">
        <v>0.113</v>
      </c>
      <c r="AA7" s="0" t="s">
        <v>17</v>
      </c>
      <c r="AB7" s="0" t="s">
        <v>14</v>
      </c>
    </row>
    <row r="8" customFormat="false" ht="15" hidden="false" customHeight="false" outlineLevel="0" collapsed="false">
      <c r="A8" s="0" t="s">
        <v>69</v>
      </c>
      <c r="B8" s="0" t="n">
        <v>345.75</v>
      </c>
      <c r="C8" s="0" t="n">
        <v>-150.785</v>
      </c>
      <c r="D8" s="0" t="n">
        <v>194.965</v>
      </c>
      <c r="E8" s="0" t="n">
        <v>56.3890093998554</v>
      </c>
      <c r="F8" s="0" t="n">
        <v>6.883</v>
      </c>
      <c r="G8" s="0" t="n">
        <v>1.99074475777296</v>
      </c>
      <c r="H8" s="0" t="n">
        <v>53.439</v>
      </c>
      <c r="I8" s="0" t="n">
        <v>-2.119</v>
      </c>
      <c r="J8" s="0" t="n">
        <v>-0.612870571221981</v>
      </c>
      <c r="K8" s="0" t="n">
        <v>-1</v>
      </c>
      <c r="L8" s="0" t="n">
        <v>-21.619</v>
      </c>
      <c r="M8" s="0" t="n">
        <v>-7.536</v>
      </c>
      <c r="N8" s="0" t="n">
        <v>-29.155</v>
      </c>
      <c r="O8" s="0" t="n">
        <v>331.668</v>
      </c>
      <c r="P8" s="0" t="n">
        <v>595.828</v>
      </c>
      <c r="Q8" s="0" t="n">
        <v>264.16</v>
      </c>
      <c r="R8" s="0" t="n">
        <v>97.298</v>
      </c>
      <c r="S8" s="0" t="n">
        <v>38.816</v>
      </c>
      <c r="T8" s="0" t="n">
        <v>151.989</v>
      </c>
      <c r="U8" s="0" t="n">
        <v>3.038</v>
      </c>
      <c r="AA8" s="0" t="s">
        <v>17</v>
      </c>
      <c r="AB8" s="0" t="s">
        <v>14</v>
      </c>
    </row>
    <row r="9" customFormat="false" ht="15" hidden="false" customHeight="false" outlineLevel="0" collapsed="false">
      <c r="A9" s="0" t="s">
        <v>70</v>
      </c>
      <c r="B9" s="0" t="n">
        <v>663.841</v>
      </c>
      <c r="C9" s="0" t="n">
        <v>-257.654</v>
      </c>
      <c r="D9" s="0" t="n">
        <v>406.187</v>
      </c>
      <c r="E9" s="0" t="n">
        <v>61.1873927642312</v>
      </c>
      <c r="F9" s="0" t="n">
        <v>88.854</v>
      </c>
      <c r="G9" s="0" t="n">
        <v>13.3848316087738</v>
      </c>
      <c r="H9" s="0" t="n">
        <v>158.46</v>
      </c>
      <c r="I9" s="0" t="n">
        <v>49.858</v>
      </c>
      <c r="J9" s="0" t="n">
        <v>7.51053339579809</v>
      </c>
      <c r="K9" s="0" t="n">
        <v>26.4</v>
      </c>
      <c r="L9" s="0" t="n">
        <v>-61.427</v>
      </c>
      <c r="M9" s="0" t="n">
        <v>-12.121</v>
      </c>
      <c r="N9" s="0" t="n">
        <v>-73.548</v>
      </c>
      <c r="O9" s="0" t="n">
        <v>610.955</v>
      </c>
      <c r="P9" s="0" t="n">
        <v>1343.57</v>
      </c>
      <c r="Q9" s="0" t="n">
        <v>732.615</v>
      </c>
      <c r="R9" s="0" t="n">
        <v>361.94</v>
      </c>
      <c r="S9" s="0" t="n">
        <v>76.794</v>
      </c>
      <c r="T9" s="0" t="n">
        <v>189.009</v>
      </c>
      <c r="U9" s="0" t="n">
        <v>1.226</v>
      </c>
      <c r="AA9" s="0" t="s">
        <v>17</v>
      </c>
      <c r="AB9" s="0" t="s">
        <v>14</v>
      </c>
    </row>
    <row r="10" customFormat="false" ht="15" hidden="false" customHeight="false" outlineLevel="0" collapsed="false">
      <c r="A10" s="0" t="s">
        <v>71</v>
      </c>
      <c r="B10" s="0" t="n">
        <v>921.731</v>
      </c>
      <c r="C10" s="0" t="n">
        <v>-374.179</v>
      </c>
      <c r="D10" s="0" t="n">
        <v>547.552</v>
      </c>
      <c r="E10" s="0" t="n">
        <v>59.4047504098267</v>
      </c>
      <c r="F10" s="0" t="n">
        <v>98.615</v>
      </c>
      <c r="G10" s="0" t="n">
        <v>10.6988915421094</v>
      </c>
      <c r="H10" s="0" t="n">
        <v>194.389</v>
      </c>
      <c r="I10" s="0" t="n">
        <v>39.376</v>
      </c>
      <c r="J10" s="0" t="n">
        <v>4.2719622102327</v>
      </c>
      <c r="K10" s="0" t="n">
        <v>18.17</v>
      </c>
      <c r="L10" s="0" t="n">
        <v>-95.642</v>
      </c>
      <c r="M10" s="0" t="n">
        <v>-16.088</v>
      </c>
      <c r="N10" s="0" t="n">
        <v>-111.73</v>
      </c>
      <c r="O10" s="0" t="n">
        <v>616.888</v>
      </c>
      <c r="P10" s="0" t="n">
        <v>1497.458</v>
      </c>
      <c r="Q10" s="0" t="n">
        <v>880.57</v>
      </c>
      <c r="R10" s="0" t="n">
        <v>502.672</v>
      </c>
      <c r="S10" s="0" t="n">
        <v>56.785</v>
      </c>
      <c r="T10" s="0" t="n">
        <v>216.763</v>
      </c>
      <c r="AA10" s="0" t="s">
        <v>17</v>
      </c>
      <c r="AB10" s="0" t="s">
        <v>14</v>
      </c>
    </row>
    <row r="11" customFormat="false" ht="15" hidden="false" customHeight="false" outlineLevel="0" collapsed="false">
      <c r="A11" s="0" t="s">
        <v>72</v>
      </c>
      <c r="B11" s="0" t="n">
        <v>937.232</v>
      </c>
      <c r="C11" s="0" t="n">
        <v>-366.599</v>
      </c>
      <c r="D11" s="0" t="n">
        <v>570.633</v>
      </c>
      <c r="E11" s="0" t="n">
        <v>60.8849249705516</v>
      </c>
      <c r="F11" s="0" t="n">
        <v>41.742</v>
      </c>
      <c r="G11" s="0" t="n">
        <v>4.4537531795756</v>
      </c>
      <c r="H11" s="0" t="n">
        <v>154.169</v>
      </c>
      <c r="I11" s="0" t="n">
        <v>-25.774</v>
      </c>
      <c r="J11" s="0" t="n">
        <v>-2.75001280366014</v>
      </c>
      <c r="K11" s="0" t="n">
        <v>-11.72</v>
      </c>
      <c r="L11" s="0" t="n">
        <v>28.558</v>
      </c>
      <c r="M11" s="0" t="n">
        <v>-42.365</v>
      </c>
      <c r="N11" s="0" t="n">
        <v>-13.807</v>
      </c>
      <c r="O11" s="0" t="n">
        <v>577.875</v>
      </c>
      <c r="P11" s="0" t="n">
        <v>1574.878</v>
      </c>
      <c r="Q11" s="0" t="n">
        <v>997.003</v>
      </c>
      <c r="R11" s="0" t="n">
        <v>541.17</v>
      </c>
      <c r="S11" s="0" t="n">
        <v>49.738</v>
      </c>
      <c r="T11" s="0" t="n">
        <v>219.827</v>
      </c>
      <c r="U11" s="0" t="n">
        <v>1.394</v>
      </c>
      <c r="AA11" s="0" t="s">
        <v>17</v>
      </c>
      <c r="AB11" s="0" t="s">
        <v>14</v>
      </c>
    </row>
    <row r="12" customFormat="false" ht="15" hidden="false" customHeight="false" outlineLevel="0" collapsed="false">
      <c r="A12" s="0" t="s">
        <v>73</v>
      </c>
      <c r="B12" s="0" t="n">
        <v>885.261</v>
      </c>
      <c r="C12" s="0" t="n">
        <v>-293.088</v>
      </c>
      <c r="D12" s="0" t="n">
        <v>592.173</v>
      </c>
      <c r="E12" s="0" t="n">
        <v>66.8925</v>
      </c>
      <c r="F12" s="0" t="n">
        <v>95.701</v>
      </c>
      <c r="G12" s="0" t="n">
        <v>10.8105</v>
      </c>
      <c r="H12" s="0" t="n">
        <v>217.698</v>
      </c>
      <c r="I12" s="0" t="n">
        <v>38.437</v>
      </c>
      <c r="J12" s="0" t="n">
        <v>4.3419</v>
      </c>
      <c r="K12" s="0" t="n">
        <v>17.38</v>
      </c>
      <c r="L12" s="0" t="n">
        <v>71.558</v>
      </c>
      <c r="M12" s="0" t="n">
        <v>-13.026</v>
      </c>
      <c r="N12" s="0" t="n">
        <v>58.532</v>
      </c>
      <c r="O12" s="0" t="n">
        <v>641.083</v>
      </c>
      <c r="P12" s="0" t="n">
        <v>1578.163</v>
      </c>
      <c r="Q12" s="0" t="n">
        <v>937.08</v>
      </c>
      <c r="R12" s="0" t="n">
        <v>481.312</v>
      </c>
      <c r="S12" s="0" t="n">
        <v>46.369</v>
      </c>
      <c r="T12" s="0" t="n">
        <v>221.537</v>
      </c>
      <c r="U12" s="0" t="n">
        <v>1.338</v>
      </c>
      <c r="V12" s="0" t="n">
        <v>10.5</v>
      </c>
      <c r="X12" s="0" t="n">
        <v>852.871</v>
      </c>
      <c r="Y12" s="0" t="n">
        <v>222.4</v>
      </c>
      <c r="Z12" s="0" t="n">
        <v>105.4</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2.86</v>
      </c>
    </row>
    <row r="3" customFormat="false" ht="15" hidden="false" customHeight="false" outlineLevel="0" collapsed="false">
      <c r="A3" s="0" t="s">
        <v>77</v>
      </c>
      <c r="B3" s="3" t="n">
        <v>221.537</v>
      </c>
    </row>
    <row r="4" customFormat="false" ht="15" hidden="false" customHeight="false" outlineLevel="0" collapsed="false">
      <c r="A4" s="0" t="s">
        <v>78</v>
      </c>
      <c r="B4" s="3" t="n">
        <v>434.943</v>
      </c>
    </row>
    <row r="5" customFormat="false" ht="15" hidden="false" customHeight="false" outlineLevel="0" collapsed="false">
      <c r="A5" s="0" t="s">
        <v>79</v>
      </c>
      <c r="B5" s="3" t="n">
        <v>0</v>
      </c>
    </row>
    <row r="6" customFormat="false" ht="15" hidden="false" customHeight="false" outlineLevel="0" collapsed="false">
      <c r="A6" s="0" t="s">
        <v>80</v>
      </c>
      <c r="B6" s="3" t="n">
        <v>15</v>
      </c>
    </row>
    <row r="7" customFormat="false" ht="15" hidden="false" customHeight="false" outlineLevel="0" collapsed="false">
      <c r="A7" s="0" t="s">
        <v>81</v>
      </c>
      <c r="B7" s="3" t="n">
        <v>852.871</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1</v>
      </c>
      <c r="D13" s="3" t="n">
        <v>1.5</v>
      </c>
      <c r="E13" s="3" t="n">
        <v>1</v>
      </c>
      <c r="F13" s="3" t="n">
        <v>1</v>
      </c>
      <c r="G13" s="3" t="n">
        <v>1.5</v>
      </c>
      <c r="H13" s="3" t="n">
        <v>1.5</v>
      </c>
      <c r="I13" s="3" t="n">
        <v>1.5</v>
      </c>
      <c r="J13" s="3" t="n">
        <v>1.5</v>
      </c>
      <c r="K13" s="3" t="n">
        <v>1.5</v>
      </c>
      <c r="L13" s="3" t="n">
        <v>1.5</v>
      </c>
    </row>
    <row r="14" customFormat="false" ht="15" hidden="false" customHeight="false" outlineLevel="0" collapsed="false">
      <c r="A14" s="0" t="s">
        <v>98</v>
      </c>
      <c r="C14" s="3" t="n">
        <v>24.5</v>
      </c>
      <c r="D14" s="3" t="n">
        <v>24</v>
      </c>
      <c r="E14" s="3" t="n">
        <v>23.8</v>
      </c>
      <c r="F14" s="3" t="n">
        <v>23.8</v>
      </c>
      <c r="G14" s="3" t="n">
        <v>24</v>
      </c>
      <c r="H14" s="3" t="n">
        <v>24.2</v>
      </c>
      <c r="I14" s="3" t="n">
        <v>24.3</v>
      </c>
      <c r="J14" s="3" t="n">
        <v>24.3</v>
      </c>
      <c r="K14" s="3" t="n">
        <v>24.3</v>
      </c>
      <c r="L14" s="3" t="n">
        <v>24.3</v>
      </c>
    </row>
    <row r="15" customFormat="false" ht="15" hidden="false" customHeight="false" outlineLevel="0" collapsed="false">
      <c r="A15" s="0" t="s">
        <v>99</v>
      </c>
      <c r="C15" s="3" t="n">
        <v>0.16</v>
      </c>
      <c r="D15" s="3" t="n">
        <v>0.16</v>
      </c>
      <c r="E15" s="3" t="n">
        <v>0.16</v>
      </c>
      <c r="F15" s="3" t="n">
        <v>0.16</v>
      </c>
      <c r="G15" s="3" t="n">
        <v>0.16</v>
      </c>
      <c r="H15" s="3" t="n">
        <v>0.16</v>
      </c>
      <c r="I15" s="3" t="n">
        <v>0.16</v>
      </c>
      <c r="J15" s="3" t="n">
        <v>0.16</v>
      </c>
      <c r="K15" s="3" t="n">
        <v>0.16</v>
      </c>
      <c r="L15" s="3" t="n">
        <v>0.16</v>
      </c>
    </row>
    <row r="16" customFormat="false" ht="15" hidden="false" customHeight="false" outlineLevel="0" collapsed="false">
      <c r="A16" s="0" t="s">
        <v>100</v>
      </c>
      <c r="C16" s="3" t="n">
        <v>4.2</v>
      </c>
      <c r="D16" s="3" t="n">
        <v>4.2</v>
      </c>
      <c r="E16" s="3" t="n">
        <v>4.1</v>
      </c>
      <c r="F16" s="3" t="n">
        <v>4.1</v>
      </c>
      <c r="G16" s="3" t="n">
        <v>4</v>
      </c>
      <c r="H16" s="3" t="n">
        <v>4</v>
      </c>
      <c r="I16" s="3" t="n">
        <v>4</v>
      </c>
      <c r="J16" s="3" t="n">
        <v>4</v>
      </c>
      <c r="K16" s="3" t="n">
        <v>4</v>
      </c>
      <c r="L16" s="3" t="n">
        <v>4</v>
      </c>
    </row>
    <row r="17" customFormat="false" ht="15" hidden="false" customHeight="false" outlineLevel="0" collapsed="false">
      <c r="A17" s="0" t="s">
        <v>101</v>
      </c>
      <c r="C17" s="3" t="n">
        <v>11.2</v>
      </c>
      <c r="D17" s="3" t="n">
        <v>11.3</v>
      </c>
      <c r="E17" s="3" t="n">
        <v>11.3</v>
      </c>
      <c r="F17" s="3" t="n">
        <v>11.2</v>
      </c>
      <c r="G17" s="3" t="n">
        <v>11.1</v>
      </c>
      <c r="H17" s="3" t="n">
        <v>11</v>
      </c>
      <c r="I17" s="3" t="n">
        <v>11</v>
      </c>
      <c r="J17" s="3" t="n">
        <v>11</v>
      </c>
      <c r="K17" s="3" t="n">
        <v>11</v>
      </c>
      <c r="L17" s="3" t="n">
        <v>11</v>
      </c>
    </row>
    <row r="18" customFormat="false" ht="15" hidden="false" customHeight="false" outlineLevel="0" collapsed="false">
      <c r="A18" s="0" t="s">
        <v>102</v>
      </c>
      <c r="C18" s="3" t="n">
        <v>17.5</v>
      </c>
      <c r="D18" s="3" t="n">
        <v>17</v>
      </c>
      <c r="E18" s="3" t="n">
        <v>16</v>
      </c>
      <c r="F18" s="3" t="n">
        <v>15</v>
      </c>
      <c r="G18" s="3" t="n">
        <v>14.5</v>
      </c>
      <c r="H18" s="3" t="n">
        <v>14</v>
      </c>
      <c r="I18" s="3" t="n">
        <v>13.8</v>
      </c>
      <c r="J18" s="3" t="n">
        <v>13.6</v>
      </c>
      <c r="K18" s="3" t="n">
        <v>13.5</v>
      </c>
      <c r="L18" s="3" t="n">
        <v>13.5</v>
      </c>
    </row>
    <row r="19" customFormat="false" ht="15" hidden="false" customHeight="false" outlineLevel="0" collapsed="false">
      <c r="A19" s="0" t="s">
        <v>103</v>
      </c>
      <c r="C19" s="3" t="n">
        <v>32</v>
      </c>
      <c r="D19" s="3" t="n">
        <v>30</v>
      </c>
      <c r="E19" s="3" t="n">
        <v>28</v>
      </c>
      <c r="F19" s="3" t="n">
        <v>28</v>
      </c>
      <c r="G19" s="3" t="n">
        <v>28</v>
      </c>
      <c r="H19" s="3" t="n">
        <v>28</v>
      </c>
      <c r="I19" s="3" t="n">
        <v>28</v>
      </c>
      <c r="J19" s="3" t="n">
        <v>28</v>
      </c>
      <c r="K19" s="3" t="n">
        <v>28</v>
      </c>
      <c r="L19" s="3" t="n">
        <v>28</v>
      </c>
    </row>
    <row r="20" customFormat="false" ht="15" hidden="false" customHeight="false" outlineLevel="0" collapsed="false">
      <c r="A20" s="0" t="s">
        <v>104</v>
      </c>
      <c r="B20" s="3" t="n">
        <v>9.5</v>
      </c>
    </row>
    <row r="21" customFormat="false" ht="15" hidden="false" customHeight="false" outlineLevel="0" collapsed="false">
      <c r="A21" s="0" t="s">
        <v>105</v>
      </c>
      <c r="B21" s="3" t="n">
        <v>2</v>
      </c>
    </row>
    <row r="22" customFormat="false" ht="15" hidden="false" customHeight="false" outlineLevel="0" collapsed="false">
      <c r="A22" s="0" t="s">
        <v>106</v>
      </c>
      <c r="B22" s="3" t="n">
        <v>12</v>
      </c>
    </row>
    <row r="23" customFormat="false" ht="15" hidden="false" customHeight="false" outlineLevel="0" collapsed="false">
      <c r="A23" s="0" t="s">
        <v>107</v>
      </c>
      <c r="B23" s="3" t="n">
        <v>-4</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6</v>
      </c>
      <c r="D27" s="3" t="n">
        <v>6</v>
      </c>
      <c r="E27" s="3" t="n">
        <v>5</v>
      </c>
      <c r="F27" s="3" t="n">
        <v>4.5</v>
      </c>
      <c r="G27" s="3" t="n">
        <v>4</v>
      </c>
      <c r="H27" s="3" t="n">
        <v>3.5</v>
      </c>
      <c r="I27" s="3" t="n">
        <v>3</v>
      </c>
      <c r="J27" s="3" t="n">
        <v>3</v>
      </c>
      <c r="K27" s="3" t="n">
        <v>2.5</v>
      </c>
      <c r="L27" s="3" t="n">
        <v>2.5</v>
      </c>
    </row>
    <row r="28" customFormat="false" ht="15" hidden="false" customHeight="false" outlineLevel="0" collapsed="false">
      <c r="A28" s="0" t="s">
        <v>98</v>
      </c>
      <c r="C28" s="3" t="n">
        <v>26.3</v>
      </c>
      <c r="D28" s="3" t="n">
        <v>26.6</v>
      </c>
      <c r="E28" s="3" t="n">
        <v>26.9</v>
      </c>
      <c r="F28" s="3" t="n">
        <v>27.1</v>
      </c>
      <c r="G28" s="3" t="n">
        <v>27.3</v>
      </c>
      <c r="H28" s="3" t="n">
        <v>27.4</v>
      </c>
      <c r="I28" s="3" t="n">
        <v>27.5</v>
      </c>
      <c r="J28" s="3" t="n">
        <v>27.5</v>
      </c>
      <c r="K28" s="3" t="n">
        <v>27.5</v>
      </c>
      <c r="L28" s="3" t="n">
        <v>27.5</v>
      </c>
    </row>
    <row r="29" customFormat="false" ht="15" hidden="false" customHeight="false" outlineLevel="0" collapsed="false">
      <c r="A29" s="0" t="s">
        <v>99</v>
      </c>
      <c r="C29" s="3" t="n">
        <v>0.16</v>
      </c>
      <c r="D29" s="3" t="n">
        <v>0.16</v>
      </c>
      <c r="E29" s="3" t="n">
        <v>0.16</v>
      </c>
      <c r="F29" s="3" t="n">
        <v>0.16</v>
      </c>
      <c r="G29" s="3" t="n">
        <v>0.16</v>
      </c>
      <c r="H29" s="3" t="n">
        <v>0.16</v>
      </c>
      <c r="I29" s="3" t="n">
        <v>0.16</v>
      </c>
      <c r="J29" s="3" t="n">
        <v>0.16</v>
      </c>
      <c r="K29" s="3" t="n">
        <v>0.16</v>
      </c>
      <c r="L29" s="3" t="n">
        <v>0.16</v>
      </c>
    </row>
    <row r="30" customFormat="false" ht="15" hidden="false" customHeight="false" outlineLevel="0" collapsed="false">
      <c r="A30" s="0" t="s">
        <v>100</v>
      </c>
      <c r="C30" s="3" t="n">
        <v>3.8</v>
      </c>
      <c r="D30" s="3" t="n">
        <v>3.7</v>
      </c>
      <c r="E30" s="3" t="n">
        <v>3.6</v>
      </c>
      <c r="F30" s="3" t="n">
        <v>3.6</v>
      </c>
      <c r="G30" s="3" t="n">
        <v>3.5</v>
      </c>
      <c r="H30" s="3" t="n">
        <v>3.5</v>
      </c>
      <c r="I30" s="3" t="n">
        <v>3.5</v>
      </c>
      <c r="J30" s="3" t="n">
        <v>3.5</v>
      </c>
      <c r="K30" s="3" t="n">
        <v>3.5</v>
      </c>
      <c r="L30" s="3" t="n">
        <v>3.5</v>
      </c>
    </row>
    <row r="31" customFormat="false" ht="15" hidden="false" customHeight="false" outlineLevel="0" collapsed="false">
      <c r="A31" s="0" t="s">
        <v>101</v>
      </c>
      <c r="C31" s="3" t="n">
        <v>10.7</v>
      </c>
      <c r="D31" s="3" t="n">
        <v>10.7</v>
      </c>
      <c r="E31" s="3" t="n">
        <v>10.6</v>
      </c>
      <c r="F31" s="3" t="n">
        <v>10.6</v>
      </c>
      <c r="G31" s="3" t="n">
        <v>10.5</v>
      </c>
      <c r="H31" s="3" t="n">
        <v>10.5</v>
      </c>
      <c r="I31" s="3" t="n">
        <v>10.5</v>
      </c>
      <c r="J31" s="3" t="n">
        <v>10.5</v>
      </c>
      <c r="K31" s="3" t="n">
        <v>10.5</v>
      </c>
      <c r="L31" s="3" t="n">
        <v>10.5</v>
      </c>
    </row>
    <row r="32" customFormat="false" ht="15" hidden="false" customHeight="false" outlineLevel="0" collapsed="false">
      <c r="A32" s="0" t="s">
        <v>102</v>
      </c>
      <c r="C32" s="3" t="n">
        <v>16</v>
      </c>
      <c r="D32" s="3" t="n">
        <v>15</v>
      </c>
      <c r="E32" s="3" t="n">
        <v>14</v>
      </c>
      <c r="F32" s="3" t="n">
        <v>13.5</v>
      </c>
      <c r="G32" s="3" t="n">
        <v>13</v>
      </c>
      <c r="H32" s="3" t="n">
        <v>12.5</v>
      </c>
      <c r="I32" s="3" t="n">
        <v>12</v>
      </c>
      <c r="J32" s="3" t="n">
        <v>11.8</v>
      </c>
      <c r="K32" s="3" t="n">
        <v>11.6</v>
      </c>
      <c r="L32" s="3" t="n">
        <v>11.5</v>
      </c>
    </row>
    <row r="33" customFormat="false" ht="15" hidden="false" customHeight="false" outlineLevel="0" collapsed="false">
      <c r="A33" s="0" t="s">
        <v>103</v>
      </c>
      <c r="C33" s="3" t="n">
        <v>30</v>
      </c>
      <c r="D33" s="3" t="n">
        <v>29</v>
      </c>
      <c r="E33" s="3" t="n">
        <v>28</v>
      </c>
      <c r="F33" s="3" t="n">
        <v>28</v>
      </c>
      <c r="G33" s="3" t="n">
        <v>28</v>
      </c>
      <c r="H33" s="3" t="n">
        <v>28</v>
      </c>
      <c r="I33" s="3" t="n">
        <v>28</v>
      </c>
      <c r="J33" s="3" t="n">
        <v>28</v>
      </c>
      <c r="K33" s="3" t="n">
        <v>28</v>
      </c>
      <c r="L33" s="3" t="n">
        <v>28</v>
      </c>
    </row>
    <row r="34" customFormat="false" ht="15" hidden="false" customHeight="false" outlineLevel="0" collapsed="false">
      <c r="A34" s="0" t="s">
        <v>104</v>
      </c>
      <c r="B34" s="3" t="n">
        <v>9</v>
      </c>
    </row>
    <row r="35" customFormat="false" ht="15" hidden="false" customHeight="false" outlineLevel="0" collapsed="false">
      <c r="A35" s="0" t="s">
        <v>105</v>
      </c>
      <c r="B35" s="3" t="n">
        <v>2.5</v>
      </c>
    </row>
    <row r="36" customFormat="false" ht="15" hidden="false" customHeight="false" outlineLevel="0" collapsed="false">
      <c r="A36" s="0" t="s">
        <v>106</v>
      </c>
      <c r="B36" s="3" t="n">
        <v>14</v>
      </c>
    </row>
    <row r="37" customFormat="false" ht="15" hidden="false" customHeight="false" outlineLevel="0" collapsed="false">
      <c r="A37" s="0" t="s">
        <v>107</v>
      </c>
      <c r="B37" s="3" t="n">
        <v>-3</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9</v>
      </c>
      <c r="D41" s="3" t="n">
        <v>9.5</v>
      </c>
      <c r="E41" s="3" t="n">
        <v>8</v>
      </c>
      <c r="F41" s="3" t="n">
        <v>7</v>
      </c>
      <c r="G41" s="3" t="n">
        <v>6</v>
      </c>
      <c r="H41" s="3" t="n">
        <v>5</v>
      </c>
      <c r="I41" s="3" t="n">
        <v>4</v>
      </c>
      <c r="J41" s="3" t="n">
        <v>3.5</v>
      </c>
      <c r="K41" s="3" t="n">
        <v>3</v>
      </c>
      <c r="L41" s="3" t="n">
        <v>3</v>
      </c>
    </row>
    <row r="42" customFormat="false" ht="15" hidden="false" customHeight="false" outlineLevel="0" collapsed="false">
      <c r="A42" s="0" t="s">
        <v>98</v>
      </c>
      <c r="C42" s="3" t="n">
        <v>27</v>
      </c>
      <c r="D42" s="3" t="n">
        <v>27.8</v>
      </c>
      <c r="E42" s="3" t="n">
        <v>28.5</v>
      </c>
      <c r="F42" s="3" t="n">
        <v>29</v>
      </c>
      <c r="G42" s="3" t="n">
        <v>29.3</v>
      </c>
      <c r="H42" s="3" t="n">
        <v>29.5</v>
      </c>
      <c r="I42" s="3" t="n">
        <v>29.6</v>
      </c>
      <c r="J42" s="3" t="n">
        <v>29.6</v>
      </c>
      <c r="K42" s="3" t="n">
        <v>29.6</v>
      </c>
      <c r="L42" s="3" t="n">
        <v>29.6</v>
      </c>
    </row>
    <row r="43" customFormat="false" ht="15" hidden="false" customHeight="false" outlineLevel="0" collapsed="false">
      <c r="A43" s="0" t="s">
        <v>99</v>
      </c>
      <c r="C43" s="3" t="n">
        <v>0.16</v>
      </c>
      <c r="D43" s="3" t="n">
        <v>0.16</v>
      </c>
      <c r="E43" s="3" t="n">
        <v>0.16</v>
      </c>
      <c r="F43" s="3" t="n">
        <v>0.16</v>
      </c>
      <c r="G43" s="3" t="n">
        <v>0.16</v>
      </c>
      <c r="H43" s="3" t="n">
        <v>0.16</v>
      </c>
      <c r="I43" s="3" t="n">
        <v>0.16</v>
      </c>
      <c r="J43" s="3" t="n">
        <v>0.16</v>
      </c>
      <c r="K43" s="3" t="n">
        <v>0.16</v>
      </c>
      <c r="L43" s="3" t="n">
        <v>0.16</v>
      </c>
    </row>
    <row r="44" customFormat="false" ht="15" hidden="false" customHeight="false" outlineLevel="0" collapsed="false">
      <c r="A44" s="0" t="s">
        <v>100</v>
      </c>
      <c r="C44" s="3" t="n">
        <v>3.7</v>
      </c>
      <c r="D44" s="3" t="n">
        <v>3.5</v>
      </c>
      <c r="E44" s="3" t="n">
        <v>3.4</v>
      </c>
      <c r="F44" s="3" t="n">
        <v>3.4</v>
      </c>
      <c r="G44" s="3" t="n">
        <v>3.3</v>
      </c>
      <c r="H44" s="3" t="n">
        <v>3.3</v>
      </c>
      <c r="I44" s="3" t="n">
        <v>3.3</v>
      </c>
      <c r="J44" s="3" t="n">
        <v>3.3</v>
      </c>
      <c r="K44" s="3" t="n">
        <v>3.3</v>
      </c>
      <c r="L44" s="3" t="n">
        <v>3.3</v>
      </c>
    </row>
    <row r="45" customFormat="false" ht="15" hidden="false" customHeight="false" outlineLevel="0" collapsed="false">
      <c r="A45" s="0" t="s">
        <v>101</v>
      </c>
      <c r="C45" s="3" t="n">
        <v>10.6</v>
      </c>
      <c r="D45" s="3" t="n">
        <v>10.5</v>
      </c>
      <c r="E45" s="3" t="n">
        <v>10.4</v>
      </c>
      <c r="F45" s="3" t="n">
        <v>10.3</v>
      </c>
      <c r="G45" s="3" t="n">
        <v>10.2</v>
      </c>
      <c r="H45" s="3" t="n">
        <v>10.2</v>
      </c>
      <c r="I45" s="3" t="n">
        <v>10.2</v>
      </c>
      <c r="J45" s="3" t="n">
        <v>10.2</v>
      </c>
      <c r="K45" s="3" t="n">
        <v>10.2</v>
      </c>
      <c r="L45" s="3" t="n">
        <v>10.2</v>
      </c>
    </row>
    <row r="46" customFormat="false" ht="15" hidden="false" customHeight="false" outlineLevel="0" collapsed="false">
      <c r="A46" s="0" t="s">
        <v>102</v>
      </c>
      <c r="C46" s="3" t="n">
        <v>15</v>
      </c>
      <c r="D46" s="3" t="n">
        <v>13.5</v>
      </c>
      <c r="E46" s="3" t="n">
        <v>12.5</v>
      </c>
      <c r="F46" s="3" t="n">
        <v>11.8</v>
      </c>
      <c r="G46" s="3" t="n">
        <v>11.2</v>
      </c>
      <c r="H46" s="3" t="n">
        <v>10.8</v>
      </c>
      <c r="I46" s="3" t="n">
        <v>10.5</v>
      </c>
      <c r="J46" s="3" t="n">
        <v>10.3</v>
      </c>
      <c r="K46" s="3" t="n">
        <v>10.2</v>
      </c>
      <c r="L46" s="3" t="n">
        <v>10</v>
      </c>
    </row>
    <row r="47" customFormat="false" ht="15" hidden="false" customHeight="false" outlineLevel="0" collapsed="false">
      <c r="A47" s="0" t="s">
        <v>103</v>
      </c>
      <c r="C47" s="3" t="n">
        <v>29</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104</v>
      </c>
      <c r="B48" s="3" t="n">
        <v>8.5</v>
      </c>
    </row>
    <row r="49" customFormat="false" ht="15" hidden="false" customHeight="false" outlineLevel="0" collapsed="false">
      <c r="A49" s="0" t="s">
        <v>105</v>
      </c>
      <c r="B49" s="3" t="n">
        <v>3</v>
      </c>
    </row>
    <row r="50" customFormat="false" ht="15" hidden="false" customHeight="false" outlineLevel="0" collapsed="false">
      <c r="A50" s="0" t="s">
        <v>106</v>
      </c>
      <c r="B50" s="3" t="n">
        <v>15</v>
      </c>
    </row>
    <row r="51" customFormat="false" ht="15" hidden="false" customHeight="false" outlineLevel="0" collapsed="false">
      <c r="A51" s="0" t="s">
        <v>107</v>
      </c>
      <c r="B51" s="3" t="n">
        <v>-2</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1</v>
      </c>
      <c r="D5" s="4" t="n">
        <f aca="false">Assumptions!D13</f>
        <v>1.5</v>
      </c>
      <c r="E5" s="4" t="n">
        <f aca="false">Assumptions!E13</f>
        <v>1</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852.871</v>
      </c>
      <c r="C6" s="0" t="n">
        <f aca="false">B6*(1+C5/100)</f>
        <v>861.39971</v>
      </c>
      <c r="D6" s="0" t="n">
        <f aca="false">C6*(1+D5/100)</f>
        <v>874.32070565</v>
      </c>
      <c r="E6" s="0" t="n">
        <f aca="false">D6*(1+E5/100)</f>
        <v>883.0639127065</v>
      </c>
      <c r="F6" s="0" t="n">
        <f aca="false">E6*(1+F5/100)</f>
        <v>891.894551833565</v>
      </c>
      <c r="G6" s="0" t="n">
        <f aca="false">F6*(1+G5/100)</f>
        <v>905.272970111068</v>
      </c>
      <c r="H6" s="0" t="n">
        <f aca="false">G6*(1+H5/100)</f>
        <v>918.852064662734</v>
      </c>
      <c r="I6" s="0" t="n">
        <f aca="false">H6*(1+I5/100)</f>
        <v>932.634845632675</v>
      </c>
      <c r="J6" s="0" t="n">
        <f aca="false">I6*(1+J5/100)</f>
        <v>946.624368317165</v>
      </c>
      <c r="K6" s="0" t="n">
        <f aca="false">J6*(1+K5/100)</f>
        <v>960.823733841922</v>
      </c>
      <c r="L6" s="0" t="n">
        <f aca="false">K6*(1+L5/100)</f>
        <v>975.236089849551</v>
      </c>
    </row>
    <row r="7" customFormat="false" ht="15" hidden="false" customHeight="false" outlineLevel="0" collapsed="false">
      <c r="A7" s="0" t="s">
        <v>98</v>
      </c>
      <c r="C7" s="4" t="n">
        <f aca="false">Assumptions!C14</f>
        <v>24.5</v>
      </c>
      <c r="D7" s="4" t="n">
        <f aca="false">Assumptions!D14</f>
        <v>24</v>
      </c>
      <c r="E7" s="4" t="n">
        <f aca="false">Assumptions!E14</f>
        <v>23.8</v>
      </c>
      <c r="F7" s="4" t="n">
        <f aca="false">Assumptions!F14</f>
        <v>23.8</v>
      </c>
      <c r="G7" s="4" t="n">
        <f aca="false">Assumptions!G14</f>
        <v>24</v>
      </c>
      <c r="H7" s="4" t="n">
        <f aca="false">Assumptions!H14</f>
        <v>24.2</v>
      </c>
      <c r="I7" s="4" t="n">
        <f aca="false">Assumptions!I14</f>
        <v>24.3</v>
      </c>
      <c r="J7" s="4" t="n">
        <f aca="false">Assumptions!J14</f>
        <v>24.3</v>
      </c>
      <c r="K7" s="4" t="n">
        <f aca="false">Assumptions!K14</f>
        <v>24.3</v>
      </c>
      <c r="L7" s="4" t="n">
        <f aca="false">Assumptions!L14</f>
        <v>24.3</v>
      </c>
    </row>
    <row r="8" customFormat="false" ht="15" hidden="false" customHeight="false" outlineLevel="0" collapsed="false">
      <c r="A8" s="0" t="s">
        <v>43</v>
      </c>
      <c r="C8" s="0" t="n">
        <f aca="false">C6*C7/100</f>
        <v>211.04292895</v>
      </c>
      <c r="D8" s="0" t="n">
        <f aca="false">D6*D7/100</f>
        <v>209.836969356</v>
      </c>
      <c r="E8" s="0" t="n">
        <f aca="false">E6*E7/100</f>
        <v>210.169211224147</v>
      </c>
      <c r="F8" s="0" t="n">
        <f aca="false">F6*F7/100</f>
        <v>212.270903336388</v>
      </c>
      <c r="G8" s="0" t="n">
        <f aca="false">G6*G7/100</f>
        <v>217.265512826656</v>
      </c>
      <c r="H8" s="0" t="n">
        <f aca="false">H6*H7/100</f>
        <v>222.362199648382</v>
      </c>
      <c r="I8" s="0" t="n">
        <f aca="false">I6*I7/100</f>
        <v>226.63026748874</v>
      </c>
      <c r="J8" s="0" t="n">
        <f aca="false">J6*J7/100</f>
        <v>230.029721501071</v>
      </c>
      <c r="K8" s="0" t="n">
        <f aca="false">K6*K7/100</f>
        <v>233.480167323587</v>
      </c>
      <c r="L8" s="0" t="n">
        <f aca="false">L6*L7/100</f>
        <v>236.982369833441</v>
      </c>
    </row>
    <row r="9" customFormat="false" ht="15" hidden="false" customHeight="false" outlineLevel="0" collapsed="false">
      <c r="A9" s="0" t="s">
        <v>99</v>
      </c>
      <c r="C9" s="4" t="n">
        <f aca="false">Assumptions!C15</f>
        <v>0.16</v>
      </c>
      <c r="D9" s="4" t="n">
        <f aca="false">Assumptions!D15</f>
        <v>0.16</v>
      </c>
      <c r="E9" s="4" t="n">
        <f aca="false">Assumptions!E15</f>
        <v>0.16</v>
      </c>
      <c r="F9" s="4" t="n">
        <f aca="false">Assumptions!F15</f>
        <v>0.16</v>
      </c>
      <c r="G9" s="4" t="n">
        <f aca="false">Assumptions!G15</f>
        <v>0.16</v>
      </c>
      <c r="H9" s="4" t="n">
        <f aca="false">Assumptions!H15</f>
        <v>0.16</v>
      </c>
      <c r="I9" s="4" t="n">
        <f aca="false">Assumptions!I15</f>
        <v>0.16</v>
      </c>
      <c r="J9" s="4" t="n">
        <f aca="false">Assumptions!J15</f>
        <v>0.16</v>
      </c>
      <c r="K9" s="4" t="n">
        <f aca="false">Assumptions!K15</f>
        <v>0.16</v>
      </c>
      <c r="L9" s="4" t="n">
        <f aca="false">Assumptions!L15</f>
        <v>0.16</v>
      </c>
    </row>
    <row r="10" customFormat="false" ht="15" hidden="false" customHeight="false" outlineLevel="0" collapsed="false">
      <c r="A10" s="0" t="s">
        <v>114</v>
      </c>
      <c r="C10" s="0" t="n">
        <f aca="false">-C6*C9/100</f>
        <v>-1.378239536</v>
      </c>
      <c r="D10" s="0" t="n">
        <f aca="false">-D6*D9/100</f>
        <v>-1.39891312904</v>
      </c>
      <c r="E10" s="0" t="n">
        <f aca="false">-E6*E9/100</f>
        <v>-1.4129022603304</v>
      </c>
      <c r="F10" s="0" t="n">
        <f aca="false">-F6*F9/100</f>
        <v>-1.4270312829337</v>
      </c>
      <c r="G10" s="0" t="n">
        <f aca="false">-G6*G9/100</f>
        <v>-1.44843675217771</v>
      </c>
      <c r="H10" s="0" t="n">
        <f aca="false">-H6*H9/100</f>
        <v>-1.47016330346037</v>
      </c>
      <c r="I10" s="0" t="n">
        <f aca="false">-I6*I9/100</f>
        <v>-1.49221575301228</v>
      </c>
      <c r="J10" s="0" t="n">
        <f aca="false">-J6*J9/100</f>
        <v>-1.51459898930746</v>
      </c>
      <c r="K10" s="0" t="n">
        <f aca="false">-K6*K9/100</f>
        <v>-1.53731797414708</v>
      </c>
      <c r="L10" s="0" t="n">
        <f aca="false">-L6*L9/100</f>
        <v>-1.56037774375928</v>
      </c>
    </row>
    <row r="11" customFormat="false" ht="15" hidden="false" customHeight="false" outlineLevel="0" collapsed="false">
      <c r="A11" s="0" t="s">
        <v>115</v>
      </c>
      <c r="C11" s="0" t="n">
        <f aca="false">C8+C10+C24</f>
        <v>173.485901594</v>
      </c>
      <c r="D11" s="0" t="n">
        <f aca="false">D8+D10+D24</f>
        <v>171.71658658966</v>
      </c>
      <c r="E11" s="0" t="n">
        <f aca="false">E8+E10+E24</f>
        <v>172.55068854285</v>
      </c>
      <c r="F11" s="0" t="n">
        <f aca="false">F8+F10+F24</f>
        <v>174.276195428279</v>
      </c>
      <c r="G11" s="0" t="n">
        <f aca="false">G8+G10+G24</f>
        <v>179.606157270036</v>
      </c>
      <c r="H11" s="0" t="n">
        <f aca="false">H8+H10+H24</f>
        <v>184.137953758412</v>
      </c>
      <c r="I11" s="0" t="n">
        <f aca="false">I8+I10+I24</f>
        <v>187.832657910421</v>
      </c>
      <c r="J11" s="0" t="n">
        <f aca="false">J8+J10+J24</f>
        <v>190.650147779077</v>
      </c>
      <c r="K11" s="0" t="n">
        <f aca="false">K8+K10+K24</f>
        <v>193.509899995763</v>
      </c>
      <c r="L11" s="0" t="n">
        <f aca="false">L8+L10+L24</f>
        <v>196.4125484957</v>
      </c>
    </row>
    <row r="12" customFormat="false" ht="15" hidden="false" customHeight="false" outlineLevel="0" collapsed="false">
      <c r="A12" s="0" t="s">
        <v>116</v>
      </c>
      <c r="C12" s="4" t="n">
        <f aca="false">-C6*Assumptions!C17/100</f>
        <v>-96.47676752</v>
      </c>
      <c r="D12" s="4" t="n">
        <f aca="false">-D6*Assumptions!D17/100</f>
        <v>-98.79823973845</v>
      </c>
      <c r="E12" s="4" t="n">
        <f aca="false">-E6*Assumptions!E17/100</f>
        <v>-99.7862221358345</v>
      </c>
      <c r="F12" s="4" t="n">
        <f aca="false">-F6*Assumptions!F17/100</f>
        <v>-99.8921898053593</v>
      </c>
      <c r="G12" s="4" t="n">
        <f aca="false">-G6*Assumptions!G17/100</f>
        <v>-100.485299682329</v>
      </c>
      <c r="H12" s="4" t="n">
        <f aca="false">-H6*Assumptions!H17/100</f>
        <v>-101.073727112901</v>
      </c>
      <c r="I12" s="4" t="n">
        <f aca="false">-I6*Assumptions!I17/100</f>
        <v>-102.589833019594</v>
      </c>
      <c r="J12" s="4" t="n">
        <f aca="false">-J6*Assumptions!J17/100</f>
        <v>-104.128680514888</v>
      </c>
      <c r="K12" s="4" t="n">
        <f aca="false">-K6*Assumptions!K17/100</f>
        <v>-105.690610722611</v>
      </c>
      <c r="L12" s="4" t="n">
        <f aca="false">-L6*Assumptions!L17/100</f>
        <v>-107.275969883451</v>
      </c>
    </row>
    <row r="13" customFormat="false" ht="15" hidden="false" customHeight="false" outlineLevel="0" collapsed="false">
      <c r="A13" s="0" t="s">
        <v>117</v>
      </c>
      <c r="C13" s="0" t="n">
        <f aca="false">C11+C12</f>
        <v>77.009134074</v>
      </c>
      <c r="D13" s="0" t="n">
        <f aca="false">D11+D12</f>
        <v>72.91834685121</v>
      </c>
      <c r="E13" s="0" t="n">
        <f aca="false">E11+E12</f>
        <v>72.7644664070156</v>
      </c>
      <c r="F13" s="0" t="n">
        <f aca="false">F11+F12</f>
        <v>74.3840056229193</v>
      </c>
      <c r="G13" s="0" t="n">
        <f aca="false">G11+G12</f>
        <v>79.1208575877073</v>
      </c>
      <c r="H13" s="0" t="n">
        <f aca="false">H11+H12</f>
        <v>83.0642266455112</v>
      </c>
      <c r="I13" s="0" t="n">
        <f aca="false">I11+I12</f>
        <v>85.2428248908265</v>
      </c>
      <c r="J13" s="0" t="n">
        <f aca="false">J11+J12</f>
        <v>86.5214672641889</v>
      </c>
      <c r="K13" s="0" t="n">
        <f aca="false">K11+K12</f>
        <v>87.8192892731517</v>
      </c>
      <c r="L13" s="0" t="n">
        <f aca="false">L11+L12</f>
        <v>89.136578612249</v>
      </c>
    </row>
    <row r="14" customFormat="false" ht="15" hidden="false" customHeight="false" outlineLevel="0" collapsed="false">
      <c r="A14" s="0" t="s">
        <v>103</v>
      </c>
      <c r="C14" s="4" t="n">
        <f aca="false">Assumptions!C19</f>
        <v>32</v>
      </c>
      <c r="D14" s="4" t="n">
        <f aca="false">Assumptions!D19</f>
        <v>30</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118</v>
      </c>
      <c r="C15" s="0" t="n">
        <f aca="false">C13-MAX(0,C13)*C14/100</f>
        <v>52.36621117032</v>
      </c>
      <c r="D15" s="0" t="n">
        <f aca="false">D13-MAX(0,D13)*D14/100</f>
        <v>51.042842795847</v>
      </c>
      <c r="E15" s="0" t="n">
        <f aca="false">E13-MAX(0,E13)*E14/100</f>
        <v>52.3904158130512</v>
      </c>
      <c r="F15" s="0" t="n">
        <f aca="false">F13-MAX(0,F13)*F14/100</f>
        <v>53.5564840485019</v>
      </c>
      <c r="G15" s="0" t="n">
        <f aca="false">G13-MAX(0,G13)*G14/100</f>
        <v>56.9670174631493</v>
      </c>
      <c r="H15" s="0" t="n">
        <f aca="false">H13-MAX(0,H13)*H14/100</f>
        <v>59.8062431847681</v>
      </c>
      <c r="I15" s="0" t="n">
        <f aca="false">I13-MAX(0,I13)*I14/100</f>
        <v>61.3748339213951</v>
      </c>
      <c r="J15" s="0" t="n">
        <f aca="false">J13-MAX(0,J13)*J14/100</f>
        <v>62.295456430216</v>
      </c>
      <c r="K15" s="0" t="n">
        <f aca="false">K13-MAX(0,K13)*K14/100</f>
        <v>63.2298882766693</v>
      </c>
      <c r="L15" s="0" t="n">
        <f aca="false">L13-MAX(0,L13)*L14/100</f>
        <v>64.1783366008193</v>
      </c>
    </row>
    <row r="16" customFormat="false" ht="15" hidden="false" customHeight="false" outlineLevel="0" collapsed="false">
      <c r="A16" s="0" t="s">
        <v>119</v>
      </c>
      <c r="C16" s="0" t="n">
        <f aca="false">-C12</f>
        <v>96.47676752</v>
      </c>
      <c r="D16" s="0" t="n">
        <f aca="false">-D12</f>
        <v>98.79823973845</v>
      </c>
      <c r="E16" s="0" t="n">
        <f aca="false">-E12</f>
        <v>99.7862221358345</v>
      </c>
      <c r="F16" s="0" t="n">
        <f aca="false">-F12</f>
        <v>99.8921898053593</v>
      </c>
      <c r="G16" s="0" t="n">
        <f aca="false">-G12</f>
        <v>100.485299682329</v>
      </c>
      <c r="H16" s="0" t="n">
        <f aca="false">-H12</f>
        <v>101.073727112901</v>
      </c>
      <c r="I16" s="0" t="n">
        <f aca="false">-I12</f>
        <v>102.589833019594</v>
      </c>
      <c r="J16" s="0" t="n">
        <f aca="false">-J12</f>
        <v>104.128680514888</v>
      </c>
      <c r="K16" s="0" t="n">
        <f aca="false">-K12</f>
        <v>105.690610722611</v>
      </c>
      <c r="L16" s="0" t="n">
        <f aca="false">-L12</f>
        <v>107.275969883451</v>
      </c>
    </row>
    <row r="17" customFormat="false" ht="15" hidden="false" customHeight="false" outlineLevel="0" collapsed="false">
      <c r="A17" s="0" t="s">
        <v>120</v>
      </c>
      <c r="C17" s="4" t="n">
        <f aca="false">-C6*Assumptions!C18/100</f>
        <v>-150.74494925</v>
      </c>
      <c r="D17" s="4" t="n">
        <f aca="false">-D6*Assumptions!D18/100</f>
        <v>-148.6345199605</v>
      </c>
      <c r="E17" s="4" t="n">
        <f aca="false">-E6*Assumptions!E18/100</f>
        <v>-141.29022603304</v>
      </c>
      <c r="F17" s="4" t="n">
        <f aca="false">-F6*Assumptions!F18/100</f>
        <v>-133.784182775035</v>
      </c>
      <c r="G17" s="4" t="n">
        <f aca="false">-G6*Assumptions!G18/100</f>
        <v>-131.264580666105</v>
      </c>
      <c r="H17" s="4" t="n">
        <f aca="false">-H6*Assumptions!H18/100</f>
        <v>-128.639289052783</v>
      </c>
      <c r="I17" s="4" t="n">
        <f aca="false">-I6*Assumptions!I18/100</f>
        <v>-128.703608697309</v>
      </c>
      <c r="J17" s="4" t="n">
        <f aca="false">-J6*Assumptions!J18/100</f>
        <v>-128.740914091134</v>
      </c>
      <c r="K17" s="4" t="n">
        <f aca="false">-K6*Assumptions!K18/100</f>
        <v>-129.71120406866</v>
      </c>
      <c r="L17" s="4" t="n">
        <f aca="false">-L6*Assumptions!L18/100</f>
        <v>-131.656872129689</v>
      </c>
    </row>
    <row r="18" customFormat="false" ht="15" hidden="false" customHeight="false" outlineLevel="0" collapsed="false">
      <c r="A18" s="0" t="s">
        <v>121</v>
      </c>
      <c r="C18" s="4" t="n">
        <f aca="false">(C6-B6)*Assumptions!$B$23/100</f>
        <v>-0.341148400000002</v>
      </c>
      <c r="D18" s="4" t="n">
        <f aca="false">(D6-C6)*Assumptions!$B$23/100</f>
        <v>-0.516839825999996</v>
      </c>
      <c r="E18" s="4" t="n">
        <f aca="false">(E6-D6)*Assumptions!$B$23/100</f>
        <v>-0.349728282259998</v>
      </c>
      <c r="F18" s="4" t="n">
        <f aca="false">(F6-E6)*Assumptions!$B$23/100</f>
        <v>-0.353225565082598</v>
      </c>
      <c r="G18" s="4" t="n">
        <f aca="false">(G6-F6)*Assumptions!$B$23/100</f>
        <v>-0.535136731100133</v>
      </c>
      <c r="H18" s="4" t="n">
        <f aca="false">(H6-G6)*Assumptions!$B$23/100</f>
        <v>-0.543163782066636</v>
      </c>
      <c r="I18" s="4" t="n">
        <f aca="false">(I6-H6)*Assumptions!$B$23/100</f>
        <v>-0.551311238797639</v>
      </c>
      <c r="J18" s="4" t="n">
        <f aca="false">(J6-I6)*Assumptions!$B$23/100</f>
        <v>-0.5595809073796</v>
      </c>
      <c r="K18" s="4" t="n">
        <f aca="false">(K6-J6)*Assumptions!$B$23/100</f>
        <v>-0.567974620990294</v>
      </c>
      <c r="L18" s="4" t="n">
        <f aca="false">(L6-K6)*Assumptions!$B$23/100</f>
        <v>-0.576494240305151</v>
      </c>
    </row>
    <row r="19" customFormat="false" ht="15" hidden="false" customHeight="false" outlineLevel="0" collapsed="false">
      <c r="A19" s="0" t="s">
        <v>122</v>
      </c>
      <c r="C19" s="0" t="n">
        <f aca="false">C15+C16+C17+C18</f>
        <v>-2.24311895968</v>
      </c>
      <c r="D19" s="0" t="n">
        <f aca="false">D15+D16+D17+D18</f>
        <v>0.689722747796991</v>
      </c>
      <c r="E19" s="0" t="n">
        <f aca="false">E15+E16+E17+E18</f>
        <v>10.5366836335857</v>
      </c>
      <c r="F19" s="0" t="n">
        <f aca="false">F15+F16+F17+F18</f>
        <v>19.3112655137438</v>
      </c>
      <c r="G19" s="0" t="n">
        <f aca="false">G15+G16+G17+G18</f>
        <v>25.6525997482728</v>
      </c>
      <c r="H19" s="0" t="n">
        <f aca="false">H15+H16+H17+H18</f>
        <v>31.6975174628194</v>
      </c>
      <c r="I19" s="0" t="n">
        <f aca="false">I15+I16+I17+I18</f>
        <v>34.7097470048825</v>
      </c>
      <c r="J19" s="0" t="n">
        <f aca="false">J15+J16+J17+J18</f>
        <v>37.1236419465901</v>
      </c>
      <c r="K19" s="0" t="n">
        <f aca="false">K15+K16+K17+K18</f>
        <v>38.6413203096309</v>
      </c>
      <c r="L19" s="0" t="n">
        <f aca="false">L15+L16+L17+L18</f>
        <v>39.2209401142754</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-2.04851046546119</v>
      </c>
      <c r="D21" s="0" t="n">
        <f aca="false">D19*D20</f>
        <v>0.575236336020509</v>
      </c>
      <c r="E21" s="0" t="n">
        <f aca="false">E19*E20</f>
        <v>8.02530567013076</v>
      </c>
      <c r="F21" s="0" t="n">
        <f aca="false">F19*F20</f>
        <v>13.4324198659973</v>
      </c>
      <c r="G21" s="0" t="n">
        <f aca="false">G19*G20</f>
        <v>16.2952410465054</v>
      </c>
      <c r="H21" s="0" t="n">
        <f aca="false">H19*H20</f>
        <v>18.3882557197605</v>
      </c>
      <c r="I21" s="0" t="n">
        <f aca="false">I19*I20</f>
        <v>18.3887671670195</v>
      </c>
      <c r="J21" s="0" t="n">
        <f aca="false">J19*J20</f>
        <v>17.9612940083774</v>
      </c>
      <c r="K21" s="0" t="n">
        <f aca="false">K19*K20</f>
        <v>17.0735914285106</v>
      </c>
      <c r="L21" s="0" t="n">
        <f aca="false">L19*L20</f>
        <v>15.8262057533683</v>
      </c>
    </row>
    <row r="23" customFormat="false" ht="15" hidden="false" customHeight="false" outlineLevel="0" collapsed="false">
      <c r="A23" s="0" t="s">
        <v>100</v>
      </c>
      <c r="C23" s="4" t="n">
        <f aca="false">Assumptions!C16</f>
        <v>4.2</v>
      </c>
      <c r="D23" s="4" t="n">
        <f aca="false">Assumptions!D16</f>
        <v>4.2</v>
      </c>
      <c r="E23" s="4" t="n">
        <f aca="false">Assumptions!E16</f>
        <v>4.1</v>
      </c>
      <c r="F23" s="4" t="n">
        <f aca="false">Assumptions!F16</f>
        <v>4.1</v>
      </c>
      <c r="G23" s="4" t="n">
        <f aca="false">Assumptions!G16</f>
        <v>4</v>
      </c>
      <c r="H23" s="4" t="n">
        <f aca="false">Assumptions!H16</f>
        <v>4</v>
      </c>
      <c r="I23" s="4" t="n">
        <f aca="false">Assumptions!I16</f>
        <v>4</v>
      </c>
      <c r="J23" s="4" t="n">
        <f aca="false">Assumptions!J16</f>
        <v>4</v>
      </c>
      <c r="K23" s="4" t="n">
        <f aca="false">Assumptions!K16</f>
        <v>4</v>
      </c>
      <c r="L23" s="4" t="n">
        <f aca="false">Assumptions!L16</f>
        <v>4</v>
      </c>
    </row>
    <row r="24" customFormat="false" ht="15" hidden="false" customHeight="false" outlineLevel="0" collapsed="false">
      <c r="A24" s="0" t="s">
        <v>125</v>
      </c>
      <c r="C24" s="0" t="n">
        <f aca="false">-C6*C23/100</f>
        <v>-36.17878782</v>
      </c>
      <c r="D24" s="0" t="n">
        <f aca="false">-D6*D23/100</f>
        <v>-36.7214696373</v>
      </c>
      <c r="E24" s="0" t="n">
        <f aca="false">-E6*E23/100</f>
        <v>-36.2056204209665</v>
      </c>
      <c r="F24" s="0" t="n">
        <f aca="false">-F6*F23/100</f>
        <v>-36.5676766251762</v>
      </c>
      <c r="G24" s="0" t="n">
        <f aca="false">-G6*G23/100</f>
        <v>-36.2109188044427</v>
      </c>
      <c r="H24" s="0" t="n">
        <f aca="false">-H6*H23/100</f>
        <v>-36.7540825865094</v>
      </c>
      <c r="I24" s="0" t="n">
        <f aca="false">-I6*I23/100</f>
        <v>-37.305393825307</v>
      </c>
      <c r="J24" s="0" t="n">
        <f aca="false">-J6*J23/100</f>
        <v>-37.8649747326866</v>
      </c>
      <c r="K24" s="0" t="n">
        <f aca="false">-K6*K23/100</f>
        <v>-38.4329493536769</v>
      </c>
      <c r="L24" s="0" t="n">
        <f aca="false">-L6*L23/100</f>
        <v>-39.0094435939821</v>
      </c>
    </row>
    <row r="26" customFormat="false" ht="15" hidden="false" customHeight="false" outlineLevel="0" collapsed="false">
      <c r="A26" s="2" t="s">
        <v>126</v>
      </c>
    </row>
    <row r="27" customFormat="false" ht="15" hidden="false" customHeight="false" outlineLevel="0" collapsed="false">
      <c r="A27" s="0" t="s">
        <v>104</v>
      </c>
      <c r="B27" s="4" t="n">
        <f aca="false">Assumptions!$B$20</f>
        <v>9.5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123.917806530229</v>
      </c>
    </row>
    <row r="31" customFormat="false" ht="15" hidden="false" customHeight="false" outlineLevel="0" collapsed="false">
      <c r="A31" s="0" t="s">
        <v>128</v>
      </c>
      <c r="B31" s="0" t="n">
        <f aca="false">L19</f>
        <v>39.2209401142754</v>
      </c>
    </row>
    <row r="32" customFormat="false" ht="15" hidden="false" customHeight="false" outlineLevel="0" collapsed="false">
      <c r="A32" s="0" t="s">
        <v>129</v>
      </c>
      <c r="B32" s="0" t="n">
        <f aca="false">IF(B27&gt;B28,B31*(1+B28/100)/((B27-B28)/100),B31*B29)</f>
        <v>533.404785554145</v>
      </c>
    </row>
    <row r="33" customFormat="false" ht="15" hidden="false" customHeight="false" outlineLevel="0" collapsed="false">
      <c r="A33" s="0" t="s">
        <v>130</v>
      </c>
      <c r="B33" s="0" t="n">
        <f aca="false">B31*B29</f>
        <v>470.651281371304</v>
      </c>
    </row>
    <row r="34" customFormat="false" ht="15" hidden="false" customHeight="false" outlineLevel="0" collapsed="false">
      <c r="A34" s="0" t="s">
        <v>131</v>
      </c>
      <c r="B34" s="0" t="n">
        <f aca="false">MAX(0,MIN(B32,B33))</f>
        <v>470.651281371304</v>
      </c>
    </row>
    <row r="35" customFormat="false" ht="15" hidden="false" customHeight="false" outlineLevel="0" collapsed="false">
      <c r="A35" s="0" t="s">
        <v>132</v>
      </c>
      <c r="B35" s="0" t="n">
        <f aca="false">B34/(1+B27/100)^L4</f>
        <v>189.914469040419</v>
      </c>
    </row>
    <row r="36" customFormat="false" ht="15" hidden="false" customHeight="false" outlineLevel="0" collapsed="false">
      <c r="A36" s="0" t="s">
        <v>133</v>
      </c>
      <c r="B36" s="0" t="n">
        <f aca="false">B30+B35</f>
        <v>313.832275570649</v>
      </c>
    </row>
    <row r="37" customFormat="false" ht="15" hidden="false" customHeight="false" outlineLevel="0" collapsed="false">
      <c r="A37" s="0" t="s">
        <v>134</v>
      </c>
      <c r="B37" s="0" t="n">
        <f aca="false">B36+Assumptions!$B$5-Assumptions!$B$4</f>
        <v>-121.110724429351</v>
      </c>
    </row>
    <row r="38" customFormat="false" ht="15" hidden="false" customHeight="false" outlineLevel="0" collapsed="false">
      <c r="A38" s="0" t="s">
        <v>135</v>
      </c>
      <c r="B38" s="0" t="n">
        <f aca="false">B37/Assumptions!$B$3*Assumptions!$B$10</f>
        <v>-0.546683959922503</v>
      </c>
    </row>
    <row r="39" customFormat="false" ht="15" hidden="false" customHeight="false" outlineLevel="0" collapsed="false">
      <c r="A39" s="0" t="s">
        <v>136</v>
      </c>
      <c r="B39" s="4" t="n">
        <f aca="false">B38/Assumptions!$B$2-1</f>
        <v>-1.19114823773514</v>
      </c>
    </row>
    <row r="41" customFormat="false" ht="15" hidden="false" customHeight="false" outlineLevel="0" collapsed="false">
      <c r="A41" s="0" t="s">
        <v>137</v>
      </c>
      <c r="B41" s="0" t="n">
        <f aca="false">SUMPRODUCT(-C10:L10/(1+$B$27/100)^C4:L4)</f>
        <v>9.09932755845419</v>
      </c>
    </row>
    <row r="42" customFormat="false" ht="15" hidden="false" customHeight="false" outlineLevel="0" collapsed="false">
      <c r="A42" s="0" t="s">
        <v>138</v>
      </c>
      <c r="B42" s="0" t="n">
        <f aca="false">IF(B27&gt;B28,-L10*(1+B28/100)/((B27-B28)/100),-L10*20)/(1+B27/100)^L4</f>
        <v>8.56302996539924</v>
      </c>
    </row>
    <row r="43" customFormat="false" ht="15" hidden="false" customHeight="false" outlineLevel="0" collapsed="false">
      <c r="A43" s="0" t="s">
        <v>139</v>
      </c>
      <c r="B43" s="0" t="n">
        <f aca="false">(B37+B41+B42)/Assumptions!$B$3*Assumptions!$B$10</f>
        <v>-0.466957514570921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307.733530127391</v>
      </c>
    </row>
    <row r="47" customFormat="false" ht="15" hidden="false" customHeight="false" outlineLevel="0" collapsed="false">
      <c r="A47" s="0" t="s">
        <v>141</v>
      </c>
      <c r="B47" s="0" t="n">
        <f aca="false">(SUMPRODUCT(C19:L19/(1+B45/100)^C4:L4)+B46/(1+B45/100)^L4+Assumptions!$B$5-Assumptions!$B$4)/Assumptions!$B$3*Assumptions!$B$10</f>
        <v>-1.21882360298063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6</v>
      </c>
      <c r="D5" s="4" t="n">
        <f aca="false">Assumptions!D27</f>
        <v>6</v>
      </c>
      <c r="E5" s="4" t="n">
        <f aca="false">Assumptions!E27</f>
        <v>5</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852.871</v>
      </c>
      <c r="C6" s="0" t="n">
        <f aca="false">B6*(1+C5/100)</f>
        <v>904.04326</v>
      </c>
      <c r="D6" s="0" t="n">
        <f aca="false">C6*(1+D5/100)</f>
        <v>958.2858556</v>
      </c>
      <c r="E6" s="0" t="n">
        <f aca="false">D6*(1+E5/100)</f>
        <v>1006.20014838</v>
      </c>
      <c r="F6" s="0" t="n">
        <f aca="false">E6*(1+F5/100)</f>
        <v>1051.4791550571</v>
      </c>
      <c r="G6" s="0" t="n">
        <f aca="false">F6*(1+G5/100)</f>
        <v>1093.53832125938</v>
      </c>
      <c r="H6" s="0" t="n">
        <f aca="false">G6*(1+H5/100)</f>
        <v>1131.81216250346</v>
      </c>
      <c r="I6" s="0" t="n">
        <f aca="false">H6*(1+I5/100)</f>
        <v>1165.76652737857</v>
      </c>
      <c r="J6" s="0" t="n">
        <f aca="false">I6*(1+J5/100)</f>
        <v>1200.73952319992</v>
      </c>
      <c r="K6" s="0" t="n">
        <f aca="false">J6*(1+K5/100)</f>
        <v>1230.75801127992</v>
      </c>
      <c r="L6" s="0" t="n">
        <f aca="false">K6*(1+L5/100)</f>
        <v>1261.52696156192</v>
      </c>
    </row>
    <row r="7" customFormat="false" ht="15" hidden="false" customHeight="false" outlineLevel="0" collapsed="false">
      <c r="A7" s="0" t="s">
        <v>98</v>
      </c>
      <c r="C7" s="4" t="n">
        <f aca="false">Assumptions!C28</f>
        <v>26.3</v>
      </c>
      <c r="D7" s="4" t="n">
        <f aca="false">Assumptions!D28</f>
        <v>26.6</v>
      </c>
      <c r="E7" s="4" t="n">
        <f aca="false">Assumptions!E28</f>
        <v>26.9</v>
      </c>
      <c r="F7" s="4" t="n">
        <f aca="false">Assumptions!F28</f>
        <v>27.1</v>
      </c>
      <c r="G7" s="4" t="n">
        <f aca="false">Assumptions!G28</f>
        <v>27.3</v>
      </c>
      <c r="H7" s="4" t="n">
        <f aca="false">Assumptions!H28</f>
        <v>27.4</v>
      </c>
      <c r="I7" s="4" t="n">
        <f aca="false">Assumptions!I28</f>
        <v>27.5</v>
      </c>
      <c r="J7" s="4" t="n">
        <f aca="false">Assumptions!J28</f>
        <v>27.5</v>
      </c>
      <c r="K7" s="4" t="n">
        <f aca="false">Assumptions!K28</f>
        <v>27.5</v>
      </c>
      <c r="L7" s="4" t="n">
        <f aca="false">Assumptions!L28</f>
        <v>27.5</v>
      </c>
    </row>
    <row r="8" customFormat="false" ht="15" hidden="false" customHeight="false" outlineLevel="0" collapsed="false">
      <c r="A8" s="0" t="s">
        <v>43</v>
      </c>
      <c r="C8" s="0" t="n">
        <f aca="false">C6*C7/100</f>
        <v>237.76337738</v>
      </c>
      <c r="D8" s="0" t="n">
        <f aca="false">D6*D7/100</f>
        <v>254.9040375896</v>
      </c>
      <c r="E8" s="0" t="n">
        <f aca="false">E6*E7/100</f>
        <v>270.66783991422</v>
      </c>
      <c r="F8" s="0" t="n">
        <f aca="false">F6*F7/100</f>
        <v>284.950851020474</v>
      </c>
      <c r="G8" s="0" t="n">
        <f aca="false">G6*G7/100</f>
        <v>298.535961703812</v>
      </c>
      <c r="H8" s="0" t="n">
        <f aca="false">H6*H7/100</f>
        <v>310.116532525949</v>
      </c>
      <c r="I8" s="0" t="n">
        <f aca="false">I6*I7/100</f>
        <v>320.585795029106</v>
      </c>
      <c r="J8" s="0" t="n">
        <f aca="false">J6*J7/100</f>
        <v>330.203368879979</v>
      </c>
      <c r="K8" s="0" t="n">
        <f aca="false">K6*K7/100</f>
        <v>338.458453101978</v>
      </c>
      <c r="L8" s="0" t="n">
        <f aca="false">L6*L7/100</f>
        <v>346.919914429528</v>
      </c>
    </row>
    <row r="9" customFormat="false" ht="15" hidden="false" customHeight="false" outlineLevel="0" collapsed="false">
      <c r="A9" s="0" t="s">
        <v>99</v>
      </c>
      <c r="C9" s="4" t="n">
        <f aca="false">Assumptions!C29</f>
        <v>0.16</v>
      </c>
      <c r="D9" s="4" t="n">
        <f aca="false">Assumptions!D29</f>
        <v>0.16</v>
      </c>
      <c r="E9" s="4" t="n">
        <f aca="false">Assumptions!E29</f>
        <v>0.16</v>
      </c>
      <c r="F9" s="4" t="n">
        <f aca="false">Assumptions!F29</f>
        <v>0.16</v>
      </c>
      <c r="G9" s="4" t="n">
        <f aca="false">Assumptions!G29</f>
        <v>0.16</v>
      </c>
      <c r="H9" s="4" t="n">
        <f aca="false">Assumptions!H29</f>
        <v>0.16</v>
      </c>
      <c r="I9" s="4" t="n">
        <f aca="false">Assumptions!I29</f>
        <v>0.16</v>
      </c>
      <c r="J9" s="4" t="n">
        <f aca="false">Assumptions!J29</f>
        <v>0.16</v>
      </c>
      <c r="K9" s="4" t="n">
        <f aca="false">Assumptions!K29</f>
        <v>0.16</v>
      </c>
      <c r="L9" s="4" t="n">
        <f aca="false">Assumptions!L29</f>
        <v>0.16</v>
      </c>
    </row>
    <row r="10" customFormat="false" ht="15" hidden="false" customHeight="false" outlineLevel="0" collapsed="false">
      <c r="A10" s="0" t="s">
        <v>114</v>
      </c>
      <c r="C10" s="0" t="n">
        <f aca="false">-C6*C9/100</f>
        <v>-1.446469216</v>
      </c>
      <c r="D10" s="0" t="n">
        <f aca="false">-D6*D9/100</f>
        <v>-1.53325736896</v>
      </c>
      <c r="E10" s="0" t="n">
        <f aca="false">-E6*E9/100</f>
        <v>-1.609920237408</v>
      </c>
      <c r="F10" s="0" t="n">
        <f aca="false">-F6*F9/100</f>
        <v>-1.68236664809136</v>
      </c>
      <c r="G10" s="0" t="n">
        <f aca="false">-G6*G9/100</f>
        <v>-1.74966131401501</v>
      </c>
      <c r="H10" s="0" t="n">
        <f aca="false">-H6*H9/100</f>
        <v>-1.81089946000554</v>
      </c>
      <c r="I10" s="0" t="n">
        <f aca="false">-I6*I9/100</f>
        <v>-1.86522644380571</v>
      </c>
      <c r="J10" s="0" t="n">
        <f aca="false">-J6*J9/100</f>
        <v>-1.92118323711988</v>
      </c>
      <c r="K10" s="0" t="n">
        <f aca="false">-K6*K9/100</f>
        <v>-1.96921281804787</v>
      </c>
      <c r="L10" s="0" t="n">
        <f aca="false">-L6*L9/100</f>
        <v>-2.01844313849907</v>
      </c>
    </row>
    <row r="11" customFormat="false" ht="15" hidden="false" customHeight="false" outlineLevel="0" collapsed="false">
      <c r="A11" s="0" t="s">
        <v>115</v>
      </c>
      <c r="C11" s="0" t="n">
        <f aca="false">C8+C10+C24</f>
        <v>201.963264284</v>
      </c>
      <c r="D11" s="0" t="n">
        <f aca="false">D8+D10+D24</f>
        <v>217.91420356344</v>
      </c>
      <c r="E11" s="0" t="n">
        <f aca="false">E8+E10+E24</f>
        <v>232.834714335132</v>
      </c>
      <c r="F11" s="0" t="n">
        <f aca="false">F8+F10+F24</f>
        <v>245.415234790327</v>
      </c>
      <c r="G11" s="0" t="n">
        <f aca="false">G8+G10+G24</f>
        <v>258.512459145718</v>
      </c>
      <c r="H11" s="0" t="n">
        <f aca="false">H8+H10+H24</f>
        <v>268.692207378322</v>
      </c>
      <c r="I11" s="0" t="n">
        <f aca="false">I8+I10+I24</f>
        <v>277.91874012705</v>
      </c>
      <c r="J11" s="0" t="n">
        <f aca="false">J8+J10+J24</f>
        <v>286.256302330862</v>
      </c>
      <c r="K11" s="0" t="n">
        <f aca="false">K8+K10+K24</f>
        <v>293.412709889133</v>
      </c>
      <c r="L11" s="0" t="n">
        <f aca="false">L8+L10+L24</f>
        <v>300.748027636362</v>
      </c>
    </row>
    <row r="12" customFormat="false" ht="15" hidden="false" customHeight="false" outlineLevel="0" collapsed="false">
      <c r="A12" s="0" t="s">
        <v>116</v>
      </c>
      <c r="C12" s="4" t="n">
        <f aca="false">-C6*Assumptions!C31/100</f>
        <v>-96.73262882</v>
      </c>
      <c r="D12" s="4" t="n">
        <f aca="false">-D6*Assumptions!D31/100</f>
        <v>-102.5365865492</v>
      </c>
      <c r="E12" s="4" t="n">
        <f aca="false">-E6*Assumptions!E31/100</f>
        <v>-106.65721572828</v>
      </c>
      <c r="F12" s="4" t="n">
        <f aca="false">-F6*Assumptions!F31/100</f>
        <v>-111.456790436053</v>
      </c>
      <c r="G12" s="4" t="n">
        <f aca="false">-G6*Assumptions!G31/100</f>
        <v>-114.821523732235</v>
      </c>
      <c r="H12" s="4" t="n">
        <f aca="false">-H6*Assumptions!H31/100</f>
        <v>-118.840277062864</v>
      </c>
      <c r="I12" s="4" t="n">
        <f aca="false">-I6*Assumptions!I31/100</f>
        <v>-122.405485374749</v>
      </c>
      <c r="J12" s="4" t="n">
        <f aca="false">-J6*Assumptions!J31/100</f>
        <v>-126.077649935992</v>
      </c>
      <c r="K12" s="4" t="n">
        <f aca="false">-K6*Assumptions!K31/100</f>
        <v>-129.229591184392</v>
      </c>
      <c r="L12" s="4" t="n">
        <f aca="false">-L6*Assumptions!L31/100</f>
        <v>-132.460330964002</v>
      </c>
    </row>
    <row r="13" customFormat="false" ht="15" hidden="false" customHeight="false" outlineLevel="0" collapsed="false">
      <c r="A13" s="0" t="s">
        <v>117</v>
      </c>
      <c r="C13" s="0" t="n">
        <f aca="false">C11+C12</f>
        <v>105.230635464</v>
      </c>
      <c r="D13" s="0" t="n">
        <f aca="false">D11+D12</f>
        <v>115.37761701424</v>
      </c>
      <c r="E13" s="0" t="n">
        <f aca="false">E11+E12</f>
        <v>126.177498606852</v>
      </c>
      <c r="F13" s="0" t="n">
        <f aca="false">F11+F12</f>
        <v>133.958444354275</v>
      </c>
      <c r="G13" s="0" t="n">
        <f aca="false">G11+G12</f>
        <v>143.690935413483</v>
      </c>
      <c r="H13" s="0" t="n">
        <f aca="false">H11+H12</f>
        <v>149.851930315458</v>
      </c>
      <c r="I13" s="0" t="n">
        <f aca="false">I11+I12</f>
        <v>155.513254752301</v>
      </c>
      <c r="J13" s="0" t="n">
        <f aca="false">J11+J12</f>
        <v>160.17865239487</v>
      </c>
      <c r="K13" s="0" t="n">
        <f aca="false">K11+K12</f>
        <v>164.183118704741</v>
      </c>
      <c r="L13" s="0" t="n">
        <f aca="false">L11+L12</f>
        <v>168.28769667236</v>
      </c>
    </row>
    <row r="14" customFormat="false" ht="15" hidden="false" customHeight="false" outlineLevel="0" collapsed="false">
      <c r="A14" s="0" t="s">
        <v>103</v>
      </c>
      <c r="C14" s="4" t="n">
        <f aca="false">Assumptions!C33</f>
        <v>30</v>
      </c>
      <c r="D14" s="4" t="n">
        <f aca="false">Assumptions!D33</f>
        <v>29</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118</v>
      </c>
      <c r="C15" s="0" t="n">
        <f aca="false">C13-MAX(0,C13)*C14/100</f>
        <v>73.6614448248</v>
      </c>
      <c r="D15" s="0" t="n">
        <f aca="false">D13-MAX(0,D13)*D14/100</f>
        <v>81.9181080801104</v>
      </c>
      <c r="E15" s="0" t="n">
        <f aca="false">E13-MAX(0,E13)*E14/100</f>
        <v>90.8477989969335</v>
      </c>
      <c r="F15" s="0" t="n">
        <f aca="false">F13-MAX(0,F13)*F14/100</f>
        <v>96.4500799350777</v>
      </c>
      <c r="G15" s="0" t="n">
        <f aca="false">G13-MAX(0,G13)*G14/100</f>
        <v>103.457473497708</v>
      </c>
      <c r="H15" s="0" t="n">
        <f aca="false">H13-MAX(0,H13)*H14/100</f>
        <v>107.89338982713</v>
      </c>
      <c r="I15" s="0" t="n">
        <f aca="false">I13-MAX(0,I13)*I14/100</f>
        <v>111.969543421657</v>
      </c>
      <c r="J15" s="0" t="n">
        <f aca="false">J13-MAX(0,J13)*J14/100</f>
        <v>115.328629724306</v>
      </c>
      <c r="K15" s="0" t="n">
        <f aca="false">K13-MAX(0,K13)*K14/100</f>
        <v>118.211845467414</v>
      </c>
      <c r="L15" s="0" t="n">
        <f aca="false">L13-MAX(0,L13)*L14/100</f>
        <v>121.167141604099</v>
      </c>
    </row>
    <row r="16" customFormat="false" ht="15" hidden="false" customHeight="false" outlineLevel="0" collapsed="false">
      <c r="A16" s="0" t="s">
        <v>119</v>
      </c>
      <c r="C16" s="0" t="n">
        <f aca="false">-C12</f>
        <v>96.73262882</v>
      </c>
      <c r="D16" s="0" t="n">
        <f aca="false">-D12</f>
        <v>102.5365865492</v>
      </c>
      <c r="E16" s="0" t="n">
        <f aca="false">-E12</f>
        <v>106.65721572828</v>
      </c>
      <c r="F16" s="0" t="n">
        <f aca="false">-F12</f>
        <v>111.456790436053</v>
      </c>
      <c r="G16" s="0" t="n">
        <f aca="false">-G12</f>
        <v>114.821523732235</v>
      </c>
      <c r="H16" s="0" t="n">
        <f aca="false">-H12</f>
        <v>118.840277062864</v>
      </c>
      <c r="I16" s="0" t="n">
        <f aca="false">-I12</f>
        <v>122.405485374749</v>
      </c>
      <c r="J16" s="0" t="n">
        <f aca="false">-J12</f>
        <v>126.077649935992</v>
      </c>
      <c r="K16" s="0" t="n">
        <f aca="false">-K12</f>
        <v>129.229591184392</v>
      </c>
      <c r="L16" s="0" t="n">
        <f aca="false">-L12</f>
        <v>132.460330964002</v>
      </c>
    </row>
    <row r="17" customFormat="false" ht="15" hidden="false" customHeight="false" outlineLevel="0" collapsed="false">
      <c r="A17" s="0" t="s">
        <v>120</v>
      </c>
      <c r="C17" s="4" t="n">
        <f aca="false">-C6*Assumptions!C32/100</f>
        <v>-144.6469216</v>
      </c>
      <c r="D17" s="4" t="n">
        <f aca="false">-D6*Assumptions!D32/100</f>
        <v>-143.74287834</v>
      </c>
      <c r="E17" s="4" t="n">
        <f aca="false">-E6*Assumptions!E32/100</f>
        <v>-140.8680207732</v>
      </c>
      <c r="F17" s="4" t="n">
        <f aca="false">-F6*Assumptions!F32/100</f>
        <v>-141.949685932709</v>
      </c>
      <c r="G17" s="4" t="n">
        <f aca="false">-G6*Assumptions!G32/100</f>
        <v>-142.15998176372</v>
      </c>
      <c r="H17" s="4" t="n">
        <f aca="false">-H6*Assumptions!H32/100</f>
        <v>-141.476520312933</v>
      </c>
      <c r="I17" s="4" t="n">
        <f aca="false">-I6*Assumptions!I32/100</f>
        <v>-139.891983285428</v>
      </c>
      <c r="J17" s="4" t="n">
        <f aca="false">-J6*Assumptions!J32/100</f>
        <v>-141.687263737591</v>
      </c>
      <c r="K17" s="4" t="n">
        <f aca="false">-K6*Assumptions!K32/100</f>
        <v>-142.767929308471</v>
      </c>
      <c r="L17" s="4" t="n">
        <f aca="false">-L6*Assumptions!L32/100</f>
        <v>-145.075600579621</v>
      </c>
    </row>
    <row r="18" customFormat="false" ht="15" hidden="false" customHeight="false" outlineLevel="0" collapsed="false">
      <c r="A18" s="0" t="s">
        <v>121</v>
      </c>
      <c r="C18" s="4" t="n">
        <f aca="false">(C6-B6)*Assumptions!$B$37/100</f>
        <v>-1.5351678</v>
      </c>
      <c r="D18" s="4" t="n">
        <f aca="false">(D6-C6)*Assumptions!$B$37/100</f>
        <v>-1.627277868</v>
      </c>
      <c r="E18" s="4" t="n">
        <f aca="false">(E6-D6)*Assumptions!$B$37/100</f>
        <v>-1.4374287834</v>
      </c>
      <c r="F18" s="4" t="n">
        <f aca="false">(F6-E6)*Assumptions!$B$37/100</f>
        <v>-1.358370200313</v>
      </c>
      <c r="G18" s="4" t="n">
        <f aca="false">(G6-F6)*Assumptions!$B$37/100</f>
        <v>-1.26177498606852</v>
      </c>
      <c r="H18" s="4" t="n">
        <f aca="false">(H6-G6)*Assumptions!$B$37/100</f>
        <v>-1.14821523732235</v>
      </c>
      <c r="I18" s="4" t="n">
        <f aca="false">(I6-H6)*Assumptions!$B$37/100</f>
        <v>-1.01863094625312</v>
      </c>
      <c r="J18" s="4" t="n">
        <f aca="false">(J6-I6)*Assumptions!$B$37/100</f>
        <v>-1.04918987464071</v>
      </c>
      <c r="K18" s="4" t="n">
        <f aca="false">(K6-J6)*Assumptions!$B$37/100</f>
        <v>-0.900554642399939</v>
      </c>
      <c r="L18" s="4" t="n">
        <f aca="false">(L6-K6)*Assumptions!$B$37/100</f>
        <v>-0.923068508459935</v>
      </c>
    </row>
    <row r="19" customFormat="false" ht="15" hidden="false" customHeight="false" outlineLevel="0" collapsed="false">
      <c r="A19" s="0" t="s">
        <v>122</v>
      </c>
      <c r="C19" s="0" t="n">
        <f aca="false">C15+C16+C17+C18</f>
        <v>24.2119842448</v>
      </c>
      <c r="D19" s="0" t="n">
        <f aca="false">D15+D16+D17+D18</f>
        <v>39.0845384213104</v>
      </c>
      <c r="E19" s="0" t="n">
        <f aca="false">E15+E16+E17+E18</f>
        <v>55.1995651686135</v>
      </c>
      <c r="F19" s="0" t="n">
        <f aca="false">F15+F16+F17+F18</f>
        <v>64.5988142381088</v>
      </c>
      <c r="G19" s="0" t="n">
        <f aca="false">G15+G16+G17+G18</f>
        <v>74.8572404801547</v>
      </c>
      <c r="H19" s="0" t="n">
        <f aca="false">H15+H16+H17+H18</f>
        <v>84.1089313397385</v>
      </c>
      <c r="I19" s="0" t="n">
        <f aca="false">I15+I16+I17+I18</f>
        <v>93.464414564725</v>
      </c>
      <c r="J19" s="0" t="n">
        <f aca="false">J15+J16+J17+J18</f>
        <v>98.6698260480665</v>
      </c>
      <c r="K19" s="0" t="n">
        <f aca="false">K15+K16+K17+K18</f>
        <v>103.772952700935</v>
      </c>
      <c r="L19" s="0" t="n">
        <f aca="false">L15+L16+L17+L18</f>
        <v>107.62880348002</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22.2128295823853</v>
      </c>
      <c r="D21" s="0" t="n">
        <f aca="false">D19*D20</f>
        <v>32.8966740352752</v>
      </c>
      <c r="E21" s="0" t="n">
        <f aca="false">E19*E20</f>
        <v>42.6241923297574</v>
      </c>
      <c r="F21" s="0" t="n">
        <f aca="false">F19*F20</f>
        <v>45.7634286111936</v>
      </c>
      <c r="G21" s="0" t="n">
        <f aca="false">G19*G20</f>
        <v>48.6520700797356</v>
      </c>
      <c r="H21" s="0" t="n">
        <f aca="false">H19*H20</f>
        <v>50.1514076566134</v>
      </c>
      <c r="I21" s="0" t="n">
        <f aca="false">I19*I20</f>
        <v>51.1282354411371</v>
      </c>
      <c r="J21" s="0" t="n">
        <f aca="false">J19*J20</f>
        <v>49.5190585147023</v>
      </c>
      <c r="K21" s="0" t="n">
        <f aca="false">K19*K20</f>
        <v>47.7799501859415</v>
      </c>
      <c r="L21" s="0" t="n">
        <f aca="false">L19*L20</f>
        <v>45.4635697232128</v>
      </c>
    </row>
    <row r="23" customFormat="false" ht="15" hidden="false" customHeight="false" outlineLevel="0" collapsed="false">
      <c r="A23" s="0" t="s">
        <v>100</v>
      </c>
      <c r="C23" s="4" t="n">
        <f aca="false">Assumptions!C30</f>
        <v>3.8</v>
      </c>
      <c r="D23" s="4" t="n">
        <f aca="false">Assumptions!D30</f>
        <v>3.7</v>
      </c>
      <c r="E23" s="4" t="n">
        <f aca="false">Assumptions!E30</f>
        <v>3.6</v>
      </c>
      <c r="F23" s="4" t="n">
        <f aca="false">Assumptions!F30</f>
        <v>3.6</v>
      </c>
      <c r="G23" s="4" t="n">
        <f aca="false">Assumptions!G30</f>
        <v>3.5</v>
      </c>
      <c r="H23" s="4" t="n">
        <f aca="false">Assumptions!H30</f>
        <v>3.5</v>
      </c>
      <c r="I23" s="4" t="n">
        <f aca="false">Assumptions!I30</f>
        <v>3.5</v>
      </c>
      <c r="J23" s="4" t="n">
        <f aca="false">Assumptions!J30</f>
        <v>3.5</v>
      </c>
      <c r="K23" s="4" t="n">
        <f aca="false">Assumptions!K30</f>
        <v>3.5</v>
      </c>
      <c r="L23" s="4" t="n">
        <f aca="false">Assumptions!L30</f>
        <v>3.5</v>
      </c>
    </row>
    <row r="24" customFormat="false" ht="15" hidden="false" customHeight="false" outlineLevel="0" collapsed="false">
      <c r="A24" s="0" t="s">
        <v>125</v>
      </c>
      <c r="C24" s="0" t="n">
        <f aca="false">-C6*C23/100</f>
        <v>-34.35364388</v>
      </c>
      <c r="D24" s="0" t="n">
        <f aca="false">-D6*D23/100</f>
        <v>-35.4565766572</v>
      </c>
      <c r="E24" s="0" t="n">
        <f aca="false">-E6*E23/100</f>
        <v>-36.22320534168</v>
      </c>
      <c r="F24" s="0" t="n">
        <f aca="false">-F6*F23/100</f>
        <v>-37.8532495820556</v>
      </c>
      <c r="G24" s="0" t="n">
        <f aca="false">-G6*G23/100</f>
        <v>-38.2738412440785</v>
      </c>
      <c r="H24" s="0" t="n">
        <f aca="false">-H6*H23/100</f>
        <v>-39.6134256876212</v>
      </c>
      <c r="I24" s="0" t="n">
        <f aca="false">-I6*I23/100</f>
        <v>-40.8018284582498</v>
      </c>
      <c r="J24" s="0" t="n">
        <f aca="false">-J6*J23/100</f>
        <v>-42.0258833119973</v>
      </c>
      <c r="K24" s="0" t="n">
        <f aca="false">-K6*K23/100</f>
        <v>-43.0765303947972</v>
      </c>
      <c r="L24" s="0" t="n">
        <f aca="false">-L6*L23/100</f>
        <v>-44.1534436546672</v>
      </c>
    </row>
    <row r="26" customFormat="false" ht="15" hidden="false" customHeight="false" outlineLevel="0" collapsed="false">
      <c r="A26" s="2" t="s">
        <v>126</v>
      </c>
    </row>
    <row r="27" customFormat="false" ht="15" hidden="false" customHeight="false" outlineLevel="0" collapsed="false">
      <c r="A27" s="0" t="s">
        <v>104</v>
      </c>
      <c r="B27" s="4" t="n">
        <f aca="false">Assumptions!$B$34</f>
        <v>9</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14</v>
      </c>
    </row>
    <row r="30" customFormat="false" ht="15" hidden="false" customHeight="false" outlineLevel="0" collapsed="false">
      <c r="A30" s="0" t="s">
        <v>127</v>
      </c>
      <c r="B30" s="0" t="n">
        <f aca="false">SUM(C21:L21)</f>
        <v>436.191416159954</v>
      </c>
    </row>
    <row r="31" customFormat="false" ht="15" hidden="false" customHeight="false" outlineLevel="0" collapsed="false">
      <c r="A31" s="0" t="s">
        <v>128</v>
      </c>
      <c r="B31" s="0" t="n">
        <f aca="false">L19</f>
        <v>107.62880348002</v>
      </c>
    </row>
    <row r="32" customFormat="false" ht="15" hidden="false" customHeight="false" outlineLevel="0" collapsed="false">
      <c r="A32" s="0" t="s">
        <v>129</v>
      </c>
      <c r="B32" s="0" t="n">
        <f aca="false">IF(B27&gt;B28,B31*(1+B28/100)/((B27-B28)/100),B31*B29)</f>
        <v>1697.22343949262</v>
      </c>
    </row>
    <row r="33" customFormat="false" ht="15" hidden="false" customHeight="false" outlineLevel="0" collapsed="false">
      <c r="A33" s="0" t="s">
        <v>130</v>
      </c>
      <c r="B33" s="0" t="n">
        <f aca="false">B31*B29</f>
        <v>1506.80324872028</v>
      </c>
    </row>
    <row r="34" customFormat="false" ht="15" hidden="false" customHeight="false" outlineLevel="0" collapsed="false">
      <c r="A34" s="0" t="s">
        <v>131</v>
      </c>
      <c r="B34" s="0" t="n">
        <f aca="false">MAX(0,MIN(B32,B33))</f>
        <v>1506.80324872028</v>
      </c>
    </row>
    <row r="35" customFormat="false" ht="15" hidden="false" customHeight="false" outlineLevel="0" collapsed="false">
      <c r="A35" s="0" t="s">
        <v>132</v>
      </c>
      <c r="B35" s="0" t="n">
        <f aca="false">B34/(1+B27/100)^L4</f>
        <v>636.489976124979</v>
      </c>
    </row>
    <row r="36" customFormat="false" ht="15" hidden="false" customHeight="false" outlineLevel="0" collapsed="false">
      <c r="A36" s="0" t="s">
        <v>133</v>
      </c>
      <c r="B36" s="0" t="n">
        <f aca="false">B30+B35</f>
        <v>1072.68139228493</v>
      </c>
    </row>
    <row r="37" customFormat="false" ht="15" hidden="false" customHeight="false" outlineLevel="0" collapsed="false">
      <c r="A37" s="0" t="s">
        <v>134</v>
      </c>
      <c r="B37" s="0" t="n">
        <f aca="false">B36+Assumptions!$B$5-Assumptions!$B$4</f>
        <v>637.738392284934</v>
      </c>
    </row>
    <row r="38" customFormat="false" ht="15" hidden="false" customHeight="false" outlineLevel="0" collapsed="false">
      <c r="A38" s="0" t="s">
        <v>135</v>
      </c>
      <c r="B38" s="0" t="n">
        <f aca="false">B37/Assumptions!$B$3*Assumptions!$B$10</f>
        <v>2.87869923437139</v>
      </c>
    </row>
    <row r="39" customFormat="false" ht="15" hidden="false" customHeight="false" outlineLevel="0" collapsed="false">
      <c r="A39" s="0" t="s">
        <v>136</v>
      </c>
      <c r="B39" s="4" t="n">
        <f aca="false">B38/Assumptions!$B$2-1</f>
        <v>0.00653819383614862</v>
      </c>
    </row>
    <row r="41" customFormat="false" ht="15" hidden="false" customHeight="false" outlineLevel="0" collapsed="false">
      <c r="A41" s="0" t="s">
        <v>137</v>
      </c>
      <c r="B41" s="0" t="n">
        <f aca="false">SUMPRODUCT(-C10:L10/(1+$B$27/100)^C4:L4)</f>
        <v>11.0132850758517</v>
      </c>
    </row>
    <row r="42" customFormat="false" ht="15" hidden="false" customHeight="false" outlineLevel="0" collapsed="false">
      <c r="A42" s="0" t="s">
        <v>138</v>
      </c>
      <c r="B42" s="0" t="n">
        <f aca="false">IF(B27&gt;B28,-L10*(1+B28/100)/((B27-B28)/100),-L10*20)/(1+B27/100)^L4</f>
        <v>13.4450384565634</v>
      </c>
    </row>
    <row r="43" customFormat="false" ht="15" hidden="false" customHeight="false" outlineLevel="0" collapsed="false">
      <c r="A43" s="0" t="s">
        <v>139</v>
      </c>
      <c r="B43" s="0" t="n">
        <f aca="false">(B37+B41+B42)/Assumptions!$B$3*Assumptions!$B$10</f>
        <v>2.98910211755756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882.556188536165</v>
      </c>
    </row>
    <row r="47" customFormat="false" ht="15" hidden="false" customHeight="false" outlineLevel="0" collapsed="false">
      <c r="A47" s="0" t="s">
        <v>141</v>
      </c>
      <c r="B47" s="0" t="n">
        <f aca="false">(SUMPRODUCT(C19:L19/(1+B45/100)^C4:L4)+B46/(1+B45/100)^L4+Assumptions!$B$5-Assumptions!$B$4)/Assumptions!$B$3*Assumptions!$B$10</f>
        <v>0.470002394663285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9</v>
      </c>
      <c r="D5" s="4" t="n">
        <f aca="false">Assumptions!D41</f>
        <v>9.5</v>
      </c>
      <c r="E5" s="4" t="n">
        <f aca="false">Assumptions!E41</f>
        <v>8</v>
      </c>
      <c r="F5" s="4" t="n">
        <f aca="false">Assumptions!F41</f>
        <v>7</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852.871</v>
      </c>
      <c r="C6" s="0" t="n">
        <f aca="false">B6*(1+C5/100)</f>
        <v>929.62939</v>
      </c>
      <c r="D6" s="0" t="n">
        <f aca="false">C6*(1+D5/100)</f>
        <v>1017.94418205</v>
      </c>
      <c r="E6" s="0" t="n">
        <f aca="false">D6*(1+E5/100)</f>
        <v>1099.379716614</v>
      </c>
      <c r="F6" s="0" t="n">
        <f aca="false">E6*(1+F5/100)</f>
        <v>1176.33629677698</v>
      </c>
      <c r="G6" s="0" t="n">
        <f aca="false">F6*(1+G5/100)</f>
        <v>1246.9164745836</v>
      </c>
      <c r="H6" s="0" t="n">
        <f aca="false">G6*(1+H5/100)</f>
        <v>1309.26229831278</v>
      </c>
      <c r="I6" s="0" t="n">
        <f aca="false">H6*(1+I5/100)</f>
        <v>1361.63279024529</v>
      </c>
      <c r="J6" s="0" t="n">
        <f aca="false">I6*(1+J5/100)</f>
        <v>1409.28993790388</v>
      </c>
      <c r="K6" s="0" t="n">
        <f aca="false">J6*(1+K5/100)</f>
        <v>1451.56863604099</v>
      </c>
      <c r="L6" s="0" t="n">
        <f aca="false">K6*(1+L5/100)</f>
        <v>1495.11569512222</v>
      </c>
    </row>
    <row r="7" customFormat="false" ht="15" hidden="false" customHeight="false" outlineLevel="0" collapsed="false">
      <c r="A7" s="0" t="s">
        <v>98</v>
      </c>
      <c r="C7" s="4" t="n">
        <f aca="false">Assumptions!C42</f>
        <v>27</v>
      </c>
      <c r="D7" s="4" t="n">
        <f aca="false">Assumptions!D42</f>
        <v>27.8</v>
      </c>
      <c r="E7" s="4" t="n">
        <f aca="false">Assumptions!E42</f>
        <v>28.5</v>
      </c>
      <c r="F7" s="4" t="n">
        <f aca="false">Assumptions!F42</f>
        <v>29</v>
      </c>
      <c r="G7" s="4" t="n">
        <f aca="false">Assumptions!G42</f>
        <v>29.3</v>
      </c>
      <c r="H7" s="4" t="n">
        <f aca="false">Assumptions!H42</f>
        <v>29.5</v>
      </c>
      <c r="I7" s="4" t="n">
        <f aca="false">Assumptions!I42</f>
        <v>29.6</v>
      </c>
      <c r="J7" s="4" t="n">
        <f aca="false">Assumptions!J42</f>
        <v>29.6</v>
      </c>
      <c r="K7" s="4" t="n">
        <f aca="false">Assumptions!K42</f>
        <v>29.6</v>
      </c>
      <c r="L7" s="4" t="n">
        <f aca="false">Assumptions!L42</f>
        <v>29.6</v>
      </c>
    </row>
    <row r="8" customFormat="false" ht="15" hidden="false" customHeight="false" outlineLevel="0" collapsed="false">
      <c r="A8" s="0" t="s">
        <v>43</v>
      </c>
      <c r="C8" s="0" t="n">
        <f aca="false">C6*C7/100</f>
        <v>250.9999353</v>
      </c>
      <c r="D8" s="0" t="n">
        <f aca="false">D6*D7/100</f>
        <v>282.9884826099</v>
      </c>
      <c r="E8" s="0" t="n">
        <f aca="false">E6*E7/100</f>
        <v>313.32321923499</v>
      </c>
      <c r="F8" s="0" t="n">
        <f aca="false">F6*F7/100</f>
        <v>341.137526065324</v>
      </c>
      <c r="G8" s="0" t="n">
        <f aca="false">G6*G7/100</f>
        <v>365.346527052995</v>
      </c>
      <c r="H8" s="0" t="n">
        <f aca="false">H6*H7/100</f>
        <v>386.23237800227</v>
      </c>
      <c r="I8" s="0" t="n">
        <f aca="false">I6*I7/100</f>
        <v>403.043305912606</v>
      </c>
      <c r="J8" s="0" t="n">
        <f aca="false">J6*J7/100</f>
        <v>417.149821619547</v>
      </c>
      <c r="K8" s="0" t="n">
        <f aca="false">K6*K7/100</f>
        <v>429.664316268133</v>
      </c>
      <c r="L8" s="0" t="n">
        <f aca="false">L6*L7/100</f>
        <v>442.554245756177</v>
      </c>
    </row>
    <row r="9" customFormat="false" ht="15" hidden="false" customHeight="false" outlineLevel="0" collapsed="false">
      <c r="A9" s="0" t="s">
        <v>99</v>
      </c>
      <c r="C9" s="4" t="n">
        <f aca="false">Assumptions!C43</f>
        <v>0.16</v>
      </c>
      <c r="D9" s="4" t="n">
        <f aca="false">Assumptions!D43</f>
        <v>0.16</v>
      </c>
      <c r="E9" s="4" t="n">
        <f aca="false">Assumptions!E43</f>
        <v>0.16</v>
      </c>
      <c r="F9" s="4" t="n">
        <f aca="false">Assumptions!F43</f>
        <v>0.16</v>
      </c>
      <c r="G9" s="4" t="n">
        <f aca="false">Assumptions!G43</f>
        <v>0.16</v>
      </c>
      <c r="H9" s="4" t="n">
        <f aca="false">Assumptions!H43</f>
        <v>0.16</v>
      </c>
      <c r="I9" s="4" t="n">
        <f aca="false">Assumptions!I43</f>
        <v>0.16</v>
      </c>
      <c r="J9" s="4" t="n">
        <f aca="false">Assumptions!J43</f>
        <v>0.16</v>
      </c>
      <c r="K9" s="4" t="n">
        <f aca="false">Assumptions!K43</f>
        <v>0.16</v>
      </c>
      <c r="L9" s="4" t="n">
        <f aca="false">Assumptions!L43</f>
        <v>0.16</v>
      </c>
    </row>
    <row r="10" customFormat="false" ht="15" hidden="false" customHeight="false" outlineLevel="0" collapsed="false">
      <c r="A10" s="0" t="s">
        <v>114</v>
      </c>
      <c r="C10" s="0" t="n">
        <f aca="false">-C6*C9/100</f>
        <v>-1.487407024</v>
      </c>
      <c r="D10" s="0" t="n">
        <f aca="false">-D6*D9/100</f>
        <v>-1.62871069128</v>
      </c>
      <c r="E10" s="0" t="n">
        <f aca="false">-E6*E9/100</f>
        <v>-1.7590075465824</v>
      </c>
      <c r="F10" s="0" t="n">
        <f aca="false">-F6*F9/100</f>
        <v>-1.88213807484317</v>
      </c>
      <c r="G10" s="0" t="n">
        <f aca="false">-G6*G9/100</f>
        <v>-1.99506635933376</v>
      </c>
      <c r="H10" s="0" t="n">
        <f aca="false">-H6*H9/100</f>
        <v>-2.09481967730045</v>
      </c>
      <c r="I10" s="0" t="n">
        <f aca="false">-I6*I9/100</f>
        <v>-2.17861246439246</v>
      </c>
      <c r="J10" s="0" t="n">
        <f aca="false">-J6*J9/100</f>
        <v>-2.2548639006462</v>
      </c>
      <c r="K10" s="0" t="n">
        <f aca="false">-K6*K9/100</f>
        <v>-2.32250981766559</v>
      </c>
      <c r="L10" s="0" t="n">
        <f aca="false">-L6*L9/100</f>
        <v>-2.39218511219555</v>
      </c>
    </row>
    <row r="11" customFormat="false" ht="15" hidden="false" customHeight="false" outlineLevel="0" collapsed="false">
      <c r="A11" s="0" t="s">
        <v>115</v>
      </c>
      <c r="C11" s="0" t="n">
        <f aca="false">C8+C10+C24</f>
        <v>215.116240846</v>
      </c>
      <c r="D11" s="0" t="n">
        <f aca="false">D8+D10+D24</f>
        <v>245.73172554687</v>
      </c>
      <c r="E11" s="0" t="n">
        <f aca="false">E8+E10+E24</f>
        <v>274.185301323532</v>
      </c>
      <c r="F11" s="0" t="n">
        <f aca="false">F8+F10+F24</f>
        <v>299.259953900064</v>
      </c>
      <c r="G11" s="0" t="n">
        <f aca="false">G8+G10+G24</f>
        <v>322.203217032402</v>
      </c>
      <c r="H11" s="0" t="n">
        <f aca="false">H8+H10+H24</f>
        <v>340.931902480648</v>
      </c>
      <c r="I11" s="0" t="n">
        <f aca="false">I8+I10+I24</f>
        <v>355.930811370119</v>
      </c>
      <c r="J11" s="0" t="n">
        <f aca="false">J8+J10+J24</f>
        <v>368.388389768073</v>
      </c>
      <c r="K11" s="0" t="n">
        <f aca="false">K8+K10+K24</f>
        <v>379.440041461115</v>
      </c>
      <c r="L11" s="0" t="n">
        <f aca="false">L8+L10+L24</f>
        <v>390.823242704949</v>
      </c>
    </row>
    <row r="12" customFormat="false" ht="15" hidden="false" customHeight="false" outlineLevel="0" collapsed="false">
      <c r="A12" s="0" t="s">
        <v>116</v>
      </c>
      <c r="C12" s="4" t="n">
        <f aca="false">-C6*Assumptions!C45/100</f>
        <v>-98.54071534</v>
      </c>
      <c r="D12" s="4" t="n">
        <f aca="false">-D6*Assumptions!D45/100</f>
        <v>-106.88413911525</v>
      </c>
      <c r="E12" s="4" t="n">
        <f aca="false">-E6*Assumptions!E45/100</f>
        <v>-114.335490527856</v>
      </c>
      <c r="F12" s="4" t="n">
        <f aca="false">-F6*Assumptions!F45/100</f>
        <v>-121.162638568029</v>
      </c>
      <c r="G12" s="4" t="n">
        <f aca="false">-G6*Assumptions!G45/100</f>
        <v>-127.185480407527</v>
      </c>
      <c r="H12" s="4" t="n">
        <f aca="false">-H6*Assumptions!H45/100</f>
        <v>-133.544754427903</v>
      </c>
      <c r="I12" s="4" t="n">
        <f aca="false">-I6*Assumptions!I45/100</f>
        <v>-138.88654460502</v>
      </c>
      <c r="J12" s="4" t="n">
        <f aca="false">-J6*Assumptions!J45/100</f>
        <v>-143.747573666195</v>
      </c>
      <c r="K12" s="4" t="n">
        <f aca="false">-K6*Assumptions!K45/100</f>
        <v>-148.060000876181</v>
      </c>
      <c r="L12" s="4" t="n">
        <f aca="false">-L6*Assumptions!L45/100</f>
        <v>-152.501800902467</v>
      </c>
    </row>
    <row r="13" customFormat="false" ht="15" hidden="false" customHeight="false" outlineLevel="0" collapsed="false">
      <c r="A13" s="0" t="s">
        <v>117</v>
      </c>
      <c r="C13" s="0" t="n">
        <f aca="false">C11+C12</f>
        <v>116.575525506</v>
      </c>
      <c r="D13" s="0" t="n">
        <f aca="false">D11+D12</f>
        <v>138.84758643162</v>
      </c>
      <c r="E13" s="0" t="n">
        <f aca="false">E11+E12</f>
        <v>159.849810795676</v>
      </c>
      <c r="F13" s="0" t="n">
        <f aca="false">F11+F12</f>
        <v>178.097315332035</v>
      </c>
      <c r="G13" s="0" t="n">
        <f aca="false">G11+G12</f>
        <v>195.017736624875</v>
      </c>
      <c r="H13" s="0" t="n">
        <f aca="false">H11+H12</f>
        <v>207.387148052744</v>
      </c>
      <c r="I13" s="0" t="n">
        <f aca="false">I11+I12</f>
        <v>217.044266765099</v>
      </c>
      <c r="J13" s="0" t="n">
        <f aca="false">J11+J12</f>
        <v>224.640816101878</v>
      </c>
      <c r="K13" s="0" t="n">
        <f aca="false">K11+K12</f>
        <v>231.380040584934</v>
      </c>
      <c r="L13" s="0" t="n">
        <f aca="false">L11+L12</f>
        <v>238.321441802482</v>
      </c>
    </row>
    <row r="14" customFormat="false" ht="15" hidden="false" customHeight="false" outlineLevel="0" collapsed="false">
      <c r="A14" s="0" t="s">
        <v>103</v>
      </c>
      <c r="C14" s="4" t="n">
        <f aca="false">Assumptions!C47</f>
        <v>29</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118</v>
      </c>
      <c r="C15" s="0" t="n">
        <f aca="false">C13-MAX(0,C13)*C14/100</f>
        <v>82.76862310926</v>
      </c>
      <c r="D15" s="0" t="n">
        <f aca="false">D13-MAX(0,D13)*D14/100</f>
        <v>99.9702622307664</v>
      </c>
      <c r="E15" s="0" t="n">
        <f aca="false">E13-MAX(0,E13)*E14/100</f>
        <v>115.091863772886</v>
      </c>
      <c r="F15" s="0" t="n">
        <f aca="false">F13-MAX(0,F13)*F14/100</f>
        <v>128.230067039065</v>
      </c>
      <c r="G15" s="0" t="n">
        <f aca="false">G13-MAX(0,G13)*G14/100</f>
        <v>140.41277036991</v>
      </c>
      <c r="H15" s="0" t="n">
        <f aca="false">H13-MAX(0,H13)*H14/100</f>
        <v>149.318746597976</v>
      </c>
      <c r="I15" s="0" t="n">
        <f aca="false">I13-MAX(0,I13)*I14/100</f>
        <v>156.271872070872</v>
      </c>
      <c r="J15" s="0" t="n">
        <f aca="false">J13-MAX(0,J13)*J14/100</f>
        <v>161.741387593352</v>
      </c>
      <c r="K15" s="0" t="n">
        <f aca="false">K13-MAX(0,K13)*K14/100</f>
        <v>166.593629221153</v>
      </c>
      <c r="L15" s="0" t="n">
        <f aca="false">L13-MAX(0,L13)*L14/100</f>
        <v>171.591438097787</v>
      </c>
    </row>
    <row r="16" customFormat="false" ht="15" hidden="false" customHeight="false" outlineLevel="0" collapsed="false">
      <c r="A16" s="0" t="s">
        <v>119</v>
      </c>
      <c r="C16" s="0" t="n">
        <f aca="false">-C12</f>
        <v>98.54071534</v>
      </c>
      <c r="D16" s="0" t="n">
        <f aca="false">-D12</f>
        <v>106.88413911525</v>
      </c>
      <c r="E16" s="0" t="n">
        <f aca="false">-E12</f>
        <v>114.335490527856</v>
      </c>
      <c r="F16" s="0" t="n">
        <f aca="false">-F12</f>
        <v>121.162638568029</v>
      </c>
      <c r="G16" s="0" t="n">
        <f aca="false">-G12</f>
        <v>127.185480407527</v>
      </c>
      <c r="H16" s="0" t="n">
        <f aca="false">-H12</f>
        <v>133.544754427903</v>
      </c>
      <c r="I16" s="0" t="n">
        <f aca="false">-I12</f>
        <v>138.88654460502</v>
      </c>
      <c r="J16" s="0" t="n">
        <f aca="false">-J12</f>
        <v>143.747573666195</v>
      </c>
      <c r="K16" s="0" t="n">
        <f aca="false">-K12</f>
        <v>148.060000876181</v>
      </c>
      <c r="L16" s="0" t="n">
        <f aca="false">-L12</f>
        <v>152.501800902467</v>
      </c>
    </row>
    <row r="17" customFormat="false" ht="15" hidden="false" customHeight="false" outlineLevel="0" collapsed="false">
      <c r="A17" s="0" t="s">
        <v>120</v>
      </c>
      <c r="C17" s="4" t="n">
        <f aca="false">-C6*Assumptions!C46/100</f>
        <v>-139.4444085</v>
      </c>
      <c r="D17" s="4" t="n">
        <f aca="false">-D6*Assumptions!D46/100</f>
        <v>-137.42246457675</v>
      </c>
      <c r="E17" s="4" t="n">
        <f aca="false">-E6*Assumptions!E46/100</f>
        <v>-137.42246457675</v>
      </c>
      <c r="F17" s="4" t="n">
        <f aca="false">-F6*Assumptions!F46/100</f>
        <v>-138.807683019684</v>
      </c>
      <c r="G17" s="4" t="n">
        <f aca="false">-G6*Assumptions!G46/100</f>
        <v>-139.654645153363</v>
      </c>
      <c r="H17" s="4" t="n">
        <f aca="false">-H6*Assumptions!H46/100</f>
        <v>-141.40032821778</v>
      </c>
      <c r="I17" s="4" t="n">
        <f aca="false">-I6*Assumptions!I46/100</f>
        <v>-142.971442975755</v>
      </c>
      <c r="J17" s="4" t="n">
        <f aca="false">-J6*Assumptions!J46/100</f>
        <v>-145.156863604099</v>
      </c>
      <c r="K17" s="4" t="n">
        <f aca="false">-K6*Assumptions!K46/100</f>
        <v>-148.060000876181</v>
      </c>
      <c r="L17" s="4" t="n">
        <f aca="false">-L6*Assumptions!L46/100</f>
        <v>-149.511569512222</v>
      </c>
    </row>
    <row r="18" customFormat="false" ht="15" hidden="false" customHeight="false" outlineLevel="0" collapsed="false">
      <c r="A18" s="0" t="s">
        <v>121</v>
      </c>
      <c r="C18" s="4" t="n">
        <f aca="false">(C6-B6)*Assumptions!$B$51/100</f>
        <v>-1.5351678</v>
      </c>
      <c r="D18" s="4" t="n">
        <f aca="false">(D6-C6)*Assumptions!$B$51/100</f>
        <v>-1.766295841</v>
      </c>
      <c r="E18" s="4" t="n">
        <f aca="false">(E6-D6)*Assumptions!$B$51/100</f>
        <v>-1.62871069128</v>
      </c>
      <c r="F18" s="4" t="n">
        <f aca="false">(F6-E6)*Assumptions!$B$51/100</f>
        <v>-1.5391316032596</v>
      </c>
      <c r="G18" s="4" t="n">
        <f aca="false">(G6-F6)*Assumptions!$B$51/100</f>
        <v>-1.41160355613238</v>
      </c>
      <c r="H18" s="4" t="n">
        <f aca="false">(H6-G6)*Assumptions!$B$51/100</f>
        <v>-1.2469164745836</v>
      </c>
      <c r="I18" s="4" t="n">
        <f aca="false">(I6-H6)*Assumptions!$B$51/100</f>
        <v>-1.04740983865022</v>
      </c>
      <c r="J18" s="4" t="n">
        <f aca="false">(J6-I6)*Assumptions!$B$51/100</f>
        <v>-0.9531429531717</v>
      </c>
      <c r="K18" s="4" t="n">
        <f aca="false">(K6-J6)*Assumptions!$B$51/100</f>
        <v>-0.845573962742324</v>
      </c>
      <c r="L18" s="4" t="n">
        <f aca="false">(L6-K6)*Assumptions!$B$51/100</f>
        <v>-0.870941181624594</v>
      </c>
    </row>
    <row r="19" customFormat="false" ht="15" hidden="false" customHeight="false" outlineLevel="0" collapsed="false">
      <c r="A19" s="0" t="s">
        <v>122</v>
      </c>
      <c r="C19" s="0" t="n">
        <f aca="false">C15+C16+C17+C18</f>
        <v>40.32976214926</v>
      </c>
      <c r="D19" s="0" t="n">
        <f aca="false">D15+D16+D17+D18</f>
        <v>67.6656409282664</v>
      </c>
      <c r="E19" s="0" t="n">
        <f aca="false">E15+E16+E17+E18</f>
        <v>90.3761790327124</v>
      </c>
      <c r="F19" s="0" t="n">
        <f aca="false">F15+F16+F17+F18</f>
        <v>109.045890984151</v>
      </c>
      <c r="G19" s="0" t="n">
        <f aca="false">G15+G16+G17+G18</f>
        <v>126.532002067942</v>
      </c>
      <c r="H19" s="0" t="n">
        <f aca="false">H15+H16+H17+H18</f>
        <v>140.216256333516</v>
      </c>
      <c r="I19" s="0" t="n">
        <f aca="false">I15+I16+I17+I18</f>
        <v>151.139563861485</v>
      </c>
      <c r="J19" s="0" t="n">
        <f aca="false">J15+J16+J17+J18</f>
        <v>159.378954702276</v>
      </c>
      <c r="K19" s="0" t="n">
        <f aca="false">K15+K16+K17+K18</f>
        <v>165.74805525841</v>
      </c>
      <c r="L19" s="0" t="n">
        <f aca="false">L15+L16+L17+L18</f>
        <v>173.710728306407</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37.1702876951705</v>
      </c>
      <c r="D21" s="0" t="n">
        <f aca="false">D19*D20</f>
        <v>57.4789364210465</v>
      </c>
      <c r="E21" s="0" t="n">
        <f aca="false">E19*E20</f>
        <v>70.7562424699361</v>
      </c>
      <c r="F21" s="0" t="n">
        <f aca="false">F19*F20</f>
        <v>78.6847107392498</v>
      </c>
      <c r="G21" s="0" t="n">
        <f aca="false">G19*G20</f>
        <v>84.1495288748075</v>
      </c>
      <c r="H21" s="0" t="n">
        <f aca="false">H19*H20</f>
        <v>85.9448659403159</v>
      </c>
      <c r="I21" s="0" t="n">
        <f aca="false">I19*I20</f>
        <v>85.3827222696521</v>
      </c>
      <c r="J21" s="0" t="n">
        <f aca="false">J19*J20</f>
        <v>82.9837523225166</v>
      </c>
      <c r="K21" s="0" t="n">
        <f aca="false">K19*K20</f>
        <v>79.5391229415038</v>
      </c>
      <c r="L21" s="0" t="n">
        <f aca="false">L19*L20</f>
        <v>76.8297215653606</v>
      </c>
    </row>
    <row r="23" customFormat="false" ht="15" hidden="false" customHeight="false" outlineLevel="0" collapsed="false">
      <c r="A23" s="0" t="s">
        <v>100</v>
      </c>
      <c r="C23" s="4" t="n">
        <f aca="false">Assumptions!C44</f>
        <v>3.7</v>
      </c>
      <c r="D23" s="4" t="n">
        <f aca="false">Assumptions!D44</f>
        <v>3.5</v>
      </c>
      <c r="E23" s="4" t="n">
        <f aca="false">Assumptions!E44</f>
        <v>3.4</v>
      </c>
      <c r="F23" s="4" t="n">
        <f aca="false">Assumptions!F44</f>
        <v>3.4</v>
      </c>
      <c r="G23" s="4" t="n">
        <f aca="false">Assumptions!G44</f>
        <v>3.3</v>
      </c>
      <c r="H23" s="4" t="n">
        <f aca="false">Assumptions!H44</f>
        <v>3.3</v>
      </c>
      <c r="I23" s="4" t="n">
        <f aca="false">Assumptions!I44</f>
        <v>3.3</v>
      </c>
      <c r="J23" s="4" t="n">
        <f aca="false">Assumptions!J44</f>
        <v>3.3</v>
      </c>
      <c r="K23" s="4" t="n">
        <f aca="false">Assumptions!K44</f>
        <v>3.3</v>
      </c>
      <c r="L23" s="4" t="n">
        <f aca="false">Assumptions!L44</f>
        <v>3.3</v>
      </c>
    </row>
    <row r="24" customFormat="false" ht="15" hidden="false" customHeight="false" outlineLevel="0" collapsed="false">
      <c r="A24" s="0" t="s">
        <v>125</v>
      </c>
      <c r="C24" s="0" t="n">
        <f aca="false">-C6*C23/100</f>
        <v>-34.39628743</v>
      </c>
      <c r="D24" s="0" t="n">
        <f aca="false">-D6*D23/100</f>
        <v>-35.62804637175</v>
      </c>
      <c r="E24" s="0" t="n">
        <f aca="false">-E6*E23/100</f>
        <v>-37.378910364876</v>
      </c>
      <c r="F24" s="0" t="n">
        <f aca="false">-F6*F23/100</f>
        <v>-39.9954340904173</v>
      </c>
      <c r="G24" s="0" t="n">
        <f aca="false">-G6*G23/100</f>
        <v>-41.1482436612588</v>
      </c>
      <c r="H24" s="0" t="n">
        <f aca="false">-H6*H23/100</f>
        <v>-43.2056558443217</v>
      </c>
      <c r="I24" s="0" t="n">
        <f aca="false">-I6*I23/100</f>
        <v>-44.9338820780946</v>
      </c>
      <c r="J24" s="0" t="n">
        <f aca="false">-J6*J23/100</f>
        <v>-46.5065679508279</v>
      </c>
      <c r="K24" s="0" t="n">
        <f aca="false">-K6*K23/100</f>
        <v>-47.9017649893527</v>
      </c>
      <c r="L24" s="0" t="n">
        <f aca="false">-L6*L23/100</f>
        <v>-49.3388179390333</v>
      </c>
    </row>
    <row r="26" customFormat="false" ht="15" hidden="false" customHeight="false" outlineLevel="0" collapsed="false">
      <c r="A26" s="2" t="s">
        <v>126</v>
      </c>
    </row>
    <row r="27" customFormat="false" ht="15" hidden="false" customHeight="false" outlineLevel="0" collapsed="false">
      <c r="A27" s="0" t="s">
        <v>104</v>
      </c>
      <c r="B27" s="4" t="n">
        <f aca="false">Assumptions!$B$48</f>
        <v>8.5</v>
      </c>
    </row>
    <row r="28" customFormat="false" ht="15" hidden="false" customHeight="false" outlineLevel="0" collapsed="false">
      <c r="A28" s="0" t="s">
        <v>105</v>
      </c>
      <c r="B28" s="4" t="n">
        <f aca="false">Assumptions!$B$49</f>
        <v>3</v>
      </c>
    </row>
    <row r="29" customFormat="false" ht="15" hidden="false" customHeight="false" outlineLevel="0" collapsed="false">
      <c r="A29" s="0" t="s">
        <v>106</v>
      </c>
      <c r="B29" s="4" t="n">
        <f aca="false">Assumptions!$B$50</f>
        <v>15</v>
      </c>
    </row>
    <row r="30" customFormat="false" ht="15" hidden="false" customHeight="false" outlineLevel="0" collapsed="false">
      <c r="A30" s="0" t="s">
        <v>127</v>
      </c>
      <c r="B30" s="0" t="n">
        <f aca="false">SUM(C21:L21)</f>
        <v>738.919891239559</v>
      </c>
    </row>
    <row r="31" customFormat="false" ht="15" hidden="false" customHeight="false" outlineLevel="0" collapsed="false">
      <c r="A31" s="0" t="s">
        <v>128</v>
      </c>
      <c r="B31" s="0" t="n">
        <f aca="false">L19</f>
        <v>173.710728306407</v>
      </c>
    </row>
    <row r="32" customFormat="false" ht="15" hidden="false" customHeight="false" outlineLevel="0" collapsed="false">
      <c r="A32" s="0" t="s">
        <v>129</v>
      </c>
      <c r="B32" s="0" t="n">
        <f aca="false">IF(B27&gt;B28,B31*(1+B28/100)/((B27-B28)/100),B31*B29)</f>
        <v>3253.12818464726</v>
      </c>
    </row>
    <row r="33" customFormat="false" ht="15" hidden="false" customHeight="false" outlineLevel="0" collapsed="false">
      <c r="A33" s="0" t="s">
        <v>130</v>
      </c>
      <c r="B33" s="0" t="n">
        <f aca="false">B31*B29</f>
        <v>2605.6609245961</v>
      </c>
    </row>
    <row r="34" customFormat="false" ht="15" hidden="false" customHeight="false" outlineLevel="0" collapsed="false">
      <c r="A34" s="0" t="s">
        <v>131</v>
      </c>
      <c r="B34" s="0" t="n">
        <f aca="false">MAX(0,MIN(B32,B33))</f>
        <v>2605.6609245961</v>
      </c>
    </row>
    <row r="35" customFormat="false" ht="15" hidden="false" customHeight="false" outlineLevel="0" collapsed="false">
      <c r="A35" s="0" t="s">
        <v>132</v>
      </c>
      <c r="B35" s="0" t="n">
        <f aca="false">B34/(1+B27/100)^L4</f>
        <v>1152.44582348041</v>
      </c>
    </row>
    <row r="36" customFormat="false" ht="15" hidden="false" customHeight="false" outlineLevel="0" collapsed="false">
      <c r="A36" s="0" t="s">
        <v>133</v>
      </c>
      <c r="B36" s="0" t="n">
        <f aca="false">B30+B35</f>
        <v>1891.36571471997</v>
      </c>
    </row>
    <row r="37" customFormat="false" ht="15" hidden="false" customHeight="false" outlineLevel="0" collapsed="false">
      <c r="A37" s="0" t="s">
        <v>134</v>
      </c>
      <c r="B37" s="0" t="n">
        <f aca="false">B36+Assumptions!$B$5-Assumptions!$B$4</f>
        <v>1456.42271471997</v>
      </c>
    </row>
    <row r="38" customFormat="false" ht="15" hidden="false" customHeight="false" outlineLevel="0" collapsed="false">
      <c r="A38" s="0" t="s">
        <v>135</v>
      </c>
      <c r="B38" s="0" t="n">
        <f aca="false">B37/Assumptions!$B$3*Assumptions!$B$10</f>
        <v>6.57417368078455</v>
      </c>
    </row>
    <row r="39" customFormat="false" ht="15" hidden="false" customHeight="false" outlineLevel="0" collapsed="false">
      <c r="A39" s="0" t="s">
        <v>136</v>
      </c>
      <c r="B39" s="4" t="n">
        <f aca="false">B38/Assumptions!$B$2-1</f>
        <v>1.29866212614845</v>
      </c>
    </row>
    <row r="41" customFormat="false" ht="15" hidden="false" customHeight="false" outlineLevel="0" collapsed="false">
      <c r="A41" s="0" t="s">
        <v>137</v>
      </c>
      <c r="B41" s="0" t="n">
        <f aca="false">SUMPRODUCT(-C10:L10/(1+$B$27/100)^C4:L4)</f>
        <v>12.6778100066033</v>
      </c>
    </row>
    <row r="42" customFormat="false" ht="15" hidden="false" customHeight="false" outlineLevel="0" collapsed="false">
      <c r="A42" s="0" t="s">
        <v>138</v>
      </c>
      <c r="B42" s="0" t="n">
        <f aca="false">IF(B27&gt;B28,-L10*(1+B28/100)/((B27-B28)/100),-L10*20)/(1+B27/100)^L4</f>
        <v>19.8139898681503</v>
      </c>
    </row>
    <row r="43" customFormat="false" ht="15" hidden="false" customHeight="false" outlineLevel="0" collapsed="false">
      <c r="A43" s="0" t="s">
        <v>139</v>
      </c>
      <c r="B43" s="0" t="n">
        <f aca="false">(B37+B41+B42)/Assumptions!$B$3*Assumptions!$B$10</f>
        <v>6.72083902280306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1491.01708462999</v>
      </c>
    </row>
    <row r="47" customFormat="false" ht="15" hidden="false" customHeight="false" outlineLevel="0" collapsed="false">
      <c r="A47" s="0" t="s">
        <v>141</v>
      </c>
      <c r="B47" s="0" t="n">
        <f aca="false">(SUMPRODUCT(C19:L19/(1+B45/100)^C4:L4)+B46/(1+B45/100)^L4+Assumptions!$B$5-Assumptions!$B$4)/Assumptions!$B$3*Assumptions!$B$10</f>
        <v>2.09500894324184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-0.546683959922503</v>
      </c>
      <c r="C4" s="0" t="n">
        <f aca="false">B4/Assumptions!$B$2-1</f>
        <v>-1.19114823773514</v>
      </c>
      <c r="D4" s="4" t="n">
        <f aca="false">Assumptions!$B$24</f>
        <v>0.25</v>
      </c>
      <c r="E4" s="4" t="n">
        <f aca="false">DCF_Bear!$B$43</f>
        <v>-0.466957514570921</v>
      </c>
      <c r="F4" s="4" t="n">
        <f aca="false">DCF_Bear!$B$47</f>
        <v>-1.21882360298063</v>
      </c>
    </row>
    <row r="5" customFormat="false" ht="15" hidden="false" customHeight="false" outlineLevel="0" collapsed="false">
      <c r="A5" s="0" t="s">
        <v>150</v>
      </c>
      <c r="B5" s="4" t="n">
        <f aca="false">DCF_Base!$B$38</f>
        <v>2.87869923437139</v>
      </c>
      <c r="C5" s="0" t="n">
        <f aca="false">B5/Assumptions!$B$2-1</f>
        <v>0.00653819383614862</v>
      </c>
      <c r="D5" s="4" t="n">
        <f aca="false">Assumptions!$B$38</f>
        <v>0.5</v>
      </c>
      <c r="E5" s="4" t="n">
        <f aca="false">DCF_Base!$B$43</f>
        <v>2.98910211755756</v>
      </c>
      <c r="F5" s="4" t="n">
        <f aca="false">DCF_Base!$B$47</f>
        <v>0.470002394663285</v>
      </c>
    </row>
    <row r="6" customFormat="false" ht="15" hidden="false" customHeight="false" outlineLevel="0" collapsed="false">
      <c r="A6" s="0" t="s">
        <v>151</v>
      </c>
      <c r="B6" s="4" t="n">
        <f aca="false">DCF_Bull!$B$38</f>
        <v>6.57417368078455</v>
      </c>
      <c r="C6" s="0" t="n">
        <f aca="false">B6/Assumptions!$B$2-1</f>
        <v>1.29866212614845</v>
      </c>
      <c r="D6" s="4" t="n">
        <f aca="false">Assumptions!$B$52</f>
        <v>0.25</v>
      </c>
      <c r="E6" s="4" t="n">
        <f aca="false">DCF_Bull!$B$43</f>
        <v>6.72083902280306</v>
      </c>
      <c r="F6" s="4" t="n">
        <f aca="false">DCF_Bull!$B$47</f>
        <v>2.09500894324184</v>
      </c>
    </row>
    <row r="8" customFormat="false" ht="15" hidden="false" customHeight="false" outlineLevel="0" collapsed="false">
      <c r="A8" s="0" t="s">
        <v>152</v>
      </c>
      <c r="B8" s="0" t="n">
        <f aca="false">SUMPRODUCT(B4:B6,D4:D6)</f>
        <v>2.94622204740121</v>
      </c>
    </row>
    <row r="9" customFormat="false" ht="15" hidden="false" customHeight="false" outlineLevel="0" collapsed="false">
      <c r="A9" s="0" t="s">
        <v>153</v>
      </c>
      <c r="B9" s="0" t="n">
        <f aca="false">SUMPRODUCT(E4:E6,D4:D6)</f>
        <v>3.05802143583681</v>
      </c>
    </row>
    <row r="10" customFormat="false" ht="15" hidden="false" customHeight="false" outlineLevel="0" collapsed="false">
      <c r="A10" s="0" t="s">
        <v>154</v>
      </c>
      <c r="B10" s="0" t="n">
        <f aca="false">1-Assumptions!$B$2/B8</f>
        <v>0.0292652916222862</v>
      </c>
    </row>
    <row r="11" customFormat="false" ht="15" hidden="false" customHeight="false" outlineLevel="0" collapsed="false">
      <c r="A11" s="0" t="s">
        <v>155</v>
      </c>
      <c r="B11" s="0" t="n">
        <f aca="false">IF(ABS(B9-B8)&gt;0.01*ABS(B8),(Assumptions!$B$2-B8)/(B9-B8)*100,"n/a")</f>
        <v>-77.1221100649099</v>
      </c>
    </row>
    <row r="12" customFormat="false" ht="15" hidden="false" customHeight="false" outlineLevel="0" collapsed="false">
      <c r="A12" s="0" t="s">
        <v>156</v>
      </c>
      <c r="B12" s="0" t="n">
        <f aca="false">SUMPRODUCT(F4:F6,D4:D6)</f>
        <v>0.454047532396944</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2.87869923437139</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2.46245416593242</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1.8701002631943</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1.40546964853494</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0.470002394663285</v>
      </c>
      <c r="C19" s="3" t="n">
        <v>15</v>
      </c>
    </row>
    <row r="21" customFormat="false" ht="15" hidden="false" customHeight="false" outlineLevel="0" collapsed="false">
      <c r="A21" s="2" t="s">
        <v>164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3.69398599334749</v>
      </c>
      <c r="C23" s="0" t="n">
        <f aca="false">(SUMPRODUCT(DCF_Base!$C$19:$L$19/(1+$A$23/100)^DCF_Base!$C$4:$L$4)+MAX(0,MIN(IF($A$23&gt;$C$22,DCF_Base!$L$19*(1+$C$22/100)/(($A$23-$C$22)/100),DCF_Base!$L$19*DCF_Base!$B$29),DCF_Base!$L$19*DCF_Base!$B$29))/(1+$A$23/100)^DCF_Base!$L$4+Assumptions!$B$5-Assumptions!$B$4)/Assumptions!$B$3*Assumptions!$B$10</f>
        <v>3.69398599334749</v>
      </c>
      <c r="D23" s="0" t="n">
        <f aca="false">(SUMPRODUCT(DCF_Base!$C$19:$L$19/(1+$A$23/100)^DCF_Base!$C$4:$L$4)+MAX(0,MIN(IF($A$23&gt;$D$22,DCF_Base!$L$19*(1+$D$22/100)/(($A$23-$D$22)/100),DCF_Base!$L$19*DCF_Base!$B$29),DCF_Base!$L$19*DCF_Base!$B$29))/(1+$A$23/100)^DCF_Base!$L$4+Assumptions!$B$5-Assumptions!$B$4)/Assumptions!$B$3*Assumptions!$B$10</f>
        <v>3.69398599334749</v>
      </c>
      <c r="E23" s="0" t="n">
        <f aca="false">(SUMPRODUCT(DCF_Base!$C$19:$L$19/(1+$A$23/100)^DCF_Base!$C$4:$L$4)+MAX(0,MIN(IF($A$23&gt;$E$22,DCF_Base!$L$19*(1+$E$22/100)/(($A$23-$E$22)/100),DCF_Base!$L$19*DCF_Base!$B$29),DCF_Base!$L$19*DCF_Base!$B$29))/(1+$A$23/100)^DCF_Base!$L$4+Assumptions!$B$5-Assumptions!$B$4)/Assumptions!$B$3*Assumptions!$B$10</f>
        <v>3.69398599334749</v>
      </c>
      <c r="F23" s="0" t="n">
        <f aca="false">(SUMPRODUCT(DCF_Base!$C$19:$L$19/(1+$A$23/100)^DCF_Base!$C$4:$L$4)+MAX(0,MIN(IF($A$23&gt;$F$22,DCF_Base!$L$19*(1+$F$22/100)/(($A$23-$F$22)/100),DCF_Base!$L$19*DCF_Base!$B$29),DCF_Base!$L$19*DCF_Base!$B$29))/(1+$A$23/100)^DCF_Base!$L$4+Assumptions!$B$5-Assumptions!$B$4)/Assumptions!$B$3*Assumptions!$B$10</f>
        <v>3.69398599334749</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3.26710875542438</v>
      </c>
      <c r="C24" s="0" t="n">
        <f aca="false">(SUMPRODUCT(DCF_Base!$C$19:$L$19/(1+$A$24/100)^DCF_Base!$C$4:$L$4)+MAX(0,MIN(IF($A$24&gt;$C$22,DCF_Base!$L$19*(1+$C$22/100)/(($A$24-$C$22)/100),DCF_Base!$L$19*DCF_Base!$B$29),DCF_Base!$L$19*DCF_Base!$B$29))/(1+$A$24/100)^DCF_Base!$L$4+Assumptions!$B$5-Assumptions!$B$4)/Assumptions!$B$3*Assumptions!$B$10</f>
        <v>3.26710875542438</v>
      </c>
      <c r="D24" s="0" t="n">
        <f aca="false">(SUMPRODUCT(DCF_Base!$C$19:$L$19/(1+$A$24/100)^DCF_Base!$C$4:$L$4)+MAX(0,MIN(IF($A$24&gt;$D$22,DCF_Base!$L$19*(1+$D$22/100)/(($A$24-$D$22)/100),DCF_Base!$L$19*DCF_Base!$B$29),DCF_Base!$L$19*DCF_Base!$B$29))/(1+$A$24/100)^DCF_Base!$L$4+Assumptions!$B$5-Assumptions!$B$4)/Assumptions!$B$3*Assumptions!$B$10</f>
        <v>3.26710875542438</v>
      </c>
      <c r="E24" s="0" t="n">
        <f aca="false">(SUMPRODUCT(DCF_Base!$C$19:$L$19/(1+$A$24/100)^DCF_Base!$C$4:$L$4)+MAX(0,MIN(IF($A$24&gt;$E$22,DCF_Base!$L$19*(1+$E$22/100)/(($A$24-$E$22)/100),DCF_Base!$L$19*DCF_Base!$B$29),DCF_Base!$L$19*DCF_Base!$B$29))/(1+$A$24/100)^DCF_Base!$L$4+Assumptions!$B$5-Assumptions!$B$4)/Assumptions!$B$3*Assumptions!$B$10</f>
        <v>3.26710875542438</v>
      </c>
      <c r="F24" s="0" t="n">
        <f aca="false">(SUMPRODUCT(DCF_Base!$C$19:$L$19/(1+$A$24/100)^DCF_Base!$C$4:$L$4)+MAX(0,MIN(IF($A$24&gt;$F$22,DCF_Base!$L$19*(1+$F$22/100)/(($A$24-$F$22)/100),DCF_Base!$L$19*DCF_Base!$B$29),DCF_Base!$L$19*DCF_Base!$B$29))/(1+$A$24/100)^DCF_Base!$L$4+Assumptions!$B$5-Assumptions!$B$4)/Assumptions!$B$3*Assumptions!$B$10</f>
        <v>3.26710875542438</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2.78293043485934</v>
      </c>
      <c r="C25" s="0" t="n">
        <f aca="false">(SUMPRODUCT(DCF_Base!$C$19:$L$19/(1+$A$25/100)^DCF_Base!$C$4:$L$4)+MAX(0,MIN(IF($A$25&gt;$C$22,DCF_Base!$L$19*(1+$C$22/100)/(($A$25-$C$22)/100),DCF_Base!$L$19*DCF_Base!$B$29),DCF_Base!$L$19*DCF_Base!$B$29))/(1+$A$25/100)^DCF_Base!$L$4+Assumptions!$B$5-Assumptions!$B$4)/Assumptions!$B$3*Assumptions!$B$10</f>
        <v>2.87869923437139</v>
      </c>
      <c r="D25" s="0" t="n">
        <f aca="false">(SUMPRODUCT(DCF_Base!$C$19:$L$19/(1+$A$25/100)^DCF_Base!$C$4:$L$4)+MAX(0,MIN(IF($A$25&gt;$D$22,DCF_Base!$L$19*(1+$D$22/100)/(($A$25-$D$22)/100),DCF_Base!$L$19*DCF_Base!$B$29),DCF_Base!$L$19*DCF_Base!$B$29))/(1+$A$25/100)^DCF_Base!$L$4+Assumptions!$B$5-Assumptions!$B$4)/Assumptions!$B$3*Assumptions!$B$10</f>
        <v>2.87869923437139</v>
      </c>
      <c r="E25" s="0" t="n">
        <f aca="false">(SUMPRODUCT(DCF_Base!$C$19:$L$19/(1+$A$25/100)^DCF_Base!$C$4:$L$4)+MAX(0,MIN(IF($A$25&gt;$E$22,DCF_Base!$L$19*(1+$E$22/100)/(($A$25-$E$22)/100),DCF_Base!$L$19*DCF_Base!$B$29),DCF_Base!$L$19*DCF_Base!$B$29))/(1+$A$25/100)^DCF_Base!$L$4+Assumptions!$B$5-Assumptions!$B$4)/Assumptions!$B$3*Assumptions!$B$10</f>
        <v>2.87869923437139</v>
      </c>
      <c r="F25" s="0" t="n">
        <f aca="false">(SUMPRODUCT(DCF_Base!$C$19:$L$19/(1+$A$25/100)^DCF_Base!$C$4:$L$4)+MAX(0,MIN(IF($A$25&gt;$F$22,DCF_Base!$L$19*(1+$F$22/100)/(($A$25-$F$22)/100),DCF_Base!$L$19*DCF_Base!$B$29),DCF_Base!$L$19*DCF_Base!$B$29))/(1+$A$25/100)^DCF_Base!$L$4+Assumptions!$B$5-Assumptions!$B$4)/Assumptions!$B$3*Assumptions!$B$10</f>
        <v>2.87869923437139</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2.13925674510301</v>
      </c>
      <c r="C26" s="0" t="n">
        <f aca="false">(SUMPRODUCT(DCF_Base!$C$19:$L$19/(1+$A$26/100)^DCF_Base!$C$4:$L$4)+MAX(0,MIN(IF($A$26&gt;$C$22,DCF_Base!$L$19*(1+$C$22/100)/(($A$26-$C$22)/100),DCF_Base!$L$19*DCF_Base!$B$29),DCF_Base!$L$19*DCF_Base!$B$29))/(1+$A$26/100)^DCF_Base!$L$4+Assumptions!$B$5-Assumptions!$B$4)/Assumptions!$B$3*Assumptions!$B$10</f>
        <v>2.2907555361168</v>
      </c>
      <c r="D26" s="0" t="n">
        <f aca="false">(SUMPRODUCT(DCF_Base!$C$19:$L$19/(1+$A$26/100)^DCF_Base!$C$4:$L$4)+MAX(0,MIN(IF($A$26&gt;$D$22,DCF_Base!$L$19*(1+$D$22/100)/(($A$26-$D$22)/100),DCF_Base!$L$19*DCF_Base!$B$29),DCF_Base!$L$19*DCF_Base!$B$29))/(1+$A$26/100)^DCF_Base!$L$4+Assumptions!$B$5-Assumptions!$B$4)/Assumptions!$B$3*Assumptions!$B$10</f>
        <v>2.46245416593242</v>
      </c>
      <c r="E26" s="0" t="n">
        <f aca="false">(SUMPRODUCT(DCF_Base!$C$19:$L$19/(1+$A$26/100)^DCF_Base!$C$4:$L$4)+MAX(0,MIN(IF($A$26&gt;$E$22,DCF_Base!$L$19*(1+$E$22/100)/(($A$26-$E$22)/100),DCF_Base!$L$19*DCF_Base!$B$29),DCF_Base!$L$19*DCF_Base!$B$29))/(1+$A$26/100)^DCF_Base!$L$4+Assumptions!$B$5-Assumptions!$B$4)/Assumptions!$B$3*Assumptions!$B$10</f>
        <v>2.52489003131992</v>
      </c>
      <c r="F26" s="0" t="n">
        <f aca="false">(SUMPRODUCT(DCF_Base!$C$19:$L$19/(1+$A$26/100)^DCF_Base!$C$4:$L$4)+MAX(0,MIN(IF($A$26&gt;$F$22,DCF_Base!$L$19*(1+$F$22/100)/(($A$26-$F$22)/100),DCF_Base!$L$19*DCF_Base!$B$29),DCF_Base!$L$19*DCF_Base!$B$29))/(1+$A$26/100)^DCF_Base!$L$4+Assumptions!$B$5-Assumptions!$B$4)/Assumptions!$B$3*Assumptions!$B$10</f>
        <v>2.52489003131992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1.63490265452167</v>
      </c>
      <c r="C27" s="0" t="n">
        <f aca="false">(SUMPRODUCT(DCF_Base!$C$19:$L$19/(1+$A$27/100)^DCF_Base!$C$4:$L$4)+MAX(0,MIN(IF($A$27&gt;$C$22,DCF_Base!$L$19*(1+$C$22/100)/(($A$27-$C$22)/100),DCF_Base!$L$19*DCF_Base!$B$29),DCF_Base!$L$19*DCF_Base!$B$29))/(1+$A$27/100)^DCF_Base!$L$4+Assumptions!$B$5-Assumptions!$B$4)/Assumptions!$B$3*Assumptions!$B$10</f>
        <v>1.74596819195041</v>
      </c>
      <c r="D27" s="0" t="n">
        <f aca="false">(SUMPRODUCT(DCF_Base!$C$19:$L$19/(1+$A$27/100)^DCF_Base!$C$4:$L$4)+MAX(0,MIN(IF($A$27&gt;$D$22,DCF_Base!$L$19*(1+$D$22/100)/(($A$27-$D$22)/100),DCF_Base!$L$19*DCF_Base!$B$29),DCF_Base!$L$19*DCF_Base!$B$29))/(1+$A$27/100)^DCF_Base!$L$4+Assumptions!$B$5-Assumptions!$B$4)/Assumptions!$B$3*Assumptions!$B$10</f>
        <v>1.8701002631943</v>
      </c>
      <c r="E27" s="0" t="n">
        <f aca="false">(SUMPRODUCT(DCF_Base!$C$19:$L$19/(1+$A$27/100)^DCF_Base!$C$4:$L$4)+MAX(0,MIN(IF($A$27&gt;$E$22,DCF_Base!$L$19*(1+$E$22/100)/(($A$27-$E$22)/100),DCF_Base!$L$19*DCF_Base!$B$29),DCF_Base!$L$19*DCF_Base!$B$29))/(1+$A$27/100)^DCF_Base!$L$4+Assumptions!$B$5-Assumptions!$B$4)/Assumptions!$B$3*Assumptions!$B$10</f>
        <v>2.00974884334367</v>
      </c>
      <c r="F27" s="0" t="n">
        <f aca="false">(SUMPRODUCT(DCF_Base!$C$19:$L$19/(1+$A$27/100)^DCF_Base!$C$4:$L$4)+MAX(0,MIN(IF($A$27&gt;$F$22,DCF_Base!$L$19*(1+$F$22/100)/(($A$27-$F$22)/100),DCF_Base!$L$19*DCF_Base!$B$29),DCF_Base!$L$19*DCF_Base!$B$29))/(1+$A$27/100)^DCF_Base!$L$4+Assumptions!$B$5-Assumptions!$B$4)/Assumptions!$B$3*Assumptions!$B$10</f>
        <v>2.16801723417963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2026-09-25T16:00:31Z</dcterms:created>
  <dc:creator>openpyxl</dc:creator>
  <dc:description/>
  <dc:language>en-NZ</dc:language>
  <cp:lastModifiedBy/>
  <dcterms:modified xsi:type="dcterms:W3CDTF">2026-09-25T16:00:31Z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