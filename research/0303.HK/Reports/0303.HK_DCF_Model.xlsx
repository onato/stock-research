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<sst xmlns="http://schemas.openxmlformats.org/spreadsheetml/2006/main" count="359" uniqueCount="167">
  <si>
    <t xml:space="preserve">Ticker</t>
  </si>
  <si>
    <t xml:space="preserve">0303.HK</t>
  </si>
  <si>
    <t xml:space="preserve">Company</t>
  </si>
  <si>
    <t xml:space="preserve">VTech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</si>
  <si>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</si>
  <si>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</si>
  <si>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</si>
  <si>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</si>
  <si>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regular-session close (HKEX); Yahoo Finance chart API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</si>
  <si>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</si>
  <si>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</si>
  <si>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</si>
  <si>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</si>
  <si>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</si>
  <si>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</si>
  <si>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</si>
  <si>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</si>
  <si>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</si>
  <si>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</si>
  <si>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</si>
  <si>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</si>
  <si>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</si>
  <si>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2026-10-10T22:07:29Z</t>
  </si>
  <si>
    <t xml:space="preserve">Drivers file</t>
  </si>
  <si>
    <t xml:space="preserve">0303.HK_Drivers.json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</si>
  <si>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</si>
  <si>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</si>
  <si>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</si>
  <si>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VTech is valued as a mature, debt-free, near-100%-payout manufacturer: a USD owner-FCF stream with leases charged in the flows, risk carried in a bear-weighted scenario set rather than the discount rate, and a 12x terminal cap reflecting a slow-growing, cyclical consumer-electronics business. The question the price answers is not growth but durability of an ~11% EBITDA margin through tariff shocks and secular category decline.
key_risks_to_valuation: US tariff escalation on China-made goods (FY2026 precedent: multi-week US shipment halt, NA ELP -25% in H1); Structural decline in the core customer base (birth rates) and in residential phones; Component-cost inflation from AI-driven shortages compressing gross margin in FY2027; Working-capital absorption: inventory days at a five-year high (128); cash conversion has been volatile (FY2026 OCF -45%); CMS customer concentration -- single programs ending (hearables, washing-machine PCBA) move segment results; ~US$18m of cash sits in PRC banks under FX-control rules; H1 seasonal cash troughs mean not all year-end cash is truly excess</t>
  </si>
  <si>
    <t xml:space="preserve">Data sources</t>
  </si>
  <si>
    <t xml:space="preserve">price: Yahoo Finance chart API (0303.HK) at inputs.price_as_of; 52-week range HK$47.80-67.90. FX from Yahoo USDHKD=X, parity vs OTC ADR VTKLY.
financials: VTech Holdings Annual Reports FY2019-FY2026 and Interim Reports H1 FY2025-H1 FY2026 (research/0303.HK/Extracted), via research/0303.HK/Reports/0303.HK_Metrics.csv and the kpis table; balance sheet and cash flow lines from AR FY2026 pp.116-120.
qualitative: research/0303.HK/Reports/0303.HK_Analysis.json (FY2027 outlook from the 21 May 2026 annual results).</t>
  </si>
  <si>
    <t xml:space="preserve">Scenario narrative: bear</t>
  </si>
  <si>
    <t xml:space="preserve">US-China tariffs escalate again and repeat FY2026's multi-week North American shipment halt; retailers push order timing and demand price concessions, ELP shrinks with birth rates, cordless-phone decline accelerates, and a CMS customer program ends without replacement. Revenue falls ~7% over four years then flat-lines, and with component costs elevated and fixed-cost deleverage EBITDA margin settles near 9.5% (below the FY2023 trough of 10.7%). The balance sheet stays debt-free, so this is a lower dividend, not a solvency case; working-capital release on a shrinking top line partly cushions cash flow.</t>
  </si>
  <si>
    <t xml:space="preserve">Scenario narrative: base</t>
  </si>
  <si>
    <t xml:space="preserve">FY2027 delivers the guided revenue recovery (+4%) as ELP standalone launches, LeapMove expansion and Toy Story 5 / licensed lines rebuild North American sell-in after the April-2025 tariff shipment halt, and new LTE/Gigaset devices lift TEL, while CMS holds flat. Gross margin dips on AI-driven component inflation, so EBITDA margin troughs near 10.9% before recovering to the ~11.5% mid-cycle as Muar and Tecate absorb tariff-exposed US volume. Beyond FY2029 growth fades to 1.5%: shrinking birth cohorts and the residential-phone decline are offset, not overcome, by EMS diversification. VTech remains a debt-free ~100%-payout cash cow growing roughly with inflation.</t>
  </si>
  <si>
    <t xml:space="preserve">Scenario narrative: bull</t>
  </si>
  <si>
    <t xml:space="preserve">Tariffs stabilise and the China+1 footprint becomes a selling point: Malaysia's doubled capacity and Mexico win US EMS customers fleeing China (Wi-Fi routers, IoT, professional audio), CMS grows mid-single digits, LeapMove becomes a platform franchise and the AI baby monitor rolls out globally. Material costs normalise and the two-year gross-margin expansion (28.2% FY2022 -&gt; 32.7% FY2026) resumes, taking EBITDA margin back toward 12.8% -- still below the FY2020-21 COVID peak of 13-14%. Revenue compounds ~3.5% for five years and 2% thereafter.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</si>
  <si>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</si>
  <si>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</si>
  <si>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</si>
  <si>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</si>
  <si>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</si>
  <si>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</si>
  <si>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</si>
  <si>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</si>
  <si>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</si>
  <si>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</si>
  <si>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</si>
  <si>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</si>
  <si>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</si>
  <si>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</si>
  <si>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</si>
  <si>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</si>
  <si>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</si>
  <si>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</si>
  <si>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</si>
  <si>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</si>
  <si>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</si>
  <si>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</si>
  <si>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</si>
  <si>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</si>
  <si>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</si>
  <si>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</si>
  <si>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</si>
  <si>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</si>
  <si>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ResearchAndDevelopment</t>
  </si>
  <si>
    <t xml:space="preserve">ShareAwardSettlement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</si>
  <si>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</si>
  <si>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</si>
  <si>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</si>
  <si>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</si>
  <si>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</si>
  <si>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</si>
  <si>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</si>
  <si>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</si>
  <si>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</si>
  <si>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</si>
  <si>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</si>
  <si>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</si>
  <si>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</si>
  <si>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</si>
  <si>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</si>
  <si>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</si>
  <si>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</si>
  <si>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</si>
  <si>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</si>
  <si>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</si>
  <si>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</si>
  <si>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</si>
  <si>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</si>
  <si>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</si>
  <si>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</si>
  <si>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</si>
  <si>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</si>
  <si>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</si>
  <si>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</si>
  <si>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</si>
  <si>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</si>
  <si>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</si>
  <si>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</si>
  <si>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</si>
  <si>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</si>
  <si>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</si>
  <si>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</si>
  <si>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</si>
  <si>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</si>
  <si>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</si>
  <si>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</si>
  <si>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</si>
  <si>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</si>
  <si>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</si>
  <si>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</si>
  <si>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</si>
  <si>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0303.HK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</si>
  <si>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</si>
  <si>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</si>
  <si>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</si>
  <si>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</si>
  <si>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</si>
  <si>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</si>
  <si>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</si>
  <si>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</si>
  <si>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</si>
  <si>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</si>
  <si>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</si>
  <si>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</si>
  <si>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</si>
  <si>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</si>
  <si>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</si>
  <si>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</si>
  <si>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</si>
  <si>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</si>
  <si>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</si>
  <si>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</si>
  <si>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</si>
  <si>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</si>
  <si>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</si>
  <si>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</si>
  <si>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</si>
  <si>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</si>
  <si>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</si>
  <si>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</si>
  <si>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</si>
  <si>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</si>
  <si>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0303.HK owner-FCF component DCF: base case (millions, USD)</t>
  </si>
  <si>
    <t xml:space="preserve">0303.HK owner-FCF component DCF: bull case (millions, USD)</t>
  </si>
  <si>
    <t xml:space="preserve">0303.HK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</si>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</sst>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2130.1</v>
      </c>
      <c r="C2" s="0" t="n">
        <v>-1428.1</v>
      </c>
      <c r="D2" s="0" t="n">
        <v>702</v>
      </c>
      <c r="E2" s="0" t="n">
        <v>33</v>
      </c>
      <c r="F2" s="0" t="n">
        <v>231.3</v>
      </c>
      <c r="G2" s="0" t="n">
        <v>10.9</v>
      </c>
      <c r="H2" s="0" t="n">
        <v>267.4</v>
      </c>
      <c r="I2" s="0" t="n">
        <v>206.3</v>
      </c>
      <c r="J2" s="0" t="n">
        <v>9.7</v>
      </c>
      <c r="K2" s="0" t="n">
        <v>0.821</v>
      </c>
      <c r="L2" s="0" t="n">
        <v>175.7</v>
      </c>
      <c r="M2" s="0" t="n">
        <v>37.6</v>
      </c>
      <c r="N2" s="0" t="n">
        <v>138.1</v>
      </c>
      <c r="O2" s="0" t="n">
        <v>646.6</v>
      </c>
      <c r="R2" s="0" t="n">
        <v>0</v>
      </c>
      <c r="S2" s="0" t="n">
        <v>254.4</v>
      </c>
      <c r="T2" s="0" t="n">
        <v>251.3</v>
      </c>
      <c r="U2" s="0" t="n">
        <v>7.1</v>
      </c>
      <c r="AA2" s="0" t="s">
        <v>18</v>
      </c>
      <c r="AB2" s="0" t="s">
        <v>14</v>
      </c>
      <c r="AE2" s="0" t="n">
        <v>4</v>
      </c>
    </row>
    <row r="3" customFormat="false" ht="15" hidden="false" customHeight="false" outlineLevel="0" collapsed="false">
      <c r="A3" s="0" t="s">
        <v>68</v>
      </c>
      <c r="B3" s="0" t="n">
        <v>2161.9</v>
      </c>
      <c r="C3" s="0" t="n">
        <v>-1525.5</v>
      </c>
      <c r="D3" s="0" t="n">
        <v>636.4</v>
      </c>
      <c r="E3" s="0" t="n">
        <v>29.4</v>
      </c>
      <c r="F3" s="0" t="n">
        <v>193.2</v>
      </c>
      <c r="G3" s="0" t="n">
        <v>8.9</v>
      </c>
      <c r="H3" s="0" t="n">
        <v>231.2</v>
      </c>
      <c r="I3" s="0" t="n">
        <v>171.3</v>
      </c>
      <c r="J3" s="0" t="n">
        <v>7.9</v>
      </c>
      <c r="K3" s="0" t="n">
        <v>0.681</v>
      </c>
      <c r="L3" s="0" t="n">
        <v>249.3</v>
      </c>
      <c r="M3" s="0" t="n">
        <v>37.3</v>
      </c>
      <c r="N3" s="0" t="n">
        <v>212</v>
      </c>
      <c r="O3" s="0" t="n">
        <v>607</v>
      </c>
      <c r="R3" s="0" t="n">
        <v>0</v>
      </c>
      <c r="S3" s="0" t="n">
        <v>237</v>
      </c>
      <c r="T3" s="0" t="n">
        <v>251.5</v>
      </c>
      <c r="U3" s="0" t="n">
        <v>4.6</v>
      </c>
      <c r="AA3" s="0" t="s">
        <v>18</v>
      </c>
      <c r="AB3" s="0" t="s">
        <v>14</v>
      </c>
      <c r="AE3" s="0" t="n">
        <v>3.4</v>
      </c>
    </row>
    <row r="4" customFormat="false" ht="15" hidden="false" customHeight="false" outlineLevel="0" collapsed="false">
      <c r="A4" s="0" t="s">
        <v>69</v>
      </c>
      <c r="B4" s="0" t="n">
        <v>2165.5</v>
      </c>
      <c r="C4" s="0" t="n">
        <v>-1501.9</v>
      </c>
      <c r="D4" s="0" t="n">
        <v>663.6</v>
      </c>
      <c r="E4" s="0" t="n">
        <v>30.6</v>
      </c>
      <c r="F4" s="0" t="n">
        <v>219.7</v>
      </c>
      <c r="G4" s="0" t="n">
        <v>10.1</v>
      </c>
      <c r="H4" s="0" t="n">
        <v>276.9</v>
      </c>
      <c r="I4" s="0" t="n">
        <v>190.7</v>
      </c>
      <c r="J4" s="0" t="n">
        <v>8.8</v>
      </c>
      <c r="K4" s="0" t="n">
        <v>0.757</v>
      </c>
      <c r="L4" s="0" t="n">
        <v>237</v>
      </c>
      <c r="M4" s="0" t="n">
        <v>33.2</v>
      </c>
      <c r="N4" s="0" t="n">
        <v>203.8</v>
      </c>
      <c r="O4" s="0" t="n">
        <v>601.5</v>
      </c>
      <c r="R4" s="0" t="n">
        <v>0</v>
      </c>
      <c r="S4" s="0" t="n">
        <v>242.5</v>
      </c>
      <c r="T4" s="0" t="n">
        <v>251.9</v>
      </c>
      <c r="U4" s="0" t="n">
        <v>3.9</v>
      </c>
      <c r="AA4" s="0" t="s">
        <v>18</v>
      </c>
      <c r="AB4" s="0" t="s">
        <v>14</v>
      </c>
      <c r="AE4" s="0" t="n">
        <v>1.2</v>
      </c>
    </row>
    <row r="5" customFormat="false" ht="15" hidden="false" customHeight="false" outlineLevel="0" collapsed="false">
      <c r="A5" s="0" t="s">
        <v>70</v>
      </c>
      <c r="B5" s="0" t="n">
        <v>2372.3</v>
      </c>
      <c r="C5" s="0" t="n">
        <v>-1645.7</v>
      </c>
      <c r="D5" s="0" t="n">
        <v>726.6</v>
      </c>
      <c r="E5" s="0" t="n">
        <v>30.6</v>
      </c>
      <c r="F5" s="0" t="n">
        <v>266.2</v>
      </c>
      <c r="G5" s="0" t="n">
        <v>11.2</v>
      </c>
      <c r="H5" s="0" t="n">
        <v>325.5</v>
      </c>
      <c r="I5" s="0" t="n">
        <v>230.9</v>
      </c>
      <c r="J5" s="0" t="n">
        <v>9.7</v>
      </c>
      <c r="K5" s="0" t="n">
        <v>0.916</v>
      </c>
      <c r="L5" s="0" t="n">
        <v>280.3</v>
      </c>
      <c r="M5" s="0" t="n">
        <v>48</v>
      </c>
      <c r="N5" s="0" t="n">
        <v>232.3</v>
      </c>
      <c r="O5" s="0" t="n">
        <v>731.1</v>
      </c>
      <c r="R5" s="0" t="n">
        <v>0</v>
      </c>
      <c r="S5" s="0" t="n">
        <v>343.8</v>
      </c>
      <c r="T5" s="0" t="n">
        <v>252.1</v>
      </c>
      <c r="U5" s="0" t="n">
        <v>5</v>
      </c>
      <c r="AA5" s="0" t="s">
        <v>18</v>
      </c>
      <c r="AB5" s="0" t="s">
        <v>14</v>
      </c>
      <c r="AE5" s="0" t="n">
        <v>2.3</v>
      </c>
    </row>
    <row r="6" customFormat="false" ht="15" hidden="false" customHeight="false" outlineLevel="0" collapsed="false">
      <c r="A6" s="0" t="s">
        <v>71</v>
      </c>
      <c r="B6" s="0" t="n">
        <v>2370.5</v>
      </c>
      <c r="C6" s="0" t="n">
        <v>-1701.4</v>
      </c>
      <c r="D6" s="0" t="n">
        <v>669.1</v>
      </c>
      <c r="E6" s="0" t="n">
        <v>28.2</v>
      </c>
      <c r="F6" s="0" t="n">
        <v>203.8</v>
      </c>
      <c r="G6" s="0" t="n">
        <v>8.6</v>
      </c>
      <c r="H6" s="0" t="n">
        <v>268.4</v>
      </c>
      <c r="I6" s="0" t="n">
        <v>172.7</v>
      </c>
      <c r="J6" s="0" t="n">
        <v>7.3</v>
      </c>
      <c r="K6" s="0" t="n">
        <v>0.685</v>
      </c>
      <c r="L6" s="0" t="n">
        <v>139.6</v>
      </c>
      <c r="M6" s="0" t="n">
        <v>35.9</v>
      </c>
      <c r="N6" s="0" t="n">
        <v>103.7</v>
      </c>
      <c r="O6" s="0" t="n">
        <v>678.8</v>
      </c>
      <c r="R6" s="0" t="n">
        <v>0</v>
      </c>
      <c r="S6" s="0" t="n">
        <v>195.8</v>
      </c>
      <c r="T6" s="0" t="n">
        <v>252.1</v>
      </c>
      <c r="U6" s="0" t="n">
        <v>4.3</v>
      </c>
      <c r="AA6" s="0" t="s">
        <v>18</v>
      </c>
      <c r="AB6" s="0" t="s">
        <v>14</v>
      </c>
      <c r="AE6" s="0" t="n">
        <v>1.6</v>
      </c>
    </row>
    <row r="7" customFormat="false" ht="15" hidden="false" customHeight="false" outlineLevel="0" collapsed="false">
      <c r="A7" s="0" t="s">
        <v>72</v>
      </c>
      <c r="B7" s="0" t="n">
        <v>2241.7</v>
      </c>
      <c r="C7" s="0" t="n">
        <v>-1608</v>
      </c>
      <c r="D7" s="0" t="n">
        <v>633.7</v>
      </c>
      <c r="E7" s="0" t="n">
        <v>28.3</v>
      </c>
      <c r="F7" s="0" t="n">
        <v>180.5</v>
      </c>
      <c r="G7" s="0" t="n">
        <v>8.1</v>
      </c>
      <c r="H7" s="0" t="n">
        <v>237</v>
      </c>
      <c r="I7" s="0" t="n">
        <v>149.2</v>
      </c>
      <c r="J7" s="0" t="n">
        <v>6.7</v>
      </c>
      <c r="K7" s="0" t="n">
        <v>0.591</v>
      </c>
      <c r="L7" s="0" t="n">
        <v>238.8</v>
      </c>
      <c r="M7" s="0" t="n">
        <v>27.9</v>
      </c>
      <c r="N7" s="0" t="n">
        <v>210.9</v>
      </c>
      <c r="O7" s="0" t="n">
        <v>634.7</v>
      </c>
      <c r="R7" s="0" t="n">
        <v>0</v>
      </c>
      <c r="S7" s="0" t="n">
        <v>198.5</v>
      </c>
      <c r="T7" s="0" t="n">
        <v>252.4</v>
      </c>
      <c r="U7" s="0" t="n">
        <v>3.7</v>
      </c>
      <c r="AA7" s="0" t="s">
        <v>18</v>
      </c>
      <c r="AB7" s="0" t="s">
        <v>14</v>
      </c>
      <c r="AE7" s="0" t="n">
        <v>1.5</v>
      </c>
    </row>
    <row r="8" customFormat="false" ht="15" hidden="false" customHeight="false" outlineLevel="0" collapsed="false">
      <c r="A8" s="0" t="s">
        <v>73</v>
      </c>
      <c r="B8" s="0" t="n">
        <v>2145.7</v>
      </c>
      <c r="C8" s="0" t="n">
        <v>-1510.8</v>
      </c>
      <c r="D8" s="0" t="n">
        <v>634.9</v>
      </c>
      <c r="E8" s="0" t="n">
        <v>29.6</v>
      </c>
      <c r="F8" s="0" t="n">
        <v>196.2</v>
      </c>
      <c r="G8" s="0" t="n">
        <v>9.1</v>
      </c>
      <c r="H8" s="0" t="n">
        <v>251.6</v>
      </c>
      <c r="I8" s="0" t="n">
        <v>166.6</v>
      </c>
      <c r="J8" s="0" t="n">
        <v>7.8</v>
      </c>
      <c r="K8" s="0" t="n">
        <v>0.659</v>
      </c>
      <c r="L8" s="0" t="n">
        <v>355.2</v>
      </c>
      <c r="M8" s="0" t="n">
        <v>32.4</v>
      </c>
      <c r="N8" s="0" t="n">
        <v>322.8</v>
      </c>
      <c r="O8" s="0" t="n">
        <v>645</v>
      </c>
      <c r="P8" s="0" t="n">
        <v>1262.3</v>
      </c>
      <c r="Q8" s="0" t="n">
        <v>617.3</v>
      </c>
      <c r="R8" s="0" t="n">
        <v>0</v>
      </c>
      <c r="S8" s="0" t="n">
        <v>322.1</v>
      </c>
      <c r="T8" s="0" t="n">
        <v>252.6</v>
      </c>
      <c r="U8" s="0" t="n">
        <v>3.2</v>
      </c>
      <c r="AA8" s="0" t="s">
        <v>18</v>
      </c>
      <c r="AB8" s="0" t="s">
        <v>14</v>
      </c>
      <c r="AE8" s="0" t="n">
        <v>2</v>
      </c>
    </row>
    <row r="9" customFormat="false" ht="15" hidden="false" customHeight="false" outlineLevel="0" collapsed="false">
      <c r="A9" s="0" t="s">
        <v>74</v>
      </c>
      <c r="B9" s="0" t="n">
        <v>2177.2</v>
      </c>
      <c r="C9" s="0" t="n">
        <v>-1490.4</v>
      </c>
      <c r="D9" s="0" t="n">
        <v>686.8</v>
      </c>
      <c r="E9" s="0" t="n">
        <v>31.5</v>
      </c>
      <c r="F9" s="0" t="n">
        <v>188.7</v>
      </c>
      <c r="G9" s="0" t="n">
        <v>8.7</v>
      </c>
      <c r="H9" s="0" t="n">
        <v>243.9</v>
      </c>
      <c r="I9" s="0" t="n">
        <v>156.8</v>
      </c>
      <c r="J9" s="0" t="n">
        <v>7.2</v>
      </c>
      <c r="K9" s="0" t="n">
        <v>0.619</v>
      </c>
      <c r="L9" s="0" t="n">
        <v>225.3</v>
      </c>
      <c r="M9" s="0" t="n">
        <v>29.5</v>
      </c>
      <c r="N9" s="0" t="n">
        <v>195.8</v>
      </c>
      <c r="O9" s="0" t="n">
        <v>644.4</v>
      </c>
      <c r="P9" s="0" t="n">
        <v>1319.2</v>
      </c>
      <c r="Q9" s="0" t="n">
        <v>674.8</v>
      </c>
      <c r="R9" s="0" t="n">
        <v>0</v>
      </c>
      <c r="S9" s="0" t="n">
        <v>335.6</v>
      </c>
      <c r="T9" s="0" t="n">
        <v>253.1</v>
      </c>
      <c r="U9" s="0" t="n">
        <v>4.1</v>
      </c>
      <c r="AA9" s="0" t="s">
        <v>18</v>
      </c>
      <c r="AB9" s="0" t="s">
        <v>14</v>
      </c>
      <c r="AC9" s="0" t="n">
        <v>21.7</v>
      </c>
      <c r="AD9" s="0" t="n">
        <v>91.9</v>
      </c>
      <c r="AE9" s="0" t="n">
        <v>3.7</v>
      </c>
    </row>
    <row r="10" customFormat="false" ht="15" hidden="false" customHeight="false" outlineLevel="0" collapsed="false">
      <c r="A10" s="0" t="s">
        <v>75</v>
      </c>
      <c r="B10" s="0" t="n">
        <v>2027.5</v>
      </c>
      <c r="C10" s="0" t="n">
        <v>-1364.1</v>
      </c>
      <c r="D10" s="0" t="n">
        <v>663.4</v>
      </c>
      <c r="E10" s="0" t="n">
        <v>32.7</v>
      </c>
      <c r="F10" s="0" t="n">
        <v>171</v>
      </c>
      <c r="G10" s="0" t="n">
        <v>8.4</v>
      </c>
      <c r="H10" s="0" t="n">
        <v>225.9</v>
      </c>
      <c r="I10" s="0" t="n">
        <v>134.1</v>
      </c>
      <c r="J10" s="0" t="n">
        <v>6.6</v>
      </c>
      <c r="K10" s="0" t="n">
        <v>0.529</v>
      </c>
      <c r="L10" s="0" t="n">
        <v>123.9</v>
      </c>
      <c r="M10" s="0" t="n">
        <v>31.3</v>
      </c>
      <c r="N10" s="0" t="n">
        <v>92.6</v>
      </c>
      <c r="O10" s="0" t="n">
        <v>647.3</v>
      </c>
      <c r="P10" s="0" t="n">
        <v>1298.9</v>
      </c>
      <c r="Q10" s="0" t="n">
        <v>651.6</v>
      </c>
      <c r="R10" s="0" t="n">
        <v>0</v>
      </c>
      <c r="S10" s="0" t="n">
        <v>264</v>
      </c>
      <c r="T10" s="0" t="n">
        <v>253.3</v>
      </c>
      <c r="U10" s="0" t="n">
        <v>4.1</v>
      </c>
      <c r="AA10" s="0" t="s">
        <v>18</v>
      </c>
      <c r="AB10" s="0" t="s">
        <v>14</v>
      </c>
      <c r="AC10" s="0" t="n">
        <v>23</v>
      </c>
      <c r="AD10" s="0" t="n">
        <v>82.9</v>
      </c>
      <c r="AE10" s="0" t="n">
        <v>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52</v>
      </c>
    </row>
    <row r="3" customFormat="false" ht="15" hidden="false" customHeight="false" outlineLevel="0" collapsed="false">
      <c r="A3" s="0" t="s">
        <v>79</v>
      </c>
      <c r="B3" s="3" t="n">
        <v>253.3</v>
      </c>
    </row>
    <row r="4" customFormat="false" ht="15" hidden="false" customHeight="false" outlineLevel="0" collapsed="false">
      <c r="A4" s="0" t="s">
        <v>80</v>
      </c>
      <c r="B4" s="3" t="n">
        <v>-264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2027.5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7.8472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-4</v>
      </c>
      <c r="D13" s="3" t="n">
        <v>-2</v>
      </c>
      <c r="E13" s="3" t="n">
        <v>-1</v>
      </c>
      <c r="F13" s="3" t="n">
        <v>-0.5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100</v>
      </c>
      <c r="C14" s="3" t="n">
        <v>10.2</v>
      </c>
      <c r="D14" s="3" t="n">
        <v>9.8</v>
      </c>
      <c r="E14" s="3" t="n">
        <v>9.6</v>
      </c>
      <c r="F14" s="3" t="n">
        <v>9.5</v>
      </c>
      <c r="G14" s="3" t="n">
        <v>9.5</v>
      </c>
      <c r="H14" s="3" t="n">
        <v>9.5</v>
      </c>
      <c r="I14" s="3" t="n">
        <v>9.5</v>
      </c>
      <c r="J14" s="3" t="n">
        <v>9.5</v>
      </c>
      <c r="K14" s="3" t="n">
        <v>9.5</v>
      </c>
      <c r="L14" s="3" t="n">
        <v>9.5</v>
      </c>
    </row>
    <row r="15" customFormat="false" ht="15" hidden="false" customHeight="false" outlineLevel="0" collapsed="false">
      <c r="A15" s="0" t="s">
        <v>101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102</v>
      </c>
      <c r="C16" s="3" t="n">
        <v>1.45</v>
      </c>
      <c r="D16" s="3" t="n">
        <v>1.45</v>
      </c>
      <c r="E16" s="3" t="n">
        <v>1.45</v>
      </c>
      <c r="F16" s="3" t="n">
        <v>1.45</v>
      </c>
      <c r="G16" s="3" t="n">
        <v>1.45</v>
      </c>
      <c r="H16" s="3" t="n">
        <v>1.45</v>
      </c>
      <c r="I16" s="3" t="n">
        <v>1.45</v>
      </c>
      <c r="J16" s="3" t="n">
        <v>1.45</v>
      </c>
      <c r="K16" s="3" t="n">
        <v>1.45</v>
      </c>
      <c r="L16" s="3" t="n">
        <v>1.45</v>
      </c>
    </row>
    <row r="17" customFormat="false" ht="15" hidden="false" customHeight="false" outlineLevel="0" collapsed="false">
      <c r="A17" s="0" t="s">
        <v>103</v>
      </c>
      <c r="C17" s="3" t="n">
        <v>1.6</v>
      </c>
      <c r="D17" s="3" t="n">
        <v>1.65</v>
      </c>
      <c r="E17" s="3" t="n">
        <v>1.7</v>
      </c>
      <c r="F17" s="3" t="n">
        <v>1.7</v>
      </c>
      <c r="G17" s="3" t="n">
        <v>1.7</v>
      </c>
      <c r="H17" s="3" t="n">
        <v>1.6</v>
      </c>
      <c r="I17" s="3" t="n">
        <v>1.6</v>
      </c>
      <c r="J17" s="3" t="n">
        <v>1.6</v>
      </c>
      <c r="K17" s="3" t="n">
        <v>1.6</v>
      </c>
      <c r="L17" s="3" t="n">
        <v>1.6</v>
      </c>
    </row>
    <row r="18" customFormat="false" ht="15" hidden="false" customHeight="false" outlineLevel="0" collapsed="false">
      <c r="A18" s="0" t="s">
        <v>104</v>
      </c>
      <c r="C18" s="3" t="n">
        <v>1.8</v>
      </c>
      <c r="D18" s="3" t="n">
        <v>1.7</v>
      </c>
      <c r="E18" s="3" t="n">
        <v>1.6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105</v>
      </c>
      <c r="C19" s="3" t="n">
        <v>19.5</v>
      </c>
      <c r="D19" s="3" t="n">
        <v>19.5</v>
      </c>
      <c r="E19" s="3" t="n">
        <v>19.5</v>
      </c>
      <c r="F19" s="3" t="n">
        <v>19.5</v>
      </c>
      <c r="G19" s="3" t="n">
        <v>19.5</v>
      </c>
      <c r="H19" s="3" t="n">
        <v>19.5</v>
      </c>
      <c r="I19" s="3" t="n">
        <v>19.5</v>
      </c>
      <c r="J19" s="3" t="n">
        <v>19.5</v>
      </c>
      <c r="K19" s="3" t="n">
        <v>19.5</v>
      </c>
      <c r="L19" s="3" t="n">
        <v>19.5</v>
      </c>
    </row>
    <row r="20" customFormat="false" ht="15" hidden="false" customHeight="false" outlineLevel="0" collapsed="false">
      <c r="A20" s="0" t="s">
        <v>106</v>
      </c>
      <c r="B20" s="3" t="n">
        <v>9</v>
      </c>
    </row>
    <row r="21" customFormat="false" ht="15" hidden="false" customHeight="false" outlineLevel="0" collapsed="false">
      <c r="A21" s="0" t="s">
        <v>107</v>
      </c>
      <c r="B21" s="3" t="n">
        <v>0</v>
      </c>
    </row>
    <row r="22" customFormat="false" ht="15" hidden="false" customHeight="false" outlineLevel="0" collapsed="false">
      <c r="A22" s="0" t="s">
        <v>108</v>
      </c>
      <c r="B22" s="3" t="n">
        <v>12</v>
      </c>
    </row>
    <row r="23" customFormat="false" ht="15" hidden="false" customHeight="false" outlineLevel="0" collapsed="false">
      <c r="A23" s="0" t="s">
        <v>109</v>
      </c>
      <c r="B23" s="3" t="n">
        <v>-13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4</v>
      </c>
      <c r="D27" s="3" t="n">
        <v>3</v>
      </c>
      <c r="E27" s="3" t="n">
        <v>2.5</v>
      </c>
      <c r="F27" s="3" t="n">
        <v>2</v>
      </c>
      <c r="G27" s="3" t="n">
        <v>2</v>
      </c>
      <c r="H27" s="3" t="n">
        <v>2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100</v>
      </c>
      <c r="C28" s="3" t="n">
        <v>10.9</v>
      </c>
      <c r="D28" s="3" t="n">
        <v>11.2</v>
      </c>
      <c r="E28" s="3" t="n">
        <v>11.4</v>
      </c>
      <c r="F28" s="3" t="n">
        <v>11.5</v>
      </c>
      <c r="G28" s="3" t="n">
        <v>11.5</v>
      </c>
      <c r="H28" s="3" t="n">
        <v>11.5</v>
      </c>
      <c r="I28" s="3" t="n">
        <v>11.5</v>
      </c>
      <c r="J28" s="3" t="n">
        <v>11.5</v>
      </c>
      <c r="K28" s="3" t="n">
        <v>11.5</v>
      </c>
      <c r="L28" s="3" t="n">
        <v>11.5</v>
      </c>
    </row>
    <row r="29" customFormat="false" ht="15" hidden="false" customHeight="false" outlineLevel="0" collapsed="false">
      <c r="A29" s="0" t="s">
        <v>101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102</v>
      </c>
      <c r="C30" s="3" t="n">
        <v>1.45</v>
      </c>
      <c r="D30" s="3" t="n">
        <v>1.45</v>
      </c>
      <c r="E30" s="3" t="n">
        <v>1.45</v>
      </c>
      <c r="F30" s="3" t="n">
        <v>1.45</v>
      </c>
      <c r="G30" s="3" t="n">
        <v>1.45</v>
      </c>
      <c r="H30" s="3" t="n">
        <v>1.45</v>
      </c>
      <c r="I30" s="3" t="n">
        <v>1.45</v>
      </c>
      <c r="J30" s="3" t="n">
        <v>1.45</v>
      </c>
      <c r="K30" s="3" t="n">
        <v>1.45</v>
      </c>
      <c r="L30" s="3" t="n">
        <v>1.45</v>
      </c>
    </row>
    <row r="31" customFormat="false" ht="15" hidden="false" customHeight="false" outlineLevel="0" collapsed="false">
      <c r="A31" s="0" t="s">
        <v>103</v>
      </c>
      <c r="C31" s="3" t="n">
        <v>1.6</v>
      </c>
      <c r="D31" s="3" t="n">
        <v>1.65</v>
      </c>
      <c r="E31" s="3" t="n">
        <v>1.7</v>
      </c>
      <c r="F31" s="3" t="n">
        <v>1.7</v>
      </c>
      <c r="G31" s="3" t="n">
        <v>1.7</v>
      </c>
      <c r="H31" s="3" t="n">
        <v>1.6</v>
      </c>
      <c r="I31" s="3" t="n">
        <v>1.6</v>
      </c>
      <c r="J31" s="3" t="n">
        <v>1.6</v>
      </c>
      <c r="K31" s="3" t="n">
        <v>1.6</v>
      </c>
      <c r="L31" s="3" t="n">
        <v>1.6</v>
      </c>
    </row>
    <row r="32" customFormat="false" ht="15" hidden="false" customHeight="false" outlineLevel="0" collapsed="false">
      <c r="A32" s="0" t="s">
        <v>104</v>
      </c>
      <c r="C32" s="3" t="n">
        <v>1.8</v>
      </c>
      <c r="D32" s="3" t="n">
        <v>1.7</v>
      </c>
      <c r="E32" s="3" t="n">
        <v>1.6</v>
      </c>
      <c r="F32" s="3" t="n">
        <v>1.6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105</v>
      </c>
      <c r="C33" s="3" t="n">
        <v>19.5</v>
      </c>
      <c r="D33" s="3" t="n">
        <v>19.5</v>
      </c>
      <c r="E33" s="3" t="n">
        <v>19.5</v>
      </c>
      <c r="F33" s="3" t="n">
        <v>19.5</v>
      </c>
      <c r="G33" s="3" t="n">
        <v>19.5</v>
      </c>
      <c r="H33" s="3" t="n">
        <v>19.5</v>
      </c>
      <c r="I33" s="3" t="n">
        <v>19.5</v>
      </c>
      <c r="J33" s="3" t="n">
        <v>19.5</v>
      </c>
      <c r="K33" s="3" t="n">
        <v>19.5</v>
      </c>
      <c r="L33" s="3" t="n">
        <v>19.5</v>
      </c>
    </row>
    <row r="34" customFormat="false" ht="15" hidden="false" customHeight="false" outlineLevel="0" collapsed="false">
      <c r="A34" s="0" t="s">
        <v>106</v>
      </c>
      <c r="B34" s="3" t="n">
        <v>9</v>
      </c>
    </row>
    <row r="35" customFormat="false" ht="15" hidden="false" customHeight="false" outlineLevel="0" collapsed="false">
      <c r="A35" s="0" t="s">
        <v>107</v>
      </c>
      <c r="B35" s="3" t="n">
        <v>1.5</v>
      </c>
    </row>
    <row r="36" customFormat="false" ht="15" hidden="false" customHeight="false" outlineLevel="0" collapsed="false">
      <c r="A36" s="0" t="s">
        <v>108</v>
      </c>
      <c r="B36" s="3" t="n">
        <v>12</v>
      </c>
    </row>
    <row r="37" customFormat="false" ht="15" hidden="false" customHeight="false" outlineLevel="0" collapsed="false">
      <c r="A37" s="0" t="s">
        <v>109</v>
      </c>
      <c r="B37" s="3" t="n">
        <v>-13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7</v>
      </c>
      <c r="D41" s="3" t="n">
        <v>5</v>
      </c>
      <c r="E41" s="3" t="n">
        <v>4</v>
      </c>
      <c r="F41" s="3" t="n">
        <v>3.5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100</v>
      </c>
      <c r="C42" s="3" t="n">
        <v>11.4</v>
      </c>
      <c r="D42" s="3" t="n">
        <v>12</v>
      </c>
      <c r="E42" s="3" t="n">
        <v>12.4</v>
      </c>
      <c r="F42" s="3" t="n">
        <v>12.6</v>
      </c>
      <c r="G42" s="3" t="n">
        <v>12.8</v>
      </c>
      <c r="H42" s="3" t="n">
        <v>12.8</v>
      </c>
      <c r="I42" s="3" t="n">
        <v>12.8</v>
      </c>
      <c r="J42" s="3" t="n">
        <v>12.8</v>
      </c>
      <c r="K42" s="3" t="n">
        <v>12.8</v>
      </c>
      <c r="L42" s="3" t="n">
        <v>12.8</v>
      </c>
    </row>
    <row r="43" customFormat="false" ht="15" hidden="false" customHeight="false" outlineLevel="0" collapsed="false">
      <c r="A43" s="0" t="s">
        <v>101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102</v>
      </c>
      <c r="C44" s="3" t="n">
        <v>1.45</v>
      </c>
      <c r="D44" s="3" t="n">
        <v>1.45</v>
      </c>
      <c r="E44" s="3" t="n">
        <v>1.45</v>
      </c>
      <c r="F44" s="3" t="n">
        <v>1.45</v>
      </c>
      <c r="G44" s="3" t="n">
        <v>1.45</v>
      </c>
      <c r="H44" s="3" t="n">
        <v>1.45</v>
      </c>
      <c r="I44" s="3" t="n">
        <v>1.45</v>
      </c>
      <c r="J44" s="3" t="n">
        <v>1.45</v>
      </c>
      <c r="K44" s="3" t="n">
        <v>1.45</v>
      </c>
      <c r="L44" s="3" t="n">
        <v>1.45</v>
      </c>
    </row>
    <row r="45" customFormat="false" ht="15" hidden="false" customHeight="false" outlineLevel="0" collapsed="false">
      <c r="A45" s="0" t="s">
        <v>103</v>
      </c>
      <c r="C45" s="3" t="n">
        <v>1.6</v>
      </c>
      <c r="D45" s="3" t="n">
        <v>1.65</v>
      </c>
      <c r="E45" s="3" t="n">
        <v>1.7</v>
      </c>
      <c r="F45" s="3" t="n">
        <v>1.7</v>
      </c>
      <c r="G45" s="3" t="n">
        <v>1.7</v>
      </c>
      <c r="H45" s="3" t="n">
        <v>1.6</v>
      </c>
      <c r="I45" s="3" t="n">
        <v>1.6</v>
      </c>
      <c r="J45" s="3" t="n">
        <v>1.6</v>
      </c>
      <c r="K45" s="3" t="n">
        <v>1.6</v>
      </c>
      <c r="L45" s="3" t="n">
        <v>1.6</v>
      </c>
    </row>
    <row r="46" customFormat="false" ht="15" hidden="false" customHeight="false" outlineLevel="0" collapsed="false">
      <c r="A46" s="0" t="s">
        <v>104</v>
      </c>
      <c r="C46" s="3" t="n">
        <v>1.8</v>
      </c>
      <c r="D46" s="3" t="n">
        <v>1.7</v>
      </c>
      <c r="E46" s="3" t="n">
        <v>1.6</v>
      </c>
      <c r="F46" s="3" t="n">
        <v>1.6</v>
      </c>
      <c r="G46" s="3" t="n">
        <v>1.6</v>
      </c>
      <c r="H46" s="3" t="n">
        <v>1.6</v>
      </c>
      <c r="I46" s="3" t="n">
        <v>1.6</v>
      </c>
      <c r="J46" s="3" t="n">
        <v>1.6</v>
      </c>
      <c r="K46" s="3" t="n">
        <v>1.6</v>
      </c>
      <c r="L46" s="3" t="n">
        <v>1.6</v>
      </c>
    </row>
    <row r="47" customFormat="false" ht="15" hidden="false" customHeight="false" outlineLevel="0" collapsed="false">
      <c r="A47" s="0" t="s">
        <v>105</v>
      </c>
      <c r="C47" s="3" t="n">
        <v>19.5</v>
      </c>
      <c r="D47" s="3" t="n">
        <v>19.5</v>
      </c>
      <c r="E47" s="3" t="n">
        <v>19.5</v>
      </c>
      <c r="F47" s="3" t="n">
        <v>19.5</v>
      </c>
      <c r="G47" s="3" t="n">
        <v>19.5</v>
      </c>
      <c r="H47" s="3" t="n">
        <v>19.5</v>
      </c>
      <c r="I47" s="3" t="n">
        <v>19.5</v>
      </c>
      <c r="J47" s="3" t="n">
        <v>19.5</v>
      </c>
      <c r="K47" s="3" t="n">
        <v>19.5</v>
      </c>
      <c r="L47" s="3" t="n">
        <v>19.5</v>
      </c>
    </row>
    <row r="48" customFormat="false" ht="15" hidden="false" customHeight="false" outlineLevel="0" collapsed="false">
      <c r="A48" s="0" t="s">
        <v>106</v>
      </c>
      <c r="B48" s="3" t="n">
        <v>9</v>
      </c>
    </row>
    <row r="49" customFormat="false" ht="15" hidden="false" customHeight="false" outlineLevel="0" collapsed="false">
      <c r="A49" s="0" t="s">
        <v>107</v>
      </c>
      <c r="B49" s="3" t="n">
        <v>2</v>
      </c>
    </row>
    <row r="50" customFormat="false" ht="15" hidden="false" customHeight="false" outlineLevel="0" collapsed="false">
      <c r="A50" s="0" t="s">
        <v>108</v>
      </c>
      <c r="B50" s="3" t="n">
        <v>12</v>
      </c>
    </row>
    <row r="51" customFormat="false" ht="15" hidden="false" customHeight="false" outlineLevel="0" collapsed="false">
      <c r="A51" s="0" t="s">
        <v>109</v>
      </c>
      <c r="B51" s="3" t="n">
        <v>-13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-4</v>
      </c>
      <c r="D5" s="4" t="n">
        <f aca="false">Assumptions!D13</f>
        <v>-2</v>
      </c>
      <c r="E5" s="4" t="n">
        <f aca="false">Assumptions!E13</f>
        <v>-1</v>
      </c>
      <c r="F5" s="4" t="n">
        <f aca="false">Assumptions!F13</f>
        <v>-0.5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2027.5</v>
      </c>
      <c r="C6" s="0" t="n">
        <f aca="false">B6*(1+C5/100)</f>
        <v>1946.4</v>
      </c>
      <c r="D6" s="0" t="n">
        <f aca="false">C6*(1+D5/100)</f>
        <v>1907.472</v>
      </c>
      <c r="E6" s="0" t="n">
        <f aca="false">D6*(1+E5/100)</f>
        <v>1888.39728</v>
      </c>
      <c r="F6" s="0" t="n">
        <f aca="false">E6*(1+F5/100)</f>
        <v>1878.9552936</v>
      </c>
      <c r="G6" s="0" t="n">
        <f aca="false">F6*(1+G5/100)</f>
        <v>1878.9552936</v>
      </c>
      <c r="H6" s="0" t="n">
        <f aca="false">G6*(1+H5/100)</f>
        <v>1878.9552936</v>
      </c>
      <c r="I6" s="0" t="n">
        <f aca="false">H6*(1+I5/100)</f>
        <v>1878.9552936</v>
      </c>
      <c r="J6" s="0" t="n">
        <f aca="false">I6*(1+J5/100)</f>
        <v>1878.9552936</v>
      </c>
      <c r="K6" s="0" t="n">
        <f aca="false">J6*(1+K5/100)</f>
        <v>1878.9552936</v>
      </c>
      <c r="L6" s="0" t="n">
        <f aca="false">K6*(1+L5/100)</f>
        <v>1878.9552936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10.2</v>
      </c>
      <c r="D7" s="4" t="n">
        <f aca="false">Assumptions!D14</f>
        <v>9.8</v>
      </c>
      <c r="E7" s="4" t="n">
        <f aca="false">Assumptions!E14</f>
        <v>9.6</v>
      </c>
      <c r="F7" s="4" t="n">
        <f aca="false">Assumptions!F14</f>
        <v>9.5</v>
      </c>
      <c r="G7" s="4" t="n">
        <f aca="false">Assumptions!G14</f>
        <v>9.5</v>
      </c>
      <c r="H7" s="4" t="n">
        <f aca="false">Assumptions!H14</f>
        <v>9.5</v>
      </c>
      <c r="I7" s="4" t="n">
        <f aca="false">Assumptions!I14</f>
        <v>9.5</v>
      </c>
      <c r="J7" s="4" t="n">
        <f aca="false">Assumptions!J14</f>
        <v>9.5</v>
      </c>
      <c r="K7" s="4" t="n">
        <f aca="false">Assumptions!K14</f>
        <v>9.5</v>
      </c>
      <c r="L7" s="4" t="n">
        <f aca="false">Assumptions!L14</f>
        <v>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198.5328</v>
      </c>
      <c r="D8" s="0" t="n">
        <f aca="false">D6*D7/100</f>
        <v>186.932256</v>
      </c>
      <c r="E8" s="0" t="n">
        <f aca="false">E6*E7/100</f>
        <v>181.28613888</v>
      </c>
      <c r="F8" s="0" t="n">
        <f aca="false">F6*F7/100</f>
        <v>178.500752892</v>
      </c>
      <c r="G8" s="0" t="n">
        <f aca="false">G6*G7/100</f>
        <v>178.500752892</v>
      </c>
      <c r="H8" s="0" t="n">
        <f aca="false">H6*H7/100</f>
        <v>178.500752892</v>
      </c>
      <c r="I8" s="0" t="n">
        <f aca="false">I6*I7/100</f>
        <v>178.500752892</v>
      </c>
      <c r="J8" s="0" t="n">
        <f aca="false">J6*J7/100</f>
        <v>178.500752892</v>
      </c>
      <c r="K8" s="0" t="n">
        <f aca="false">K6*K7/100</f>
        <v>178.500752892</v>
      </c>
      <c r="L8" s="0" t="n">
        <f aca="false">L6*L7/100</f>
        <v>178.500752892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-3.8928</v>
      </c>
      <c r="D10" s="0" t="n">
        <f aca="false">-D6*D9/100</f>
        <v>-3.814944</v>
      </c>
      <c r="E10" s="0" t="n">
        <f aca="false">-E6*E9/100</f>
        <v>-3.77679456</v>
      </c>
      <c r="F10" s="0" t="n">
        <f aca="false">-F6*F9/100</f>
        <v>-3.7579105872</v>
      </c>
      <c r="G10" s="0" t="n">
        <f aca="false">-G6*G9/100</f>
        <v>-3.7579105872</v>
      </c>
      <c r="H10" s="0" t="n">
        <f aca="false">-H6*H9/100</f>
        <v>-3.7579105872</v>
      </c>
      <c r="I10" s="0" t="n">
        <f aca="false">-I6*I9/100</f>
        <v>-3.7579105872</v>
      </c>
      <c r="J10" s="0" t="n">
        <f aca="false">-J6*J9/100</f>
        <v>-3.7579105872</v>
      </c>
      <c r="K10" s="0" t="n">
        <f aca="false">-K6*K9/100</f>
        <v>-3.7579105872</v>
      </c>
      <c r="L10" s="0" t="n">
        <f aca="false">-L6*L9/100</f>
        <v>-3.7579105872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166.4172</v>
      </c>
      <c r="D11" s="0" t="n">
        <f aca="false">D8+D10+D24</f>
        <v>155.458968</v>
      </c>
      <c r="E11" s="0" t="n">
        <f aca="false">E8+E10+E24</f>
        <v>150.12758376</v>
      </c>
      <c r="F11" s="0" t="n">
        <f aca="false">F8+F10+F24</f>
        <v>147.4979905476</v>
      </c>
      <c r="G11" s="0" t="n">
        <f aca="false">G8+G10+G24</f>
        <v>147.4979905476</v>
      </c>
      <c r="H11" s="0" t="n">
        <f aca="false">H8+H10+H24</f>
        <v>147.4979905476</v>
      </c>
      <c r="I11" s="0" t="n">
        <f aca="false">I8+I10+I24</f>
        <v>147.4979905476</v>
      </c>
      <c r="J11" s="0" t="n">
        <f aca="false">J8+J10+J24</f>
        <v>147.4979905476</v>
      </c>
      <c r="K11" s="0" t="n">
        <f aca="false">K8+K10+K24</f>
        <v>147.4979905476</v>
      </c>
      <c r="L11" s="0" t="n">
        <f aca="false">L8+L10+L24</f>
        <v>147.4979905476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-31.1424</v>
      </c>
      <c r="D12" s="4" t="n">
        <f aca="false">-D6*Assumptions!D17/100</f>
        <v>-31.473288</v>
      </c>
      <c r="E12" s="4" t="n">
        <f aca="false">-E6*Assumptions!E17/100</f>
        <v>-32.10275376</v>
      </c>
      <c r="F12" s="4" t="n">
        <f aca="false">-F6*Assumptions!F17/100</f>
        <v>-31.9422399912</v>
      </c>
      <c r="G12" s="4" t="n">
        <f aca="false">-G6*Assumptions!G17/100</f>
        <v>-31.9422399912</v>
      </c>
      <c r="H12" s="4" t="n">
        <f aca="false">-H6*Assumptions!H17/100</f>
        <v>-30.0632846976</v>
      </c>
      <c r="I12" s="4" t="n">
        <f aca="false">-I6*Assumptions!I17/100</f>
        <v>-30.0632846976</v>
      </c>
      <c r="J12" s="4" t="n">
        <f aca="false">-J6*Assumptions!J17/100</f>
        <v>-30.0632846976</v>
      </c>
      <c r="K12" s="4" t="n">
        <f aca="false">-K6*Assumptions!K17/100</f>
        <v>-30.0632846976</v>
      </c>
      <c r="L12" s="4" t="n">
        <f aca="false">-L6*Assumptions!L17/100</f>
        <v>-30.0632846976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135.2748</v>
      </c>
      <c r="D13" s="0" t="n">
        <f aca="false">D11+D12</f>
        <v>123.98568</v>
      </c>
      <c r="E13" s="0" t="n">
        <f aca="false">E11+E12</f>
        <v>118.02483</v>
      </c>
      <c r="F13" s="0" t="n">
        <f aca="false">F11+F12</f>
        <v>115.5557505564</v>
      </c>
      <c r="G13" s="0" t="n">
        <f aca="false">G11+G12</f>
        <v>115.5557505564</v>
      </c>
      <c r="H13" s="0" t="n">
        <f aca="false">H11+H12</f>
        <v>117.43470585</v>
      </c>
      <c r="I13" s="0" t="n">
        <f aca="false">I11+I12</f>
        <v>117.43470585</v>
      </c>
      <c r="J13" s="0" t="n">
        <f aca="false">J11+J12</f>
        <v>117.43470585</v>
      </c>
      <c r="K13" s="0" t="n">
        <f aca="false">K11+K12</f>
        <v>117.43470585</v>
      </c>
      <c r="L13" s="0" t="n">
        <f aca="false">L11+L12</f>
        <v>117.43470585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19.5</v>
      </c>
      <c r="D14" s="4" t="n">
        <f aca="false">Assumptions!D19</f>
        <v>19.5</v>
      </c>
      <c r="E14" s="4" t="n">
        <f aca="false">Assumptions!E19</f>
        <v>19.5</v>
      </c>
      <c r="F14" s="4" t="n">
        <f aca="false">Assumptions!F19</f>
        <v>19.5</v>
      </c>
      <c r="G14" s="4" t="n">
        <f aca="false">Assumptions!G19</f>
        <v>19.5</v>
      </c>
      <c r="H14" s="4" t="n">
        <f aca="false">Assumptions!H19</f>
        <v>19.5</v>
      </c>
      <c r="I14" s="4" t="n">
        <f aca="false">Assumptions!I19</f>
        <v>19.5</v>
      </c>
      <c r="J14" s="4" t="n">
        <f aca="false">Assumptions!J19</f>
        <v>19.5</v>
      </c>
      <c r="K14" s="4" t="n">
        <f aca="false">Assumptions!K19</f>
        <v>19.5</v>
      </c>
      <c r="L14" s="4" t="n">
        <f aca="false">Assumptions!L19</f>
        <v>19.5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108.896214</v>
      </c>
      <c r="D15" s="0" t="n">
        <f aca="false">D13-MAX(0,D13)*D14/100</f>
        <v>99.8084724</v>
      </c>
      <c r="E15" s="0" t="n">
        <f aca="false">E13-MAX(0,E13)*E14/100</f>
        <v>95.0099881499999</v>
      </c>
      <c r="F15" s="0" t="n">
        <f aca="false">F13-MAX(0,F13)*F14/100</f>
        <v>93.022379197902</v>
      </c>
      <c r="G15" s="0" t="n">
        <f aca="false">G13-MAX(0,G13)*G14/100</f>
        <v>93.022379197902</v>
      </c>
      <c r="H15" s="0" t="n">
        <f aca="false">H13-MAX(0,H13)*H14/100</f>
        <v>94.53493820925</v>
      </c>
      <c r="I15" s="0" t="n">
        <f aca="false">I13-MAX(0,I13)*I14/100</f>
        <v>94.53493820925</v>
      </c>
      <c r="J15" s="0" t="n">
        <f aca="false">J13-MAX(0,J13)*J14/100</f>
        <v>94.53493820925</v>
      </c>
      <c r="K15" s="0" t="n">
        <f aca="false">K13-MAX(0,K13)*K14/100</f>
        <v>94.53493820925</v>
      </c>
      <c r="L15" s="0" t="n">
        <f aca="false">L13-MAX(0,L13)*L14/100</f>
        <v>94.53493820925</v>
      </c>
    </row>
    <row r="16" customFormat="false" ht="15" hidden="false" customHeight="false" outlineLevel="0" collapsed="false">
      <c r="A16" s="0" t="s">
        <v>121</v>
      </c>
      <c r="C16" s="0" t="n">
        <f aca="false">-C12</f>
        <v>31.1424</v>
      </c>
      <c r="D16" s="0" t="n">
        <f aca="false">-D12</f>
        <v>31.473288</v>
      </c>
      <c r="E16" s="0" t="n">
        <f aca="false">-E12</f>
        <v>32.10275376</v>
      </c>
      <c r="F16" s="0" t="n">
        <f aca="false">-F12</f>
        <v>31.9422399912</v>
      </c>
      <c r="G16" s="0" t="n">
        <f aca="false">-G12</f>
        <v>31.9422399912</v>
      </c>
      <c r="H16" s="0" t="n">
        <f aca="false">-H12</f>
        <v>30.0632846976</v>
      </c>
      <c r="I16" s="0" t="n">
        <f aca="false">-I12</f>
        <v>30.0632846976</v>
      </c>
      <c r="J16" s="0" t="n">
        <f aca="false">-J12</f>
        <v>30.0632846976</v>
      </c>
      <c r="K16" s="0" t="n">
        <f aca="false">-K12</f>
        <v>30.0632846976</v>
      </c>
      <c r="L16" s="0" t="n">
        <f aca="false">-L12</f>
        <v>30.0632846976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-35.0352</v>
      </c>
      <c r="D17" s="4" t="n">
        <f aca="false">-D6*Assumptions!D18/100</f>
        <v>-32.427024</v>
      </c>
      <c r="E17" s="4" t="n">
        <f aca="false">-E6*Assumptions!E18/100</f>
        <v>-30.21435648</v>
      </c>
      <c r="F17" s="4" t="n">
        <f aca="false">-F6*Assumptions!F18/100</f>
        <v>-30.0632846976</v>
      </c>
      <c r="G17" s="4" t="n">
        <f aca="false">-G6*Assumptions!G18/100</f>
        <v>-30.0632846976</v>
      </c>
      <c r="H17" s="4" t="n">
        <f aca="false">-H6*Assumptions!H18/100</f>
        <v>-30.0632846976</v>
      </c>
      <c r="I17" s="4" t="n">
        <f aca="false">-I6*Assumptions!I18/100</f>
        <v>-30.0632846976</v>
      </c>
      <c r="J17" s="4" t="n">
        <f aca="false">-J6*Assumptions!J18/100</f>
        <v>-30.0632846976</v>
      </c>
      <c r="K17" s="4" t="n">
        <f aca="false">-K6*Assumptions!K18/100</f>
        <v>-30.0632846976</v>
      </c>
      <c r="L17" s="4" t="n">
        <f aca="false">-L6*Assumptions!L18/100</f>
        <v>-30.0632846976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10.543</v>
      </c>
      <c r="D18" s="4" t="n">
        <f aca="false">(D6-C6)*Assumptions!$B$23/100</f>
        <v>5.06064000000001</v>
      </c>
      <c r="E18" s="4" t="n">
        <f aca="false">(E6-D6)*Assumptions!$B$23/100</f>
        <v>2.47971360000001</v>
      </c>
      <c r="F18" s="4" t="n">
        <f aca="false">(F6-E6)*Assumptions!$B$23/100</f>
        <v>1.22745823199999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115.546414</v>
      </c>
      <c r="D19" s="0" t="n">
        <f aca="false">D15+D16+D17+D18</f>
        <v>103.9153764</v>
      </c>
      <c r="E19" s="0" t="n">
        <f aca="false">E15+E16+E17+E18</f>
        <v>99.37809903</v>
      </c>
      <c r="F19" s="0" t="n">
        <f aca="false">F15+F16+F17+F18</f>
        <v>96.128792723502</v>
      </c>
      <c r="G19" s="0" t="n">
        <f aca="false">G15+G16+G17+G18</f>
        <v>94.901334491502</v>
      </c>
      <c r="H19" s="0" t="n">
        <f aca="false">H15+H16+H17+H18</f>
        <v>94.53493820925</v>
      </c>
      <c r="I19" s="0" t="n">
        <f aca="false">I15+I16+I17+I18</f>
        <v>94.53493820925</v>
      </c>
      <c r="J19" s="0" t="n">
        <f aca="false">J15+J16+J17+J18</f>
        <v>94.53493820925</v>
      </c>
      <c r="K19" s="0" t="n">
        <f aca="false">K15+K16+K17+K18</f>
        <v>94.53493820925</v>
      </c>
      <c r="L19" s="0" t="n">
        <f aca="false">L15+L16+L17+L18</f>
        <v>94.53493820925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106.00588440367</v>
      </c>
      <c r="D21" s="0" t="n">
        <f aca="false">D19*D20</f>
        <v>87.4634933086441</v>
      </c>
      <c r="E21" s="0" t="n">
        <f aca="false">E19*E20</f>
        <v>76.7381263508384</v>
      </c>
      <c r="F21" s="0" t="n">
        <f aca="false">F19*F20</f>
        <v>68.1000602745894</v>
      </c>
      <c r="G21" s="0" t="n">
        <f aca="false">G19*G20</f>
        <v>61.6793558876249</v>
      </c>
      <c r="H21" s="0" t="n">
        <f aca="false">H19*H20</f>
        <v>56.3680949027213</v>
      </c>
      <c r="I21" s="0" t="n">
        <f aca="false">I19*I20</f>
        <v>51.7138485346067</v>
      </c>
      <c r="J21" s="0" t="n">
        <f aca="false">J19*J20</f>
        <v>47.4438977381713</v>
      </c>
      <c r="K21" s="0" t="n">
        <f aca="false">K19*K20</f>
        <v>43.5265116863957</v>
      </c>
      <c r="L21" s="0" t="n">
        <f aca="false">L19*L20</f>
        <v>39.9325795288034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1.45</v>
      </c>
      <c r="D23" s="4" t="n">
        <f aca="false">Assumptions!D16</f>
        <v>1.45</v>
      </c>
      <c r="E23" s="4" t="n">
        <f aca="false">Assumptions!E16</f>
        <v>1.45</v>
      </c>
      <c r="F23" s="4" t="n">
        <f aca="false">Assumptions!F16</f>
        <v>1.45</v>
      </c>
      <c r="G23" s="4" t="n">
        <f aca="false">Assumptions!G16</f>
        <v>1.45</v>
      </c>
      <c r="H23" s="4" t="n">
        <f aca="false">Assumptions!H16</f>
        <v>1.45</v>
      </c>
      <c r="I23" s="4" t="n">
        <f aca="false">Assumptions!I16</f>
        <v>1.45</v>
      </c>
      <c r="J23" s="4" t="n">
        <f aca="false">Assumptions!J16</f>
        <v>1.45</v>
      </c>
      <c r="K23" s="4" t="n">
        <f aca="false">Assumptions!K16</f>
        <v>1.45</v>
      </c>
      <c r="L23" s="4" t="n">
        <f aca="false">Assumptions!L16</f>
        <v>1.45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-28.2228</v>
      </c>
      <c r="D24" s="0" t="n">
        <f aca="false">-D6*D23/100</f>
        <v>-27.658344</v>
      </c>
      <c r="E24" s="0" t="n">
        <f aca="false">-E6*E23/100</f>
        <v>-27.38176056</v>
      </c>
      <c r="F24" s="0" t="n">
        <f aca="false">-F6*F23/100</f>
        <v>-27.2448517572</v>
      </c>
      <c r="G24" s="0" t="n">
        <f aca="false">-G6*G23/100</f>
        <v>-27.2448517572</v>
      </c>
      <c r="H24" s="0" t="n">
        <f aca="false">-H6*H23/100</f>
        <v>-27.2448517572</v>
      </c>
      <c r="I24" s="0" t="n">
        <f aca="false">-I6*I23/100</f>
        <v>-27.2448517572</v>
      </c>
      <c r="J24" s="0" t="n">
        <f aca="false">-J6*J23/100</f>
        <v>-27.2448517572</v>
      </c>
      <c r="K24" s="0" t="n">
        <f aca="false">-K6*K23/100</f>
        <v>-27.2448517572</v>
      </c>
      <c r="L24" s="0" t="n">
        <f aca="false">-L6*L23/100</f>
        <v>-27.2448517572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638.971852616065</v>
      </c>
    </row>
    <row r="31" customFormat="false" ht="15" hidden="false" customHeight="false" outlineLevel="0" collapsed="false">
      <c r="A31" s="0" t="s">
        <v>130</v>
      </c>
      <c r="B31" s="0" t="n">
        <f aca="false">L19</f>
        <v>94.53493820925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1050.388202325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1134.419258511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1050.388202325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443.695328097815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1082.66718071388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1346.66718071388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41.7195684978206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-0.197700605811142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24.303321349409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17.6375782597889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43.0188919380626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630.232921395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28.6215123650006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4</v>
      </c>
      <c r="D5" s="4" t="n">
        <f aca="false">Assumptions!D27</f>
        <v>3</v>
      </c>
      <c r="E5" s="4" t="n">
        <f aca="false">Assumptions!E27</f>
        <v>2.5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2027.5</v>
      </c>
      <c r="C6" s="0" t="n">
        <f aca="false">B6*(1+C5/100)</f>
        <v>2108.6</v>
      </c>
      <c r="D6" s="0" t="n">
        <f aca="false">C6*(1+D5/100)</f>
        <v>2171.858</v>
      </c>
      <c r="E6" s="0" t="n">
        <f aca="false">D6*(1+E5/100)</f>
        <v>2226.15445</v>
      </c>
      <c r="F6" s="0" t="n">
        <f aca="false">E6*(1+F5/100)</f>
        <v>2270.677539</v>
      </c>
      <c r="G6" s="0" t="n">
        <f aca="false">F6*(1+G5/100)</f>
        <v>2316.09108978</v>
      </c>
      <c r="H6" s="0" t="n">
        <f aca="false">G6*(1+H5/100)</f>
        <v>2362.4129115756</v>
      </c>
      <c r="I6" s="0" t="n">
        <f aca="false">H6*(1+I5/100)</f>
        <v>2397.84910524923</v>
      </c>
      <c r="J6" s="0" t="n">
        <f aca="false">I6*(1+J5/100)</f>
        <v>2433.81684182797</v>
      </c>
      <c r="K6" s="0" t="n">
        <f aca="false">J6*(1+K5/100)</f>
        <v>2470.32409445539</v>
      </c>
      <c r="L6" s="0" t="n">
        <f aca="false">K6*(1+L5/100)</f>
        <v>2507.37895587222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10.9</v>
      </c>
      <c r="D7" s="4" t="n">
        <f aca="false">Assumptions!D28</f>
        <v>11.2</v>
      </c>
      <c r="E7" s="4" t="n">
        <f aca="false">Assumptions!E28</f>
        <v>11.4</v>
      </c>
      <c r="F7" s="4" t="n">
        <f aca="false">Assumptions!F28</f>
        <v>11.5</v>
      </c>
      <c r="G7" s="4" t="n">
        <f aca="false">Assumptions!G28</f>
        <v>11.5</v>
      </c>
      <c r="H7" s="4" t="n">
        <f aca="false">Assumptions!H28</f>
        <v>11.5</v>
      </c>
      <c r="I7" s="4" t="n">
        <f aca="false">Assumptions!I28</f>
        <v>11.5</v>
      </c>
      <c r="J7" s="4" t="n">
        <f aca="false">Assumptions!J28</f>
        <v>11.5</v>
      </c>
      <c r="K7" s="4" t="n">
        <f aca="false">Assumptions!K28</f>
        <v>11.5</v>
      </c>
      <c r="L7" s="4" t="n">
        <f aca="false">Assumptions!L28</f>
        <v>11.5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229.8374</v>
      </c>
      <c r="D8" s="0" t="n">
        <f aca="false">D6*D7/100</f>
        <v>243.248096</v>
      </c>
      <c r="E8" s="0" t="n">
        <f aca="false">E6*E7/100</f>
        <v>253.7816073</v>
      </c>
      <c r="F8" s="0" t="n">
        <f aca="false">F6*F7/100</f>
        <v>261.127916985</v>
      </c>
      <c r="G8" s="0" t="n">
        <f aca="false">G6*G7/100</f>
        <v>266.3504753247</v>
      </c>
      <c r="H8" s="0" t="n">
        <f aca="false">H6*H7/100</f>
        <v>271.677484831194</v>
      </c>
      <c r="I8" s="0" t="n">
        <f aca="false">I6*I7/100</f>
        <v>275.752647103662</v>
      </c>
      <c r="J8" s="0" t="n">
        <f aca="false">J6*J7/100</f>
        <v>279.888936810217</v>
      </c>
      <c r="K8" s="0" t="n">
        <f aca="false">K6*K7/100</f>
        <v>284.08727086237</v>
      </c>
      <c r="L8" s="0" t="n">
        <f aca="false">L6*L7/100</f>
        <v>288.348579925306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-4.2172</v>
      </c>
      <c r="D10" s="0" t="n">
        <f aca="false">-D6*D9/100</f>
        <v>-4.343716</v>
      </c>
      <c r="E10" s="0" t="n">
        <f aca="false">-E6*E9/100</f>
        <v>-4.4523089</v>
      </c>
      <c r="F10" s="0" t="n">
        <f aca="false">-F6*F9/100</f>
        <v>-4.541355078</v>
      </c>
      <c r="G10" s="0" t="n">
        <f aca="false">-G6*G9/100</f>
        <v>-4.63218217956</v>
      </c>
      <c r="H10" s="0" t="n">
        <f aca="false">-H6*H9/100</f>
        <v>-4.7248258231512</v>
      </c>
      <c r="I10" s="0" t="n">
        <f aca="false">-I6*I9/100</f>
        <v>-4.79569821049847</v>
      </c>
      <c r="J10" s="0" t="n">
        <f aca="false">-J6*J9/100</f>
        <v>-4.86763368365595</v>
      </c>
      <c r="K10" s="0" t="n">
        <f aca="false">-K6*K9/100</f>
        <v>-4.94064818891078</v>
      </c>
      <c r="L10" s="0" t="n">
        <f aca="false">-L6*L9/100</f>
        <v>-5.01475791174445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195.0455</v>
      </c>
      <c r="D11" s="0" t="n">
        <f aca="false">D8+D10+D24</f>
        <v>207.412439</v>
      </c>
      <c r="E11" s="0" t="n">
        <f aca="false">E8+E10+E24</f>
        <v>217.050058875</v>
      </c>
      <c r="F11" s="0" t="n">
        <f aca="false">F8+F10+F24</f>
        <v>223.6617375915</v>
      </c>
      <c r="G11" s="0" t="n">
        <f aca="false">G8+G10+G24</f>
        <v>228.13497234333</v>
      </c>
      <c r="H11" s="0" t="n">
        <f aca="false">H8+H10+H24</f>
        <v>232.697671790197</v>
      </c>
      <c r="I11" s="0" t="n">
        <f aca="false">I8+I10+I24</f>
        <v>236.18813686705</v>
      </c>
      <c r="J11" s="0" t="n">
        <f aca="false">J8+J10+J24</f>
        <v>239.730958920055</v>
      </c>
      <c r="K11" s="0" t="n">
        <f aca="false">K8+K10+K24</f>
        <v>243.326923303856</v>
      </c>
      <c r="L11" s="0" t="n">
        <f aca="false">L8+L10+L24</f>
        <v>246.976827153414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-33.7376</v>
      </c>
      <c r="D12" s="4" t="n">
        <f aca="false">-D6*Assumptions!D31/100</f>
        <v>-35.835657</v>
      </c>
      <c r="E12" s="4" t="n">
        <f aca="false">-E6*Assumptions!E31/100</f>
        <v>-37.84462565</v>
      </c>
      <c r="F12" s="4" t="n">
        <f aca="false">-F6*Assumptions!F31/100</f>
        <v>-38.601518163</v>
      </c>
      <c r="G12" s="4" t="n">
        <f aca="false">-G6*Assumptions!G31/100</f>
        <v>-39.37354852626</v>
      </c>
      <c r="H12" s="4" t="n">
        <f aca="false">-H6*Assumptions!H31/100</f>
        <v>-37.7986065852096</v>
      </c>
      <c r="I12" s="4" t="n">
        <f aca="false">-I6*Assumptions!I31/100</f>
        <v>-38.3655856839877</v>
      </c>
      <c r="J12" s="4" t="n">
        <f aca="false">-J6*Assumptions!J31/100</f>
        <v>-38.9410694692476</v>
      </c>
      <c r="K12" s="4" t="n">
        <f aca="false">-K6*Assumptions!K31/100</f>
        <v>-39.5251855112863</v>
      </c>
      <c r="L12" s="4" t="n">
        <f aca="false">-L6*Assumptions!L31/100</f>
        <v>-40.1180632939556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161.3079</v>
      </c>
      <c r="D13" s="0" t="n">
        <f aca="false">D11+D12</f>
        <v>171.576782</v>
      </c>
      <c r="E13" s="0" t="n">
        <f aca="false">E11+E12</f>
        <v>179.205433225</v>
      </c>
      <c r="F13" s="0" t="n">
        <f aca="false">F11+F12</f>
        <v>185.0602194285</v>
      </c>
      <c r="G13" s="0" t="n">
        <f aca="false">G11+G12</f>
        <v>188.76142381707</v>
      </c>
      <c r="H13" s="0" t="n">
        <f aca="false">H11+H12</f>
        <v>194.899065204987</v>
      </c>
      <c r="I13" s="0" t="n">
        <f aca="false">I11+I12</f>
        <v>197.822551183062</v>
      </c>
      <c r="J13" s="0" t="n">
        <f aca="false">J11+J12</f>
        <v>200.789889450808</v>
      </c>
      <c r="K13" s="0" t="n">
        <f aca="false">K11+K12</f>
        <v>203.80173779257</v>
      </c>
      <c r="L13" s="0" t="n">
        <f aca="false">L11+L12</f>
        <v>206.858763859458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19.5</v>
      </c>
      <c r="D14" s="4" t="n">
        <f aca="false">Assumptions!D33</f>
        <v>19.5</v>
      </c>
      <c r="E14" s="4" t="n">
        <f aca="false">Assumptions!E33</f>
        <v>19.5</v>
      </c>
      <c r="F14" s="4" t="n">
        <f aca="false">Assumptions!F33</f>
        <v>19.5</v>
      </c>
      <c r="G14" s="4" t="n">
        <f aca="false">Assumptions!G33</f>
        <v>19.5</v>
      </c>
      <c r="H14" s="4" t="n">
        <f aca="false">Assumptions!H33</f>
        <v>19.5</v>
      </c>
      <c r="I14" s="4" t="n">
        <f aca="false">Assumptions!I33</f>
        <v>19.5</v>
      </c>
      <c r="J14" s="4" t="n">
        <f aca="false">Assumptions!J33</f>
        <v>19.5</v>
      </c>
      <c r="K14" s="4" t="n">
        <f aca="false">Assumptions!K33</f>
        <v>19.5</v>
      </c>
      <c r="L14" s="4" t="n">
        <f aca="false">Assumptions!L33</f>
        <v>19.5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129.8528595</v>
      </c>
      <c r="D15" s="0" t="n">
        <f aca="false">D13-MAX(0,D13)*D14/100</f>
        <v>138.11930951</v>
      </c>
      <c r="E15" s="0" t="n">
        <f aca="false">E13-MAX(0,E13)*E14/100</f>
        <v>144.260373746125</v>
      </c>
      <c r="F15" s="0" t="n">
        <f aca="false">F13-MAX(0,F13)*F14/100</f>
        <v>148.973476639943</v>
      </c>
      <c r="G15" s="0" t="n">
        <f aca="false">G13-MAX(0,G13)*G14/100</f>
        <v>151.952946172741</v>
      </c>
      <c r="H15" s="0" t="n">
        <f aca="false">H13-MAX(0,H13)*H14/100</f>
        <v>156.893747490015</v>
      </c>
      <c r="I15" s="0" t="n">
        <f aca="false">I13-MAX(0,I13)*I14/100</f>
        <v>159.247153702365</v>
      </c>
      <c r="J15" s="0" t="n">
        <f aca="false">J13-MAX(0,J13)*J14/100</f>
        <v>161.6358610079</v>
      </c>
      <c r="K15" s="0" t="n">
        <f aca="false">K13-MAX(0,K13)*K14/100</f>
        <v>164.060398923019</v>
      </c>
      <c r="L15" s="0" t="n">
        <f aca="false">L13-MAX(0,L13)*L14/100</f>
        <v>166.521304906864</v>
      </c>
    </row>
    <row r="16" customFormat="false" ht="15" hidden="false" customHeight="false" outlineLevel="0" collapsed="false">
      <c r="A16" s="0" t="s">
        <v>121</v>
      </c>
      <c r="C16" s="0" t="n">
        <f aca="false">-C12</f>
        <v>33.7376</v>
      </c>
      <c r="D16" s="0" t="n">
        <f aca="false">-D12</f>
        <v>35.835657</v>
      </c>
      <c r="E16" s="0" t="n">
        <f aca="false">-E12</f>
        <v>37.84462565</v>
      </c>
      <c r="F16" s="0" t="n">
        <f aca="false">-F12</f>
        <v>38.601518163</v>
      </c>
      <c r="G16" s="0" t="n">
        <f aca="false">-G12</f>
        <v>39.37354852626</v>
      </c>
      <c r="H16" s="0" t="n">
        <f aca="false">-H12</f>
        <v>37.7986065852096</v>
      </c>
      <c r="I16" s="0" t="n">
        <f aca="false">-I12</f>
        <v>38.3655856839877</v>
      </c>
      <c r="J16" s="0" t="n">
        <f aca="false">-J12</f>
        <v>38.9410694692476</v>
      </c>
      <c r="K16" s="0" t="n">
        <f aca="false">-K12</f>
        <v>39.5251855112863</v>
      </c>
      <c r="L16" s="0" t="n">
        <f aca="false">-L12</f>
        <v>40.1180632939556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-37.9548</v>
      </c>
      <c r="D17" s="4" t="n">
        <f aca="false">-D6*Assumptions!D32/100</f>
        <v>-36.921586</v>
      </c>
      <c r="E17" s="4" t="n">
        <f aca="false">-E6*Assumptions!E32/100</f>
        <v>-35.6184712</v>
      </c>
      <c r="F17" s="4" t="n">
        <f aca="false">-F6*Assumptions!F32/100</f>
        <v>-36.330840624</v>
      </c>
      <c r="G17" s="4" t="n">
        <f aca="false">-G6*Assumptions!G32/100</f>
        <v>-37.05745743648</v>
      </c>
      <c r="H17" s="4" t="n">
        <f aca="false">-H6*Assumptions!H32/100</f>
        <v>-37.7986065852096</v>
      </c>
      <c r="I17" s="4" t="n">
        <f aca="false">-I6*Assumptions!I32/100</f>
        <v>-38.3655856839877</v>
      </c>
      <c r="J17" s="4" t="n">
        <f aca="false">-J6*Assumptions!J32/100</f>
        <v>-38.9410694692476</v>
      </c>
      <c r="K17" s="4" t="n">
        <f aca="false">-K6*Assumptions!K32/100</f>
        <v>-39.5251855112863</v>
      </c>
      <c r="L17" s="4" t="n">
        <f aca="false">-L6*Assumptions!L32/100</f>
        <v>-40.1180632939556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-10.543</v>
      </c>
      <c r="D18" s="4" t="n">
        <f aca="false">(D6-C6)*Assumptions!$B$37/100</f>
        <v>-8.22354000000004</v>
      </c>
      <c r="E18" s="4" t="n">
        <f aca="false">(E6-D6)*Assumptions!$B$37/100</f>
        <v>-7.05853849999998</v>
      </c>
      <c r="F18" s="4" t="n">
        <f aca="false">(F6-E6)*Assumptions!$B$37/100</f>
        <v>-5.78800157000003</v>
      </c>
      <c r="G18" s="4" t="n">
        <f aca="false">(G6-F6)*Assumptions!$B$37/100</f>
        <v>-5.90376160140002</v>
      </c>
      <c r="H18" s="4" t="n">
        <f aca="false">(H6-G6)*Assumptions!$B$37/100</f>
        <v>-6.02183683342801</v>
      </c>
      <c r="I18" s="4" t="n">
        <f aca="false">(I6-H6)*Assumptions!$B$37/100</f>
        <v>-4.60670517757237</v>
      </c>
      <c r="J18" s="4" t="n">
        <f aca="false">(J6-I6)*Assumptions!$B$37/100</f>
        <v>-4.67580575523599</v>
      </c>
      <c r="K18" s="4" t="n">
        <f aca="false">(K6-J6)*Assumptions!$B$37/100</f>
        <v>-4.74594284156452</v>
      </c>
      <c r="L18" s="4" t="n">
        <f aca="false">(L6-K6)*Assumptions!$B$37/100</f>
        <v>-4.81713198418798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115.0926595</v>
      </c>
      <c r="D19" s="0" t="n">
        <f aca="false">D15+D16+D17+D18</f>
        <v>128.80984051</v>
      </c>
      <c r="E19" s="0" t="n">
        <f aca="false">E15+E16+E17+E18</f>
        <v>139.427989696125</v>
      </c>
      <c r="F19" s="0" t="n">
        <f aca="false">F15+F16+F17+F18</f>
        <v>145.456152608943</v>
      </c>
      <c r="G19" s="0" t="n">
        <f aca="false">G15+G16+G17+G18</f>
        <v>148.365275661121</v>
      </c>
      <c r="H19" s="0" t="n">
        <f aca="false">H15+H16+H17+H18</f>
        <v>150.871910656587</v>
      </c>
      <c r="I19" s="0" t="n">
        <f aca="false">I15+I16+I17+I18</f>
        <v>154.640448524792</v>
      </c>
      <c r="J19" s="0" t="n">
        <f aca="false">J15+J16+J17+J18</f>
        <v>156.960055252664</v>
      </c>
      <c r="K19" s="0" t="n">
        <f aca="false">K15+K16+K17+K18</f>
        <v>159.314456081454</v>
      </c>
      <c r="L19" s="0" t="n">
        <f aca="false">L15+L16+L17+L18</f>
        <v>161.704172922676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105.58959587156</v>
      </c>
      <c r="D21" s="0" t="n">
        <f aca="false">D19*D20</f>
        <v>108.416665693123</v>
      </c>
      <c r="E21" s="0" t="n">
        <f aca="false">E19*E20</f>
        <v>107.663990301472</v>
      </c>
      <c r="F21" s="0" t="n">
        <f aca="false">F19*F20</f>
        <v>103.044805612722</v>
      </c>
      <c r="G21" s="0" t="n">
        <f aca="false">G19*G20</f>
        <v>96.4272492889687</v>
      </c>
      <c r="H21" s="0" t="n">
        <f aca="false">H19*H20</f>
        <v>89.9599908683627</v>
      </c>
      <c r="I21" s="0" t="n">
        <f aca="false">I19*I20</f>
        <v>84.5936209809917</v>
      </c>
      <c r="J21" s="0" t="n">
        <f aca="false">J19*J20</f>
        <v>78.7729589868867</v>
      </c>
      <c r="K21" s="0" t="n">
        <f aca="false">K19*K20</f>
        <v>73.3528012584312</v>
      </c>
      <c r="L21" s="0" t="n">
        <f aca="false">L19*L20</f>
        <v>68.3055901626676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1.45</v>
      </c>
      <c r="D23" s="4" t="n">
        <f aca="false">Assumptions!D30</f>
        <v>1.45</v>
      </c>
      <c r="E23" s="4" t="n">
        <f aca="false">Assumptions!E30</f>
        <v>1.45</v>
      </c>
      <c r="F23" s="4" t="n">
        <f aca="false">Assumptions!F30</f>
        <v>1.45</v>
      </c>
      <c r="G23" s="4" t="n">
        <f aca="false">Assumptions!G30</f>
        <v>1.45</v>
      </c>
      <c r="H23" s="4" t="n">
        <f aca="false">Assumptions!H30</f>
        <v>1.45</v>
      </c>
      <c r="I23" s="4" t="n">
        <f aca="false">Assumptions!I30</f>
        <v>1.45</v>
      </c>
      <c r="J23" s="4" t="n">
        <f aca="false">Assumptions!J30</f>
        <v>1.45</v>
      </c>
      <c r="K23" s="4" t="n">
        <f aca="false">Assumptions!K30</f>
        <v>1.45</v>
      </c>
      <c r="L23" s="4" t="n">
        <f aca="false">Assumptions!L30</f>
        <v>1.45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-30.5747</v>
      </c>
      <c r="D24" s="0" t="n">
        <f aca="false">-D6*D23/100</f>
        <v>-31.491941</v>
      </c>
      <c r="E24" s="0" t="n">
        <f aca="false">-E6*E23/100</f>
        <v>-32.279239525</v>
      </c>
      <c r="F24" s="0" t="n">
        <f aca="false">-F6*F23/100</f>
        <v>-32.9248243155</v>
      </c>
      <c r="G24" s="0" t="n">
        <f aca="false">-G6*G23/100</f>
        <v>-33.58332080181</v>
      </c>
      <c r="H24" s="0" t="n">
        <f aca="false">-H6*H23/100</f>
        <v>-34.2549872178462</v>
      </c>
      <c r="I24" s="0" t="n">
        <f aca="false">-I6*I23/100</f>
        <v>-34.7688120261139</v>
      </c>
      <c r="J24" s="0" t="n">
        <f aca="false">-J6*J23/100</f>
        <v>-35.2903442065056</v>
      </c>
      <c r="K24" s="0" t="n">
        <f aca="false">-K6*K23/100</f>
        <v>-35.8196993696032</v>
      </c>
      <c r="L24" s="0" t="n">
        <f aca="false">-L6*L23/100</f>
        <v>-36.3569948601472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916.127269025185</v>
      </c>
    </row>
    <row r="31" customFormat="false" ht="15" hidden="false" customHeight="false" outlineLevel="0" collapsed="false">
      <c r="A31" s="0" t="s">
        <v>130</v>
      </c>
      <c r="B31" s="0" t="n">
        <f aca="false">L19</f>
        <v>161.704172922676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2188.39647355355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1940.45007507211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1940.45007507211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819.667081952011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1735.7943509772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1999.7943509772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61.9533605645016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0.191410780086569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29.4674913063518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28.6674967323308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63.7543746905859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1215.77581864086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39.3610055465167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7</v>
      </c>
      <c r="D5" s="4" t="n">
        <f aca="false">Assumptions!D41</f>
        <v>5</v>
      </c>
      <c r="E5" s="4" t="n">
        <f aca="false">Assumptions!E41</f>
        <v>4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2027.5</v>
      </c>
      <c r="C6" s="0" t="n">
        <f aca="false">B6*(1+C5/100)</f>
        <v>2169.425</v>
      </c>
      <c r="D6" s="0" t="n">
        <f aca="false">C6*(1+D5/100)</f>
        <v>2277.89625</v>
      </c>
      <c r="E6" s="0" t="n">
        <f aca="false">D6*(1+E5/100)</f>
        <v>2369.0121</v>
      </c>
      <c r="F6" s="0" t="n">
        <f aca="false">E6*(1+F5/100)</f>
        <v>2451.9275235</v>
      </c>
      <c r="G6" s="0" t="n">
        <f aca="false">F6*(1+G5/100)</f>
        <v>2525.485349205</v>
      </c>
      <c r="H6" s="0" t="n">
        <f aca="false">G6*(1+H5/100)</f>
        <v>2601.24990968115</v>
      </c>
      <c r="I6" s="0" t="n">
        <f aca="false">H6*(1+I5/100)</f>
        <v>2666.28115742318</v>
      </c>
      <c r="J6" s="0" t="n">
        <f aca="false">I6*(1+J5/100)</f>
        <v>2732.93818635876</v>
      </c>
      <c r="K6" s="0" t="n">
        <f aca="false">J6*(1+K5/100)</f>
        <v>2787.59695008593</v>
      </c>
      <c r="L6" s="0" t="n">
        <f aca="false">K6*(1+L5/100)</f>
        <v>2843.34888908765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11.4</v>
      </c>
      <c r="D7" s="4" t="n">
        <f aca="false">Assumptions!D42</f>
        <v>12</v>
      </c>
      <c r="E7" s="4" t="n">
        <f aca="false">Assumptions!E42</f>
        <v>12.4</v>
      </c>
      <c r="F7" s="4" t="n">
        <f aca="false">Assumptions!F42</f>
        <v>12.6</v>
      </c>
      <c r="G7" s="4" t="n">
        <f aca="false">Assumptions!G42</f>
        <v>12.8</v>
      </c>
      <c r="H7" s="4" t="n">
        <f aca="false">Assumptions!H42</f>
        <v>12.8</v>
      </c>
      <c r="I7" s="4" t="n">
        <f aca="false">Assumptions!I42</f>
        <v>12.8</v>
      </c>
      <c r="J7" s="4" t="n">
        <f aca="false">Assumptions!J42</f>
        <v>12.8</v>
      </c>
      <c r="K7" s="4" t="n">
        <f aca="false">Assumptions!K42</f>
        <v>12.8</v>
      </c>
      <c r="L7" s="4" t="n">
        <f aca="false">Assumptions!L42</f>
        <v>12.8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247.31445</v>
      </c>
      <c r="D8" s="0" t="n">
        <f aca="false">D6*D7/100</f>
        <v>273.34755</v>
      </c>
      <c r="E8" s="0" t="n">
        <f aca="false">E6*E7/100</f>
        <v>293.7575004</v>
      </c>
      <c r="F8" s="0" t="n">
        <f aca="false">F6*F7/100</f>
        <v>308.942867961</v>
      </c>
      <c r="G8" s="0" t="n">
        <f aca="false">G6*G7/100</f>
        <v>323.26212469824</v>
      </c>
      <c r="H8" s="0" t="n">
        <f aca="false">H6*H7/100</f>
        <v>332.959988439187</v>
      </c>
      <c r="I8" s="0" t="n">
        <f aca="false">I6*I7/100</f>
        <v>341.283988150167</v>
      </c>
      <c r="J8" s="0" t="n">
        <f aca="false">J6*J7/100</f>
        <v>349.816087853921</v>
      </c>
      <c r="K8" s="0" t="n">
        <f aca="false">K6*K7/100</f>
        <v>356.812409610999</v>
      </c>
      <c r="L8" s="0" t="n">
        <f aca="false">L6*L7/100</f>
        <v>363.948657803219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-4.33885</v>
      </c>
      <c r="D10" s="0" t="n">
        <f aca="false">-D6*D9/100</f>
        <v>-4.5557925</v>
      </c>
      <c r="E10" s="0" t="n">
        <f aca="false">-E6*E9/100</f>
        <v>-4.7380242</v>
      </c>
      <c r="F10" s="0" t="n">
        <f aca="false">-F6*F9/100</f>
        <v>-4.903855047</v>
      </c>
      <c r="G10" s="0" t="n">
        <f aca="false">-G6*G9/100</f>
        <v>-5.05097069841</v>
      </c>
      <c r="H10" s="0" t="n">
        <f aca="false">-H6*H9/100</f>
        <v>-5.2024998193623</v>
      </c>
      <c r="I10" s="0" t="n">
        <f aca="false">-I6*I9/100</f>
        <v>-5.33256231484636</v>
      </c>
      <c r="J10" s="0" t="n">
        <f aca="false">-J6*J9/100</f>
        <v>-5.46587637271752</v>
      </c>
      <c r="K10" s="0" t="n">
        <f aca="false">-K6*K9/100</f>
        <v>-5.57519390017187</v>
      </c>
      <c r="L10" s="0" t="n">
        <f aca="false">-L6*L9/100</f>
        <v>-5.6866977781753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211.5189375</v>
      </c>
      <c r="D11" s="0" t="n">
        <f aca="false">D8+D10+D24</f>
        <v>235.762261875</v>
      </c>
      <c r="E11" s="0" t="n">
        <f aca="false">E8+E10+E24</f>
        <v>254.66880075</v>
      </c>
      <c r="F11" s="0" t="n">
        <f aca="false">F8+F10+F24</f>
        <v>268.48606382325</v>
      </c>
      <c r="G11" s="0" t="n">
        <f aca="false">G8+G10+G24</f>
        <v>281.591616436358</v>
      </c>
      <c r="H11" s="0" t="n">
        <f aca="false">H8+H10+H24</f>
        <v>290.039364929448</v>
      </c>
      <c r="I11" s="0" t="n">
        <f aca="false">I8+I10+I24</f>
        <v>297.290349052684</v>
      </c>
      <c r="J11" s="0" t="n">
        <f aca="false">J8+J10+J24</f>
        <v>304.722607779001</v>
      </c>
      <c r="K11" s="0" t="n">
        <f aca="false">K8+K10+K24</f>
        <v>310.817059934582</v>
      </c>
      <c r="L11" s="0" t="n">
        <f aca="false">L8+L10+L24</f>
        <v>317.033401133273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-34.7108</v>
      </c>
      <c r="D12" s="4" t="n">
        <f aca="false">-D6*Assumptions!D45/100</f>
        <v>-37.585288125</v>
      </c>
      <c r="E12" s="4" t="n">
        <f aca="false">-E6*Assumptions!E45/100</f>
        <v>-40.2732057</v>
      </c>
      <c r="F12" s="4" t="n">
        <f aca="false">-F6*Assumptions!F45/100</f>
        <v>-41.6827678995</v>
      </c>
      <c r="G12" s="4" t="n">
        <f aca="false">-G6*Assumptions!G45/100</f>
        <v>-42.933250936485</v>
      </c>
      <c r="H12" s="4" t="n">
        <f aca="false">-H6*Assumptions!H45/100</f>
        <v>-41.6199985548984</v>
      </c>
      <c r="I12" s="4" t="n">
        <f aca="false">-I6*Assumptions!I45/100</f>
        <v>-42.6604985187709</v>
      </c>
      <c r="J12" s="4" t="n">
        <f aca="false">-J6*Assumptions!J45/100</f>
        <v>-43.7270109817401</v>
      </c>
      <c r="K12" s="4" t="n">
        <f aca="false">-K6*Assumptions!K45/100</f>
        <v>-44.6015512013749</v>
      </c>
      <c r="L12" s="4" t="n">
        <f aca="false">-L6*Assumptions!L45/100</f>
        <v>-45.4935822254024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176.8081375</v>
      </c>
      <c r="D13" s="0" t="n">
        <f aca="false">D11+D12</f>
        <v>198.17697375</v>
      </c>
      <c r="E13" s="0" t="n">
        <f aca="false">E11+E12</f>
        <v>214.39559505</v>
      </c>
      <c r="F13" s="0" t="n">
        <f aca="false">F11+F12</f>
        <v>226.80329592375</v>
      </c>
      <c r="G13" s="0" t="n">
        <f aca="false">G11+G12</f>
        <v>238.658365499873</v>
      </c>
      <c r="H13" s="0" t="n">
        <f aca="false">H11+H12</f>
        <v>248.41936637455</v>
      </c>
      <c r="I13" s="0" t="n">
        <f aca="false">I11+I12</f>
        <v>254.629850533914</v>
      </c>
      <c r="J13" s="0" t="n">
        <f aca="false">J11+J12</f>
        <v>260.995596797261</v>
      </c>
      <c r="K13" s="0" t="n">
        <f aca="false">K11+K12</f>
        <v>266.215508733207</v>
      </c>
      <c r="L13" s="0" t="n">
        <f aca="false">L11+L12</f>
        <v>271.539818907871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19.5</v>
      </c>
      <c r="D14" s="4" t="n">
        <f aca="false">Assumptions!D47</f>
        <v>19.5</v>
      </c>
      <c r="E14" s="4" t="n">
        <f aca="false">Assumptions!E47</f>
        <v>19.5</v>
      </c>
      <c r="F14" s="4" t="n">
        <f aca="false">Assumptions!F47</f>
        <v>19.5</v>
      </c>
      <c r="G14" s="4" t="n">
        <f aca="false">Assumptions!G47</f>
        <v>19.5</v>
      </c>
      <c r="H14" s="4" t="n">
        <f aca="false">Assumptions!H47</f>
        <v>19.5</v>
      </c>
      <c r="I14" s="4" t="n">
        <f aca="false">Assumptions!I47</f>
        <v>19.5</v>
      </c>
      <c r="J14" s="4" t="n">
        <f aca="false">Assumptions!J47</f>
        <v>19.5</v>
      </c>
      <c r="K14" s="4" t="n">
        <f aca="false">Assumptions!K47</f>
        <v>19.5</v>
      </c>
      <c r="L14" s="4" t="n">
        <f aca="false">Assumptions!L47</f>
        <v>19.5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142.3305506875</v>
      </c>
      <c r="D15" s="0" t="n">
        <f aca="false">D13-MAX(0,D13)*D14/100</f>
        <v>159.53246386875</v>
      </c>
      <c r="E15" s="0" t="n">
        <f aca="false">E13-MAX(0,E13)*E14/100</f>
        <v>172.58845401525</v>
      </c>
      <c r="F15" s="0" t="n">
        <f aca="false">F13-MAX(0,F13)*F14/100</f>
        <v>182.576653218619</v>
      </c>
      <c r="G15" s="0" t="n">
        <f aca="false">G13-MAX(0,G13)*G14/100</f>
        <v>192.119984227397</v>
      </c>
      <c r="H15" s="0" t="n">
        <f aca="false">H13-MAX(0,H13)*H14/100</f>
        <v>199.977589931513</v>
      </c>
      <c r="I15" s="0" t="n">
        <f aca="false">I13-MAX(0,I13)*I14/100</f>
        <v>204.9770296798</v>
      </c>
      <c r="J15" s="0" t="n">
        <f aca="false">J13-MAX(0,J13)*J14/100</f>
        <v>210.101455421795</v>
      </c>
      <c r="K15" s="0" t="n">
        <f aca="false">K13-MAX(0,K13)*K14/100</f>
        <v>214.303484530231</v>
      </c>
      <c r="L15" s="0" t="n">
        <f aca="false">L13-MAX(0,L13)*L14/100</f>
        <v>218.589554220836</v>
      </c>
    </row>
    <row r="16" customFormat="false" ht="15" hidden="false" customHeight="false" outlineLevel="0" collapsed="false">
      <c r="A16" s="0" t="s">
        <v>121</v>
      </c>
      <c r="C16" s="0" t="n">
        <f aca="false">-C12</f>
        <v>34.7108</v>
      </c>
      <c r="D16" s="0" t="n">
        <f aca="false">-D12</f>
        <v>37.585288125</v>
      </c>
      <c r="E16" s="0" t="n">
        <f aca="false">-E12</f>
        <v>40.2732057</v>
      </c>
      <c r="F16" s="0" t="n">
        <f aca="false">-F12</f>
        <v>41.6827678995</v>
      </c>
      <c r="G16" s="0" t="n">
        <f aca="false">-G12</f>
        <v>42.933250936485</v>
      </c>
      <c r="H16" s="0" t="n">
        <f aca="false">-H12</f>
        <v>41.6199985548984</v>
      </c>
      <c r="I16" s="0" t="n">
        <f aca="false">-I12</f>
        <v>42.6604985187709</v>
      </c>
      <c r="J16" s="0" t="n">
        <f aca="false">-J12</f>
        <v>43.7270109817401</v>
      </c>
      <c r="K16" s="0" t="n">
        <f aca="false">-K12</f>
        <v>44.6015512013749</v>
      </c>
      <c r="L16" s="0" t="n">
        <f aca="false">-L12</f>
        <v>45.4935822254024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-39.04965</v>
      </c>
      <c r="D17" s="4" t="n">
        <f aca="false">-D6*Assumptions!D46/100</f>
        <v>-38.72423625</v>
      </c>
      <c r="E17" s="4" t="n">
        <f aca="false">-E6*Assumptions!E46/100</f>
        <v>-37.9041936</v>
      </c>
      <c r="F17" s="4" t="n">
        <f aca="false">-F6*Assumptions!F46/100</f>
        <v>-39.230840376</v>
      </c>
      <c r="G17" s="4" t="n">
        <f aca="false">-G6*Assumptions!G46/100</f>
        <v>-40.40776558728</v>
      </c>
      <c r="H17" s="4" t="n">
        <f aca="false">-H6*Assumptions!H46/100</f>
        <v>-41.6199985548984</v>
      </c>
      <c r="I17" s="4" t="n">
        <f aca="false">-I6*Assumptions!I46/100</f>
        <v>-42.6604985187709</v>
      </c>
      <c r="J17" s="4" t="n">
        <f aca="false">-J6*Assumptions!J46/100</f>
        <v>-43.7270109817401</v>
      </c>
      <c r="K17" s="4" t="n">
        <f aca="false">-K6*Assumptions!K46/100</f>
        <v>-44.6015512013749</v>
      </c>
      <c r="L17" s="4" t="n">
        <f aca="false">-L6*Assumptions!L46/100</f>
        <v>-45.4935822254024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-18.45025</v>
      </c>
      <c r="D18" s="4" t="n">
        <f aca="false">(D6-C6)*Assumptions!$B$51/100</f>
        <v>-14.1012625</v>
      </c>
      <c r="E18" s="4" t="n">
        <f aca="false">(E6-D6)*Assumptions!$B$51/100</f>
        <v>-11.8450605</v>
      </c>
      <c r="F18" s="4" t="n">
        <f aca="false">(F6-E6)*Assumptions!$B$51/100</f>
        <v>-10.779005055</v>
      </c>
      <c r="G18" s="4" t="n">
        <f aca="false">(G6-F6)*Assumptions!$B$51/100</f>
        <v>-9.56251734165002</v>
      </c>
      <c r="H18" s="4" t="n">
        <f aca="false">(H6-G6)*Assumptions!$B$51/100</f>
        <v>-9.84939286189951</v>
      </c>
      <c r="I18" s="4" t="n">
        <f aca="false">(I6-H6)*Assumptions!$B$51/100</f>
        <v>-8.4540622064637</v>
      </c>
      <c r="J18" s="4" t="n">
        <f aca="false">(J6-I6)*Assumptions!$B$51/100</f>
        <v>-8.66541376162528</v>
      </c>
      <c r="K18" s="4" t="n">
        <f aca="false">(K6-J6)*Assumptions!$B$51/100</f>
        <v>-7.10563928453275</v>
      </c>
      <c r="L18" s="4" t="n">
        <f aca="false">(L6-K6)*Assumptions!$B$51/100</f>
        <v>-7.24775207022343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119.5414506875</v>
      </c>
      <c r="D19" s="0" t="n">
        <f aca="false">D15+D16+D17+D18</f>
        <v>144.29225324375</v>
      </c>
      <c r="E19" s="0" t="n">
        <f aca="false">E15+E16+E17+E18</f>
        <v>163.11240561525</v>
      </c>
      <c r="F19" s="0" t="n">
        <f aca="false">F15+F16+F17+F18</f>
        <v>174.249575687119</v>
      </c>
      <c r="G19" s="0" t="n">
        <f aca="false">G15+G16+G17+G18</f>
        <v>185.082952234952</v>
      </c>
      <c r="H19" s="0" t="n">
        <f aca="false">H15+H16+H17+H18</f>
        <v>190.128197069613</v>
      </c>
      <c r="I19" s="0" t="n">
        <f aca="false">I15+I16+I17+I18</f>
        <v>196.522967473337</v>
      </c>
      <c r="J19" s="0" t="n">
        <f aca="false">J15+J16+J17+J18</f>
        <v>201.43604166017</v>
      </c>
      <c r="K19" s="0" t="n">
        <f aca="false">K15+K16+K17+K18</f>
        <v>207.197845245699</v>
      </c>
      <c r="L19" s="0" t="n">
        <f aca="false">L15+L16+L17+L18</f>
        <v>211.341802150613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109.671055676605</v>
      </c>
      <c r="D21" s="0" t="n">
        <f aca="false">D19*D20</f>
        <v>121.447902738616</v>
      </c>
      <c r="E21" s="0" t="n">
        <f aca="false">E19*E20</f>
        <v>125.952705009116</v>
      </c>
      <c r="F21" s="0" t="n">
        <f aca="false">F19*F20</f>
        <v>123.442792434168</v>
      </c>
      <c r="G21" s="0" t="n">
        <f aca="false">G19*G20</f>
        <v>120.291219726253</v>
      </c>
      <c r="H21" s="0" t="n">
        <f aca="false">H19*H20</f>
        <v>113.367231831063</v>
      </c>
      <c r="I21" s="0" t="n">
        <f aca="false">I19*I20</f>
        <v>107.504793106145</v>
      </c>
      <c r="J21" s="0" t="n">
        <f aca="false">J19*J20</f>
        <v>101.093956819998</v>
      </c>
      <c r="K21" s="0" t="n">
        <f aca="false">K19*K20</f>
        <v>95.3996438070391</v>
      </c>
      <c r="L21" s="0" t="n">
        <f aca="false">L19*L20</f>
        <v>89.2730611772293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1.45</v>
      </c>
      <c r="D23" s="4" t="n">
        <f aca="false">Assumptions!D44</f>
        <v>1.45</v>
      </c>
      <c r="E23" s="4" t="n">
        <f aca="false">Assumptions!E44</f>
        <v>1.45</v>
      </c>
      <c r="F23" s="4" t="n">
        <f aca="false">Assumptions!F44</f>
        <v>1.45</v>
      </c>
      <c r="G23" s="4" t="n">
        <f aca="false">Assumptions!G44</f>
        <v>1.45</v>
      </c>
      <c r="H23" s="4" t="n">
        <f aca="false">Assumptions!H44</f>
        <v>1.45</v>
      </c>
      <c r="I23" s="4" t="n">
        <f aca="false">Assumptions!I44</f>
        <v>1.45</v>
      </c>
      <c r="J23" s="4" t="n">
        <f aca="false">Assumptions!J44</f>
        <v>1.45</v>
      </c>
      <c r="K23" s="4" t="n">
        <f aca="false">Assumptions!K44</f>
        <v>1.45</v>
      </c>
      <c r="L23" s="4" t="n">
        <f aca="false">Assumptions!L44</f>
        <v>1.45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-31.4566625</v>
      </c>
      <c r="D24" s="0" t="n">
        <f aca="false">-D6*D23/100</f>
        <v>-33.029495625</v>
      </c>
      <c r="E24" s="0" t="n">
        <f aca="false">-E6*E23/100</f>
        <v>-34.35067545</v>
      </c>
      <c r="F24" s="0" t="n">
        <f aca="false">-F6*F23/100</f>
        <v>-35.55294909075</v>
      </c>
      <c r="G24" s="0" t="n">
        <f aca="false">-G6*G23/100</f>
        <v>-36.6195375634725</v>
      </c>
      <c r="H24" s="0" t="n">
        <f aca="false">-H6*H23/100</f>
        <v>-37.7181236903767</v>
      </c>
      <c r="I24" s="0" t="n">
        <f aca="false">-I6*I23/100</f>
        <v>-38.6610767826361</v>
      </c>
      <c r="J24" s="0" t="n">
        <f aca="false">-J6*J23/100</f>
        <v>-39.627603702202</v>
      </c>
      <c r="K24" s="0" t="n">
        <f aca="false">-K6*K23/100</f>
        <v>-40.420155776246</v>
      </c>
      <c r="L24" s="0" t="n">
        <f aca="false">-L6*L23/100</f>
        <v>-41.2285588917709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1107.44436232623</v>
      </c>
    </row>
    <row r="31" customFormat="false" ht="15" hidden="false" customHeight="false" outlineLevel="0" collapsed="false">
      <c r="A31" s="0" t="s">
        <v>130</v>
      </c>
      <c r="B31" s="0" t="n">
        <f aca="false">L19</f>
        <v>211.341802150613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3079.55197419464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2536.10162580735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2536.10162580735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1071.27673412675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2178.72109645298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2442.72109645298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75.6751716860871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0.455291763193982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31.9619493258123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35.0023578427424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77.7497169336713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1658.22029379711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47.0554407627266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41.7195684978206</v>
      </c>
      <c r="C4" s="0" t="n">
        <f aca="false">B4/Assumptions!$B$2-1</f>
        <v>-0.197700605811142</v>
      </c>
      <c r="D4" s="4" t="n">
        <f aca="false">Assumptions!$B$24</f>
        <v>0.25</v>
      </c>
      <c r="E4" s="4" t="n">
        <f aca="false">DCF_Bear!$B$43</f>
        <v>43.0188919380626</v>
      </c>
      <c r="F4" s="4" t="n">
        <f aca="false">DCF_Bear!$B$47</f>
        <v>28.6215123650006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61.9533605645016</v>
      </c>
      <c r="C5" s="0" t="n">
        <f aca="false">B5/Assumptions!$B$2-1</f>
        <v>0.191410780086569</v>
      </c>
      <c r="D5" s="4" t="n">
        <f aca="false">Assumptions!$B$38</f>
        <v>0.5</v>
      </c>
      <c r="E5" s="4" t="n">
        <f aca="false">DCF_Base!$B$43</f>
        <v>63.7543746905859</v>
      </c>
      <c r="F5" s="4" t="n">
        <f aca="false">DCF_Base!$B$47</f>
        <v>39.3610055465167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75.6751716860871</v>
      </c>
      <c r="C6" s="0" t="n">
        <f aca="false">B6/Assumptions!$B$2-1</f>
        <v>0.455291763193982</v>
      </c>
      <c r="D6" s="4" t="n">
        <f aca="false">Assumptions!$B$52</f>
        <v>0.25</v>
      </c>
      <c r="E6" s="4" t="n">
        <f aca="false">DCF_Bull!$B$43</f>
        <v>77.7497169336713</v>
      </c>
      <c r="F6" s="4" t="n">
        <f aca="false">DCF_Bull!$B$47</f>
        <v>47.0554407627266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60.3253653282277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62.0693395632264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0.138007706757013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-477.378917712849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38.5997410551902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61.9533605645016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58.3481120675821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52.9443476605782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48.5733888351698</v>
      </c>
      <c r="C18" s="3" t="n">
        <v>12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39.3610055465167</v>
      </c>
      <c r="C19" s="3" t="n">
        <v>15</v>
      </c>
    </row>
    <row r="21" customFormat="false" ht="15" hidden="false" customHeight="false" outlineLevel="0" collapsed="false">
      <c r="A21" s="2" t="s">
        <v>166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69.9558715614054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69.9558715614054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69.9558715614054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69.9558715614054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69.9558715614054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65.7727554924796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65.7727554924796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65.7727554924796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65.7727554924796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65.7727554924796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61.5799315030833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61.9533605645016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61.9533605645016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61.9533605645016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61.9533605645016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55.7170925989768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56.9595184591516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58.3481120675821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58.4617242719083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58.4617242719083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50.9810730705031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51.9136285007888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52.9443476605782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54.0895911714553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55.2657872096534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2026-10-10T22:07:29Z</dcterms:created>
  <dc:creator>openpyxl</dc:creator>
  <dc:description/>
  <dc:language>en-NZ</dc:language>
  <cp:lastModifiedBy/>
  <dcterms:modified xsi:type="dcterms:W3CDTF">2026-10-10T22:07:29Z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