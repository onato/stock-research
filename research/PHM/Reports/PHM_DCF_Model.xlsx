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<sst xmlns="http://schemas.openxmlformats.org/spreadsheetml/2006/main" count="386" uniqueCount="173">
  <si>
    <t xml:space="preserve">Ticker</t>
  </si>
  <si>
    <t xml:space="preserve">PHM</t>
  </si>
  <si>
    <t xml:space="preserve">Company</t>
  </si>
  <si>
    <t xml:space="preserve">PulteGroup,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</si>
  <si>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</si>
  <si>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</si>
  <si>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</si>
  <si>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</si>
  <si>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2026-10-01T20:02:21Z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</si>
  <si>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</si>
  <si>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</si>
  <si>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</si>
  <si>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</si>
  <si>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</si>
  <si>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</si>
  <si>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</si>
  <si>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</si>
  <si>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</si>
  <si>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</si>
  <si>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</si>
  <si>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</si>
  <si>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2026-10-02T07:14:01Z</t>
  </si>
  <si>
    <t xml:space="preserve">Drivers file</t>
  </si>
  <si>
    <t xml:space="preserve">PHM_Drivers.json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</si>
  <si>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</si>
  <si>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</si>
  <si>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</si>
  <si>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PulteGroup is valued as a cyclical operating company on owner FCF with explicit mid-cycle normalisation rather than by extrapolating FY2024 peak earnings. The flows are unlevered (capitalized interest added back, interest income stripped) so the $485M of net debt is deducted exactly once; SBC is expensed and the count held flat; land investment is charged through a negative working-capital capture on revenue growth plus a front-loaded land-ahead-of-revenue capex line, which is what reconciles the model to PulteGroup's actual 69% ten-year cash conversion. Risk is charged once, in the scenario flows and the 25/50/25 weights, with a single 10% USD WACC and a 12x terminal cap appropriate to a sector that has never sustained a premium multiple.
key_risks_to_valuation: Mid-cycle margin judgment: each 1pp of terminal unlevered margin is worth roughly $8-9/share; the 17.5% base sits between the ~15% pre-COVID norm and the 18.5% ten-year average and could be wrong in either direction; Land cash conversion: if community-count growth keeps land spend ahead of revenue beyond FY2028, FCF stays well below NOPAT and the Y4-Y10 capex taper is too generous; Mortgage-rate path: the base assumes 6-6.5% through 2027; a move to 7%+ puts the bear path in play and a move to 5.5% the bull path; Terminal cap: 12x owner FCF is a judgment; the Gordon value at 10%/2.5% is 13.7x and the stock's own history supports 8-12x earnings; Impairments in the bear case reduce book inventory rather than cash and are not separately modelled; the bear relies on inventory liquidation generating cash, which assumes homes still clear at lower prices; Financial Services warehouse borrowings are treated as operating and excluded from debt; a secondary-market disruption would change that</t>
  </si>
  <si>
    <t xml:space="preserve">Data sources</t>
  </si>
  <si>
    <t xml:space="preserve">price: Yahoo Finance chart API at inputs.price_as_of (regular close); 52-week range 108.49-144.50
financials: SEC XBRL companyfacts (CIK 822416): FY2025 10-K filed 2026-02-04 for FY0 flows; Q2 2026 10-Q filed 2026-07-22 for notes payable, cash, shares and H1-2026 flows; PHM_Metrics.csv for the FY2008-Q2 2026 history; kpis table for buybacks, cash taxes, D&amp;A, equity-award taxes
qualitative: PHM_Analysis.json 2026-10-02 (FY2026 guidance reaffirmed at Q2 2026: 28,500-29,000 closings, 24.5-25.0% gross margin, 9.0-9.5% SG&amp;A; incentives ~10.9% of price; $2.2B buyback authorization) and the Q2 2026 earnings release (EX-99.1, 8-K 2026-07-22: 6,997 closings, ASP $544k, GM 25.0%, SG&amp;A 10.1%, orders +6%, backlog $6.8B, $373M repurchased)</t>
  </si>
  <si>
    <t xml:space="preserve">Scenario narrative: bear</t>
  </si>
  <si>
    <t xml:space="preserve">A 2027 recession with rising unemployment hits an already affordability-strained buyer. Closings fall ~9% in FY2026 (below the guided range), 12% in FY2027 and 6% in FY2028; price cuts and incentives push gross margin to 19-20%, SG&amp;A delevers to 12% on a smaller base, and owned land bought at FY2023-25 cost assumptions is impaired. The unlevered margin troughs at 9% in FY2028 and recovers only to the ~15% pre-COVID norm, with revenue still below FY2025 in FY2035. Inventory liquidation releases cash through the trough (as it did for PHM in 2008-09), which is what keeps this bear from being a solvency event: debt-to-capital is 12%, the nearest senior-note maturity is small, and the balance sheet carries $13B of inventory at cost.</t>
  </si>
  <si>
    <t xml:space="preserve">Scenario narrative: base</t>
  </si>
  <si>
    <t xml:space="preserve">The housing cycle has turned from the FY2024 peak but does not break. Mortgage rates stay 6-6.5% through 2027, incentives remain ~10-11% of price so gross margin sits at 24.5-25% (the FY2026 guide) and SG&amp;A at 9-9.5%; FY2026 revenue falls ~7.5% to ~$16.0B at the guided 28,500-29,000 closings and FY2027 drifts another 3% as ASP erodes. From FY2028 the +8% community-count growth and structural undersupply lift closings 3-5%/yr and the unlevered margin recovers to a 17.5% mid-cycle, below the 10-year average because FY2021-24 was a supply-shock regime but above the ~15% pre-COVID norm on consolidation, Del Webb mix and a leaner SG&amp;A ratio. Land investment ahead of revenue keeps FY2026-27 FCF well below earnings, as in FY2025 and H1-2026, then cash conversion normalises to ~85% of NOPAT at 3% growth. Terminal value is capped at 12x owner FCF.</t>
  </si>
  <si>
    <t xml:space="preserve">Scenario narrative: bull</t>
  </si>
  <si>
    <t xml:space="preserve">Rates ease toward 5.5% in 2027 and the affordability logjam loosens: incentives fall from ~11% to ~6% of price, gross margin recovers toward 27-28%, SG&amp;A leverages to ~8.5%, and the order growth already visible in Q2 2026 (+6% units, +5% value on +8% communities) converts to 6-7% closings growth in FY2028-29. Del Webb's less rate-sensitive 55+ buyer and the build-to-order mix shift protect margin through the transition, and scale consolidation lets the top builders take share from private builders squeezed on land and labor. Mid-cycle margin settles at 19.5%, which is still 4pp below FY2022-24; that regime is not assumed to return even here. Revenue reaches ~$23.8B by FY2035.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</si>
  <si>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</si>
  <si>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</si>
  <si>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</si>
  <si>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</si>
  <si>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</si>
  <si>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</si>
  <si>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</si>
  <si>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</si>
  <si>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</si>
  <si>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</si>
  <si>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</si>
  <si>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</si>
  <si>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</si>
  <si>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</si>
  <si>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</si>
  <si>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</si>
  <si>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</si>
  <si>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</si>
  <si>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</si>
  <si>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</si>
  <si>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</si>
  <si>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</si>
  <si>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</si>
  <si>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</si>
  <si>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</si>
  <si>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</si>
  <si>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</si>
  <si>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</si>
  <si>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</si>
  <si>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</si>
  <si>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</si>
  <si>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</si>
  <si>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</si>
  <si>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</si>
  <si>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</si>
  <si>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</si>
  <si>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</si>
  <si>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</si>
  <si>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</si>
  <si>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</si>
  <si>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</si>
  <si>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</si>
  <si>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</si>
  <si>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</si>
  <si>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</si>
  <si>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</si>
  <si>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</si>
  <si>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</si>
  <si>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</si>
  <si>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</si>
  <si>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</si>
  <si>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</si>
  <si>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</si>
  <si>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</si>
  <si>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</si>
  <si>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</si>
  <si>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</si>
  <si>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</si>
  <si>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</si>
  <si>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</si>
  <si>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</si>
  <si>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</si>
  <si>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</si>
  <si>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</si>
  <si>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</si>
  <si>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</si>
  <si>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</si>
  <si>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</si>
  <si>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</si>
  <si>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</si>
  <si>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</si>
  <si>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</si>
  <si>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</si>
  <si>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</si>
  <si>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</si>
  <si>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</si>
  <si>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</si>
  <si>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</si>
  <si>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</si>
  <si>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</si>
  <si>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</si>
  <si>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</si>
  <si>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</si>
  <si>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PHM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</si>
  <si>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</si>
  <si>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</si>
  <si>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</si>
  <si>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</si>
  <si>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</si>
  <si>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</si>
  <si>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</si>
  <si>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</si>
  <si>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</si>
  <si>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</si>
  <si>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</si>
  <si>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</si>
  <si>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</si>
  <si>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</si>
  <si>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</si>
  <si>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</si>
  <si>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</si>
  <si>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</si>
  <si>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</si>
  <si>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</si>
  <si>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</si>
  <si>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</si>
  <si>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</si>
  <si>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</si>
  <si>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</si>
  <si>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</si>
  <si>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</si>
  <si>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</si>
  <si>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</si>
  <si>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</si>
  <si>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PHM owner-FCF component DCF: base case (millions, USD)</t>
  </si>
  <si>
    <t xml:space="preserve">PHM owner-FCF component DCF: bull case (millions, USD)</t>
  </si>
  <si>
    <t xml:space="preserve">PHM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</si>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</sst>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116.35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4320.193</v>
      </c>
      <c r="S2" s="0" t="n">
        <v>1060.311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6263.054</v>
      </c>
      <c r="I3" s="0" t="n">
        <v>-1473.113</v>
      </c>
      <c r="J3" s="0" t="n">
        <v>-23.520681763242</v>
      </c>
      <c r="K3" s="0" t="n">
        <v>-5.81</v>
      </c>
      <c r="L3" s="0" t="n">
        <v>1220.392</v>
      </c>
      <c r="M3" s="0" t="n">
        <v>18.878</v>
      </c>
      <c r="N3" s="0" t="n">
        <v>1201.514</v>
      </c>
      <c r="O3" s="0" t="n">
        <v>2835.698</v>
      </c>
      <c r="S3" s="0" t="n">
        <v>1667.252</v>
      </c>
      <c r="T3" s="0" t="n">
        <v>253.512</v>
      </c>
      <c r="U3" s="0" t="n">
        <v>39.107</v>
      </c>
      <c r="V3" s="0" t="n">
        <v>0.16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4084.389</v>
      </c>
      <c r="I4" s="0" t="n">
        <v>-1182.567</v>
      </c>
      <c r="J4" s="0" t="n">
        <v>-28.953339165295</v>
      </c>
      <c r="K4" s="0" t="n">
        <v>-3.94</v>
      </c>
      <c r="L4" s="0" t="n">
        <v>729.355</v>
      </c>
      <c r="M4" s="0" t="n">
        <v>39.252</v>
      </c>
      <c r="N4" s="0" t="n">
        <v>690.103</v>
      </c>
      <c r="O4" s="0" t="n">
        <v>3194.44</v>
      </c>
      <c r="P4" s="0" t="n">
        <v>10051.222</v>
      </c>
      <c r="Q4" s="0" t="n">
        <v>6856.782</v>
      </c>
      <c r="S4" s="0" t="n">
        <v>1860.387</v>
      </c>
      <c r="T4" s="0" t="n">
        <v>380.690487</v>
      </c>
      <c r="U4" s="0" t="n">
        <v>46.343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4569.29</v>
      </c>
      <c r="I5" s="0" t="n">
        <v>-1096.729</v>
      </c>
      <c r="J5" s="0" t="n">
        <v>-24.0021753926759</v>
      </c>
      <c r="K5" s="0" t="n">
        <v>-2.9</v>
      </c>
      <c r="L5" s="0" t="n">
        <v>592.124</v>
      </c>
      <c r="M5" s="0" t="n">
        <v>15.179</v>
      </c>
      <c r="N5" s="0" t="n">
        <v>576.945</v>
      </c>
      <c r="O5" s="0" t="n">
        <v>2135.167</v>
      </c>
      <c r="P5" s="0" t="n">
        <v>7699.376</v>
      </c>
      <c r="Q5" s="0" t="n">
        <v>5564.209</v>
      </c>
      <c r="S5" s="0" t="n">
        <v>1483.39</v>
      </c>
      <c r="T5" s="0" t="n">
        <v>382.02794</v>
      </c>
      <c r="U5" s="0" t="n">
        <v>32.081</v>
      </c>
      <c r="V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4136.69</v>
      </c>
      <c r="I6" s="0" t="n">
        <v>-210.388</v>
      </c>
      <c r="J6" s="0" t="n">
        <v>-5.08590201344553</v>
      </c>
      <c r="K6" s="0" t="n">
        <v>-0.55</v>
      </c>
      <c r="L6" s="0" t="n">
        <v>17.279</v>
      </c>
      <c r="M6" s="0" t="n">
        <v>21.238</v>
      </c>
      <c r="N6" s="0" t="n">
        <v>-3.959</v>
      </c>
      <c r="O6" s="0" t="n">
        <v>1938.615</v>
      </c>
      <c r="P6" s="0" t="n">
        <v>6885.62</v>
      </c>
      <c r="Q6" s="0" t="n">
        <v>4947.005</v>
      </c>
      <c r="S6" s="0" t="n">
        <v>1083.071</v>
      </c>
      <c r="T6" s="0" t="n">
        <v>382.607543</v>
      </c>
      <c r="U6" s="0" t="n">
        <v>16.97</v>
      </c>
      <c r="V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4819.998</v>
      </c>
      <c r="I7" s="0" t="n">
        <v>206.145</v>
      </c>
      <c r="J7" s="0" t="n">
        <v>4.27686899455145</v>
      </c>
      <c r="K7" s="0" t="n">
        <v>0.54</v>
      </c>
      <c r="L7" s="0" t="n">
        <v>760.14</v>
      </c>
      <c r="M7" s="0" t="n">
        <v>13.942</v>
      </c>
      <c r="N7" s="0" t="n">
        <v>746.198</v>
      </c>
      <c r="O7" s="0" t="n">
        <v>2189.616</v>
      </c>
      <c r="P7" s="0" t="n">
        <v>6734.409</v>
      </c>
      <c r="Q7" s="0" t="n">
        <v>4544.793</v>
      </c>
      <c r="S7" s="0" t="n">
        <v>1404.76</v>
      </c>
      <c r="T7" s="0" t="n">
        <v>386.608436</v>
      </c>
      <c r="U7" s="0" t="n">
        <v>22.897</v>
      </c>
      <c r="V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5679.595</v>
      </c>
      <c r="I8" s="0" t="n">
        <v>2620.116</v>
      </c>
      <c r="J8" s="0" t="n">
        <v>46.1320921650223</v>
      </c>
      <c r="K8" s="0" t="n">
        <v>6.79</v>
      </c>
      <c r="L8" s="0" t="n">
        <v>881.136</v>
      </c>
      <c r="M8" s="0" t="n">
        <v>28.899</v>
      </c>
      <c r="N8" s="0" t="n">
        <v>852.237</v>
      </c>
      <c r="O8" s="0" t="n">
        <v>4648.952</v>
      </c>
      <c r="P8" s="0" t="n">
        <v>8734.143</v>
      </c>
      <c r="Q8" s="0" t="n">
        <v>4085.191</v>
      </c>
      <c r="S8" s="0" t="n">
        <v>1580.329</v>
      </c>
      <c r="T8" s="0" t="n">
        <v>386.866</v>
      </c>
      <c r="U8" s="0" t="n">
        <v>30.48</v>
      </c>
      <c r="V8" s="0" t="n">
        <v>0.15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5822.363</v>
      </c>
      <c r="I9" s="0" t="n">
        <v>474.338</v>
      </c>
      <c r="J9" s="0" t="n">
        <v>8.14682973218949</v>
      </c>
      <c r="K9" s="0" t="n">
        <v>1.27</v>
      </c>
      <c r="L9" s="0" t="n">
        <v>307.881</v>
      </c>
      <c r="M9" s="0" t="n">
        <v>48.79</v>
      </c>
      <c r="N9" s="0" t="n">
        <v>259.091</v>
      </c>
      <c r="O9" s="0" t="n">
        <v>4804.954</v>
      </c>
      <c r="P9" s="0" t="n">
        <v>8560.187</v>
      </c>
      <c r="Q9" s="0" t="n">
        <v>3764.456</v>
      </c>
      <c r="S9" s="0" t="n">
        <v>1292.862</v>
      </c>
      <c r="T9" s="0" t="n">
        <v>374.102</v>
      </c>
      <c r="U9" s="0" t="n">
        <v>29.292</v>
      </c>
      <c r="V9" s="0" t="n">
        <v>0.23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5981.964</v>
      </c>
      <c r="I10" s="0" t="n">
        <v>494.09</v>
      </c>
      <c r="J10" s="0" t="n">
        <v>8.2596618769354</v>
      </c>
      <c r="K10" s="0" t="n">
        <v>1.38</v>
      </c>
      <c r="L10" s="0" t="n">
        <v>-337.59</v>
      </c>
      <c r="M10" s="0" t="n">
        <v>45.44</v>
      </c>
      <c r="N10" s="0" t="n">
        <v>-383.03</v>
      </c>
      <c r="O10" s="0" t="n">
        <v>4759.325</v>
      </c>
      <c r="P10" s="0" t="n">
        <v>9189.406</v>
      </c>
      <c r="Q10" s="0" t="n">
        <v>4430.081</v>
      </c>
      <c r="S10" s="0" t="n">
        <v>754.161</v>
      </c>
      <c r="T10" s="0" t="n">
        <v>359.793</v>
      </c>
      <c r="U10" s="0" t="n">
        <v>24.752</v>
      </c>
      <c r="V10" s="0" t="n">
        <v>0.33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7676.53</v>
      </c>
      <c r="I11" s="0" t="n">
        <v>602.703</v>
      </c>
      <c r="J11" s="0" t="n">
        <v>7.85124268386888</v>
      </c>
      <c r="K11" s="0" t="n">
        <v>1.76</v>
      </c>
      <c r="L11" s="0" t="n">
        <v>68.27</v>
      </c>
      <c r="M11" s="0" t="n">
        <v>39.295</v>
      </c>
      <c r="N11" s="0" t="n">
        <v>28.975</v>
      </c>
      <c r="O11" s="0" t="n">
        <v>4659.363</v>
      </c>
      <c r="P11" s="0" t="n">
        <v>10178.2</v>
      </c>
      <c r="Q11" s="0" t="n">
        <v>5518.837</v>
      </c>
      <c r="S11" s="0" t="n">
        <v>698.882</v>
      </c>
      <c r="T11" s="0" t="n">
        <v>342.123</v>
      </c>
      <c r="U11" s="0" t="n">
        <v>22.228</v>
      </c>
      <c r="V11" s="0" t="n">
        <v>0.36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8577.686</v>
      </c>
      <c r="I12" s="0" t="n">
        <v>447.221</v>
      </c>
      <c r="J12" s="0" t="n">
        <v>5.21377210590362</v>
      </c>
      <c r="K12" s="0" t="n">
        <v>1.45</v>
      </c>
      <c r="L12" s="0" t="n">
        <v>663.08</v>
      </c>
      <c r="M12" s="0" t="n">
        <v>32.051</v>
      </c>
      <c r="N12" s="0" t="n">
        <v>631.029</v>
      </c>
      <c r="O12" s="0" t="n">
        <v>4154.026</v>
      </c>
      <c r="P12" s="0" t="n">
        <v>9686.649</v>
      </c>
      <c r="Q12" s="0" t="n">
        <v>5532.623</v>
      </c>
      <c r="S12" s="0" t="n">
        <v>272.683</v>
      </c>
      <c r="T12" s="0" t="n">
        <v>306.814</v>
      </c>
      <c r="U12" s="0" t="n">
        <v>33.683</v>
      </c>
      <c r="V12" s="0" t="n">
        <v>0.36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10188.331</v>
      </c>
      <c r="I13" s="0" t="n">
        <v>1022.023</v>
      </c>
      <c r="J13" s="0" t="n">
        <v>10.0313093479197</v>
      </c>
      <c r="K13" s="0" t="n">
        <v>3.56</v>
      </c>
      <c r="L13" s="0" t="n">
        <v>1448.28</v>
      </c>
      <c r="M13" s="0" t="n">
        <v>59.039</v>
      </c>
      <c r="N13" s="0" t="n">
        <v>1389.241</v>
      </c>
      <c r="O13" s="0" t="n">
        <v>4817.782</v>
      </c>
      <c r="P13" s="0" t="n">
        <v>10172.976</v>
      </c>
      <c r="Q13" s="0" t="n">
        <v>5355.194</v>
      </c>
      <c r="S13" s="0" t="n">
        <v>1110.088</v>
      </c>
      <c r="T13" s="0" t="n">
        <v>284.865</v>
      </c>
      <c r="U13" s="0" t="n">
        <v>28.29</v>
      </c>
      <c r="V13" s="0" t="n">
        <v>0.38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10212.957</v>
      </c>
      <c r="I14" s="0" t="n">
        <v>1016.7</v>
      </c>
      <c r="J14" s="0" t="n">
        <v>9.95500127925732</v>
      </c>
      <c r="K14" s="0" t="n">
        <v>3.67</v>
      </c>
      <c r="L14" s="0" t="n">
        <v>1076.002</v>
      </c>
      <c r="M14" s="0" t="n">
        <v>58.119</v>
      </c>
      <c r="N14" s="0" t="n">
        <v>1017.883</v>
      </c>
      <c r="O14" s="0" t="n">
        <v>5458.18</v>
      </c>
      <c r="P14" s="0" t="n">
        <v>10715.597</v>
      </c>
      <c r="Q14" s="0" t="n">
        <v>5257.417</v>
      </c>
      <c r="S14" s="0" t="n">
        <v>1217.913</v>
      </c>
      <c r="T14" s="0" t="n">
        <v>275.297</v>
      </c>
      <c r="U14" s="0" t="n">
        <v>28.368</v>
      </c>
      <c r="V14" s="0" t="n">
        <v>0.45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11036.082</v>
      </c>
      <c r="I15" s="0" t="n">
        <v>1406.839</v>
      </c>
      <c r="J15" s="0" t="n">
        <v>12.7476309074181</v>
      </c>
      <c r="K15" s="0" t="n">
        <v>5.19</v>
      </c>
      <c r="L15" s="0" t="n">
        <v>1784.342</v>
      </c>
      <c r="M15" s="0" t="n">
        <v>58.354</v>
      </c>
      <c r="N15" s="0" t="n">
        <v>1725.988</v>
      </c>
      <c r="O15" s="0" t="n">
        <v>6569.989</v>
      </c>
      <c r="P15" s="0" t="n">
        <v>12205.498</v>
      </c>
      <c r="Q15" s="0" t="n">
        <v>5635.509</v>
      </c>
      <c r="S15" s="0" t="n">
        <v>2582.205</v>
      </c>
      <c r="T15" s="0" t="n">
        <v>269.414</v>
      </c>
      <c r="U15" s="0" t="n">
        <v>32.843</v>
      </c>
      <c r="V15" s="0" t="n">
        <v>0.5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13736.995</v>
      </c>
      <c r="I16" s="0" t="n">
        <v>1946.32</v>
      </c>
      <c r="J16" s="0" t="n">
        <v>14.1684553281122</v>
      </c>
      <c r="K16" s="0" t="n">
        <v>7.44</v>
      </c>
      <c r="L16" s="0" t="n">
        <v>1004.021</v>
      </c>
      <c r="M16" s="0" t="n">
        <v>72.781</v>
      </c>
      <c r="N16" s="0" t="n">
        <v>931.24</v>
      </c>
      <c r="O16" s="0" t="n">
        <v>7489.515</v>
      </c>
      <c r="P16" s="0" t="n">
        <v>13352.631</v>
      </c>
      <c r="Q16" s="0" t="n">
        <v>5863.116</v>
      </c>
      <c r="R16" s="0" t="n">
        <v>63.9</v>
      </c>
      <c r="S16" s="0" t="n">
        <v>1779.088</v>
      </c>
      <c r="T16" s="0" t="n">
        <v>259.928</v>
      </c>
      <c r="U16" s="0" t="n">
        <v>36.745</v>
      </c>
      <c r="V16" s="0" t="n">
        <v>0.57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16002.979</v>
      </c>
      <c r="I17" s="0" t="n">
        <v>2617.317</v>
      </c>
      <c r="J17" s="0" t="n">
        <v>16.3551861187845</v>
      </c>
      <c r="K17" s="0" t="n">
        <v>11.07</v>
      </c>
      <c r="L17" s="0" t="n">
        <v>668.466</v>
      </c>
      <c r="M17" s="0" t="n">
        <v>112.661</v>
      </c>
      <c r="N17" s="0" t="n">
        <v>555.805</v>
      </c>
      <c r="O17" s="0" t="n">
        <v>8914.098</v>
      </c>
      <c r="P17" s="0" t="n">
        <v>14796.515</v>
      </c>
      <c r="Q17" s="0" t="n">
        <v>5882.417</v>
      </c>
      <c r="R17" s="0" t="n">
        <v>77.3</v>
      </c>
      <c r="S17" s="0" t="n">
        <v>1053.104</v>
      </c>
      <c r="T17" s="0" t="n">
        <v>236.166</v>
      </c>
      <c r="U17" s="0" t="n">
        <v>42.989</v>
      </c>
      <c r="V17" s="0" t="n">
        <v>0.61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16061.578</v>
      </c>
      <c r="I18" s="0" t="n">
        <v>2602.372</v>
      </c>
      <c r="J18" s="0" t="n">
        <v>16.20246777745</v>
      </c>
      <c r="K18" s="0" t="n">
        <v>11.79</v>
      </c>
      <c r="L18" s="0" t="n">
        <v>2196.762</v>
      </c>
      <c r="M18" s="0" t="n">
        <v>92.201</v>
      </c>
      <c r="N18" s="0" t="n">
        <v>2104.561</v>
      </c>
      <c r="O18" s="0" t="n">
        <v>10383.257</v>
      </c>
      <c r="P18" s="0" t="n">
        <v>16087.05</v>
      </c>
      <c r="Q18" s="0" t="n">
        <v>5703.793</v>
      </c>
      <c r="R18" s="0" t="n">
        <v>73.5</v>
      </c>
      <c r="S18" s="0" t="n">
        <v>1806.583</v>
      </c>
      <c r="T18" s="0" t="n">
        <v>221.163</v>
      </c>
      <c r="U18" s="0" t="n">
        <v>48.2</v>
      </c>
      <c r="V18" s="0" t="n">
        <v>0.68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17946.95</v>
      </c>
      <c r="I19" s="0" t="n">
        <v>3083.262</v>
      </c>
      <c r="J19" s="0" t="n">
        <v>17.1798662168224</v>
      </c>
      <c r="K19" s="0" t="n">
        <v>14.82</v>
      </c>
      <c r="L19" s="0" t="n">
        <v>1680.794</v>
      </c>
      <c r="M19" s="0" t="n">
        <v>118.545</v>
      </c>
      <c r="N19" s="0" t="n">
        <v>1562.249</v>
      </c>
      <c r="O19" s="0" t="n">
        <v>12121.964</v>
      </c>
      <c r="P19" s="0" t="n">
        <v>17363.763</v>
      </c>
      <c r="Q19" s="0" t="n">
        <v>5241.799</v>
      </c>
      <c r="R19" s="0" t="n">
        <v>31.1</v>
      </c>
      <c r="S19" s="0" t="n">
        <v>1613.327</v>
      </c>
      <c r="T19" s="0" t="n">
        <v>209.829</v>
      </c>
      <c r="U19" s="0" t="n">
        <v>54.69</v>
      </c>
      <c r="V19" s="0" t="n">
        <v>0.82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17311.953</v>
      </c>
      <c r="I20" s="0" t="n">
        <v>2218.73</v>
      </c>
      <c r="J20" s="0" t="n">
        <v>12.8161738886421</v>
      </c>
      <c r="K20" s="0" t="n">
        <v>11.21</v>
      </c>
      <c r="L20" s="0" t="n">
        <v>1871.249</v>
      </c>
      <c r="M20" s="0" t="n">
        <v>122.716</v>
      </c>
      <c r="N20" s="0" t="n">
        <v>1748.533</v>
      </c>
      <c r="O20" s="0" t="n">
        <v>12985.442</v>
      </c>
      <c r="P20" s="0" t="n">
        <v>18048.423</v>
      </c>
      <c r="Q20" s="0" t="n">
        <v>5062.981</v>
      </c>
      <c r="R20" s="0" t="n">
        <v>43.9</v>
      </c>
      <c r="S20" s="0" t="n">
        <v>1980.869</v>
      </c>
      <c r="T20" s="0" t="n">
        <v>199.537</v>
      </c>
      <c r="U20" s="0" t="n">
        <v>54.823</v>
      </c>
      <c r="V20" s="0" t="n">
        <v>0.92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116.35</v>
      </c>
    </row>
    <row r="3" customFormat="false" ht="15" hidden="false" customHeight="false" outlineLevel="0" collapsed="false">
      <c r="A3" s="0" t="s">
        <v>85</v>
      </c>
      <c r="B3" s="3" t="n">
        <v>188.6</v>
      </c>
    </row>
    <row r="4" customFormat="false" ht="15" hidden="false" customHeight="false" outlineLevel="0" collapsed="false">
      <c r="A4" s="0" t="s">
        <v>86</v>
      </c>
      <c r="B4" s="3" t="n">
        <v>484.6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17312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-9</v>
      </c>
      <c r="D13" s="3" t="n">
        <v>-12</v>
      </c>
      <c r="E13" s="3" t="n">
        <v>-6</v>
      </c>
      <c r="F13" s="3" t="n">
        <v>2</v>
      </c>
      <c r="G13" s="3" t="n">
        <v>4</v>
      </c>
      <c r="H13" s="3" t="n">
        <v>4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15.5</v>
      </c>
      <c r="D14" s="3" t="n">
        <v>11</v>
      </c>
      <c r="E14" s="3" t="n">
        <v>9</v>
      </c>
      <c r="F14" s="3" t="n">
        <v>10.5</v>
      </c>
      <c r="G14" s="3" t="n">
        <v>12.5</v>
      </c>
      <c r="H14" s="3" t="n">
        <v>14</v>
      </c>
      <c r="I14" s="3" t="n">
        <v>14.5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107</v>
      </c>
      <c r="C15" s="3" t="n">
        <v>0.46</v>
      </c>
      <c r="D15" s="3" t="n">
        <v>0.46</v>
      </c>
      <c r="E15" s="3" t="n">
        <v>0.46</v>
      </c>
      <c r="F15" s="3" t="n">
        <v>0.46</v>
      </c>
      <c r="G15" s="3" t="n">
        <v>0.46</v>
      </c>
      <c r="H15" s="3" t="n">
        <v>0.46</v>
      </c>
      <c r="I15" s="3" t="n">
        <v>0.46</v>
      </c>
      <c r="J15" s="3" t="n">
        <v>0.46</v>
      </c>
      <c r="K15" s="3" t="n">
        <v>0.46</v>
      </c>
      <c r="L15" s="3" t="n">
        <v>0.46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0.65</v>
      </c>
      <c r="D17" s="3" t="n">
        <v>0.65</v>
      </c>
      <c r="E17" s="3" t="n">
        <v>0.65</v>
      </c>
      <c r="F17" s="3" t="n">
        <v>0.65</v>
      </c>
      <c r="G17" s="3" t="n">
        <v>0.65</v>
      </c>
      <c r="H17" s="3" t="n">
        <v>0.65</v>
      </c>
      <c r="I17" s="3" t="n">
        <v>0.65</v>
      </c>
      <c r="J17" s="3" t="n">
        <v>0.65</v>
      </c>
      <c r="K17" s="3" t="n">
        <v>0.65</v>
      </c>
      <c r="L17" s="3" t="n">
        <v>0.65</v>
      </c>
    </row>
    <row r="18" customFormat="false" ht="15" hidden="false" customHeight="false" outlineLevel="0" collapsed="false">
      <c r="A18" s="0" t="s">
        <v>110</v>
      </c>
      <c r="C18" s="3" t="n">
        <v>7</v>
      </c>
      <c r="D18" s="3" t="n">
        <v>2</v>
      </c>
      <c r="E18" s="3" t="n">
        <v>0.7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111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10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-40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-7.5</v>
      </c>
      <c r="D27" s="3" t="n">
        <v>-3</v>
      </c>
      <c r="E27" s="3" t="n">
        <v>3</v>
      </c>
      <c r="F27" s="3" t="n">
        <v>5</v>
      </c>
      <c r="G27" s="3" t="n">
        <v>5</v>
      </c>
      <c r="H27" s="3" t="n">
        <v>4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16.3</v>
      </c>
      <c r="D28" s="3" t="n">
        <v>15.8</v>
      </c>
      <c r="E28" s="3" t="n">
        <v>16.3</v>
      </c>
      <c r="F28" s="3" t="n">
        <v>16.8</v>
      </c>
      <c r="G28" s="3" t="n">
        <v>17.2</v>
      </c>
      <c r="H28" s="3" t="n">
        <v>17.5</v>
      </c>
      <c r="I28" s="3" t="n">
        <v>17.5</v>
      </c>
      <c r="J28" s="3" t="n">
        <v>17.5</v>
      </c>
      <c r="K28" s="3" t="n">
        <v>17.5</v>
      </c>
      <c r="L28" s="3" t="n">
        <v>17.5</v>
      </c>
    </row>
    <row r="29" customFormat="false" ht="15" hidden="false" customHeight="false" outlineLevel="0" collapsed="false">
      <c r="A29" s="0" t="s">
        <v>107</v>
      </c>
      <c r="C29" s="3" t="n">
        <v>0.46</v>
      </c>
      <c r="D29" s="3" t="n">
        <v>0.46</v>
      </c>
      <c r="E29" s="3" t="n">
        <v>0.46</v>
      </c>
      <c r="F29" s="3" t="n">
        <v>0.46</v>
      </c>
      <c r="G29" s="3" t="n">
        <v>0.46</v>
      </c>
      <c r="H29" s="3" t="n">
        <v>0.46</v>
      </c>
      <c r="I29" s="3" t="n">
        <v>0.46</v>
      </c>
      <c r="J29" s="3" t="n">
        <v>0.46</v>
      </c>
      <c r="K29" s="3" t="n">
        <v>0.46</v>
      </c>
      <c r="L29" s="3" t="n">
        <v>0.46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0.65</v>
      </c>
      <c r="D31" s="3" t="n">
        <v>0.65</v>
      </c>
      <c r="E31" s="3" t="n">
        <v>0.65</v>
      </c>
      <c r="F31" s="3" t="n">
        <v>0.65</v>
      </c>
      <c r="G31" s="3" t="n">
        <v>0.65</v>
      </c>
      <c r="H31" s="3" t="n">
        <v>0.65</v>
      </c>
      <c r="I31" s="3" t="n">
        <v>0.65</v>
      </c>
      <c r="J31" s="3" t="n">
        <v>0.65</v>
      </c>
      <c r="K31" s="3" t="n">
        <v>0.65</v>
      </c>
      <c r="L31" s="3" t="n">
        <v>0.65</v>
      </c>
    </row>
    <row r="32" customFormat="false" ht="15" hidden="false" customHeight="false" outlineLevel="0" collapsed="false">
      <c r="A32" s="0" t="s">
        <v>110</v>
      </c>
      <c r="C32" s="3" t="n">
        <v>8</v>
      </c>
      <c r="D32" s="3" t="n">
        <v>4.5</v>
      </c>
      <c r="E32" s="3" t="n">
        <v>2</v>
      </c>
      <c r="F32" s="3" t="n">
        <v>0.7</v>
      </c>
      <c r="G32" s="3" t="n">
        <v>0.7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0.7</v>
      </c>
    </row>
    <row r="33" customFormat="false" ht="15" hidden="false" customHeight="false" outlineLevel="0" collapsed="false">
      <c r="A33" s="0" t="s">
        <v>111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112</v>
      </c>
      <c r="B34" s="3" t="n">
        <v>10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12</v>
      </c>
    </row>
    <row r="37" customFormat="false" ht="15" hidden="false" customHeight="false" outlineLevel="0" collapsed="false">
      <c r="A37" s="0" t="s">
        <v>115</v>
      </c>
      <c r="B37" s="3" t="n">
        <v>-55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-7</v>
      </c>
      <c r="D41" s="3" t="n">
        <v>2</v>
      </c>
      <c r="E41" s="3" t="n">
        <v>6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106</v>
      </c>
      <c r="C42" s="3" t="n">
        <v>16.6</v>
      </c>
      <c r="D42" s="3" t="n">
        <v>16.8</v>
      </c>
      <c r="E42" s="3" t="n">
        <v>17.6</v>
      </c>
      <c r="F42" s="3" t="n">
        <v>18.4</v>
      </c>
      <c r="G42" s="3" t="n">
        <v>19</v>
      </c>
      <c r="H42" s="3" t="n">
        <v>19.5</v>
      </c>
      <c r="I42" s="3" t="n">
        <v>19.5</v>
      </c>
      <c r="J42" s="3" t="n">
        <v>19.5</v>
      </c>
      <c r="K42" s="3" t="n">
        <v>19.5</v>
      </c>
      <c r="L42" s="3" t="n">
        <v>19.5</v>
      </c>
    </row>
    <row r="43" customFormat="false" ht="15" hidden="false" customHeight="false" outlineLevel="0" collapsed="false">
      <c r="A43" s="0" t="s">
        <v>107</v>
      </c>
      <c r="C43" s="3" t="n">
        <v>0.46</v>
      </c>
      <c r="D43" s="3" t="n">
        <v>0.46</v>
      </c>
      <c r="E43" s="3" t="n">
        <v>0.46</v>
      </c>
      <c r="F43" s="3" t="n">
        <v>0.46</v>
      </c>
      <c r="G43" s="3" t="n">
        <v>0.46</v>
      </c>
      <c r="H43" s="3" t="n">
        <v>0.46</v>
      </c>
      <c r="I43" s="3" t="n">
        <v>0.46</v>
      </c>
      <c r="J43" s="3" t="n">
        <v>0.46</v>
      </c>
      <c r="K43" s="3" t="n">
        <v>0.46</v>
      </c>
      <c r="L43" s="3" t="n">
        <v>0.46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0.65</v>
      </c>
      <c r="D45" s="3" t="n">
        <v>0.65</v>
      </c>
      <c r="E45" s="3" t="n">
        <v>0.65</v>
      </c>
      <c r="F45" s="3" t="n">
        <v>0.65</v>
      </c>
      <c r="G45" s="3" t="n">
        <v>0.65</v>
      </c>
      <c r="H45" s="3" t="n">
        <v>0.65</v>
      </c>
      <c r="I45" s="3" t="n">
        <v>0.65</v>
      </c>
      <c r="J45" s="3" t="n">
        <v>0.65</v>
      </c>
      <c r="K45" s="3" t="n">
        <v>0.65</v>
      </c>
      <c r="L45" s="3" t="n">
        <v>0.65</v>
      </c>
    </row>
    <row r="46" customFormat="false" ht="15" hidden="false" customHeight="false" outlineLevel="0" collapsed="false">
      <c r="A46" s="0" t="s">
        <v>110</v>
      </c>
      <c r="C46" s="3" t="n">
        <v>7.5</v>
      </c>
      <c r="D46" s="3" t="n">
        <v>4</v>
      </c>
      <c r="E46" s="3" t="n">
        <v>2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111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112</v>
      </c>
      <c r="B48" s="3" t="n">
        <v>10</v>
      </c>
    </row>
    <row r="49" customFormat="false" ht="15" hidden="false" customHeight="false" outlineLevel="0" collapsed="false">
      <c r="A49" s="0" t="s">
        <v>113</v>
      </c>
      <c r="B49" s="3" t="n">
        <v>2.5</v>
      </c>
    </row>
    <row r="50" customFormat="false" ht="15" hidden="false" customHeight="false" outlineLevel="0" collapsed="false">
      <c r="A50" s="0" t="s">
        <v>114</v>
      </c>
      <c r="B50" s="3" t="n">
        <v>12</v>
      </c>
    </row>
    <row r="51" customFormat="false" ht="15" hidden="false" customHeight="false" outlineLevel="0" collapsed="false">
      <c r="A51" s="0" t="s">
        <v>115</v>
      </c>
      <c r="B51" s="3" t="n">
        <v>-55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-9</v>
      </c>
      <c r="D5" s="4" t="n">
        <f aca="false">Assumptions!D13</f>
        <v>-12</v>
      </c>
      <c r="E5" s="4" t="n">
        <f aca="false">Assumptions!E13</f>
        <v>-6</v>
      </c>
      <c r="F5" s="4" t="n">
        <f aca="false">Assumptions!F13</f>
        <v>2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17312</v>
      </c>
      <c r="C6" s="0" t="n">
        <f aca="false">B6*(1+C5/100)</f>
        <v>15753.92</v>
      </c>
      <c r="D6" s="0" t="n">
        <f aca="false">C6*(1+D5/100)</f>
        <v>13863.4496</v>
      </c>
      <c r="E6" s="0" t="n">
        <f aca="false">D6*(1+E5/100)</f>
        <v>13031.642624</v>
      </c>
      <c r="F6" s="0" t="n">
        <f aca="false">E6*(1+F5/100)</f>
        <v>13292.27547648</v>
      </c>
      <c r="G6" s="0" t="n">
        <f aca="false">F6*(1+G5/100)</f>
        <v>13823.9664955392</v>
      </c>
      <c r="H6" s="0" t="n">
        <f aca="false">G6*(1+H5/100)</f>
        <v>14376.9251553608</v>
      </c>
      <c r="I6" s="0" t="n">
        <f aca="false">H6*(1+I5/100)</f>
        <v>14808.2329100216</v>
      </c>
      <c r="J6" s="0" t="n">
        <f aca="false">I6*(1+J5/100)</f>
        <v>15252.4798973222</v>
      </c>
      <c r="K6" s="0" t="n">
        <f aca="false">J6*(1+K5/100)</f>
        <v>15633.7918947553</v>
      </c>
      <c r="L6" s="0" t="n">
        <f aca="false">K6*(1+L5/100)</f>
        <v>16024.6366921242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15.5</v>
      </c>
      <c r="D7" s="4" t="n">
        <f aca="false">Assumptions!D14</f>
        <v>11</v>
      </c>
      <c r="E7" s="4" t="n">
        <f aca="false">Assumptions!E14</f>
        <v>9</v>
      </c>
      <c r="F7" s="4" t="n">
        <f aca="false">Assumptions!F14</f>
        <v>10.5</v>
      </c>
      <c r="G7" s="4" t="n">
        <f aca="false">Assumptions!G14</f>
        <v>12.5</v>
      </c>
      <c r="H7" s="4" t="n">
        <f aca="false">Assumptions!H14</f>
        <v>14</v>
      </c>
      <c r="I7" s="4" t="n">
        <f aca="false">Assumptions!I14</f>
        <v>14.5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2441.8576</v>
      </c>
      <c r="D8" s="0" t="n">
        <f aca="false">D6*D7/100</f>
        <v>1524.979456</v>
      </c>
      <c r="E8" s="0" t="n">
        <f aca="false">E6*E7/100</f>
        <v>1172.84783616</v>
      </c>
      <c r="F8" s="0" t="n">
        <f aca="false">F6*F7/100</f>
        <v>1395.6889250304</v>
      </c>
      <c r="G8" s="0" t="n">
        <f aca="false">G6*G7/100</f>
        <v>1727.9958119424</v>
      </c>
      <c r="H8" s="0" t="n">
        <f aca="false">H6*H7/100</f>
        <v>2012.76952175051</v>
      </c>
      <c r="I8" s="0" t="n">
        <f aca="false">I6*I7/100</f>
        <v>2147.19377195313</v>
      </c>
      <c r="J8" s="0" t="n">
        <f aca="false">J6*J7/100</f>
        <v>2287.87198459834</v>
      </c>
      <c r="K8" s="0" t="n">
        <f aca="false">K6*K7/100</f>
        <v>2345.06878421329</v>
      </c>
      <c r="L8" s="0" t="n">
        <f aca="false">L6*L7/100</f>
        <v>2403.69550381863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0.46</v>
      </c>
      <c r="D9" s="4" t="n">
        <f aca="false">Assumptions!D15</f>
        <v>0.46</v>
      </c>
      <c r="E9" s="4" t="n">
        <f aca="false">Assumptions!E15</f>
        <v>0.46</v>
      </c>
      <c r="F9" s="4" t="n">
        <f aca="false">Assumptions!F15</f>
        <v>0.46</v>
      </c>
      <c r="G9" s="4" t="n">
        <f aca="false">Assumptions!G15</f>
        <v>0.46</v>
      </c>
      <c r="H9" s="4" t="n">
        <f aca="false">Assumptions!H15</f>
        <v>0.46</v>
      </c>
      <c r="I9" s="4" t="n">
        <f aca="false">Assumptions!I15</f>
        <v>0.46</v>
      </c>
      <c r="J9" s="4" t="n">
        <f aca="false">Assumptions!J15</f>
        <v>0.46</v>
      </c>
      <c r="K9" s="4" t="n">
        <f aca="false">Assumptions!K15</f>
        <v>0.46</v>
      </c>
      <c r="L9" s="4" t="n">
        <f aca="false">Assumptions!L15</f>
        <v>0.46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-72.468032</v>
      </c>
      <c r="D10" s="0" t="n">
        <f aca="false">-D6*D9/100</f>
        <v>-63.77186816</v>
      </c>
      <c r="E10" s="0" t="n">
        <f aca="false">-E6*E9/100</f>
        <v>-59.9455560704</v>
      </c>
      <c r="F10" s="0" t="n">
        <f aca="false">-F6*F9/100</f>
        <v>-61.144467191808</v>
      </c>
      <c r="G10" s="0" t="n">
        <f aca="false">-G6*G9/100</f>
        <v>-63.5902458794803</v>
      </c>
      <c r="H10" s="0" t="n">
        <f aca="false">-H6*H9/100</f>
        <v>-66.1338557146596</v>
      </c>
      <c r="I10" s="0" t="n">
        <f aca="false">-I6*I9/100</f>
        <v>-68.1178713860993</v>
      </c>
      <c r="J10" s="0" t="n">
        <f aca="false">-J6*J9/100</f>
        <v>-70.1614075276823</v>
      </c>
      <c r="K10" s="0" t="n">
        <f aca="false">-K6*K9/100</f>
        <v>-71.9154427158744</v>
      </c>
      <c r="L10" s="0" t="n">
        <f aca="false">-L6*L9/100</f>
        <v>-73.7133287837712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2369.389568</v>
      </c>
      <c r="D11" s="0" t="n">
        <f aca="false">D8+D10+D24</f>
        <v>1461.20758784</v>
      </c>
      <c r="E11" s="0" t="n">
        <f aca="false">E8+E10+E24</f>
        <v>1112.9022800896</v>
      </c>
      <c r="F11" s="0" t="n">
        <f aca="false">F8+F10+F24</f>
        <v>1334.54445783859</v>
      </c>
      <c r="G11" s="0" t="n">
        <f aca="false">G8+G10+G24</f>
        <v>1664.40556606292</v>
      </c>
      <c r="H11" s="0" t="n">
        <f aca="false">H8+H10+H24</f>
        <v>1946.63566603585</v>
      </c>
      <c r="I11" s="0" t="n">
        <f aca="false">I8+I10+I24</f>
        <v>2079.07590056703</v>
      </c>
      <c r="J11" s="0" t="n">
        <f aca="false">J8+J10+J24</f>
        <v>2217.71057707065</v>
      </c>
      <c r="K11" s="0" t="n">
        <f aca="false">K8+K10+K24</f>
        <v>2273.15334149742</v>
      </c>
      <c r="L11" s="0" t="n">
        <f aca="false">L8+L10+L24</f>
        <v>2329.98217503486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-102.40048</v>
      </c>
      <c r="D12" s="4" t="n">
        <f aca="false">-D6*Assumptions!D17/100</f>
        <v>-90.1124224</v>
      </c>
      <c r="E12" s="4" t="n">
        <f aca="false">-E6*Assumptions!E17/100</f>
        <v>-84.705677056</v>
      </c>
      <c r="F12" s="4" t="n">
        <f aca="false">-F6*Assumptions!F17/100</f>
        <v>-86.39979059712</v>
      </c>
      <c r="G12" s="4" t="n">
        <f aca="false">-G6*Assumptions!G17/100</f>
        <v>-89.8557822210048</v>
      </c>
      <c r="H12" s="4" t="n">
        <f aca="false">-H6*Assumptions!H17/100</f>
        <v>-93.450013509845</v>
      </c>
      <c r="I12" s="4" t="n">
        <f aca="false">-I6*Assumptions!I17/100</f>
        <v>-96.2535139151404</v>
      </c>
      <c r="J12" s="4" t="n">
        <f aca="false">-J6*Assumptions!J17/100</f>
        <v>-99.1411193325946</v>
      </c>
      <c r="K12" s="4" t="n">
        <f aca="false">-K6*Assumptions!K17/100</f>
        <v>-101.619647315909</v>
      </c>
      <c r="L12" s="4" t="n">
        <f aca="false">-L6*Assumptions!L17/100</f>
        <v>-104.160138498807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2266.989088</v>
      </c>
      <c r="D13" s="0" t="n">
        <f aca="false">D11+D12</f>
        <v>1371.09516544</v>
      </c>
      <c r="E13" s="0" t="n">
        <f aca="false">E11+E12</f>
        <v>1028.1966030336</v>
      </c>
      <c r="F13" s="0" t="n">
        <f aca="false">F11+F12</f>
        <v>1248.14466724147</v>
      </c>
      <c r="G13" s="0" t="n">
        <f aca="false">G11+G12</f>
        <v>1574.54978384192</v>
      </c>
      <c r="H13" s="0" t="n">
        <f aca="false">H11+H12</f>
        <v>1853.185652526</v>
      </c>
      <c r="I13" s="0" t="n">
        <f aca="false">I11+I12</f>
        <v>1982.82238665189</v>
      </c>
      <c r="J13" s="0" t="n">
        <f aca="false">J11+J12</f>
        <v>2118.56945773806</v>
      </c>
      <c r="K13" s="0" t="n">
        <f aca="false">K11+K12</f>
        <v>2171.53369418151</v>
      </c>
      <c r="L13" s="0" t="n">
        <f aca="false">L11+L12</f>
        <v>2225.82203653605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1722.91170688</v>
      </c>
      <c r="D15" s="0" t="n">
        <f aca="false">D13-MAX(0,D13)*D14/100</f>
        <v>1042.0323257344</v>
      </c>
      <c r="E15" s="0" t="n">
        <f aca="false">E13-MAX(0,E13)*E14/100</f>
        <v>781.429418305536</v>
      </c>
      <c r="F15" s="0" t="n">
        <f aca="false">F13-MAX(0,F13)*F14/100</f>
        <v>948.589947103519</v>
      </c>
      <c r="G15" s="0" t="n">
        <f aca="false">G13-MAX(0,G13)*G14/100</f>
        <v>1196.65783571986</v>
      </c>
      <c r="H15" s="0" t="n">
        <f aca="false">H13-MAX(0,H13)*H14/100</f>
        <v>1408.42109591976</v>
      </c>
      <c r="I15" s="0" t="n">
        <f aca="false">I13-MAX(0,I13)*I14/100</f>
        <v>1506.94501385544</v>
      </c>
      <c r="J15" s="0" t="n">
        <f aca="false">J13-MAX(0,J13)*J14/100</f>
        <v>1610.11278788093</v>
      </c>
      <c r="K15" s="0" t="n">
        <f aca="false">K13-MAX(0,K13)*K14/100</f>
        <v>1650.36560757795</v>
      </c>
      <c r="L15" s="0" t="n">
        <f aca="false">L13-MAX(0,L13)*L14/100</f>
        <v>1691.6247477674</v>
      </c>
    </row>
    <row r="16" customFormat="false" ht="15" hidden="false" customHeight="false" outlineLevel="0" collapsed="false">
      <c r="A16" s="0" t="s">
        <v>127</v>
      </c>
      <c r="C16" s="0" t="n">
        <f aca="false">-C12</f>
        <v>102.40048</v>
      </c>
      <c r="D16" s="0" t="n">
        <f aca="false">-D12</f>
        <v>90.1124224</v>
      </c>
      <c r="E16" s="0" t="n">
        <f aca="false">-E12</f>
        <v>84.705677056</v>
      </c>
      <c r="F16" s="0" t="n">
        <f aca="false">-F12</f>
        <v>86.39979059712</v>
      </c>
      <c r="G16" s="0" t="n">
        <f aca="false">-G12</f>
        <v>89.8557822210048</v>
      </c>
      <c r="H16" s="0" t="n">
        <f aca="false">-H12</f>
        <v>93.450013509845</v>
      </c>
      <c r="I16" s="0" t="n">
        <f aca="false">-I12</f>
        <v>96.2535139151404</v>
      </c>
      <c r="J16" s="0" t="n">
        <f aca="false">-J12</f>
        <v>99.1411193325946</v>
      </c>
      <c r="K16" s="0" t="n">
        <f aca="false">-K12</f>
        <v>101.619647315909</v>
      </c>
      <c r="L16" s="0" t="n">
        <f aca="false">-L12</f>
        <v>104.160138498807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-1102.7744</v>
      </c>
      <c r="D17" s="4" t="n">
        <f aca="false">-D6*Assumptions!D18/100</f>
        <v>-277.268992</v>
      </c>
      <c r="E17" s="4" t="n">
        <f aca="false">-E6*Assumptions!E18/100</f>
        <v>-91.221498368</v>
      </c>
      <c r="F17" s="4" t="n">
        <f aca="false">-F6*Assumptions!F18/100</f>
        <v>-93.04592833536</v>
      </c>
      <c r="G17" s="4" t="n">
        <f aca="false">-G6*Assumptions!G18/100</f>
        <v>-96.7677654687744</v>
      </c>
      <c r="H17" s="4" t="n">
        <f aca="false">-H6*Assumptions!H18/100</f>
        <v>-100.638476087525</v>
      </c>
      <c r="I17" s="4" t="n">
        <f aca="false">-I6*Assumptions!I18/100</f>
        <v>-103.657630370151</v>
      </c>
      <c r="J17" s="4" t="n">
        <f aca="false">-J6*Assumptions!J18/100</f>
        <v>-106.767359281256</v>
      </c>
      <c r="K17" s="4" t="n">
        <f aca="false">-K6*Assumptions!K18/100</f>
        <v>-109.436543263287</v>
      </c>
      <c r="L17" s="4" t="n">
        <f aca="false">-L6*Assumptions!L18/100</f>
        <v>-112.172456844869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623.232</v>
      </c>
      <c r="D18" s="4" t="n">
        <f aca="false">(D6-C6)*Assumptions!$B$23/100</f>
        <v>756.18816</v>
      </c>
      <c r="E18" s="4" t="n">
        <f aca="false">(E6-D6)*Assumptions!$B$23/100</f>
        <v>332.7227904</v>
      </c>
      <c r="F18" s="4" t="n">
        <f aca="false">(F6-E6)*Assumptions!$B$23/100</f>
        <v>-104.253140992</v>
      </c>
      <c r="G18" s="4" t="n">
        <f aca="false">(G6-F6)*Assumptions!$B$23/100</f>
        <v>-212.67640762368</v>
      </c>
      <c r="H18" s="4" t="n">
        <f aca="false">(H6-G6)*Assumptions!$B$23/100</f>
        <v>-221.183463928627</v>
      </c>
      <c r="I18" s="4" t="n">
        <f aca="false">(I6-H6)*Assumptions!$B$23/100</f>
        <v>-172.52310186433</v>
      </c>
      <c r="J18" s="4" t="n">
        <f aca="false">(J6-I6)*Assumptions!$B$23/100</f>
        <v>-177.698794920259</v>
      </c>
      <c r="K18" s="4" t="n">
        <f aca="false">(K6-J6)*Assumptions!$B$23/100</f>
        <v>-152.524798973222</v>
      </c>
      <c r="L18" s="4" t="n">
        <f aca="false">(L6-K6)*Assumptions!$B$23/100</f>
        <v>-156.337918947553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1345.76978688</v>
      </c>
      <c r="D19" s="0" t="n">
        <f aca="false">D15+D16+D17+D18</f>
        <v>1611.0639161344</v>
      </c>
      <c r="E19" s="0" t="n">
        <f aca="false">E15+E16+E17+E18</f>
        <v>1107.63638739354</v>
      </c>
      <c r="F19" s="0" t="n">
        <f aca="false">F15+F16+F17+F18</f>
        <v>837.690668373278</v>
      </c>
      <c r="G19" s="0" t="n">
        <f aca="false">G15+G16+G17+G18</f>
        <v>977.069444848406</v>
      </c>
      <c r="H19" s="0" t="n">
        <f aca="false">H15+H16+H17+H18</f>
        <v>1180.04916941345</v>
      </c>
      <c r="I19" s="0" t="n">
        <f aca="false">I15+I16+I17+I18</f>
        <v>1327.0177955361</v>
      </c>
      <c r="J19" s="0" t="n">
        <f aca="false">J15+J16+J17+J18</f>
        <v>1424.787753012</v>
      </c>
      <c r="K19" s="0" t="n">
        <f aca="false">K15+K16+K17+K18</f>
        <v>1490.02391265735</v>
      </c>
      <c r="L19" s="0" t="n">
        <f aca="false">L15+L16+L17+L18</f>
        <v>1527.27451047378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1223.42707898182</v>
      </c>
      <c r="D21" s="0" t="n">
        <f aca="false">D19*D20</f>
        <v>1331.45778192926</v>
      </c>
      <c r="E21" s="0" t="n">
        <f aca="false">E19*E20</f>
        <v>832.183611865917</v>
      </c>
      <c r="F21" s="0" t="n">
        <f aca="false">F19*F20</f>
        <v>572.153997932708</v>
      </c>
      <c r="G21" s="0" t="n">
        <f aca="false">G19*G20</f>
        <v>606.683252415946</v>
      </c>
      <c r="H21" s="0" t="n">
        <f aca="false">H19*H20</f>
        <v>666.106992315508</v>
      </c>
      <c r="I21" s="0" t="n">
        <f aca="false">I19*I20</f>
        <v>680.969954815964</v>
      </c>
      <c r="J21" s="0" t="n">
        <f aca="false">J19*J20</f>
        <v>664.674002012543</v>
      </c>
      <c r="K21" s="0" t="n">
        <f aca="false">K19*K20</f>
        <v>631.915592676033</v>
      </c>
      <c r="L21" s="0" t="n">
        <f aca="false">L19*L20</f>
        <v>588.830438629939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7798.40270357563</v>
      </c>
    </row>
    <row r="31" customFormat="false" ht="15" hidden="false" customHeight="false" outlineLevel="0" collapsed="false">
      <c r="A31" s="0" t="s">
        <v>136</v>
      </c>
      <c r="B31" s="0" t="n">
        <f aca="false">L19</f>
        <v>1527.27451047378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20872.7516431417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18327.2941256854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18327.2941256854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7065.96526355927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14864.3679671349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14379.7679671349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76.2447930388913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-0.344694516210646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408.804807100783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388.402283139308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80.4717659457847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12523.650985885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47.5524290660176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-7.5</v>
      </c>
      <c r="D5" s="4" t="n">
        <f aca="false">Assumptions!D27</f>
        <v>-3</v>
      </c>
      <c r="E5" s="4" t="n">
        <f aca="false">Assumptions!E27</f>
        <v>3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17312</v>
      </c>
      <c r="C6" s="0" t="n">
        <f aca="false">B6*(1+C5/100)</f>
        <v>16013.6</v>
      </c>
      <c r="D6" s="0" t="n">
        <f aca="false">C6*(1+D5/100)</f>
        <v>15533.192</v>
      </c>
      <c r="E6" s="0" t="n">
        <f aca="false">D6*(1+E5/100)</f>
        <v>15999.18776</v>
      </c>
      <c r="F6" s="0" t="n">
        <f aca="false">E6*(1+F5/100)</f>
        <v>16799.147148</v>
      </c>
      <c r="G6" s="0" t="n">
        <f aca="false">F6*(1+G5/100)</f>
        <v>17639.1045054</v>
      </c>
      <c r="H6" s="0" t="n">
        <f aca="false">G6*(1+H5/100)</f>
        <v>18344.668685616</v>
      </c>
      <c r="I6" s="0" t="n">
        <f aca="false">H6*(1+I5/100)</f>
        <v>18895.0087461845</v>
      </c>
      <c r="J6" s="0" t="n">
        <f aca="false">I6*(1+J5/100)</f>
        <v>19461.85900857</v>
      </c>
      <c r="K6" s="0" t="n">
        <f aca="false">J6*(1+K5/100)</f>
        <v>19948.4054837843</v>
      </c>
      <c r="L6" s="0" t="n">
        <f aca="false">K6*(1+L5/100)</f>
        <v>20447.1156208789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16.3</v>
      </c>
      <c r="D7" s="4" t="n">
        <f aca="false">Assumptions!D28</f>
        <v>15.8</v>
      </c>
      <c r="E7" s="4" t="n">
        <f aca="false">Assumptions!E28</f>
        <v>16.3</v>
      </c>
      <c r="F7" s="4" t="n">
        <f aca="false">Assumptions!F28</f>
        <v>16.8</v>
      </c>
      <c r="G7" s="4" t="n">
        <f aca="false">Assumptions!G28</f>
        <v>17.2</v>
      </c>
      <c r="H7" s="4" t="n">
        <f aca="false">Assumptions!H28</f>
        <v>17.5</v>
      </c>
      <c r="I7" s="4" t="n">
        <f aca="false">Assumptions!I28</f>
        <v>17.5</v>
      </c>
      <c r="J7" s="4" t="n">
        <f aca="false">Assumptions!J28</f>
        <v>17.5</v>
      </c>
      <c r="K7" s="4" t="n">
        <f aca="false">Assumptions!K28</f>
        <v>17.5</v>
      </c>
      <c r="L7" s="4" t="n">
        <f aca="false">Assumptions!L28</f>
        <v>17.5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2610.2168</v>
      </c>
      <c r="D8" s="0" t="n">
        <f aca="false">D6*D7/100</f>
        <v>2454.244336</v>
      </c>
      <c r="E8" s="0" t="n">
        <f aca="false">E6*E7/100</f>
        <v>2607.86760488</v>
      </c>
      <c r="F8" s="0" t="n">
        <f aca="false">F6*F7/100</f>
        <v>2822.256720864</v>
      </c>
      <c r="G8" s="0" t="n">
        <f aca="false">G6*G7/100</f>
        <v>3033.9259749288</v>
      </c>
      <c r="H8" s="0" t="n">
        <f aca="false">H6*H7/100</f>
        <v>3210.3170199828</v>
      </c>
      <c r="I8" s="0" t="n">
        <f aca="false">I6*I7/100</f>
        <v>3306.62653058228</v>
      </c>
      <c r="J8" s="0" t="n">
        <f aca="false">J6*J7/100</f>
        <v>3405.82532649975</v>
      </c>
      <c r="K8" s="0" t="n">
        <f aca="false">K6*K7/100</f>
        <v>3490.97095966225</v>
      </c>
      <c r="L8" s="0" t="n">
        <f aca="false">L6*L7/100</f>
        <v>3578.2452336538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0.46</v>
      </c>
      <c r="D9" s="4" t="n">
        <f aca="false">Assumptions!D29</f>
        <v>0.46</v>
      </c>
      <c r="E9" s="4" t="n">
        <f aca="false">Assumptions!E29</f>
        <v>0.46</v>
      </c>
      <c r="F9" s="4" t="n">
        <f aca="false">Assumptions!F29</f>
        <v>0.46</v>
      </c>
      <c r="G9" s="4" t="n">
        <f aca="false">Assumptions!G29</f>
        <v>0.46</v>
      </c>
      <c r="H9" s="4" t="n">
        <f aca="false">Assumptions!H29</f>
        <v>0.46</v>
      </c>
      <c r="I9" s="4" t="n">
        <f aca="false">Assumptions!I29</f>
        <v>0.46</v>
      </c>
      <c r="J9" s="4" t="n">
        <f aca="false">Assumptions!J29</f>
        <v>0.46</v>
      </c>
      <c r="K9" s="4" t="n">
        <f aca="false">Assumptions!K29</f>
        <v>0.46</v>
      </c>
      <c r="L9" s="4" t="n">
        <f aca="false">Assumptions!L29</f>
        <v>0.46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-73.66256</v>
      </c>
      <c r="D10" s="0" t="n">
        <f aca="false">-D6*D9/100</f>
        <v>-71.4526832</v>
      </c>
      <c r="E10" s="0" t="n">
        <f aca="false">-E6*E9/100</f>
        <v>-73.596263696</v>
      </c>
      <c r="F10" s="0" t="n">
        <f aca="false">-F6*F9/100</f>
        <v>-77.2760768808</v>
      </c>
      <c r="G10" s="0" t="n">
        <f aca="false">-G6*G9/100</f>
        <v>-81.13988072484</v>
      </c>
      <c r="H10" s="0" t="n">
        <f aca="false">-H6*H9/100</f>
        <v>-84.3854759538336</v>
      </c>
      <c r="I10" s="0" t="n">
        <f aca="false">-I6*I9/100</f>
        <v>-86.9170402324486</v>
      </c>
      <c r="J10" s="0" t="n">
        <f aca="false">-J6*J9/100</f>
        <v>-89.5245514394221</v>
      </c>
      <c r="K10" s="0" t="n">
        <f aca="false">-K6*K9/100</f>
        <v>-91.7626652254076</v>
      </c>
      <c r="L10" s="0" t="n">
        <f aca="false">-L6*L9/100</f>
        <v>-94.0567318560428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2536.55424</v>
      </c>
      <c r="D11" s="0" t="n">
        <f aca="false">D8+D10+D24</f>
        <v>2382.7916528</v>
      </c>
      <c r="E11" s="0" t="n">
        <f aca="false">E8+E10+E24</f>
        <v>2534.271341184</v>
      </c>
      <c r="F11" s="0" t="n">
        <f aca="false">F8+F10+F24</f>
        <v>2744.9806439832</v>
      </c>
      <c r="G11" s="0" t="n">
        <f aca="false">G8+G10+G24</f>
        <v>2952.78609420396</v>
      </c>
      <c r="H11" s="0" t="n">
        <f aca="false">H8+H10+H24</f>
        <v>3125.93154402897</v>
      </c>
      <c r="I11" s="0" t="n">
        <f aca="false">I8+I10+I24</f>
        <v>3219.70949034984</v>
      </c>
      <c r="J11" s="0" t="n">
        <f aca="false">J8+J10+J24</f>
        <v>3316.30077506033</v>
      </c>
      <c r="K11" s="0" t="n">
        <f aca="false">K8+K10+K24</f>
        <v>3399.20829443684</v>
      </c>
      <c r="L11" s="0" t="n">
        <f aca="false">L8+L10+L24</f>
        <v>3484.18850179776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-104.0884</v>
      </c>
      <c r="D12" s="4" t="n">
        <f aca="false">-D6*Assumptions!D31/100</f>
        <v>-100.965748</v>
      </c>
      <c r="E12" s="4" t="n">
        <f aca="false">-E6*Assumptions!E31/100</f>
        <v>-103.99472044</v>
      </c>
      <c r="F12" s="4" t="n">
        <f aca="false">-F6*Assumptions!F31/100</f>
        <v>-109.194456462</v>
      </c>
      <c r="G12" s="4" t="n">
        <f aca="false">-G6*Assumptions!G31/100</f>
        <v>-114.6541792851</v>
      </c>
      <c r="H12" s="4" t="n">
        <f aca="false">-H6*Assumptions!H31/100</f>
        <v>-119.240346456504</v>
      </c>
      <c r="I12" s="4" t="n">
        <f aca="false">-I6*Assumptions!I31/100</f>
        <v>-122.817556850199</v>
      </c>
      <c r="J12" s="4" t="n">
        <f aca="false">-J6*Assumptions!J31/100</f>
        <v>-126.502083555705</v>
      </c>
      <c r="K12" s="4" t="n">
        <f aca="false">-K6*Assumptions!K31/100</f>
        <v>-129.664635644598</v>
      </c>
      <c r="L12" s="4" t="n">
        <f aca="false">-L6*Assumptions!L31/100</f>
        <v>-132.906251535713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2432.46584</v>
      </c>
      <c r="D13" s="0" t="n">
        <f aca="false">D11+D12</f>
        <v>2281.8259048</v>
      </c>
      <c r="E13" s="0" t="n">
        <f aca="false">E11+E12</f>
        <v>2430.276620744</v>
      </c>
      <c r="F13" s="0" t="n">
        <f aca="false">F11+F12</f>
        <v>2635.7861875212</v>
      </c>
      <c r="G13" s="0" t="n">
        <f aca="false">G11+G12</f>
        <v>2838.13191491886</v>
      </c>
      <c r="H13" s="0" t="n">
        <f aca="false">H11+H12</f>
        <v>3006.69119757246</v>
      </c>
      <c r="I13" s="0" t="n">
        <f aca="false">I11+I12</f>
        <v>3096.89193349964</v>
      </c>
      <c r="J13" s="0" t="n">
        <f aca="false">J11+J12</f>
        <v>3189.79869150463</v>
      </c>
      <c r="K13" s="0" t="n">
        <f aca="false">K11+K12</f>
        <v>3269.54365879224</v>
      </c>
      <c r="L13" s="0" t="n">
        <f aca="false">L11+L12</f>
        <v>3351.28225026205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1848.6740384</v>
      </c>
      <c r="D15" s="0" t="n">
        <f aca="false">D13-MAX(0,D13)*D14/100</f>
        <v>1734.187687648</v>
      </c>
      <c r="E15" s="0" t="n">
        <f aca="false">E13-MAX(0,E13)*E14/100</f>
        <v>1847.01023176544</v>
      </c>
      <c r="F15" s="0" t="n">
        <f aca="false">F13-MAX(0,F13)*F14/100</f>
        <v>2003.19750251611</v>
      </c>
      <c r="G15" s="0" t="n">
        <f aca="false">G13-MAX(0,G13)*G14/100</f>
        <v>2156.98025533833</v>
      </c>
      <c r="H15" s="0" t="n">
        <f aca="false">H13-MAX(0,H13)*H14/100</f>
        <v>2285.08531015507</v>
      </c>
      <c r="I15" s="0" t="n">
        <f aca="false">I13-MAX(0,I13)*I14/100</f>
        <v>2353.63786945972</v>
      </c>
      <c r="J15" s="0" t="n">
        <f aca="false">J13-MAX(0,J13)*J14/100</f>
        <v>2424.24700554352</v>
      </c>
      <c r="K15" s="0" t="n">
        <f aca="false">K13-MAX(0,K13)*K14/100</f>
        <v>2484.8531806821</v>
      </c>
      <c r="L15" s="0" t="n">
        <f aca="false">L13-MAX(0,L13)*L14/100</f>
        <v>2546.97451019916</v>
      </c>
    </row>
    <row r="16" customFormat="false" ht="15" hidden="false" customHeight="false" outlineLevel="0" collapsed="false">
      <c r="A16" s="0" t="s">
        <v>127</v>
      </c>
      <c r="C16" s="0" t="n">
        <f aca="false">-C12</f>
        <v>104.0884</v>
      </c>
      <c r="D16" s="0" t="n">
        <f aca="false">-D12</f>
        <v>100.965748</v>
      </c>
      <c r="E16" s="0" t="n">
        <f aca="false">-E12</f>
        <v>103.99472044</v>
      </c>
      <c r="F16" s="0" t="n">
        <f aca="false">-F12</f>
        <v>109.194456462</v>
      </c>
      <c r="G16" s="0" t="n">
        <f aca="false">-G12</f>
        <v>114.6541792851</v>
      </c>
      <c r="H16" s="0" t="n">
        <f aca="false">-H12</f>
        <v>119.240346456504</v>
      </c>
      <c r="I16" s="0" t="n">
        <f aca="false">-I12</f>
        <v>122.817556850199</v>
      </c>
      <c r="J16" s="0" t="n">
        <f aca="false">-J12</f>
        <v>126.502083555705</v>
      </c>
      <c r="K16" s="0" t="n">
        <f aca="false">-K12</f>
        <v>129.664635644598</v>
      </c>
      <c r="L16" s="0" t="n">
        <f aca="false">-L12</f>
        <v>132.906251535713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-1281.088</v>
      </c>
      <c r="D17" s="4" t="n">
        <f aca="false">-D6*Assumptions!D32/100</f>
        <v>-698.99364</v>
      </c>
      <c r="E17" s="4" t="n">
        <f aca="false">-E6*Assumptions!E32/100</f>
        <v>-319.9837552</v>
      </c>
      <c r="F17" s="4" t="n">
        <f aca="false">-F6*Assumptions!F32/100</f>
        <v>-117.594030036</v>
      </c>
      <c r="G17" s="4" t="n">
        <f aca="false">-G6*Assumptions!G32/100</f>
        <v>-123.4737315378</v>
      </c>
      <c r="H17" s="4" t="n">
        <f aca="false">-H6*Assumptions!H32/100</f>
        <v>-128.412680799312</v>
      </c>
      <c r="I17" s="4" t="n">
        <f aca="false">-I6*Assumptions!I32/100</f>
        <v>-132.265061223291</v>
      </c>
      <c r="J17" s="4" t="n">
        <f aca="false">-J6*Assumptions!J32/100</f>
        <v>-136.23301305999</v>
      </c>
      <c r="K17" s="4" t="n">
        <f aca="false">-K6*Assumptions!K32/100</f>
        <v>-139.63883838649</v>
      </c>
      <c r="L17" s="4" t="n">
        <f aca="false">-L6*Assumptions!L32/100</f>
        <v>-143.129809346152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714.12</v>
      </c>
      <c r="D18" s="4" t="n">
        <f aca="false">(D6-C6)*Assumptions!$B$37/100</f>
        <v>264.224400000001</v>
      </c>
      <c r="E18" s="4" t="n">
        <f aca="false">(E6-D6)*Assumptions!$B$37/100</f>
        <v>-256.297668</v>
      </c>
      <c r="F18" s="4" t="n">
        <f aca="false">(F6-E6)*Assumptions!$B$37/100</f>
        <v>-439.977663400001</v>
      </c>
      <c r="G18" s="4" t="n">
        <f aca="false">(G6-F6)*Assumptions!$B$37/100</f>
        <v>-461.976546570001</v>
      </c>
      <c r="H18" s="4" t="n">
        <f aca="false">(H6-G6)*Assumptions!$B$37/100</f>
        <v>-388.060299118799</v>
      </c>
      <c r="I18" s="4" t="n">
        <f aca="false">(I6-H6)*Assumptions!$B$37/100</f>
        <v>-302.687033312664</v>
      </c>
      <c r="J18" s="4" t="n">
        <f aca="false">(J6-I6)*Assumptions!$B$37/100</f>
        <v>-311.767644312044</v>
      </c>
      <c r="K18" s="4" t="n">
        <f aca="false">(K6-J6)*Assumptions!$B$37/100</f>
        <v>-267.600561367836</v>
      </c>
      <c r="L18" s="4" t="n">
        <f aca="false">(L6-K6)*Assumptions!$B$37/100</f>
        <v>-274.290575402032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1385.7944384</v>
      </c>
      <c r="D19" s="0" t="n">
        <f aca="false">D15+D16+D17+D18</f>
        <v>1400.384195648</v>
      </c>
      <c r="E19" s="0" t="n">
        <f aca="false">E15+E16+E17+E18</f>
        <v>1374.72352900544</v>
      </c>
      <c r="F19" s="0" t="n">
        <f aca="false">F15+F16+F17+F18</f>
        <v>1554.82026554211</v>
      </c>
      <c r="G19" s="0" t="n">
        <f aca="false">G15+G16+G17+G18</f>
        <v>1686.18415651563</v>
      </c>
      <c r="H19" s="0" t="n">
        <f aca="false">H15+H16+H17+H18</f>
        <v>1887.85267669346</v>
      </c>
      <c r="I19" s="0" t="n">
        <f aca="false">I15+I16+I17+I18</f>
        <v>2041.50333177397</v>
      </c>
      <c r="J19" s="0" t="n">
        <f aca="false">J15+J16+J17+J18</f>
        <v>2102.74843172719</v>
      </c>
      <c r="K19" s="0" t="n">
        <f aca="false">K15+K16+K17+K18</f>
        <v>2207.27841657237</v>
      </c>
      <c r="L19" s="0" t="n">
        <f aca="false">L15+L16+L17+L18</f>
        <v>2262.46037698668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1259.81312581818</v>
      </c>
      <c r="D21" s="0" t="n">
        <f aca="false">D19*D20</f>
        <v>1157.34231045289</v>
      </c>
      <c r="E21" s="0" t="n">
        <f aca="false">E19*E20</f>
        <v>1032.85013448944</v>
      </c>
      <c r="F21" s="0" t="n">
        <f aca="false">F19*F20</f>
        <v>1061.96316203955</v>
      </c>
      <c r="G21" s="0" t="n">
        <f aca="false">G19*G20</f>
        <v>1046.98769738507</v>
      </c>
      <c r="H21" s="0" t="n">
        <f aca="false">H19*H20</f>
        <v>1065.6436197757</v>
      </c>
      <c r="I21" s="0" t="n">
        <f aca="false">I19*I20</f>
        <v>1047.61400809485</v>
      </c>
      <c r="J21" s="0" t="n">
        <f aca="false">J19*J20</f>
        <v>980.947662125175</v>
      </c>
      <c r="K21" s="0" t="n">
        <f aca="false">K19*K20</f>
        <v>936.101519553333</v>
      </c>
      <c r="L21" s="0" t="n">
        <f aca="false">L19*L20</f>
        <v>872.276415947424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10461.5396556816</v>
      </c>
    </row>
    <row r="31" customFormat="false" ht="15" hidden="false" customHeight="false" outlineLevel="0" collapsed="false">
      <c r="A31" s="0" t="s">
        <v>136</v>
      </c>
      <c r="B31" s="0" t="n">
        <f aca="false">L19</f>
        <v>2262.46037698668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30920.291818818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27149.5245238402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27149.5245238402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10467.3169913691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20928.8566470507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20444.2566470507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108.400088266441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-0.0683275610963419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493.652532105505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495.593537834525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113.645295424129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18552.1750912908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66.0343793477983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-7</v>
      </c>
      <c r="D5" s="4" t="n">
        <f aca="false">Assumptions!D41</f>
        <v>2</v>
      </c>
      <c r="E5" s="4" t="n">
        <f aca="false">Assumptions!E41</f>
        <v>6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17312</v>
      </c>
      <c r="C6" s="0" t="n">
        <f aca="false">B6*(1+C5/100)</f>
        <v>16100.16</v>
      </c>
      <c r="D6" s="0" t="n">
        <f aca="false">C6*(1+D5/100)</f>
        <v>16422.1632</v>
      </c>
      <c r="E6" s="0" t="n">
        <f aca="false">D6*(1+E5/100)</f>
        <v>17407.492992</v>
      </c>
      <c r="F6" s="0" t="n">
        <f aca="false">E6*(1+F5/100)</f>
        <v>18626.01750144</v>
      </c>
      <c r="G6" s="0" t="n">
        <f aca="false">F6*(1+G5/100)</f>
        <v>19743.5785515264</v>
      </c>
      <c r="H6" s="0" t="n">
        <f aca="false">G6*(1+H5/100)</f>
        <v>20730.7574791027</v>
      </c>
      <c r="I6" s="0" t="n">
        <f aca="false">H6*(1+I5/100)</f>
        <v>21559.9877782668</v>
      </c>
      <c r="J6" s="0" t="n">
        <f aca="false">I6*(1+J5/100)</f>
        <v>22422.3872893975</v>
      </c>
      <c r="K6" s="0" t="n">
        <f aca="false">J6*(1+K5/100)</f>
        <v>23095.0589080794</v>
      </c>
      <c r="L6" s="0" t="n">
        <f aca="false">K6*(1+L5/100)</f>
        <v>23787.9106753218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16.6</v>
      </c>
      <c r="D7" s="4" t="n">
        <f aca="false">Assumptions!D42</f>
        <v>16.8</v>
      </c>
      <c r="E7" s="4" t="n">
        <f aca="false">Assumptions!E42</f>
        <v>17.6</v>
      </c>
      <c r="F7" s="4" t="n">
        <f aca="false">Assumptions!F42</f>
        <v>18.4</v>
      </c>
      <c r="G7" s="4" t="n">
        <f aca="false">Assumptions!G42</f>
        <v>19</v>
      </c>
      <c r="H7" s="4" t="n">
        <f aca="false">Assumptions!H42</f>
        <v>19.5</v>
      </c>
      <c r="I7" s="4" t="n">
        <f aca="false">Assumptions!I42</f>
        <v>19.5</v>
      </c>
      <c r="J7" s="4" t="n">
        <f aca="false">Assumptions!J42</f>
        <v>19.5</v>
      </c>
      <c r="K7" s="4" t="n">
        <f aca="false">Assumptions!K42</f>
        <v>19.5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2672.62656</v>
      </c>
      <c r="D8" s="0" t="n">
        <f aca="false">D6*D7/100</f>
        <v>2758.9234176</v>
      </c>
      <c r="E8" s="0" t="n">
        <f aca="false">E6*E7/100</f>
        <v>3063.718766592</v>
      </c>
      <c r="F8" s="0" t="n">
        <f aca="false">F6*F7/100</f>
        <v>3427.18722026496</v>
      </c>
      <c r="G8" s="0" t="n">
        <f aca="false">G6*G7/100</f>
        <v>3751.27992479002</v>
      </c>
      <c r="H8" s="0" t="n">
        <f aca="false">H6*H7/100</f>
        <v>4042.49770842503</v>
      </c>
      <c r="I8" s="0" t="n">
        <f aca="false">I6*I7/100</f>
        <v>4204.19761676203</v>
      </c>
      <c r="J8" s="0" t="n">
        <f aca="false">J6*J7/100</f>
        <v>4372.36552143251</v>
      </c>
      <c r="K8" s="0" t="n">
        <f aca="false">K6*K7/100</f>
        <v>4503.53648707549</v>
      </c>
      <c r="L8" s="0" t="n">
        <f aca="false">L6*L7/100</f>
        <v>4638.64258168775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0.46</v>
      </c>
      <c r="D9" s="4" t="n">
        <f aca="false">Assumptions!D43</f>
        <v>0.46</v>
      </c>
      <c r="E9" s="4" t="n">
        <f aca="false">Assumptions!E43</f>
        <v>0.46</v>
      </c>
      <c r="F9" s="4" t="n">
        <f aca="false">Assumptions!F43</f>
        <v>0.46</v>
      </c>
      <c r="G9" s="4" t="n">
        <f aca="false">Assumptions!G43</f>
        <v>0.46</v>
      </c>
      <c r="H9" s="4" t="n">
        <f aca="false">Assumptions!H43</f>
        <v>0.46</v>
      </c>
      <c r="I9" s="4" t="n">
        <f aca="false">Assumptions!I43</f>
        <v>0.46</v>
      </c>
      <c r="J9" s="4" t="n">
        <f aca="false">Assumptions!J43</f>
        <v>0.46</v>
      </c>
      <c r="K9" s="4" t="n">
        <f aca="false">Assumptions!K43</f>
        <v>0.46</v>
      </c>
      <c r="L9" s="4" t="n">
        <f aca="false">Assumptions!L43</f>
        <v>0.46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-74.060736</v>
      </c>
      <c r="D10" s="0" t="n">
        <f aca="false">-D6*D9/100</f>
        <v>-75.54195072</v>
      </c>
      <c r="E10" s="0" t="n">
        <f aca="false">-E6*E9/100</f>
        <v>-80.0744677632</v>
      </c>
      <c r="F10" s="0" t="n">
        <f aca="false">-F6*F9/100</f>
        <v>-85.679680506624</v>
      </c>
      <c r="G10" s="0" t="n">
        <f aca="false">-G6*G9/100</f>
        <v>-90.8204613370215</v>
      </c>
      <c r="H10" s="0" t="n">
        <f aca="false">-H6*H9/100</f>
        <v>-95.3614844038726</v>
      </c>
      <c r="I10" s="0" t="n">
        <f aca="false">-I6*I9/100</f>
        <v>-99.1759437800275</v>
      </c>
      <c r="J10" s="0" t="n">
        <f aca="false">-J6*J9/100</f>
        <v>-103.142981531229</v>
      </c>
      <c r="K10" s="0" t="n">
        <f aca="false">-K6*K9/100</f>
        <v>-106.237270977165</v>
      </c>
      <c r="L10" s="0" t="n">
        <f aca="false">-L6*L9/100</f>
        <v>-109.42438910648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2598.565824</v>
      </c>
      <c r="D11" s="0" t="n">
        <f aca="false">D8+D10+D24</f>
        <v>2683.38146688</v>
      </c>
      <c r="E11" s="0" t="n">
        <f aca="false">E8+E10+E24</f>
        <v>2983.6442988288</v>
      </c>
      <c r="F11" s="0" t="n">
        <f aca="false">F8+F10+F24</f>
        <v>3341.50753975834</v>
      </c>
      <c r="G11" s="0" t="n">
        <f aca="false">G8+G10+G24</f>
        <v>3660.459463453</v>
      </c>
      <c r="H11" s="0" t="n">
        <f aca="false">H8+H10+H24</f>
        <v>3947.13622402116</v>
      </c>
      <c r="I11" s="0" t="n">
        <f aca="false">I8+I10+I24</f>
        <v>4105.02167298201</v>
      </c>
      <c r="J11" s="0" t="n">
        <f aca="false">J8+J10+J24</f>
        <v>4269.22253990129</v>
      </c>
      <c r="K11" s="0" t="n">
        <f aca="false">K8+K10+K24</f>
        <v>4397.29921609832</v>
      </c>
      <c r="L11" s="0" t="n">
        <f aca="false">L8+L10+L24</f>
        <v>4529.21819258127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-104.65104</v>
      </c>
      <c r="D12" s="4" t="n">
        <f aca="false">-D6*Assumptions!D45/100</f>
        <v>-106.7440608</v>
      </c>
      <c r="E12" s="4" t="n">
        <f aca="false">-E6*Assumptions!E45/100</f>
        <v>-113.148704448</v>
      </c>
      <c r="F12" s="4" t="n">
        <f aca="false">-F6*Assumptions!F45/100</f>
        <v>-121.06911375936</v>
      </c>
      <c r="G12" s="4" t="n">
        <f aca="false">-G6*Assumptions!G45/100</f>
        <v>-128.333260584922</v>
      </c>
      <c r="H12" s="4" t="n">
        <f aca="false">-H6*Assumptions!H45/100</f>
        <v>-134.749923614168</v>
      </c>
      <c r="I12" s="4" t="n">
        <f aca="false">-I6*Assumptions!I45/100</f>
        <v>-140.139920558734</v>
      </c>
      <c r="J12" s="4" t="n">
        <f aca="false">-J6*Assumptions!J45/100</f>
        <v>-145.745517381084</v>
      </c>
      <c r="K12" s="4" t="n">
        <f aca="false">-K6*Assumptions!K45/100</f>
        <v>-150.117882902516</v>
      </c>
      <c r="L12" s="4" t="n">
        <f aca="false">-L6*Assumptions!L45/100</f>
        <v>-154.621419389592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2493.914784</v>
      </c>
      <c r="D13" s="0" t="n">
        <f aca="false">D11+D12</f>
        <v>2576.63740608</v>
      </c>
      <c r="E13" s="0" t="n">
        <f aca="false">E11+E12</f>
        <v>2870.4955943808</v>
      </c>
      <c r="F13" s="0" t="n">
        <f aca="false">F11+F12</f>
        <v>3220.43842599898</v>
      </c>
      <c r="G13" s="0" t="n">
        <f aca="false">G11+G12</f>
        <v>3532.12620286807</v>
      </c>
      <c r="H13" s="0" t="n">
        <f aca="false">H11+H12</f>
        <v>3812.38630040699</v>
      </c>
      <c r="I13" s="0" t="n">
        <f aca="false">I11+I12</f>
        <v>3964.88175242327</v>
      </c>
      <c r="J13" s="0" t="n">
        <f aca="false">J11+J12</f>
        <v>4123.4770225202</v>
      </c>
      <c r="K13" s="0" t="n">
        <f aca="false">K11+K12</f>
        <v>4247.18133319581</v>
      </c>
      <c r="L13" s="0" t="n">
        <f aca="false">L11+L12</f>
        <v>4374.59677319168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1895.37523584</v>
      </c>
      <c r="D15" s="0" t="n">
        <f aca="false">D13-MAX(0,D13)*D14/100</f>
        <v>1958.2444286208</v>
      </c>
      <c r="E15" s="0" t="n">
        <f aca="false">E13-MAX(0,E13)*E14/100</f>
        <v>2181.57665172941</v>
      </c>
      <c r="F15" s="0" t="n">
        <f aca="false">F13-MAX(0,F13)*F14/100</f>
        <v>2447.53320375922</v>
      </c>
      <c r="G15" s="0" t="n">
        <f aca="false">G13-MAX(0,G13)*G14/100</f>
        <v>2684.41591417974</v>
      </c>
      <c r="H15" s="0" t="n">
        <f aca="false">H13-MAX(0,H13)*H14/100</f>
        <v>2897.41358830931</v>
      </c>
      <c r="I15" s="0" t="n">
        <f aca="false">I13-MAX(0,I13)*I14/100</f>
        <v>3013.31013184169</v>
      </c>
      <c r="J15" s="0" t="n">
        <f aca="false">J13-MAX(0,J13)*J14/100</f>
        <v>3133.84253711535</v>
      </c>
      <c r="K15" s="0" t="n">
        <f aca="false">K13-MAX(0,K13)*K14/100</f>
        <v>3227.85781322881</v>
      </c>
      <c r="L15" s="0" t="n">
        <f aca="false">L13-MAX(0,L13)*L14/100</f>
        <v>3324.69354762568</v>
      </c>
    </row>
    <row r="16" customFormat="false" ht="15" hidden="false" customHeight="false" outlineLevel="0" collapsed="false">
      <c r="A16" s="0" t="s">
        <v>127</v>
      </c>
      <c r="C16" s="0" t="n">
        <f aca="false">-C12</f>
        <v>104.65104</v>
      </c>
      <c r="D16" s="0" t="n">
        <f aca="false">-D12</f>
        <v>106.7440608</v>
      </c>
      <c r="E16" s="0" t="n">
        <f aca="false">-E12</f>
        <v>113.148704448</v>
      </c>
      <c r="F16" s="0" t="n">
        <f aca="false">-F12</f>
        <v>121.06911375936</v>
      </c>
      <c r="G16" s="0" t="n">
        <f aca="false">-G12</f>
        <v>128.333260584922</v>
      </c>
      <c r="H16" s="0" t="n">
        <f aca="false">-H12</f>
        <v>134.749923614168</v>
      </c>
      <c r="I16" s="0" t="n">
        <f aca="false">-I12</f>
        <v>140.139920558734</v>
      </c>
      <c r="J16" s="0" t="n">
        <f aca="false">-J12</f>
        <v>145.745517381084</v>
      </c>
      <c r="K16" s="0" t="n">
        <f aca="false">-K12</f>
        <v>150.117882902516</v>
      </c>
      <c r="L16" s="0" t="n">
        <f aca="false">-L12</f>
        <v>154.621419389592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-1207.512</v>
      </c>
      <c r="D17" s="4" t="n">
        <f aca="false">-D6*Assumptions!D46/100</f>
        <v>-656.886528</v>
      </c>
      <c r="E17" s="4" t="n">
        <f aca="false">-E6*Assumptions!E46/100</f>
        <v>-348.14985984</v>
      </c>
      <c r="F17" s="4" t="n">
        <f aca="false">-F6*Assumptions!F46/100</f>
        <v>-130.38212251008</v>
      </c>
      <c r="G17" s="4" t="n">
        <f aca="false">-G6*Assumptions!G46/100</f>
        <v>-138.205049860685</v>
      </c>
      <c r="H17" s="4" t="n">
        <f aca="false">-H6*Assumptions!H46/100</f>
        <v>-145.115302353719</v>
      </c>
      <c r="I17" s="4" t="n">
        <f aca="false">-I6*Assumptions!I46/100</f>
        <v>-150.919914447868</v>
      </c>
      <c r="J17" s="4" t="n">
        <f aca="false">-J6*Assumptions!J46/100</f>
        <v>-156.956711025783</v>
      </c>
      <c r="K17" s="4" t="n">
        <f aca="false">-K6*Assumptions!K46/100</f>
        <v>-161.665412356556</v>
      </c>
      <c r="L17" s="4" t="n">
        <f aca="false">-L6*Assumptions!L46/100</f>
        <v>-166.515374727253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666.512000000001</v>
      </c>
      <c r="D18" s="4" t="n">
        <f aca="false">(D6-C6)*Assumptions!$B$51/100</f>
        <v>-177.101760000001</v>
      </c>
      <c r="E18" s="4" t="n">
        <f aca="false">(E6-D6)*Assumptions!$B$51/100</f>
        <v>-541.9313856</v>
      </c>
      <c r="F18" s="4" t="n">
        <f aca="false">(F6-E6)*Assumptions!$B$51/100</f>
        <v>-670.188480192001</v>
      </c>
      <c r="G18" s="4" t="n">
        <f aca="false">(G6-F6)*Assumptions!$B$51/100</f>
        <v>-614.658577547521</v>
      </c>
      <c r="H18" s="4" t="n">
        <f aca="false">(H6-G6)*Assumptions!$B$51/100</f>
        <v>-542.948410166977</v>
      </c>
      <c r="I18" s="4" t="n">
        <f aca="false">(I6-H6)*Assumptions!$B$51/100</f>
        <v>-456.07666454026</v>
      </c>
      <c r="J18" s="4" t="n">
        <f aca="false">(J6-I6)*Assumptions!$B$51/100</f>
        <v>-474.319731121872</v>
      </c>
      <c r="K18" s="4" t="n">
        <f aca="false">(K6-J6)*Assumptions!$B$51/100</f>
        <v>-369.969390275059</v>
      </c>
      <c r="L18" s="4" t="n">
        <f aca="false">(L6-K6)*Assumptions!$B$51/100</f>
        <v>-381.068471983311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1459.02627584</v>
      </c>
      <c r="D19" s="0" t="n">
        <f aca="false">D15+D16+D17+D18</f>
        <v>1231.0002014208</v>
      </c>
      <c r="E19" s="0" t="n">
        <f aca="false">E15+E16+E17+E18</f>
        <v>1404.64411073741</v>
      </c>
      <c r="F19" s="0" t="n">
        <f aca="false">F15+F16+F17+F18</f>
        <v>1768.0317148165</v>
      </c>
      <c r="G19" s="0" t="n">
        <f aca="false">G15+G16+G17+G18</f>
        <v>2059.88554735645</v>
      </c>
      <c r="H19" s="0" t="n">
        <f aca="false">H15+H16+H17+H18</f>
        <v>2344.09979940279</v>
      </c>
      <c r="I19" s="0" t="n">
        <f aca="false">I15+I16+I17+I18</f>
        <v>2546.45347341229</v>
      </c>
      <c r="J19" s="0" t="n">
        <f aca="false">J15+J16+J17+J18</f>
        <v>2648.31161234878</v>
      </c>
      <c r="K19" s="0" t="n">
        <f aca="false">K15+K16+K17+K18</f>
        <v>2846.34089349972</v>
      </c>
      <c r="L19" s="0" t="n">
        <f aca="false">L15+L16+L17+L18</f>
        <v>2931.73112030471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1326.38752349091</v>
      </c>
      <c r="D21" s="0" t="n">
        <f aca="false">D19*D20</f>
        <v>1017.3555383643</v>
      </c>
      <c r="E21" s="0" t="n">
        <f aca="false">E19*E20</f>
        <v>1055.32991039625</v>
      </c>
      <c r="F21" s="0" t="n">
        <f aca="false">F19*F20</f>
        <v>1207.58945073185</v>
      </c>
      <c r="G21" s="0" t="n">
        <f aca="false">G19*G20</f>
        <v>1279.026859415</v>
      </c>
      <c r="H21" s="0" t="n">
        <f aca="false">H19*H20</f>
        <v>1323.18322620716</v>
      </c>
      <c r="I21" s="0" t="n">
        <f aca="false">I19*I20</f>
        <v>1306.7332725783</v>
      </c>
      <c r="J21" s="0" t="n">
        <f aca="false">J19*J20</f>
        <v>1235.45691225585</v>
      </c>
      <c r="K21" s="0" t="n">
        <f aca="false">K19*K20</f>
        <v>1207.12639400944</v>
      </c>
      <c r="L21" s="0" t="n">
        <f aca="false">L19*L20</f>
        <v>1130.3092598452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12088.4983472943</v>
      </c>
    </row>
    <row r="31" customFormat="false" ht="15" hidden="false" customHeight="false" outlineLevel="0" collapsed="false">
      <c r="A31" s="0" t="s">
        <v>136</v>
      </c>
      <c r="B31" s="0" t="n">
        <f aca="false">L19</f>
        <v>2931.73112030471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40066.9919774977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35180.7734436565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35180.7734436565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13563.7111181424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25652.2094654367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25167.6094654367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133.444376805072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0.146922018092587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544.914961692047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576.567131905702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139.390729369218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24040.1951864986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79.4598686911032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76.2447930388913</v>
      </c>
      <c r="C4" s="0" t="n">
        <f aca="false">B4/Assumptions!$B$2-1</f>
        <v>-0.344694516210646</v>
      </c>
      <c r="D4" s="4" t="n">
        <f aca="false">Assumptions!$B$24</f>
        <v>0.25</v>
      </c>
      <c r="E4" s="4" t="n">
        <f aca="false">DCF_Bear!$B$43</f>
        <v>80.4717659457847</v>
      </c>
      <c r="F4" s="4" t="n">
        <f aca="false">DCF_Bear!$B$47</f>
        <v>47.5524290660176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108.400088266441</v>
      </c>
      <c r="C5" s="0" t="n">
        <f aca="false">B5/Assumptions!$B$2-1</f>
        <v>-0.0683275610963419</v>
      </c>
      <c r="D5" s="4" t="n">
        <f aca="false">Assumptions!$B$38</f>
        <v>0.5</v>
      </c>
      <c r="E5" s="4" t="n">
        <f aca="false">DCF_Base!$B$43</f>
        <v>113.645295424129</v>
      </c>
      <c r="F5" s="4" t="n">
        <f aca="false">DCF_Base!$B$47</f>
        <v>66.0343793477983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133.444376805072</v>
      </c>
      <c r="C6" s="0" t="n">
        <f aca="false">B6/Assumptions!$B$2-1</f>
        <v>0.146922018092587</v>
      </c>
      <c r="D6" s="4" t="n">
        <f aca="false">Assumptions!$B$52</f>
        <v>0.25</v>
      </c>
      <c r="E6" s="4" t="n">
        <f aca="false">DCF_Bull!$B$43</f>
        <v>139.390729369218</v>
      </c>
      <c r="F6" s="4" t="n">
        <f aca="false">DCF_Bull!$B$47</f>
        <v>79.4598686911032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106.622336594211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111.788271540815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-0.0912347610877333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188.304024466741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64.7702641131793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116.449264550443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108.400088266441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101.044020168672</v>
      </c>
      <c r="C17" s="3" t="n">
        <v>11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89.6379041113433</v>
      </c>
      <c r="C18" s="3" t="n">
        <v>12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66.0343793477983</v>
      </c>
      <c r="C19" s="3" t="n">
        <v>15</v>
      </c>
    </row>
    <row r="21" customFormat="false" ht="15" hidden="false" customHeight="false" outlineLevel="0" collapsed="false">
      <c r="A21" s="2" t="s">
        <v>172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125.267326011501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125.267326011501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125.267326011501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125.267326011501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125.267326011501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116.449264550443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116.449264550443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116.449264550443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116.449264550443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116.449264550443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108.128029001283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108.400088266441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108.400088266441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108.400088266441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108.400088266441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95.4850299037218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98.2274651010974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101.044020168672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101.044020168672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101.044020168672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85.3011561275716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87.3611114198632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89.6379041113433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92.1676737685435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94.3134605313472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2026-10-02T07:14:01Z</dcterms:created>
  <dc:creator>openpyxl</dc:creator>
  <dc:description/>
  <dc:language>en-NZ</dc:language>
  <cp:lastModifiedBy/>
  <dcterms:modified xsi:type="dcterms:W3CDTF">2026-10-02T07:14:01Z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