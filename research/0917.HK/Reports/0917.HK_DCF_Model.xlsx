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<sst xmlns="http://schemas.openxmlformats.org/spreadsheetml/2006/main" count="342" uniqueCount="160">
  <si>
    <t xml:space="preserve">Ticker</t>
  </si>
  <si>
    <t xml:space="preserve">0917.HK</t>
  </si>
  <si>
    <t xml:space="preserve">Company</t>
  </si>
  <si>
    <t xml:space="preserve">Qunabox Group Limited</t>
  </si>
  <si>
    <t xml:space="preserve">Valuation date</t>
  </si>
  <si>
    <t xml:space="preserve">2026-10-11</t>
  </si>
  <si>
    <t xml:space="preserve">Current price</t>
  </si>
  <si>
    <t xml:space="preserve">Price as of</t>
  </si>
  <si>
    <t xml:space="preserve">2026-10-09T08:08:06Z (HKEX regular close, Friday 9 Oct)</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</si>
  <si>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</si>
  <si>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</si>
  <si>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</si>
  <si>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</si>
  <si>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</si>
  <si>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</si>
  <si>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</si>
  <si>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</si>
  <si>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</si>
  <si>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</si>
  <si>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</si>
  <si>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</si>
  <si>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</si>
  <si>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2026-10-11T10:41:19Z</t>
  </si>
  <si>
    <t xml:space="preserve">Drivers file</t>
  </si>
  <si>
    <t xml:space="preserve">0917.HK_Drivers.json</t>
  </si>
  <si>
    <t xml:space="preserve">Convention</t>
  </si>
  <si>
    <t xml:space="preserve">Percents stored as percents; formulas divide by 100. Blue = input, green = link, black = formula.</t>
  </si>
  <si>
    <t xml:space="preserve">Methodology</t>
  </si>
  <si>
    <t xml:space="preserve">summary: Owner-FCF DCF on a conservatively framed, components-built margin, with all non-operating income (interest, wealth-management fair-value gains) stripped from the flows and its source assets credited once in the bridge. The arithmetic result is that the business is worth several times the current price in every scenario, because the issued-share market capitalisation (~HK$1.75bn) is below net cash plus liquid wealth-management products (~HK$1.68bn) and the operating business is generating roughly RMB300m of owner FCF a year. That gap is the finding, not the thesis: a 95% drawdown with no profit warning, no suspension and no subsequent-event disclosure means the market is pricing either a failure of the balance sheet as reported, or a permanent inability of a Hong Kong-listed Cayman holdco to get onshore RMB cash to shareholders (no dividend has ever been paid; the FY2025 buyback was RMB18m against RMB1.5bn of cash). None of the three scenarios models that outcome; the DCF value is conditional on the accounts being true and the cash being accessible. Before any position, verify the cash and wealth-management balances against the auditor's report and bank confirmations, check for undisclosed pledges or related-party flows, and look for any capital-return commitment. A return of capital (special dividend or substantial buyback) would be the catalyst that forces the market to re-price the cash.
key_risks_to_valuation: Balance-sheet integrity and cash accessibility: ~RMB1.95bn of cash and wealth-management products held onshore under a Cayman holdco that has never paid a dividend; the valuation is mostly this cash plus a 12x terminal multiple on a thin operating record. The 95% share-price collapse is unexplained by any disclosure.; Customer concentration: 29 KA customers = 67% of H1 FY2026 revenue; project-based, re-tendered each cycle, tied to discretionary FMCG new-product budgets and to Chinese consumer stimulus policy.; Receivables: 131-day DSO, RMB672m trade receivables at 30 Jun 2026 (RMB778m gross), RMB35m/yr ECL charges, growth absorbs ~30% of incremental revenue in working capital.; Tax: HNTE 15% concession runs to December 2028; loss moves the cash rate to 25%.; Capex under-investment: FY2025 capex 0.65% of revenue and nil in H1 FY2026 against 3% depreciation; the model rebuilds capex to 2.5%, but if terminal retirements are not replaced the revenue base erodes.; Competition and obsolescence: 0.9% share of a fragmented outdoor FMCG marketing market; larger AI/retail-media platforms could commoditise interactive terminals.; Execution drag from the Dubai/Singapore 'physical AI entertainment' pivot and planned M&amp;A, both excluded from the flows but a potential use of the cash the valuation credits.; Currency: RMB flows against an HKD quote; a 10% RMB depreciation moves the HKD value one-for-one.</t>
  </si>
  <si>
    <t xml:space="preserve">Data sources</t>
  </si>
  <si>
    <t xml:space="preserve">price: Yahoo Finance chart API, regular HKEX close at inputs.price_as_of; 52-week range 6.345-49.5 HKD. CNY/HKD from Yahoo CNYHKD=X, 2026-10-10.
financials: 0917.HK_Metrics.csv / core_metrics (FY2022-FY2025 annual, H1 FY2023-H1 FY2026 interim) and kpis; FY2025 annual report (income statement line 4594ff, cash flow 4826ff, tax note 6857ff); H1 FY2026 interim report (highlights 236ff, segment table 640ff, balance sheet 2236ff, cash flow 2378ff, EPS note 2729ff, options 1501ff/1616ff).
qualitative: 0917.HK_Analysis.json (qualitative analyst, 2026-10-11): business model, competitive position, growth drivers, risks, bull/bear points.</t>
  </si>
  <si>
    <t xml:space="preserve">Scenario narrative: bear</t>
  </si>
  <si>
    <t xml:space="preserve">The business is a project-based, campaign-tendered marketing vendor with 0.9% share in a fragmented market and two-thirds of revenue from 29 key accounts. A China consumer slowdown and the end of subsidy-driven product launches cut brand budgets; several KA accounts re-tender to digital retail media or cheaper AI-content vendors; revenue stalls in FY2027 and falls 5% over FY2028-29, the EBITDA margin compresses to 13% because S&amp;D and R&amp;D are sticky, the HNTE concession is lost in 2028 (25% tax), and receivable quality deteriorates. The company remains cash-generative and the cash pile is intact, so even the bear value sits well above the current price; the one outcome none of the three scenarios models is a balance-sheet integrity or repatriation failure, which is the only reading that reconciles today's price.</t>
  </si>
  <si>
    <t xml:space="preserve">Scenario narrative: base</t>
  </si>
  <si>
    <t xml:space="preserve">Qunabox keeps growing its marketing-services revenue at 20% in FY2026 decelerating to GDP-like rates by year 8, as AI interactive services (RMB131.6m in H1 FY2026, +102%, 93% gross margin, 21.6% penetration of 236 brand customers) are cross-sold into the installed terminal network without large new-site capex. EBITDA margin settles around 23-24%, between the FY2025 trough (20.2%, R&amp;D step-up) and the H1 FY2026 run-rate (25.1%). Capex is rebuilt from today's near-zero to match depreciation so the terminal fleet is replaced; cash tax ramps from the HNTE-aided 12% to 20%; receivables keep absorbing 30% of every incremental RMB of revenue. The RMB1.1bn net cash and RMB337m of wealth-management products are credited at book.</t>
  </si>
  <si>
    <t xml:space="preserve">Scenario narrative: bull</t>
  </si>
  <si>
    <t xml:space="preserve">AI interactive penetration climbs toward half the brand base, KA ARPU keeps rising double digits, new verticals (NEVs, appliances, cosmetics) add customers, and the H1 FY2026 operating leverage carries the EBITDA margin to 28%. Growth of 24% in FY2026 fades to 3% only by year 10. HNTE status is renewed through the horizon and DSO improves as engagements move to annual contracts. No value is given to the Dubai Holox JV or Singapore entertainment projects.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</si>
  <si>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</si>
  <si>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</si>
  <si>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</si>
  <si>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</si>
  <si>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</si>
  <si>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</si>
  <si>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</si>
  <si>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</si>
  <si>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</si>
  <si>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</si>
  <si>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</si>
  <si>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</si>
  <si>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</si>
  <si>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</si>
  <si>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</si>
  <si>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</si>
  <si>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</si>
  <si>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</si>
  <si>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</si>
  <si>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</si>
  <si>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</si>
  <si>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</si>
  <si>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</si>
  <si>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</si>
  <si>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</si>
  <si>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</si>
  <si>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</si>
  <si>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</si>
  <si>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</si>
  <si>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</si>
  <si>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</si>
  <si>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</si>
  <si>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</si>
  <si>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</si>
  <si>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</si>
  <si>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</si>
  <si>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</si>
  <si>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</si>
  <si>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</si>
  <si>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</si>
  <si>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</si>
  <si>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</si>
  <si>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</si>
  <si>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</si>
  <si>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</si>
  <si>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</si>
  <si>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</si>
  <si>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</si>
  <si>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</si>
  <si>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</si>
  <si>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</si>
  <si>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</si>
  <si>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</si>
  <si>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</si>
  <si>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</si>
  <si>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</si>
  <si>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</si>
  <si>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</si>
  <si>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</si>
  <si>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</si>
  <si>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</si>
  <si>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</si>
  <si>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</si>
  <si>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</si>
  <si>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</si>
  <si>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</si>
  <si>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</si>
  <si>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</si>
  <si>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</si>
  <si>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0917.HK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</si>
  <si>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</si>
  <si>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</si>
  <si>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</si>
  <si>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</si>
  <si>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</si>
  <si>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</si>
  <si>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</si>
  <si>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</si>
  <si>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</si>
  <si>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</si>
  <si>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</si>
  <si>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</si>
  <si>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</si>
  <si>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</si>
  <si>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</si>
  <si>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</si>
  <si>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</si>
  <si>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</si>
  <si>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</si>
  <si>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</si>
  <si>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</si>
  <si>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</si>
  <si>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</si>
  <si>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</si>
  <si>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</si>
  <si>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</si>
  <si>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</si>
  <si>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</si>
  <si>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</si>
  <si>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</si>
  <si>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0917.HK owner-FCF component DCF: base case (millions, CNY)</t>
  </si>
  <si>
    <t xml:space="preserve">0917.HK owner-FCF component DCF: bull case (millions, CNY)</t>
  </si>
  <si>
    <t xml:space="preserve">0917.HK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</si>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</sst>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6.615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553.617</v>
      </c>
      <c r="D2" s="0" t="n">
        <v>334.64</v>
      </c>
      <c r="E2" s="0" t="n">
        <v>60.4</v>
      </c>
      <c r="H2" s="0" t="n">
        <v>-39.578</v>
      </c>
      <c r="I2" s="0" t="n">
        <v>-116.057</v>
      </c>
      <c r="J2" s="0" t="n">
        <v>-21</v>
      </c>
      <c r="O2" s="0" t="n">
        <v>-573.66</v>
      </c>
      <c r="P2" s="0" t="n">
        <v>823.591</v>
      </c>
      <c r="Q2" s="0" t="n">
        <v>1397.251</v>
      </c>
      <c r="S2" s="0" t="n">
        <v>87.342</v>
      </c>
      <c r="V2" s="0" t="n">
        <v>0</v>
      </c>
      <c r="AA2" s="0" t="s">
        <v>18</v>
      </c>
      <c r="AB2" s="0" t="s">
        <v>14</v>
      </c>
    </row>
    <row r="3" customFormat="false" ht="15" hidden="false" customHeight="false" outlineLevel="0" collapsed="false">
      <c r="A3" s="0" t="s">
        <v>66</v>
      </c>
      <c r="B3" s="0" t="n">
        <v>1006.697</v>
      </c>
      <c r="C3" s="0" t="n">
        <v>-471.43</v>
      </c>
      <c r="D3" s="0" t="n">
        <v>535.267</v>
      </c>
      <c r="E3" s="0" t="n">
        <v>53.2</v>
      </c>
      <c r="F3" s="0" t="n">
        <v>158.447</v>
      </c>
      <c r="G3" s="0" t="n">
        <v>15.7</v>
      </c>
      <c r="H3" s="0" t="n">
        <v>216.236</v>
      </c>
      <c r="I3" s="0" t="n">
        <v>130.942</v>
      </c>
      <c r="J3" s="0" t="n">
        <v>13</v>
      </c>
      <c r="K3" s="0" t="n">
        <v>1.25</v>
      </c>
      <c r="L3" s="0" t="n">
        <v>191.712</v>
      </c>
      <c r="M3" s="0" t="n">
        <v>35.464</v>
      </c>
      <c r="N3" s="0" t="n">
        <v>156.248</v>
      </c>
      <c r="O3" s="0" t="n">
        <v>-387.825</v>
      </c>
      <c r="P3" s="0" t="n">
        <v>1067.374</v>
      </c>
      <c r="Q3" s="0" t="n">
        <v>1435.317</v>
      </c>
      <c r="R3" s="0" t="n">
        <v>133.44</v>
      </c>
      <c r="S3" s="0" t="n">
        <v>299.018</v>
      </c>
      <c r="T3" s="0" t="n">
        <v>252.607</v>
      </c>
      <c r="U3" s="0" t="n">
        <v>14.634</v>
      </c>
      <c r="V3" s="0" t="n">
        <v>0</v>
      </c>
      <c r="AA3" s="0" t="s">
        <v>18</v>
      </c>
      <c r="AB3" s="0" t="s">
        <v>14</v>
      </c>
      <c r="AC3" s="0" t="n">
        <v>280.242</v>
      </c>
    </row>
    <row r="4" customFormat="false" ht="15" hidden="false" customHeight="false" outlineLevel="0" collapsed="false">
      <c r="A4" s="0" t="s">
        <v>67</v>
      </c>
      <c r="B4" s="0" t="n">
        <v>1339.5</v>
      </c>
      <c r="C4" s="0" t="n">
        <v>-589.713</v>
      </c>
      <c r="D4" s="0" t="n">
        <v>749.787</v>
      </c>
      <c r="E4" s="0" t="n">
        <v>56</v>
      </c>
      <c r="F4" s="0" t="n">
        <v>-1623.779</v>
      </c>
      <c r="G4" s="0" t="n">
        <v>-121.2</v>
      </c>
      <c r="H4" s="0" t="n">
        <v>-1574.186</v>
      </c>
      <c r="I4" s="0" t="n">
        <v>-1672.156</v>
      </c>
      <c r="J4" s="0" t="n">
        <v>-124.8</v>
      </c>
      <c r="K4" s="0" t="n">
        <v>-8.4</v>
      </c>
      <c r="L4" s="0" t="n">
        <v>173.307</v>
      </c>
      <c r="M4" s="0" t="n">
        <v>46.183</v>
      </c>
      <c r="N4" s="0" t="n">
        <v>127.124</v>
      </c>
      <c r="O4" s="0" t="n">
        <v>1536.358</v>
      </c>
      <c r="P4" s="0" t="n">
        <v>2106.346</v>
      </c>
      <c r="Q4" s="0" t="n">
        <v>540.678</v>
      </c>
      <c r="R4" s="0" t="n">
        <v>426.84</v>
      </c>
      <c r="S4" s="0" t="n">
        <v>891.987</v>
      </c>
      <c r="T4" s="0" t="n">
        <v>199.108</v>
      </c>
      <c r="U4" s="0" t="n">
        <v>17.628</v>
      </c>
      <c r="V4" s="0" t="n">
        <v>0</v>
      </c>
      <c r="AA4" s="0" t="s">
        <v>18</v>
      </c>
      <c r="AB4" s="0" t="s">
        <v>14</v>
      </c>
      <c r="AC4" s="0" t="n">
        <v>339.718</v>
      </c>
    </row>
    <row r="5" customFormat="false" ht="15" hidden="false" customHeight="false" outlineLevel="0" collapsed="false">
      <c r="A5" s="0" t="s">
        <v>68</v>
      </c>
      <c r="B5" s="0" t="n">
        <v>1663.244</v>
      </c>
      <c r="C5" s="0" t="n">
        <v>-709.978</v>
      </c>
      <c r="D5" s="0" t="n">
        <v>953.266</v>
      </c>
      <c r="E5" s="0" t="n">
        <v>57.3</v>
      </c>
      <c r="F5" s="0" t="n">
        <v>345.054</v>
      </c>
      <c r="G5" s="0" t="n">
        <v>20.7</v>
      </c>
      <c r="H5" s="0" t="n">
        <v>378.061</v>
      </c>
      <c r="I5" s="0" t="n">
        <v>285.738</v>
      </c>
      <c r="J5" s="0" t="n">
        <v>17.2</v>
      </c>
      <c r="K5" s="0" t="n">
        <v>1.08</v>
      </c>
      <c r="L5" s="0" t="n">
        <v>368.947</v>
      </c>
      <c r="M5" s="0" t="n">
        <v>10.84</v>
      </c>
      <c r="N5" s="0" t="n">
        <v>358.107</v>
      </c>
      <c r="O5" s="0" t="n">
        <v>2015.658</v>
      </c>
      <c r="P5" s="0" t="n">
        <v>2727.428</v>
      </c>
      <c r="Q5" s="0" t="n">
        <v>711.153</v>
      </c>
      <c r="R5" s="0" t="n">
        <v>534.94</v>
      </c>
      <c r="S5" s="0" t="n">
        <v>1506.112</v>
      </c>
      <c r="T5" s="0" t="n">
        <v>297.717</v>
      </c>
      <c r="U5" s="0" t="n">
        <v>11.464</v>
      </c>
      <c r="V5" s="0" t="n">
        <v>0</v>
      </c>
      <c r="AA5" s="0" t="s">
        <v>18</v>
      </c>
      <c r="AB5"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69</v>
      </c>
      <c r="B1" s="2" t="s">
        <v>70</v>
      </c>
    </row>
    <row r="2" customFormat="false" ht="15" hidden="false" customHeight="false" outlineLevel="0" collapsed="false">
      <c r="A2" s="0" t="s">
        <v>71</v>
      </c>
      <c r="B2" s="3" t="n">
        <v>6.615</v>
      </c>
    </row>
    <row r="3" customFormat="false" ht="15" hidden="false" customHeight="false" outlineLevel="0" collapsed="false">
      <c r="A3" s="0" t="s">
        <v>72</v>
      </c>
      <c r="B3" s="3" t="n">
        <v>293.534</v>
      </c>
    </row>
    <row r="4" customFormat="false" ht="15" hidden="false" customHeight="false" outlineLevel="0" collapsed="false">
      <c r="A4" s="0" t="s">
        <v>73</v>
      </c>
      <c r="B4" s="3" t="n">
        <v>-1098.682</v>
      </c>
    </row>
    <row r="5" customFormat="false" ht="15" hidden="false" customHeight="false" outlineLevel="0" collapsed="false">
      <c r="A5" s="0" t="s">
        <v>74</v>
      </c>
      <c r="B5" s="3" t="n">
        <v>335.311</v>
      </c>
    </row>
    <row r="6" customFormat="false" ht="15" hidden="false" customHeight="false" outlineLevel="0" collapsed="false">
      <c r="A6" s="0" t="s">
        <v>75</v>
      </c>
      <c r="B6" s="3" t="n">
        <v>15</v>
      </c>
    </row>
    <row r="7" customFormat="false" ht="15" hidden="false" customHeight="false" outlineLevel="0" collapsed="false">
      <c r="A7" s="0" t="s">
        <v>76</v>
      </c>
      <c r="B7" s="3" t="n">
        <v>1663.244</v>
      </c>
    </row>
    <row r="8" customFormat="false" ht="15" hidden="false" customHeight="false" outlineLevel="0" collapsed="false">
      <c r="A8" s="0" t="s">
        <v>77</v>
      </c>
      <c r="B8" s="3" t="s">
        <v>68</v>
      </c>
    </row>
    <row r="9" customFormat="false" ht="15" hidden="false" customHeight="false" outlineLevel="0" collapsed="false">
      <c r="A9" s="0" t="s">
        <v>78</v>
      </c>
      <c r="B9" s="3" t="s">
        <v>79</v>
      </c>
    </row>
    <row r="10" customFormat="false" ht="15" hidden="false" customHeight="false" outlineLevel="0" collapsed="false">
      <c r="A10" s="0" t="s">
        <v>80</v>
      </c>
      <c r="B10" s="3" t="n">
        <v>1.1721</v>
      </c>
    </row>
    <row r="12" customFormat="false" ht="15" hidden="false" customHeight="false" outlineLevel="0" collapsed="false">
      <c r="A12" s="2" t="s">
        <v>81</v>
      </c>
      <c r="C12" s="2" t="s">
        <v>82</v>
      </c>
      <c r="D12" s="2" t="s">
        <v>83</v>
      </c>
      <c r="E12" s="2" t="s">
        <v>84</v>
      </c>
      <c r="F12" s="2" t="s">
        <v>85</v>
      </c>
      <c r="G12" s="2" t="s">
        <v>86</v>
      </c>
      <c r="H12" s="2" t="s">
        <v>87</v>
      </c>
      <c r="I12" s="2" t="s">
        <v>88</v>
      </c>
      <c r="J12" s="2" t="s">
        <v>89</v>
      </c>
      <c r="K12" s="2" t="s">
        <v>90</v>
      </c>
      <c r="L12" s="2" t="s">
        <v>91</v>
      </c>
    </row>
    <row r="13" customFormat="false" ht="15" hidden="false" customHeight="false" outlineLevel="0" collapsed="false">
      <c r="A13" s="0" t="s">
        <v>92</v>
      </c>
      <c r="C13" s="3" t="n">
        <v>12</v>
      </c>
      <c r="D13" s="3" t="n">
        <v>3</v>
      </c>
      <c r="E13" s="3" t="n">
        <v>-3</v>
      </c>
      <c r="F13" s="3" t="n">
        <v>-2</v>
      </c>
      <c r="G13" s="3" t="n">
        <v>0</v>
      </c>
      <c r="H13" s="3" t="n">
        <v>1</v>
      </c>
      <c r="I13" s="3" t="n">
        <v>2</v>
      </c>
      <c r="J13" s="3" t="n">
        <v>2</v>
      </c>
      <c r="K13" s="3" t="n">
        <v>2</v>
      </c>
      <c r="L13" s="3" t="n">
        <v>2</v>
      </c>
    </row>
    <row r="14" customFormat="false" ht="15" hidden="false" customHeight="false" outlineLevel="0" collapsed="false">
      <c r="A14" s="0" t="s">
        <v>93</v>
      </c>
      <c r="C14" s="3" t="n">
        <v>21</v>
      </c>
      <c r="D14" s="3" t="n">
        <v>18</v>
      </c>
      <c r="E14" s="3" t="n">
        <v>15</v>
      </c>
      <c r="F14" s="3" t="n">
        <v>13</v>
      </c>
      <c r="G14" s="3" t="n">
        <v>13</v>
      </c>
      <c r="H14" s="3" t="n">
        <v>13</v>
      </c>
      <c r="I14" s="3" t="n">
        <v>13</v>
      </c>
      <c r="J14" s="3" t="n">
        <v>13</v>
      </c>
      <c r="K14" s="3" t="n">
        <v>13</v>
      </c>
      <c r="L14" s="3" t="n">
        <v>13</v>
      </c>
    </row>
    <row r="15" customFormat="false" ht="15" hidden="false" customHeight="false" outlineLevel="0" collapsed="false">
      <c r="A15" s="0" t="s">
        <v>94</v>
      </c>
      <c r="C15" s="3" t="n">
        <v>0.6</v>
      </c>
      <c r="D15" s="3" t="n">
        <v>0.6</v>
      </c>
      <c r="E15" s="3" t="n">
        <v>0.5</v>
      </c>
      <c r="F15" s="3" t="n">
        <v>0.5</v>
      </c>
      <c r="G15" s="3" t="n">
        <v>0.5</v>
      </c>
      <c r="H15" s="3" t="n">
        <v>0.5</v>
      </c>
      <c r="I15" s="3" t="n">
        <v>0.5</v>
      </c>
      <c r="J15" s="3" t="n">
        <v>0.5</v>
      </c>
      <c r="K15" s="3" t="n">
        <v>0.5</v>
      </c>
      <c r="L15" s="3" t="n">
        <v>0.5</v>
      </c>
    </row>
    <row r="16" customFormat="false" ht="15" hidden="false" customHeight="false" outlineLevel="0" collapsed="false">
      <c r="A16" s="0" t="s">
        <v>95</v>
      </c>
      <c r="C16" s="3" t="n">
        <v>0.2</v>
      </c>
      <c r="D16" s="3" t="n">
        <v>0.2</v>
      </c>
      <c r="E16" s="3" t="n">
        <v>0.2</v>
      </c>
      <c r="F16" s="3" t="n">
        <v>0.2</v>
      </c>
      <c r="G16" s="3" t="n">
        <v>0.2</v>
      </c>
      <c r="H16" s="3" t="n">
        <v>0.2</v>
      </c>
      <c r="I16" s="3" t="n">
        <v>0.2</v>
      </c>
      <c r="J16" s="3" t="n">
        <v>0.2</v>
      </c>
      <c r="K16" s="3" t="n">
        <v>0.2</v>
      </c>
      <c r="L16" s="3" t="n">
        <v>0.2</v>
      </c>
    </row>
    <row r="17" customFormat="false" ht="15" hidden="false" customHeight="false" outlineLevel="0" collapsed="false">
      <c r="A17" s="0" t="s">
        <v>96</v>
      </c>
      <c r="C17" s="3" t="n">
        <v>3</v>
      </c>
      <c r="D17" s="3" t="n">
        <v>3</v>
      </c>
      <c r="E17" s="3" t="n">
        <v>3</v>
      </c>
      <c r="F17" s="3" t="n">
        <v>2.9</v>
      </c>
      <c r="G17" s="3" t="n">
        <v>2.8</v>
      </c>
      <c r="H17" s="3" t="n">
        <v>2.7</v>
      </c>
      <c r="I17" s="3" t="n">
        <v>2.6</v>
      </c>
      <c r="J17" s="3" t="n">
        <v>2.5</v>
      </c>
      <c r="K17" s="3" t="n">
        <v>2.5</v>
      </c>
      <c r="L17" s="3" t="n">
        <v>2.5</v>
      </c>
    </row>
    <row r="18" customFormat="false" ht="15" hidden="false" customHeight="false" outlineLevel="0" collapsed="false">
      <c r="A18" s="0" t="s">
        <v>97</v>
      </c>
      <c r="C18" s="3" t="n">
        <v>2</v>
      </c>
      <c r="D18" s="3" t="n">
        <v>2.5</v>
      </c>
      <c r="E18" s="3" t="n">
        <v>2.5</v>
      </c>
      <c r="F18" s="3" t="n">
        <v>2.5</v>
      </c>
      <c r="G18" s="3" t="n">
        <v>2.5</v>
      </c>
      <c r="H18" s="3" t="n">
        <v>2.5</v>
      </c>
      <c r="I18" s="3" t="n">
        <v>2.5</v>
      </c>
      <c r="J18" s="3" t="n">
        <v>2.5</v>
      </c>
      <c r="K18" s="3" t="n">
        <v>2.5</v>
      </c>
      <c r="L18" s="3" t="n">
        <v>2.5</v>
      </c>
    </row>
    <row r="19" customFormat="false" ht="15" hidden="false" customHeight="false" outlineLevel="0" collapsed="false">
      <c r="A19" s="0" t="s">
        <v>98</v>
      </c>
      <c r="C19" s="3" t="n">
        <v>12</v>
      </c>
      <c r="D19" s="3" t="n">
        <v>15</v>
      </c>
      <c r="E19" s="3" t="n">
        <v>18</v>
      </c>
      <c r="F19" s="3" t="n">
        <v>25</v>
      </c>
      <c r="G19" s="3" t="n">
        <v>25</v>
      </c>
      <c r="H19" s="3" t="n">
        <v>25</v>
      </c>
      <c r="I19" s="3" t="n">
        <v>25</v>
      </c>
      <c r="J19" s="3" t="n">
        <v>25</v>
      </c>
      <c r="K19" s="3" t="n">
        <v>25</v>
      </c>
      <c r="L19" s="3" t="n">
        <v>25</v>
      </c>
    </row>
    <row r="20" customFormat="false" ht="15" hidden="false" customHeight="false" outlineLevel="0" collapsed="false">
      <c r="A20" s="0" t="s">
        <v>99</v>
      </c>
      <c r="B20" s="3" t="n">
        <v>10</v>
      </c>
    </row>
    <row r="21" customFormat="false" ht="15" hidden="false" customHeight="false" outlineLevel="0" collapsed="false">
      <c r="A21" s="0" t="s">
        <v>100</v>
      </c>
      <c r="B21" s="3" t="n">
        <v>2</v>
      </c>
    </row>
    <row r="22" customFormat="false" ht="15" hidden="false" customHeight="false" outlineLevel="0" collapsed="false">
      <c r="A22" s="0" t="s">
        <v>101</v>
      </c>
      <c r="B22" s="3" t="n">
        <v>12</v>
      </c>
    </row>
    <row r="23" customFormat="false" ht="15" hidden="false" customHeight="false" outlineLevel="0" collapsed="false">
      <c r="A23" s="0" t="s">
        <v>102</v>
      </c>
      <c r="B23" s="3" t="n">
        <v>-35</v>
      </c>
    </row>
    <row r="24" customFormat="false" ht="15" hidden="false" customHeight="false" outlineLevel="0" collapsed="false">
      <c r="A24" s="0" t="s">
        <v>103</v>
      </c>
      <c r="B24" s="3" t="n">
        <v>0.4</v>
      </c>
    </row>
    <row r="26" customFormat="false" ht="15" hidden="false" customHeight="false" outlineLevel="0" collapsed="false">
      <c r="A26" s="2" t="s">
        <v>104</v>
      </c>
      <c r="C26" s="2" t="s">
        <v>82</v>
      </c>
      <c r="D26" s="2" t="s">
        <v>83</v>
      </c>
      <c r="E26" s="2" t="s">
        <v>84</v>
      </c>
      <c r="F26" s="2" t="s">
        <v>85</v>
      </c>
      <c r="G26" s="2" t="s">
        <v>86</v>
      </c>
      <c r="H26" s="2" t="s">
        <v>87</v>
      </c>
      <c r="I26" s="2" t="s">
        <v>88</v>
      </c>
      <c r="J26" s="2" t="s">
        <v>89</v>
      </c>
      <c r="K26" s="2" t="s">
        <v>90</v>
      </c>
      <c r="L26" s="2" t="s">
        <v>91</v>
      </c>
    </row>
    <row r="27" customFormat="false" ht="15" hidden="false" customHeight="false" outlineLevel="0" collapsed="false">
      <c r="A27" s="0" t="s">
        <v>92</v>
      </c>
      <c r="C27" s="3" t="n">
        <v>20</v>
      </c>
      <c r="D27" s="3" t="n">
        <v>15</v>
      </c>
      <c r="E27" s="3" t="n">
        <v>12</v>
      </c>
      <c r="F27" s="3" t="n">
        <v>9</v>
      </c>
      <c r="G27" s="3" t="n">
        <v>7</v>
      </c>
      <c r="H27" s="3" t="n">
        <v>5</v>
      </c>
      <c r="I27" s="3" t="n">
        <v>4</v>
      </c>
      <c r="J27" s="3" t="n">
        <v>3</v>
      </c>
      <c r="K27" s="3" t="n">
        <v>3</v>
      </c>
      <c r="L27" s="3" t="n">
        <v>3</v>
      </c>
    </row>
    <row r="28" customFormat="false" ht="15" hidden="false" customHeight="false" outlineLevel="0" collapsed="false">
      <c r="A28" s="0" t="s">
        <v>93</v>
      </c>
      <c r="C28" s="3" t="n">
        <v>23.5</v>
      </c>
      <c r="D28" s="3" t="n">
        <v>24</v>
      </c>
      <c r="E28" s="3" t="n">
        <v>24</v>
      </c>
      <c r="F28" s="3" t="n">
        <v>24</v>
      </c>
      <c r="G28" s="3" t="n">
        <v>24</v>
      </c>
      <c r="H28" s="3" t="n">
        <v>23.5</v>
      </c>
      <c r="I28" s="3" t="n">
        <v>23.5</v>
      </c>
      <c r="J28" s="3" t="n">
        <v>23</v>
      </c>
      <c r="K28" s="3" t="n">
        <v>23</v>
      </c>
      <c r="L28" s="3" t="n">
        <v>23</v>
      </c>
    </row>
    <row r="29" customFormat="false" ht="15" hidden="false" customHeight="false" outlineLevel="0" collapsed="false">
      <c r="A29" s="0" t="s">
        <v>94</v>
      </c>
      <c r="C29" s="3" t="n">
        <v>0.6</v>
      </c>
      <c r="D29" s="3" t="n">
        <v>0.6</v>
      </c>
      <c r="E29" s="3" t="n">
        <v>0.5</v>
      </c>
      <c r="F29" s="3" t="n">
        <v>0.5</v>
      </c>
      <c r="G29" s="3" t="n">
        <v>0.5</v>
      </c>
      <c r="H29" s="3" t="n">
        <v>0.5</v>
      </c>
      <c r="I29" s="3" t="n">
        <v>0.5</v>
      </c>
      <c r="J29" s="3" t="n">
        <v>0.5</v>
      </c>
      <c r="K29" s="3" t="n">
        <v>0.5</v>
      </c>
      <c r="L29" s="3" t="n">
        <v>0.5</v>
      </c>
    </row>
    <row r="30" customFormat="false" ht="15" hidden="false" customHeight="false" outlineLevel="0" collapsed="false">
      <c r="A30" s="0" t="s">
        <v>95</v>
      </c>
      <c r="C30" s="3" t="n">
        <v>0.2</v>
      </c>
      <c r="D30" s="3" t="n">
        <v>0.2</v>
      </c>
      <c r="E30" s="3" t="n">
        <v>0.2</v>
      </c>
      <c r="F30" s="3" t="n">
        <v>0.2</v>
      </c>
      <c r="G30" s="3" t="n">
        <v>0.2</v>
      </c>
      <c r="H30" s="3" t="n">
        <v>0.2</v>
      </c>
      <c r="I30" s="3" t="n">
        <v>0.2</v>
      </c>
      <c r="J30" s="3" t="n">
        <v>0.2</v>
      </c>
      <c r="K30" s="3" t="n">
        <v>0.2</v>
      </c>
      <c r="L30" s="3" t="n">
        <v>0.2</v>
      </c>
    </row>
    <row r="31" customFormat="false" ht="15" hidden="false" customHeight="false" outlineLevel="0" collapsed="false">
      <c r="A31" s="0" t="s">
        <v>96</v>
      </c>
      <c r="C31" s="3" t="n">
        <v>3</v>
      </c>
      <c r="D31" s="3" t="n">
        <v>2.9</v>
      </c>
      <c r="E31" s="3" t="n">
        <v>2.8</v>
      </c>
      <c r="F31" s="3" t="n">
        <v>2.7</v>
      </c>
      <c r="G31" s="3" t="n">
        <v>2.6</v>
      </c>
      <c r="H31" s="3" t="n">
        <v>2.5</v>
      </c>
      <c r="I31" s="3" t="n">
        <v>2.5</v>
      </c>
      <c r="J31" s="3" t="n">
        <v>2.5</v>
      </c>
      <c r="K31" s="3" t="n">
        <v>2.5</v>
      </c>
      <c r="L31" s="3" t="n">
        <v>2.5</v>
      </c>
    </row>
    <row r="32" customFormat="false" ht="15" hidden="false" customHeight="false" outlineLevel="0" collapsed="false">
      <c r="A32" s="0" t="s">
        <v>97</v>
      </c>
      <c r="C32" s="3" t="n">
        <v>1.5</v>
      </c>
      <c r="D32" s="3" t="n">
        <v>2</v>
      </c>
      <c r="E32" s="3" t="n">
        <v>2.2</v>
      </c>
      <c r="F32" s="3" t="n">
        <v>2.4</v>
      </c>
      <c r="G32" s="3" t="n">
        <v>2.5</v>
      </c>
      <c r="H32" s="3" t="n">
        <v>2.5</v>
      </c>
      <c r="I32" s="3" t="n">
        <v>2.5</v>
      </c>
      <c r="J32" s="3" t="n">
        <v>2.5</v>
      </c>
      <c r="K32" s="3" t="n">
        <v>2.5</v>
      </c>
      <c r="L32" s="3" t="n">
        <v>2.5</v>
      </c>
    </row>
    <row r="33" customFormat="false" ht="15" hidden="false" customHeight="false" outlineLevel="0" collapsed="false">
      <c r="A33" s="0" t="s">
        <v>98</v>
      </c>
      <c r="C33" s="3" t="n">
        <v>12</v>
      </c>
      <c r="D33" s="3" t="n">
        <v>13</v>
      </c>
      <c r="E33" s="3" t="n">
        <v>15</v>
      </c>
      <c r="F33" s="3" t="n">
        <v>16</v>
      </c>
      <c r="G33" s="3" t="n">
        <v>18</v>
      </c>
      <c r="H33" s="3" t="n">
        <v>20</v>
      </c>
      <c r="I33" s="3" t="n">
        <v>20</v>
      </c>
      <c r="J33" s="3" t="n">
        <v>20</v>
      </c>
      <c r="K33" s="3" t="n">
        <v>20</v>
      </c>
      <c r="L33" s="3" t="n">
        <v>20</v>
      </c>
    </row>
    <row r="34" customFormat="false" ht="15" hidden="false" customHeight="false" outlineLevel="0" collapsed="false">
      <c r="A34" s="0" t="s">
        <v>99</v>
      </c>
      <c r="B34" s="3" t="n">
        <v>10</v>
      </c>
    </row>
    <row r="35" customFormat="false" ht="15" hidden="false" customHeight="false" outlineLevel="0" collapsed="false">
      <c r="A35" s="0" t="s">
        <v>100</v>
      </c>
      <c r="B35" s="3" t="n">
        <v>2.5</v>
      </c>
    </row>
    <row r="36" customFormat="false" ht="15" hidden="false" customHeight="false" outlineLevel="0" collapsed="false">
      <c r="A36" s="0" t="s">
        <v>101</v>
      </c>
      <c r="B36" s="3" t="n">
        <v>12</v>
      </c>
    </row>
    <row r="37" customFormat="false" ht="15" hidden="false" customHeight="false" outlineLevel="0" collapsed="false">
      <c r="A37" s="0" t="s">
        <v>102</v>
      </c>
      <c r="B37" s="3" t="n">
        <v>-30</v>
      </c>
    </row>
    <row r="38" customFormat="false" ht="15" hidden="false" customHeight="false" outlineLevel="0" collapsed="false">
      <c r="A38" s="0" t="s">
        <v>103</v>
      </c>
      <c r="B38" s="3" t="n">
        <v>0.4</v>
      </c>
    </row>
    <row r="40" customFormat="false" ht="15" hidden="false" customHeight="false" outlineLevel="0" collapsed="false">
      <c r="A40" s="2" t="s">
        <v>105</v>
      </c>
      <c r="C40" s="2" t="s">
        <v>82</v>
      </c>
      <c r="D40" s="2" t="s">
        <v>83</v>
      </c>
      <c r="E40" s="2" t="s">
        <v>84</v>
      </c>
      <c r="F40" s="2" t="s">
        <v>85</v>
      </c>
      <c r="G40" s="2" t="s">
        <v>86</v>
      </c>
      <c r="H40" s="2" t="s">
        <v>87</v>
      </c>
      <c r="I40" s="2" t="s">
        <v>88</v>
      </c>
      <c r="J40" s="2" t="s">
        <v>89</v>
      </c>
      <c r="K40" s="2" t="s">
        <v>90</v>
      </c>
      <c r="L40" s="2" t="s">
        <v>91</v>
      </c>
    </row>
    <row r="41" customFormat="false" ht="15" hidden="false" customHeight="false" outlineLevel="0" collapsed="false">
      <c r="A41" s="0" t="s">
        <v>92</v>
      </c>
      <c r="C41" s="3" t="n">
        <v>24</v>
      </c>
      <c r="D41" s="3" t="n">
        <v>20</v>
      </c>
      <c r="E41" s="3" t="n">
        <v>17</v>
      </c>
      <c r="F41" s="3" t="n">
        <v>14</v>
      </c>
      <c r="G41" s="3" t="n">
        <v>11</v>
      </c>
      <c r="H41" s="3" t="n">
        <v>8</v>
      </c>
      <c r="I41" s="3" t="n">
        <v>6</v>
      </c>
      <c r="J41" s="3" t="n">
        <v>5</v>
      </c>
      <c r="K41" s="3" t="n">
        <v>4</v>
      </c>
      <c r="L41" s="3" t="n">
        <v>3</v>
      </c>
    </row>
    <row r="42" customFormat="false" ht="15" hidden="false" customHeight="false" outlineLevel="0" collapsed="false">
      <c r="A42" s="0" t="s">
        <v>93</v>
      </c>
      <c r="C42" s="3" t="n">
        <v>25</v>
      </c>
      <c r="D42" s="3" t="n">
        <v>26</v>
      </c>
      <c r="E42" s="3" t="n">
        <v>27</v>
      </c>
      <c r="F42" s="3" t="n">
        <v>27.5</v>
      </c>
      <c r="G42" s="3" t="n">
        <v>28</v>
      </c>
      <c r="H42" s="3" t="n">
        <v>28</v>
      </c>
      <c r="I42" s="3" t="n">
        <v>28</v>
      </c>
      <c r="J42" s="3" t="n">
        <v>27.5</v>
      </c>
      <c r="K42" s="3" t="n">
        <v>27.5</v>
      </c>
      <c r="L42" s="3" t="n">
        <v>27.5</v>
      </c>
    </row>
    <row r="43" customFormat="false" ht="15" hidden="false" customHeight="false" outlineLevel="0" collapsed="false">
      <c r="A43" s="0" t="s">
        <v>94</v>
      </c>
      <c r="C43" s="3" t="n">
        <v>0.6</v>
      </c>
      <c r="D43" s="3" t="n">
        <v>0.6</v>
      </c>
      <c r="E43" s="3" t="n">
        <v>0.5</v>
      </c>
      <c r="F43" s="3" t="n">
        <v>0.5</v>
      </c>
      <c r="G43" s="3" t="n">
        <v>0.5</v>
      </c>
      <c r="H43" s="3" t="n">
        <v>0.5</v>
      </c>
      <c r="I43" s="3" t="n">
        <v>0.5</v>
      </c>
      <c r="J43" s="3" t="n">
        <v>0.5</v>
      </c>
      <c r="K43" s="3" t="n">
        <v>0.5</v>
      </c>
      <c r="L43" s="3" t="n">
        <v>0.5</v>
      </c>
    </row>
    <row r="44" customFormat="false" ht="15" hidden="false" customHeight="false" outlineLevel="0" collapsed="false">
      <c r="A44" s="0" t="s">
        <v>95</v>
      </c>
      <c r="C44" s="3" t="n">
        <v>0.2</v>
      </c>
      <c r="D44" s="3" t="n">
        <v>0.2</v>
      </c>
      <c r="E44" s="3" t="n">
        <v>0.2</v>
      </c>
      <c r="F44" s="3" t="n">
        <v>0.2</v>
      </c>
      <c r="G44" s="3" t="n">
        <v>0.2</v>
      </c>
      <c r="H44" s="3" t="n">
        <v>0.2</v>
      </c>
      <c r="I44" s="3" t="n">
        <v>0.2</v>
      </c>
      <c r="J44" s="3" t="n">
        <v>0.2</v>
      </c>
      <c r="K44" s="3" t="n">
        <v>0.2</v>
      </c>
      <c r="L44" s="3" t="n">
        <v>0.2</v>
      </c>
    </row>
    <row r="45" customFormat="false" ht="15" hidden="false" customHeight="false" outlineLevel="0" collapsed="false">
      <c r="A45" s="0" t="s">
        <v>96</v>
      </c>
      <c r="C45" s="3" t="n">
        <v>3</v>
      </c>
      <c r="D45" s="3" t="n">
        <v>2.9</v>
      </c>
      <c r="E45" s="3" t="n">
        <v>2.8</v>
      </c>
      <c r="F45" s="3" t="n">
        <v>2.7</v>
      </c>
      <c r="G45" s="3" t="n">
        <v>2.6</v>
      </c>
      <c r="H45" s="3" t="n">
        <v>2.5</v>
      </c>
      <c r="I45" s="3" t="n">
        <v>2.5</v>
      </c>
      <c r="J45" s="3" t="n">
        <v>2.5</v>
      </c>
      <c r="K45" s="3" t="n">
        <v>2.5</v>
      </c>
      <c r="L45" s="3" t="n">
        <v>2.5</v>
      </c>
    </row>
    <row r="46" customFormat="false" ht="15" hidden="false" customHeight="false" outlineLevel="0" collapsed="false">
      <c r="A46" s="0" t="s">
        <v>97</v>
      </c>
      <c r="C46" s="3" t="n">
        <v>1.5</v>
      </c>
      <c r="D46" s="3" t="n">
        <v>2</v>
      </c>
      <c r="E46" s="3" t="n">
        <v>2.2</v>
      </c>
      <c r="F46" s="3" t="n">
        <v>2.4</v>
      </c>
      <c r="G46" s="3" t="n">
        <v>2.5</v>
      </c>
      <c r="H46" s="3" t="n">
        <v>2.5</v>
      </c>
      <c r="I46" s="3" t="n">
        <v>2.5</v>
      </c>
      <c r="J46" s="3" t="n">
        <v>2.5</v>
      </c>
      <c r="K46" s="3" t="n">
        <v>2.5</v>
      </c>
      <c r="L46" s="3" t="n">
        <v>2.5</v>
      </c>
    </row>
    <row r="47" customFormat="false" ht="15" hidden="false" customHeight="false" outlineLevel="0" collapsed="false">
      <c r="A47" s="0" t="s">
        <v>98</v>
      </c>
      <c r="C47" s="3" t="n">
        <v>12</v>
      </c>
      <c r="D47" s="3" t="n">
        <v>13</v>
      </c>
      <c r="E47" s="3" t="n">
        <v>15</v>
      </c>
      <c r="F47" s="3" t="n">
        <v>15</v>
      </c>
      <c r="G47" s="3" t="n">
        <v>15</v>
      </c>
      <c r="H47" s="3" t="n">
        <v>16</v>
      </c>
      <c r="I47" s="3" t="n">
        <v>17</v>
      </c>
      <c r="J47" s="3" t="n">
        <v>18</v>
      </c>
      <c r="K47" s="3" t="n">
        <v>18</v>
      </c>
      <c r="L47" s="3" t="n">
        <v>18</v>
      </c>
    </row>
    <row r="48" customFormat="false" ht="15" hidden="false" customHeight="false" outlineLevel="0" collapsed="false">
      <c r="A48" s="0" t="s">
        <v>99</v>
      </c>
      <c r="B48" s="3" t="n">
        <v>10</v>
      </c>
    </row>
    <row r="49" customFormat="false" ht="15" hidden="false" customHeight="false" outlineLevel="0" collapsed="false">
      <c r="A49" s="0" t="s">
        <v>100</v>
      </c>
      <c r="B49" s="3" t="n">
        <v>2.5</v>
      </c>
    </row>
    <row r="50" customFormat="false" ht="15" hidden="false" customHeight="false" outlineLevel="0" collapsed="false">
      <c r="A50" s="0" t="s">
        <v>101</v>
      </c>
      <c r="B50" s="3" t="n">
        <v>12</v>
      </c>
    </row>
    <row r="51" customFormat="false" ht="15" hidden="false" customHeight="false" outlineLevel="0" collapsed="false">
      <c r="A51" s="0" t="s">
        <v>102</v>
      </c>
      <c r="B51" s="3" t="n">
        <v>-25</v>
      </c>
    </row>
    <row r="52" customFormat="false" ht="15" hidden="false" customHeight="false" outlineLevel="0" collapsed="false">
      <c r="A52" s="0" t="s">
        <v>103</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106</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Assumptions!C13</f>
        <v>12</v>
      </c>
      <c r="D5" s="4" t="n">
        <f aca="false">Assumptions!D13</f>
        <v>3</v>
      </c>
      <c r="E5" s="4" t="n">
        <f aca="false">Assumptions!E13</f>
        <v>-3</v>
      </c>
      <c r="F5" s="4" t="n">
        <f aca="false">Assumptions!F13</f>
        <v>-2</v>
      </c>
      <c r="G5" s="4" t="n">
        <f aca="false">Assumptions!G13</f>
        <v>0</v>
      </c>
      <c r="H5" s="4" t="n">
        <f aca="false">Assumptions!H13</f>
        <v>1</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1663.244</v>
      </c>
      <c r="C6" s="0" t="n">
        <f aca="false">B6*(1+C5/100)</f>
        <v>1862.83328</v>
      </c>
      <c r="D6" s="0" t="n">
        <f aca="false">C6*(1+D5/100)</f>
        <v>1918.7182784</v>
      </c>
      <c r="E6" s="0" t="n">
        <f aca="false">D6*(1+E5/100)</f>
        <v>1861.156730048</v>
      </c>
      <c r="F6" s="0" t="n">
        <f aca="false">E6*(1+F5/100)</f>
        <v>1823.93359544704</v>
      </c>
      <c r="G6" s="0" t="n">
        <f aca="false">F6*(1+G5/100)</f>
        <v>1823.93359544704</v>
      </c>
      <c r="H6" s="0" t="n">
        <f aca="false">G6*(1+H5/100)</f>
        <v>1842.17293140151</v>
      </c>
      <c r="I6" s="0" t="n">
        <f aca="false">H6*(1+I5/100)</f>
        <v>1879.01639002954</v>
      </c>
      <c r="J6" s="0" t="n">
        <f aca="false">I6*(1+J5/100)</f>
        <v>1916.59671783013</v>
      </c>
      <c r="K6" s="0" t="n">
        <f aca="false">J6*(1+K5/100)</f>
        <v>1954.92865218673</v>
      </c>
      <c r="L6" s="0" t="n">
        <f aca="false">K6*(1+L5/100)</f>
        <v>1994.02722523047</v>
      </c>
    </row>
    <row r="7" customFormat="false" ht="15" hidden="false" customHeight="false" outlineLevel="0" collapsed="false">
      <c r="A7" s="0" t="s">
        <v>93</v>
      </c>
      <c r="C7" s="4" t="n">
        <f aca="false">Assumptions!C14</f>
        <v>21</v>
      </c>
      <c r="D7" s="4" t="n">
        <f aca="false">Assumptions!D14</f>
        <v>18</v>
      </c>
      <c r="E7" s="4" t="n">
        <f aca="false">Assumptions!E14</f>
        <v>15</v>
      </c>
      <c r="F7" s="4" t="n">
        <f aca="false">Assumptions!F14</f>
        <v>13</v>
      </c>
      <c r="G7" s="4" t="n">
        <f aca="false">Assumptions!G14</f>
        <v>13</v>
      </c>
      <c r="H7" s="4" t="n">
        <f aca="false">Assumptions!H14</f>
        <v>13</v>
      </c>
      <c r="I7" s="4" t="n">
        <f aca="false">Assumptions!I14</f>
        <v>13</v>
      </c>
      <c r="J7" s="4" t="n">
        <f aca="false">Assumptions!J14</f>
        <v>13</v>
      </c>
      <c r="K7" s="4" t="n">
        <f aca="false">Assumptions!K14</f>
        <v>13</v>
      </c>
      <c r="L7" s="4" t="n">
        <f aca="false">Assumptions!L14</f>
        <v>13</v>
      </c>
    </row>
    <row r="8" customFormat="false" ht="15" hidden="false" customHeight="false" outlineLevel="0" collapsed="false">
      <c r="A8" s="0" t="s">
        <v>44</v>
      </c>
      <c r="C8" s="0" t="n">
        <f aca="false">C6*C7/100</f>
        <v>391.1949888</v>
      </c>
      <c r="D8" s="0" t="n">
        <f aca="false">D6*D7/100</f>
        <v>345.369290112</v>
      </c>
      <c r="E8" s="0" t="n">
        <f aca="false">E6*E7/100</f>
        <v>279.1735095072</v>
      </c>
      <c r="F8" s="0" t="n">
        <f aca="false">F6*F7/100</f>
        <v>237.111367408115</v>
      </c>
      <c r="G8" s="0" t="n">
        <f aca="false">G6*G7/100</f>
        <v>237.111367408115</v>
      </c>
      <c r="H8" s="0" t="n">
        <f aca="false">H6*H7/100</f>
        <v>239.482481082196</v>
      </c>
      <c r="I8" s="0" t="n">
        <f aca="false">I6*I7/100</f>
        <v>244.27213070384</v>
      </c>
      <c r="J8" s="0" t="n">
        <f aca="false">J6*J7/100</f>
        <v>249.157573317917</v>
      </c>
      <c r="K8" s="0" t="n">
        <f aca="false">K6*K7/100</f>
        <v>254.140724784275</v>
      </c>
      <c r="L8" s="0" t="n">
        <f aca="false">L6*L7/100</f>
        <v>259.223539279961</v>
      </c>
    </row>
    <row r="9" customFormat="false" ht="15" hidden="false" customHeight="false" outlineLevel="0" collapsed="false">
      <c r="A9" s="0" t="s">
        <v>94</v>
      </c>
      <c r="C9" s="4" t="n">
        <f aca="false">Assumptions!C15</f>
        <v>0.6</v>
      </c>
      <c r="D9" s="4" t="n">
        <f aca="false">Assumptions!D15</f>
        <v>0.6</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109</v>
      </c>
      <c r="C10" s="0" t="n">
        <f aca="false">-C6*C9/100</f>
        <v>-11.17699968</v>
      </c>
      <c r="D10" s="0" t="n">
        <f aca="false">-D6*D9/100</f>
        <v>-11.5123096704</v>
      </c>
      <c r="E10" s="0" t="n">
        <f aca="false">-E6*E9/100</f>
        <v>-9.30578365024</v>
      </c>
      <c r="F10" s="0" t="n">
        <f aca="false">-F6*F9/100</f>
        <v>-9.1196679772352</v>
      </c>
      <c r="G10" s="0" t="n">
        <f aca="false">-G6*G9/100</f>
        <v>-9.1196679772352</v>
      </c>
      <c r="H10" s="0" t="n">
        <f aca="false">-H6*H9/100</f>
        <v>-9.21086465700755</v>
      </c>
      <c r="I10" s="0" t="n">
        <f aca="false">-I6*I9/100</f>
        <v>-9.3950819501477</v>
      </c>
      <c r="J10" s="0" t="n">
        <f aca="false">-J6*J9/100</f>
        <v>-9.58298358915066</v>
      </c>
      <c r="K10" s="0" t="n">
        <f aca="false">-K6*K9/100</f>
        <v>-9.77464326093367</v>
      </c>
      <c r="L10" s="0" t="n">
        <f aca="false">-L6*L9/100</f>
        <v>-9.97013612615234</v>
      </c>
    </row>
    <row r="11" customFormat="false" ht="15" hidden="false" customHeight="false" outlineLevel="0" collapsed="false">
      <c r="A11" s="0" t="s">
        <v>110</v>
      </c>
      <c r="C11" s="0" t="n">
        <f aca="false">C8+C10+C24</f>
        <v>376.29232256</v>
      </c>
      <c r="D11" s="0" t="n">
        <f aca="false">D8+D10+D24</f>
        <v>330.0195438848</v>
      </c>
      <c r="E11" s="0" t="n">
        <f aca="false">E8+E10+E24</f>
        <v>266.145412396864</v>
      </c>
      <c r="F11" s="0" t="n">
        <f aca="false">F8+F10+F24</f>
        <v>224.343832239986</v>
      </c>
      <c r="G11" s="0" t="n">
        <f aca="false">G8+G10+G24</f>
        <v>224.343832239986</v>
      </c>
      <c r="H11" s="0" t="n">
        <f aca="false">H8+H10+H24</f>
        <v>226.587270562386</v>
      </c>
      <c r="I11" s="0" t="n">
        <f aca="false">I8+I10+I24</f>
        <v>231.119015973634</v>
      </c>
      <c r="J11" s="0" t="n">
        <f aca="false">J8+J10+J24</f>
        <v>235.741396293106</v>
      </c>
      <c r="K11" s="0" t="n">
        <f aca="false">K8+K10+K24</f>
        <v>240.456224218968</v>
      </c>
      <c r="L11" s="0" t="n">
        <f aca="false">L8+L10+L24</f>
        <v>245.265348703348</v>
      </c>
    </row>
    <row r="12" customFormat="false" ht="15" hidden="false" customHeight="false" outlineLevel="0" collapsed="false">
      <c r="A12" s="0" t="s">
        <v>111</v>
      </c>
      <c r="C12" s="4" t="n">
        <f aca="false">-C6*Assumptions!C17/100</f>
        <v>-55.8849984</v>
      </c>
      <c r="D12" s="4" t="n">
        <f aca="false">-D6*Assumptions!D17/100</f>
        <v>-57.561548352</v>
      </c>
      <c r="E12" s="4" t="n">
        <f aca="false">-E6*Assumptions!E17/100</f>
        <v>-55.83470190144</v>
      </c>
      <c r="F12" s="4" t="n">
        <f aca="false">-F6*Assumptions!F17/100</f>
        <v>-52.8940742679642</v>
      </c>
      <c r="G12" s="4" t="n">
        <f aca="false">-G6*Assumptions!G17/100</f>
        <v>-51.0701406725171</v>
      </c>
      <c r="H12" s="4" t="n">
        <f aca="false">-H6*Assumptions!H17/100</f>
        <v>-49.7386691478408</v>
      </c>
      <c r="I12" s="4" t="n">
        <f aca="false">-I6*Assumptions!I17/100</f>
        <v>-48.8544261407681</v>
      </c>
      <c r="J12" s="4" t="n">
        <f aca="false">-J6*Assumptions!J17/100</f>
        <v>-47.9149179457533</v>
      </c>
      <c r="K12" s="4" t="n">
        <f aca="false">-K6*Assumptions!K17/100</f>
        <v>-48.8732163046684</v>
      </c>
      <c r="L12" s="4" t="n">
        <f aca="false">-L6*Assumptions!L17/100</f>
        <v>-49.8506806307617</v>
      </c>
    </row>
    <row r="13" customFormat="false" ht="15" hidden="false" customHeight="false" outlineLevel="0" collapsed="false">
      <c r="A13" s="0" t="s">
        <v>112</v>
      </c>
      <c r="C13" s="0" t="n">
        <f aca="false">C11+C12</f>
        <v>320.40732416</v>
      </c>
      <c r="D13" s="0" t="n">
        <f aca="false">D11+D12</f>
        <v>272.4579955328</v>
      </c>
      <c r="E13" s="0" t="n">
        <f aca="false">E11+E12</f>
        <v>210.310710495424</v>
      </c>
      <c r="F13" s="0" t="n">
        <f aca="false">F11+F12</f>
        <v>171.449757972022</v>
      </c>
      <c r="G13" s="0" t="n">
        <f aca="false">G11+G12</f>
        <v>173.273691567469</v>
      </c>
      <c r="H13" s="0" t="n">
        <f aca="false">H11+H12</f>
        <v>176.848601414545</v>
      </c>
      <c r="I13" s="0" t="n">
        <f aca="false">I11+I12</f>
        <v>182.264589832865</v>
      </c>
      <c r="J13" s="0" t="n">
        <f aca="false">J11+J12</f>
        <v>187.826478347353</v>
      </c>
      <c r="K13" s="0" t="n">
        <f aca="false">K11+K12</f>
        <v>191.5830079143</v>
      </c>
      <c r="L13" s="0" t="n">
        <f aca="false">L11+L12</f>
        <v>195.414668072586</v>
      </c>
    </row>
    <row r="14" customFormat="false" ht="15" hidden="false" customHeight="false" outlineLevel="0" collapsed="false">
      <c r="A14" s="0" t="s">
        <v>98</v>
      </c>
      <c r="C14" s="4" t="n">
        <f aca="false">Assumptions!C19</f>
        <v>12</v>
      </c>
      <c r="D14" s="4" t="n">
        <f aca="false">Assumptions!D19</f>
        <v>15</v>
      </c>
      <c r="E14" s="4" t="n">
        <f aca="false">Assumptions!E19</f>
        <v>18</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113</v>
      </c>
      <c r="C15" s="0" t="n">
        <f aca="false">C13-MAX(0,C13)*C14/100</f>
        <v>281.9584452608</v>
      </c>
      <c r="D15" s="0" t="n">
        <f aca="false">D13-MAX(0,D13)*D14/100</f>
        <v>231.58929620288</v>
      </c>
      <c r="E15" s="0" t="n">
        <f aca="false">E13-MAX(0,E13)*E14/100</f>
        <v>172.454782606248</v>
      </c>
      <c r="F15" s="0" t="n">
        <f aca="false">F13-MAX(0,F13)*F14/100</f>
        <v>128.587318479016</v>
      </c>
      <c r="G15" s="0" t="n">
        <f aca="false">G13-MAX(0,G13)*G14/100</f>
        <v>129.955268675602</v>
      </c>
      <c r="H15" s="0" t="n">
        <f aca="false">H13-MAX(0,H13)*H14/100</f>
        <v>132.636451060909</v>
      </c>
      <c r="I15" s="0" t="n">
        <f aca="false">I13-MAX(0,I13)*I14/100</f>
        <v>136.698442374649</v>
      </c>
      <c r="J15" s="0" t="n">
        <f aca="false">J13-MAX(0,J13)*J14/100</f>
        <v>140.869858760515</v>
      </c>
      <c r="K15" s="0" t="n">
        <f aca="false">K13-MAX(0,K13)*K14/100</f>
        <v>143.687255935725</v>
      </c>
      <c r="L15" s="0" t="n">
        <f aca="false">L13-MAX(0,L13)*L14/100</f>
        <v>146.56100105444</v>
      </c>
    </row>
    <row r="16" customFormat="false" ht="15" hidden="false" customHeight="false" outlineLevel="0" collapsed="false">
      <c r="A16" s="0" t="s">
        <v>114</v>
      </c>
      <c r="C16" s="0" t="n">
        <f aca="false">-C12</f>
        <v>55.8849984</v>
      </c>
      <c r="D16" s="0" t="n">
        <f aca="false">-D12</f>
        <v>57.561548352</v>
      </c>
      <c r="E16" s="0" t="n">
        <f aca="false">-E12</f>
        <v>55.83470190144</v>
      </c>
      <c r="F16" s="0" t="n">
        <f aca="false">-F12</f>
        <v>52.8940742679642</v>
      </c>
      <c r="G16" s="0" t="n">
        <f aca="false">-G12</f>
        <v>51.0701406725171</v>
      </c>
      <c r="H16" s="0" t="n">
        <f aca="false">-H12</f>
        <v>49.7386691478408</v>
      </c>
      <c r="I16" s="0" t="n">
        <f aca="false">-I12</f>
        <v>48.8544261407681</v>
      </c>
      <c r="J16" s="0" t="n">
        <f aca="false">-J12</f>
        <v>47.9149179457533</v>
      </c>
      <c r="K16" s="0" t="n">
        <f aca="false">-K12</f>
        <v>48.8732163046684</v>
      </c>
      <c r="L16" s="0" t="n">
        <f aca="false">-L12</f>
        <v>49.8506806307617</v>
      </c>
    </row>
    <row r="17" customFormat="false" ht="15" hidden="false" customHeight="false" outlineLevel="0" collapsed="false">
      <c r="A17" s="0" t="s">
        <v>115</v>
      </c>
      <c r="C17" s="4" t="n">
        <f aca="false">-C6*Assumptions!C18/100</f>
        <v>-37.2566656</v>
      </c>
      <c r="D17" s="4" t="n">
        <f aca="false">-D6*Assumptions!D18/100</f>
        <v>-47.96795696</v>
      </c>
      <c r="E17" s="4" t="n">
        <f aca="false">-E6*Assumptions!E18/100</f>
        <v>-46.5289182512</v>
      </c>
      <c r="F17" s="4" t="n">
        <f aca="false">-F6*Assumptions!F18/100</f>
        <v>-45.598339886176</v>
      </c>
      <c r="G17" s="4" t="n">
        <f aca="false">-G6*Assumptions!G18/100</f>
        <v>-45.598339886176</v>
      </c>
      <c r="H17" s="4" t="n">
        <f aca="false">-H6*Assumptions!H18/100</f>
        <v>-46.0543232850378</v>
      </c>
      <c r="I17" s="4" t="n">
        <f aca="false">-I6*Assumptions!I18/100</f>
        <v>-46.9754097507385</v>
      </c>
      <c r="J17" s="4" t="n">
        <f aca="false">-J6*Assumptions!J18/100</f>
        <v>-47.9149179457533</v>
      </c>
      <c r="K17" s="4" t="n">
        <f aca="false">-K6*Assumptions!K18/100</f>
        <v>-48.8732163046684</v>
      </c>
      <c r="L17" s="4" t="n">
        <f aca="false">-L6*Assumptions!L18/100</f>
        <v>-49.8506806307617</v>
      </c>
    </row>
    <row r="18" customFormat="false" ht="15" hidden="false" customHeight="false" outlineLevel="0" collapsed="false">
      <c r="A18" s="0" t="s">
        <v>116</v>
      </c>
      <c r="C18" s="4" t="n">
        <f aca="false">(C6-B6)*Assumptions!$B$23/100</f>
        <v>-69.8562480000001</v>
      </c>
      <c r="D18" s="4" t="n">
        <f aca="false">(D6-C6)*Assumptions!$B$23/100</f>
        <v>-19.55974944</v>
      </c>
      <c r="E18" s="4" t="n">
        <f aca="false">(E6-D6)*Assumptions!$B$23/100</f>
        <v>20.1465419232</v>
      </c>
      <c r="F18" s="4" t="n">
        <f aca="false">(F6-E6)*Assumptions!$B$23/100</f>
        <v>13.028097110336</v>
      </c>
      <c r="G18" s="4" t="n">
        <f aca="false">(G6-F6)*Assumptions!$B$23/100</f>
        <v>-0</v>
      </c>
      <c r="H18" s="4" t="n">
        <f aca="false">(H6-G6)*Assumptions!$B$23/100</f>
        <v>-6.38376758406462</v>
      </c>
      <c r="I18" s="4" t="n">
        <f aca="false">(I6-H6)*Assumptions!$B$23/100</f>
        <v>-12.8952105198106</v>
      </c>
      <c r="J18" s="4" t="n">
        <f aca="false">(J6-I6)*Assumptions!$B$23/100</f>
        <v>-13.1531147302068</v>
      </c>
      <c r="K18" s="4" t="n">
        <f aca="false">(K6-J6)*Assumptions!$B$23/100</f>
        <v>-13.4161770248109</v>
      </c>
      <c r="L18" s="4" t="n">
        <f aca="false">(L6-K6)*Assumptions!$B$23/100</f>
        <v>-13.6845005653071</v>
      </c>
    </row>
    <row r="19" customFormat="false" ht="15" hidden="false" customHeight="false" outlineLevel="0" collapsed="false">
      <c r="A19" s="0" t="s">
        <v>117</v>
      </c>
      <c r="C19" s="0" t="n">
        <f aca="false">C15+C16+C17+C18</f>
        <v>230.7305300608</v>
      </c>
      <c r="D19" s="0" t="n">
        <f aca="false">D15+D16+D17+D18</f>
        <v>221.62313815488</v>
      </c>
      <c r="E19" s="0" t="n">
        <f aca="false">E15+E16+E17+E18</f>
        <v>201.907108179688</v>
      </c>
      <c r="F19" s="0" t="n">
        <f aca="false">F15+F16+F17+F18</f>
        <v>148.911149971141</v>
      </c>
      <c r="G19" s="0" t="n">
        <f aca="false">G15+G16+G17+G18</f>
        <v>135.427069461943</v>
      </c>
      <c r="H19" s="0" t="n">
        <f aca="false">H15+H16+H17+H18</f>
        <v>129.937029339647</v>
      </c>
      <c r="I19" s="0" t="n">
        <f aca="false">I15+I16+I17+I18</f>
        <v>125.682248244868</v>
      </c>
      <c r="J19" s="0" t="n">
        <f aca="false">J15+J16+J17+J18</f>
        <v>127.716744030308</v>
      </c>
      <c r="K19" s="0" t="n">
        <f aca="false">K15+K16+K17+K18</f>
        <v>130.271078910914</v>
      </c>
      <c r="L19" s="0" t="n">
        <f aca="false">L15+L16+L17+L18</f>
        <v>132.876500489132</v>
      </c>
    </row>
    <row r="20" customFormat="false" ht="15" hidden="false" customHeight="false" outlineLevel="0" collapsed="false">
      <c r="A20" s="0" t="s">
        <v>118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119</v>
      </c>
      <c r="C21" s="0" t="n">
        <f aca="false">C19*C20</f>
        <v>209.755027328</v>
      </c>
      <c r="D21" s="0" t="n">
        <f aca="false">D19*D20</f>
        <v>183.159618309818</v>
      </c>
      <c r="E21" s="0" t="n">
        <f aca="false">E19*E20</f>
        <v>151.695798782635</v>
      </c>
      <c r="F21" s="0" t="n">
        <f aca="false">F19*F20</f>
        <v>101.708319084175</v>
      </c>
      <c r="G21" s="0" t="n">
        <f aca="false">G19*G20</f>
        <v>84.0895551483336</v>
      </c>
      <c r="H21" s="0" t="n">
        <f aca="false">H19*H20</f>
        <v>73.3460656108636</v>
      </c>
      <c r="I21" s="0" t="n">
        <f aca="false">I19*I20</f>
        <v>64.494866004341</v>
      </c>
      <c r="J21" s="0" t="n">
        <f aca="false">J19*J20</f>
        <v>59.580803666496</v>
      </c>
      <c r="K21" s="0" t="n">
        <f aca="false">K19*K20</f>
        <v>55.2476543089326</v>
      </c>
      <c r="L21" s="0" t="n">
        <f aca="false">L19*L20</f>
        <v>51.2296430864648</v>
      </c>
    </row>
    <row r="23" customFormat="false" ht="15" hidden="false" customHeight="false" outlineLevel="0" collapsed="false">
      <c r="A23" s="0" t="s">
        <v>95</v>
      </c>
      <c r="C23" s="4" t="n">
        <f aca="false">Assumptions!C16</f>
        <v>0.2</v>
      </c>
      <c r="D23" s="4" t="n">
        <f aca="false">Assumptions!D16</f>
        <v>0.2</v>
      </c>
      <c r="E23" s="4" t="n">
        <f aca="false">Assumptions!E16</f>
        <v>0.2</v>
      </c>
      <c r="F23" s="4" t="n">
        <f aca="false">Assumptions!F16</f>
        <v>0.2</v>
      </c>
      <c r="G23" s="4" t="n">
        <f aca="false">Assumptions!G16</f>
        <v>0.2</v>
      </c>
      <c r="H23" s="4" t="n">
        <f aca="false">Assumptions!H16</f>
        <v>0.2</v>
      </c>
      <c r="I23" s="4" t="n">
        <f aca="false">Assumptions!I16</f>
        <v>0.2</v>
      </c>
      <c r="J23" s="4" t="n">
        <f aca="false">Assumptions!J16</f>
        <v>0.2</v>
      </c>
      <c r="K23" s="4" t="n">
        <f aca="false">Assumptions!K16</f>
        <v>0.2</v>
      </c>
      <c r="L23" s="4" t="n">
        <f aca="false">Assumptions!L16</f>
        <v>0.2</v>
      </c>
    </row>
    <row r="24" customFormat="false" ht="15" hidden="false" customHeight="false" outlineLevel="0" collapsed="false">
      <c r="A24" s="0" t="s">
        <v>120</v>
      </c>
      <c r="C24" s="0" t="n">
        <f aca="false">-C6*C23/100</f>
        <v>-3.72566656</v>
      </c>
      <c r="D24" s="0" t="n">
        <f aca="false">-D6*D23/100</f>
        <v>-3.8374365568</v>
      </c>
      <c r="E24" s="0" t="n">
        <f aca="false">-E6*E23/100</f>
        <v>-3.722313460096</v>
      </c>
      <c r="F24" s="0" t="n">
        <f aca="false">-F6*F23/100</f>
        <v>-3.64786719089408</v>
      </c>
      <c r="G24" s="0" t="n">
        <f aca="false">-G6*G23/100</f>
        <v>-3.64786719089408</v>
      </c>
      <c r="H24" s="0" t="n">
        <f aca="false">-H6*H23/100</f>
        <v>-3.68434586280302</v>
      </c>
      <c r="I24" s="0" t="n">
        <f aca="false">-I6*I23/100</f>
        <v>-3.75803278005908</v>
      </c>
      <c r="J24" s="0" t="n">
        <f aca="false">-J6*J23/100</f>
        <v>-3.83319343566026</v>
      </c>
      <c r="K24" s="0" t="n">
        <f aca="false">-K6*K23/100</f>
        <v>-3.90985730437347</v>
      </c>
      <c r="L24" s="0" t="n">
        <f aca="false">-L6*L23/100</f>
        <v>-3.98805445046094</v>
      </c>
    </row>
    <row r="26" customFormat="false" ht="15" hidden="false" customHeight="false" outlineLevel="0" collapsed="false">
      <c r="A26" s="2" t="s">
        <v>121</v>
      </c>
    </row>
    <row r="27" customFormat="false" ht="15" hidden="false" customHeight="false" outlineLevel="0" collapsed="false">
      <c r="A27" s="0" t="s">
        <v>99</v>
      </c>
      <c r="B27" s="4" t="n">
        <f aca="false">Assumptions!$B$20</f>
        <v>10</v>
      </c>
    </row>
    <row r="28" customFormat="false" ht="15" hidden="false" customHeight="false" outlineLevel="0" collapsed="false">
      <c r="A28" s="0" t="s">
        <v>100</v>
      </c>
      <c r="B28" s="4" t="n">
        <f aca="false">Assumptions!$B$21</f>
        <v>2</v>
      </c>
    </row>
    <row r="29" customFormat="false" ht="15" hidden="false" customHeight="false" outlineLevel="0" collapsed="false">
      <c r="A29" s="0" t="s">
        <v>101</v>
      </c>
      <c r="B29" s="4" t="n">
        <f aca="false">Assumptions!$B$22</f>
        <v>12</v>
      </c>
    </row>
    <row r="30" customFormat="false" ht="15" hidden="false" customHeight="false" outlineLevel="0" collapsed="false">
      <c r="A30" s="0" t="s">
        <v>122</v>
      </c>
      <c r="B30" s="0" t="n">
        <f aca="false">SUM(C21:L21)</f>
        <v>1034.30735133006</v>
      </c>
    </row>
    <row r="31" customFormat="false" ht="15" hidden="false" customHeight="false" outlineLevel="0" collapsed="false">
      <c r="A31" s="0" t="s">
        <v>123</v>
      </c>
      <c r="B31" s="0" t="n">
        <f aca="false">L19</f>
        <v>132.876500489132</v>
      </c>
    </row>
    <row r="32" customFormat="false" ht="15" hidden="false" customHeight="false" outlineLevel="0" collapsed="false">
      <c r="A32" s="0" t="s">
        <v>124</v>
      </c>
      <c r="B32" s="0" t="n">
        <f aca="false">IF(B27&gt;B28,B31*(1+B28/100)/((B27-B28)/100),B31*B29)</f>
        <v>1694.17538123644</v>
      </c>
    </row>
    <row r="33" customFormat="false" ht="15" hidden="false" customHeight="false" outlineLevel="0" collapsed="false">
      <c r="A33" s="0" t="s">
        <v>125</v>
      </c>
      <c r="B33" s="0" t="n">
        <f aca="false">B31*B29</f>
        <v>1594.51800586959</v>
      </c>
    </row>
    <row r="34" customFormat="false" ht="15" hidden="false" customHeight="false" outlineLevel="0" collapsed="false">
      <c r="A34" s="0" t="s">
        <v>126</v>
      </c>
      <c r="B34" s="0" t="n">
        <f aca="false">MAX(0,MIN(B32,B33))</f>
        <v>1594.51800586959</v>
      </c>
    </row>
    <row r="35" customFormat="false" ht="15" hidden="false" customHeight="false" outlineLevel="0" collapsed="false">
      <c r="A35" s="0" t="s">
        <v>127</v>
      </c>
      <c r="B35" s="0" t="n">
        <f aca="false">B34/(1+B27/100)^L4</f>
        <v>614.755717037578</v>
      </c>
    </row>
    <row r="36" customFormat="false" ht="15" hidden="false" customHeight="false" outlineLevel="0" collapsed="false">
      <c r="A36" s="0" t="s">
        <v>128</v>
      </c>
      <c r="B36" s="0" t="n">
        <f aca="false">B30+B35</f>
        <v>1649.06306836764</v>
      </c>
    </row>
    <row r="37" customFormat="false" ht="15" hidden="false" customHeight="false" outlineLevel="0" collapsed="false">
      <c r="A37" s="0" t="s">
        <v>129</v>
      </c>
      <c r="B37" s="0" t="n">
        <f aca="false">B36+Assumptions!$B$5-Assumptions!$B$4</f>
        <v>3083.05606836764</v>
      </c>
    </row>
    <row r="38" customFormat="false" ht="15" hidden="false" customHeight="false" outlineLevel="0" collapsed="false">
      <c r="A38" s="0" t="s">
        <v>130</v>
      </c>
      <c r="B38" s="0" t="n">
        <f aca="false">B37/Assumptions!$B$3*Assumptions!$B$10</f>
        <v>12.3108396905766</v>
      </c>
    </row>
    <row r="39" customFormat="false" ht="15" hidden="false" customHeight="false" outlineLevel="0" collapsed="false">
      <c r="A39" s="0" t="s">
        <v>131</v>
      </c>
      <c r="B39" s="4" t="n">
        <f aca="false">B38/Assumptions!$B$2-1</f>
        <v>0.86104908398739</v>
      </c>
    </row>
    <row r="41" customFormat="false" ht="15" hidden="false" customHeight="false" outlineLevel="0" collapsed="false">
      <c r="A41" s="0" t="s">
        <v>132</v>
      </c>
      <c r="B41" s="0" t="n">
        <f aca="false">SUMPRODUCT(-C10:L10/(1+$B$27/100)^C4:L4)</f>
        <v>61.0385496669419</v>
      </c>
    </row>
    <row r="42" customFormat="false" ht="15" hidden="false" customHeight="false" outlineLevel="0" collapsed="false">
      <c r="A42" s="0" t="s">
        <v>133</v>
      </c>
      <c r="B42" s="0" t="n">
        <f aca="false">IF(B27&gt;B28,-L10*(1+B28/100)/((B27-B28)/100),-L10*20)/(1+B27/100)^L4</f>
        <v>49.0099682462465</v>
      </c>
    </row>
    <row r="43" customFormat="false" ht="15" hidden="false" customHeight="false" outlineLevel="0" collapsed="false">
      <c r="A43" s="0" t="s">
        <v>134</v>
      </c>
      <c r="B43" s="0" t="n">
        <f aca="false">(B37+B41+B42)/Assumptions!$B$3*Assumptions!$B$10</f>
        <v>12.7502704476475</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1042.56946537627</v>
      </c>
    </row>
    <row r="47" customFormat="false" ht="15" hidden="false" customHeight="false" outlineLevel="0" collapsed="false">
      <c r="A47" s="0" t="s">
        <v>136</v>
      </c>
      <c r="B47" s="0" t="n">
        <f aca="false">(SUMPRODUCT(C19:L19/(1+B45/100)^C4:L4)+B46/(1+B45/100)^L4+Assumptions!$B$5-Assumptions!$B$4)/Assumptions!$B$3*Assumptions!$B$10</f>
        <v>10.2230190382344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137</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Assumptions!C27</f>
        <v>20</v>
      </c>
      <c r="D5" s="4" t="n">
        <f aca="false">Assumptions!D27</f>
        <v>15</v>
      </c>
      <c r="E5" s="4" t="n">
        <f aca="false">Assumptions!E27</f>
        <v>12</v>
      </c>
      <c r="F5" s="4" t="n">
        <f aca="false">Assumptions!F27</f>
        <v>9</v>
      </c>
      <c r="G5" s="4" t="n">
        <f aca="false">Assumptions!G27</f>
        <v>7</v>
      </c>
      <c r="H5" s="4" t="n">
        <f aca="false">Assumptions!H27</f>
        <v>5</v>
      </c>
      <c r="I5" s="4" t="n">
        <f aca="false">Assumptions!I27</f>
        <v>4</v>
      </c>
      <c r="J5" s="4" t="n">
        <f aca="false">Assumptions!J27</f>
        <v>3</v>
      </c>
      <c r="K5" s="4" t="n">
        <f aca="false">Assumptions!K27</f>
        <v>3</v>
      </c>
      <c r="L5" s="4" t="n">
        <f aca="false">Assumptions!L27</f>
        <v>3</v>
      </c>
    </row>
    <row r="6" customFormat="false" ht="15" hidden="false" customHeight="false" outlineLevel="0" collapsed="false">
      <c r="A6" s="0" t="s">
        <v>38</v>
      </c>
      <c r="B6" s="3" t="n">
        <v>1663.244</v>
      </c>
      <c r="C6" s="0" t="n">
        <f aca="false">B6*(1+C5/100)</f>
        <v>1995.8928</v>
      </c>
      <c r="D6" s="0" t="n">
        <f aca="false">C6*(1+D5/100)</f>
        <v>2295.27672</v>
      </c>
      <c r="E6" s="0" t="n">
        <f aca="false">D6*(1+E5/100)</f>
        <v>2570.7099264</v>
      </c>
      <c r="F6" s="0" t="n">
        <f aca="false">E6*(1+F5/100)</f>
        <v>2802.073819776</v>
      </c>
      <c r="G6" s="0" t="n">
        <f aca="false">F6*(1+G5/100)</f>
        <v>2998.21898716032</v>
      </c>
      <c r="H6" s="0" t="n">
        <f aca="false">G6*(1+H5/100)</f>
        <v>3148.12993651834</v>
      </c>
      <c r="I6" s="0" t="n">
        <f aca="false">H6*(1+I5/100)</f>
        <v>3274.05513397907</v>
      </c>
      <c r="J6" s="0" t="n">
        <f aca="false">I6*(1+J5/100)</f>
        <v>3372.27678799844</v>
      </c>
      <c r="K6" s="0" t="n">
        <f aca="false">J6*(1+K5/100)</f>
        <v>3473.4450916384</v>
      </c>
      <c r="L6" s="0" t="n">
        <f aca="false">K6*(1+L5/100)</f>
        <v>3577.64844438755</v>
      </c>
    </row>
    <row r="7" customFormat="false" ht="15" hidden="false" customHeight="false" outlineLevel="0" collapsed="false">
      <c r="A7" s="0" t="s">
        <v>93</v>
      </c>
      <c r="C7" s="4" t="n">
        <f aca="false">Assumptions!C28</f>
        <v>23.5</v>
      </c>
      <c r="D7" s="4" t="n">
        <f aca="false">Assumptions!D28</f>
        <v>24</v>
      </c>
      <c r="E7" s="4" t="n">
        <f aca="false">Assumptions!E28</f>
        <v>24</v>
      </c>
      <c r="F7" s="4" t="n">
        <f aca="false">Assumptions!F28</f>
        <v>24</v>
      </c>
      <c r="G7" s="4" t="n">
        <f aca="false">Assumptions!G28</f>
        <v>24</v>
      </c>
      <c r="H7" s="4" t="n">
        <f aca="false">Assumptions!H28</f>
        <v>23.5</v>
      </c>
      <c r="I7" s="4" t="n">
        <f aca="false">Assumptions!I28</f>
        <v>23.5</v>
      </c>
      <c r="J7" s="4" t="n">
        <f aca="false">Assumptions!J28</f>
        <v>23</v>
      </c>
      <c r="K7" s="4" t="n">
        <f aca="false">Assumptions!K28</f>
        <v>23</v>
      </c>
      <c r="L7" s="4" t="n">
        <f aca="false">Assumptions!L28</f>
        <v>23</v>
      </c>
    </row>
    <row r="8" customFormat="false" ht="15" hidden="false" customHeight="false" outlineLevel="0" collapsed="false">
      <c r="A8" s="0" t="s">
        <v>44</v>
      </c>
      <c r="C8" s="0" t="n">
        <f aca="false">C6*C7/100</f>
        <v>469.034808</v>
      </c>
      <c r="D8" s="0" t="n">
        <f aca="false">D6*D7/100</f>
        <v>550.8664128</v>
      </c>
      <c r="E8" s="0" t="n">
        <f aca="false">E6*E7/100</f>
        <v>616.970382336</v>
      </c>
      <c r="F8" s="0" t="n">
        <f aca="false">F6*F7/100</f>
        <v>672.49771674624</v>
      </c>
      <c r="G8" s="0" t="n">
        <f aca="false">G6*G7/100</f>
        <v>719.572556918477</v>
      </c>
      <c r="H8" s="0" t="n">
        <f aca="false">H6*H7/100</f>
        <v>739.810535081809</v>
      </c>
      <c r="I8" s="0" t="n">
        <f aca="false">I6*I7/100</f>
        <v>769.402956485082</v>
      </c>
      <c r="J8" s="0" t="n">
        <f aca="false">J6*J7/100</f>
        <v>775.623661239642</v>
      </c>
      <c r="K8" s="0" t="n">
        <f aca="false">K6*K7/100</f>
        <v>798.892371076831</v>
      </c>
      <c r="L8" s="0" t="n">
        <f aca="false">L6*L7/100</f>
        <v>822.859142209136</v>
      </c>
    </row>
    <row r="9" customFormat="false" ht="15" hidden="false" customHeight="false" outlineLevel="0" collapsed="false">
      <c r="A9" s="0" t="s">
        <v>94</v>
      </c>
      <c r="C9" s="4" t="n">
        <f aca="false">Assumptions!C29</f>
        <v>0.6</v>
      </c>
      <c r="D9" s="4" t="n">
        <f aca="false">Assumptions!D29</f>
        <v>0.6</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109</v>
      </c>
      <c r="C10" s="0" t="n">
        <f aca="false">-C6*C9/100</f>
        <v>-11.9753568</v>
      </c>
      <c r="D10" s="0" t="n">
        <f aca="false">-D6*D9/100</f>
        <v>-13.77166032</v>
      </c>
      <c r="E10" s="0" t="n">
        <f aca="false">-E6*E9/100</f>
        <v>-12.853549632</v>
      </c>
      <c r="F10" s="0" t="n">
        <f aca="false">-F6*F9/100</f>
        <v>-14.01036909888</v>
      </c>
      <c r="G10" s="0" t="n">
        <f aca="false">-G6*G9/100</f>
        <v>-14.9910949358016</v>
      </c>
      <c r="H10" s="0" t="n">
        <f aca="false">-H6*H9/100</f>
        <v>-15.7406496825917</v>
      </c>
      <c r="I10" s="0" t="n">
        <f aca="false">-I6*I9/100</f>
        <v>-16.3702756698954</v>
      </c>
      <c r="J10" s="0" t="n">
        <f aca="false">-J6*J9/100</f>
        <v>-16.8613839399922</v>
      </c>
      <c r="K10" s="0" t="n">
        <f aca="false">-K6*K9/100</f>
        <v>-17.367225458192</v>
      </c>
      <c r="L10" s="0" t="n">
        <f aca="false">-L6*L9/100</f>
        <v>-17.8882422219377</v>
      </c>
    </row>
    <row r="11" customFormat="false" ht="15" hidden="false" customHeight="false" outlineLevel="0" collapsed="false">
      <c r="A11" s="0" t="s">
        <v>110</v>
      </c>
      <c r="C11" s="0" t="n">
        <f aca="false">C8+C10+C24</f>
        <v>453.0676656</v>
      </c>
      <c r="D11" s="0" t="n">
        <f aca="false">D8+D10+D24</f>
        <v>532.50419904</v>
      </c>
      <c r="E11" s="0" t="n">
        <f aca="false">E8+E10+E24</f>
        <v>598.9754128512</v>
      </c>
      <c r="F11" s="0" t="n">
        <f aca="false">F8+F10+F24</f>
        <v>652.883200007808</v>
      </c>
      <c r="G11" s="0" t="n">
        <f aca="false">G8+G10+G24</f>
        <v>698.585024008355</v>
      </c>
      <c r="H11" s="0" t="n">
        <f aca="false">H8+H10+H24</f>
        <v>717.773625526181</v>
      </c>
      <c r="I11" s="0" t="n">
        <f aca="false">I8+I10+I24</f>
        <v>746.484570547228</v>
      </c>
      <c r="J11" s="0" t="n">
        <f aca="false">J8+J10+J24</f>
        <v>752.017723723653</v>
      </c>
      <c r="K11" s="0" t="n">
        <f aca="false">K8+K10+K24</f>
        <v>774.578255435362</v>
      </c>
      <c r="L11" s="0" t="n">
        <f aca="false">L8+L10+L24</f>
        <v>797.815603098423</v>
      </c>
    </row>
    <row r="12" customFormat="false" ht="15" hidden="false" customHeight="false" outlineLevel="0" collapsed="false">
      <c r="A12" s="0" t="s">
        <v>111</v>
      </c>
      <c r="C12" s="4" t="n">
        <f aca="false">-C6*Assumptions!C31/100</f>
        <v>-59.876784</v>
      </c>
      <c r="D12" s="4" t="n">
        <f aca="false">-D6*Assumptions!D31/100</f>
        <v>-66.56302488</v>
      </c>
      <c r="E12" s="4" t="n">
        <f aca="false">-E6*Assumptions!E31/100</f>
        <v>-71.9798779392</v>
      </c>
      <c r="F12" s="4" t="n">
        <f aca="false">-F6*Assumptions!F31/100</f>
        <v>-75.655993133952</v>
      </c>
      <c r="G12" s="4" t="n">
        <f aca="false">-G6*Assumptions!G31/100</f>
        <v>-77.9536936661683</v>
      </c>
      <c r="H12" s="4" t="n">
        <f aca="false">-H6*Assumptions!H31/100</f>
        <v>-78.7032484129584</v>
      </c>
      <c r="I12" s="4" t="n">
        <f aca="false">-I6*Assumptions!I31/100</f>
        <v>-81.8513783494768</v>
      </c>
      <c r="J12" s="4" t="n">
        <f aca="false">-J6*Assumptions!J31/100</f>
        <v>-84.3069196999611</v>
      </c>
      <c r="K12" s="4" t="n">
        <f aca="false">-K6*Assumptions!K31/100</f>
        <v>-86.8361272909599</v>
      </c>
      <c r="L12" s="4" t="n">
        <f aca="false">-L6*Assumptions!L31/100</f>
        <v>-89.4412111096887</v>
      </c>
    </row>
    <row r="13" customFormat="false" ht="15" hidden="false" customHeight="false" outlineLevel="0" collapsed="false">
      <c r="A13" s="0" t="s">
        <v>112</v>
      </c>
      <c r="C13" s="0" t="n">
        <f aca="false">C11+C12</f>
        <v>393.1908816</v>
      </c>
      <c r="D13" s="0" t="n">
        <f aca="false">D11+D12</f>
        <v>465.94117416</v>
      </c>
      <c r="E13" s="0" t="n">
        <f aca="false">E11+E12</f>
        <v>526.995534912</v>
      </c>
      <c r="F13" s="0" t="n">
        <f aca="false">F11+F12</f>
        <v>577.227206873856</v>
      </c>
      <c r="G13" s="0" t="n">
        <f aca="false">G11+G12</f>
        <v>620.631330342186</v>
      </c>
      <c r="H13" s="0" t="n">
        <f aca="false">H11+H12</f>
        <v>639.070377113223</v>
      </c>
      <c r="I13" s="0" t="n">
        <f aca="false">I11+I12</f>
        <v>664.633192197751</v>
      </c>
      <c r="J13" s="0" t="n">
        <f aca="false">J11+J12</f>
        <v>667.710804023692</v>
      </c>
      <c r="K13" s="0" t="n">
        <f aca="false">K11+K12</f>
        <v>687.742128144403</v>
      </c>
      <c r="L13" s="0" t="n">
        <f aca="false">L11+L12</f>
        <v>708.374391988735</v>
      </c>
    </row>
    <row r="14" customFormat="false" ht="15" hidden="false" customHeight="false" outlineLevel="0" collapsed="false">
      <c r="A14" s="0" t="s">
        <v>98</v>
      </c>
      <c r="C14" s="4" t="n">
        <f aca="false">Assumptions!C33</f>
        <v>12</v>
      </c>
      <c r="D14" s="4" t="n">
        <f aca="false">Assumptions!D33</f>
        <v>13</v>
      </c>
      <c r="E14" s="4" t="n">
        <f aca="false">Assumptions!E33</f>
        <v>15</v>
      </c>
      <c r="F14" s="4" t="n">
        <f aca="false">Assumptions!F33</f>
        <v>16</v>
      </c>
      <c r="G14" s="4" t="n">
        <f aca="false">Assumptions!G33</f>
        <v>18</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113</v>
      </c>
      <c r="C15" s="0" t="n">
        <f aca="false">C13-MAX(0,C13)*C14/100</f>
        <v>346.007975808</v>
      </c>
      <c r="D15" s="0" t="n">
        <f aca="false">D13-MAX(0,D13)*D14/100</f>
        <v>405.3688215192</v>
      </c>
      <c r="E15" s="0" t="n">
        <f aca="false">E13-MAX(0,E13)*E14/100</f>
        <v>447.9462046752</v>
      </c>
      <c r="F15" s="0" t="n">
        <f aca="false">F13-MAX(0,F13)*F14/100</f>
        <v>484.870853774039</v>
      </c>
      <c r="G15" s="0" t="n">
        <f aca="false">G13-MAX(0,G13)*G14/100</f>
        <v>508.917690880593</v>
      </c>
      <c r="H15" s="0" t="n">
        <f aca="false">H13-MAX(0,H13)*H14/100</f>
        <v>511.256301690578</v>
      </c>
      <c r="I15" s="0" t="n">
        <f aca="false">I13-MAX(0,I13)*I14/100</f>
        <v>531.706553758201</v>
      </c>
      <c r="J15" s="0" t="n">
        <f aca="false">J13-MAX(0,J13)*J14/100</f>
        <v>534.168643218953</v>
      </c>
      <c r="K15" s="0" t="n">
        <f aca="false">K13-MAX(0,K13)*K14/100</f>
        <v>550.193702515522</v>
      </c>
      <c r="L15" s="0" t="n">
        <f aca="false">L13-MAX(0,L13)*L14/100</f>
        <v>566.699513590988</v>
      </c>
    </row>
    <row r="16" customFormat="false" ht="15" hidden="false" customHeight="false" outlineLevel="0" collapsed="false">
      <c r="A16" s="0" t="s">
        <v>114</v>
      </c>
      <c r="C16" s="0" t="n">
        <f aca="false">-C12</f>
        <v>59.876784</v>
      </c>
      <c r="D16" s="0" t="n">
        <f aca="false">-D12</f>
        <v>66.56302488</v>
      </c>
      <c r="E16" s="0" t="n">
        <f aca="false">-E12</f>
        <v>71.9798779392</v>
      </c>
      <c r="F16" s="0" t="n">
        <f aca="false">-F12</f>
        <v>75.655993133952</v>
      </c>
      <c r="G16" s="0" t="n">
        <f aca="false">-G12</f>
        <v>77.9536936661683</v>
      </c>
      <c r="H16" s="0" t="n">
        <f aca="false">-H12</f>
        <v>78.7032484129584</v>
      </c>
      <c r="I16" s="0" t="n">
        <f aca="false">-I12</f>
        <v>81.8513783494768</v>
      </c>
      <c r="J16" s="0" t="n">
        <f aca="false">-J12</f>
        <v>84.3069196999611</v>
      </c>
      <c r="K16" s="0" t="n">
        <f aca="false">-K12</f>
        <v>86.8361272909599</v>
      </c>
      <c r="L16" s="0" t="n">
        <f aca="false">-L12</f>
        <v>89.4412111096887</v>
      </c>
    </row>
    <row r="17" customFormat="false" ht="15" hidden="false" customHeight="false" outlineLevel="0" collapsed="false">
      <c r="A17" s="0" t="s">
        <v>115</v>
      </c>
      <c r="C17" s="4" t="n">
        <f aca="false">-C6*Assumptions!C32/100</f>
        <v>-29.938392</v>
      </c>
      <c r="D17" s="4" t="n">
        <f aca="false">-D6*Assumptions!D32/100</f>
        <v>-45.9055344</v>
      </c>
      <c r="E17" s="4" t="n">
        <f aca="false">-E6*Assumptions!E32/100</f>
        <v>-56.5556183808</v>
      </c>
      <c r="F17" s="4" t="n">
        <f aca="false">-F6*Assumptions!F32/100</f>
        <v>-67.249771674624</v>
      </c>
      <c r="G17" s="4" t="n">
        <f aca="false">-G6*Assumptions!G32/100</f>
        <v>-74.955474679008</v>
      </c>
      <c r="H17" s="4" t="n">
        <f aca="false">-H6*Assumptions!H32/100</f>
        <v>-78.7032484129584</v>
      </c>
      <c r="I17" s="4" t="n">
        <f aca="false">-I6*Assumptions!I32/100</f>
        <v>-81.8513783494768</v>
      </c>
      <c r="J17" s="4" t="n">
        <f aca="false">-J6*Assumptions!J32/100</f>
        <v>-84.3069196999611</v>
      </c>
      <c r="K17" s="4" t="n">
        <f aca="false">-K6*Assumptions!K32/100</f>
        <v>-86.8361272909599</v>
      </c>
      <c r="L17" s="4" t="n">
        <f aca="false">-L6*Assumptions!L32/100</f>
        <v>-89.4412111096887</v>
      </c>
    </row>
    <row r="18" customFormat="false" ht="15" hidden="false" customHeight="false" outlineLevel="0" collapsed="false">
      <c r="A18" s="0" t="s">
        <v>116</v>
      </c>
      <c r="C18" s="4" t="n">
        <f aca="false">(C6-B6)*Assumptions!$B$37/100</f>
        <v>-99.79464</v>
      </c>
      <c r="D18" s="4" t="n">
        <f aca="false">(D6-C6)*Assumptions!$B$37/100</f>
        <v>-89.815176</v>
      </c>
      <c r="E18" s="4" t="n">
        <f aca="false">(E6-D6)*Assumptions!$B$37/100</f>
        <v>-82.62996192</v>
      </c>
      <c r="F18" s="4" t="n">
        <f aca="false">(F6-E6)*Assumptions!$B$37/100</f>
        <v>-69.4091680128001</v>
      </c>
      <c r="G18" s="4" t="n">
        <f aca="false">(G6-F6)*Assumptions!$B$37/100</f>
        <v>-58.8435502152961</v>
      </c>
      <c r="H18" s="4" t="n">
        <f aca="false">(H6-G6)*Assumptions!$B$37/100</f>
        <v>-44.9732848074049</v>
      </c>
      <c r="I18" s="4" t="n">
        <f aca="false">(I6-H6)*Assumptions!$B$37/100</f>
        <v>-37.7775592382201</v>
      </c>
      <c r="J18" s="4" t="n">
        <f aca="false">(J6-I6)*Assumptions!$B$37/100</f>
        <v>-29.4664962058117</v>
      </c>
      <c r="K18" s="4" t="n">
        <f aca="false">(K6-J6)*Assumptions!$B$37/100</f>
        <v>-30.3504910919861</v>
      </c>
      <c r="L18" s="4" t="n">
        <f aca="false">(L6-K6)*Assumptions!$B$37/100</f>
        <v>-31.2610058247456</v>
      </c>
    </row>
    <row r="19" customFormat="false" ht="15" hidden="false" customHeight="false" outlineLevel="0" collapsed="false">
      <c r="A19" s="0" t="s">
        <v>117</v>
      </c>
      <c r="C19" s="0" t="n">
        <f aca="false">C15+C16+C17+C18</f>
        <v>276.151727808</v>
      </c>
      <c r="D19" s="0" t="n">
        <f aca="false">D15+D16+D17+D18</f>
        <v>336.2111359992</v>
      </c>
      <c r="E19" s="0" t="n">
        <f aca="false">E15+E16+E17+E18</f>
        <v>380.7405023136</v>
      </c>
      <c r="F19" s="0" t="n">
        <f aca="false">F15+F16+F17+F18</f>
        <v>423.867907220567</v>
      </c>
      <c r="G19" s="0" t="n">
        <f aca="false">G15+G16+G17+G18</f>
        <v>453.072359652457</v>
      </c>
      <c r="H19" s="0" t="n">
        <f aca="false">H15+H16+H17+H18</f>
        <v>466.283016883173</v>
      </c>
      <c r="I19" s="0" t="n">
        <f aca="false">I15+I16+I17+I18</f>
        <v>493.928994519981</v>
      </c>
      <c r="J19" s="0" t="n">
        <f aca="false">J15+J16+J17+J18</f>
        <v>504.702147013142</v>
      </c>
      <c r="K19" s="0" t="n">
        <f aca="false">K15+K16+K17+K18</f>
        <v>519.843211423536</v>
      </c>
      <c r="L19" s="0" t="n">
        <f aca="false">L15+L16+L17+L18</f>
        <v>535.438507766242</v>
      </c>
    </row>
    <row r="20" customFormat="false" ht="15" hidden="false" customHeight="false" outlineLevel="0" collapsed="false">
      <c r="A20" s="0" t="s">
        <v>118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119</v>
      </c>
      <c r="C21" s="0" t="n">
        <f aca="false">C19*C20</f>
        <v>251.04702528</v>
      </c>
      <c r="D21" s="0" t="n">
        <f aca="false">D19*D20</f>
        <v>277.860442974545</v>
      </c>
      <c r="E21" s="0" t="n">
        <f aca="false">E19*E20</f>
        <v>286.055974690909</v>
      </c>
      <c r="F21" s="0" t="n">
        <f aca="false">F19*F20</f>
        <v>289.507483929081</v>
      </c>
      <c r="G21" s="0" t="n">
        <f aca="false">G19*G20</f>
        <v>281.322288996937</v>
      </c>
      <c r="H21" s="0" t="n">
        <f aca="false">H19*H20</f>
        <v>263.204607057377</v>
      </c>
      <c r="I21" s="0" t="n">
        <f aca="false">I19*I20</f>
        <v>253.463673367458</v>
      </c>
      <c r="J21" s="0" t="n">
        <f aca="false">J19*J20</f>
        <v>235.447276389328</v>
      </c>
      <c r="K21" s="0" t="n">
        <f aca="false">K19*K20</f>
        <v>220.464267891826</v>
      </c>
      <c r="L21" s="0" t="n">
        <f aca="false">L19*L20</f>
        <v>206.434723571437</v>
      </c>
    </row>
    <row r="23" customFormat="false" ht="15" hidden="false" customHeight="false" outlineLevel="0" collapsed="false">
      <c r="A23" s="0" t="s">
        <v>95</v>
      </c>
      <c r="C23" s="4" t="n">
        <f aca="false">Assumptions!C30</f>
        <v>0.2</v>
      </c>
      <c r="D23" s="4" t="n">
        <f aca="false">Assumptions!D30</f>
        <v>0.2</v>
      </c>
      <c r="E23" s="4" t="n">
        <f aca="false">Assumptions!E30</f>
        <v>0.2</v>
      </c>
      <c r="F23" s="4" t="n">
        <f aca="false">Assumptions!F30</f>
        <v>0.2</v>
      </c>
      <c r="G23" s="4" t="n">
        <f aca="false">Assumptions!G30</f>
        <v>0.2</v>
      </c>
      <c r="H23" s="4" t="n">
        <f aca="false">Assumptions!H30</f>
        <v>0.2</v>
      </c>
      <c r="I23" s="4" t="n">
        <f aca="false">Assumptions!I30</f>
        <v>0.2</v>
      </c>
      <c r="J23" s="4" t="n">
        <f aca="false">Assumptions!J30</f>
        <v>0.2</v>
      </c>
      <c r="K23" s="4" t="n">
        <f aca="false">Assumptions!K30</f>
        <v>0.2</v>
      </c>
      <c r="L23" s="4" t="n">
        <f aca="false">Assumptions!L30</f>
        <v>0.2</v>
      </c>
    </row>
    <row r="24" customFormat="false" ht="15" hidden="false" customHeight="false" outlineLevel="0" collapsed="false">
      <c r="A24" s="0" t="s">
        <v>120</v>
      </c>
      <c r="C24" s="0" t="n">
        <f aca="false">-C6*C23/100</f>
        <v>-3.9917856</v>
      </c>
      <c r="D24" s="0" t="n">
        <f aca="false">-D6*D23/100</f>
        <v>-4.59055344</v>
      </c>
      <c r="E24" s="0" t="n">
        <f aca="false">-E6*E23/100</f>
        <v>-5.1414198528</v>
      </c>
      <c r="F24" s="0" t="n">
        <f aca="false">-F6*F23/100</f>
        <v>-5.604147639552</v>
      </c>
      <c r="G24" s="0" t="n">
        <f aca="false">-G6*G23/100</f>
        <v>-5.99643797432064</v>
      </c>
      <c r="H24" s="0" t="n">
        <f aca="false">-H6*H23/100</f>
        <v>-6.29625987303667</v>
      </c>
      <c r="I24" s="0" t="n">
        <f aca="false">-I6*I23/100</f>
        <v>-6.54811026795814</v>
      </c>
      <c r="J24" s="0" t="n">
        <f aca="false">-J6*J23/100</f>
        <v>-6.74455357599689</v>
      </c>
      <c r="K24" s="0" t="n">
        <f aca="false">-K6*K23/100</f>
        <v>-6.94689018327679</v>
      </c>
      <c r="L24" s="0" t="n">
        <f aca="false">-L6*L23/100</f>
        <v>-7.1552968887751</v>
      </c>
    </row>
    <row r="26" customFormat="false" ht="15" hidden="false" customHeight="false" outlineLevel="0" collapsed="false">
      <c r="A26" s="2" t="s">
        <v>121</v>
      </c>
    </row>
    <row r="27" customFormat="false" ht="15" hidden="false" customHeight="false" outlineLevel="0" collapsed="false">
      <c r="A27" s="0" t="s">
        <v>99</v>
      </c>
      <c r="B27" s="4" t="n">
        <f aca="false">Assumptions!$B$34</f>
        <v>10</v>
      </c>
    </row>
    <row r="28" customFormat="false" ht="15" hidden="false" customHeight="false" outlineLevel="0" collapsed="false">
      <c r="A28" s="0" t="s">
        <v>100</v>
      </c>
      <c r="B28" s="4" t="n">
        <f aca="false">Assumptions!$B$35</f>
        <v>2.5</v>
      </c>
    </row>
    <row r="29" customFormat="false" ht="15" hidden="false" customHeight="false" outlineLevel="0" collapsed="false">
      <c r="A29" s="0" t="s">
        <v>101</v>
      </c>
      <c r="B29" s="4" t="n">
        <f aca="false">Assumptions!$B$36</f>
        <v>12</v>
      </c>
    </row>
    <row r="30" customFormat="false" ht="15" hidden="false" customHeight="false" outlineLevel="0" collapsed="false">
      <c r="A30" s="0" t="s">
        <v>122</v>
      </c>
      <c r="B30" s="0" t="n">
        <f aca="false">SUM(C21:L21)</f>
        <v>2564.8077641489</v>
      </c>
    </row>
    <row r="31" customFormat="false" ht="15" hidden="false" customHeight="false" outlineLevel="0" collapsed="false">
      <c r="A31" s="0" t="s">
        <v>123</v>
      </c>
      <c r="B31" s="0" t="n">
        <f aca="false">L19</f>
        <v>535.438507766242</v>
      </c>
    </row>
    <row r="32" customFormat="false" ht="15" hidden="false" customHeight="false" outlineLevel="0" collapsed="false">
      <c r="A32" s="0" t="s">
        <v>124</v>
      </c>
      <c r="B32" s="0" t="n">
        <f aca="false">IF(B27&gt;B28,B31*(1+B28/100)/((B27-B28)/100),B31*B29)</f>
        <v>7317.65960613864</v>
      </c>
    </row>
    <row r="33" customFormat="false" ht="15" hidden="false" customHeight="false" outlineLevel="0" collapsed="false">
      <c r="A33" s="0" t="s">
        <v>125</v>
      </c>
      <c r="B33" s="0" t="n">
        <f aca="false">B31*B29</f>
        <v>6425.2620931949</v>
      </c>
    </row>
    <row r="34" customFormat="false" ht="15" hidden="false" customHeight="false" outlineLevel="0" collapsed="false">
      <c r="A34" s="0" t="s">
        <v>126</v>
      </c>
      <c r="B34" s="0" t="n">
        <f aca="false">MAX(0,MIN(B32,B33))</f>
        <v>6425.2620931949</v>
      </c>
    </row>
    <row r="35" customFormat="false" ht="15" hidden="false" customHeight="false" outlineLevel="0" collapsed="false">
      <c r="A35" s="0" t="s">
        <v>127</v>
      </c>
      <c r="B35" s="0" t="n">
        <f aca="false">B34/(1+B27/100)^L4</f>
        <v>2477.21668285724</v>
      </c>
    </row>
    <row r="36" customFormat="false" ht="15" hidden="false" customHeight="false" outlineLevel="0" collapsed="false">
      <c r="A36" s="0" t="s">
        <v>128</v>
      </c>
      <c r="B36" s="0" t="n">
        <f aca="false">B30+B35</f>
        <v>5042.02444700614</v>
      </c>
    </row>
    <row r="37" customFormat="false" ht="15" hidden="false" customHeight="false" outlineLevel="0" collapsed="false">
      <c r="A37" s="0" t="s">
        <v>129</v>
      </c>
      <c r="B37" s="0" t="n">
        <f aca="false">B36+Assumptions!$B$5-Assumptions!$B$4</f>
        <v>6476.01744700614</v>
      </c>
    </row>
    <row r="38" customFormat="false" ht="15" hidden="false" customHeight="false" outlineLevel="0" collapsed="false">
      <c r="A38" s="0" t="s">
        <v>130</v>
      </c>
      <c r="B38" s="0" t="n">
        <f aca="false">B37/Assumptions!$B$3*Assumptions!$B$10</f>
        <v>25.8591510681417</v>
      </c>
    </row>
    <row r="39" customFormat="false" ht="15" hidden="false" customHeight="false" outlineLevel="0" collapsed="false">
      <c r="A39" s="0" t="s">
        <v>131</v>
      </c>
      <c r="B39" s="4" t="n">
        <f aca="false">B38/Assumptions!$B$2-1</f>
        <v>2.90916871778407</v>
      </c>
    </row>
    <row r="41" customFormat="false" ht="15" hidden="false" customHeight="false" outlineLevel="0" collapsed="false">
      <c r="A41" s="0" t="s">
        <v>132</v>
      </c>
      <c r="B41" s="0" t="n">
        <f aca="false">SUMPRODUCT(-C10:L10/(1+$B$27/100)^C4:L4)</f>
        <v>90.2166256450847</v>
      </c>
    </row>
    <row r="42" customFormat="false" ht="15" hidden="false" customHeight="false" outlineLevel="0" collapsed="false">
      <c r="A42" s="0" t="s">
        <v>133</v>
      </c>
      <c r="B42" s="0" t="n">
        <f aca="false">IF(B27&gt;B28,-L10*(1+B28/100)/((B27-B28)/100),-L10*20)/(1+B27/100)^L4</f>
        <v>94.2547872275608</v>
      </c>
    </row>
    <row r="43" customFormat="false" ht="15" hidden="false" customHeight="false" outlineLevel="0" collapsed="false">
      <c r="A43" s="0" t="s">
        <v>134</v>
      </c>
      <c r="B43" s="0" t="n">
        <f aca="false">(B37+B41+B42)/Assumptions!$B$3*Assumptions!$B$10</f>
        <v>26.5957571956364</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4390.59576368318</v>
      </c>
    </row>
    <row r="47" customFormat="false" ht="15" hidden="false" customHeight="false" outlineLevel="0" collapsed="false">
      <c r="A47" s="0" t="s">
        <v>136</v>
      </c>
      <c r="B47" s="0" t="n">
        <f aca="false">(SUMPRODUCT(C19:L19/(1+B45/100)^C4:L4)+B46/(1+B45/100)^L4+Assumptions!$B$5-Assumptions!$B$4)/Assumptions!$B$3*Assumptions!$B$10</f>
        <v>18.2242246464738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Assumptions!C41</f>
        <v>24</v>
      </c>
      <c r="D5" s="4" t="n">
        <f aca="false">Assumptions!D41</f>
        <v>20</v>
      </c>
      <c r="E5" s="4" t="n">
        <f aca="false">Assumptions!E41</f>
        <v>17</v>
      </c>
      <c r="F5" s="4" t="n">
        <f aca="false">Assumptions!F41</f>
        <v>14</v>
      </c>
      <c r="G5" s="4" t="n">
        <f aca="false">Assumptions!G41</f>
        <v>11</v>
      </c>
      <c r="H5" s="4" t="n">
        <f aca="false">Assumptions!H41</f>
        <v>8</v>
      </c>
      <c r="I5" s="4" t="n">
        <f aca="false">Assumptions!I41</f>
        <v>6</v>
      </c>
      <c r="J5" s="4" t="n">
        <f aca="false">Assumptions!J41</f>
        <v>5</v>
      </c>
      <c r="K5" s="4" t="n">
        <f aca="false">Assumptions!K41</f>
        <v>4</v>
      </c>
      <c r="L5" s="4" t="n">
        <f aca="false">Assumptions!L41</f>
        <v>3</v>
      </c>
    </row>
    <row r="6" customFormat="false" ht="15" hidden="false" customHeight="false" outlineLevel="0" collapsed="false">
      <c r="A6" s="0" t="s">
        <v>38</v>
      </c>
      <c r="B6" s="3" t="n">
        <v>1663.244</v>
      </c>
      <c r="C6" s="0" t="n">
        <f aca="false">B6*(1+C5/100)</f>
        <v>2062.42256</v>
      </c>
      <c r="D6" s="0" t="n">
        <f aca="false">C6*(1+D5/100)</f>
        <v>2474.907072</v>
      </c>
      <c r="E6" s="0" t="n">
        <f aca="false">D6*(1+E5/100)</f>
        <v>2895.64127424</v>
      </c>
      <c r="F6" s="0" t="n">
        <f aca="false">E6*(1+F5/100)</f>
        <v>3301.0310526336</v>
      </c>
      <c r="G6" s="0" t="n">
        <f aca="false">F6*(1+G5/100)</f>
        <v>3664.1444684233</v>
      </c>
      <c r="H6" s="0" t="n">
        <f aca="false">G6*(1+H5/100)</f>
        <v>3957.27602589716</v>
      </c>
      <c r="I6" s="0" t="n">
        <f aca="false">H6*(1+I5/100)</f>
        <v>4194.71258745099</v>
      </c>
      <c r="J6" s="0" t="n">
        <f aca="false">I6*(1+J5/100)</f>
        <v>4404.44821682354</v>
      </c>
      <c r="K6" s="0" t="n">
        <f aca="false">J6*(1+K5/100)</f>
        <v>4580.62614549648</v>
      </c>
      <c r="L6" s="0" t="n">
        <f aca="false">K6*(1+L5/100)</f>
        <v>4718.04492986138</v>
      </c>
    </row>
    <row r="7" customFormat="false" ht="15" hidden="false" customHeight="false" outlineLevel="0" collapsed="false">
      <c r="A7" s="0" t="s">
        <v>93</v>
      </c>
      <c r="C7" s="4" t="n">
        <f aca="false">Assumptions!C42</f>
        <v>25</v>
      </c>
      <c r="D7" s="4" t="n">
        <f aca="false">Assumptions!D42</f>
        <v>26</v>
      </c>
      <c r="E7" s="4" t="n">
        <f aca="false">Assumptions!E42</f>
        <v>27</v>
      </c>
      <c r="F7" s="4" t="n">
        <f aca="false">Assumptions!F42</f>
        <v>27.5</v>
      </c>
      <c r="G7" s="4" t="n">
        <f aca="false">Assumptions!G42</f>
        <v>28</v>
      </c>
      <c r="H7" s="4" t="n">
        <f aca="false">Assumptions!H42</f>
        <v>28</v>
      </c>
      <c r="I7" s="4" t="n">
        <f aca="false">Assumptions!I42</f>
        <v>28</v>
      </c>
      <c r="J7" s="4" t="n">
        <f aca="false">Assumptions!J42</f>
        <v>27.5</v>
      </c>
      <c r="K7" s="4" t="n">
        <f aca="false">Assumptions!K42</f>
        <v>27.5</v>
      </c>
      <c r="L7" s="4" t="n">
        <f aca="false">Assumptions!L42</f>
        <v>27.5</v>
      </c>
    </row>
    <row r="8" customFormat="false" ht="15" hidden="false" customHeight="false" outlineLevel="0" collapsed="false">
      <c r="A8" s="0" t="s">
        <v>44</v>
      </c>
      <c r="C8" s="0" t="n">
        <f aca="false">C6*C7/100</f>
        <v>515.60564</v>
      </c>
      <c r="D8" s="0" t="n">
        <f aca="false">D6*D7/100</f>
        <v>643.47583872</v>
      </c>
      <c r="E8" s="0" t="n">
        <f aca="false">E6*E7/100</f>
        <v>781.8231440448</v>
      </c>
      <c r="F8" s="0" t="n">
        <f aca="false">F6*F7/100</f>
        <v>907.78353947424</v>
      </c>
      <c r="G8" s="0" t="n">
        <f aca="false">G6*G7/100</f>
        <v>1025.96045115852</v>
      </c>
      <c r="H8" s="0" t="n">
        <f aca="false">H6*H7/100</f>
        <v>1108.03728725121</v>
      </c>
      <c r="I8" s="0" t="n">
        <f aca="false">I6*I7/100</f>
        <v>1174.51952448628</v>
      </c>
      <c r="J8" s="0" t="n">
        <f aca="false">J6*J7/100</f>
        <v>1211.22325962647</v>
      </c>
      <c r="K8" s="0" t="n">
        <f aca="false">K6*K7/100</f>
        <v>1259.67219001153</v>
      </c>
      <c r="L8" s="0" t="n">
        <f aca="false">L6*L7/100</f>
        <v>1297.46235571188</v>
      </c>
    </row>
    <row r="9" customFormat="false" ht="15" hidden="false" customHeight="false" outlineLevel="0" collapsed="false">
      <c r="A9" s="0" t="s">
        <v>94</v>
      </c>
      <c r="C9" s="4" t="n">
        <f aca="false">Assumptions!C43</f>
        <v>0.6</v>
      </c>
      <c r="D9" s="4" t="n">
        <f aca="false">Assumptions!D43</f>
        <v>0.6</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109</v>
      </c>
      <c r="C10" s="0" t="n">
        <f aca="false">-C6*C9/100</f>
        <v>-12.37453536</v>
      </c>
      <c r="D10" s="0" t="n">
        <f aca="false">-D6*D9/100</f>
        <v>-14.849442432</v>
      </c>
      <c r="E10" s="0" t="n">
        <f aca="false">-E6*E9/100</f>
        <v>-14.4782063712</v>
      </c>
      <c r="F10" s="0" t="n">
        <f aca="false">-F6*F9/100</f>
        <v>-16.505155263168</v>
      </c>
      <c r="G10" s="0" t="n">
        <f aca="false">-G6*G9/100</f>
        <v>-18.3207223421165</v>
      </c>
      <c r="H10" s="0" t="n">
        <f aca="false">-H6*H9/100</f>
        <v>-19.7863801294858</v>
      </c>
      <c r="I10" s="0" t="n">
        <f aca="false">-I6*I9/100</f>
        <v>-20.973562937255</v>
      </c>
      <c r="J10" s="0" t="n">
        <f aca="false">-J6*J9/100</f>
        <v>-22.0222410841177</v>
      </c>
      <c r="K10" s="0" t="n">
        <f aca="false">-K6*K9/100</f>
        <v>-22.9031307274824</v>
      </c>
      <c r="L10" s="0" t="n">
        <f aca="false">-L6*L9/100</f>
        <v>-23.5902246493069</v>
      </c>
    </row>
    <row r="11" customFormat="false" ht="15" hidden="false" customHeight="false" outlineLevel="0" collapsed="false">
      <c r="A11" s="0" t="s">
        <v>110</v>
      </c>
      <c r="C11" s="0" t="n">
        <f aca="false">C8+C10+C24</f>
        <v>499.10625952</v>
      </c>
      <c r="D11" s="0" t="n">
        <f aca="false">D8+D10+D24</f>
        <v>623.676582144</v>
      </c>
      <c r="E11" s="0" t="n">
        <f aca="false">E8+E10+E24</f>
        <v>761.55365512512</v>
      </c>
      <c r="F11" s="0" t="n">
        <f aca="false">F8+F10+F24</f>
        <v>884.676322105805</v>
      </c>
      <c r="G11" s="0" t="n">
        <f aca="false">G8+G10+G24</f>
        <v>1000.31143987956</v>
      </c>
      <c r="H11" s="0" t="n">
        <f aca="false">H8+H10+H24</f>
        <v>1080.33635506992</v>
      </c>
      <c r="I11" s="0" t="n">
        <f aca="false">I8+I10+I24</f>
        <v>1145.15653637412</v>
      </c>
      <c r="J11" s="0" t="n">
        <f aca="false">J8+J10+J24</f>
        <v>1180.39212210871</v>
      </c>
      <c r="K11" s="0" t="n">
        <f aca="false">K8+K10+K24</f>
        <v>1227.60780699306</v>
      </c>
      <c r="L11" s="0" t="n">
        <f aca="false">L8+L10+L24</f>
        <v>1264.43604120285</v>
      </c>
    </row>
    <row r="12" customFormat="false" ht="15" hidden="false" customHeight="false" outlineLevel="0" collapsed="false">
      <c r="A12" s="0" t="s">
        <v>111</v>
      </c>
      <c r="C12" s="4" t="n">
        <f aca="false">-C6*Assumptions!C45/100</f>
        <v>-61.8726768</v>
      </c>
      <c r="D12" s="4" t="n">
        <f aca="false">-D6*Assumptions!D45/100</f>
        <v>-71.772305088</v>
      </c>
      <c r="E12" s="4" t="n">
        <f aca="false">-E6*Assumptions!E45/100</f>
        <v>-81.07795567872</v>
      </c>
      <c r="F12" s="4" t="n">
        <f aca="false">-F6*Assumptions!F45/100</f>
        <v>-89.1278384211072</v>
      </c>
      <c r="G12" s="4" t="n">
        <f aca="false">-G6*Assumptions!G45/100</f>
        <v>-95.2677561790057</v>
      </c>
      <c r="H12" s="4" t="n">
        <f aca="false">-H6*Assumptions!H45/100</f>
        <v>-98.931900647429</v>
      </c>
      <c r="I12" s="4" t="n">
        <f aca="false">-I6*Assumptions!I45/100</f>
        <v>-104.867814686275</v>
      </c>
      <c r="J12" s="4" t="n">
        <f aca="false">-J6*Assumptions!J45/100</f>
        <v>-110.111205420589</v>
      </c>
      <c r="K12" s="4" t="n">
        <f aca="false">-K6*Assumptions!K45/100</f>
        <v>-114.515653637412</v>
      </c>
      <c r="L12" s="4" t="n">
        <f aca="false">-L6*Assumptions!L45/100</f>
        <v>-117.951123246534</v>
      </c>
    </row>
    <row r="13" customFormat="false" ht="15" hidden="false" customHeight="false" outlineLevel="0" collapsed="false">
      <c r="A13" s="0" t="s">
        <v>112</v>
      </c>
      <c r="C13" s="0" t="n">
        <f aca="false">C11+C12</f>
        <v>437.23358272</v>
      </c>
      <c r="D13" s="0" t="n">
        <f aca="false">D11+D12</f>
        <v>551.904277056</v>
      </c>
      <c r="E13" s="0" t="n">
        <f aca="false">E11+E12</f>
        <v>680.4756994464</v>
      </c>
      <c r="F13" s="0" t="n">
        <f aca="false">F11+F12</f>
        <v>795.548483684698</v>
      </c>
      <c r="G13" s="0" t="n">
        <f aca="false">G11+G12</f>
        <v>905.043683700554</v>
      </c>
      <c r="H13" s="0" t="n">
        <f aca="false">H11+H12</f>
        <v>981.404454422496</v>
      </c>
      <c r="I13" s="0" t="n">
        <f aca="false">I11+I12</f>
        <v>1040.28872168785</v>
      </c>
      <c r="J13" s="0" t="n">
        <f aca="false">J11+J12</f>
        <v>1070.28091668812</v>
      </c>
      <c r="K13" s="0" t="n">
        <f aca="false">K11+K12</f>
        <v>1113.09215335565</v>
      </c>
      <c r="L13" s="0" t="n">
        <f aca="false">L11+L12</f>
        <v>1146.48491795631</v>
      </c>
    </row>
    <row r="14" customFormat="false" ht="15" hidden="false" customHeight="false" outlineLevel="0" collapsed="false">
      <c r="A14" s="0" t="s">
        <v>98</v>
      </c>
      <c r="C14" s="4" t="n">
        <f aca="false">Assumptions!C47</f>
        <v>12</v>
      </c>
      <c r="D14" s="4" t="n">
        <f aca="false">Assumptions!D47</f>
        <v>13</v>
      </c>
      <c r="E14" s="4" t="n">
        <f aca="false">Assumptions!E47</f>
        <v>15</v>
      </c>
      <c r="F14" s="4" t="n">
        <f aca="false">Assumptions!F47</f>
        <v>15</v>
      </c>
      <c r="G14" s="4" t="n">
        <f aca="false">Assumptions!G47</f>
        <v>15</v>
      </c>
      <c r="H14" s="4" t="n">
        <f aca="false">Assumptions!H47</f>
        <v>16</v>
      </c>
      <c r="I14" s="4" t="n">
        <f aca="false">Assumptions!I47</f>
        <v>17</v>
      </c>
      <c r="J14" s="4" t="n">
        <f aca="false">Assumptions!J47</f>
        <v>18</v>
      </c>
      <c r="K14" s="4" t="n">
        <f aca="false">Assumptions!K47</f>
        <v>18</v>
      </c>
      <c r="L14" s="4" t="n">
        <f aca="false">Assumptions!L47</f>
        <v>18</v>
      </c>
    </row>
    <row r="15" customFormat="false" ht="15" hidden="false" customHeight="false" outlineLevel="0" collapsed="false">
      <c r="A15" s="0" t="s">
        <v>113</v>
      </c>
      <c r="C15" s="0" t="n">
        <f aca="false">C13-MAX(0,C13)*C14/100</f>
        <v>384.7655527936</v>
      </c>
      <c r="D15" s="0" t="n">
        <f aca="false">D13-MAX(0,D13)*D14/100</f>
        <v>480.15672103872</v>
      </c>
      <c r="E15" s="0" t="n">
        <f aca="false">E13-MAX(0,E13)*E14/100</f>
        <v>578.40434452944</v>
      </c>
      <c r="F15" s="0" t="n">
        <f aca="false">F13-MAX(0,F13)*F14/100</f>
        <v>676.216211131993</v>
      </c>
      <c r="G15" s="0" t="n">
        <f aca="false">G13-MAX(0,G13)*G14/100</f>
        <v>769.287131145471</v>
      </c>
      <c r="H15" s="0" t="n">
        <f aca="false">H13-MAX(0,H13)*H14/100</f>
        <v>824.379741714897</v>
      </c>
      <c r="I15" s="0" t="n">
        <f aca="false">I13-MAX(0,I13)*I14/100</f>
        <v>863.439639000912</v>
      </c>
      <c r="J15" s="0" t="n">
        <f aca="false">J13-MAX(0,J13)*J14/100</f>
        <v>877.630351684259</v>
      </c>
      <c r="K15" s="0" t="n">
        <f aca="false">K13-MAX(0,K13)*K14/100</f>
        <v>912.735565751629</v>
      </c>
      <c r="L15" s="0" t="n">
        <f aca="false">L13-MAX(0,L13)*L14/100</f>
        <v>940.117632724178</v>
      </c>
    </row>
    <row r="16" customFormat="false" ht="15" hidden="false" customHeight="false" outlineLevel="0" collapsed="false">
      <c r="A16" s="0" t="s">
        <v>114</v>
      </c>
      <c r="C16" s="0" t="n">
        <f aca="false">-C12</f>
        <v>61.8726768</v>
      </c>
      <c r="D16" s="0" t="n">
        <f aca="false">-D12</f>
        <v>71.772305088</v>
      </c>
      <c r="E16" s="0" t="n">
        <f aca="false">-E12</f>
        <v>81.07795567872</v>
      </c>
      <c r="F16" s="0" t="n">
        <f aca="false">-F12</f>
        <v>89.1278384211072</v>
      </c>
      <c r="G16" s="0" t="n">
        <f aca="false">-G12</f>
        <v>95.2677561790057</v>
      </c>
      <c r="H16" s="0" t="n">
        <f aca="false">-H12</f>
        <v>98.931900647429</v>
      </c>
      <c r="I16" s="0" t="n">
        <f aca="false">-I12</f>
        <v>104.867814686275</v>
      </c>
      <c r="J16" s="0" t="n">
        <f aca="false">-J12</f>
        <v>110.111205420589</v>
      </c>
      <c r="K16" s="0" t="n">
        <f aca="false">-K12</f>
        <v>114.515653637412</v>
      </c>
      <c r="L16" s="0" t="n">
        <f aca="false">-L12</f>
        <v>117.951123246534</v>
      </c>
    </row>
    <row r="17" customFormat="false" ht="15" hidden="false" customHeight="false" outlineLevel="0" collapsed="false">
      <c r="A17" s="0" t="s">
        <v>115</v>
      </c>
      <c r="C17" s="4" t="n">
        <f aca="false">-C6*Assumptions!C46/100</f>
        <v>-30.9363384</v>
      </c>
      <c r="D17" s="4" t="n">
        <f aca="false">-D6*Assumptions!D46/100</f>
        <v>-49.49814144</v>
      </c>
      <c r="E17" s="4" t="n">
        <f aca="false">-E6*Assumptions!E46/100</f>
        <v>-63.70410803328</v>
      </c>
      <c r="F17" s="4" t="n">
        <f aca="false">-F6*Assumptions!F46/100</f>
        <v>-79.2247452632064</v>
      </c>
      <c r="G17" s="4" t="n">
        <f aca="false">-G6*Assumptions!G46/100</f>
        <v>-91.6036117105824</v>
      </c>
      <c r="H17" s="4" t="n">
        <f aca="false">-H6*Assumptions!H46/100</f>
        <v>-98.931900647429</v>
      </c>
      <c r="I17" s="4" t="n">
        <f aca="false">-I6*Assumptions!I46/100</f>
        <v>-104.867814686275</v>
      </c>
      <c r="J17" s="4" t="n">
        <f aca="false">-J6*Assumptions!J46/100</f>
        <v>-110.111205420589</v>
      </c>
      <c r="K17" s="4" t="n">
        <f aca="false">-K6*Assumptions!K46/100</f>
        <v>-114.515653637412</v>
      </c>
      <c r="L17" s="4" t="n">
        <f aca="false">-L6*Assumptions!L46/100</f>
        <v>-117.951123246534</v>
      </c>
    </row>
    <row r="18" customFormat="false" ht="15" hidden="false" customHeight="false" outlineLevel="0" collapsed="false">
      <c r="A18" s="0" t="s">
        <v>116</v>
      </c>
      <c r="C18" s="4" t="n">
        <f aca="false">(C6-B6)*Assumptions!$B$51/100</f>
        <v>-99.79464</v>
      </c>
      <c r="D18" s="4" t="n">
        <f aca="false">(D6-C6)*Assumptions!$B$51/100</f>
        <v>-103.121128</v>
      </c>
      <c r="E18" s="4" t="n">
        <f aca="false">(E6-D6)*Assumptions!$B$51/100</f>
        <v>-105.18355056</v>
      </c>
      <c r="F18" s="4" t="n">
        <f aca="false">(F6-E6)*Assumptions!$B$51/100</f>
        <v>-101.3474445984</v>
      </c>
      <c r="G18" s="4" t="n">
        <f aca="false">(G6-F6)*Assumptions!$B$51/100</f>
        <v>-90.7783539474241</v>
      </c>
      <c r="H18" s="4" t="n">
        <f aca="false">(H6-G6)*Assumptions!$B$51/100</f>
        <v>-73.282889368466</v>
      </c>
      <c r="I18" s="4" t="n">
        <f aca="false">(I6-H6)*Assumptions!$B$51/100</f>
        <v>-59.3591403884574</v>
      </c>
      <c r="J18" s="4" t="n">
        <f aca="false">(J6-I6)*Assumptions!$B$51/100</f>
        <v>-52.4339073431374</v>
      </c>
      <c r="K18" s="4" t="n">
        <f aca="false">(K6-J6)*Assumptions!$B$51/100</f>
        <v>-44.0444821682354</v>
      </c>
      <c r="L18" s="4" t="n">
        <f aca="false">(L6-K6)*Assumptions!$B$51/100</f>
        <v>-34.3546960912236</v>
      </c>
    </row>
    <row r="19" customFormat="false" ht="15" hidden="false" customHeight="false" outlineLevel="0" collapsed="false">
      <c r="A19" s="0" t="s">
        <v>117</v>
      </c>
      <c r="C19" s="0" t="n">
        <f aca="false">C15+C16+C17+C18</f>
        <v>315.9072511936</v>
      </c>
      <c r="D19" s="0" t="n">
        <f aca="false">D15+D16+D17+D18</f>
        <v>399.30975668672</v>
      </c>
      <c r="E19" s="0" t="n">
        <f aca="false">E15+E16+E17+E18</f>
        <v>490.59464161488</v>
      </c>
      <c r="F19" s="0" t="n">
        <f aca="false">F15+F16+F17+F18</f>
        <v>584.771859691494</v>
      </c>
      <c r="G19" s="0" t="n">
        <f aca="false">G15+G16+G17+G18</f>
        <v>682.17292166647</v>
      </c>
      <c r="H19" s="0" t="n">
        <f aca="false">H15+H16+H17+H18</f>
        <v>751.09685234643</v>
      </c>
      <c r="I19" s="0" t="n">
        <f aca="false">I15+I16+I17+I18</f>
        <v>804.080498612455</v>
      </c>
      <c r="J19" s="0" t="n">
        <f aca="false">J15+J16+J17+J18</f>
        <v>825.196444341121</v>
      </c>
      <c r="K19" s="0" t="n">
        <f aca="false">K15+K16+K17+K18</f>
        <v>868.691083583394</v>
      </c>
      <c r="L19" s="0" t="n">
        <f aca="false">L15+L16+L17+L18</f>
        <v>905.762936632954</v>
      </c>
    </row>
    <row r="20" customFormat="false" ht="15" hidden="false" customHeight="false" outlineLevel="0" collapsed="false">
      <c r="A20" s="0" t="s">
        <v>118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119</v>
      </c>
      <c r="C21" s="0" t="n">
        <f aca="false">C19*C20</f>
        <v>287.188410176</v>
      </c>
      <c r="D21" s="0" t="n">
        <f aca="false">D19*D20</f>
        <v>330.008063377454</v>
      </c>
      <c r="E21" s="0" t="n">
        <f aca="false">E19*E20</f>
        <v>368.591015488264</v>
      </c>
      <c r="F21" s="0" t="n">
        <f aca="false">F19*F20</f>
        <v>399.407048488145</v>
      </c>
      <c r="G21" s="0" t="n">
        <f aca="false">G19*G20</f>
        <v>423.575713076274</v>
      </c>
      <c r="H21" s="0" t="n">
        <f aca="false">H19*H20</f>
        <v>423.974592095011</v>
      </c>
      <c r="I21" s="0" t="n">
        <f aca="false">I19*I20</f>
        <v>412.620435573975</v>
      </c>
      <c r="J21" s="0" t="n">
        <f aca="false">J19*J20</f>
        <v>384.960231407963</v>
      </c>
      <c r="K21" s="0" t="n">
        <f aca="false">K19*K20</f>
        <v>368.40981964913</v>
      </c>
      <c r="L21" s="0" t="n">
        <f aca="false">L19*L20</f>
        <v>349.210822032821</v>
      </c>
    </row>
    <row r="23" customFormat="false" ht="15" hidden="false" customHeight="false" outlineLevel="0" collapsed="false">
      <c r="A23" s="0" t="s">
        <v>95</v>
      </c>
      <c r="C23" s="4" t="n">
        <f aca="false">Assumptions!C44</f>
        <v>0.2</v>
      </c>
      <c r="D23" s="4" t="n">
        <f aca="false">Assumptions!D44</f>
        <v>0.2</v>
      </c>
      <c r="E23" s="4" t="n">
        <f aca="false">Assumptions!E44</f>
        <v>0.2</v>
      </c>
      <c r="F23" s="4" t="n">
        <f aca="false">Assumptions!F44</f>
        <v>0.2</v>
      </c>
      <c r="G23" s="4" t="n">
        <f aca="false">Assumptions!G44</f>
        <v>0.2</v>
      </c>
      <c r="H23" s="4" t="n">
        <f aca="false">Assumptions!H44</f>
        <v>0.2</v>
      </c>
      <c r="I23" s="4" t="n">
        <f aca="false">Assumptions!I44</f>
        <v>0.2</v>
      </c>
      <c r="J23" s="4" t="n">
        <f aca="false">Assumptions!J44</f>
        <v>0.2</v>
      </c>
      <c r="K23" s="4" t="n">
        <f aca="false">Assumptions!K44</f>
        <v>0.2</v>
      </c>
      <c r="L23" s="4" t="n">
        <f aca="false">Assumptions!L44</f>
        <v>0.2</v>
      </c>
    </row>
    <row r="24" customFormat="false" ht="15" hidden="false" customHeight="false" outlineLevel="0" collapsed="false">
      <c r="A24" s="0" t="s">
        <v>120</v>
      </c>
      <c r="C24" s="0" t="n">
        <f aca="false">-C6*C23/100</f>
        <v>-4.12484512</v>
      </c>
      <c r="D24" s="0" t="n">
        <f aca="false">-D6*D23/100</f>
        <v>-4.949814144</v>
      </c>
      <c r="E24" s="0" t="n">
        <f aca="false">-E6*E23/100</f>
        <v>-5.79128254848</v>
      </c>
      <c r="F24" s="0" t="n">
        <f aca="false">-F6*F23/100</f>
        <v>-6.6020621052672</v>
      </c>
      <c r="G24" s="0" t="n">
        <f aca="false">-G6*G23/100</f>
        <v>-7.32828893684659</v>
      </c>
      <c r="H24" s="0" t="n">
        <f aca="false">-H6*H23/100</f>
        <v>-7.91455205179432</v>
      </c>
      <c r="I24" s="0" t="n">
        <f aca="false">-I6*I23/100</f>
        <v>-8.38942517490198</v>
      </c>
      <c r="J24" s="0" t="n">
        <f aca="false">-J6*J23/100</f>
        <v>-8.80889643364708</v>
      </c>
      <c r="K24" s="0" t="n">
        <f aca="false">-K6*K23/100</f>
        <v>-9.16125229099296</v>
      </c>
      <c r="L24" s="0" t="n">
        <f aca="false">-L6*L23/100</f>
        <v>-9.43608985972275</v>
      </c>
    </row>
    <row r="26" customFormat="false" ht="15" hidden="false" customHeight="false" outlineLevel="0" collapsed="false">
      <c r="A26" s="2" t="s">
        <v>121</v>
      </c>
    </row>
    <row r="27" customFormat="false" ht="15" hidden="false" customHeight="false" outlineLevel="0" collapsed="false">
      <c r="A27" s="0" t="s">
        <v>99</v>
      </c>
      <c r="B27" s="4" t="n">
        <f aca="false">Assumptions!$B$48</f>
        <v>10</v>
      </c>
    </row>
    <row r="28" customFormat="false" ht="15" hidden="false" customHeight="false" outlineLevel="0" collapsed="false">
      <c r="A28" s="0" t="s">
        <v>100</v>
      </c>
      <c r="B28" s="4" t="n">
        <f aca="false">Assumptions!$B$49</f>
        <v>2.5</v>
      </c>
    </row>
    <row r="29" customFormat="false" ht="15" hidden="false" customHeight="false" outlineLevel="0" collapsed="false">
      <c r="A29" s="0" t="s">
        <v>101</v>
      </c>
      <c r="B29" s="4" t="n">
        <f aca="false">Assumptions!$B$50</f>
        <v>12</v>
      </c>
    </row>
    <row r="30" customFormat="false" ht="15" hidden="false" customHeight="false" outlineLevel="0" collapsed="false">
      <c r="A30" s="0" t="s">
        <v>122</v>
      </c>
      <c r="B30" s="0" t="n">
        <f aca="false">SUM(C21:L21)</f>
        <v>3747.94615136504</v>
      </c>
    </row>
    <row r="31" customFormat="false" ht="15" hidden="false" customHeight="false" outlineLevel="0" collapsed="false">
      <c r="A31" s="0" t="s">
        <v>123</v>
      </c>
      <c r="B31" s="0" t="n">
        <f aca="false">L19</f>
        <v>905.762936632954</v>
      </c>
    </row>
    <row r="32" customFormat="false" ht="15" hidden="false" customHeight="false" outlineLevel="0" collapsed="false">
      <c r="A32" s="0" t="s">
        <v>124</v>
      </c>
      <c r="B32" s="0" t="n">
        <f aca="false">IF(B27&gt;B28,B31*(1+B28/100)/((B27-B28)/100),B31*B29)</f>
        <v>12378.7601339837</v>
      </c>
    </row>
    <row r="33" customFormat="false" ht="15" hidden="false" customHeight="false" outlineLevel="0" collapsed="false">
      <c r="A33" s="0" t="s">
        <v>125</v>
      </c>
      <c r="B33" s="0" t="n">
        <f aca="false">B31*B29</f>
        <v>10869.1552395955</v>
      </c>
    </row>
    <row r="34" customFormat="false" ht="15" hidden="false" customHeight="false" outlineLevel="0" collapsed="false">
      <c r="A34" s="0" t="s">
        <v>126</v>
      </c>
      <c r="B34" s="0" t="n">
        <f aca="false">MAX(0,MIN(B32,B33))</f>
        <v>10869.1552395955</v>
      </c>
    </row>
    <row r="35" customFormat="false" ht="15" hidden="false" customHeight="false" outlineLevel="0" collapsed="false">
      <c r="A35" s="0" t="s">
        <v>127</v>
      </c>
      <c r="B35" s="0" t="n">
        <f aca="false">B34/(1+B27/100)^L4</f>
        <v>4190.52986439386</v>
      </c>
    </row>
    <row r="36" customFormat="false" ht="15" hidden="false" customHeight="false" outlineLevel="0" collapsed="false">
      <c r="A36" s="0" t="s">
        <v>128</v>
      </c>
      <c r="B36" s="0" t="n">
        <f aca="false">B30+B35</f>
        <v>7938.4760157589</v>
      </c>
    </row>
    <row r="37" customFormat="false" ht="15" hidden="false" customHeight="false" outlineLevel="0" collapsed="false">
      <c r="A37" s="0" t="s">
        <v>129</v>
      </c>
      <c r="B37" s="0" t="n">
        <f aca="false">B36+Assumptions!$B$5-Assumptions!$B$4</f>
        <v>9372.4690157589</v>
      </c>
    </row>
    <row r="38" customFormat="false" ht="15" hidden="false" customHeight="false" outlineLevel="0" collapsed="false">
      <c r="A38" s="0" t="s">
        <v>130</v>
      </c>
      <c r="B38" s="0" t="n">
        <f aca="false">B37/Assumptions!$B$3*Assumptions!$B$10</f>
        <v>37.4248670796944</v>
      </c>
    </row>
    <row r="39" customFormat="false" ht="15" hidden="false" customHeight="false" outlineLevel="0" collapsed="false">
      <c r="A39" s="0" t="s">
        <v>131</v>
      </c>
      <c r="B39" s="4" t="n">
        <f aca="false">B38/Assumptions!$B$2-1</f>
        <v>4.6575762781095</v>
      </c>
    </row>
    <row r="41" customFormat="false" ht="15" hidden="false" customHeight="false" outlineLevel="0" collapsed="false">
      <c r="A41" s="0" t="s">
        <v>132</v>
      </c>
      <c r="B41" s="0" t="n">
        <f aca="false">SUMPRODUCT(-C10:L10/(1+$B$27/100)^C4:L4)</f>
        <v>108.061908935294</v>
      </c>
    </row>
    <row r="42" customFormat="false" ht="15" hidden="false" customHeight="false" outlineLevel="0" collapsed="false">
      <c r="A42" s="0" t="s">
        <v>133</v>
      </c>
      <c r="B42" s="0" t="n">
        <f aca="false">IF(B27&gt;B28,-L10*(1+B28/100)/((B27-B28)/100),-L10*20)/(1+B27/100)^L4</f>
        <v>124.299055065564</v>
      </c>
    </row>
    <row r="43" customFormat="false" ht="15" hidden="false" customHeight="false" outlineLevel="0" collapsed="false">
      <c r="A43" s="0" t="s">
        <v>134</v>
      </c>
      <c r="B43" s="0" t="n">
        <f aca="false">(B37+B41+B42)/Assumptions!$B$3*Assumptions!$B$10</f>
        <v>38.3526992419154</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7427.25608039022</v>
      </c>
    </row>
    <row r="47" customFormat="false" ht="15" hidden="false" customHeight="false" outlineLevel="0" collapsed="false">
      <c r="A47" s="0" t="s">
        <v>136</v>
      </c>
      <c r="B47" s="0" t="n">
        <f aca="false">(SUMPRODUCT(C19:L19/(1+B45/100)^C4:L4)+B46/(1+B45/100)^L4+Assumptions!$B$5-Assumptions!$B$4)/Assumptions!$B$3*Assumptions!$B$10</f>
        <v>24.7977368392964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139</v>
      </c>
    </row>
    <row r="3" customFormat="false" ht="15" hidden="false" customHeight="false" outlineLevel="0" collapsed="false">
      <c r="A3" s="2" t="s">
        <v>140</v>
      </c>
      <c r="B3" s="2" t="s">
        <v>141</v>
      </c>
      <c r="C3" s="2" t="s">
        <v>131</v>
      </c>
      <c r="D3" s="2" t="s">
        <v>142</v>
      </c>
      <c r="E3" s="2" t="s">
        <v>134</v>
      </c>
      <c r="F3" s="2" t="s">
        <v>143</v>
      </c>
    </row>
    <row r="4" customFormat="false" ht="15" hidden="false" customHeight="false" outlineLevel="0" collapsed="false">
      <c r="A4" s="0" t="s">
        <v>144</v>
      </c>
      <c r="B4" s="4" t="n">
        <f aca="false">DCF_Bear!$B$38</f>
        <v>12.3108396905766</v>
      </c>
      <c r="C4" s="0" t="n">
        <f aca="false">B4/Assumptions!$B$2-1</f>
        <v>0.86104908398739</v>
      </c>
      <c r="D4" s="4" t="n">
        <f aca="false">Assumptions!$B$24</f>
        <v>0.4</v>
      </c>
      <c r="E4" s="4" t="n">
        <f aca="false">DCF_Bear!$B$43</f>
        <v>12.7502704476475</v>
      </c>
      <c r="F4" s="4" t="n">
        <f aca="false">DCF_Bear!$B$47</f>
        <v>10.2230190382344</v>
      </c>
    </row>
    <row r="5" customFormat="false" ht="15" hidden="false" customHeight="false" outlineLevel="0" collapsed="false">
      <c r="A5" s="0" t="s">
        <v>145</v>
      </c>
      <c r="B5" s="4" t="n">
        <f aca="false">DCF_Base!$B$38</f>
        <v>25.8591510681417</v>
      </c>
      <c r="C5" s="0" t="n">
        <f aca="false">B5/Assumptions!$B$2-1</f>
        <v>2.90916871778407</v>
      </c>
      <c r="D5" s="4" t="n">
        <f aca="false">Assumptions!$B$38</f>
        <v>0.4</v>
      </c>
      <c r="E5" s="4" t="n">
        <f aca="false">DCF_Base!$B$43</f>
        <v>26.5957571956364</v>
      </c>
      <c r="F5" s="4" t="n">
        <f aca="false">DCF_Base!$B$47</f>
        <v>18.2242246464738</v>
      </c>
    </row>
    <row r="6" customFormat="false" ht="15" hidden="false" customHeight="false" outlineLevel="0" collapsed="false">
      <c r="A6" s="0" t="s">
        <v>146</v>
      </c>
      <c r="B6" s="4" t="n">
        <f aca="false">DCF_Bull!$B$38</f>
        <v>37.4248670796944</v>
      </c>
      <c r="C6" s="0" t="n">
        <f aca="false">B6/Assumptions!$B$2-1</f>
        <v>4.6575762781095</v>
      </c>
      <c r="D6" s="4" t="n">
        <f aca="false">Assumptions!$B$52</f>
        <v>0.2</v>
      </c>
      <c r="E6" s="4" t="n">
        <f aca="false">DCF_Bull!$B$43</f>
        <v>38.3526992419154</v>
      </c>
      <c r="F6" s="4" t="n">
        <f aca="false">DCF_Bull!$B$47</f>
        <v>24.7977368392964</v>
      </c>
    </row>
    <row r="8" customFormat="false" ht="15" hidden="false" customHeight="false" outlineLevel="0" collapsed="false">
      <c r="A8" s="0" t="s">
        <v>147</v>
      </c>
      <c r="B8" s="0" t="n">
        <f aca="false">SUMPRODUCT(B4:B6,D4:D6)</f>
        <v>22.7529697194262</v>
      </c>
    </row>
    <row r="9" customFormat="false" ht="15" hidden="false" customHeight="false" outlineLevel="0" collapsed="false">
      <c r="A9" s="0" t="s">
        <v>148</v>
      </c>
      <c r="B9" s="0" t="n">
        <f aca="false">SUMPRODUCT(E4:E6,D4:D6)</f>
        <v>23.4089509056966</v>
      </c>
    </row>
    <row r="10" customFormat="false" ht="15" hidden="false" customHeight="false" outlineLevel="0" collapsed="false">
      <c r="A10" s="0" t="s">
        <v>149</v>
      </c>
      <c r="B10" s="0" t="n">
        <f aca="false">1-Assumptions!$B$2/B8</f>
        <v>0.709268720454007</v>
      </c>
    </row>
    <row r="11" customFormat="false" ht="15" hidden="false" customHeight="false" outlineLevel="0" collapsed="false">
      <c r="A11" s="0" t="s">
        <v>150</v>
      </c>
      <c r="B11" s="0" t="n">
        <f aca="false">IF(ABS(B9-B8)&gt;0.01*ABS(B8),(Assumptions!$B$2-B8)/(B9-B8)*100,"n/a")</f>
        <v>-2460.12691479428</v>
      </c>
    </row>
    <row r="12" customFormat="false" ht="15" hidden="false" customHeight="false" outlineLevel="0" collapsed="false">
      <c r="A12" s="0" t="s">
        <v>151</v>
      </c>
      <c r="B12" s="0" t="n">
        <f aca="false">SUMPRODUCT(F4:F6,D4:D6)</f>
        <v>16.3384448417426</v>
      </c>
    </row>
    <row r="14" customFormat="false" ht="15" hidden="false" customHeight="false" outlineLevel="0" collapsed="false">
      <c r="A14" s="2" t="s">
        <v>152</v>
      </c>
      <c r="C14" s="0" t="s">
        <v>153</v>
      </c>
    </row>
    <row r="15" customFormat="false" ht="15" hidden="false" customHeight="false" outlineLevel="0" collapsed="false">
      <c r="A15" s="0" t="s">
        <v>154</v>
      </c>
      <c r="B15" s="0" t="n">
        <f aca="false">(SUMPRODUCT(DCF_Base!$C$19:$L$19/(1+$C$15/100)^DCF_Base!$C$4:$L$4)+MAX(0,MIN(IF($C$15&gt;DCF_Base!$B$28,DCF_Base!$L$19*(1+DCF_Base!$B$28/100)/(($C$15-DCF_Base!$B$28)/100),DCF_Base!$L$19*DCF_Base!$B$29),DCF_Base!$L$19*DCF_Base!$B$29))/(1+$C$15/100)^DCF_Base!$L$4+Assumptions!$B$5-Assumptions!$B$4)/Assumptions!$B$3*Assumptions!$B$10</f>
        <v>27.3134166817496</v>
      </c>
      <c r="C15" s="3" t="n">
        <v>9</v>
      </c>
    </row>
    <row r="16" customFormat="false" ht="15" hidden="false" customHeight="false" outlineLevel="0" collapsed="false">
      <c r="A16" s="0" t="s">
        <v>155</v>
      </c>
      <c r="B16" s="0" t="n">
        <f aca="false">(SUMPRODUCT(DCF_Base!$C$19:$L$19/(1+$C$16/100)^DCF_Base!$C$4:$L$4)+MAX(0,MIN(IF($C$16&gt;DCF_Base!$B$28,DCF_Base!$L$19*(1+DCF_Base!$B$28/100)/(($C$16-DCF_Base!$B$28)/100),DCF_Base!$L$19*DCF_Base!$B$29),DCF_Base!$L$19*DCF_Base!$B$29))/(1+$C$16/100)^DCF_Base!$L$4+Assumptions!$B$5-Assumptions!$B$4)/Assumptions!$B$3*Assumptions!$B$10</f>
        <v>25.8591510681417</v>
      </c>
      <c r="C16" s="3" t="n">
        <v>10</v>
      </c>
    </row>
    <row r="17" customFormat="false" ht="15" hidden="false" customHeight="false" outlineLevel="0" collapsed="false">
      <c r="A17" s="0" t="s">
        <v>156</v>
      </c>
      <c r="B17" s="0" t="n">
        <f aca="false">(SUMPRODUCT(DCF_Base!$C$19:$L$19/(1+$C$17/100)^DCF_Base!$C$4:$L$4)+MAX(0,MIN(IF($C$17&gt;DCF_Base!$B$28,DCF_Base!$L$19*(1+DCF_Base!$B$28/100)/(($C$17-DCF_Base!$B$28)/100),DCF_Base!$L$19*DCF_Base!$B$29),DCF_Base!$L$19*DCF_Base!$B$29))/(1+$C$17/100)^DCF_Base!$L$4+Assumptions!$B$5-Assumptions!$B$4)/Assumptions!$B$3*Assumptions!$B$10</f>
        <v>24.5294440918745</v>
      </c>
      <c r="C17" s="3" t="n">
        <v>11</v>
      </c>
    </row>
    <row r="18" customFormat="false" ht="15" hidden="false" customHeight="false" outlineLevel="0" collapsed="false">
      <c r="A18" s="0" t="s">
        <v>157</v>
      </c>
      <c r="B18" s="0" t="n">
        <f aca="false">(SUMPRODUCT(DCF_Base!$C$19:$L$19/(1+$C$18/100)^DCF_Base!$C$4:$L$4)+MAX(0,MIN(IF($C$18&gt;DCF_Base!$B$28,DCF_Base!$L$19*(1+DCF_Base!$B$28/100)/(($C$18-DCF_Base!$B$28)/100),DCF_Base!$L$19*DCF_Base!$B$29),DCF_Base!$L$19*DCF_Base!$B$29))/(1+$C$18/100)^DCF_Base!$L$4+Assumptions!$B$5-Assumptions!$B$4)/Assumptions!$B$3*Assumptions!$B$10</f>
        <v>22.4788684272586</v>
      </c>
      <c r="C18" s="3" t="n">
        <v>12</v>
      </c>
    </row>
    <row r="19" customFormat="false" ht="15" hidden="false" customHeight="false" outlineLevel="0" collapsed="false">
      <c r="A19" s="0" t="s">
        <v>158</v>
      </c>
      <c r="B19" s="0" t="n">
        <f aca="false">(SUMPRODUCT(DCF_Base!$C$19:$L$19/(1+$C$19/100)^DCF_Base!$C$4:$L$4)+MAX(0,MIN(IF($C$19&gt;DCF_Base!$B$28,DCF_Base!$L$19*(1+DCF_Base!$B$28/100)/(($C$19-DCF_Base!$B$28)/100),DCF_Base!$L$19*DCF_Base!$B$29),DCF_Base!$L$19*DCF_Base!$B$29))/(1+$C$19/100)^DCF_Base!$L$4+Assumptions!$B$5-Assumptions!$B$4)/Assumptions!$B$3*Assumptions!$B$10</f>
        <v>18.2242246464738</v>
      </c>
      <c r="C19" s="3" t="n">
        <v>15</v>
      </c>
    </row>
    <row r="21" customFormat="false" ht="15" hidden="false" customHeight="false" outlineLevel="0" collapsed="false">
      <c r="A21" s="2" t="s">
        <v>159</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28.9058142446002</v>
      </c>
      <c r="C23" s="0" t="n">
        <f aca="false">(SUMPRODUCT(DCF_Base!$C$19:$L$19/(1+$A$23/100)^DCF_Base!$C$4:$L$4)+MAX(0,MIN(IF($A$23&gt;$C$22,DCF_Base!$L$19*(1+$C$22/100)/(($A$23-$C$22)/100),DCF_Base!$L$19*DCF_Base!$B$29),DCF_Base!$L$19*DCF_Base!$B$29))/(1+$A$23/100)^DCF_Base!$L$4+Assumptions!$B$5-Assumptions!$B$4)/Assumptions!$B$3*Assumptions!$B$10</f>
        <v>28.9058142446002</v>
      </c>
      <c r="D23" s="0" t="n">
        <f aca="false">(SUMPRODUCT(DCF_Base!$C$19:$L$19/(1+$A$23/100)^DCF_Base!$C$4:$L$4)+MAX(0,MIN(IF($A$23&gt;$D$22,DCF_Base!$L$19*(1+$D$22/100)/(($A$23-$D$22)/100),DCF_Base!$L$19*DCF_Base!$B$29),DCF_Base!$L$19*DCF_Base!$B$29))/(1+$A$23/100)^DCF_Base!$L$4+Assumptions!$B$5-Assumptions!$B$4)/Assumptions!$B$3*Assumptions!$B$10</f>
        <v>28.9058142446002</v>
      </c>
      <c r="E23" s="0" t="n">
        <f aca="false">(SUMPRODUCT(DCF_Base!$C$19:$L$19/(1+$A$23/100)^DCF_Base!$C$4:$L$4)+MAX(0,MIN(IF($A$23&gt;$E$22,DCF_Base!$L$19*(1+$E$22/100)/(($A$23-$E$22)/100),DCF_Base!$L$19*DCF_Base!$B$29),DCF_Base!$L$19*DCF_Base!$B$29))/(1+$A$23/100)^DCF_Base!$L$4+Assumptions!$B$5-Assumptions!$B$4)/Assumptions!$B$3*Assumptions!$B$10</f>
        <v>28.9058142446002</v>
      </c>
      <c r="F23" s="0" t="n">
        <f aca="false">(SUMPRODUCT(DCF_Base!$C$19:$L$19/(1+$A$23/100)^DCF_Base!$C$4:$L$4)+MAX(0,MIN(IF($A$23&gt;$F$22,DCF_Base!$L$19*(1+$F$22/100)/(($A$23-$F$22)/100),DCF_Base!$L$19*DCF_Base!$B$29),DCF_Base!$L$19*DCF_Base!$B$29))/(1+$A$23/100)^DCF_Base!$L$4+Assumptions!$B$5-Assumptions!$B$4)/Assumptions!$B$3*Assumptions!$B$10</f>
        <v>28.9058142446002</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27.3134166817496</v>
      </c>
      <c r="C24" s="0" t="n">
        <f aca="false">(SUMPRODUCT(DCF_Base!$C$19:$L$19/(1+$A$24/100)^DCF_Base!$C$4:$L$4)+MAX(0,MIN(IF($A$24&gt;$C$22,DCF_Base!$L$19*(1+$C$22/100)/(($A$24-$C$22)/100),DCF_Base!$L$19*DCF_Base!$B$29),DCF_Base!$L$19*DCF_Base!$B$29))/(1+$A$24/100)^DCF_Base!$L$4+Assumptions!$B$5-Assumptions!$B$4)/Assumptions!$B$3*Assumptions!$B$10</f>
        <v>27.3134166817496</v>
      </c>
      <c r="D24" s="0" t="n">
        <f aca="false">(SUMPRODUCT(DCF_Base!$C$19:$L$19/(1+$A$24/100)^DCF_Base!$C$4:$L$4)+MAX(0,MIN(IF($A$24&gt;$D$22,DCF_Base!$L$19*(1+$D$22/100)/(($A$24-$D$22)/100),DCF_Base!$L$19*DCF_Base!$B$29),DCF_Base!$L$19*DCF_Base!$B$29))/(1+$A$24/100)^DCF_Base!$L$4+Assumptions!$B$5-Assumptions!$B$4)/Assumptions!$B$3*Assumptions!$B$10</f>
        <v>27.3134166817496</v>
      </c>
      <c r="E24" s="0" t="n">
        <f aca="false">(SUMPRODUCT(DCF_Base!$C$19:$L$19/(1+$A$24/100)^DCF_Base!$C$4:$L$4)+MAX(0,MIN(IF($A$24&gt;$E$22,DCF_Base!$L$19*(1+$E$22/100)/(($A$24-$E$22)/100),DCF_Base!$L$19*DCF_Base!$B$29),DCF_Base!$L$19*DCF_Base!$B$29))/(1+$A$24/100)^DCF_Base!$L$4+Assumptions!$B$5-Assumptions!$B$4)/Assumptions!$B$3*Assumptions!$B$10</f>
        <v>27.3134166817496</v>
      </c>
      <c r="F24" s="0" t="n">
        <f aca="false">(SUMPRODUCT(DCF_Base!$C$19:$L$19/(1+$A$24/100)^DCF_Base!$C$4:$L$4)+MAX(0,MIN(IF($A$24&gt;$F$22,DCF_Base!$L$19*(1+$F$22/100)/(($A$24-$F$22)/100),DCF_Base!$L$19*DCF_Base!$B$29),DCF_Base!$L$19*DCF_Base!$B$29))/(1+$A$24/100)^DCF_Base!$L$4+Assumptions!$B$5-Assumptions!$B$4)/Assumptions!$B$3*Assumptions!$B$10</f>
        <v>27.3134166817496</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25.8106624193674</v>
      </c>
      <c r="C25" s="0" t="n">
        <f aca="false">(SUMPRODUCT(DCF_Base!$C$19:$L$19/(1+$A$25/100)^DCF_Base!$C$4:$L$4)+MAX(0,MIN(IF($A$25&gt;$C$22,DCF_Base!$L$19*(1+$C$22/100)/(($A$25-$C$22)/100),DCF_Base!$L$19*DCF_Base!$B$29),DCF_Base!$L$19*DCF_Base!$B$29))/(1+$A$25/100)^DCF_Base!$L$4+Assumptions!$B$5-Assumptions!$B$4)/Assumptions!$B$3*Assumptions!$B$10</f>
        <v>25.8591510681417</v>
      </c>
      <c r="D25" s="0" t="n">
        <f aca="false">(SUMPRODUCT(DCF_Base!$C$19:$L$19/(1+$A$25/100)^DCF_Base!$C$4:$L$4)+MAX(0,MIN(IF($A$25&gt;$D$22,DCF_Base!$L$19*(1+$D$22/100)/(($A$25-$D$22)/100),DCF_Base!$L$19*DCF_Base!$B$29),DCF_Base!$L$19*DCF_Base!$B$29))/(1+$A$25/100)^DCF_Base!$L$4+Assumptions!$B$5-Assumptions!$B$4)/Assumptions!$B$3*Assumptions!$B$10</f>
        <v>25.8591510681417</v>
      </c>
      <c r="E25" s="0" t="n">
        <f aca="false">(SUMPRODUCT(DCF_Base!$C$19:$L$19/(1+$A$25/100)^DCF_Base!$C$4:$L$4)+MAX(0,MIN(IF($A$25&gt;$E$22,DCF_Base!$L$19*(1+$E$22/100)/(($A$25-$E$22)/100),DCF_Base!$L$19*DCF_Base!$B$29),DCF_Base!$L$19*DCF_Base!$B$29))/(1+$A$25/100)^DCF_Base!$L$4+Assumptions!$B$5-Assumptions!$B$4)/Assumptions!$B$3*Assumptions!$B$10</f>
        <v>25.8591510681417</v>
      </c>
      <c r="F25" s="0" t="n">
        <f aca="false">(SUMPRODUCT(DCF_Base!$C$19:$L$19/(1+$A$25/100)^DCF_Base!$C$4:$L$4)+MAX(0,MIN(IF($A$25&gt;$F$22,DCF_Base!$L$19*(1+$F$22/100)/(($A$25-$F$22)/100),DCF_Base!$L$19*DCF_Base!$B$29),DCF_Base!$L$19*DCF_Base!$B$29))/(1+$A$25/100)^DCF_Base!$L$4+Assumptions!$B$5-Assumptions!$B$4)/Assumptions!$B$3*Assumptions!$B$10</f>
        <v>25.8591510681417</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23.5386749433188</v>
      </c>
      <c r="C26" s="0" t="n">
        <f aca="false">(SUMPRODUCT(DCF_Base!$C$19:$L$19/(1+$A$26/100)^DCF_Base!$C$4:$L$4)+MAX(0,MIN(IF($A$26&gt;$C$22,DCF_Base!$L$19*(1+$C$22/100)/(($A$26-$C$22)/100),DCF_Base!$L$19*DCF_Base!$B$29),DCF_Base!$L$19*DCF_Base!$B$29))/(1+$A$26/100)^DCF_Base!$L$4+Assumptions!$B$5-Assumptions!$B$4)/Assumptions!$B$3*Assumptions!$B$10</f>
        <v>24.0274543899396</v>
      </c>
      <c r="D26" s="0" t="n">
        <f aca="false">(SUMPRODUCT(DCF_Base!$C$19:$L$19/(1+$A$26/100)^DCF_Base!$C$4:$L$4)+MAX(0,MIN(IF($A$26&gt;$D$22,DCF_Base!$L$19*(1+$D$22/100)/(($A$26-$D$22)/100),DCF_Base!$L$19*DCF_Base!$B$29),DCF_Base!$L$19*DCF_Base!$B$29))/(1+$A$26/100)^DCF_Base!$L$4+Assumptions!$B$5-Assumptions!$B$4)/Assumptions!$B$3*Assumptions!$B$10</f>
        <v>24.5294440918745</v>
      </c>
      <c r="E26" s="0" t="n">
        <f aca="false">(SUMPRODUCT(DCF_Base!$C$19:$L$19/(1+$A$26/100)^DCF_Base!$C$4:$L$4)+MAX(0,MIN(IF($A$26&gt;$E$22,DCF_Base!$L$19*(1+$E$22/100)/(($A$26-$E$22)/100),DCF_Base!$L$19*DCF_Base!$B$29),DCF_Base!$L$19*DCF_Base!$B$29))/(1+$A$26/100)^DCF_Base!$L$4+Assumptions!$B$5-Assumptions!$B$4)/Assumptions!$B$3*Assumptions!$B$10</f>
        <v>24.5294440918745</v>
      </c>
      <c r="F26" s="0" t="n">
        <f aca="false">(SUMPRODUCT(DCF_Base!$C$19:$L$19/(1+$A$26/100)^DCF_Base!$C$4:$L$4)+MAX(0,MIN(IF($A$26&gt;$F$22,DCF_Base!$L$19*(1+$F$22/100)/(($A$26-$F$22)/100),DCF_Base!$L$19*DCF_Base!$B$29),DCF_Base!$L$19*DCF_Base!$B$29))/(1+$A$26/100)^DCF_Base!$L$4+Assumptions!$B$5-Assumptions!$B$4)/Assumptions!$B$3*Assumptions!$B$10</f>
        <v>24.5294440918745</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21.7059373907585</v>
      </c>
      <c r="C27" s="0" t="n">
        <f aca="false">(SUMPRODUCT(DCF_Base!$C$19:$L$19/(1+$A$27/100)^DCF_Base!$C$4:$L$4)+MAX(0,MIN(IF($A$27&gt;$C$22,DCF_Base!$L$19*(1+$C$22/100)/(($A$27-$C$22)/100),DCF_Base!$L$19*DCF_Base!$B$29),DCF_Base!$L$19*DCF_Base!$B$29))/(1+$A$27/100)^DCF_Base!$L$4+Assumptions!$B$5-Assumptions!$B$4)/Assumptions!$B$3*Assumptions!$B$10</f>
        <v>22.073079633096</v>
      </c>
      <c r="D27" s="0" t="n">
        <f aca="false">(SUMPRODUCT(DCF_Base!$C$19:$L$19/(1+$A$27/100)^DCF_Base!$C$4:$L$4)+MAX(0,MIN(IF($A$27&gt;$D$22,DCF_Base!$L$19*(1+$D$22/100)/(($A$27-$D$22)/100),DCF_Base!$L$19*DCF_Base!$B$29),DCF_Base!$L$19*DCF_Base!$B$29))/(1+$A$27/100)^DCF_Base!$L$4+Assumptions!$B$5-Assumptions!$B$4)/Assumptions!$B$3*Assumptions!$B$10</f>
        <v>22.4788684272586</v>
      </c>
      <c r="E27" s="0" t="n">
        <f aca="false">(SUMPRODUCT(DCF_Base!$C$19:$L$19/(1+$A$27/100)^DCF_Base!$C$4:$L$4)+MAX(0,MIN(IF($A$27&gt;$E$22,DCF_Base!$L$19*(1+$E$22/100)/(($A$27-$E$22)/100),DCF_Base!$L$19*DCF_Base!$B$29),DCF_Base!$L$19*DCF_Base!$B$29))/(1+$A$27/100)^DCF_Base!$L$4+Assumptions!$B$5-Assumptions!$B$4)/Assumptions!$B$3*Assumptions!$B$10</f>
        <v>22.929744865217</v>
      </c>
      <c r="F27" s="0" t="n">
        <f aca="false">(SUMPRODUCT(DCF_Base!$C$19:$L$19/(1+$A$27/100)^DCF_Base!$C$4:$L$4)+MAX(0,MIN(IF($A$27&gt;$F$22,DCF_Base!$L$19*(1+$F$22/100)/(($A$27-$F$22)/100),DCF_Base!$L$19*DCF_Base!$B$29),DCF_Base!$L$19*DCF_Base!$B$29))/(1+$A$27/100)^DCF_Base!$L$4+Assumptions!$B$5-Assumptions!$B$4)/Assumptions!$B$3*Assumptions!$B$10</f>
        <v>23.3121847009853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2026-10-11T10:41:19Z</dcterms:created>
  <dc:creator>openpyxl</dc:creator>
  <dc:description/>
  <dc:language>en-NZ</dc:language>
  <cp:lastModifiedBy/>
  <dcterms:modified xsi:type="dcterms:W3CDTF">2026-10-11T10:41:19Z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