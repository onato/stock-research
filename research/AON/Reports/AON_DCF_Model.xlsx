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<sst xmlns="http://schemas.openxmlformats.org/spreadsheetml/2006/main" count="390" uniqueCount="175">
  <si>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</si>
  <si>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AON</t>
  </si>
  <si>
    <t xml:space="preserve">Company</t>
  </si>
  <si>
    <t xml:space="preserve">Aon plc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</si>
  <si>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</si>
  <si>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</si>
  <si>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</si>
  <si>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</si>
  <si>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2026-09-24T20:00:03Z regular close (Yahoo Finance chart API); 52-week range 275.38-382.34</t>
  </si>
  <si>
    <t xml:space="preserve">Balance sheet date</t>
  </si>
  <si>
    <t xml:space="preserve">2026-06-30 (Q2 2026 10-Q) rolled forward to a pro-forma post-USI-close basis -- see notes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</si>
  <si>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</si>
  <si>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</si>
  <si>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</si>
  <si>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</si>
  <si>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</si>
  <si>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</si>
  <si>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</si>
  <si>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</si>
  <si>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</si>
  <si>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</si>
  <si>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2026-09-25T10:03:11Z</t>
  </si>
  <si>
    <t xml:space="preserve">Drivers file</t>
  </si>
  <si>
    <t xml:space="preserve">AON_Drivers.json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</si>
  <si>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</si>
  <si>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</si>
  <si>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</si>
  <si>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Aon is a capital-light, high-margin insurance/reinsurance broker and HR/benefits consulting firm valued on an owner-FCF DCF. The business itself is a durable, moderately cyclical fee-and-commission compounder with real moats (switching costs, scale/data advantages, global one-stop-shop breadth). The near-term investment case is dominated by a single, large, disclosed capital-allocation and integration bet: the pending $17B USI acquisition, which nearly doubles leverage to ~4.8x EBITDA at close and stacks a second major integration (USI) on top of the still-ongoing NFP integration. The stock's ~28% drawdown from its 52-week high to a price near the 52-week low reflects the market pricing meaningful execution and leverage risk into this deal. The valuation here bakes the pro-forma post-close balance sheet and USI's revenue/EBITDA contribution into the base case (the deal is financed and expected imminently), while using an elevated bear weight (25% vs the 15% house default) to reflect the genuine, currently-elevated financial and integration risk rather than pretending the risk away with a lower discount rate stacked on top of probability weighting.
key_risks_to_valuation: USI integration risk on top of an already-in-progress NFP integration -- two large, simultaneous integrations is a real execution burden; Leverage nearly doubling to ~4.8x EBITDA at close, with a negative S&amp;P outlook already in place -- an actual ratings downgrade would raise refinancing costs across a large, newly-issued debt stack (7 tranches, 3-30yr); Capital returns (buybacks, historically ~39% net share reduction over 12 years) are being deliberately curtailed near-term to fund debt paydown, removing a lever that has supported EPS growth and the stock's valuation for over a decade; Softening P&amp;C/reinsurance pricing cycle (record ~$785B global reinsurance capital) is a headwind to organic commission growth independent of the deal; Regulatory approval of the USI deal, while less contentious than the blocked 2021 Aon-WTW merger, remains a closing condition and is not guaranteed on the expected Q4 2026 timeline; The revenue path models USI as a growth-rate step-up rather than an explicit M&amp;A line, which is a modelling simplification -- if the deal is delayed or falls through, FY2026-27 revenue and margin would be materially below the base case shown here (this is close to what the bear case, at 25% weight, represents)</t>
  </si>
  <si>
    <t xml:space="preserve">Data sources</t>
  </si>
  <si>
    <t xml:space="preserve">price: Yahoo Finance chart API at inputs.price_as_of
financials: SEC XBRL company-facts API (CIK 0001675149) via AON_Metrics.csv (core_metrics table, research/AON/Reports/AON.duckdb) for FY2019-FY2025 annual and Q1-Q2 2026 quarterly figures, cross-checked against the raw us-gaap:DepreciationDepletionAndAmortization XBRL tag for D&amp;A (not separately captured in core_metrics)
qualitative: research/AON/Reports/AON_Analysis.json (2026-09-25) -- USI deal terms, financing structure, leverage/rating-agency commentary, FY2026 guidance, bull/bear case points</t>
  </si>
  <si>
    <t xml:space="preserve">Scenario narrative: bear</t>
  </si>
  <si>
    <t xml:space="preserve">USI still closes but integration is materially harder than NFP, synergies run late and light, a sustained soft pricing cycle compresses organic growth, and leverage stays elevated long enough to trigger an actual ratings downgrade, crowding out buybacks for years.</t>
  </si>
  <si>
    <t xml:space="preserve">Scenario narrative: base</t>
  </si>
  <si>
    <t xml:space="preserve">USI closes on schedule and integrates broadly to plan; steady margin expansion continues per the 3x3 Plan and guided synergy phasing; leverage normalizes gradually and buybacks resume at a moderate pace.</t>
  </si>
  <si>
    <t xml:space="preserve">Scenario narrative: bull</t>
  </si>
  <si>
    <t xml:space="preserve">USI integration outperforms (echoing the NFP playbook), pricing cycle firms, AI/analytics-driven margin gains beat guidance, and faster deleveraging lets capital returns resume sooner.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</si>
  <si>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</si>
  <si>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</si>
  <si>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</si>
  <si>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</si>
  <si>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</si>
  <si>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</si>
  <si>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</si>
  <si>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</si>
  <si>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</si>
  <si>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</si>
  <si>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</si>
  <si>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</si>
  <si>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</si>
  <si>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</si>
  <si>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</si>
  <si>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</si>
  <si>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</si>
  <si>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</si>
  <si>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</si>
  <si>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</si>
  <si>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</si>
  <si>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</si>
  <si>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</si>
  <si>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</si>
  <si>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</si>
  <si>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</si>
  <si>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</si>
  <si>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</si>
  <si>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</si>
  <si>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</si>
  <si>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</si>
  <si>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</si>
  <si>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</si>
  <si>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</si>
  <si>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</si>
  <si>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</si>
  <si>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</si>
  <si>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</si>
  <si>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</si>
  <si>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</si>
  <si>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</si>
  <si>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</si>
  <si>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</si>
  <si>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</si>
  <si>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</si>
  <si>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</si>
  <si>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</si>
  <si>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</si>
  <si>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</si>
  <si>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</si>
  <si>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</si>
  <si>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</si>
  <si>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</si>
  <si>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</si>
  <si>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</si>
  <si>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</si>
  <si>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</si>
  <si>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</si>
  <si>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</si>
  <si>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</si>
  <si>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</si>
  <si>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</si>
  <si>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</si>
  <si>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</si>
  <si>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</si>
  <si>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</si>
  <si>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</si>
  <si>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</si>
  <si>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</si>
  <si>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</si>
  <si>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</si>
  <si>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</si>
  <si>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</si>
  <si>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</si>
  <si>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</si>
  <si>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</si>
  <si>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</si>
  <si>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</si>
  <si>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</si>
  <si>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</si>
  <si>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</si>
  <si>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</si>
  <si>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</si>
  <si>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</si>
  <si>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AON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</si>
  <si>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</si>
  <si>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</si>
  <si>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</si>
  <si>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</si>
  <si>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</si>
  <si>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</si>
  <si>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</si>
  <si>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</si>
  <si>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</si>
  <si>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</si>
  <si>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</si>
  <si>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</si>
  <si>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</si>
  <si>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</si>
  <si>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</si>
  <si>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</si>
  <si>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</si>
  <si>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</si>
  <si>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</si>
  <si>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</si>
  <si>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</si>
  <si>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</si>
  <si>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</si>
  <si>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</si>
  <si>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</si>
  <si>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</si>
  <si>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</si>
  <si>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</si>
  <si>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</si>
  <si>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</si>
  <si>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AON owner-FCF component DCF: base case (millions, USD)</t>
  </si>
  <si>
    <t xml:space="preserve">AON owner-FCF component DCF: bull case (millions, USD)</t>
  </si>
  <si>
    <t xml:space="preserve">AON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</si>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</sst>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276.09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5251</v>
      </c>
      <c r="S2" s="0" t="n">
        <v>281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7234</v>
      </c>
      <c r="F3" s="0" t="n">
        <v>1003</v>
      </c>
      <c r="G3" s="0" t="n">
        <v>13.8650815593033</v>
      </c>
      <c r="I3" s="0" t="n">
        <v>864</v>
      </c>
      <c r="J3" s="0" t="n">
        <v>11.9435996682333</v>
      </c>
      <c r="K3" s="0" t="n">
        <v>2.66</v>
      </c>
      <c r="L3" s="0" t="n">
        <v>1263</v>
      </c>
      <c r="M3" s="0" t="n">
        <v>170</v>
      </c>
      <c r="N3" s="0" t="n">
        <v>1093</v>
      </c>
      <c r="O3" s="0" t="n">
        <v>6261</v>
      </c>
      <c r="S3" s="0" t="n">
        <v>584</v>
      </c>
      <c r="T3" s="0" t="n">
        <v>326.9</v>
      </c>
      <c r="U3" s="0" t="n">
        <v>204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7528</v>
      </c>
      <c r="F4" s="0" t="n">
        <v>940</v>
      </c>
      <c r="G4" s="0" t="n">
        <v>12.4867162592986</v>
      </c>
      <c r="I4" s="0" t="n">
        <v>1462</v>
      </c>
      <c r="J4" s="0" t="n">
        <v>19.4208289054198</v>
      </c>
      <c r="K4" s="0" t="n">
        <v>4.8</v>
      </c>
      <c r="L4" s="0" t="n">
        <v>968</v>
      </c>
      <c r="M4" s="0" t="n">
        <v>103</v>
      </c>
      <c r="N4" s="0" t="n">
        <v>865</v>
      </c>
      <c r="O4" s="0" t="n">
        <v>5415</v>
      </c>
      <c r="P4" s="0" t="n">
        <v>22940</v>
      </c>
      <c r="Q4" s="0" t="n">
        <v>17525</v>
      </c>
      <c r="R4" s="0" t="n">
        <v>1977</v>
      </c>
      <c r="S4" s="0" t="n">
        <v>582</v>
      </c>
      <c r="T4" s="0" t="n">
        <v>304.5</v>
      </c>
      <c r="U4" s="0" t="n">
        <v>248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7595</v>
      </c>
      <c r="F5" s="0" t="n">
        <v>1021</v>
      </c>
      <c r="G5" s="0" t="n">
        <v>13.4430546412113</v>
      </c>
      <c r="H5" s="0" t="n">
        <v>1170</v>
      </c>
      <c r="I5" s="0" t="n">
        <v>792</v>
      </c>
      <c r="J5" s="0" t="n">
        <v>10.4279131007242</v>
      </c>
      <c r="K5" s="0" t="n">
        <v>2.57</v>
      </c>
      <c r="L5" s="0" t="n">
        <v>500</v>
      </c>
      <c r="M5" s="0" t="n">
        <v>140</v>
      </c>
      <c r="N5" s="0" t="n">
        <v>360</v>
      </c>
      <c r="O5" s="0" t="n">
        <v>5431</v>
      </c>
      <c r="P5" s="0" t="n">
        <v>22958</v>
      </c>
      <c r="Q5" s="0" t="n">
        <v>17527</v>
      </c>
      <c r="R5" s="0" t="n">
        <v>2008</v>
      </c>
      <c r="S5" s="0" t="n">
        <v>217</v>
      </c>
      <c r="T5" s="0" t="n">
        <v>291.1</v>
      </c>
      <c r="U5" s="0" t="n">
        <v>209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8512</v>
      </c>
      <c r="F6" s="0" t="n">
        <v>1244</v>
      </c>
      <c r="G6" s="0" t="n">
        <v>14.6146616541353</v>
      </c>
      <c r="H6" s="0" t="n">
        <v>1395</v>
      </c>
      <c r="I6" s="0" t="n">
        <v>732</v>
      </c>
      <c r="J6" s="0" t="n">
        <v>8.59962406015038</v>
      </c>
      <c r="K6" s="0" t="n">
        <v>2.37</v>
      </c>
      <c r="L6" s="0" t="n">
        <v>783</v>
      </c>
      <c r="M6" s="0" t="n">
        <v>180</v>
      </c>
      <c r="N6" s="0" t="n">
        <v>603</v>
      </c>
      <c r="O6" s="0" t="n">
        <v>8306</v>
      </c>
      <c r="P6" s="0" t="n">
        <v>28982</v>
      </c>
      <c r="Q6" s="0" t="n">
        <v>20676</v>
      </c>
      <c r="R6" s="0" t="n">
        <v>4506</v>
      </c>
      <c r="S6" s="0" t="n">
        <v>346</v>
      </c>
      <c r="T6" s="0" t="n">
        <v>298.1</v>
      </c>
      <c r="U6" s="0" t="n">
        <v>221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11287</v>
      </c>
      <c r="F7" s="0" t="n">
        <v>1596</v>
      </c>
      <c r="G7" s="0" t="n">
        <v>14.1401612474528</v>
      </c>
      <c r="H7" s="0" t="n">
        <v>1816</v>
      </c>
      <c r="I7" s="0" t="n">
        <v>1010</v>
      </c>
      <c r="J7" s="0" t="n">
        <v>8.94834765659608</v>
      </c>
      <c r="K7" s="0" t="n">
        <v>2.87</v>
      </c>
      <c r="L7" s="0" t="n">
        <v>1018</v>
      </c>
      <c r="M7" s="0" t="n">
        <v>241</v>
      </c>
      <c r="N7" s="0" t="n">
        <v>777</v>
      </c>
      <c r="O7" s="0" t="n">
        <v>8120</v>
      </c>
      <c r="P7" s="0" t="n">
        <v>29552</v>
      </c>
      <c r="Q7" s="0" t="n">
        <v>21432</v>
      </c>
      <c r="R7" s="0" t="n">
        <v>4492</v>
      </c>
      <c r="S7" s="0" t="n">
        <v>272</v>
      </c>
      <c r="T7" s="0" t="n">
        <v>340.9</v>
      </c>
      <c r="U7" s="0" t="n">
        <v>235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11514</v>
      </c>
      <c r="F8" s="0" t="n">
        <v>1596</v>
      </c>
      <c r="G8" s="0" t="n">
        <v>13.8613861386139</v>
      </c>
      <c r="H8" s="0" t="n">
        <v>1828</v>
      </c>
      <c r="I8" s="0" t="n">
        <v>1020</v>
      </c>
      <c r="J8" s="0" t="n">
        <v>8.8587806149036</v>
      </c>
      <c r="K8" s="0" t="n">
        <v>2.99</v>
      </c>
      <c r="L8" s="0" t="n">
        <v>1419</v>
      </c>
      <c r="M8" s="0" t="n">
        <v>269</v>
      </c>
      <c r="N8" s="0" t="n">
        <v>1150</v>
      </c>
      <c r="O8" s="0" t="n">
        <v>7805</v>
      </c>
      <c r="P8" s="0" t="n">
        <v>30486</v>
      </c>
      <c r="Q8" s="0" t="n">
        <v>22681</v>
      </c>
      <c r="R8" s="0" t="n">
        <v>4165</v>
      </c>
      <c r="S8" s="0" t="n">
        <v>291</v>
      </c>
      <c r="T8" s="0" t="n">
        <v>332.6</v>
      </c>
      <c r="U8" s="0" t="n">
        <v>212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11815</v>
      </c>
      <c r="F9" s="0" t="n">
        <v>1671</v>
      </c>
      <c r="G9" s="0" t="n">
        <v>14.1430385103682</v>
      </c>
      <c r="H9" s="0" t="n">
        <v>1911</v>
      </c>
      <c r="I9" s="0" t="n">
        <v>1148</v>
      </c>
      <c r="J9" s="0" t="n">
        <v>9.71646212441811</v>
      </c>
      <c r="K9" s="0" t="n">
        <v>3.53</v>
      </c>
      <c r="L9" s="0" t="n">
        <v>1753</v>
      </c>
      <c r="M9" s="0" t="n">
        <v>229</v>
      </c>
      <c r="N9" s="0" t="n">
        <v>1524</v>
      </c>
      <c r="O9" s="0" t="n">
        <v>8091</v>
      </c>
      <c r="P9" s="0" t="n">
        <v>30251</v>
      </c>
      <c r="Q9" s="0" t="n">
        <v>22056</v>
      </c>
      <c r="R9" s="0" t="n">
        <v>4389</v>
      </c>
      <c r="S9" s="0" t="n">
        <v>477</v>
      </c>
      <c r="T9" s="0" t="n">
        <v>315.4</v>
      </c>
      <c r="U9" s="0" t="n">
        <v>300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12045</v>
      </c>
      <c r="F10" s="0" t="n">
        <v>1966</v>
      </c>
      <c r="G10" s="0" t="n">
        <v>16.3221253632213</v>
      </c>
      <c r="H10" s="0" t="n">
        <v>2208</v>
      </c>
      <c r="I10" s="0" t="n">
        <v>1431</v>
      </c>
      <c r="J10" s="0" t="n">
        <v>11.8804483188045</v>
      </c>
      <c r="K10" s="0" t="n">
        <v>4.66</v>
      </c>
      <c r="L10" s="0" t="n">
        <v>1812</v>
      </c>
      <c r="M10" s="0" t="n">
        <v>256</v>
      </c>
      <c r="N10" s="0" t="n">
        <v>1556</v>
      </c>
      <c r="O10" s="0" t="n">
        <v>6527</v>
      </c>
      <c r="P10" s="0" t="n">
        <v>29772</v>
      </c>
      <c r="Q10" s="0" t="n">
        <v>23141</v>
      </c>
      <c r="R10" s="0" t="n">
        <v>5582</v>
      </c>
      <c r="S10" s="0" t="n">
        <v>374</v>
      </c>
      <c r="T10" s="0" t="n">
        <v>299.6</v>
      </c>
      <c r="U10" s="0" t="n">
        <v>328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9480</v>
      </c>
      <c r="F11" s="0" t="n">
        <v>1587</v>
      </c>
      <c r="G11" s="0" t="n">
        <v>16.7405063291139</v>
      </c>
      <c r="H11" s="0" t="n">
        <v>1751</v>
      </c>
      <c r="I11" s="0" t="n">
        <v>1422</v>
      </c>
      <c r="J11" s="0" t="n">
        <v>15</v>
      </c>
      <c r="K11" s="0" t="n">
        <v>4.88</v>
      </c>
      <c r="L11" s="0" t="n">
        <v>2009</v>
      </c>
      <c r="M11" s="0" t="n">
        <v>200</v>
      </c>
      <c r="N11" s="0" t="n">
        <v>1809</v>
      </c>
      <c r="O11" s="0" t="n">
        <v>6059</v>
      </c>
      <c r="P11" s="0" t="n">
        <v>26883</v>
      </c>
      <c r="Q11" s="0" t="n">
        <v>20824</v>
      </c>
      <c r="R11" s="0" t="n">
        <v>5700</v>
      </c>
      <c r="S11" s="0" t="n">
        <v>384</v>
      </c>
      <c r="T11" s="0" t="n">
        <v>283.8</v>
      </c>
      <c r="U11" s="0" t="n">
        <v>320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9409</v>
      </c>
      <c r="F12" s="0" t="n">
        <v>1811</v>
      </c>
      <c r="G12" s="0" t="n">
        <v>19.2475289616325</v>
      </c>
      <c r="H12" s="0" t="n">
        <v>1973</v>
      </c>
      <c r="I12" s="0" t="n">
        <v>1430</v>
      </c>
      <c r="J12" s="0" t="n">
        <v>15.1982144755022</v>
      </c>
      <c r="K12" s="0" t="n">
        <v>5.16</v>
      </c>
      <c r="L12" s="0" t="n">
        <v>2326</v>
      </c>
      <c r="M12" s="0" t="n">
        <v>156</v>
      </c>
      <c r="N12" s="0" t="n">
        <v>2170</v>
      </c>
      <c r="O12" s="0" t="n">
        <v>5581</v>
      </c>
      <c r="P12" s="0" t="n">
        <v>26615</v>
      </c>
      <c r="Q12" s="0" t="n">
        <v>21083</v>
      </c>
      <c r="R12" s="0" t="n">
        <v>6205</v>
      </c>
      <c r="S12" s="0" t="n">
        <v>426</v>
      </c>
      <c r="T12" s="0" t="n">
        <v>270.3</v>
      </c>
      <c r="U12" s="0" t="n">
        <v>306</v>
      </c>
      <c r="V12" s="0" t="n">
        <v>1.29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9998</v>
      </c>
      <c r="F13" s="0" t="n">
        <v>1065</v>
      </c>
      <c r="G13" s="0" t="n">
        <v>10.6521304260852</v>
      </c>
      <c r="H13" s="0" t="n">
        <v>1252</v>
      </c>
      <c r="I13" s="0" t="n">
        <v>1263</v>
      </c>
      <c r="J13" s="0" t="n">
        <v>12.6325265053011</v>
      </c>
      <c r="K13" s="0" t="n">
        <v>4.7</v>
      </c>
      <c r="L13" s="0" t="n">
        <v>734</v>
      </c>
      <c r="M13" s="0" t="n">
        <v>183</v>
      </c>
      <c r="N13" s="0" t="n">
        <v>551</v>
      </c>
      <c r="O13" s="0" t="n">
        <v>4648</v>
      </c>
      <c r="P13" s="0" t="n">
        <v>26088</v>
      </c>
      <c r="Q13" s="0" t="n">
        <v>21440</v>
      </c>
      <c r="R13" s="0" t="n">
        <v>5966</v>
      </c>
      <c r="S13" s="0" t="n">
        <v>756</v>
      </c>
      <c r="T13" s="0" t="n">
        <v>260.7</v>
      </c>
      <c r="U13" s="0" t="n">
        <v>319</v>
      </c>
      <c r="V13" s="0" t="n">
        <v>1.41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10770</v>
      </c>
      <c r="F14" s="0" t="n">
        <v>1544</v>
      </c>
      <c r="G14" s="0" t="n">
        <v>14.3361188486537</v>
      </c>
      <c r="H14" s="0" t="n">
        <v>1720</v>
      </c>
      <c r="I14" s="0" t="n">
        <v>1174</v>
      </c>
      <c r="J14" s="0" t="n">
        <v>10.9006499535748</v>
      </c>
      <c r="K14" s="0" t="n">
        <v>4.59</v>
      </c>
      <c r="L14" s="0" t="n">
        <v>1686</v>
      </c>
      <c r="M14" s="0" t="n">
        <v>240</v>
      </c>
      <c r="N14" s="0" t="n">
        <v>1446</v>
      </c>
      <c r="O14" s="0" t="n">
        <v>4219</v>
      </c>
      <c r="P14" s="0" t="n">
        <v>26422</v>
      </c>
      <c r="Q14" s="0" t="n">
        <v>22203</v>
      </c>
      <c r="R14" s="0" t="n">
        <v>6244</v>
      </c>
      <c r="S14" s="0" t="n">
        <v>656</v>
      </c>
      <c r="T14" s="0" t="n">
        <v>247</v>
      </c>
      <c r="U14" s="0" t="n">
        <v>338</v>
      </c>
      <c r="V14" s="0" t="n">
        <v>1.56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11013</v>
      </c>
      <c r="F15" s="0" t="n">
        <v>2169</v>
      </c>
      <c r="G15" s="0" t="n">
        <v>19.694906020158</v>
      </c>
      <c r="I15" s="0" t="n">
        <v>1532</v>
      </c>
      <c r="J15" s="0" t="n">
        <v>13.91083265232</v>
      </c>
      <c r="K15" s="0" t="n">
        <v>6.37</v>
      </c>
      <c r="L15" s="0" t="n">
        <v>1835</v>
      </c>
      <c r="M15" s="0" t="n">
        <v>225</v>
      </c>
      <c r="N15" s="0" t="n">
        <v>1610</v>
      </c>
      <c r="O15" s="0" t="n">
        <v>3443</v>
      </c>
      <c r="P15" s="0" t="n">
        <v>29405</v>
      </c>
      <c r="Q15" s="0" t="n">
        <v>25956</v>
      </c>
      <c r="R15" s="0" t="n">
        <v>7339</v>
      </c>
      <c r="S15" s="0" t="n">
        <v>790</v>
      </c>
      <c r="T15" s="0" t="n">
        <v>240.6</v>
      </c>
      <c r="U15" s="0" t="n">
        <v>317</v>
      </c>
      <c r="V15" s="0" t="n">
        <v>1.72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11066</v>
      </c>
      <c r="F16" s="0" t="n">
        <v>2781</v>
      </c>
      <c r="G16" s="0" t="n">
        <v>25.1310319898789</v>
      </c>
      <c r="I16" s="0" t="n">
        <v>1969</v>
      </c>
      <c r="J16" s="0" t="n">
        <v>17.79324055666</v>
      </c>
      <c r="K16" s="0" t="n">
        <v>8.45</v>
      </c>
      <c r="L16" s="0" t="n">
        <v>2783</v>
      </c>
      <c r="M16" s="0" t="n">
        <v>141</v>
      </c>
      <c r="N16" s="0" t="n">
        <v>2642</v>
      </c>
      <c r="O16" s="0" t="n">
        <v>3583</v>
      </c>
      <c r="P16" s="0" t="n">
        <v>32114</v>
      </c>
      <c r="Q16" s="0" t="n">
        <v>28531</v>
      </c>
      <c r="R16" s="0" t="n">
        <v>7729</v>
      </c>
      <c r="S16" s="0" t="n">
        <v>884</v>
      </c>
      <c r="T16" s="0" t="n">
        <v>233.1</v>
      </c>
      <c r="U16" s="0" t="n">
        <v>312</v>
      </c>
      <c r="V16" s="0" t="n">
        <v>1.78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12193</v>
      </c>
      <c r="F17" s="0" t="n">
        <v>2090</v>
      </c>
      <c r="G17" s="0" t="n">
        <v>17.1409825309604</v>
      </c>
      <c r="I17" s="0" t="n">
        <v>1255</v>
      </c>
      <c r="J17" s="0" t="n">
        <v>10.2927909456245</v>
      </c>
      <c r="K17" s="0" t="n">
        <v>5.55</v>
      </c>
      <c r="L17" s="0" t="n">
        <v>2182</v>
      </c>
      <c r="M17" s="0" t="n">
        <v>137</v>
      </c>
      <c r="N17" s="0" t="n">
        <v>2045</v>
      </c>
      <c r="O17" s="0" t="n">
        <v>1158</v>
      </c>
      <c r="P17" s="0" t="n">
        <v>31917</v>
      </c>
      <c r="Q17" s="0" t="n">
        <v>30759</v>
      </c>
      <c r="R17" s="0" t="n">
        <v>9392</v>
      </c>
      <c r="S17" s="0" t="n">
        <v>544</v>
      </c>
      <c r="T17" s="0" t="n">
        <v>226.1</v>
      </c>
      <c r="U17" s="0" t="n">
        <v>449</v>
      </c>
      <c r="V17" s="0" t="n">
        <v>1.99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12479</v>
      </c>
      <c r="F18" s="0" t="n">
        <v>3669</v>
      </c>
      <c r="G18" s="0" t="n">
        <v>29.4013943424954</v>
      </c>
      <c r="I18" s="0" t="n">
        <v>2589</v>
      </c>
      <c r="J18" s="0" t="n">
        <v>20.7468547159228</v>
      </c>
      <c r="K18" s="0" t="n">
        <v>12.14</v>
      </c>
      <c r="L18" s="0" t="n">
        <v>3219</v>
      </c>
      <c r="M18" s="0" t="n">
        <v>196</v>
      </c>
      <c r="N18" s="0" t="n">
        <v>3023</v>
      </c>
      <c r="O18" s="0" t="n">
        <v>-429</v>
      </c>
      <c r="P18" s="0" t="n">
        <v>32704</v>
      </c>
      <c r="Q18" s="0" t="n">
        <v>33133</v>
      </c>
      <c r="R18" s="0" t="n">
        <v>10770</v>
      </c>
      <c r="S18" s="0" t="n">
        <v>690</v>
      </c>
      <c r="T18" s="0" t="n">
        <v>213.2</v>
      </c>
      <c r="U18" s="0" t="n">
        <v>397</v>
      </c>
      <c r="V18" s="0" t="n">
        <v>2.19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13376</v>
      </c>
      <c r="F19" s="0" t="n">
        <v>3785</v>
      </c>
      <c r="G19" s="0" t="n">
        <v>28.2969497607656</v>
      </c>
      <c r="I19" s="0" t="n">
        <v>2564</v>
      </c>
      <c r="J19" s="0" t="n">
        <v>19.1686602870813</v>
      </c>
      <c r="K19" s="0" t="n">
        <v>12.51</v>
      </c>
      <c r="L19" s="0" t="n">
        <v>3435</v>
      </c>
      <c r="M19" s="0" t="n">
        <v>252</v>
      </c>
      <c r="N19" s="0" t="n">
        <v>3183</v>
      </c>
      <c r="O19" s="0" t="n">
        <v>-742</v>
      </c>
      <c r="P19" s="0" t="n">
        <v>33959</v>
      </c>
      <c r="Q19" s="0" t="n">
        <v>34701</v>
      </c>
      <c r="R19" s="0" t="n">
        <v>11199</v>
      </c>
      <c r="S19" s="0" t="n">
        <v>778</v>
      </c>
      <c r="T19" s="0" t="n">
        <v>205</v>
      </c>
      <c r="U19" s="0" t="n">
        <v>438</v>
      </c>
      <c r="V19" s="0" t="n">
        <v>2.41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15698</v>
      </c>
      <c r="F20" s="0" t="n">
        <v>3835</v>
      </c>
      <c r="G20" s="0" t="n">
        <v>24.4298636769015</v>
      </c>
      <c r="I20" s="0" t="n">
        <v>2654</v>
      </c>
      <c r="J20" s="0" t="n">
        <v>16.9066123073003</v>
      </c>
      <c r="K20" s="0" t="n">
        <v>12.49</v>
      </c>
      <c r="L20" s="0" t="n">
        <v>3035</v>
      </c>
      <c r="M20" s="0" t="n">
        <v>218</v>
      </c>
      <c r="N20" s="0" t="n">
        <v>2817</v>
      </c>
      <c r="O20" s="0" t="n">
        <v>6121</v>
      </c>
      <c r="P20" s="0" t="n">
        <v>48965</v>
      </c>
      <c r="Q20" s="0" t="n">
        <v>42535</v>
      </c>
      <c r="R20" s="0" t="n">
        <v>17016</v>
      </c>
      <c r="S20" s="0" t="n">
        <v>1085</v>
      </c>
      <c r="T20" s="0" t="n">
        <v>212.5</v>
      </c>
      <c r="U20" s="0" t="n">
        <v>474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17181</v>
      </c>
      <c r="F21" s="0" t="n">
        <v>4344</v>
      </c>
      <c r="G21" s="0" t="n">
        <v>25.2837436703335</v>
      </c>
      <c r="I21" s="0" t="n">
        <v>3695</v>
      </c>
      <c r="J21" s="0" t="n">
        <v>21.5063151155346</v>
      </c>
      <c r="K21" s="0" t="n">
        <v>17.02</v>
      </c>
      <c r="L21" s="0" t="n">
        <v>3481</v>
      </c>
      <c r="M21" s="0" t="n">
        <v>263</v>
      </c>
      <c r="N21" s="0" t="n">
        <v>3218</v>
      </c>
      <c r="O21" s="0" t="n">
        <v>9352</v>
      </c>
      <c r="P21" s="0" t="n">
        <v>50784</v>
      </c>
      <c r="Q21" s="0" t="n">
        <v>41236</v>
      </c>
      <c r="R21" s="0" t="n">
        <v>15838</v>
      </c>
      <c r="S21" s="0" t="n">
        <v>1195</v>
      </c>
      <c r="T21" s="0" t="n">
        <v>217.1</v>
      </c>
      <c r="U21" s="0" t="n">
        <v>432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276.09</v>
      </c>
    </row>
    <row r="3" customFormat="false" ht="15" hidden="false" customHeight="false" outlineLevel="0" collapsed="false">
      <c r="A3" s="0" t="s">
        <v>86</v>
      </c>
      <c r="B3" s="3" t="n">
        <v>213.9</v>
      </c>
    </row>
    <row r="4" customFormat="false" ht="15" hidden="false" customHeight="false" outlineLevel="0" collapsed="false">
      <c r="A4" s="0" t="s">
        <v>87</v>
      </c>
      <c r="B4" s="3" t="n">
        <v>31405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17181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5</v>
      </c>
      <c r="D13" s="3" t="n">
        <v>10</v>
      </c>
      <c r="E13" s="3" t="n">
        <v>3.5</v>
      </c>
      <c r="F13" s="3" t="n">
        <v>3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30.5</v>
      </c>
      <c r="D14" s="3" t="n">
        <v>29.5</v>
      </c>
      <c r="E14" s="3" t="n">
        <v>29</v>
      </c>
      <c r="F14" s="3" t="n">
        <v>29.5</v>
      </c>
      <c r="G14" s="3" t="n">
        <v>30</v>
      </c>
      <c r="H14" s="3" t="n">
        <v>30.3</v>
      </c>
      <c r="I14" s="3" t="n">
        <v>30.5</v>
      </c>
      <c r="J14" s="3" t="n">
        <v>30.6</v>
      </c>
      <c r="K14" s="3" t="n">
        <v>30.7</v>
      </c>
      <c r="L14" s="3" t="n">
        <v>30.8</v>
      </c>
    </row>
    <row r="15" customFormat="false" ht="15" hidden="false" customHeight="false" outlineLevel="0" collapsed="false">
      <c r="A15" s="0" t="s">
        <v>108</v>
      </c>
      <c r="C15" s="3" t="n">
        <v>2.6</v>
      </c>
      <c r="D15" s="3" t="n">
        <v>2.6</v>
      </c>
      <c r="E15" s="3" t="n">
        <v>2.5</v>
      </c>
      <c r="F15" s="3" t="n">
        <v>2.5</v>
      </c>
      <c r="G15" s="3" t="n">
        <v>2.4</v>
      </c>
      <c r="H15" s="3" t="n">
        <v>2.4</v>
      </c>
      <c r="I15" s="3" t="n">
        <v>2.3</v>
      </c>
      <c r="J15" s="3" t="n">
        <v>2.3</v>
      </c>
      <c r="K15" s="3" t="n">
        <v>2.2</v>
      </c>
      <c r="L15" s="3" t="n">
        <v>2.2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4</v>
      </c>
      <c r="D17" s="3" t="n">
        <v>4.8</v>
      </c>
      <c r="E17" s="3" t="n">
        <v>5</v>
      </c>
      <c r="F17" s="3" t="n">
        <v>4.8</v>
      </c>
      <c r="G17" s="3" t="n">
        <v>4.5</v>
      </c>
      <c r="H17" s="3" t="n">
        <v>4.3</v>
      </c>
      <c r="I17" s="3" t="n">
        <v>4.1</v>
      </c>
      <c r="J17" s="3" t="n">
        <v>4</v>
      </c>
      <c r="K17" s="3" t="n">
        <v>3.9</v>
      </c>
      <c r="L17" s="3" t="n">
        <v>3.8</v>
      </c>
    </row>
    <row r="18" customFormat="false" ht="15" hidden="false" customHeight="false" outlineLevel="0" collapsed="false">
      <c r="A18" s="0" t="s">
        <v>111</v>
      </c>
      <c r="C18" s="3" t="n">
        <v>1.6</v>
      </c>
      <c r="D18" s="3" t="n">
        <v>1.7</v>
      </c>
      <c r="E18" s="3" t="n">
        <v>1.7</v>
      </c>
      <c r="F18" s="3" t="n">
        <v>1.7</v>
      </c>
      <c r="G18" s="3" t="n">
        <v>1.6</v>
      </c>
      <c r="H18" s="3" t="n">
        <v>1.6</v>
      </c>
      <c r="I18" s="3" t="n">
        <v>1.6</v>
      </c>
      <c r="J18" s="3" t="n">
        <v>1.5</v>
      </c>
      <c r="K18" s="3" t="n">
        <v>1.5</v>
      </c>
      <c r="L18" s="3" t="n">
        <v>1.5</v>
      </c>
    </row>
    <row r="19" customFormat="false" ht="15" hidden="false" customHeight="false" outlineLevel="0" collapsed="false">
      <c r="A19" s="0" t="s">
        <v>112</v>
      </c>
      <c r="C19" s="3" t="n">
        <v>25</v>
      </c>
      <c r="D19" s="3" t="n">
        <v>26</v>
      </c>
      <c r="E19" s="3" t="n">
        <v>26</v>
      </c>
      <c r="F19" s="3" t="n">
        <v>26</v>
      </c>
      <c r="G19" s="3" t="n">
        <v>25.5</v>
      </c>
      <c r="H19" s="3" t="n">
        <v>25.5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113</v>
      </c>
      <c r="B20" s="3" t="n">
        <v>10.5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-8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7.6</v>
      </c>
      <c r="D27" s="3" t="n">
        <v>19</v>
      </c>
      <c r="E27" s="3" t="n">
        <v>8</v>
      </c>
      <c r="F27" s="3" t="n">
        <v>6.5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31.8</v>
      </c>
      <c r="D28" s="3" t="n">
        <v>32.5</v>
      </c>
      <c r="E28" s="3" t="n">
        <v>33.2</v>
      </c>
      <c r="F28" s="3" t="n">
        <v>33.8</v>
      </c>
      <c r="G28" s="3" t="n">
        <v>34.2</v>
      </c>
      <c r="H28" s="3" t="n">
        <v>34.5</v>
      </c>
      <c r="I28" s="3" t="n">
        <v>34.7</v>
      </c>
      <c r="J28" s="3" t="n">
        <v>34.8</v>
      </c>
      <c r="K28" s="3" t="n">
        <v>34.9</v>
      </c>
      <c r="L28" s="3" t="n">
        <v>35</v>
      </c>
    </row>
    <row r="29" customFormat="false" ht="15" hidden="false" customHeight="false" outlineLevel="0" collapsed="false">
      <c r="A29" s="0" t="s">
        <v>108</v>
      </c>
      <c r="C29" s="3" t="n">
        <v>2.5</v>
      </c>
      <c r="D29" s="3" t="n">
        <v>2.4</v>
      </c>
      <c r="E29" s="3" t="n">
        <v>2.3</v>
      </c>
      <c r="F29" s="3" t="n">
        <v>2.2</v>
      </c>
      <c r="G29" s="3" t="n">
        <v>2.1</v>
      </c>
      <c r="H29" s="3" t="n">
        <v>2</v>
      </c>
      <c r="I29" s="3" t="n">
        <v>2</v>
      </c>
      <c r="J29" s="3" t="n">
        <v>1.9</v>
      </c>
      <c r="K29" s="3" t="n">
        <v>1.9</v>
      </c>
      <c r="L29" s="3" t="n">
        <v>1.8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3.8</v>
      </c>
      <c r="D31" s="3" t="n">
        <v>4.3</v>
      </c>
      <c r="E31" s="3" t="n">
        <v>4.4</v>
      </c>
      <c r="F31" s="3" t="n">
        <v>4.2</v>
      </c>
      <c r="G31" s="3" t="n">
        <v>4</v>
      </c>
      <c r="H31" s="3" t="n">
        <v>3.8</v>
      </c>
      <c r="I31" s="3" t="n">
        <v>3.6</v>
      </c>
      <c r="J31" s="3" t="n">
        <v>3.5</v>
      </c>
      <c r="K31" s="3" t="n">
        <v>3.4</v>
      </c>
      <c r="L31" s="3" t="n">
        <v>3.3</v>
      </c>
    </row>
    <row r="32" customFormat="false" ht="15" hidden="false" customHeight="false" outlineLevel="0" collapsed="false">
      <c r="A32" s="0" t="s">
        <v>111</v>
      </c>
      <c r="C32" s="3" t="n">
        <v>1.5</v>
      </c>
      <c r="D32" s="3" t="n">
        <v>1.5</v>
      </c>
      <c r="E32" s="3" t="n">
        <v>1.5</v>
      </c>
      <c r="F32" s="3" t="n">
        <v>1.5</v>
      </c>
      <c r="G32" s="3" t="n">
        <v>1.5</v>
      </c>
      <c r="H32" s="3" t="n">
        <v>1.4</v>
      </c>
      <c r="I32" s="3" t="n">
        <v>1.4</v>
      </c>
      <c r="J32" s="3" t="n">
        <v>1.4</v>
      </c>
      <c r="K32" s="3" t="n">
        <v>1.4</v>
      </c>
      <c r="L32" s="3" t="n">
        <v>1.4</v>
      </c>
    </row>
    <row r="33" customFormat="false" ht="15" hidden="false" customHeight="false" outlineLevel="0" collapsed="false">
      <c r="A33" s="0" t="s">
        <v>112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9.5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-5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9</v>
      </c>
      <c r="D41" s="3" t="n">
        <v>21.5</v>
      </c>
      <c r="E41" s="3" t="n">
        <v>10.5</v>
      </c>
      <c r="F41" s="3" t="n">
        <v>9</v>
      </c>
      <c r="G41" s="3" t="n">
        <v>7.5</v>
      </c>
      <c r="H41" s="3" t="n">
        <v>6.5</v>
      </c>
      <c r="I41" s="3" t="n">
        <v>5.5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32.2</v>
      </c>
      <c r="D42" s="3" t="n">
        <v>33.2</v>
      </c>
      <c r="E42" s="3" t="n">
        <v>34.3</v>
      </c>
      <c r="F42" s="3" t="n">
        <v>35.3</v>
      </c>
      <c r="G42" s="3" t="n">
        <v>36</v>
      </c>
      <c r="H42" s="3" t="n">
        <v>36.5</v>
      </c>
      <c r="I42" s="3" t="n">
        <v>36.8</v>
      </c>
      <c r="J42" s="3" t="n">
        <v>37</v>
      </c>
      <c r="K42" s="3" t="n">
        <v>37.1</v>
      </c>
      <c r="L42" s="3" t="n">
        <v>37.2</v>
      </c>
    </row>
    <row r="43" customFormat="false" ht="15" hidden="false" customHeight="false" outlineLevel="0" collapsed="false">
      <c r="A43" s="0" t="s">
        <v>108</v>
      </c>
      <c r="C43" s="3" t="n">
        <v>2.4</v>
      </c>
      <c r="D43" s="3" t="n">
        <v>2.2</v>
      </c>
      <c r="E43" s="3" t="n">
        <v>2</v>
      </c>
      <c r="F43" s="3" t="n">
        <v>1.9</v>
      </c>
      <c r="G43" s="3" t="n">
        <v>1.8</v>
      </c>
      <c r="H43" s="3" t="n">
        <v>1.7</v>
      </c>
      <c r="I43" s="3" t="n">
        <v>1.6</v>
      </c>
      <c r="J43" s="3" t="n">
        <v>1.6</v>
      </c>
      <c r="K43" s="3" t="n">
        <v>1.5</v>
      </c>
      <c r="L43" s="3" t="n">
        <v>1.5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3.7</v>
      </c>
      <c r="D45" s="3" t="n">
        <v>4.1</v>
      </c>
      <c r="E45" s="3" t="n">
        <v>4.1</v>
      </c>
      <c r="F45" s="3" t="n">
        <v>3.8</v>
      </c>
      <c r="G45" s="3" t="n">
        <v>3.5</v>
      </c>
      <c r="H45" s="3" t="n">
        <v>3.3</v>
      </c>
      <c r="I45" s="3" t="n">
        <v>3.1</v>
      </c>
      <c r="J45" s="3" t="n">
        <v>3</v>
      </c>
      <c r="K45" s="3" t="n">
        <v>2.9</v>
      </c>
      <c r="L45" s="3" t="n">
        <v>2.8</v>
      </c>
    </row>
    <row r="46" customFormat="false" ht="15" hidden="false" customHeight="false" outlineLevel="0" collapsed="false">
      <c r="A46" s="0" t="s">
        <v>111</v>
      </c>
      <c r="C46" s="3" t="n">
        <v>1.5</v>
      </c>
      <c r="D46" s="3" t="n">
        <v>1.5</v>
      </c>
      <c r="E46" s="3" t="n">
        <v>1.4</v>
      </c>
      <c r="F46" s="3" t="n">
        <v>1.4</v>
      </c>
      <c r="G46" s="3" t="n">
        <v>1.4</v>
      </c>
      <c r="H46" s="3" t="n">
        <v>1.3</v>
      </c>
      <c r="I46" s="3" t="n">
        <v>1.3</v>
      </c>
      <c r="J46" s="3" t="n">
        <v>1.3</v>
      </c>
      <c r="K46" s="3" t="n">
        <v>1.3</v>
      </c>
      <c r="L46" s="3" t="n">
        <v>1.3</v>
      </c>
    </row>
    <row r="47" customFormat="false" ht="15" hidden="false" customHeight="false" outlineLevel="0" collapsed="false">
      <c r="A47" s="0" t="s">
        <v>112</v>
      </c>
      <c r="C47" s="3" t="n">
        <v>23.5</v>
      </c>
      <c r="D47" s="3" t="n">
        <v>23</v>
      </c>
      <c r="E47" s="3" t="n">
        <v>23</v>
      </c>
      <c r="F47" s="3" t="n">
        <v>22.5</v>
      </c>
      <c r="G47" s="3" t="n">
        <v>22.5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113</v>
      </c>
      <c r="B48" s="3" t="n">
        <v>8.8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17</v>
      </c>
    </row>
    <row r="51" customFormat="false" ht="15" hidden="false" customHeight="false" outlineLevel="0" collapsed="false">
      <c r="A51" s="0" t="s">
        <v>116</v>
      </c>
      <c r="B51" s="3" t="n">
        <v>-3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5</v>
      </c>
      <c r="D5" s="4" t="n">
        <f aca="false">Assumptions!D13</f>
        <v>10</v>
      </c>
      <c r="E5" s="4" t="n">
        <f aca="false">Assumptions!E13</f>
        <v>3.5</v>
      </c>
      <c r="F5" s="4" t="n">
        <f aca="false">Assumptions!F13</f>
        <v>3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17181</v>
      </c>
      <c r="C6" s="0" t="n">
        <f aca="false">B6*(1+C5/100)</f>
        <v>18040.05</v>
      </c>
      <c r="D6" s="0" t="n">
        <f aca="false">C6*(1+D5/100)</f>
        <v>19844.055</v>
      </c>
      <c r="E6" s="0" t="n">
        <f aca="false">D6*(1+E5/100)</f>
        <v>20538.596925</v>
      </c>
      <c r="F6" s="0" t="n">
        <f aca="false">E6*(1+F5/100)</f>
        <v>21154.75483275</v>
      </c>
      <c r="G6" s="0" t="n">
        <f aca="false">F6*(1+G5/100)</f>
        <v>21683.6237035687</v>
      </c>
      <c r="H6" s="0" t="n">
        <f aca="false">G6*(1+H5/100)</f>
        <v>22225.714296158</v>
      </c>
      <c r="I6" s="0" t="n">
        <f aca="false">H6*(1+I5/100)</f>
        <v>22670.2285820811</v>
      </c>
      <c r="J6" s="0" t="n">
        <f aca="false">I6*(1+J5/100)</f>
        <v>23123.6331537227</v>
      </c>
      <c r="K6" s="0" t="n">
        <f aca="false">J6*(1+K5/100)</f>
        <v>23586.1058167972</v>
      </c>
      <c r="L6" s="0" t="n">
        <f aca="false">K6*(1+L5/100)</f>
        <v>24057.8279331331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30.5</v>
      </c>
      <c r="D7" s="4" t="n">
        <f aca="false">Assumptions!D14</f>
        <v>29.5</v>
      </c>
      <c r="E7" s="4" t="n">
        <f aca="false">Assumptions!E14</f>
        <v>29</v>
      </c>
      <c r="F7" s="4" t="n">
        <f aca="false">Assumptions!F14</f>
        <v>29.5</v>
      </c>
      <c r="G7" s="4" t="n">
        <f aca="false">Assumptions!G14</f>
        <v>30</v>
      </c>
      <c r="H7" s="4" t="n">
        <f aca="false">Assumptions!H14</f>
        <v>30.3</v>
      </c>
      <c r="I7" s="4" t="n">
        <f aca="false">Assumptions!I14</f>
        <v>30.5</v>
      </c>
      <c r="J7" s="4" t="n">
        <f aca="false">Assumptions!J14</f>
        <v>30.6</v>
      </c>
      <c r="K7" s="4" t="n">
        <f aca="false">Assumptions!K14</f>
        <v>30.7</v>
      </c>
      <c r="L7" s="4" t="n">
        <f aca="false">Assumptions!L14</f>
        <v>30.8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5502.21525</v>
      </c>
      <c r="D8" s="0" t="n">
        <f aca="false">D6*D7/100</f>
        <v>5853.996225</v>
      </c>
      <c r="E8" s="0" t="n">
        <f aca="false">E6*E7/100</f>
        <v>5956.19310825</v>
      </c>
      <c r="F8" s="0" t="n">
        <f aca="false">F6*F7/100</f>
        <v>6240.65267566125</v>
      </c>
      <c r="G8" s="0" t="n">
        <f aca="false">G6*G7/100</f>
        <v>6505.08711107062</v>
      </c>
      <c r="H8" s="0" t="n">
        <f aca="false">H6*H7/100</f>
        <v>6734.39143173586</v>
      </c>
      <c r="I8" s="0" t="n">
        <f aca="false">I6*I7/100</f>
        <v>6914.41971753474</v>
      </c>
      <c r="J8" s="0" t="n">
        <f aca="false">J6*J7/100</f>
        <v>7075.83174503916</v>
      </c>
      <c r="K8" s="0" t="n">
        <f aca="false">K6*K7/100</f>
        <v>7240.93448575674</v>
      </c>
      <c r="L8" s="0" t="n">
        <f aca="false">L6*L7/100</f>
        <v>7409.81100340501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2.6</v>
      </c>
      <c r="D9" s="4" t="n">
        <f aca="false">Assumptions!D15</f>
        <v>2.6</v>
      </c>
      <c r="E9" s="4" t="n">
        <f aca="false">Assumptions!E15</f>
        <v>2.5</v>
      </c>
      <c r="F9" s="4" t="n">
        <f aca="false">Assumptions!F15</f>
        <v>2.5</v>
      </c>
      <c r="G9" s="4" t="n">
        <f aca="false">Assumptions!G15</f>
        <v>2.4</v>
      </c>
      <c r="H9" s="4" t="n">
        <f aca="false">Assumptions!H15</f>
        <v>2.4</v>
      </c>
      <c r="I9" s="4" t="n">
        <f aca="false">Assumptions!I15</f>
        <v>2.3</v>
      </c>
      <c r="J9" s="4" t="n">
        <f aca="false">Assumptions!J15</f>
        <v>2.3</v>
      </c>
      <c r="K9" s="4" t="n">
        <f aca="false">Assumptions!K15</f>
        <v>2.2</v>
      </c>
      <c r="L9" s="4" t="n">
        <f aca="false">Assumptions!L15</f>
        <v>2.2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-469.0413</v>
      </c>
      <c r="D10" s="0" t="n">
        <f aca="false">-D6*D9/100</f>
        <v>-515.94543</v>
      </c>
      <c r="E10" s="0" t="n">
        <f aca="false">-E6*E9/100</f>
        <v>-513.464923125</v>
      </c>
      <c r="F10" s="0" t="n">
        <f aca="false">-F6*F9/100</f>
        <v>-528.86887081875</v>
      </c>
      <c r="G10" s="0" t="n">
        <f aca="false">-G6*G9/100</f>
        <v>-520.40696888565</v>
      </c>
      <c r="H10" s="0" t="n">
        <f aca="false">-H6*H9/100</f>
        <v>-533.417143107791</v>
      </c>
      <c r="I10" s="0" t="n">
        <f aca="false">-I6*I9/100</f>
        <v>-521.415257387866</v>
      </c>
      <c r="J10" s="0" t="n">
        <f aca="false">-J6*J9/100</f>
        <v>-531.843562535623</v>
      </c>
      <c r="K10" s="0" t="n">
        <f aca="false">-K6*K9/100</f>
        <v>-518.894327969538</v>
      </c>
      <c r="L10" s="0" t="n">
        <f aca="false">-L6*L9/100</f>
        <v>-529.272214528929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5033.17395</v>
      </c>
      <c r="D11" s="0" t="n">
        <f aca="false">D8+D10+D24</f>
        <v>5338.050795</v>
      </c>
      <c r="E11" s="0" t="n">
        <f aca="false">E8+E10+E24</f>
        <v>5442.728185125</v>
      </c>
      <c r="F11" s="0" t="n">
        <f aca="false">F8+F10+F24</f>
        <v>5711.7838048425</v>
      </c>
      <c r="G11" s="0" t="n">
        <f aca="false">G8+G10+G24</f>
        <v>5984.68014218497</v>
      </c>
      <c r="H11" s="0" t="n">
        <f aca="false">H8+H10+H24</f>
        <v>6200.97428862807</v>
      </c>
      <c r="I11" s="0" t="n">
        <f aca="false">I8+I10+I24</f>
        <v>6393.00446014688</v>
      </c>
      <c r="J11" s="0" t="n">
        <f aca="false">J8+J10+J24</f>
        <v>6543.98818250354</v>
      </c>
      <c r="K11" s="0" t="n">
        <f aca="false">K8+K10+K24</f>
        <v>6722.0401577872</v>
      </c>
      <c r="L11" s="0" t="n">
        <f aca="false">L8+L10+L24</f>
        <v>6880.53878887608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-721.602</v>
      </c>
      <c r="D12" s="4" t="n">
        <f aca="false">-D6*Assumptions!D17/100</f>
        <v>-952.51464</v>
      </c>
      <c r="E12" s="4" t="n">
        <f aca="false">-E6*Assumptions!E17/100</f>
        <v>-1026.92984625</v>
      </c>
      <c r="F12" s="4" t="n">
        <f aca="false">-F6*Assumptions!F17/100</f>
        <v>-1015.428231972</v>
      </c>
      <c r="G12" s="4" t="n">
        <f aca="false">-G6*Assumptions!G17/100</f>
        <v>-975.763066660594</v>
      </c>
      <c r="H12" s="4" t="n">
        <f aca="false">-H6*Assumptions!H17/100</f>
        <v>-955.705714734792</v>
      </c>
      <c r="I12" s="4" t="n">
        <f aca="false">-I6*Assumptions!I17/100</f>
        <v>-929.479371865326</v>
      </c>
      <c r="J12" s="4" t="n">
        <f aca="false">-J6*Assumptions!J17/100</f>
        <v>-924.94532614891</v>
      </c>
      <c r="K12" s="4" t="n">
        <f aca="false">-K6*Assumptions!K17/100</f>
        <v>-919.858126855091</v>
      </c>
      <c r="L12" s="4" t="n">
        <f aca="false">-L6*Assumptions!L17/100</f>
        <v>-914.19746145906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4311.57195</v>
      </c>
      <c r="D13" s="0" t="n">
        <f aca="false">D11+D12</f>
        <v>4385.536155</v>
      </c>
      <c r="E13" s="0" t="n">
        <f aca="false">E11+E12</f>
        <v>4415.798338875</v>
      </c>
      <c r="F13" s="0" t="n">
        <f aca="false">F11+F12</f>
        <v>4696.3555728705</v>
      </c>
      <c r="G13" s="0" t="n">
        <f aca="false">G11+G12</f>
        <v>5008.91707552438</v>
      </c>
      <c r="H13" s="0" t="n">
        <f aca="false">H11+H12</f>
        <v>5245.26857389328</v>
      </c>
      <c r="I13" s="0" t="n">
        <f aca="false">I11+I12</f>
        <v>5463.52508828155</v>
      </c>
      <c r="J13" s="0" t="n">
        <f aca="false">J11+J12</f>
        <v>5619.04285635463</v>
      </c>
      <c r="K13" s="0" t="n">
        <f aca="false">K11+K12</f>
        <v>5802.18203093211</v>
      </c>
      <c r="L13" s="0" t="n">
        <f aca="false">L11+L12</f>
        <v>5966.34132741702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25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25.5</v>
      </c>
      <c r="H14" s="4" t="n">
        <f aca="false">Assumptions!H19</f>
        <v>25.5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3233.6789625</v>
      </c>
      <c r="D15" s="0" t="n">
        <f aca="false">D13-MAX(0,D13)*D14/100</f>
        <v>3245.2967547</v>
      </c>
      <c r="E15" s="0" t="n">
        <f aca="false">E13-MAX(0,E13)*E14/100</f>
        <v>3267.6907707675</v>
      </c>
      <c r="F15" s="0" t="n">
        <f aca="false">F13-MAX(0,F13)*F14/100</f>
        <v>3475.30312392417</v>
      </c>
      <c r="G15" s="0" t="n">
        <f aca="false">G13-MAX(0,G13)*G14/100</f>
        <v>3731.64322126566</v>
      </c>
      <c r="H15" s="0" t="n">
        <f aca="false">H13-MAX(0,H13)*H14/100</f>
        <v>3907.72508755049</v>
      </c>
      <c r="I15" s="0" t="n">
        <f aca="false">I13-MAX(0,I13)*I14/100</f>
        <v>4097.64381621116</v>
      </c>
      <c r="J15" s="0" t="n">
        <f aca="false">J13-MAX(0,J13)*J14/100</f>
        <v>4214.28214226597</v>
      </c>
      <c r="K15" s="0" t="n">
        <f aca="false">K13-MAX(0,K13)*K14/100</f>
        <v>4351.63652319908</v>
      </c>
      <c r="L15" s="0" t="n">
        <f aca="false">L13-MAX(0,L13)*L14/100</f>
        <v>4474.75599556277</v>
      </c>
    </row>
    <row r="16" customFormat="false" ht="15" hidden="false" customHeight="false" outlineLevel="0" collapsed="false">
      <c r="A16" s="0" t="s">
        <v>128</v>
      </c>
      <c r="C16" s="0" t="n">
        <f aca="false">-C12</f>
        <v>721.602</v>
      </c>
      <c r="D16" s="0" t="n">
        <f aca="false">-D12</f>
        <v>952.51464</v>
      </c>
      <c r="E16" s="0" t="n">
        <f aca="false">-E12</f>
        <v>1026.92984625</v>
      </c>
      <c r="F16" s="0" t="n">
        <f aca="false">-F12</f>
        <v>1015.428231972</v>
      </c>
      <c r="G16" s="0" t="n">
        <f aca="false">-G12</f>
        <v>975.763066660594</v>
      </c>
      <c r="H16" s="0" t="n">
        <f aca="false">-H12</f>
        <v>955.705714734792</v>
      </c>
      <c r="I16" s="0" t="n">
        <f aca="false">-I12</f>
        <v>929.479371865326</v>
      </c>
      <c r="J16" s="0" t="n">
        <f aca="false">-J12</f>
        <v>924.94532614891</v>
      </c>
      <c r="K16" s="0" t="n">
        <f aca="false">-K12</f>
        <v>919.858126855091</v>
      </c>
      <c r="L16" s="0" t="n">
        <f aca="false">-L12</f>
        <v>914.19746145906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-288.6408</v>
      </c>
      <c r="D17" s="4" t="n">
        <f aca="false">-D6*Assumptions!D18/100</f>
        <v>-337.348935</v>
      </c>
      <c r="E17" s="4" t="n">
        <f aca="false">-E6*Assumptions!E18/100</f>
        <v>-349.156147725</v>
      </c>
      <c r="F17" s="4" t="n">
        <f aca="false">-F6*Assumptions!F18/100</f>
        <v>-359.63083215675</v>
      </c>
      <c r="G17" s="4" t="n">
        <f aca="false">-G6*Assumptions!G18/100</f>
        <v>-346.9379792571</v>
      </c>
      <c r="H17" s="4" t="n">
        <f aca="false">-H6*Assumptions!H18/100</f>
        <v>-355.611428738527</v>
      </c>
      <c r="I17" s="4" t="n">
        <f aca="false">-I6*Assumptions!I18/100</f>
        <v>-362.723657313298</v>
      </c>
      <c r="J17" s="4" t="n">
        <f aca="false">-J6*Assumptions!J18/100</f>
        <v>-346.854497305841</v>
      </c>
      <c r="K17" s="4" t="n">
        <f aca="false">-K6*Assumptions!K18/100</f>
        <v>-353.791587251958</v>
      </c>
      <c r="L17" s="4" t="n">
        <f aca="false">-L6*Assumptions!L18/100</f>
        <v>-360.867418996997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-68.724</v>
      </c>
      <c r="D18" s="4" t="n">
        <f aca="false">(D6-C6)*Assumptions!$B$23/100</f>
        <v>-144.3204</v>
      </c>
      <c r="E18" s="4" t="n">
        <f aca="false">(E6-D6)*Assumptions!$B$23/100</f>
        <v>-55.5633539999998</v>
      </c>
      <c r="F18" s="4" t="n">
        <f aca="false">(F6-E6)*Assumptions!$B$23/100</f>
        <v>-49.2926326199999</v>
      </c>
      <c r="G18" s="4" t="n">
        <f aca="false">(G6-F6)*Assumptions!$B$23/100</f>
        <v>-42.3095096654998</v>
      </c>
      <c r="H18" s="4" t="n">
        <f aca="false">(H6-G6)*Assumptions!$B$23/100</f>
        <v>-43.3672474071375</v>
      </c>
      <c r="I18" s="4" t="n">
        <f aca="false">(I6-H6)*Assumptions!$B$23/100</f>
        <v>-35.5611428738528</v>
      </c>
      <c r="J18" s="4" t="n">
        <f aca="false">(J6-I6)*Assumptions!$B$23/100</f>
        <v>-36.2723657313298</v>
      </c>
      <c r="K18" s="4" t="n">
        <f aca="false">(K6-J6)*Assumptions!$B$23/100</f>
        <v>-36.9978130459564</v>
      </c>
      <c r="L18" s="4" t="n">
        <f aca="false">(L6-K6)*Assumptions!$B$23/100</f>
        <v>-37.7377693068754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3597.9161625</v>
      </c>
      <c r="D19" s="0" t="n">
        <f aca="false">D15+D16+D17+D18</f>
        <v>3716.1420597</v>
      </c>
      <c r="E19" s="0" t="n">
        <f aca="false">E15+E16+E17+E18</f>
        <v>3889.9011152925</v>
      </c>
      <c r="F19" s="0" t="n">
        <f aca="false">F15+F16+F17+F18</f>
        <v>4081.80789111942</v>
      </c>
      <c r="G19" s="0" t="n">
        <f aca="false">G15+G16+G17+G18</f>
        <v>4318.15879900366</v>
      </c>
      <c r="H19" s="0" t="n">
        <f aca="false">H15+H16+H17+H18</f>
        <v>4464.45212613962</v>
      </c>
      <c r="I19" s="0" t="n">
        <f aca="false">I15+I16+I17+I18</f>
        <v>4628.83838788934</v>
      </c>
      <c r="J19" s="0" t="n">
        <f aca="false">J15+J16+J17+J18</f>
        <v>4756.10060537771</v>
      </c>
      <c r="K19" s="0" t="n">
        <f aca="false">K15+K16+K17+K18</f>
        <v>4880.70524975626</v>
      </c>
      <c r="L19" s="0" t="n">
        <f aca="false">L15+L16+L17+L18</f>
        <v>4990.34826871795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3256.03272624434</v>
      </c>
      <c r="D21" s="0" t="n">
        <f aca="false">D19*D20</f>
        <v>3043.46107548986</v>
      </c>
      <c r="E21" s="0" t="n">
        <f aca="false">E19*E20</f>
        <v>2883.04703222878</v>
      </c>
      <c r="F21" s="0" t="n">
        <f aca="false">F19*F20</f>
        <v>2737.81090408205</v>
      </c>
      <c r="G21" s="0" t="n">
        <f aca="false">G19*G20</f>
        <v>2621.12190103949</v>
      </c>
      <c r="H21" s="0" t="n">
        <f aca="false">H19*H20</f>
        <v>2452.41803982986</v>
      </c>
      <c r="I21" s="0" t="n">
        <f aca="false">I19*I20</f>
        <v>2301.10307016002</v>
      </c>
      <c r="J21" s="0" t="n">
        <f aca="false">J19*J20</f>
        <v>2139.69961467386</v>
      </c>
      <c r="K21" s="0" t="n">
        <f aca="false">K19*K20</f>
        <v>1987.11077738178</v>
      </c>
      <c r="L21" s="0" t="n">
        <f aca="false">L19*L20</f>
        <v>1838.68814186371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25260.4932829938</v>
      </c>
    </row>
    <row r="31" customFormat="false" ht="15" hidden="false" customHeight="false" outlineLevel="0" collapsed="false">
      <c r="A31" s="0" t="s">
        <v>137</v>
      </c>
      <c r="B31" s="0" t="n">
        <f aca="false">L19</f>
        <v>4990.34826871795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59884.1792246154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59884.1792246154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59884.1792246154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22064.2577023645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47324.7509853582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15919.7509853582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74.4261383139702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-0.730427982491325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3095.96516677267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2340.11694319434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99.8402669253167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39155.0402622485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-4.22435959146214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7.6</v>
      </c>
      <c r="D5" s="4" t="n">
        <f aca="false">Assumptions!D27</f>
        <v>19</v>
      </c>
      <c r="E5" s="4" t="n">
        <f aca="false">Assumptions!E27</f>
        <v>8</v>
      </c>
      <c r="F5" s="4" t="n">
        <f aca="false">Assumptions!F27</f>
        <v>6.5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17181</v>
      </c>
      <c r="C6" s="0" t="n">
        <f aca="false">B6*(1+C5/100)</f>
        <v>18486.756</v>
      </c>
      <c r="D6" s="0" t="n">
        <f aca="false">C6*(1+D5/100)</f>
        <v>21999.23964</v>
      </c>
      <c r="E6" s="0" t="n">
        <f aca="false">D6*(1+E5/100)</f>
        <v>23759.1788112</v>
      </c>
      <c r="F6" s="0" t="n">
        <f aca="false">E6*(1+F5/100)</f>
        <v>25303.525433928</v>
      </c>
      <c r="G6" s="0" t="n">
        <f aca="false">F6*(1+G5/100)</f>
        <v>26695.219332794</v>
      </c>
      <c r="H6" s="0" t="n">
        <f aca="false">G6*(1+H5/100)</f>
        <v>28029.9802994337</v>
      </c>
      <c r="I6" s="0" t="n">
        <f aca="false">H6*(1+I5/100)</f>
        <v>29291.3294129083</v>
      </c>
      <c r="J6" s="0" t="n">
        <f aca="false">I6*(1+J5/100)</f>
        <v>30462.9825894246</v>
      </c>
      <c r="K6" s="0" t="n">
        <f aca="false">J6*(1+K5/100)</f>
        <v>31529.1869800545</v>
      </c>
      <c r="L6" s="0" t="n">
        <f aca="false">K6*(1+L5/100)</f>
        <v>32475.0625894561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31.8</v>
      </c>
      <c r="D7" s="4" t="n">
        <f aca="false">Assumptions!D28</f>
        <v>32.5</v>
      </c>
      <c r="E7" s="4" t="n">
        <f aca="false">Assumptions!E28</f>
        <v>33.2</v>
      </c>
      <c r="F7" s="4" t="n">
        <f aca="false">Assumptions!F28</f>
        <v>33.8</v>
      </c>
      <c r="G7" s="4" t="n">
        <f aca="false">Assumptions!G28</f>
        <v>34.2</v>
      </c>
      <c r="H7" s="4" t="n">
        <f aca="false">Assumptions!H28</f>
        <v>34.5</v>
      </c>
      <c r="I7" s="4" t="n">
        <f aca="false">Assumptions!I28</f>
        <v>34.7</v>
      </c>
      <c r="J7" s="4" t="n">
        <f aca="false">Assumptions!J28</f>
        <v>34.8</v>
      </c>
      <c r="K7" s="4" t="n">
        <f aca="false">Assumptions!K28</f>
        <v>34.9</v>
      </c>
      <c r="L7" s="4" t="n">
        <f aca="false">Assumptions!L28</f>
        <v>35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5878.788408</v>
      </c>
      <c r="D8" s="0" t="n">
        <f aca="false">D6*D7/100</f>
        <v>7149.752883</v>
      </c>
      <c r="E8" s="0" t="n">
        <f aca="false">E6*E7/100</f>
        <v>7888.0473653184</v>
      </c>
      <c r="F8" s="0" t="n">
        <f aca="false">F6*F7/100</f>
        <v>8552.59159666766</v>
      </c>
      <c r="G8" s="0" t="n">
        <f aca="false">G6*G7/100</f>
        <v>9129.76501181556</v>
      </c>
      <c r="H8" s="0" t="n">
        <f aca="false">H6*H7/100</f>
        <v>9670.34320330464</v>
      </c>
      <c r="I8" s="0" t="n">
        <f aca="false">I6*I7/100</f>
        <v>10164.0913062792</v>
      </c>
      <c r="J8" s="0" t="n">
        <f aca="false">J6*J7/100</f>
        <v>10601.1179411198</v>
      </c>
      <c r="K8" s="0" t="n">
        <f aca="false">K6*K7/100</f>
        <v>11003.686256039</v>
      </c>
      <c r="L8" s="0" t="n">
        <f aca="false">L6*L7/100</f>
        <v>11366.2719063096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2.5</v>
      </c>
      <c r="D9" s="4" t="n">
        <f aca="false">Assumptions!D29</f>
        <v>2.4</v>
      </c>
      <c r="E9" s="4" t="n">
        <f aca="false">Assumptions!E29</f>
        <v>2.3</v>
      </c>
      <c r="F9" s="4" t="n">
        <f aca="false">Assumptions!F29</f>
        <v>2.2</v>
      </c>
      <c r="G9" s="4" t="n">
        <f aca="false">Assumptions!G29</f>
        <v>2.1</v>
      </c>
      <c r="H9" s="4" t="n">
        <f aca="false">Assumptions!H29</f>
        <v>2</v>
      </c>
      <c r="I9" s="4" t="n">
        <f aca="false">Assumptions!I29</f>
        <v>2</v>
      </c>
      <c r="J9" s="4" t="n">
        <f aca="false">Assumptions!J29</f>
        <v>1.9</v>
      </c>
      <c r="K9" s="4" t="n">
        <f aca="false">Assumptions!K29</f>
        <v>1.9</v>
      </c>
      <c r="L9" s="4" t="n">
        <f aca="false">Assumptions!L29</f>
        <v>1.8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-462.1689</v>
      </c>
      <c r="D10" s="0" t="n">
        <f aca="false">-D6*D9/100</f>
        <v>-527.98175136</v>
      </c>
      <c r="E10" s="0" t="n">
        <f aca="false">-E6*E9/100</f>
        <v>-546.4611126576</v>
      </c>
      <c r="F10" s="0" t="n">
        <f aca="false">-F6*F9/100</f>
        <v>-556.677559546416</v>
      </c>
      <c r="G10" s="0" t="n">
        <f aca="false">-G6*G9/100</f>
        <v>-560.599605988675</v>
      </c>
      <c r="H10" s="0" t="n">
        <f aca="false">-H6*H9/100</f>
        <v>-560.599605988675</v>
      </c>
      <c r="I10" s="0" t="n">
        <f aca="false">-I6*I9/100</f>
        <v>-585.826588258165</v>
      </c>
      <c r="J10" s="0" t="n">
        <f aca="false">-J6*J9/100</f>
        <v>-578.796669199067</v>
      </c>
      <c r="K10" s="0" t="n">
        <f aca="false">-K6*K9/100</f>
        <v>-599.054552621035</v>
      </c>
      <c r="L10" s="0" t="n">
        <f aca="false">-L6*L9/100</f>
        <v>-584.55112661021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5416.619508</v>
      </c>
      <c r="D11" s="0" t="n">
        <f aca="false">D8+D10+D24</f>
        <v>6621.77113164</v>
      </c>
      <c r="E11" s="0" t="n">
        <f aca="false">E8+E10+E24</f>
        <v>7341.5862526608</v>
      </c>
      <c r="F11" s="0" t="n">
        <f aca="false">F8+F10+F24</f>
        <v>7995.91403712125</v>
      </c>
      <c r="G11" s="0" t="n">
        <f aca="false">G8+G10+G24</f>
        <v>8569.16540582689</v>
      </c>
      <c r="H11" s="0" t="n">
        <f aca="false">H8+H10+H24</f>
        <v>9109.74359731597</v>
      </c>
      <c r="I11" s="0" t="n">
        <f aca="false">I8+I10+I24</f>
        <v>9578.264718021</v>
      </c>
      <c r="J11" s="0" t="n">
        <f aca="false">J8+J10+J24</f>
        <v>10022.3212719207</v>
      </c>
      <c r="K11" s="0" t="n">
        <f aca="false">K8+K10+K24</f>
        <v>10404.631703418</v>
      </c>
      <c r="L11" s="0" t="n">
        <f aca="false">L8+L10+L24</f>
        <v>10781.7207796994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-702.496728</v>
      </c>
      <c r="D12" s="4" t="n">
        <f aca="false">-D6*Assumptions!D31/100</f>
        <v>-945.96730452</v>
      </c>
      <c r="E12" s="4" t="n">
        <f aca="false">-E6*Assumptions!E31/100</f>
        <v>-1045.4038676928</v>
      </c>
      <c r="F12" s="4" t="n">
        <f aca="false">-F6*Assumptions!F31/100</f>
        <v>-1062.74806822498</v>
      </c>
      <c r="G12" s="4" t="n">
        <f aca="false">-G6*Assumptions!G31/100</f>
        <v>-1067.80877331176</v>
      </c>
      <c r="H12" s="4" t="n">
        <f aca="false">-H6*Assumptions!H31/100</f>
        <v>-1065.13925137848</v>
      </c>
      <c r="I12" s="4" t="n">
        <f aca="false">-I6*Assumptions!I31/100</f>
        <v>-1054.4878588647</v>
      </c>
      <c r="J12" s="4" t="n">
        <f aca="false">-J6*Assumptions!J31/100</f>
        <v>-1066.20439062986</v>
      </c>
      <c r="K12" s="4" t="n">
        <f aca="false">-K6*Assumptions!K31/100</f>
        <v>-1071.99235732185</v>
      </c>
      <c r="L12" s="4" t="n">
        <f aca="false">-L6*Assumptions!L31/100</f>
        <v>-1071.67706545205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4714.12278</v>
      </c>
      <c r="D13" s="0" t="n">
        <f aca="false">D11+D12</f>
        <v>5675.80382712</v>
      </c>
      <c r="E13" s="0" t="n">
        <f aca="false">E11+E12</f>
        <v>6296.182384968</v>
      </c>
      <c r="F13" s="0" t="n">
        <f aca="false">F11+F12</f>
        <v>6933.16596889627</v>
      </c>
      <c r="G13" s="0" t="n">
        <f aca="false">G11+G12</f>
        <v>7501.35663251513</v>
      </c>
      <c r="H13" s="0" t="n">
        <f aca="false">H11+H12</f>
        <v>8044.60434593749</v>
      </c>
      <c r="I13" s="0" t="n">
        <f aca="false">I11+I12</f>
        <v>8523.77685915631</v>
      </c>
      <c r="J13" s="0" t="n">
        <f aca="false">J11+J12</f>
        <v>8956.11688129083</v>
      </c>
      <c r="K13" s="0" t="n">
        <f aca="false">K11+K12</f>
        <v>9332.63934609612</v>
      </c>
      <c r="L13" s="0" t="n">
        <f aca="false">L11+L12</f>
        <v>9710.04371424737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3582.7333128</v>
      </c>
      <c r="D15" s="0" t="n">
        <f aca="false">D13-MAX(0,D13)*D14/100</f>
        <v>4313.6109086112</v>
      </c>
      <c r="E15" s="0" t="n">
        <f aca="false">E13-MAX(0,E13)*E14/100</f>
        <v>4785.09861257568</v>
      </c>
      <c r="F15" s="0" t="n">
        <f aca="false">F13-MAX(0,F13)*F14/100</f>
        <v>5269.20613636117</v>
      </c>
      <c r="G15" s="0" t="n">
        <f aca="false">G13-MAX(0,G13)*G14/100</f>
        <v>5701.0310407115</v>
      </c>
      <c r="H15" s="0" t="n">
        <f aca="false">H13-MAX(0,H13)*H14/100</f>
        <v>6113.89930291249</v>
      </c>
      <c r="I15" s="0" t="n">
        <f aca="false">I13-MAX(0,I13)*I14/100</f>
        <v>6478.07041295879</v>
      </c>
      <c r="J15" s="0" t="n">
        <f aca="false">J13-MAX(0,J13)*J14/100</f>
        <v>6806.64882978103</v>
      </c>
      <c r="K15" s="0" t="n">
        <f aca="false">K13-MAX(0,K13)*K14/100</f>
        <v>7092.80590303305</v>
      </c>
      <c r="L15" s="0" t="n">
        <f aca="false">L13-MAX(0,L13)*L14/100</f>
        <v>7379.633222828</v>
      </c>
    </row>
    <row r="16" customFormat="false" ht="15" hidden="false" customHeight="false" outlineLevel="0" collapsed="false">
      <c r="A16" s="0" t="s">
        <v>128</v>
      </c>
      <c r="C16" s="0" t="n">
        <f aca="false">-C12</f>
        <v>702.496728</v>
      </c>
      <c r="D16" s="0" t="n">
        <f aca="false">-D12</f>
        <v>945.96730452</v>
      </c>
      <c r="E16" s="0" t="n">
        <f aca="false">-E12</f>
        <v>1045.4038676928</v>
      </c>
      <c r="F16" s="0" t="n">
        <f aca="false">-F12</f>
        <v>1062.74806822498</v>
      </c>
      <c r="G16" s="0" t="n">
        <f aca="false">-G12</f>
        <v>1067.80877331176</v>
      </c>
      <c r="H16" s="0" t="n">
        <f aca="false">-H12</f>
        <v>1065.13925137848</v>
      </c>
      <c r="I16" s="0" t="n">
        <f aca="false">-I12</f>
        <v>1054.4878588647</v>
      </c>
      <c r="J16" s="0" t="n">
        <f aca="false">-J12</f>
        <v>1066.20439062986</v>
      </c>
      <c r="K16" s="0" t="n">
        <f aca="false">-K12</f>
        <v>1071.99235732185</v>
      </c>
      <c r="L16" s="0" t="n">
        <f aca="false">-L12</f>
        <v>1071.67706545205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-277.30134</v>
      </c>
      <c r="D17" s="4" t="n">
        <f aca="false">-D6*Assumptions!D32/100</f>
        <v>-329.9885946</v>
      </c>
      <c r="E17" s="4" t="n">
        <f aca="false">-E6*Assumptions!E32/100</f>
        <v>-356.387682168</v>
      </c>
      <c r="F17" s="4" t="n">
        <f aca="false">-F6*Assumptions!F32/100</f>
        <v>-379.55288150892</v>
      </c>
      <c r="G17" s="4" t="n">
        <f aca="false">-G6*Assumptions!G32/100</f>
        <v>-400.428289991911</v>
      </c>
      <c r="H17" s="4" t="n">
        <f aca="false">-H6*Assumptions!H32/100</f>
        <v>-392.419724192072</v>
      </c>
      <c r="I17" s="4" t="n">
        <f aca="false">-I6*Assumptions!I32/100</f>
        <v>-410.078611780716</v>
      </c>
      <c r="J17" s="4" t="n">
        <f aca="false">-J6*Assumptions!J32/100</f>
        <v>-426.481756251944</v>
      </c>
      <c r="K17" s="4" t="n">
        <f aca="false">-K6*Assumptions!K32/100</f>
        <v>-441.408617720762</v>
      </c>
      <c r="L17" s="4" t="n">
        <f aca="false">-L6*Assumptions!L32/100</f>
        <v>-454.650876252385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-65.2878000000001</v>
      </c>
      <c r="D18" s="4" t="n">
        <f aca="false">(D6-C6)*Assumptions!$B$37/100</f>
        <v>-175.624182</v>
      </c>
      <c r="E18" s="4" t="n">
        <f aca="false">(E6-D6)*Assumptions!$B$37/100</f>
        <v>-87.9969585600002</v>
      </c>
      <c r="F18" s="4" t="n">
        <f aca="false">(F6-E6)*Assumptions!$B$37/100</f>
        <v>-77.2173311364</v>
      </c>
      <c r="G18" s="4" t="n">
        <f aca="false">(G6-F6)*Assumptions!$B$37/100</f>
        <v>-69.584694943302</v>
      </c>
      <c r="H18" s="4" t="n">
        <f aca="false">(H6-G6)*Assumptions!$B$37/100</f>
        <v>-66.7380483319852</v>
      </c>
      <c r="I18" s="4" t="n">
        <f aca="false">(I6-H6)*Assumptions!$B$37/100</f>
        <v>-63.0674556737258</v>
      </c>
      <c r="J18" s="4" t="n">
        <f aca="false">(J6-I6)*Assumptions!$B$37/100</f>
        <v>-58.5826588258165</v>
      </c>
      <c r="K18" s="4" t="n">
        <f aca="false">(K6-J6)*Assumptions!$B$37/100</f>
        <v>-53.3102195314928</v>
      </c>
      <c r="L18" s="4" t="n">
        <f aca="false">(L6-K6)*Assumptions!$B$37/100</f>
        <v>-47.2937804700818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3942.6409008</v>
      </c>
      <c r="D19" s="0" t="n">
        <f aca="false">D15+D16+D17+D18</f>
        <v>4753.9654365312</v>
      </c>
      <c r="E19" s="0" t="n">
        <f aca="false">E15+E16+E17+E18</f>
        <v>5386.11783954048</v>
      </c>
      <c r="F19" s="0" t="n">
        <f aca="false">F15+F16+F17+F18</f>
        <v>5875.18399194082</v>
      </c>
      <c r="G19" s="0" t="n">
        <f aca="false">G15+G16+G17+G18</f>
        <v>6298.82682908805</v>
      </c>
      <c r="H19" s="0" t="n">
        <f aca="false">H15+H16+H17+H18</f>
        <v>6719.88078176691</v>
      </c>
      <c r="I19" s="0" t="n">
        <f aca="false">I15+I16+I17+I18</f>
        <v>7059.41220436905</v>
      </c>
      <c r="J19" s="0" t="n">
        <f aca="false">J15+J16+J17+J18</f>
        <v>7387.78880533313</v>
      </c>
      <c r="K19" s="0" t="n">
        <f aca="false">K15+K16+K17+K18</f>
        <v>7670.07942310265</v>
      </c>
      <c r="L19" s="0" t="n">
        <f aca="false">L15+L16+L17+L18</f>
        <v>7949.36563155759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3600.58529753425</v>
      </c>
      <c r="D21" s="0" t="n">
        <f aca="false">D19*D20</f>
        <v>3964.85931196697</v>
      </c>
      <c r="E21" s="0" t="n">
        <f aca="false">E19*E20</f>
        <v>4102.3573963895</v>
      </c>
      <c r="F21" s="0" t="n">
        <f aca="false">F19*F20</f>
        <v>4086.62695428062</v>
      </c>
      <c r="G21" s="0" t="n">
        <f aca="false">G19*G20</f>
        <v>4001.18906065635</v>
      </c>
      <c r="H21" s="0" t="n">
        <f aca="false">H19*H20</f>
        <v>3898.31431961118</v>
      </c>
      <c r="I21" s="0" t="n">
        <f aca="false">I19*I20</f>
        <v>3739.98368077699</v>
      </c>
      <c r="J21" s="0" t="n">
        <f aca="false">J19*J20</f>
        <v>3574.38655925233</v>
      </c>
      <c r="K21" s="0" t="n">
        <f aca="false">K19*K20</f>
        <v>3389.00951740103</v>
      </c>
      <c r="L21" s="0" t="n">
        <f aca="false">L19*L20</f>
        <v>3207.68180791245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37564.9939057817</v>
      </c>
    </row>
    <row r="31" customFormat="false" ht="15" hidden="false" customHeight="false" outlineLevel="0" collapsed="false">
      <c r="A31" s="0" t="s">
        <v>137</v>
      </c>
      <c r="B31" s="0" t="n">
        <f aca="false">L19</f>
        <v>7949.36563155759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125966.870776989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119240.484473364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119240.484473364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48115.2271186868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85680.2210244684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54275.2210244684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253.741098758618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-0.0809478838110103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3438.12540010534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3737.70634823996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287.288699265141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68232.0550042026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68.4229681202734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9</v>
      </c>
      <c r="D5" s="4" t="n">
        <f aca="false">Assumptions!D41</f>
        <v>21.5</v>
      </c>
      <c r="E5" s="4" t="n">
        <f aca="false">Assumptions!E41</f>
        <v>10.5</v>
      </c>
      <c r="F5" s="4" t="n">
        <f aca="false">Assumptions!F41</f>
        <v>9</v>
      </c>
      <c r="G5" s="4" t="n">
        <f aca="false">Assumptions!G41</f>
        <v>7.5</v>
      </c>
      <c r="H5" s="4" t="n">
        <f aca="false">Assumptions!H41</f>
        <v>6.5</v>
      </c>
      <c r="I5" s="4" t="n">
        <f aca="false">Assumptions!I41</f>
        <v>5.5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17181</v>
      </c>
      <c r="C6" s="0" t="n">
        <f aca="false">B6*(1+C5/100)</f>
        <v>18727.29</v>
      </c>
      <c r="D6" s="0" t="n">
        <f aca="false">C6*(1+D5/100)</f>
        <v>22753.65735</v>
      </c>
      <c r="E6" s="0" t="n">
        <f aca="false">D6*(1+E5/100)</f>
        <v>25142.79137175</v>
      </c>
      <c r="F6" s="0" t="n">
        <f aca="false">E6*(1+F5/100)</f>
        <v>27405.6425952075</v>
      </c>
      <c r="G6" s="0" t="n">
        <f aca="false">F6*(1+G5/100)</f>
        <v>29461.0657898481</v>
      </c>
      <c r="H6" s="0" t="n">
        <f aca="false">G6*(1+H5/100)</f>
        <v>31376.0350661882</v>
      </c>
      <c r="I6" s="0" t="n">
        <f aca="false">H6*(1+I5/100)</f>
        <v>33101.7169948285</v>
      </c>
      <c r="J6" s="0" t="n">
        <f aca="false">I6*(1+J5/100)</f>
        <v>34591.2942595958</v>
      </c>
      <c r="K6" s="0" t="n">
        <f aca="false">J6*(1+K5/100)</f>
        <v>35974.9460299797</v>
      </c>
      <c r="L6" s="0" t="n">
        <f aca="false">K6*(1+L5/100)</f>
        <v>37234.0691410289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32.2</v>
      </c>
      <c r="D7" s="4" t="n">
        <f aca="false">Assumptions!D42</f>
        <v>33.2</v>
      </c>
      <c r="E7" s="4" t="n">
        <f aca="false">Assumptions!E42</f>
        <v>34.3</v>
      </c>
      <c r="F7" s="4" t="n">
        <f aca="false">Assumptions!F42</f>
        <v>35.3</v>
      </c>
      <c r="G7" s="4" t="n">
        <f aca="false">Assumptions!G42</f>
        <v>36</v>
      </c>
      <c r="H7" s="4" t="n">
        <f aca="false">Assumptions!H42</f>
        <v>36.5</v>
      </c>
      <c r="I7" s="4" t="n">
        <f aca="false">Assumptions!I42</f>
        <v>36.8</v>
      </c>
      <c r="J7" s="4" t="n">
        <f aca="false">Assumptions!J42</f>
        <v>37</v>
      </c>
      <c r="K7" s="4" t="n">
        <f aca="false">Assumptions!K42</f>
        <v>37.1</v>
      </c>
      <c r="L7" s="4" t="n">
        <f aca="false">Assumptions!L42</f>
        <v>37.2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6030.18738</v>
      </c>
      <c r="D8" s="0" t="n">
        <f aca="false">D6*D7/100</f>
        <v>7554.2142402</v>
      </c>
      <c r="E8" s="0" t="n">
        <f aca="false">E6*E7/100</f>
        <v>8623.97744051025</v>
      </c>
      <c r="F8" s="0" t="n">
        <f aca="false">F6*F7/100</f>
        <v>9674.19183610825</v>
      </c>
      <c r="G8" s="0" t="n">
        <f aca="false">G6*G7/100</f>
        <v>10605.9836843453</v>
      </c>
      <c r="H8" s="0" t="n">
        <f aca="false">H6*H7/100</f>
        <v>11452.2527991587</v>
      </c>
      <c r="I8" s="0" t="n">
        <f aca="false">I6*I7/100</f>
        <v>12181.4318540969</v>
      </c>
      <c r="J8" s="0" t="n">
        <f aca="false">J6*J7/100</f>
        <v>12798.7788760505</v>
      </c>
      <c r="K8" s="0" t="n">
        <f aca="false">K6*K7/100</f>
        <v>13346.7049771225</v>
      </c>
      <c r="L8" s="0" t="n">
        <f aca="false">L6*L7/100</f>
        <v>13851.0737204628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2.4</v>
      </c>
      <c r="D9" s="4" t="n">
        <f aca="false">Assumptions!D43</f>
        <v>2.2</v>
      </c>
      <c r="E9" s="4" t="n">
        <f aca="false">Assumptions!E43</f>
        <v>2</v>
      </c>
      <c r="F9" s="4" t="n">
        <f aca="false">Assumptions!F43</f>
        <v>1.9</v>
      </c>
      <c r="G9" s="4" t="n">
        <f aca="false">Assumptions!G43</f>
        <v>1.8</v>
      </c>
      <c r="H9" s="4" t="n">
        <f aca="false">Assumptions!H43</f>
        <v>1.7</v>
      </c>
      <c r="I9" s="4" t="n">
        <f aca="false">Assumptions!I43</f>
        <v>1.6</v>
      </c>
      <c r="J9" s="4" t="n">
        <f aca="false">Assumptions!J43</f>
        <v>1.6</v>
      </c>
      <c r="K9" s="4" t="n">
        <f aca="false">Assumptions!K43</f>
        <v>1.5</v>
      </c>
      <c r="L9" s="4" t="n">
        <f aca="false">Assumptions!L43</f>
        <v>1.5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-449.45496</v>
      </c>
      <c r="D10" s="0" t="n">
        <f aca="false">-D6*D9/100</f>
        <v>-500.5804617</v>
      </c>
      <c r="E10" s="0" t="n">
        <f aca="false">-E6*E9/100</f>
        <v>-502.855827435</v>
      </c>
      <c r="F10" s="0" t="n">
        <f aca="false">-F6*F9/100</f>
        <v>-520.707209308943</v>
      </c>
      <c r="G10" s="0" t="n">
        <f aca="false">-G6*G9/100</f>
        <v>-530.299184217265</v>
      </c>
      <c r="H10" s="0" t="n">
        <f aca="false">-H6*H9/100</f>
        <v>-533.392596125199</v>
      </c>
      <c r="I10" s="0" t="n">
        <f aca="false">-I6*I9/100</f>
        <v>-529.627471917257</v>
      </c>
      <c r="J10" s="0" t="n">
        <f aca="false">-J6*J9/100</f>
        <v>-553.460708153533</v>
      </c>
      <c r="K10" s="0" t="n">
        <f aca="false">-K6*K9/100</f>
        <v>-539.624190449695</v>
      </c>
      <c r="L10" s="0" t="n">
        <f aca="false">-L6*L9/100</f>
        <v>-558.511037115434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5580.73242</v>
      </c>
      <c r="D11" s="0" t="n">
        <f aca="false">D8+D10+D24</f>
        <v>7053.6337785</v>
      </c>
      <c r="E11" s="0" t="n">
        <f aca="false">E8+E10+E24</f>
        <v>8121.12161307525</v>
      </c>
      <c r="F11" s="0" t="n">
        <f aca="false">F8+F10+F24</f>
        <v>9153.48462679931</v>
      </c>
      <c r="G11" s="0" t="n">
        <f aca="false">G8+G10+G24</f>
        <v>10075.684500128</v>
      </c>
      <c r="H11" s="0" t="n">
        <f aca="false">H8+H10+H24</f>
        <v>10918.8602030335</v>
      </c>
      <c r="I11" s="0" t="n">
        <f aca="false">I8+I10+I24</f>
        <v>11651.8043821796</v>
      </c>
      <c r="J11" s="0" t="n">
        <f aca="false">J8+J10+J24</f>
        <v>12245.3181678969</v>
      </c>
      <c r="K11" s="0" t="n">
        <f aca="false">K8+K10+K24</f>
        <v>12807.0807866728</v>
      </c>
      <c r="L11" s="0" t="n">
        <f aca="false">L8+L10+L24</f>
        <v>13292.5626833473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-692.90973</v>
      </c>
      <c r="D12" s="4" t="n">
        <f aca="false">-D6*Assumptions!D45/100</f>
        <v>-932.89995135</v>
      </c>
      <c r="E12" s="4" t="n">
        <f aca="false">-E6*Assumptions!E45/100</f>
        <v>-1030.85444624175</v>
      </c>
      <c r="F12" s="4" t="n">
        <f aca="false">-F6*Assumptions!F45/100</f>
        <v>-1041.41441861789</v>
      </c>
      <c r="G12" s="4" t="n">
        <f aca="false">-G6*Assumptions!G45/100</f>
        <v>-1031.13730264468</v>
      </c>
      <c r="H12" s="4" t="n">
        <f aca="false">-H6*Assumptions!H45/100</f>
        <v>-1035.40915718421</v>
      </c>
      <c r="I12" s="4" t="n">
        <f aca="false">-I6*Assumptions!I45/100</f>
        <v>-1026.15322683968</v>
      </c>
      <c r="J12" s="4" t="n">
        <f aca="false">-J6*Assumptions!J45/100</f>
        <v>-1037.73882778787</v>
      </c>
      <c r="K12" s="4" t="n">
        <f aca="false">-K6*Assumptions!K45/100</f>
        <v>-1043.27343486941</v>
      </c>
      <c r="L12" s="4" t="n">
        <f aca="false">-L6*Assumptions!L45/100</f>
        <v>-1042.55393594881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4887.82269</v>
      </c>
      <c r="D13" s="0" t="n">
        <f aca="false">D11+D12</f>
        <v>6120.73382715</v>
      </c>
      <c r="E13" s="0" t="n">
        <f aca="false">E11+E12</f>
        <v>7090.2671668335</v>
      </c>
      <c r="F13" s="0" t="n">
        <f aca="false">F11+F12</f>
        <v>8112.07020818142</v>
      </c>
      <c r="G13" s="0" t="n">
        <f aca="false">G11+G12</f>
        <v>9044.54719748335</v>
      </c>
      <c r="H13" s="0" t="n">
        <f aca="false">H11+H12</f>
        <v>9883.45104584928</v>
      </c>
      <c r="I13" s="0" t="n">
        <f aca="false">I11+I12</f>
        <v>10625.65115534</v>
      </c>
      <c r="J13" s="0" t="n">
        <f aca="false">J11+J12</f>
        <v>11207.579340109</v>
      </c>
      <c r="K13" s="0" t="n">
        <f aca="false">K11+K12</f>
        <v>11763.8073518033</v>
      </c>
      <c r="L13" s="0" t="n">
        <f aca="false">L11+L12</f>
        <v>12250.0087473985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23.5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22.5</v>
      </c>
      <c r="G14" s="4" t="n">
        <f aca="false">Assumptions!G47</f>
        <v>22.5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3739.18435785</v>
      </c>
      <c r="D15" s="0" t="n">
        <f aca="false">D13-MAX(0,D13)*D14/100</f>
        <v>4712.9650469055</v>
      </c>
      <c r="E15" s="0" t="n">
        <f aca="false">E13-MAX(0,E13)*E14/100</f>
        <v>5459.5057184618</v>
      </c>
      <c r="F15" s="0" t="n">
        <f aca="false">F13-MAX(0,F13)*F14/100</f>
        <v>6286.8544113406</v>
      </c>
      <c r="G15" s="0" t="n">
        <f aca="false">G13-MAX(0,G13)*G14/100</f>
        <v>7009.5240780496</v>
      </c>
      <c r="H15" s="0" t="n">
        <f aca="false">H13-MAX(0,H13)*H14/100</f>
        <v>7709.09181576244</v>
      </c>
      <c r="I15" s="0" t="n">
        <f aca="false">I13-MAX(0,I13)*I14/100</f>
        <v>8288.00790116517</v>
      </c>
      <c r="J15" s="0" t="n">
        <f aca="false">J13-MAX(0,J13)*J14/100</f>
        <v>8741.91188528506</v>
      </c>
      <c r="K15" s="0" t="n">
        <f aca="false">K13-MAX(0,K13)*K14/100</f>
        <v>9175.76973440661</v>
      </c>
      <c r="L15" s="0" t="n">
        <f aca="false">L13-MAX(0,L13)*L14/100</f>
        <v>9555.00682297085</v>
      </c>
    </row>
    <row r="16" customFormat="false" ht="15" hidden="false" customHeight="false" outlineLevel="0" collapsed="false">
      <c r="A16" s="0" t="s">
        <v>128</v>
      </c>
      <c r="C16" s="0" t="n">
        <f aca="false">-C12</f>
        <v>692.90973</v>
      </c>
      <c r="D16" s="0" t="n">
        <f aca="false">-D12</f>
        <v>932.89995135</v>
      </c>
      <c r="E16" s="0" t="n">
        <f aca="false">-E12</f>
        <v>1030.85444624175</v>
      </c>
      <c r="F16" s="0" t="n">
        <f aca="false">-F12</f>
        <v>1041.41441861789</v>
      </c>
      <c r="G16" s="0" t="n">
        <f aca="false">-G12</f>
        <v>1031.13730264468</v>
      </c>
      <c r="H16" s="0" t="n">
        <f aca="false">-H12</f>
        <v>1035.40915718421</v>
      </c>
      <c r="I16" s="0" t="n">
        <f aca="false">-I12</f>
        <v>1026.15322683968</v>
      </c>
      <c r="J16" s="0" t="n">
        <f aca="false">-J12</f>
        <v>1037.73882778787</v>
      </c>
      <c r="K16" s="0" t="n">
        <f aca="false">-K12</f>
        <v>1043.27343486941</v>
      </c>
      <c r="L16" s="0" t="n">
        <f aca="false">-L12</f>
        <v>1042.55393594881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-280.90935</v>
      </c>
      <c r="D17" s="4" t="n">
        <f aca="false">-D6*Assumptions!D46/100</f>
        <v>-341.30486025</v>
      </c>
      <c r="E17" s="4" t="n">
        <f aca="false">-E6*Assumptions!E46/100</f>
        <v>-351.9990792045</v>
      </c>
      <c r="F17" s="4" t="n">
        <f aca="false">-F6*Assumptions!F46/100</f>
        <v>-383.678996332905</v>
      </c>
      <c r="G17" s="4" t="n">
        <f aca="false">-G6*Assumptions!G46/100</f>
        <v>-412.454921057873</v>
      </c>
      <c r="H17" s="4" t="n">
        <f aca="false">-H6*Assumptions!H46/100</f>
        <v>-407.888455860446</v>
      </c>
      <c r="I17" s="4" t="n">
        <f aca="false">-I6*Assumptions!I46/100</f>
        <v>-430.322320932771</v>
      </c>
      <c r="J17" s="4" t="n">
        <f aca="false">-J6*Assumptions!J46/100</f>
        <v>-449.686825374746</v>
      </c>
      <c r="K17" s="4" t="n">
        <f aca="false">-K6*Assumptions!K46/100</f>
        <v>-467.674298389735</v>
      </c>
      <c r="L17" s="4" t="n">
        <f aca="false">-L6*Assumptions!L46/100</f>
        <v>-484.042898833376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-46.3887</v>
      </c>
      <c r="D18" s="4" t="n">
        <f aca="false">(D6-C6)*Assumptions!$B$51/100</f>
        <v>-120.7910205</v>
      </c>
      <c r="E18" s="4" t="n">
        <f aca="false">(E6-D6)*Assumptions!$B$51/100</f>
        <v>-71.6740206525</v>
      </c>
      <c r="F18" s="4" t="n">
        <f aca="false">(F6-E6)*Assumptions!$B$51/100</f>
        <v>-67.8855367037251</v>
      </c>
      <c r="G18" s="4" t="n">
        <f aca="false">(G6-F6)*Assumptions!$B$51/100</f>
        <v>-61.6626958392168</v>
      </c>
      <c r="H18" s="4" t="n">
        <f aca="false">(H6-G6)*Assumptions!$B$51/100</f>
        <v>-57.4490782902037</v>
      </c>
      <c r="I18" s="4" t="n">
        <f aca="false">(I6-H6)*Assumptions!$B$51/100</f>
        <v>-51.7704578592105</v>
      </c>
      <c r="J18" s="4" t="n">
        <f aca="false">(J6-I6)*Assumptions!$B$51/100</f>
        <v>-44.6873179430184</v>
      </c>
      <c r="K18" s="4" t="n">
        <f aca="false">(K6-J6)*Assumptions!$B$51/100</f>
        <v>-41.509553111515</v>
      </c>
      <c r="L18" s="4" t="n">
        <f aca="false">(L6-K6)*Assumptions!$B$51/100</f>
        <v>-37.7736933314787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4104.79603785</v>
      </c>
      <c r="D19" s="0" t="n">
        <f aca="false">D15+D16+D17+D18</f>
        <v>5183.7691175055</v>
      </c>
      <c r="E19" s="0" t="n">
        <f aca="false">E15+E16+E17+E18</f>
        <v>6066.68706484655</v>
      </c>
      <c r="F19" s="0" t="n">
        <f aca="false">F15+F16+F17+F18</f>
        <v>6876.70429692186</v>
      </c>
      <c r="G19" s="0" t="n">
        <f aca="false">G15+G16+G17+G18</f>
        <v>7566.54376379719</v>
      </c>
      <c r="H19" s="0" t="n">
        <f aca="false">H15+H16+H17+H18</f>
        <v>8279.163438796</v>
      </c>
      <c r="I19" s="0" t="n">
        <f aca="false">I15+I16+I17+I18</f>
        <v>8832.06834921287</v>
      </c>
      <c r="J19" s="0" t="n">
        <f aca="false">J15+J16+J17+J18</f>
        <v>9285.27656975517</v>
      </c>
      <c r="K19" s="0" t="n">
        <f aca="false">K15+K16+K17+K18</f>
        <v>9709.85931777477</v>
      </c>
      <c r="L19" s="0" t="n">
        <f aca="false">L15+L16+L17+L18</f>
        <v>10075.7441667548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0.919117647058824</v>
      </c>
      <c r="D20" s="0" t="n">
        <f aca="false">1/(1+$B$27/100)^D4</f>
        <v>0.844777249134948</v>
      </c>
      <c r="E20" s="0" t="n">
        <f aca="false">1/(1+$B$27/100)^E4</f>
        <v>0.776449677513739</v>
      </c>
      <c r="F20" s="0" t="n">
        <f aca="false">1/(1+$B$27/100)^F4</f>
        <v>0.71364860065601</v>
      </c>
      <c r="G20" s="0" t="n">
        <f aca="false">1/(1+$B$27/100)^G4</f>
        <v>0.655927022661774</v>
      </c>
      <c r="H20" s="0" t="n">
        <f aca="false">1/(1+$B$27/100)^H4</f>
        <v>0.602874101711189</v>
      </c>
      <c r="I20" s="0" t="n">
        <f aca="false">1/(1+$B$27/100)^I4</f>
        <v>0.55411222583749</v>
      </c>
      <c r="J20" s="0" t="n">
        <f aca="false">1/(1+$B$27/100)^J4</f>
        <v>0.509294325218281</v>
      </c>
      <c r="K20" s="0" t="n">
        <f aca="false">1/(1+$B$27/100)^K4</f>
        <v>0.468101401855038</v>
      </c>
      <c r="L20" s="0" t="n">
        <f aca="false">1/(1+$B$27/100)^L4</f>
        <v>0.430240259057939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3772.79047596507</v>
      </c>
      <c r="D21" s="0" t="n">
        <f aca="false">D19*D20</f>
        <v>4379.13021523699</v>
      </c>
      <c r="E21" s="0" t="n">
        <f aca="false">E19*E20</f>
        <v>4710.47721507687</v>
      </c>
      <c r="F21" s="0" t="n">
        <f aca="false">F19*F20</f>
        <v>4907.55039862345</v>
      </c>
      <c r="G21" s="0" t="n">
        <f aca="false">G19*G20</f>
        <v>4963.1005228275</v>
      </c>
      <c r="H21" s="0" t="n">
        <f aca="false">H19*H20</f>
        <v>4991.29322108426</v>
      </c>
      <c r="I21" s="0" t="n">
        <f aca="false">I19*I20</f>
        <v>4893.95705173119</v>
      </c>
      <c r="J21" s="0" t="n">
        <f aca="false">J19*J20</f>
        <v>4728.93866505857</v>
      </c>
      <c r="K21" s="0" t="n">
        <f aca="false">K19*K20</f>
        <v>4545.19875846557</v>
      </c>
      <c r="L21" s="0" t="n">
        <f aca="false">L19*L20</f>
        <v>4334.9907805061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8.8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46227.4273045756</v>
      </c>
    </row>
    <row r="31" customFormat="false" ht="15" hidden="false" customHeight="false" outlineLevel="0" collapsed="false">
      <c r="A31" s="0" t="s">
        <v>137</v>
      </c>
      <c r="B31" s="0" t="n">
        <f aca="false">L19</f>
        <v>10075.7441667548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196762.173822476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171287.650834832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171287.650834832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73694.8432686038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119922.270573179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88517.2705731794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413.825481875546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0.498878923088653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3335.67156283665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4692.53247095466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451.357992552458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90681.6975007932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118.595265431802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74.4261383139702</v>
      </c>
      <c r="C4" s="0" t="n">
        <f aca="false">B4/Assumptions!$B$2-1</f>
        <v>-0.730427982491325</v>
      </c>
      <c r="D4" s="4" t="n">
        <f aca="false">Assumptions!$B$24</f>
        <v>0.25</v>
      </c>
      <c r="E4" s="4" t="n">
        <f aca="false">DCF_Bear!$B$43</f>
        <v>99.8402669253167</v>
      </c>
      <c r="F4" s="4" t="n">
        <f aca="false">DCF_Bear!$B$47</f>
        <v>-4.22435959146214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253.741098758618</v>
      </c>
      <c r="C5" s="0" t="n">
        <f aca="false">B5/Assumptions!$B$2-1</f>
        <v>-0.0809478838110103</v>
      </c>
      <c r="D5" s="4" t="n">
        <f aca="false">Assumptions!$B$38</f>
        <v>0.5</v>
      </c>
      <c r="E5" s="4" t="n">
        <f aca="false">DCF_Base!$B$43</f>
        <v>287.288699265141</v>
      </c>
      <c r="F5" s="4" t="n">
        <f aca="false">DCF_Base!$B$47</f>
        <v>68.4229681202734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413.825481875546</v>
      </c>
      <c r="C6" s="0" t="n">
        <f aca="false">B6/Assumptions!$B$2-1</f>
        <v>0.498878923088653</v>
      </c>
      <c r="D6" s="4" t="n">
        <f aca="false">Assumptions!$B$52</f>
        <v>0.25</v>
      </c>
      <c r="E6" s="4" t="n">
        <f aca="false">DCF_Bull!$B$43</f>
        <v>451.357992552458</v>
      </c>
      <c r="F6" s="4" t="n">
        <f aca="false">DCF_Bull!$B$47</f>
        <v>118.595265431802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248.933454426688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281.443914502014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-0.109091586889578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83.5317172085251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62.8042105202217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268.642247673579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253.741098758618</v>
      </c>
      <c r="C16" s="3" t="n">
        <v>9.5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235.415303212595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185.105320627485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146.075569233615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68.4229681202734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317.731597236113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317.731597236113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317.731597236113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317.731597236113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317.731597236113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284.248560520656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284.248560520656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284.248560520656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284.248560520656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284.248560520656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232.746453919547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248.385322013957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253.741098758618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253.741098758618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253.741098758618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184.833246331412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195.958816514242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208.567796054784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222.978058386831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225.912274698786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147.151188281713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155.310467050407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164.429660968359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174.688754126056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186.315726371445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2026-09-25T10:03:11Z</dcterms:created>
  <dc:creator>openpyxl</dc:creator>
  <dc:description/>
  <dc:language>en-NZ</dc:language>
  <cp:lastModifiedBy/>
  <dcterms:modified xsi:type="dcterms:W3CDTF">2026-09-25T10:03:11Z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