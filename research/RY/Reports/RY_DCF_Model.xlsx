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<sst xmlns="http://schemas.openxmlformats.org/spreadsheetml/2006/main" count="357" uniqueCount="166">
  <si>
    <t xml:space="preserve">Ticker</t>
  </si>
  <si>
    <t xml:space="preserve">RY</t>
  </si>
  <si>
    <t xml:space="preserve">Company</t>
  </si>
  <si>
    <t xml:space="preserve">Royal Bank of Canada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</si>
  <si>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</si>
  <si>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</si>
  <si>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</si>
  <si>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</si>
  <si>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(Yahoo Finance chart API, NYSE RY)</t>
  </si>
  <si>
    <t xml:space="preserve">Balance sheet date</t>
  </si>
  <si>
    <t xml:space="preserve">2026-07-31</t>
  </si>
  <si>
    <t xml:space="preserve">Model</t>
  </si>
  <si>
    <t xml:space="preserve">Bank FCFE at cost of equity (engine route), net_debt = 0</t>
  </si>
  <si>
    <t xml:space="preserve">Currency (model)</t>
  </si>
  <si>
    <t xml:space="preserve">CAD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</si>
  <si>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</si>
  <si>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</si>
  <si>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</si>
  <si>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</si>
  <si>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</si>
  <si>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</si>
  <si>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</si>
  <si>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2026-10-04T07:46:20Z</t>
  </si>
  <si>
    <t xml:space="preserve">Drivers file</t>
  </si>
  <si>
    <t xml:space="preserve">RY_Drivers.json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</si>
  <si>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</si>
  <si>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</si>
  <si>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</si>
  <si>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bank is valued on what common shareholders can take out: adjusted net income to common less the earnings that must be retained to hold CET1 at ~13% as the balance sheet grows, discounted at the CAD cost of equity. Deposits and wholesale funding are operating funding, so there is no net-debt deduction; preferred/AT1 distributions and NCI are removed inside the flow. Flows and the bridge are in CAD; the per-share result is converted to USD at 0.7019 for comparison with the NYSE quote.
key_risks_to_valuation: Credit cycle: PCL is 5.6% of revenue at 0.37% of loans, below through-cycle; a 0.80% year (bear) takes ~C$4.9B pre-tax out of one year's earnings and the model assumes it does not recur.; Fee-cycle peak: Wealth Management (+16% revenue YoY) and Capital Markets (record) are ~56% of segment net income; a reversal hits year-1 growth and margin directly.; Adjusted vs reported: the model uses adjusted earnings (acquisition-intangible amortisation only, ~C$300M after tax); the gap is small today but HSBC-style integration charges would widen it.; Capital run-rate: retention is set for 13.0% CET1; if OSFI raises the DSB or Basel floors bite, more earnings are retained and FCFE falls one-for-one.; FX: the CAD-&gt;USD conversion at 0.7019 moves the USD value one-for-one; roughly a third of earnings are foreign-currency, which partly hedges the translation.; Terminal value carries most of the value; the 14x FCFE cap (vs a 15.4x Gordon multiple at 9.5%/3%) and 3% CAD nominal terminal growth drive it. The stock's ~17x TTM adjusted P/E and ~2.9x P/B sit above what a 9.5% cost of equity supports.</t>
  </si>
  <si>
    <t xml:space="preserve">Data sources</t>
  </si>
  <si>
    <t xml:space="preserve">price: Yahoo Finance chart API at inputs.price_as_of (NYSE RY, USD); TSX RY.TO and CADUSD=X fetched for the parity check; 52-week range 143.13-218.57 USD
financials: RBC Q3-2026 Report to Shareholders (Aug 27, 2026; Table 1 reported/adjusted results, shares, CET1 13.5%, RWA 777,987, common equity 133,922; non-GAAP reconciliation incl. NI to common adjusted; balance sheet: preferred and other equity 11,114, goodwill 19,489, other intangibles 7,334; Note 15 Moneris); FY2025 Annual Report (Table 1 and Table 16 adjusted results, medium-term objectives, share-based payments cash-flow line); FY2020/FY2022/FY2023 Annual Reports for book value per share history; RY_Metrics.csv / RY.duckdb kpis for revenue, NI, EPS, dividends and buyback history.
qualitative: RY_Analysis.json (2026-10-04): FY2026 medium-term objectives (ROE 17%+, diluted EPS growth 7%+, payout 40-50%), HSBC Canada integration complete, City National credit pockets, CUSMA/tariff and AML (Bill C-12) risk framing.</t>
  </si>
  <si>
    <t xml:space="preserve">Scenario narrative: bear</t>
  </si>
  <si>
    <t xml:space="preserve">The CUSMA review fails or broad U.S. tariffs return; Canada enters recession in FY2027-28 with unemployment past 8%, mortgage renewals at higher rates and City National CRE/utilities losses push PCL to ~0.80% of loans, revenue falls as the fee cycle turns and NIM compresses. No solvency or funding case (CET1 13.5%, TLAC 30.9%, LCR 125%), but earnings power resets to a 38-39% pre-tax margin and the market re-rates RBC from a premium to a median Big Six multiple (11x FCFE).</t>
  </si>
  <si>
    <t xml:space="preserve">Scenario narrative: base</t>
  </si>
  <si>
    <t xml:space="preserve">RBC compounds the franchise it already has: #1 Canadian retail/commercial share with HSBC Canada synergies fully in run-rate, Wealth Management (AUM C$1.7T) and Capital Markets growing with markets, City National returning to acceptable returns. Revenue growth 6% fading to 3%, adjusted efficiency ~52%, PCL normalising to ~0.42% of loans, ROE ~17-17.5% -- management's 17%+ objective met, not beaten. CET1 run at ~13% with the surplus returned through the 45M-share NCIB and a dividend growing with EPS (payout 40-50%).</t>
  </si>
  <si>
    <t xml:space="preserve">Scenario narrative: bull</t>
  </si>
  <si>
    <t xml:space="preserve">The fee cycle runs for several more years: Wealth and Capital Markets sustain double-digit revenue growth on buoyant markets and M&amp;A, City National closes its ROE gap, AI-driven productivity takes adjusted efficiency to ~50%, and credit stays benign (PCL ~0.35%). ROE 19-20% and RBC keeps its premium among global peers; terminal multiple 15x FCFE.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</si>
  <si>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</si>
  <si>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</si>
  <si>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</si>
  <si>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</si>
  <si>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</si>
  <si>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</si>
  <si>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</si>
  <si>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</si>
  <si>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</si>
  <si>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</si>
  <si>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</si>
  <si>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</si>
  <si>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</si>
  <si>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</si>
  <si>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</si>
  <si>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</si>
  <si>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</si>
  <si>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</si>
  <si>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</si>
  <si>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</si>
  <si>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</si>
  <si>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</si>
  <si>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</si>
  <si>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</si>
  <si>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</si>
  <si>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</si>
  <si>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</si>
  <si>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</si>
  <si>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</si>
  <si>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</si>
  <si>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</si>
  <si>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</si>
  <si>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</si>
  <si>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</si>
  <si>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</si>
  <si>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</si>
  <si>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</si>
  <si>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</si>
  <si>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</si>
  <si>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</si>
  <si>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</si>
  <si>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</si>
  <si>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</si>
  <si>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</si>
  <si>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</si>
  <si>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to 2026-07-31 (adjusted basis)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</si>
  <si>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</si>
  <si>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</si>
  <si>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</si>
  <si>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</si>
  <si>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TTM to 2027</t>
  </si>
  <si>
    <t xml:space="preserve">TTM to 2028</t>
  </si>
  <si>
    <t xml:space="preserve">TTM to 2029</t>
  </si>
  <si>
    <t xml:space="preserve">TTM to 2030</t>
  </si>
  <si>
    <t xml:space="preserve">TTM to 2031</t>
  </si>
  <si>
    <t xml:space="preserve">TTM to 2032</t>
  </si>
  <si>
    <t xml:space="preserve">TTM to 2033</t>
  </si>
  <si>
    <t xml:space="preserve">TTM to 2034</t>
  </si>
  <si>
    <t xml:space="preserve">TTM to 2035</t>
  </si>
  <si>
    <t xml:space="preserve">TTM to 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</si>
  <si>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</si>
  <si>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</si>
  <si>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</si>
  <si>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</si>
  <si>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</si>
  <si>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</si>
  <si>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</si>
  <si>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</si>
  <si>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</si>
  <si>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</si>
  <si>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</si>
  <si>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</si>
  <si>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</si>
  <si>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</si>
  <si>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RY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</si>
  <si>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</si>
  <si>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</si>
  <si>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</si>
  <si>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</si>
  <si>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</si>
  <si>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</si>
  <si>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</si>
  <si>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</si>
  <si>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</si>
  <si>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</si>
  <si>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</si>
  <si>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</si>
  <si>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</si>
  <si>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</si>
  <si>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</si>
  <si>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</si>
  <si>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</si>
  <si>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</si>
  <si>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</si>
  <si>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</si>
  <si>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</si>
  <si>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</si>
  <si>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</si>
  <si>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</si>
  <si>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</si>
  <si>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</si>
  <si>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</si>
  <si>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</si>
  <si>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</si>
  <si>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</si>
  <si>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RY owner-FCF component DCF: base case (millions, CAD)</t>
  </si>
  <si>
    <t xml:space="preserve">RY owner-FCF component DCF: bull case (millions, CAD)</t>
  </si>
  <si>
    <t xml:space="preserve">RY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</si>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</sst>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195.67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40669</v>
      </c>
      <c r="I2" s="0" t="n">
        <v>11428</v>
      </c>
      <c r="J2" s="0" t="n">
        <v>28.1</v>
      </c>
      <c r="L2" s="0" t="n">
        <v>37725</v>
      </c>
      <c r="M2" s="0" t="n">
        <v>1364</v>
      </c>
      <c r="O2" s="0" t="n">
        <v>73829</v>
      </c>
      <c r="P2" s="0" t="n">
        <v>1212853</v>
      </c>
      <c r="Q2" s="0" t="n">
        <v>1138425</v>
      </c>
      <c r="R2" s="0" t="n">
        <v>9265</v>
      </c>
      <c r="S2" s="0" t="n">
        <v>28407</v>
      </c>
      <c r="T2" s="0" t="n">
        <v>1474.421</v>
      </c>
      <c r="U2" s="0" t="n">
        <v>399</v>
      </c>
      <c r="V2" s="0" t="n">
        <v>3.48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42576</v>
      </c>
      <c r="I3" s="0" t="n">
        <v>12400</v>
      </c>
      <c r="J3" s="0" t="n">
        <v>29.1</v>
      </c>
      <c r="K3" s="0" t="n">
        <v>8.36</v>
      </c>
      <c r="L3" s="0" t="n">
        <v>17474</v>
      </c>
      <c r="M3" s="0" t="n">
        <v>1980</v>
      </c>
      <c r="O3" s="0" t="n">
        <v>79861</v>
      </c>
      <c r="P3" s="0" t="n">
        <v>1334734</v>
      </c>
      <c r="Q3" s="0" t="n">
        <v>1254779</v>
      </c>
      <c r="R3" s="0" t="n">
        <v>9131</v>
      </c>
      <c r="S3" s="0" t="n">
        <v>30209</v>
      </c>
      <c r="T3" s="0" t="n">
        <v>1450.485</v>
      </c>
      <c r="U3" s="0" t="n">
        <v>323</v>
      </c>
      <c r="V3" s="0" t="n">
        <v>3.77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46002</v>
      </c>
      <c r="I4" s="0" t="n">
        <v>12860</v>
      </c>
      <c r="J4" s="0" t="n">
        <v>28</v>
      </c>
      <c r="K4" s="0" t="n">
        <v>8.75</v>
      </c>
      <c r="L4" s="0" t="n">
        <v>14265</v>
      </c>
      <c r="M4" s="0" t="n">
        <v>2261</v>
      </c>
      <c r="O4" s="0" t="n">
        <v>83523</v>
      </c>
      <c r="P4" s="0" t="n">
        <v>1428935</v>
      </c>
      <c r="Q4" s="0" t="n">
        <v>1345310</v>
      </c>
      <c r="R4" s="0" t="n">
        <v>9815</v>
      </c>
      <c r="S4" s="0" t="n">
        <v>26310</v>
      </c>
      <c r="T4" s="0" t="n">
        <v>1440.682</v>
      </c>
      <c r="U4" s="0" t="n">
        <v>418</v>
      </c>
      <c r="V4" s="0" t="n">
        <v>4.07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47181</v>
      </c>
      <c r="I5" s="0" t="n">
        <v>11432</v>
      </c>
      <c r="J5" s="0" t="n">
        <v>24.2</v>
      </c>
      <c r="K5" s="0" t="n">
        <v>7.82</v>
      </c>
      <c r="L5" s="0" t="n">
        <v>138819</v>
      </c>
      <c r="M5" s="0" t="n">
        <v>2629</v>
      </c>
      <c r="O5" s="0" t="n">
        <v>86664</v>
      </c>
      <c r="P5" s="0" t="n">
        <v>1624548</v>
      </c>
      <c r="Q5" s="0" t="n">
        <v>1537781</v>
      </c>
      <c r="R5" s="0" t="n">
        <v>9867</v>
      </c>
      <c r="S5" s="0" t="n">
        <v>118888</v>
      </c>
      <c r="T5" s="0" t="n">
        <v>1428.77</v>
      </c>
      <c r="U5" s="0" t="n">
        <v>460</v>
      </c>
      <c r="V5" s="0" t="n">
        <v>4.29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49693</v>
      </c>
      <c r="I6" s="0" t="n">
        <v>16038</v>
      </c>
      <c r="J6" s="0" t="n">
        <v>32.3</v>
      </c>
      <c r="K6" s="0" t="n">
        <v>11.06</v>
      </c>
      <c r="L6" s="0" t="n">
        <v>61044</v>
      </c>
      <c r="M6" s="0" t="n">
        <v>2186</v>
      </c>
      <c r="O6" s="0" t="n">
        <v>98667</v>
      </c>
      <c r="P6" s="0" t="n">
        <v>1706323</v>
      </c>
      <c r="Q6" s="0" t="n">
        <v>1607561</v>
      </c>
      <c r="R6" s="0" t="n">
        <v>9593</v>
      </c>
      <c r="S6" s="0" t="n">
        <v>113846</v>
      </c>
      <c r="T6" s="0" t="n">
        <v>1426.735</v>
      </c>
      <c r="U6" s="0" t="n">
        <v>617</v>
      </c>
      <c r="V6" s="0" t="n">
        <v>4.32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48985</v>
      </c>
      <c r="I7" s="0" t="n">
        <v>15794</v>
      </c>
      <c r="J7" s="0" t="n">
        <v>32.2</v>
      </c>
      <c r="K7" s="0" t="n">
        <v>11.06</v>
      </c>
      <c r="L7" s="0" t="n">
        <v>21942</v>
      </c>
      <c r="M7" s="0" t="n">
        <v>2500</v>
      </c>
      <c r="O7" s="0" t="n">
        <v>108064</v>
      </c>
      <c r="P7" s="0" t="n">
        <v>1917219</v>
      </c>
      <c r="Q7" s="0" t="n">
        <v>1809044</v>
      </c>
      <c r="R7" s="0" t="n">
        <v>10025</v>
      </c>
      <c r="S7" s="0" t="n">
        <v>72397</v>
      </c>
      <c r="T7" s="0" t="n">
        <v>1406.034</v>
      </c>
      <c r="U7" s="0" t="n">
        <v>135</v>
      </c>
      <c r="V7" s="0" t="n">
        <v>4.96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51464</v>
      </c>
      <c r="I8" s="0" t="n">
        <v>14605</v>
      </c>
      <c r="J8" s="0" t="n">
        <v>28.4</v>
      </c>
      <c r="K8" s="0" t="n">
        <v>10.32</v>
      </c>
      <c r="L8" s="0" t="n">
        <v>26079</v>
      </c>
      <c r="M8" s="0" t="n">
        <v>2730</v>
      </c>
      <c r="O8" s="0" t="n">
        <v>115048</v>
      </c>
      <c r="P8" s="0" t="n">
        <v>2006531</v>
      </c>
      <c r="Q8" s="0" t="n">
        <v>1891384</v>
      </c>
      <c r="R8" s="0" t="n">
        <v>11386</v>
      </c>
      <c r="S8" s="0" t="n">
        <v>61989</v>
      </c>
      <c r="T8" s="0" t="n">
        <v>1392.529</v>
      </c>
      <c r="U8" s="0" t="n">
        <v>628</v>
      </c>
      <c r="V8" s="0" t="n">
        <v>5.34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57344</v>
      </c>
      <c r="I9" s="0" t="n">
        <v>16230</v>
      </c>
      <c r="J9" s="0" t="n">
        <v>28.3</v>
      </c>
      <c r="K9" s="0" t="n">
        <v>11.25</v>
      </c>
      <c r="L9" s="0" t="n">
        <v>23139</v>
      </c>
      <c r="M9" s="0" t="n">
        <v>2280</v>
      </c>
      <c r="O9" s="0" t="n">
        <v>127089</v>
      </c>
      <c r="P9" s="0" t="n">
        <v>2171582</v>
      </c>
      <c r="Q9" s="0" t="n">
        <v>2044390</v>
      </c>
      <c r="R9" s="0" t="n">
        <v>13546</v>
      </c>
      <c r="S9" s="0" t="n">
        <v>56723</v>
      </c>
      <c r="T9" s="0" t="n">
        <v>1413.755</v>
      </c>
      <c r="U9" s="0" t="n">
        <v>959</v>
      </c>
      <c r="V9" s="0" t="n">
        <v>5.6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66605</v>
      </c>
      <c r="I10" s="0" t="n">
        <v>20362</v>
      </c>
      <c r="J10" s="0" t="n">
        <v>30.6</v>
      </c>
      <c r="K10" s="0" t="n">
        <v>14.07</v>
      </c>
      <c r="L10" s="0" t="n">
        <v>55220</v>
      </c>
      <c r="M10" s="0" t="n">
        <v>2243</v>
      </c>
      <c r="O10" s="0" t="n">
        <v>139092</v>
      </c>
      <c r="P10" s="0" t="n">
        <v>2325006</v>
      </c>
      <c r="Q10" s="0" t="n">
        <v>2185855</v>
      </c>
      <c r="R10" s="0" t="n">
        <v>13961</v>
      </c>
      <c r="S10" s="0" t="n">
        <v>37024</v>
      </c>
      <c r="T10" s="0" t="n">
        <v>1411.589</v>
      </c>
      <c r="U10" s="0" t="n">
        <v>1002</v>
      </c>
      <c r="V10" s="0" t="n">
        <v>6.04</v>
      </c>
      <c r="AA10" s="0" t="s">
        <v>18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195.67</v>
      </c>
    </row>
    <row r="3" customFormat="false" ht="15" hidden="false" customHeight="false" outlineLevel="0" collapsed="false">
      <c r="A3" s="0" t="s">
        <v>76</v>
      </c>
      <c r="B3" s="3" t="n">
        <v>1388.2</v>
      </c>
    </row>
    <row r="4" customFormat="false" ht="15" hidden="false" customHeight="false" outlineLevel="0" collapsed="false">
      <c r="A4" s="0" t="s">
        <v>77</v>
      </c>
      <c r="B4" s="3" t="n">
        <v>0</v>
      </c>
    </row>
    <row r="5" customFormat="false" ht="15" hidden="false" customHeight="false" outlineLevel="0" collapsed="false">
      <c r="A5" s="0" t="s">
        <v>78</v>
      </c>
      <c r="B5" s="3" t="n">
        <v>475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71160</v>
      </c>
    </row>
    <row r="8" customFormat="false" ht="15" hidden="false" customHeight="false" outlineLevel="0" collapsed="false">
      <c r="A8" s="0" t="s">
        <v>81</v>
      </c>
      <c r="B8" s="3" t="s">
        <v>82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0.7019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2</v>
      </c>
      <c r="D13" s="3" t="n">
        <v>-1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98</v>
      </c>
      <c r="C14" s="3" t="n">
        <v>38.6</v>
      </c>
      <c r="D14" s="3" t="n">
        <v>31.2</v>
      </c>
      <c r="E14" s="3" t="n">
        <v>35.6</v>
      </c>
      <c r="F14" s="3" t="n">
        <v>38.6</v>
      </c>
      <c r="G14" s="3" t="n">
        <v>38.8</v>
      </c>
      <c r="H14" s="3" t="n">
        <v>38.8</v>
      </c>
      <c r="I14" s="3" t="n">
        <v>38.8</v>
      </c>
      <c r="J14" s="3" t="n">
        <v>38.8</v>
      </c>
      <c r="K14" s="3" t="n">
        <v>38.8</v>
      </c>
      <c r="L14" s="3" t="n">
        <v>38.8</v>
      </c>
    </row>
    <row r="15" customFormat="false" ht="15" hidden="false" customHeight="false" outlineLevel="0" collapsed="false">
      <c r="A15" s="0" t="s">
        <v>99</v>
      </c>
      <c r="C15" s="3" t="n">
        <v>0.1</v>
      </c>
      <c r="D15" s="3" t="n">
        <v>0.1</v>
      </c>
      <c r="E15" s="3" t="n">
        <v>0.1</v>
      </c>
      <c r="F15" s="3" t="n">
        <v>0.1</v>
      </c>
      <c r="G15" s="3" t="n">
        <v>0.1</v>
      </c>
      <c r="H15" s="3" t="n">
        <v>0.1</v>
      </c>
      <c r="I15" s="3" t="n">
        <v>0.1</v>
      </c>
      <c r="J15" s="3" t="n">
        <v>0.1</v>
      </c>
      <c r="K15" s="3" t="n">
        <v>0.1</v>
      </c>
      <c r="L15" s="3" t="n">
        <v>0.1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102</v>
      </c>
      <c r="C18" s="3" t="n">
        <v>2.79</v>
      </c>
      <c r="D18" s="3" t="n">
        <v>2</v>
      </c>
      <c r="E18" s="3" t="n">
        <v>2.79</v>
      </c>
      <c r="F18" s="3" t="n">
        <v>4.14</v>
      </c>
      <c r="G18" s="3" t="n">
        <v>4.14</v>
      </c>
      <c r="H18" s="3" t="n">
        <v>4.14</v>
      </c>
      <c r="I18" s="3" t="n">
        <v>4.14</v>
      </c>
      <c r="J18" s="3" t="n">
        <v>3.47</v>
      </c>
      <c r="K18" s="3" t="n">
        <v>3.47</v>
      </c>
      <c r="L18" s="3" t="n">
        <v>3.47</v>
      </c>
    </row>
    <row r="19" customFormat="false" ht="15" hidden="false" customHeight="false" outlineLevel="0" collapsed="false">
      <c r="A19" s="0" t="s">
        <v>103</v>
      </c>
      <c r="C19" s="3" t="n">
        <v>22.5</v>
      </c>
      <c r="D19" s="3" t="n">
        <v>22.5</v>
      </c>
      <c r="E19" s="3" t="n">
        <v>22.5</v>
      </c>
      <c r="F19" s="3" t="n">
        <v>22.5</v>
      </c>
      <c r="G19" s="3" t="n">
        <v>22.5</v>
      </c>
      <c r="H19" s="3" t="n">
        <v>22.5</v>
      </c>
      <c r="I19" s="3" t="n">
        <v>22.5</v>
      </c>
      <c r="J19" s="3" t="n">
        <v>22.5</v>
      </c>
      <c r="K19" s="3" t="n">
        <v>22.5</v>
      </c>
      <c r="L19" s="3" t="n">
        <v>22.5</v>
      </c>
    </row>
    <row r="20" customFormat="false" ht="15" hidden="false" customHeight="false" outlineLevel="0" collapsed="false">
      <c r="A20" s="0" t="s">
        <v>104</v>
      </c>
      <c r="B20" s="3" t="n">
        <v>10</v>
      </c>
    </row>
    <row r="21" customFormat="false" ht="15" hidden="false" customHeight="false" outlineLevel="0" collapsed="false">
      <c r="A21" s="0" t="s">
        <v>105</v>
      </c>
      <c r="B21" s="3" t="n">
        <v>2.5</v>
      </c>
    </row>
    <row r="22" customFormat="false" ht="15" hidden="false" customHeight="false" outlineLevel="0" collapsed="false">
      <c r="A22" s="0" t="s">
        <v>106</v>
      </c>
      <c r="B22" s="3" t="n">
        <v>11</v>
      </c>
    </row>
    <row r="23" customFormat="false" ht="15" hidden="false" customHeight="false" outlineLevel="0" collapsed="false">
      <c r="A23" s="0" t="s">
        <v>107</v>
      </c>
      <c r="B23" s="3" t="n">
        <v>0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6</v>
      </c>
      <c r="D27" s="3" t="n">
        <v>5.5</v>
      </c>
      <c r="E27" s="3" t="n">
        <v>5</v>
      </c>
      <c r="F27" s="3" t="n">
        <v>4.5</v>
      </c>
      <c r="G27" s="3" t="n">
        <v>4.5</v>
      </c>
      <c r="H27" s="3" t="n">
        <v>4</v>
      </c>
      <c r="I27" s="3" t="n">
        <v>4</v>
      </c>
      <c r="J27" s="3" t="n">
        <v>3.5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98</v>
      </c>
      <c r="C28" s="3" t="n">
        <v>40.6</v>
      </c>
      <c r="D28" s="3" t="n">
        <v>40.4</v>
      </c>
      <c r="E28" s="3" t="n">
        <v>40.4</v>
      </c>
      <c r="F28" s="3" t="n">
        <v>40.5</v>
      </c>
      <c r="G28" s="3" t="n">
        <v>40.5</v>
      </c>
      <c r="H28" s="3" t="n">
        <v>40.5</v>
      </c>
      <c r="I28" s="3" t="n">
        <v>40.5</v>
      </c>
      <c r="J28" s="3" t="n">
        <v>40.5</v>
      </c>
      <c r="K28" s="3" t="n">
        <v>40.5</v>
      </c>
      <c r="L28" s="3" t="n">
        <v>40.5</v>
      </c>
    </row>
    <row r="29" customFormat="false" ht="15" hidden="false" customHeight="false" outlineLevel="0" collapsed="false">
      <c r="A29" s="0" t="s">
        <v>99</v>
      </c>
      <c r="C29" s="3" t="n">
        <v>0.1</v>
      </c>
      <c r="D29" s="3" t="n">
        <v>0.1</v>
      </c>
      <c r="E29" s="3" t="n">
        <v>0.1</v>
      </c>
      <c r="F29" s="3" t="n">
        <v>0.1</v>
      </c>
      <c r="G29" s="3" t="n">
        <v>0.1</v>
      </c>
      <c r="H29" s="3" t="n">
        <v>0.1</v>
      </c>
      <c r="I29" s="3" t="n">
        <v>0.1</v>
      </c>
      <c r="J29" s="3" t="n">
        <v>0.1</v>
      </c>
      <c r="K29" s="3" t="n">
        <v>0.1</v>
      </c>
      <c r="L29" s="3" t="n">
        <v>0.1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102</v>
      </c>
      <c r="C32" s="3" t="n">
        <v>8.04</v>
      </c>
      <c r="D32" s="3" t="n">
        <v>7.41</v>
      </c>
      <c r="E32" s="3" t="n">
        <v>6.77</v>
      </c>
      <c r="F32" s="3" t="n">
        <v>6.12</v>
      </c>
      <c r="G32" s="3" t="n">
        <v>6.12</v>
      </c>
      <c r="H32" s="3" t="n">
        <v>5.47</v>
      </c>
      <c r="I32" s="3" t="n">
        <v>5.47</v>
      </c>
      <c r="J32" s="3" t="n">
        <v>4.81</v>
      </c>
      <c r="K32" s="3" t="n">
        <v>4.81</v>
      </c>
      <c r="L32" s="3" t="n">
        <v>4.14</v>
      </c>
    </row>
    <row r="33" customFormat="false" ht="15" hidden="false" customHeight="false" outlineLevel="0" collapsed="false">
      <c r="A33" s="0" t="s">
        <v>103</v>
      </c>
      <c r="C33" s="3" t="n">
        <v>22.5</v>
      </c>
      <c r="D33" s="3" t="n">
        <v>22.5</v>
      </c>
      <c r="E33" s="3" t="n">
        <v>22.5</v>
      </c>
      <c r="F33" s="3" t="n">
        <v>22.5</v>
      </c>
      <c r="G33" s="3" t="n">
        <v>22.5</v>
      </c>
      <c r="H33" s="3" t="n">
        <v>22.5</v>
      </c>
      <c r="I33" s="3" t="n">
        <v>22.5</v>
      </c>
      <c r="J33" s="3" t="n">
        <v>22.5</v>
      </c>
      <c r="K33" s="3" t="n">
        <v>22.5</v>
      </c>
      <c r="L33" s="3" t="n">
        <v>22.5</v>
      </c>
    </row>
    <row r="34" customFormat="false" ht="15" hidden="false" customHeight="false" outlineLevel="0" collapsed="false">
      <c r="A34" s="0" t="s">
        <v>104</v>
      </c>
      <c r="B34" s="3" t="n">
        <v>9.5</v>
      </c>
    </row>
    <row r="35" customFormat="false" ht="15" hidden="false" customHeight="false" outlineLevel="0" collapsed="false">
      <c r="A35" s="0" t="s">
        <v>105</v>
      </c>
      <c r="B35" s="3" t="n">
        <v>3</v>
      </c>
    </row>
    <row r="36" customFormat="false" ht="15" hidden="false" customHeight="false" outlineLevel="0" collapsed="false">
      <c r="A36" s="0" t="s">
        <v>106</v>
      </c>
      <c r="B36" s="3" t="n">
        <v>14</v>
      </c>
    </row>
    <row r="37" customFormat="false" ht="15" hidden="false" customHeight="false" outlineLevel="0" collapsed="false">
      <c r="A37" s="0" t="s">
        <v>107</v>
      </c>
      <c r="B37" s="3" t="n">
        <v>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8</v>
      </c>
      <c r="D41" s="3" t="n">
        <v>7</v>
      </c>
      <c r="E41" s="3" t="n">
        <v>6</v>
      </c>
      <c r="F41" s="3" t="n">
        <v>5.5</v>
      </c>
      <c r="G41" s="3" t="n">
        <v>5</v>
      </c>
      <c r="H41" s="3" t="n">
        <v>4.5</v>
      </c>
      <c r="I41" s="3" t="n">
        <v>4.5</v>
      </c>
      <c r="J41" s="3" t="n">
        <v>4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98</v>
      </c>
      <c r="C42" s="3" t="n">
        <v>41.2</v>
      </c>
      <c r="D42" s="3" t="n">
        <v>42.2</v>
      </c>
      <c r="E42" s="3" t="n">
        <v>43</v>
      </c>
      <c r="F42" s="3" t="n">
        <v>43</v>
      </c>
      <c r="G42" s="3" t="n">
        <v>43</v>
      </c>
      <c r="H42" s="3" t="n">
        <v>43</v>
      </c>
      <c r="I42" s="3" t="n">
        <v>43</v>
      </c>
      <c r="J42" s="3" t="n">
        <v>43</v>
      </c>
      <c r="K42" s="3" t="n">
        <v>43</v>
      </c>
      <c r="L42" s="3" t="n">
        <v>43</v>
      </c>
    </row>
    <row r="43" customFormat="false" ht="15" hidden="false" customHeight="false" outlineLevel="0" collapsed="false">
      <c r="A43" s="0" t="s">
        <v>99</v>
      </c>
      <c r="C43" s="3" t="n">
        <v>0.1</v>
      </c>
      <c r="D43" s="3" t="n">
        <v>0.1</v>
      </c>
      <c r="E43" s="3" t="n">
        <v>0.1</v>
      </c>
      <c r="F43" s="3" t="n">
        <v>0.1</v>
      </c>
      <c r="G43" s="3" t="n">
        <v>0.1</v>
      </c>
      <c r="H43" s="3" t="n">
        <v>0.1</v>
      </c>
      <c r="I43" s="3" t="n">
        <v>0.1</v>
      </c>
      <c r="J43" s="3" t="n">
        <v>0.1</v>
      </c>
      <c r="K43" s="3" t="n">
        <v>0.1</v>
      </c>
      <c r="L43" s="3" t="n">
        <v>0.1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102</v>
      </c>
      <c r="C46" s="3" t="n">
        <v>10.53</v>
      </c>
      <c r="D46" s="3" t="n">
        <v>9.3</v>
      </c>
      <c r="E46" s="3" t="n">
        <v>8.04</v>
      </c>
      <c r="F46" s="3" t="n">
        <v>7.41</v>
      </c>
      <c r="G46" s="3" t="n">
        <v>6.77</v>
      </c>
      <c r="H46" s="3" t="n">
        <v>6.12</v>
      </c>
      <c r="I46" s="3" t="n">
        <v>6.12</v>
      </c>
      <c r="J46" s="3" t="n">
        <v>5.47</v>
      </c>
      <c r="K46" s="3" t="n">
        <v>5.47</v>
      </c>
      <c r="L46" s="3" t="n">
        <v>4.81</v>
      </c>
    </row>
    <row r="47" customFormat="false" ht="15" hidden="false" customHeight="false" outlineLevel="0" collapsed="false">
      <c r="A47" s="0" t="s">
        <v>103</v>
      </c>
      <c r="C47" s="3" t="n">
        <v>22.5</v>
      </c>
      <c r="D47" s="3" t="n">
        <v>22.5</v>
      </c>
      <c r="E47" s="3" t="n">
        <v>22.5</v>
      </c>
      <c r="F47" s="3" t="n">
        <v>22.5</v>
      </c>
      <c r="G47" s="3" t="n">
        <v>22.5</v>
      </c>
      <c r="H47" s="3" t="n">
        <v>22.5</v>
      </c>
      <c r="I47" s="3" t="n">
        <v>22.5</v>
      </c>
      <c r="J47" s="3" t="n">
        <v>22.5</v>
      </c>
      <c r="K47" s="3" t="n">
        <v>22.5</v>
      </c>
      <c r="L47" s="3" t="n">
        <v>22.5</v>
      </c>
    </row>
    <row r="48" customFormat="false" ht="15" hidden="false" customHeight="false" outlineLevel="0" collapsed="false">
      <c r="A48" s="0" t="s">
        <v>104</v>
      </c>
      <c r="B48" s="3" t="n">
        <v>9.25</v>
      </c>
    </row>
    <row r="49" customFormat="false" ht="15" hidden="false" customHeight="false" outlineLevel="0" collapsed="false">
      <c r="A49" s="0" t="s">
        <v>105</v>
      </c>
      <c r="B49" s="3" t="n">
        <v>3.5</v>
      </c>
    </row>
    <row r="50" customFormat="false" ht="15" hidden="false" customHeight="false" outlineLevel="0" collapsed="false">
      <c r="A50" s="0" t="s">
        <v>106</v>
      </c>
      <c r="B50" s="3" t="n">
        <v>15</v>
      </c>
    </row>
    <row r="51" customFormat="false" ht="15" hidden="false" customHeight="false" outlineLevel="0" collapsed="false">
      <c r="A51" s="0" t="s">
        <v>107</v>
      </c>
      <c r="B51" s="3" t="n">
        <v>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82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2</v>
      </c>
      <c r="D5" s="4" t="n">
        <f aca="false">Assumptions!D13</f>
        <v>-1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71160</v>
      </c>
      <c r="C6" s="0" t="n">
        <f aca="false">B6*(1+C5/100)</f>
        <v>72583.2</v>
      </c>
      <c r="D6" s="0" t="n">
        <f aca="false">C6*(1+D5/100)</f>
        <v>71857.368</v>
      </c>
      <c r="E6" s="0" t="n">
        <f aca="false">D6*(1+E5/100)</f>
        <v>73294.51536</v>
      </c>
      <c r="F6" s="0" t="n">
        <f aca="false">E6*(1+F5/100)</f>
        <v>75493.3508208</v>
      </c>
      <c r="G6" s="0" t="n">
        <f aca="false">F6*(1+G5/100)</f>
        <v>77758.151345424</v>
      </c>
      <c r="H6" s="0" t="n">
        <f aca="false">G6*(1+H5/100)</f>
        <v>80090.8958857867</v>
      </c>
      <c r="I6" s="0" t="n">
        <f aca="false">H6*(1+I5/100)</f>
        <v>82493.6227623604</v>
      </c>
      <c r="J6" s="0" t="n">
        <f aca="false">I6*(1+J5/100)</f>
        <v>84555.9633314194</v>
      </c>
      <c r="K6" s="0" t="n">
        <f aca="false">J6*(1+K5/100)</f>
        <v>86669.8624147048</v>
      </c>
      <c r="L6" s="0" t="n">
        <f aca="false">K6*(1+L5/100)</f>
        <v>88836.6089750724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38.6</v>
      </c>
      <c r="D7" s="4" t="n">
        <f aca="false">Assumptions!D14</f>
        <v>31.2</v>
      </c>
      <c r="E7" s="4" t="n">
        <f aca="false">Assumptions!E14</f>
        <v>35.6</v>
      </c>
      <c r="F7" s="4" t="n">
        <f aca="false">Assumptions!F14</f>
        <v>38.6</v>
      </c>
      <c r="G7" s="4" t="n">
        <f aca="false">Assumptions!G14</f>
        <v>38.8</v>
      </c>
      <c r="H7" s="4" t="n">
        <f aca="false">Assumptions!H14</f>
        <v>38.8</v>
      </c>
      <c r="I7" s="4" t="n">
        <f aca="false">Assumptions!I14</f>
        <v>38.8</v>
      </c>
      <c r="J7" s="4" t="n">
        <f aca="false">Assumptions!J14</f>
        <v>38.8</v>
      </c>
      <c r="K7" s="4" t="n">
        <f aca="false">Assumptions!K14</f>
        <v>38.8</v>
      </c>
      <c r="L7" s="4" t="n">
        <f aca="false">Assumptions!L14</f>
        <v>38.8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28017.1152</v>
      </c>
      <c r="D8" s="0" t="n">
        <f aca="false">D6*D7/100</f>
        <v>22419.498816</v>
      </c>
      <c r="E8" s="0" t="n">
        <f aca="false">E6*E7/100</f>
        <v>26092.84746816</v>
      </c>
      <c r="F8" s="0" t="n">
        <f aca="false">F6*F7/100</f>
        <v>29140.4334168288</v>
      </c>
      <c r="G8" s="0" t="n">
        <f aca="false">G6*G7/100</f>
        <v>30170.1627220245</v>
      </c>
      <c r="H8" s="0" t="n">
        <f aca="false">H6*H7/100</f>
        <v>31075.2676036853</v>
      </c>
      <c r="I8" s="0" t="n">
        <f aca="false">I6*I7/100</f>
        <v>32007.5256317958</v>
      </c>
      <c r="J8" s="0" t="n">
        <f aca="false">J6*J7/100</f>
        <v>32807.7137725907</v>
      </c>
      <c r="K8" s="0" t="n">
        <f aca="false">K6*K7/100</f>
        <v>33627.9066169055</v>
      </c>
      <c r="L8" s="0" t="n">
        <f aca="false">L6*L7/100</f>
        <v>34468.6042823281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0.1</v>
      </c>
      <c r="D9" s="4" t="n">
        <f aca="false">Assumptions!D15</f>
        <v>0.1</v>
      </c>
      <c r="E9" s="4" t="n">
        <f aca="false">Assumptions!E15</f>
        <v>0.1</v>
      </c>
      <c r="F9" s="4" t="n">
        <f aca="false">Assumptions!F15</f>
        <v>0.1</v>
      </c>
      <c r="G9" s="4" t="n">
        <f aca="false">Assumptions!G15</f>
        <v>0.1</v>
      </c>
      <c r="H9" s="4" t="n">
        <f aca="false">Assumptions!H15</f>
        <v>0.1</v>
      </c>
      <c r="I9" s="4" t="n">
        <f aca="false">Assumptions!I15</f>
        <v>0.1</v>
      </c>
      <c r="J9" s="4" t="n">
        <f aca="false">Assumptions!J15</f>
        <v>0.1</v>
      </c>
      <c r="K9" s="4" t="n">
        <f aca="false">Assumptions!K15</f>
        <v>0.1</v>
      </c>
      <c r="L9" s="4" t="n">
        <f aca="false">Assumptions!L15</f>
        <v>0.1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-72.5832</v>
      </c>
      <c r="D10" s="0" t="n">
        <f aca="false">-D6*D9/100</f>
        <v>-71.857368</v>
      </c>
      <c r="E10" s="0" t="n">
        <f aca="false">-E6*E9/100</f>
        <v>-73.29451536</v>
      </c>
      <c r="F10" s="0" t="n">
        <f aca="false">-F6*F9/100</f>
        <v>-75.4933508208</v>
      </c>
      <c r="G10" s="0" t="n">
        <f aca="false">-G6*G9/100</f>
        <v>-77.758151345424</v>
      </c>
      <c r="H10" s="0" t="n">
        <f aca="false">-H6*H9/100</f>
        <v>-80.0908958857867</v>
      </c>
      <c r="I10" s="0" t="n">
        <f aca="false">-I6*I9/100</f>
        <v>-82.4936227623604</v>
      </c>
      <c r="J10" s="0" t="n">
        <f aca="false">-J6*J9/100</f>
        <v>-84.5559633314194</v>
      </c>
      <c r="K10" s="0" t="n">
        <f aca="false">-K6*K9/100</f>
        <v>-86.6698624147048</v>
      </c>
      <c r="L10" s="0" t="n">
        <f aca="false">-L6*L9/100</f>
        <v>-88.8366089750724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27944.532</v>
      </c>
      <c r="D11" s="0" t="n">
        <f aca="false">D8+D10+D24</f>
        <v>22347.641448</v>
      </c>
      <c r="E11" s="0" t="n">
        <f aca="false">E8+E10+E24</f>
        <v>26019.5529528</v>
      </c>
      <c r="F11" s="0" t="n">
        <f aca="false">F8+F10+F24</f>
        <v>29064.940066008</v>
      </c>
      <c r="G11" s="0" t="n">
        <f aca="false">G8+G10+G24</f>
        <v>30092.4045706791</v>
      </c>
      <c r="H11" s="0" t="n">
        <f aca="false">H8+H10+H24</f>
        <v>30995.1767077995</v>
      </c>
      <c r="I11" s="0" t="n">
        <f aca="false">I8+I10+I24</f>
        <v>31925.0320090335</v>
      </c>
      <c r="J11" s="0" t="n">
        <f aca="false">J8+J10+J24</f>
        <v>32723.1578092593</v>
      </c>
      <c r="K11" s="0" t="n">
        <f aca="false">K8+K10+K24</f>
        <v>33541.2367544908</v>
      </c>
      <c r="L11" s="0" t="n">
        <f aca="false">L8+L10+L24</f>
        <v>34379.767673353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27944.532</v>
      </c>
      <c r="D13" s="0" t="n">
        <f aca="false">D11+D12</f>
        <v>22347.641448</v>
      </c>
      <c r="E13" s="0" t="n">
        <f aca="false">E11+E12</f>
        <v>26019.5529528</v>
      </c>
      <c r="F13" s="0" t="n">
        <f aca="false">F11+F12</f>
        <v>29064.940066008</v>
      </c>
      <c r="G13" s="0" t="n">
        <f aca="false">G11+G12</f>
        <v>30092.4045706791</v>
      </c>
      <c r="H13" s="0" t="n">
        <f aca="false">H11+H12</f>
        <v>30995.1767077995</v>
      </c>
      <c r="I13" s="0" t="n">
        <f aca="false">I11+I12</f>
        <v>31925.0320090335</v>
      </c>
      <c r="J13" s="0" t="n">
        <f aca="false">J11+J12</f>
        <v>32723.1578092593</v>
      </c>
      <c r="K13" s="0" t="n">
        <f aca="false">K11+K12</f>
        <v>33541.2367544908</v>
      </c>
      <c r="L13" s="0" t="n">
        <f aca="false">L11+L12</f>
        <v>34379.767673353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22.5</v>
      </c>
      <c r="D14" s="4" t="n">
        <f aca="false">Assumptions!D19</f>
        <v>22.5</v>
      </c>
      <c r="E14" s="4" t="n">
        <f aca="false">Assumptions!E19</f>
        <v>22.5</v>
      </c>
      <c r="F14" s="4" t="n">
        <f aca="false">Assumptions!F19</f>
        <v>22.5</v>
      </c>
      <c r="G14" s="4" t="n">
        <f aca="false">Assumptions!G19</f>
        <v>22.5</v>
      </c>
      <c r="H14" s="4" t="n">
        <f aca="false">Assumptions!H19</f>
        <v>22.5</v>
      </c>
      <c r="I14" s="4" t="n">
        <f aca="false">Assumptions!I19</f>
        <v>22.5</v>
      </c>
      <c r="J14" s="4" t="n">
        <f aca="false">Assumptions!J19</f>
        <v>22.5</v>
      </c>
      <c r="K14" s="4" t="n">
        <f aca="false">Assumptions!K19</f>
        <v>22.5</v>
      </c>
      <c r="L14" s="4" t="n">
        <f aca="false">Assumptions!L19</f>
        <v>22.5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21657.0123</v>
      </c>
      <c r="D15" s="0" t="n">
        <f aca="false">D13-MAX(0,D13)*D14/100</f>
        <v>17319.4221222</v>
      </c>
      <c r="E15" s="0" t="n">
        <f aca="false">E13-MAX(0,E13)*E14/100</f>
        <v>20165.15353842</v>
      </c>
      <c r="F15" s="0" t="n">
        <f aca="false">F13-MAX(0,F13)*F14/100</f>
        <v>22525.3285511562</v>
      </c>
      <c r="G15" s="0" t="n">
        <f aca="false">G13-MAX(0,G13)*G14/100</f>
        <v>23321.6135422763</v>
      </c>
      <c r="H15" s="0" t="n">
        <f aca="false">H13-MAX(0,H13)*H14/100</f>
        <v>24021.2619485446</v>
      </c>
      <c r="I15" s="0" t="n">
        <f aca="false">I13-MAX(0,I13)*I14/100</f>
        <v>24741.8998070009</v>
      </c>
      <c r="J15" s="0" t="n">
        <f aca="false">J13-MAX(0,J13)*J14/100</f>
        <v>25360.4473021759</v>
      </c>
      <c r="K15" s="0" t="n">
        <f aca="false">K13-MAX(0,K13)*K14/100</f>
        <v>25994.4584847303</v>
      </c>
      <c r="L15" s="0" t="n">
        <f aca="false">L13-MAX(0,L13)*L14/100</f>
        <v>26644.3199468486</v>
      </c>
    </row>
    <row r="16" customFormat="false" ht="15" hidden="false" customHeight="false" outlineLevel="0" collapsed="false">
      <c r="A16" s="0" t="s">
        <v>119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-2025.07128</v>
      </c>
      <c r="D17" s="4" t="n">
        <f aca="false">-D6*Assumptions!D18/100</f>
        <v>-1437.14736</v>
      </c>
      <c r="E17" s="4" t="n">
        <f aca="false">-E6*Assumptions!E18/100</f>
        <v>-2044.916978544</v>
      </c>
      <c r="F17" s="4" t="n">
        <f aca="false">-F6*Assumptions!F18/100</f>
        <v>-3125.42472398112</v>
      </c>
      <c r="G17" s="4" t="n">
        <f aca="false">-G6*Assumptions!G18/100</f>
        <v>-3219.18746570055</v>
      </c>
      <c r="H17" s="4" t="n">
        <f aca="false">-H6*Assumptions!H18/100</f>
        <v>-3315.76308967157</v>
      </c>
      <c r="I17" s="4" t="n">
        <f aca="false">-I6*Assumptions!I18/100</f>
        <v>-3415.23598236172</v>
      </c>
      <c r="J17" s="4" t="n">
        <f aca="false">-J6*Assumptions!J18/100</f>
        <v>-2934.09192760025</v>
      </c>
      <c r="K17" s="4" t="n">
        <f aca="false">-K6*Assumptions!K18/100</f>
        <v>-3007.44422579026</v>
      </c>
      <c r="L17" s="4" t="n">
        <f aca="false">-L6*Assumptions!L18/100</f>
        <v>-3082.63033143501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19631.94102</v>
      </c>
      <c r="D19" s="0" t="n">
        <f aca="false">D15+D16+D17+D18</f>
        <v>15882.2747622</v>
      </c>
      <c r="E19" s="0" t="n">
        <f aca="false">E15+E16+E17+E18</f>
        <v>18120.236559876</v>
      </c>
      <c r="F19" s="0" t="n">
        <f aca="false">F15+F16+F17+F18</f>
        <v>19399.9038271751</v>
      </c>
      <c r="G19" s="0" t="n">
        <f aca="false">G15+G16+G17+G18</f>
        <v>20102.4260765757</v>
      </c>
      <c r="H19" s="0" t="n">
        <f aca="false">H15+H16+H17+H18</f>
        <v>20705.498858873</v>
      </c>
      <c r="I19" s="0" t="n">
        <f aca="false">I15+I16+I17+I18</f>
        <v>21326.6638246392</v>
      </c>
      <c r="J19" s="0" t="n">
        <f aca="false">J15+J16+J17+J18</f>
        <v>22426.3553745757</v>
      </c>
      <c r="K19" s="0" t="n">
        <f aca="false">K15+K16+K17+K18</f>
        <v>22987.0142589401</v>
      </c>
      <c r="L19" s="0" t="n">
        <f aca="false">L15+L16+L17+L18</f>
        <v>23561.6896154136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17847.2191090909</v>
      </c>
      <c r="D21" s="0" t="n">
        <f aca="false">D19*D20</f>
        <v>13125.8469109091</v>
      </c>
      <c r="E21" s="0" t="n">
        <f aca="false">E19*E20</f>
        <v>13614.0019232727</v>
      </c>
      <c r="F21" s="0" t="n">
        <f aca="false">F19*F20</f>
        <v>13250.3953467489</v>
      </c>
      <c r="G21" s="0" t="n">
        <f aca="false">G19*G20</f>
        <v>12482.0249961663</v>
      </c>
      <c r="H21" s="0" t="n">
        <f aca="false">H19*H20</f>
        <v>11687.7143145921</v>
      </c>
      <c r="I21" s="0" t="n">
        <f aca="false">I19*I20</f>
        <v>10943.9506763907</v>
      </c>
      <c r="J21" s="0" t="n">
        <f aca="false">J19*J20</f>
        <v>10462.0602934458</v>
      </c>
      <c r="K21" s="0" t="n">
        <f aca="false">K19*K20</f>
        <v>9748.73800071083</v>
      </c>
      <c r="L21" s="0" t="n">
        <f aca="false">L19*L20</f>
        <v>9084.05131884418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122246.002890171</v>
      </c>
    </row>
    <row r="31" customFormat="false" ht="15" hidden="false" customHeight="false" outlineLevel="0" collapsed="false">
      <c r="A31" s="0" t="s">
        <v>128</v>
      </c>
      <c r="B31" s="0" t="n">
        <f aca="false">L19</f>
        <v>23561.6896154136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322009.758077319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259178.585769549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259178.585769549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99924.564507286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222170.567397458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222645.567397458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112.573781700242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-0.424675312003671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478.277221246852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468.088232095531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113.052281852742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193205.854846391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74.3120690037811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82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6</v>
      </c>
      <c r="D5" s="4" t="n">
        <f aca="false">Assumptions!D27</f>
        <v>5.5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71160</v>
      </c>
      <c r="C6" s="0" t="n">
        <f aca="false">B6*(1+C5/100)</f>
        <v>75429.6</v>
      </c>
      <c r="D6" s="0" t="n">
        <f aca="false">C6*(1+D5/100)</f>
        <v>79578.228</v>
      </c>
      <c r="E6" s="0" t="n">
        <f aca="false">D6*(1+E5/100)</f>
        <v>83557.1394</v>
      </c>
      <c r="F6" s="0" t="n">
        <f aca="false">E6*(1+F5/100)</f>
        <v>87317.210673</v>
      </c>
      <c r="G6" s="0" t="n">
        <f aca="false">F6*(1+G5/100)</f>
        <v>91246.485153285</v>
      </c>
      <c r="H6" s="0" t="n">
        <f aca="false">G6*(1+H5/100)</f>
        <v>94896.3445594164</v>
      </c>
      <c r="I6" s="0" t="n">
        <f aca="false">H6*(1+I5/100)</f>
        <v>98692.1983417931</v>
      </c>
      <c r="J6" s="0" t="n">
        <f aca="false">I6*(1+J5/100)</f>
        <v>102146.425283756</v>
      </c>
      <c r="K6" s="0" t="n">
        <f aca="false">J6*(1+K5/100)</f>
        <v>105721.550168687</v>
      </c>
      <c r="L6" s="0" t="n">
        <f aca="false">K6*(1+L5/100)</f>
        <v>108893.196673748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40.6</v>
      </c>
      <c r="D7" s="4" t="n">
        <f aca="false">Assumptions!D28</f>
        <v>40.4</v>
      </c>
      <c r="E7" s="4" t="n">
        <f aca="false">Assumptions!E28</f>
        <v>40.4</v>
      </c>
      <c r="F7" s="4" t="n">
        <f aca="false">Assumptions!F28</f>
        <v>40.5</v>
      </c>
      <c r="G7" s="4" t="n">
        <f aca="false">Assumptions!G28</f>
        <v>40.5</v>
      </c>
      <c r="H7" s="4" t="n">
        <f aca="false">Assumptions!H28</f>
        <v>40.5</v>
      </c>
      <c r="I7" s="4" t="n">
        <f aca="false">Assumptions!I28</f>
        <v>40.5</v>
      </c>
      <c r="J7" s="4" t="n">
        <f aca="false">Assumptions!J28</f>
        <v>40.5</v>
      </c>
      <c r="K7" s="4" t="n">
        <f aca="false">Assumptions!K28</f>
        <v>40.5</v>
      </c>
      <c r="L7" s="4" t="n">
        <f aca="false">Assumptions!L28</f>
        <v>40.5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30624.4176</v>
      </c>
      <c r="D8" s="0" t="n">
        <f aca="false">D6*D7/100</f>
        <v>32149.604112</v>
      </c>
      <c r="E8" s="0" t="n">
        <f aca="false">E6*E7/100</f>
        <v>33757.0843176</v>
      </c>
      <c r="F8" s="0" t="n">
        <f aca="false">F6*F7/100</f>
        <v>35363.470322565</v>
      </c>
      <c r="G8" s="0" t="n">
        <f aca="false">G6*G7/100</f>
        <v>36954.8264870804</v>
      </c>
      <c r="H8" s="0" t="n">
        <f aca="false">H6*H7/100</f>
        <v>38433.0195465636</v>
      </c>
      <c r="I8" s="0" t="n">
        <f aca="false">I6*I7/100</f>
        <v>39970.3403284262</v>
      </c>
      <c r="J8" s="0" t="n">
        <f aca="false">J6*J7/100</f>
        <v>41369.3022399211</v>
      </c>
      <c r="K8" s="0" t="n">
        <f aca="false">K6*K7/100</f>
        <v>42817.2278183183</v>
      </c>
      <c r="L8" s="0" t="n">
        <f aca="false">L6*L7/100</f>
        <v>44101.7446528679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0.1</v>
      </c>
      <c r="D9" s="4" t="n">
        <f aca="false">Assumptions!D29</f>
        <v>0.1</v>
      </c>
      <c r="E9" s="4" t="n">
        <f aca="false">Assumptions!E29</f>
        <v>0.1</v>
      </c>
      <c r="F9" s="4" t="n">
        <f aca="false">Assumptions!F29</f>
        <v>0.1</v>
      </c>
      <c r="G9" s="4" t="n">
        <f aca="false">Assumptions!G29</f>
        <v>0.1</v>
      </c>
      <c r="H9" s="4" t="n">
        <f aca="false">Assumptions!H29</f>
        <v>0.1</v>
      </c>
      <c r="I9" s="4" t="n">
        <f aca="false">Assumptions!I29</f>
        <v>0.1</v>
      </c>
      <c r="J9" s="4" t="n">
        <f aca="false">Assumptions!J29</f>
        <v>0.1</v>
      </c>
      <c r="K9" s="4" t="n">
        <f aca="false">Assumptions!K29</f>
        <v>0.1</v>
      </c>
      <c r="L9" s="4" t="n">
        <f aca="false">Assumptions!L29</f>
        <v>0.1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-75.4296</v>
      </c>
      <c r="D10" s="0" t="n">
        <f aca="false">-D6*D9/100</f>
        <v>-79.578228</v>
      </c>
      <c r="E10" s="0" t="n">
        <f aca="false">-E6*E9/100</f>
        <v>-83.5571394</v>
      </c>
      <c r="F10" s="0" t="n">
        <f aca="false">-F6*F9/100</f>
        <v>-87.317210673</v>
      </c>
      <c r="G10" s="0" t="n">
        <f aca="false">-G6*G9/100</f>
        <v>-91.246485153285</v>
      </c>
      <c r="H10" s="0" t="n">
        <f aca="false">-H6*H9/100</f>
        <v>-94.8963445594164</v>
      </c>
      <c r="I10" s="0" t="n">
        <f aca="false">-I6*I9/100</f>
        <v>-98.692198341793</v>
      </c>
      <c r="J10" s="0" t="n">
        <f aca="false">-J6*J9/100</f>
        <v>-102.146425283756</v>
      </c>
      <c r="K10" s="0" t="n">
        <f aca="false">-K6*K9/100</f>
        <v>-105.721550168687</v>
      </c>
      <c r="L10" s="0" t="n">
        <f aca="false">-L6*L9/100</f>
        <v>-108.893196673748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30548.988</v>
      </c>
      <c r="D11" s="0" t="n">
        <f aca="false">D8+D10+D24</f>
        <v>32070.025884</v>
      </c>
      <c r="E11" s="0" t="n">
        <f aca="false">E8+E10+E24</f>
        <v>33673.5271782</v>
      </c>
      <c r="F11" s="0" t="n">
        <f aca="false">F8+F10+F24</f>
        <v>35276.153111892</v>
      </c>
      <c r="G11" s="0" t="n">
        <f aca="false">G8+G10+G24</f>
        <v>36863.5800019271</v>
      </c>
      <c r="H11" s="0" t="n">
        <f aca="false">H8+H10+H24</f>
        <v>38338.1232020042</v>
      </c>
      <c r="I11" s="0" t="n">
        <f aca="false">I8+I10+I24</f>
        <v>39871.6481300844</v>
      </c>
      <c r="J11" s="0" t="n">
        <f aca="false">J8+J10+J24</f>
        <v>41267.1558146373</v>
      </c>
      <c r="K11" s="0" t="n">
        <f aca="false">K8+K10+K24</f>
        <v>42711.5062681497</v>
      </c>
      <c r="L11" s="0" t="n">
        <f aca="false">L8+L10+L24</f>
        <v>43992.8514561941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30548.988</v>
      </c>
      <c r="D13" s="0" t="n">
        <f aca="false">D11+D12</f>
        <v>32070.025884</v>
      </c>
      <c r="E13" s="0" t="n">
        <f aca="false">E11+E12</f>
        <v>33673.5271782</v>
      </c>
      <c r="F13" s="0" t="n">
        <f aca="false">F11+F12</f>
        <v>35276.153111892</v>
      </c>
      <c r="G13" s="0" t="n">
        <f aca="false">G11+G12</f>
        <v>36863.5800019271</v>
      </c>
      <c r="H13" s="0" t="n">
        <f aca="false">H11+H12</f>
        <v>38338.1232020042</v>
      </c>
      <c r="I13" s="0" t="n">
        <f aca="false">I11+I12</f>
        <v>39871.6481300844</v>
      </c>
      <c r="J13" s="0" t="n">
        <f aca="false">J11+J12</f>
        <v>41267.1558146373</v>
      </c>
      <c r="K13" s="0" t="n">
        <f aca="false">K11+K12</f>
        <v>42711.5062681497</v>
      </c>
      <c r="L13" s="0" t="n">
        <f aca="false">L11+L12</f>
        <v>43992.8514561941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22.5</v>
      </c>
      <c r="D14" s="4" t="n">
        <f aca="false">Assumptions!D33</f>
        <v>22.5</v>
      </c>
      <c r="E14" s="4" t="n">
        <f aca="false">Assumptions!E33</f>
        <v>22.5</v>
      </c>
      <c r="F14" s="4" t="n">
        <f aca="false">Assumptions!F33</f>
        <v>22.5</v>
      </c>
      <c r="G14" s="4" t="n">
        <f aca="false">Assumptions!G33</f>
        <v>22.5</v>
      </c>
      <c r="H14" s="4" t="n">
        <f aca="false">Assumptions!H33</f>
        <v>22.5</v>
      </c>
      <c r="I14" s="4" t="n">
        <f aca="false">Assumptions!I33</f>
        <v>22.5</v>
      </c>
      <c r="J14" s="4" t="n">
        <f aca="false">Assumptions!J33</f>
        <v>22.5</v>
      </c>
      <c r="K14" s="4" t="n">
        <f aca="false">Assumptions!K33</f>
        <v>22.5</v>
      </c>
      <c r="L14" s="4" t="n">
        <f aca="false">Assumptions!L33</f>
        <v>22.5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23675.4657</v>
      </c>
      <c r="D15" s="0" t="n">
        <f aca="false">D13-MAX(0,D13)*D14/100</f>
        <v>24854.2700601</v>
      </c>
      <c r="E15" s="0" t="n">
        <f aca="false">E13-MAX(0,E13)*E14/100</f>
        <v>26096.983563105</v>
      </c>
      <c r="F15" s="0" t="n">
        <f aca="false">F13-MAX(0,F13)*F14/100</f>
        <v>27339.0186617163</v>
      </c>
      <c r="G15" s="0" t="n">
        <f aca="false">G13-MAX(0,G13)*G14/100</f>
        <v>28569.2745014935</v>
      </c>
      <c r="H15" s="0" t="n">
        <f aca="false">H13-MAX(0,H13)*H14/100</f>
        <v>29712.0454815533</v>
      </c>
      <c r="I15" s="0" t="n">
        <f aca="false">I13-MAX(0,I13)*I14/100</f>
        <v>30900.5273008154</v>
      </c>
      <c r="J15" s="0" t="n">
        <f aca="false">J13-MAX(0,J13)*J14/100</f>
        <v>31982.0457563439</v>
      </c>
      <c r="K15" s="0" t="n">
        <f aca="false">K13-MAX(0,K13)*K14/100</f>
        <v>33101.417357816</v>
      </c>
      <c r="L15" s="0" t="n">
        <f aca="false">L13-MAX(0,L13)*L14/100</f>
        <v>34094.4598785505</v>
      </c>
    </row>
    <row r="16" customFormat="false" ht="15" hidden="false" customHeight="false" outlineLevel="0" collapsed="false">
      <c r="A16" s="0" t="s">
        <v>119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-6064.53984</v>
      </c>
      <c r="D17" s="4" t="n">
        <f aca="false">-D6*Assumptions!D32/100</f>
        <v>-5896.7466948</v>
      </c>
      <c r="E17" s="4" t="n">
        <f aca="false">-E6*Assumptions!E32/100</f>
        <v>-5656.81833738</v>
      </c>
      <c r="F17" s="4" t="n">
        <f aca="false">-F6*Assumptions!F32/100</f>
        <v>-5343.8132931876</v>
      </c>
      <c r="G17" s="4" t="n">
        <f aca="false">-G6*Assumptions!G32/100</f>
        <v>-5584.28489138104</v>
      </c>
      <c r="H17" s="4" t="n">
        <f aca="false">-H6*Assumptions!H32/100</f>
        <v>-5190.83004740008</v>
      </c>
      <c r="I17" s="4" t="n">
        <f aca="false">-I6*Assumptions!I32/100</f>
        <v>-5398.46324929608</v>
      </c>
      <c r="J17" s="4" t="n">
        <f aca="false">-J6*Assumptions!J32/100</f>
        <v>-4913.24305614865</v>
      </c>
      <c r="K17" s="4" t="n">
        <f aca="false">-K6*Assumptions!K32/100</f>
        <v>-5085.20656311386</v>
      </c>
      <c r="L17" s="4" t="n">
        <f aca="false">-L6*Assumptions!L32/100</f>
        <v>-4508.17834229316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17610.92586</v>
      </c>
      <c r="D19" s="0" t="n">
        <f aca="false">D15+D16+D17+D18</f>
        <v>18957.5233653</v>
      </c>
      <c r="E19" s="0" t="n">
        <f aca="false">E15+E16+E17+E18</f>
        <v>20440.165225725</v>
      </c>
      <c r="F19" s="0" t="n">
        <f aca="false">F15+F16+F17+F18</f>
        <v>21995.2053685287</v>
      </c>
      <c r="G19" s="0" t="n">
        <f aca="false">G15+G16+G17+G18</f>
        <v>22984.9896101125</v>
      </c>
      <c r="H19" s="0" t="n">
        <f aca="false">H15+H16+H17+H18</f>
        <v>24521.2154341532</v>
      </c>
      <c r="I19" s="0" t="n">
        <f aca="false">I15+I16+I17+I18</f>
        <v>25502.0640515193</v>
      </c>
      <c r="J19" s="0" t="n">
        <f aca="false">J15+J16+J17+J18</f>
        <v>27068.8027001953</v>
      </c>
      <c r="K19" s="0" t="n">
        <f aca="false">K15+K16+K17+K18</f>
        <v>28016.2107947021</v>
      </c>
      <c r="L19" s="0" t="n">
        <f aca="false">L15+L16+L17+L18</f>
        <v>29586.2815362573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16083.0373150685</v>
      </c>
      <c r="D21" s="0" t="n">
        <f aca="false">D19*D20</f>
        <v>15810.7823984487</v>
      </c>
      <c r="E21" s="0" t="n">
        <f aca="false">E19*E20</f>
        <v>15568.3305667019</v>
      </c>
      <c r="F21" s="0" t="n">
        <f aca="false">F19*F20</f>
        <v>15299.2994342419</v>
      </c>
      <c r="G21" s="0" t="n">
        <f aca="false">G19*G20</f>
        <v>14600.7012865596</v>
      </c>
      <c r="H21" s="0" t="n">
        <f aca="false">H19*H20</f>
        <v>14225.1638631148</v>
      </c>
      <c r="I21" s="0" t="n">
        <f aca="false">I19*I20</f>
        <v>13510.6579156524</v>
      </c>
      <c r="J21" s="0" t="n">
        <f aca="false">J19*J20</f>
        <v>13096.5255093358</v>
      </c>
      <c r="K21" s="0" t="n">
        <f aca="false">K19*K20</f>
        <v>12378.9076732079</v>
      </c>
      <c r="L21" s="0" t="n">
        <f aca="false">L19*L20</f>
        <v>11938.4843327471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142511.890295079</v>
      </c>
    </row>
    <row r="31" customFormat="false" ht="15" hidden="false" customHeight="false" outlineLevel="0" collapsed="false">
      <c r="A31" s="0" t="s">
        <v>128</v>
      </c>
      <c r="B31" s="0" t="n">
        <f aca="false">L19</f>
        <v>29586.2815362573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468828.768959154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414207.941507602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414207.941507602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167138.780658459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309650.670953538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310125.670953538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156.805365539755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-0.198623368223257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565.004541652593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696.279202895134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157.443094296633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253948.916519542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88.3080204526567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82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8</v>
      </c>
      <c r="D5" s="4" t="n">
        <f aca="false">Assumptions!D41</f>
        <v>7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71160</v>
      </c>
      <c r="C6" s="0" t="n">
        <f aca="false">B6*(1+C5/100)</f>
        <v>76852.8</v>
      </c>
      <c r="D6" s="0" t="n">
        <f aca="false">C6*(1+D5/100)</f>
        <v>82232.496</v>
      </c>
      <c r="E6" s="0" t="n">
        <f aca="false">D6*(1+E5/100)</f>
        <v>87166.44576</v>
      </c>
      <c r="F6" s="0" t="n">
        <f aca="false">E6*(1+F5/100)</f>
        <v>91960.6002768</v>
      </c>
      <c r="G6" s="0" t="n">
        <f aca="false">F6*(1+G5/100)</f>
        <v>96558.63029064</v>
      </c>
      <c r="H6" s="0" t="n">
        <f aca="false">G6*(1+H5/100)</f>
        <v>100903.768653719</v>
      </c>
      <c r="I6" s="0" t="n">
        <f aca="false">H6*(1+I5/100)</f>
        <v>105444.438243136</v>
      </c>
      <c r="J6" s="0" t="n">
        <f aca="false">I6*(1+J5/100)</f>
        <v>109662.215772862</v>
      </c>
      <c r="K6" s="0" t="n">
        <f aca="false">J6*(1+K5/100)</f>
        <v>114048.704403776</v>
      </c>
      <c r="L6" s="0" t="n">
        <f aca="false">K6*(1+L5/100)</f>
        <v>118040.409057908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41.2</v>
      </c>
      <c r="D7" s="4" t="n">
        <f aca="false">Assumptions!D42</f>
        <v>42.2</v>
      </c>
      <c r="E7" s="4" t="n">
        <f aca="false">Assumptions!E42</f>
        <v>43</v>
      </c>
      <c r="F7" s="4" t="n">
        <f aca="false">Assumptions!F42</f>
        <v>43</v>
      </c>
      <c r="G7" s="4" t="n">
        <f aca="false">Assumptions!G42</f>
        <v>43</v>
      </c>
      <c r="H7" s="4" t="n">
        <f aca="false">Assumptions!H42</f>
        <v>43</v>
      </c>
      <c r="I7" s="4" t="n">
        <f aca="false">Assumptions!I42</f>
        <v>43</v>
      </c>
      <c r="J7" s="4" t="n">
        <f aca="false">Assumptions!J42</f>
        <v>43</v>
      </c>
      <c r="K7" s="4" t="n">
        <f aca="false">Assumptions!K42</f>
        <v>43</v>
      </c>
      <c r="L7" s="4" t="n">
        <f aca="false">Assumptions!L42</f>
        <v>43</v>
      </c>
    </row>
    <row r="8" customFormat="false" ht="15" hidden="false" customHeight="false" outlineLevel="0" collapsed="false">
      <c r="A8" s="0" t="s">
        <v>44</v>
      </c>
      <c r="C8" s="0" t="n">
        <f aca="false">C6*C7/100</f>
        <v>31663.3536</v>
      </c>
      <c r="D8" s="0" t="n">
        <f aca="false">D6*D7/100</f>
        <v>34702.113312</v>
      </c>
      <c r="E8" s="0" t="n">
        <f aca="false">E6*E7/100</f>
        <v>37481.5716768</v>
      </c>
      <c r="F8" s="0" t="n">
        <f aca="false">F6*F7/100</f>
        <v>39543.058119024</v>
      </c>
      <c r="G8" s="0" t="n">
        <f aca="false">G6*G7/100</f>
        <v>41520.2110249752</v>
      </c>
      <c r="H8" s="0" t="n">
        <f aca="false">H6*H7/100</f>
        <v>43388.6205210991</v>
      </c>
      <c r="I8" s="0" t="n">
        <f aca="false">I6*I7/100</f>
        <v>45341.1084445486</v>
      </c>
      <c r="J8" s="0" t="n">
        <f aca="false">J6*J7/100</f>
        <v>47154.7527823305</v>
      </c>
      <c r="K8" s="0" t="n">
        <f aca="false">K6*K7/100</f>
        <v>49040.9428936237</v>
      </c>
      <c r="L8" s="0" t="n">
        <f aca="false">L6*L7/100</f>
        <v>50757.3758949005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0.1</v>
      </c>
      <c r="D9" s="4" t="n">
        <f aca="false">Assumptions!D43</f>
        <v>0.1</v>
      </c>
      <c r="E9" s="4" t="n">
        <f aca="false">Assumptions!E43</f>
        <v>0.1</v>
      </c>
      <c r="F9" s="4" t="n">
        <f aca="false">Assumptions!F43</f>
        <v>0.1</v>
      </c>
      <c r="G9" s="4" t="n">
        <f aca="false">Assumptions!G43</f>
        <v>0.1</v>
      </c>
      <c r="H9" s="4" t="n">
        <f aca="false">Assumptions!H43</f>
        <v>0.1</v>
      </c>
      <c r="I9" s="4" t="n">
        <f aca="false">Assumptions!I43</f>
        <v>0.1</v>
      </c>
      <c r="J9" s="4" t="n">
        <f aca="false">Assumptions!J43</f>
        <v>0.1</v>
      </c>
      <c r="K9" s="4" t="n">
        <f aca="false">Assumptions!K43</f>
        <v>0.1</v>
      </c>
      <c r="L9" s="4" t="n">
        <f aca="false">Assumptions!L43</f>
        <v>0.1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-76.8528</v>
      </c>
      <c r="D10" s="0" t="n">
        <f aca="false">-D6*D9/100</f>
        <v>-82.232496</v>
      </c>
      <c r="E10" s="0" t="n">
        <f aca="false">-E6*E9/100</f>
        <v>-87.16644576</v>
      </c>
      <c r="F10" s="0" t="n">
        <f aca="false">-F6*F9/100</f>
        <v>-91.9606002768</v>
      </c>
      <c r="G10" s="0" t="n">
        <f aca="false">-G6*G9/100</f>
        <v>-96.55863029064</v>
      </c>
      <c r="H10" s="0" t="n">
        <f aca="false">-H6*H9/100</f>
        <v>-100.903768653719</v>
      </c>
      <c r="I10" s="0" t="n">
        <f aca="false">-I6*I9/100</f>
        <v>-105.444438243136</v>
      </c>
      <c r="J10" s="0" t="n">
        <f aca="false">-J6*J9/100</f>
        <v>-109.662215772862</v>
      </c>
      <c r="K10" s="0" t="n">
        <f aca="false">-K6*K9/100</f>
        <v>-114.048704403776</v>
      </c>
      <c r="L10" s="0" t="n">
        <f aca="false">-L6*L9/100</f>
        <v>-118.040409057908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31586.5008</v>
      </c>
      <c r="D11" s="0" t="n">
        <f aca="false">D8+D10+D24</f>
        <v>34619.880816</v>
      </c>
      <c r="E11" s="0" t="n">
        <f aca="false">E8+E10+E24</f>
        <v>37394.40523104</v>
      </c>
      <c r="F11" s="0" t="n">
        <f aca="false">F8+F10+F24</f>
        <v>39451.0975187472</v>
      </c>
      <c r="G11" s="0" t="n">
        <f aca="false">G8+G10+G24</f>
        <v>41423.6523946846</v>
      </c>
      <c r="H11" s="0" t="n">
        <f aca="false">H8+H10+H24</f>
        <v>43287.7167524454</v>
      </c>
      <c r="I11" s="0" t="n">
        <f aca="false">I8+I10+I24</f>
        <v>45235.6640063054</v>
      </c>
      <c r="J11" s="0" t="n">
        <f aca="false">J8+J10+J24</f>
        <v>47045.0905665576</v>
      </c>
      <c r="K11" s="0" t="n">
        <f aca="false">K8+K10+K24</f>
        <v>48926.8941892199</v>
      </c>
      <c r="L11" s="0" t="n">
        <f aca="false">L8+L10+L24</f>
        <v>50639.3354858426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31586.5008</v>
      </c>
      <c r="D13" s="0" t="n">
        <f aca="false">D11+D12</f>
        <v>34619.880816</v>
      </c>
      <c r="E13" s="0" t="n">
        <f aca="false">E11+E12</f>
        <v>37394.40523104</v>
      </c>
      <c r="F13" s="0" t="n">
        <f aca="false">F11+F12</f>
        <v>39451.0975187472</v>
      </c>
      <c r="G13" s="0" t="n">
        <f aca="false">G11+G12</f>
        <v>41423.6523946846</v>
      </c>
      <c r="H13" s="0" t="n">
        <f aca="false">H11+H12</f>
        <v>43287.7167524454</v>
      </c>
      <c r="I13" s="0" t="n">
        <f aca="false">I11+I12</f>
        <v>45235.6640063054</v>
      </c>
      <c r="J13" s="0" t="n">
        <f aca="false">J11+J12</f>
        <v>47045.0905665576</v>
      </c>
      <c r="K13" s="0" t="n">
        <f aca="false">K11+K12</f>
        <v>48926.8941892199</v>
      </c>
      <c r="L13" s="0" t="n">
        <f aca="false">L11+L12</f>
        <v>50639.3354858426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22.5</v>
      </c>
      <c r="D14" s="4" t="n">
        <f aca="false">Assumptions!D47</f>
        <v>22.5</v>
      </c>
      <c r="E14" s="4" t="n">
        <f aca="false">Assumptions!E47</f>
        <v>22.5</v>
      </c>
      <c r="F14" s="4" t="n">
        <f aca="false">Assumptions!F47</f>
        <v>22.5</v>
      </c>
      <c r="G14" s="4" t="n">
        <f aca="false">Assumptions!G47</f>
        <v>22.5</v>
      </c>
      <c r="H14" s="4" t="n">
        <f aca="false">Assumptions!H47</f>
        <v>22.5</v>
      </c>
      <c r="I14" s="4" t="n">
        <f aca="false">Assumptions!I47</f>
        <v>22.5</v>
      </c>
      <c r="J14" s="4" t="n">
        <f aca="false">Assumptions!J47</f>
        <v>22.5</v>
      </c>
      <c r="K14" s="4" t="n">
        <f aca="false">Assumptions!K47</f>
        <v>22.5</v>
      </c>
      <c r="L14" s="4" t="n">
        <f aca="false">Assumptions!L47</f>
        <v>22.5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24479.53812</v>
      </c>
      <c r="D15" s="0" t="n">
        <f aca="false">D13-MAX(0,D13)*D14/100</f>
        <v>26830.4076324</v>
      </c>
      <c r="E15" s="0" t="n">
        <f aca="false">E13-MAX(0,E13)*E14/100</f>
        <v>28980.664054056</v>
      </c>
      <c r="F15" s="0" t="n">
        <f aca="false">F13-MAX(0,F13)*F14/100</f>
        <v>30574.6005770291</v>
      </c>
      <c r="G15" s="0" t="n">
        <f aca="false">G13-MAX(0,G13)*G14/100</f>
        <v>32103.3306058805</v>
      </c>
      <c r="H15" s="0" t="n">
        <f aca="false">H13-MAX(0,H13)*H14/100</f>
        <v>33547.9804831452</v>
      </c>
      <c r="I15" s="0" t="n">
        <f aca="false">I13-MAX(0,I13)*I14/100</f>
        <v>35057.6396048867</v>
      </c>
      <c r="J15" s="0" t="n">
        <f aca="false">J13-MAX(0,J13)*J14/100</f>
        <v>36459.9451890822</v>
      </c>
      <c r="K15" s="0" t="n">
        <f aca="false">K13-MAX(0,K13)*K14/100</f>
        <v>37918.3429966455</v>
      </c>
      <c r="L15" s="0" t="n">
        <f aca="false">L13-MAX(0,L13)*L14/100</f>
        <v>39245.485001528</v>
      </c>
    </row>
    <row r="16" customFormat="false" ht="15" hidden="false" customHeight="false" outlineLevel="0" collapsed="false">
      <c r="A16" s="0" t="s">
        <v>119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-8092.59984</v>
      </c>
      <c r="D17" s="4" t="n">
        <f aca="false">-D6*Assumptions!D46/100</f>
        <v>-7647.622128</v>
      </c>
      <c r="E17" s="4" t="n">
        <f aca="false">-E6*Assumptions!E46/100</f>
        <v>-7008.182239104</v>
      </c>
      <c r="F17" s="4" t="n">
        <f aca="false">-F6*Assumptions!F46/100</f>
        <v>-6814.28048051088</v>
      </c>
      <c r="G17" s="4" t="n">
        <f aca="false">-G6*Assumptions!G46/100</f>
        <v>-6537.01927067633</v>
      </c>
      <c r="H17" s="4" t="n">
        <f aca="false">-H6*Assumptions!H46/100</f>
        <v>-6175.31064160759</v>
      </c>
      <c r="I17" s="4" t="n">
        <f aca="false">-I6*Assumptions!I46/100</f>
        <v>-6453.19962047993</v>
      </c>
      <c r="J17" s="4" t="n">
        <f aca="false">-J6*Assumptions!J46/100</f>
        <v>-5998.52320277553</v>
      </c>
      <c r="K17" s="4" t="n">
        <f aca="false">-K6*Assumptions!K46/100</f>
        <v>-6238.46413088655</v>
      </c>
      <c r="L17" s="4" t="n">
        <f aca="false">-L6*Assumptions!L46/100</f>
        <v>-5677.74367568539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16386.93828</v>
      </c>
      <c r="D19" s="0" t="n">
        <f aca="false">D15+D16+D17+D18</f>
        <v>19182.7855044</v>
      </c>
      <c r="E19" s="0" t="n">
        <f aca="false">E15+E16+E17+E18</f>
        <v>21972.481814952</v>
      </c>
      <c r="F19" s="0" t="n">
        <f aca="false">F15+F16+F17+F18</f>
        <v>23760.3200965182</v>
      </c>
      <c r="G19" s="0" t="n">
        <f aca="false">G15+G16+G17+G18</f>
        <v>25566.3113352042</v>
      </c>
      <c r="H19" s="0" t="n">
        <f aca="false">H15+H16+H17+H18</f>
        <v>27372.6698415376</v>
      </c>
      <c r="I19" s="0" t="n">
        <f aca="false">I15+I16+I17+I18</f>
        <v>28604.4399844068</v>
      </c>
      <c r="J19" s="0" t="n">
        <f aca="false">J15+J16+J17+J18</f>
        <v>30461.4219863066</v>
      </c>
      <c r="K19" s="0" t="n">
        <f aca="false">K15+K16+K17+K18</f>
        <v>31679.8788657589</v>
      </c>
      <c r="L19" s="0" t="n">
        <f aca="false">L15+L16+L17+L18</f>
        <v>33567.7413258427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0.91533180778032</v>
      </c>
      <c r="D20" s="0" t="n">
        <f aca="false">1/(1+$B$27/100)^D4</f>
        <v>0.837832318334389</v>
      </c>
      <c r="E20" s="0" t="n">
        <f aca="false">1/(1+$B$27/100)^E4</f>
        <v>0.766894570557793</v>
      </c>
      <c r="F20" s="0" t="n">
        <f aca="false">1/(1+$B$27/100)^F4</f>
        <v>0.701962993645578</v>
      </c>
      <c r="G20" s="0" t="n">
        <f aca="false">1/(1+$B$27/100)^G4</f>
        <v>0.642529055968492</v>
      </c>
      <c r="H20" s="0" t="n">
        <f aca="false">1/(1+$B$27/100)^H4</f>
        <v>0.588127282351022</v>
      </c>
      <c r="I20" s="0" t="n">
        <f aca="false">1/(1+$B$27/100)^I4</f>
        <v>0.538331608559288</v>
      </c>
      <c r="J20" s="0" t="n">
        <f aca="false">1/(1+$B$27/100)^J4</f>
        <v>0.492752044447861</v>
      </c>
      <c r="K20" s="0" t="n">
        <f aca="false">1/(1+$B$27/100)^K4</f>
        <v>0.451031619631909</v>
      </c>
      <c r="L20" s="0" t="n">
        <f aca="false">1/(1+$B$27/100)^L4</f>
        <v>0.412843587763762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14999.4858398169</v>
      </c>
      <c r="D21" s="0" t="n">
        <f aca="false">D19*D20</f>
        <v>16071.9576512628</v>
      </c>
      <c r="E21" s="0" t="n">
        <f aca="false">E19*E20</f>
        <v>16850.5770055665</v>
      </c>
      <c r="F21" s="0" t="n">
        <f aca="false">F19*F20</f>
        <v>16678.8654249291</v>
      </c>
      <c r="G21" s="0" t="n">
        <f aca="false">G19*G20</f>
        <v>16427.0978868053</v>
      </c>
      <c r="H21" s="0" t="n">
        <f aca="false">H19*H20</f>
        <v>16098.6139245953</v>
      </c>
      <c r="I21" s="0" t="n">
        <f aca="false">I19*I20</f>
        <v>15398.6741887433</v>
      </c>
      <c r="J21" s="0" t="n">
        <f aca="false">J19*J20</f>
        <v>15009.9279605416</v>
      </c>
      <c r="K21" s="0" t="n">
        <f aca="false">K19*K20</f>
        <v>14288.6270745659</v>
      </c>
      <c r="L21" s="0" t="n">
        <f aca="false">L19*L20</f>
        <v>13858.2267620868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9.25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155682.053718914</v>
      </c>
    </row>
    <row r="31" customFormat="false" ht="15" hidden="false" customHeight="false" outlineLevel="0" collapsed="false">
      <c r="A31" s="0" t="s">
        <v>128</v>
      </c>
      <c r="B31" s="0" t="n">
        <f aca="false">L19</f>
        <v>33567.7413258427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604219.343865168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503516.11988764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503516.11988764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207873.401431301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363555.455150215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364030.455150215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184.060637134373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-0.0593313377913193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603.001405097081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877.180067578239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184.809044695006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302109.671932584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98.3417293442531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112.573781700242</v>
      </c>
      <c r="C4" s="0" t="n">
        <f aca="false">B4/Assumptions!$B$2-1</f>
        <v>-0.424675312003671</v>
      </c>
      <c r="D4" s="4" t="n">
        <f aca="false">Assumptions!$B$24</f>
        <v>0.25</v>
      </c>
      <c r="E4" s="4" t="n">
        <f aca="false">DCF_Bear!$B$43</f>
        <v>113.052281852742</v>
      </c>
      <c r="F4" s="4" t="n">
        <f aca="false">DCF_Bear!$B$47</f>
        <v>74.3120690037811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156.805365539755</v>
      </c>
      <c r="C5" s="0" t="n">
        <f aca="false">B5/Assumptions!$B$2-1</f>
        <v>-0.198623368223257</v>
      </c>
      <c r="D5" s="4" t="n">
        <f aca="false">Assumptions!$B$38</f>
        <v>0.5</v>
      </c>
      <c r="E5" s="4" t="n">
        <f aca="false">DCF_Base!$B$43</f>
        <v>157.443094296633</v>
      </c>
      <c r="F5" s="4" t="n">
        <f aca="false">DCF_Base!$B$47</f>
        <v>88.3080204526567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184.060637134373</v>
      </c>
      <c r="C6" s="0" t="n">
        <f aca="false">B6/Assumptions!$B$2-1</f>
        <v>-0.0593313377913193</v>
      </c>
      <c r="D6" s="4" t="n">
        <f aca="false">Assumptions!$B$52</f>
        <v>0.25</v>
      </c>
      <c r="E6" s="4" t="n">
        <f aca="false">DCF_Bull!$B$43</f>
        <v>184.809044695006</v>
      </c>
      <c r="F6" s="4" t="n">
        <f aca="false">DCF_Bull!$B$47</f>
        <v>98.3417293442531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152.561287478531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153.186878785254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-0.28256652283126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87.3174598133369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162.511794741087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156.805365539755</v>
      </c>
      <c r="C16" s="3" t="n">
        <v>9.5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151.353780497484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135.237187575423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119.539250337041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88.3080204526567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181.301069527096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181.301069527096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181.301069527096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181.301069527096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181.301069527096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168.486747459336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168.486747459336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168.486747459336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168.486747459336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168.486747459336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154.390836753369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156.805365539755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156.805365539755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156.805365539755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156.805365539755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135.120592842088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139.598903090755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144.674321372578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146.144125761884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146.144125761884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119.966244127964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123.250550561801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126.921245987854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131.050778342164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135.730915010381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2026-10-04T07:46:20Z</dcterms:created>
  <dc:creator>openpyxl</dc:creator>
  <dc:description/>
  <dc:language>en-NZ</dc:language>
  <cp:lastModifiedBy/>
  <dcterms:modified xsi:type="dcterms:W3CDTF">2026-10-04T07:46:20Z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