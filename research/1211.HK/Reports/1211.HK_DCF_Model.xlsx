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<sst xmlns="http://schemas.openxmlformats.org/spreadsheetml/2006/main" count="392" uniqueCount="194">
  <si>
    <t xml:space="preserve">Ticker</t>
  </si>
  <si>
    <t xml:space="preserve">1211.HK</t>
  </si>
  <si>
    <t xml:space="preserve">Company</t>
  </si>
  <si>
    <t xml:space="preserve">BYD Company Limited</t>
  </si>
  <si>
    <t xml:space="preserve">Valuation date</t>
  </si>
  <si>
    <t xml:space="preserve">2026-10-11</t>
  </si>
  <si>
    <t xml:space="preserve">Current price</t>
  </si>
  <si>
    <t xml:space="preserve">Price as of</t>
  </si>
  <si>
    <t xml:space="preserve">2026-10-09T08:08:06Z regular close (HKEX, Friday); 52-week range HKD 71.4-113.4</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</si>
  <si>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</si>
  <si>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</si>
  <si>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</si>
  <si>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</si>
  <si>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</si>
  <si>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</si>
  <si>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</si>
  <si>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</si>
  <si>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</si>
  <si>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</si>
  <si>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</si>
  <si>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</si>
  <si>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</si>
  <si>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2026-10-11T01:45:39Z</t>
  </si>
  <si>
    <t xml:space="preserve">Drivers file</t>
  </si>
  <si>
    <t xml:space="preserve">1211.HK_Drivers.json</t>
  </si>
  <si>
    <t xml:space="preserve">Convention</t>
  </si>
  <si>
    <t xml:space="preserve">Percents stored as percents; formulas divide by 100. Blue = input, green = link, black = formula.</t>
  </si>
  <si>
    <t xml:space="preserve">Methodology</t>
  </si>
  <si>
    <t xml:space="preserve">summary: Component owner-FCF DCF in CNY at a single 10% CNY WACC over 10 years, converted to HKD at the observed CNY/HKD rate. Value turns on two things: how far capex intensity falls from the FY2025 19.5% peak toward D&amp;A, and where EBIT settles once the China price war and the overseas ramp net out. The bridge treats BYD on the broad net-cash definition (trading financial assets as cash), adds investment assets whose income is outside EBIT, and deducts the perpetual bonds and the BYD Electronic minority at market. Lead with the base case: the scenario tails are wide and the weighted mean sits close to it only because the weights are symmetric.
key_risks_to_valuation: Capex not falling: every 1pp of revenue in sustained capex is ~RMB 8-10bn/yr of owner FCF, roughly HKD 10/share of value at a 12x terminal cap.; EBIT margin: the base needs ~5.9% mature EBIT; FY2025 was 4.6% and the price war is not over.; FX: the RMB has appreciated ~7% vs HKD since July 2026; it raises the HKD value of RMB flows but compresses export margins and creates finance-line losses outside this model's EBIT.; EU trade policy: a PHEV duty extension plus further Hungary delay would hit the highest-margin growth market.; Working capital: BYD's negative working capital (supplier float) is being unwound under the 60-day payment pledge; a faster unwind is a direct cash outflow the base does not model.; Bridge items: trading financial assets (RMB 69.9bn) are treated as cash; if they are less liquid than disclosed, net debt is RMB ~62bn, ~HKD 8/share lower.</t>
  </si>
  <si>
    <t xml:space="preserve">Data sources</t>
  </si>
  <si>
    <t xml:space="preserve">price: Yahoo Finance chart API at inputs.price_as_of; 52-week range HKD 71.4-113.4. FX from Yahoo CNYHKD=X, cross-checked against CNY=X and HKD=X and the 002594.SZ A-share.
financials: 1211.HK_Metrics.csv (core_metrics, CNY millions) through H1/Q2 2026; FY2025 annual report (income statement, cash-flow reconciliation for D&amp;A, SBC note, dividend proposal); H1 2026 interim report (balance sheet at 30-Jun-2026, income statement, D&amp;A by segment, income tax note, SBC note 11, financing cash flows).
qualitative: 1211.HK_Analysis.json (refreshed October 2026): overseas guidance 1.9-2.0m units FY2026 and &gt;2.5m FY2027, Hungary delayed to Q4 2026, EU PHEV tariff risk, Q2 2026 margin recovery, September sales +17% YoY.</t>
  </si>
  <si>
    <t xml:space="preserve">Scenario narrative: bear</t>
  </si>
  <si>
    <t xml:space="preserve">The domestic price war and EU trade policy both bite: domestic sales keep falling against Geely, Xiaomi, Leapmotor and Huawei-backed brands, the EU extends anti-subsidy duties to the PHEVs BYD has used to route around BEV tariffs, Hungary slips again, and a strong RMB keeps generating FX losses on export receivables. FY2026 revenue falls 4% and growth never exceeds 3%; EBITDA compresses to 12.5% (mature EBIT ~3.9%), capex stays above D&amp;A, and the supplier-payment pledge drains working capital. Owner FCF stays positive but thin (~2.5% mature margin) -- not a solvency case, but the overcapacity case.</t>
  </si>
  <si>
    <t xml:space="preserve">Scenario narrative: base</t>
  </si>
  <si>
    <t xml:space="preserve">Overseas becomes the growth engine while China stabilises at a lower share: FY2026 revenue roughly flat at ~RMB 800bn (H1 -7%, H2 recovering on the strongest overseas months on record), then +8%/yr for two years as overseas deliveries move from 1.9-2.0m toward the &gt;2.5m FY2027 target, decelerating to 3%. EBIT recovers to ~5.3% in FY2026 from 4.6% (Q2 2026 net margin 4.2% vs 2.7% in Q1) and matures near 5.9%, below the FY2024 6.4% peak because the domestic price war does not fully end and the VAT super-deduction lapses. Capex falls from 19.5% of revenue (FY2025) to 8.5% as the overseas plant and charging build completes, turning owner FCF positive from FY2026 and to a ~4.2% mature margin, just under BYD's best-ever 4.6%.</t>
  </si>
  <si>
    <t xml:space="preserve">Scenario narrative: bull</t>
  </si>
  <si>
    <t xml:space="preserve">Overseas over-delivers and the Q2 2026 margin trough holds as the low: Hungary reaches series production in Q4 2026, neutralising EU BEV tariffs, overseas units clear 2.5m in FY2027, premium brands (Denza/FANGCHENGBAO/Yangwang) keep compounding and BESS stays global #1. Revenue grows 10-12% for three years and EBITDA holds ~16% before easing to 15.5% (mature EBIT ~7.4%). Working-capital float is partly rebuilt.</t>
  </si>
  <si>
    <t xml:space="preserve">Item</t>
  </si>
  <si>
    <t xml:space="preserve">Value</t>
  </si>
  <si>
    <t xml:space="preserve">Note</t>
  </si>
  <si>
    <t xml:space="preserve">Prior valuation_date</t>
  </si>
  <si>
    <t xml:space="preserve">2026-07-01</t>
  </si>
  <si>
    <t xml:space="preserve">Prior price_then</t>
  </si>
  <si>
    <t xml:space="preserve">Prior bear</t>
  </si>
  <si>
    <t xml:space="preserve">Prior base</t>
  </si>
  <si>
    <t xml:space="preserve">Prior bull</t>
  </si>
  <si>
    <t xml:space="preserve">Prior weighted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</si>
  <si>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</si>
  <si>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</si>
  <si>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</si>
  <si>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</si>
  <si>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</si>
  <si>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</si>
  <si>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</si>
  <si>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 (HKD, 2026-07-01, legacy 5-year FCF-margin model)</t>
  </si>
  <si>
    <t xml:space="preserve">FX: CNY/HKD 1.09 -&gt; 1.1721 (RMB appreciation; all CNY values translate ~7.5% higher)</t>
  </si>
  <si>
    <t xml:space="preserve">Anchor refresh: net cash Dec-25 +RMB10.1bn -&gt; Jun-26 -RMB0.3bn; BYDE minority at today's market (RMB17.2bn -&gt; 15.2bn); FY2025 final dividend paid Aug-26 (-RMB3.3bn); H1-26 FCF overlap add-back (+RMB7.4bn); net -RMB4.4bn</t>
  </si>
  <si>
    <t xml:space="preserve">Methodology, bridge: add investment assets whose income is outside EBIT (+RMB38.5bn: associates 22.4, FVOCI 12.8, FVTPL 3.3); deduct perpetual bonds in equity (-RMB20.8bn)</t>
  </si>
  <si>
    <t xml:space="preserve">Driver re-judgment + methodology switch to the 10-year component build, measured at the prior per-scenario WACC (11/10/12%) and terminal growth (3.0/3.5/2.5%): FY2026 growth +10% -&gt; 0% after H1 revenue -7.1%; FY2027-28 +8% (was +10%/+9%); explicit EBITDA/D&amp;A/capex/tax paths replace the asserted -7/-1/+2.5/+4/+5.5% FCF margins (base FY2026 owner FCF now +2.0% of revenue on H1 capex at 13% of revenue); 12x terminal cap binds in base and bull (bull 120.82 -&gt; 97.39). Not separable: the prior FCF-margin paths cannot be expressed in the component engine</t>
  </si>
  <si>
    <t xml:space="preserve">Methodology, discount rate: per-scenario 10/11/12% WACC -&gt; single 10% CNY WACC (adaptations 7f, risk charged once); terminal growth reset to 2.5/3.0/2.0% (CNY nominal). Mostly lifts the bear (12% -&gt; 10%)</t>
  </si>
  <si>
    <t xml:space="preserve">Price move 72.65 -&gt; 75.60 (memo: does not change IV)</t>
  </si>
  <si>
    <t xml:space="preserve">New weighted IV (HKD)</t>
  </si>
  <si>
    <t xml:space="preserve">ties to probability_weighted.weighted_iv; per scenario: bear 13.56 -&gt; 28.01, base 53.75 -&gt; 60.54, bull 120.82 -&gt; 97.39</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</si>
  <si>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</si>
  <si>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</si>
  <si>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</si>
  <si>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</si>
  <si>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</si>
  <si>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</si>
  <si>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</si>
  <si>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</si>
  <si>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</si>
  <si>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</si>
  <si>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</si>
  <si>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</si>
  <si>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</si>
  <si>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</si>
  <si>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</si>
  <si>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</si>
  <si>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</si>
  <si>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</si>
  <si>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</si>
  <si>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</si>
  <si>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</si>
  <si>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</si>
  <si>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</si>
  <si>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</si>
  <si>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</si>
  <si>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</si>
  <si>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</si>
  <si>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VehicleSales</t>
  </si>
  <si>
    <t xml:space="preserve">NEVSales</t>
  </si>
  <si>
    <t xml:space="preserve">RnDExpense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</si>
  <si>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</si>
  <si>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</si>
  <si>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</si>
  <si>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</si>
  <si>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</si>
  <si>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</si>
  <si>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</si>
  <si>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</si>
  <si>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</si>
  <si>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</si>
  <si>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</si>
  <si>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</si>
  <si>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</si>
  <si>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</si>
  <si>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</si>
  <si>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</si>
  <si>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</si>
  <si>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</si>
  <si>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</si>
  <si>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</si>
  <si>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</si>
  <si>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</si>
  <si>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</si>
  <si>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</si>
  <si>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</si>
  <si>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</si>
  <si>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</si>
  <si>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</si>
  <si>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</si>
  <si>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</si>
  <si>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</si>
  <si>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</si>
  <si>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</si>
  <si>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</si>
  <si>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</si>
  <si>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</si>
  <si>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</si>
  <si>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</si>
  <si>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</si>
  <si>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</si>
  <si>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</si>
  <si>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</si>
  <si>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</si>
  <si>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</si>
  <si>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</si>
  <si>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</si>
  <si>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</si>
  <si>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1211.HK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</si>
  <si>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</si>
  <si>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</si>
  <si>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</si>
  <si>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</si>
  <si>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</si>
  <si>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</si>
  <si>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</si>
  <si>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</si>
  <si>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</si>
  <si>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</si>
  <si>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</si>
  <si>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</si>
  <si>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</si>
  <si>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</si>
  <si>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</si>
  <si>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</si>
  <si>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</si>
  <si>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</si>
  <si>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</si>
  <si>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</si>
  <si>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</si>
  <si>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</si>
  <si>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</si>
  <si>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</si>
  <si>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</si>
  <si>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</si>
  <si>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</si>
  <si>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</si>
  <si>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</si>
  <si>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</si>
  <si>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1211.HK owner-FCF component DCF: base case (millions, CNY)</t>
  </si>
  <si>
    <t xml:space="preserve">1211.HK owner-FCF component DCF: bull case (millions, CNY)</t>
  </si>
  <si>
    <t xml:space="preserve">1211.HK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</si>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</sst>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75.6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37</v>
      </c>
      <c r="B1" s="2" t="s">
        <v>38</v>
      </c>
      <c r="C1" s="2" t="s">
        <v>39</v>
      </c>
    </row>
    <row r="2" customFormat="false" ht="15" hidden="false" customHeight="false" outlineLevel="0" collapsed="false">
      <c r="A2" s="0" t="s">
        <v>40</v>
      </c>
      <c r="B2" s="0" t="s">
        <v>41</v>
      </c>
    </row>
    <row r="3" customFormat="false" ht="15" hidden="false" customHeight="false" outlineLevel="0" collapsed="false">
      <c r="A3" s="0" t="s">
        <v>42</v>
      </c>
      <c r="B3" s="0" t="n">
        <v>72.65</v>
      </c>
    </row>
    <row r="4" customFormat="false" ht="15" hidden="false" customHeight="false" outlineLevel="0" collapsed="false">
      <c r="A4" s="0" t="s">
        <v>43</v>
      </c>
      <c r="B4" s="0" t="n">
        <v>13.56</v>
      </c>
    </row>
    <row r="5" customFormat="false" ht="15" hidden="false" customHeight="false" outlineLevel="0" collapsed="false">
      <c r="A5" s="0" t="s">
        <v>44</v>
      </c>
      <c r="B5" s="0" t="n">
        <v>53.75</v>
      </c>
    </row>
    <row r="6" customFormat="false" ht="15" hidden="false" customHeight="false" outlineLevel="0" collapsed="false">
      <c r="A6" s="0" t="s">
        <v>45</v>
      </c>
      <c r="B6" s="0" t="n">
        <v>120.82</v>
      </c>
    </row>
    <row r="7" customFormat="false" ht="15" hidden="false" customHeight="false" outlineLevel="0" collapsed="false">
      <c r="A7" s="0" t="s">
        <v>46</v>
      </c>
      <c r="B7" s="0" t="n">
        <v>60.47</v>
      </c>
    </row>
    <row r="8" customFormat="false" ht="15" hidden="false" customHeight="false" outlineLevel="0" collapsed="false">
      <c r="A8" s="0" t="s">
        <v>47</v>
      </c>
      <c r="B8" s="0" t="s">
        <v>5</v>
      </c>
    </row>
    <row r="9" customFormat="false" ht="15" hidden="false" customHeight="false" outlineLevel="0" collapsed="false">
      <c r="A9" s="0" t="s">
        <v>48</v>
      </c>
      <c r="B9" s="0" t="n">
        <v>75.6</v>
      </c>
    </row>
    <row r="10" customFormat="false" ht="15" hidden="false" customHeight="false" outlineLevel="0" collapsed="false">
      <c r="A10" s="0" t="s">
        <v>49</v>
      </c>
      <c r="B10" s="0" t="n">
        <v>28.01</v>
      </c>
    </row>
    <row r="11" customFormat="false" ht="15" hidden="false" customHeight="false" outlineLevel="0" collapsed="false">
      <c r="A11" s="0" t="s">
        <v>50</v>
      </c>
      <c r="B11" s="0" t="n">
        <v>60.54</v>
      </c>
    </row>
    <row r="12" customFormat="false" ht="15" hidden="false" customHeight="false" outlineLevel="0" collapsed="false">
      <c r="A12" s="0" t="s">
        <v>51</v>
      </c>
      <c r="B12" s="0" t="n">
        <v>97.39</v>
      </c>
    </row>
    <row r="13" customFormat="false" ht="15" hidden="false" customHeight="false" outlineLevel="0" collapsed="false">
      <c r="A13" s="0" t="s">
        <v>52</v>
      </c>
      <c r="B13" s="0" t="n">
        <v>61.62</v>
      </c>
    </row>
    <row r="15" customFormat="false" ht="15" hidden="false" customHeight="false" outlineLevel="0" collapsed="false">
      <c r="A15" s="2" t="s">
        <v>53</v>
      </c>
    </row>
    <row r="16" customFormat="false" ht="15" hidden="false" customHeight="false" outlineLevel="0" collapsed="false">
      <c r="A16" s="0" t="s">
        <v>54</v>
      </c>
      <c r="B16" s="0" t="n">
        <v>60.47</v>
      </c>
    </row>
    <row r="17" customFormat="false" ht="15" hidden="false" customHeight="false" outlineLevel="0" collapsed="false">
      <c r="A17" s="0" t="s">
        <v>55</v>
      </c>
      <c r="B17" s="0" t="n">
        <v>4.55</v>
      </c>
    </row>
    <row r="18" customFormat="false" ht="15" hidden="false" customHeight="false" outlineLevel="0" collapsed="false">
      <c r="A18" s="0" t="s">
        <v>56</v>
      </c>
      <c r="B18" s="0" t="n">
        <v>-0.57</v>
      </c>
    </row>
    <row r="19" customFormat="false" ht="15" hidden="false" customHeight="false" outlineLevel="0" collapsed="false">
      <c r="A19" s="0" t="s">
        <v>57</v>
      </c>
      <c r="B19" s="0" t="n">
        <v>2.27</v>
      </c>
    </row>
    <row r="20" customFormat="false" ht="15" hidden="false" customHeight="false" outlineLevel="0" collapsed="false">
      <c r="A20" s="0" t="s">
        <v>58</v>
      </c>
      <c r="B20" s="0" t="n">
        <v>-8.33</v>
      </c>
    </row>
    <row r="21" customFormat="false" ht="15" hidden="false" customHeight="false" outlineLevel="0" collapsed="false">
      <c r="A21" s="0" t="s">
        <v>59</v>
      </c>
      <c r="B21" s="0" t="n">
        <v>3.23</v>
      </c>
    </row>
    <row r="22" customFormat="false" ht="15" hidden="false" customHeight="false" outlineLevel="0" collapsed="false">
      <c r="A22" s="0" t="s">
        <v>60</v>
      </c>
      <c r="B22" s="0" t="n">
        <v>0</v>
      </c>
    </row>
    <row r="23" customFormat="false" ht="15" hidden="false" customHeight="false" outlineLevel="0" collapsed="false">
      <c r="A23" s="0" t="s">
        <v>61</v>
      </c>
      <c r="B23" s="0" t="n">
        <v>61.62</v>
      </c>
      <c r="C23" s="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63</v>
      </c>
      <c r="B1" s="2" t="s">
        <v>64</v>
      </c>
      <c r="C1" s="2" t="s">
        <v>65</v>
      </c>
      <c r="D1" s="2" t="s">
        <v>66</v>
      </c>
      <c r="E1" s="2" t="s">
        <v>67</v>
      </c>
      <c r="F1" s="2" t="s">
        <v>68</v>
      </c>
      <c r="G1" s="2" t="s">
        <v>69</v>
      </c>
      <c r="H1" s="2" t="s">
        <v>70</v>
      </c>
      <c r="I1" s="2" t="s">
        <v>71</v>
      </c>
      <c r="J1" s="2" t="s">
        <v>72</v>
      </c>
      <c r="K1" s="2" t="s">
        <v>73</v>
      </c>
      <c r="L1" s="2" t="s">
        <v>74</v>
      </c>
      <c r="M1" s="2" t="s">
        <v>75</v>
      </c>
      <c r="N1" s="2" t="s">
        <v>76</v>
      </c>
      <c r="O1" s="2" t="s">
        <v>77</v>
      </c>
      <c r="P1" s="2" t="s">
        <v>78</v>
      </c>
      <c r="Q1" s="2" t="s">
        <v>79</v>
      </c>
      <c r="R1" s="2" t="s">
        <v>80</v>
      </c>
      <c r="S1" s="2" t="s">
        <v>81</v>
      </c>
      <c r="T1" s="2" t="s">
        <v>82</v>
      </c>
      <c r="U1" s="2" t="s">
        <v>83</v>
      </c>
      <c r="V1" s="2" t="s">
        <v>84</v>
      </c>
      <c r="W1" s="2" t="s">
        <v>85</v>
      </c>
      <c r="X1" s="2" t="s">
        <v>86</v>
      </c>
      <c r="Y1" s="2" t="s">
        <v>87</v>
      </c>
      <c r="Z1" s="2" t="s">
        <v>88</v>
      </c>
      <c r="AA1" s="2" t="s">
        <v>17</v>
      </c>
      <c r="AB1" s="2" t="s">
        <v>89</v>
      </c>
      <c r="AC1" s="2" t="s">
        <v>90</v>
      </c>
      <c r="AD1" s="2" t="s">
        <v>91</v>
      </c>
      <c r="AE1" s="2" t="s">
        <v>92</v>
      </c>
    </row>
    <row r="2" customFormat="false" ht="15" hidden="false" customHeight="false" outlineLevel="0" collapsed="false">
      <c r="A2" s="0" t="s">
        <v>93</v>
      </c>
      <c r="B2" s="0" t="n">
        <v>77611.9</v>
      </c>
      <c r="D2" s="0" t="n">
        <v>11859.2</v>
      </c>
      <c r="E2" s="0" t="n">
        <v>15.3</v>
      </c>
      <c r="F2" s="0" t="n">
        <v>3795</v>
      </c>
      <c r="I2" s="0" t="n">
        <v>2823.4</v>
      </c>
      <c r="K2" s="0" t="n">
        <v>1.12</v>
      </c>
      <c r="L2" s="0" t="n">
        <v>3842.1</v>
      </c>
      <c r="M2" s="0" t="n">
        <v>4091</v>
      </c>
      <c r="N2" s="0" t="n">
        <v>-249</v>
      </c>
      <c r="O2" s="0" t="n">
        <v>32294.4</v>
      </c>
      <c r="R2" s="0" t="n">
        <v>37642</v>
      </c>
      <c r="S2" s="0" t="n">
        <v>6010.9</v>
      </c>
      <c r="T2" s="0" t="n">
        <v>2476</v>
      </c>
      <c r="AA2" s="0" t="s">
        <v>18</v>
      </c>
      <c r="AB2" s="0" t="s">
        <v>14</v>
      </c>
      <c r="AE2" s="0" t="n">
        <v>1998.5</v>
      </c>
    </row>
    <row r="3" customFormat="false" ht="15" hidden="false" customHeight="false" outlineLevel="0" collapsed="false">
      <c r="A3" s="0" t="s">
        <v>94</v>
      </c>
      <c r="B3" s="0" t="n">
        <v>100207.7</v>
      </c>
      <c r="D3" s="0" t="n">
        <v>19018.3</v>
      </c>
      <c r="E3" s="0" t="n">
        <v>19</v>
      </c>
      <c r="F3" s="0" t="n">
        <v>6568.4</v>
      </c>
      <c r="I3" s="0" t="n">
        <v>5052.2</v>
      </c>
      <c r="K3" s="0" t="n">
        <v>1.88</v>
      </c>
      <c r="L3" s="0" t="n">
        <v>-1845.6</v>
      </c>
      <c r="M3" s="0" t="n">
        <v>4839.1</v>
      </c>
      <c r="N3" s="0" t="n">
        <v>-6684.7</v>
      </c>
      <c r="O3" s="0" t="n">
        <v>51255.9</v>
      </c>
      <c r="R3" s="0" t="n">
        <v>32621</v>
      </c>
      <c r="S3" s="0" t="n">
        <v>7111.2</v>
      </c>
      <c r="T3" s="0" t="n">
        <v>2728.1</v>
      </c>
      <c r="AA3" s="0" t="s">
        <v>18</v>
      </c>
      <c r="AB3" s="0" t="s">
        <v>14</v>
      </c>
    </row>
    <row r="4" customFormat="false" ht="15" hidden="false" customHeight="false" outlineLevel="0" collapsed="false">
      <c r="A4" s="0" t="s">
        <v>95</v>
      </c>
      <c r="B4" s="0" t="n">
        <v>102650.6</v>
      </c>
      <c r="D4" s="0" t="n">
        <v>17935.1</v>
      </c>
      <c r="E4" s="0" t="n">
        <v>17.5</v>
      </c>
      <c r="F4" s="0" t="n">
        <v>5620.6</v>
      </c>
      <c r="I4" s="0" t="n">
        <v>4066.5</v>
      </c>
      <c r="K4" s="0" t="n">
        <v>1.4</v>
      </c>
      <c r="L4" s="0" t="n">
        <v>6367.9</v>
      </c>
      <c r="M4" s="0" t="n">
        <v>7436.2</v>
      </c>
      <c r="N4" s="0" t="n">
        <v>-1068.3</v>
      </c>
      <c r="O4" s="0" t="n">
        <v>55004.2</v>
      </c>
      <c r="R4" s="0" t="n">
        <v>35108</v>
      </c>
      <c r="S4" s="0" t="n">
        <v>8936</v>
      </c>
      <c r="T4" s="0" t="n">
        <v>2728.1</v>
      </c>
      <c r="AA4" s="0" t="s">
        <v>18</v>
      </c>
      <c r="AB4" s="0" t="s">
        <v>14</v>
      </c>
      <c r="AE4" s="0" t="n">
        <v>4989.4</v>
      </c>
    </row>
    <row r="5" customFormat="false" ht="15" hidden="false" customHeight="false" outlineLevel="0" collapsed="false">
      <c r="A5" s="0" t="s">
        <v>96</v>
      </c>
      <c r="B5" s="0" t="n">
        <v>121790.9</v>
      </c>
      <c r="D5" s="0" t="n">
        <v>18066.8</v>
      </c>
      <c r="E5" s="0" t="n">
        <v>14.8</v>
      </c>
      <c r="F5" s="0" t="n">
        <v>4385.6</v>
      </c>
      <c r="I5" s="0" t="n">
        <v>2780.2</v>
      </c>
      <c r="K5" s="0" t="n">
        <v>0.93</v>
      </c>
      <c r="L5" s="0" t="n">
        <v>12522.9</v>
      </c>
      <c r="M5" s="0" t="n">
        <v>10631.3</v>
      </c>
      <c r="N5" s="0" t="n">
        <v>1891.6</v>
      </c>
      <c r="O5" s="0" t="n">
        <v>55198.3</v>
      </c>
      <c r="R5" s="0" t="n">
        <v>38437</v>
      </c>
      <c r="S5" s="0" t="n">
        <v>11674.3</v>
      </c>
      <c r="T5" s="0" t="n">
        <v>2728.1</v>
      </c>
      <c r="AA5" s="0" t="s">
        <v>18</v>
      </c>
      <c r="AB5" s="0" t="s">
        <v>14</v>
      </c>
    </row>
    <row r="6" customFormat="false" ht="15" hidden="false" customHeight="false" outlineLevel="0" collapsed="false">
      <c r="A6" s="0" t="s">
        <v>97</v>
      </c>
      <c r="B6" s="0" t="n">
        <v>121778.1</v>
      </c>
      <c r="D6" s="0" t="n">
        <v>18076</v>
      </c>
      <c r="E6" s="0" t="n">
        <v>14.8</v>
      </c>
      <c r="F6" s="0" t="n">
        <v>2431.1</v>
      </c>
      <c r="I6" s="0" t="n">
        <v>1614.5</v>
      </c>
      <c r="K6" s="0" t="n">
        <v>0.5</v>
      </c>
      <c r="L6" s="0" t="n">
        <v>14741</v>
      </c>
      <c r="M6" s="0" t="n">
        <v>9528.2</v>
      </c>
      <c r="N6" s="0" t="n">
        <v>5212.8</v>
      </c>
      <c r="O6" s="0" t="n">
        <v>56762.3</v>
      </c>
      <c r="R6" s="0" t="n">
        <v>35989</v>
      </c>
      <c r="S6" s="0" t="n">
        <v>11674.3</v>
      </c>
      <c r="T6" s="0" t="n">
        <v>2728.1</v>
      </c>
      <c r="AA6" s="0" t="s">
        <v>18</v>
      </c>
      <c r="AB6" s="0" t="s">
        <v>14</v>
      </c>
      <c r="AE6" s="0" t="n">
        <v>5629.4</v>
      </c>
    </row>
    <row r="7" customFormat="false" ht="15" hidden="false" customHeight="false" outlineLevel="0" collapsed="false">
      <c r="A7" s="0" t="s">
        <v>98</v>
      </c>
      <c r="B7" s="0" t="n">
        <v>153469.2</v>
      </c>
      <c r="D7" s="0" t="n">
        <v>27243.6</v>
      </c>
      <c r="E7" s="0" t="n">
        <v>17.8</v>
      </c>
      <c r="F7" s="0" t="n">
        <v>6882.6</v>
      </c>
      <c r="I7" s="0" t="n">
        <v>4234.3</v>
      </c>
      <c r="K7" s="0" t="n">
        <v>1.47</v>
      </c>
      <c r="L7" s="0" t="n">
        <v>45392.7</v>
      </c>
      <c r="M7" s="0" t="n">
        <v>5964.5</v>
      </c>
      <c r="N7" s="0" t="n">
        <v>39428.2</v>
      </c>
      <c r="O7" s="0" t="n">
        <v>56874.3</v>
      </c>
      <c r="R7" s="0" t="n">
        <v>51270</v>
      </c>
      <c r="S7" s="0" t="n">
        <v>13738.5</v>
      </c>
      <c r="T7" s="0" t="n">
        <v>2728.1</v>
      </c>
      <c r="AA7" s="0" t="s">
        <v>18</v>
      </c>
      <c r="AB7" s="0" t="s">
        <v>14</v>
      </c>
      <c r="AE7" s="0" t="n">
        <v>7464.9</v>
      </c>
    </row>
    <row r="8" customFormat="false" ht="15" hidden="false" customHeight="false" outlineLevel="0" collapsed="false">
      <c r="A8" s="0" t="s">
        <v>99</v>
      </c>
      <c r="B8" s="0" t="n">
        <v>216142.4</v>
      </c>
      <c r="D8" s="0" t="n">
        <v>28144.7</v>
      </c>
      <c r="E8" s="0" t="n">
        <v>13</v>
      </c>
      <c r="F8" s="0" t="n">
        <v>4632</v>
      </c>
      <c r="I8" s="0" t="n">
        <v>3045.2</v>
      </c>
      <c r="K8" s="0" t="n">
        <v>1.06</v>
      </c>
      <c r="L8" s="0" t="n">
        <v>65466.7</v>
      </c>
      <c r="M8" s="0" t="n">
        <v>37343.6</v>
      </c>
      <c r="N8" s="0" t="n">
        <v>28123.1</v>
      </c>
      <c r="O8" s="0" t="n">
        <v>95069.7</v>
      </c>
      <c r="R8" s="0" t="n">
        <v>35392</v>
      </c>
      <c r="S8" s="0" t="n">
        <v>49819.9</v>
      </c>
      <c r="T8" s="0" t="n">
        <v>2911.1</v>
      </c>
      <c r="AA8" s="0" t="s">
        <v>18</v>
      </c>
      <c r="AB8" s="0" t="s">
        <v>14</v>
      </c>
      <c r="AE8" s="0" t="n">
        <v>7991</v>
      </c>
    </row>
    <row r="9" customFormat="false" ht="15" hidden="false" customHeight="false" outlineLevel="0" collapsed="false">
      <c r="A9" s="0" t="s">
        <v>100</v>
      </c>
      <c r="B9" s="0" t="n">
        <v>424060.6</v>
      </c>
      <c r="D9" s="0" t="n">
        <v>72245</v>
      </c>
      <c r="E9" s="0" t="n">
        <v>17</v>
      </c>
      <c r="F9" s="0" t="n">
        <v>21541.8</v>
      </c>
      <c r="I9" s="0" t="n">
        <v>16622.4</v>
      </c>
      <c r="K9" s="0" t="n">
        <v>5.71</v>
      </c>
      <c r="L9" s="0" t="n">
        <v>140837.7</v>
      </c>
      <c r="M9" s="0" t="n">
        <v>97456.9</v>
      </c>
      <c r="N9" s="0" t="n">
        <v>43381</v>
      </c>
      <c r="O9" s="0" t="n">
        <v>111029.3</v>
      </c>
      <c r="R9" s="0" t="n">
        <v>21829</v>
      </c>
      <c r="S9" s="0" t="n">
        <v>51471.3</v>
      </c>
      <c r="T9" s="0" t="n">
        <v>2911.1</v>
      </c>
      <c r="AA9" s="0" t="s">
        <v>18</v>
      </c>
      <c r="AB9" s="0" t="s">
        <v>14</v>
      </c>
      <c r="AE9" s="0" t="n">
        <v>18654.5</v>
      </c>
    </row>
    <row r="10" customFormat="false" ht="15" hidden="false" customHeight="false" outlineLevel="0" collapsed="false">
      <c r="A10" s="0" t="s">
        <v>101</v>
      </c>
      <c r="B10" s="0" t="n">
        <v>602315.4</v>
      </c>
      <c r="D10" s="0" t="n">
        <v>121757</v>
      </c>
      <c r="E10" s="0" t="n">
        <v>20.2</v>
      </c>
      <c r="F10" s="0" t="n">
        <v>38103.1</v>
      </c>
      <c r="I10" s="0" t="n">
        <v>30040.8</v>
      </c>
      <c r="K10" s="0" t="n">
        <v>10.32</v>
      </c>
      <c r="L10" s="0" t="n">
        <v>169725</v>
      </c>
      <c r="M10" s="0" t="n">
        <v>122093.5</v>
      </c>
      <c r="N10" s="0" t="n">
        <v>47631.5</v>
      </c>
      <c r="O10" s="0" t="n">
        <v>138810.1</v>
      </c>
      <c r="R10" s="0" t="n">
        <v>46885</v>
      </c>
      <c r="S10" s="0" t="n">
        <v>109094.4</v>
      </c>
      <c r="T10" s="0" t="n">
        <v>2911.1</v>
      </c>
      <c r="AA10" s="0" t="s">
        <v>18</v>
      </c>
      <c r="AB10" s="0" t="s">
        <v>14</v>
      </c>
      <c r="AE10" s="0" t="n">
        <v>39574.9</v>
      </c>
    </row>
    <row r="11" customFormat="false" ht="15" hidden="false" customHeight="false" outlineLevel="0" collapsed="false">
      <c r="A11" s="0" t="s">
        <v>102</v>
      </c>
      <c r="B11" s="0" t="n">
        <v>777102.5</v>
      </c>
      <c r="D11" s="0" t="n">
        <v>151055.8</v>
      </c>
      <c r="E11" s="0" t="n">
        <v>19.4</v>
      </c>
      <c r="F11" s="0" t="n">
        <v>50486</v>
      </c>
      <c r="I11" s="0" t="n">
        <v>40254.3</v>
      </c>
      <c r="K11" s="0" t="n">
        <v>13.84</v>
      </c>
      <c r="L11" s="0" t="n">
        <v>133453.9</v>
      </c>
      <c r="M11" s="0" t="n">
        <v>97359.8</v>
      </c>
      <c r="N11" s="0" t="n">
        <v>36093.5</v>
      </c>
      <c r="O11" s="0" t="n">
        <v>185251.1</v>
      </c>
      <c r="R11" s="0" t="n">
        <v>41651.9</v>
      </c>
      <c r="S11" s="0" t="n">
        <v>102256.5</v>
      </c>
      <c r="T11" s="0" t="n">
        <v>2909.3</v>
      </c>
      <c r="AA11" s="0" t="s">
        <v>18</v>
      </c>
      <c r="AB11" s="0" t="s">
        <v>14</v>
      </c>
      <c r="AE11" s="0" t="n">
        <v>53194.7</v>
      </c>
    </row>
    <row r="12" customFormat="false" ht="15" hidden="false" customHeight="false" outlineLevel="0" collapsed="false">
      <c r="A12" s="0" t="s">
        <v>103</v>
      </c>
      <c r="B12" s="0" t="n">
        <v>803965</v>
      </c>
      <c r="D12" s="0" t="n">
        <v>142659.8</v>
      </c>
      <c r="E12" s="0" t="n">
        <v>17.7</v>
      </c>
      <c r="F12" s="0" t="n">
        <v>40184.7</v>
      </c>
      <c r="I12" s="0" t="n">
        <v>32619</v>
      </c>
      <c r="K12" s="0" t="n">
        <v>3.58</v>
      </c>
      <c r="L12" s="0" t="n">
        <v>59135.5</v>
      </c>
      <c r="M12" s="0" t="n">
        <v>156807.9</v>
      </c>
      <c r="N12" s="0" t="n">
        <v>-97672.4</v>
      </c>
      <c r="O12" s="0" t="n">
        <v>246274.6</v>
      </c>
      <c r="R12" s="0" t="n">
        <v>110500.2</v>
      </c>
      <c r="S12" s="0" t="n">
        <v>68395.2</v>
      </c>
      <c r="T12" s="0" t="n">
        <v>9117.2</v>
      </c>
      <c r="AA12" s="0" t="s">
        <v>18</v>
      </c>
      <c r="AB12" s="0" t="s">
        <v>14</v>
      </c>
      <c r="AC12" s="0" t="n">
        <v>4600</v>
      </c>
      <c r="AD12" s="0" t="n">
        <v>4600</v>
      </c>
      <c r="AE12" s="0" t="n">
        <v>57978.1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104</v>
      </c>
      <c r="B1" s="2" t="s">
        <v>38</v>
      </c>
    </row>
    <row r="2" customFormat="false" ht="15" hidden="false" customHeight="false" outlineLevel="0" collapsed="false">
      <c r="A2" s="0" t="s">
        <v>105</v>
      </c>
      <c r="B2" s="3" t="n">
        <v>75.6</v>
      </c>
    </row>
    <row r="3" customFormat="false" ht="15" hidden="false" customHeight="false" outlineLevel="0" collapsed="false">
      <c r="A3" s="0" t="s">
        <v>106</v>
      </c>
      <c r="B3" s="3" t="n">
        <v>9117.2</v>
      </c>
    </row>
    <row r="4" customFormat="false" ht="15" hidden="false" customHeight="false" outlineLevel="0" collapsed="false">
      <c r="A4" s="0" t="s">
        <v>107</v>
      </c>
      <c r="B4" s="3" t="n">
        <v>345</v>
      </c>
    </row>
    <row r="5" customFormat="false" ht="15" hidden="false" customHeight="false" outlineLevel="0" collapsed="false">
      <c r="A5" s="0" t="s">
        <v>108</v>
      </c>
      <c r="B5" s="3" t="n">
        <v>6522</v>
      </c>
    </row>
    <row r="6" customFormat="false" ht="15" hidden="false" customHeight="false" outlineLevel="0" collapsed="false">
      <c r="A6" s="0" t="s">
        <v>109</v>
      </c>
      <c r="B6" s="3" t="n">
        <v>15</v>
      </c>
    </row>
    <row r="7" customFormat="false" ht="15" hidden="false" customHeight="false" outlineLevel="0" collapsed="false">
      <c r="A7" s="0" t="s">
        <v>110</v>
      </c>
      <c r="B7" s="3" t="n">
        <v>803965</v>
      </c>
    </row>
    <row r="8" customFormat="false" ht="15" hidden="false" customHeight="false" outlineLevel="0" collapsed="false">
      <c r="A8" s="0" t="s">
        <v>111</v>
      </c>
      <c r="B8" s="3" t="s">
        <v>103</v>
      </c>
    </row>
    <row r="9" customFormat="false" ht="15" hidden="false" customHeight="false" outlineLevel="0" collapsed="false">
      <c r="A9" s="0" t="s">
        <v>112</v>
      </c>
      <c r="B9" s="3" t="s">
        <v>113</v>
      </c>
    </row>
    <row r="10" customFormat="false" ht="15" hidden="false" customHeight="false" outlineLevel="0" collapsed="false">
      <c r="A10" s="0" t="s">
        <v>114</v>
      </c>
      <c r="B10" s="3" t="n">
        <v>1.1721</v>
      </c>
    </row>
    <row r="12" customFormat="false" ht="15" hidden="false" customHeight="false" outlineLevel="0" collapsed="false">
      <c r="A12" s="2" t="s">
        <v>115</v>
      </c>
      <c r="C12" s="2" t="s">
        <v>116</v>
      </c>
      <c r="D12" s="2" t="s">
        <v>117</v>
      </c>
      <c r="E12" s="2" t="s">
        <v>118</v>
      </c>
      <c r="F12" s="2" t="s">
        <v>119</v>
      </c>
      <c r="G12" s="2" t="s">
        <v>120</v>
      </c>
      <c r="H12" s="2" t="s">
        <v>121</v>
      </c>
      <c r="I12" s="2" t="s">
        <v>122</v>
      </c>
      <c r="J12" s="2" t="s">
        <v>123</v>
      </c>
      <c r="K12" s="2" t="s">
        <v>124</v>
      </c>
      <c r="L12" s="2" t="s">
        <v>125</v>
      </c>
    </row>
    <row r="13" customFormat="false" ht="15" hidden="false" customHeight="false" outlineLevel="0" collapsed="false">
      <c r="A13" s="0" t="s">
        <v>126</v>
      </c>
      <c r="C13" s="3" t="n">
        <v>-4</v>
      </c>
      <c r="D13" s="3" t="n">
        <v>2</v>
      </c>
      <c r="E13" s="3" t="n">
        <v>3</v>
      </c>
      <c r="F13" s="3" t="n">
        <v>3</v>
      </c>
      <c r="G13" s="3" t="n">
        <v>3</v>
      </c>
      <c r="H13" s="3" t="n">
        <v>2.5</v>
      </c>
      <c r="I13" s="3" t="n">
        <v>2.5</v>
      </c>
      <c r="J13" s="3" t="n">
        <v>2</v>
      </c>
      <c r="K13" s="3" t="n">
        <v>2</v>
      </c>
      <c r="L13" s="3" t="n">
        <v>2</v>
      </c>
    </row>
    <row r="14" customFormat="false" ht="15" hidden="false" customHeight="false" outlineLevel="0" collapsed="false">
      <c r="A14" s="0" t="s">
        <v>127</v>
      </c>
      <c r="C14" s="3" t="n">
        <v>15</v>
      </c>
      <c r="D14" s="3" t="n">
        <v>14</v>
      </c>
      <c r="E14" s="3" t="n">
        <v>13.5</v>
      </c>
      <c r="F14" s="3" t="n">
        <v>13</v>
      </c>
      <c r="G14" s="3" t="n">
        <v>13</v>
      </c>
      <c r="H14" s="3" t="n">
        <v>12.5</v>
      </c>
      <c r="I14" s="3" t="n">
        <v>12.5</v>
      </c>
      <c r="J14" s="3" t="n">
        <v>12.5</v>
      </c>
      <c r="K14" s="3" t="n">
        <v>12.5</v>
      </c>
      <c r="L14" s="3" t="n">
        <v>12.5</v>
      </c>
    </row>
    <row r="15" customFormat="false" ht="15" hidden="false" customHeight="false" outlineLevel="0" collapsed="false">
      <c r="A15" s="0" t="s">
        <v>128</v>
      </c>
      <c r="C15" s="3" t="n">
        <v>0.17</v>
      </c>
      <c r="D15" s="3" t="n">
        <v>0.17</v>
      </c>
      <c r="E15" s="3" t="n">
        <v>0.16</v>
      </c>
      <c r="F15" s="3" t="n">
        <v>0.16</v>
      </c>
      <c r="G15" s="3" t="n">
        <v>0.15</v>
      </c>
      <c r="H15" s="3" t="n">
        <v>0.15</v>
      </c>
      <c r="I15" s="3" t="n">
        <v>0.15</v>
      </c>
      <c r="J15" s="3" t="n">
        <v>0.15</v>
      </c>
      <c r="K15" s="3" t="n">
        <v>0.15</v>
      </c>
      <c r="L15" s="3" t="n">
        <v>0.15</v>
      </c>
    </row>
    <row r="16" customFormat="false" ht="15" hidden="false" customHeight="false" outlineLevel="0" collapsed="false">
      <c r="A16" s="0" t="s">
        <v>129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130</v>
      </c>
      <c r="C17" s="3" t="n">
        <v>10.5</v>
      </c>
      <c r="D17" s="3" t="n">
        <v>10.5</v>
      </c>
      <c r="E17" s="3" t="n">
        <v>10</v>
      </c>
      <c r="F17" s="3" t="n">
        <v>9.5</v>
      </c>
      <c r="G17" s="3" t="n">
        <v>9</v>
      </c>
      <c r="H17" s="3" t="n">
        <v>9</v>
      </c>
      <c r="I17" s="3" t="n">
        <v>8.5</v>
      </c>
      <c r="J17" s="3" t="n">
        <v>8.5</v>
      </c>
      <c r="K17" s="3" t="n">
        <v>8.5</v>
      </c>
      <c r="L17" s="3" t="n">
        <v>8.5</v>
      </c>
    </row>
    <row r="18" customFormat="false" ht="15" hidden="false" customHeight="false" outlineLevel="0" collapsed="false">
      <c r="A18" s="0" t="s">
        <v>131</v>
      </c>
      <c r="C18" s="3" t="n">
        <v>12.5</v>
      </c>
      <c r="D18" s="3" t="n">
        <v>11.5</v>
      </c>
      <c r="E18" s="3" t="n">
        <v>10.5</v>
      </c>
      <c r="F18" s="3" t="n">
        <v>10</v>
      </c>
      <c r="G18" s="3" t="n">
        <v>9.5</v>
      </c>
      <c r="H18" s="3" t="n">
        <v>9</v>
      </c>
      <c r="I18" s="3" t="n">
        <v>9</v>
      </c>
      <c r="J18" s="3" t="n">
        <v>9</v>
      </c>
      <c r="K18" s="3" t="n">
        <v>9</v>
      </c>
      <c r="L18" s="3" t="n">
        <v>9</v>
      </c>
    </row>
    <row r="19" customFormat="false" ht="15" hidden="false" customHeight="false" outlineLevel="0" collapsed="false">
      <c r="A19" s="0" t="s">
        <v>132</v>
      </c>
      <c r="C19" s="3" t="n">
        <v>25</v>
      </c>
      <c r="D19" s="3" t="n">
        <v>23</v>
      </c>
      <c r="E19" s="3" t="n">
        <v>22</v>
      </c>
      <c r="F19" s="3" t="n">
        <v>21</v>
      </c>
      <c r="G19" s="3" t="n">
        <v>20</v>
      </c>
      <c r="H19" s="3" t="n">
        <v>20</v>
      </c>
      <c r="I19" s="3" t="n">
        <v>20</v>
      </c>
      <c r="J19" s="3" t="n">
        <v>20</v>
      </c>
      <c r="K19" s="3" t="n">
        <v>20</v>
      </c>
      <c r="L19" s="3" t="n">
        <v>20</v>
      </c>
    </row>
    <row r="20" customFormat="false" ht="15" hidden="false" customHeight="false" outlineLevel="0" collapsed="false">
      <c r="A20" s="0" t="s">
        <v>133</v>
      </c>
      <c r="B20" s="3" t="n">
        <v>10</v>
      </c>
    </row>
    <row r="21" customFormat="false" ht="15" hidden="false" customHeight="false" outlineLevel="0" collapsed="false">
      <c r="A21" s="0" t="s">
        <v>134</v>
      </c>
      <c r="B21" s="3" t="n">
        <v>2</v>
      </c>
    </row>
    <row r="22" customFormat="false" ht="15" hidden="false" customHeight="false" outlineLevel="0" collapsed="false">
      <c r="A22" s="0" t="s">
        <v>135</v>
      </c>
      <c r="B22" s="3" t="n">
        <v>12</v>
      </c>
    </row>
    <row r="23" customFormat="false" ht="15" hidden="false" customHeight="false" outlineLevel="0" collapsed="false">
      <c r="A23" s="0" t="s">
        <v>136</v>
      </c>
      <c r="B23" s="3" t="n">
        <v>-10</v>
      </c>
    </row>
    <row r="24" customFormat="false" ht="15" hidden="false" customHeight="false" outlineLevel="0" collapsed="false">
      <c r="A24" s="0" t="s">
        <v>137</v>
      </c>
      <c r="B24" s="3" t="n">
        <v>0.25</v>
      </c>
    </row>
    <row r="26" customFormat="false" ht="15" hidden="false" customHeight="false" outlineLevel="0" collapsed="false">
      <c r="A26" s="2" t="s">
        <v>138</v>
      </c>
      <c r="C26" s="2" t="s">
        <v>116</v>
      </c>
      <c r="D26" s="2" t="s">
        <v>117</v>
      </c>
      <c r="E26" s="2" t="s">
        <v>118</v>
      </c>
      <c r="F26" s="2" t="s">
        <v>119</v>
      </c>
      <c r="G26" s="2" t="s">
        <v>120</v>
      </c>
      <c r="H26" s="2" t="s">
        <v>121</v>
      </c>
      <c r="I26" s="2" t="s">
        <v>122</v>
      </c>
      <c r="J26" s="2" t="s">
        <v>123</v>
      </c>
      <c r="K26" s="2" t="s">
        <v>124</v>
      </c>
      <c r="L26" s="2" t="s">
        <v>125</v>
      </c>
    </row>
    <row r="27" customFormat="false" ht="15" hidden="false" customHeight="false" outlineLevel="0" collapsed="false">
      <c r="A27" s="0" t="s">
        <v>126</v>
      </c>
      <c r="C27" s="3" t="n">
        <v>0</v>
      </c>
      <c r="D27" s="3" t="n">
        <v>8</v>
      </c>
      <c r="E27" s="3" t="n">
        <v>8</v>
      </c>
      <c r="F27" s="3" t="n">
        <v>7</v>
      </c>
      <c r="G27" s="3" t="n">
        <v>6</v>
      </c>
      <c r="H27" s="3" t="n">
        <v>5</v>
      </c>
      <c r="I27" s="3" t="n">
        <v>4</v>
      </c>
      <c r="J27" s="3" t="n">
        <v>3.5</v>
      </c>
      <c r="K27" s="3" t="n">
        <v>3</v>
      </c>
      <c r="L27" s="3" t="n">
        <v>3</v>
      </c>
    </row>
    <row r="28" customFormat="false" ht="15" hidden="false" customHeight="false" outlineLevel="0" collapsed="false">
      <c r="A28" s="0" t="s">
        <v>127</v>
      </c>
      <c r="C28" s="3" t="n">
        <v>16</v>
      </c>
      <c r="D28" s="3" t="n">
        <v>15.5</v>
      </c>
      <c r="E28" s="3" t="n">
        <v>15</v>
      </c>
      <c r="F28" s="3" t="n">
        <v>14.5</v>
      </c>
      <c r="G28" s="3" t="n">
        <v>14.5</v>
      </c>
      <c r="H28" s="3" t="n">
        <v>14</v>
      </c>
      <c r="I28" s="3" t="n">
        <v>14</v>
      </c>
      <c r="J28" s="3" t="n">
        <v>14</v>
      </c>
      <c r="K28" s="3" t="n">
        <v>14</v>
      </c>
      <c r="L28" s="3" t="n">
        <v>14</v>
      </c>
    </row>
    <row r="29" customFormat="false" ht="15" hidden="false" customHeight="false" outlineLevel="0" collapsed="false">
      <c r="A29" s="0" t="s">
        <v>128</v>
      </c>
      <c r="C29" s="3" t="n">
        <v>0.17</v>
      </c>
      <c r="D29" s="3" t="n">
        <v>0.17</v>
      </c>
      <c r="E29" s="3" t="n">
        <v>0.16</v>
      </c>
      <c r="F29" s="3" t="n">
        <v>0.16</v>
      </c>
      <c r="G29" s="3" t="n">
        <v>0.15</v>
      </c>
      <c r="H29" s="3" t="n">
        <v>0.15</v>
      </c>
      <c r="I29" s="3" t="n">
        <v>0.15</v>
      </c>
      <c r="J29" s="3" t="n">
        <v>0.15</v>
      </c>
      <c r="K29" s="3" t="n">
        <v>0.15</v>
      </c>
      <c r="L29" s="3" t="n">
        <v>0.15</v>
      </c>
    </row>
    <row r="30" customFormat="false" ht="15" hidden="false" customHeight="false" outlineLevel="0" collapsed="false">
      <c r="A30" s="0" t="s">
        <v>129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130</v>
      </c>
      <c r="C31" s="3" t="n">
        <v>10.5</v>
      </c>
      <c r="D31" s="3" t="n">
        <v>10</v>
      </c>
      <c r="E31" s="3" t="n">
        <v>9.5</v>
      </c>
      <c r="F31" s="3" t="n">
        <v>9</v>
      </c>
      <c r="G31" s="3" t="n">
        <v>8.5</v>
      </c>
      <c r="H31" s="3" t="n">
        <v>8.5</v>
      </c>
      <c r="I31" s="3" t="n">
        <v>8</v>
      </c>
      <c r="J31" s="3" t="n">
        <v>8</v>
      </c>
      <c r="K31" s="3" t="n">
        <v>8</v>
      </c>
      <c r="L31" s="3" t="n">
        <v>8</v>
      </c>
    </row>
    <row r="32" customFormat="false" ht="15" hidden="false" customHeight="false" outlineLevel="0" collapsed="false">
      <c r="A32" s="0" t="s">
        <v>131</v>
      </c>
      <c r="C32" s="3" t="n">
        <v>12.5</v>
      </c>
      <c r="D32" s="3" t="n">
        <v>11.5</v>
      </c>
      <c r="E32" s="3" t="n">
        <v>10.5</v>
      </c>
      <c r="F32" s="3" t="n">
        <v>10</v>
      </c>
      <c r="G32" s="3" t="n">
        <v>9.5</v>
      </c>
      <c r="H32" s="3" t="n">
        <v>9</v>
      </c>
      <c r="I32" s="3" t="n">
        <v>8.5</v>
      </c>
      <c r="J32" s="3" t="n">
        <v>8.5</v>
      </c>
      <c r="K32" s="3" t="n">
        <v>8.5</v>
      </c>
      <c r="L32" s="3" t="n">
        <v>8.5</v>
      </c>
    </row>
    <row r="33" customFormat="false" ht="15" hidden="false" customHeight="false" outlineLevel="0" collapsed="false">
      <c r="A33" s="0" t="s">
        <v>132</v>
      </c>
      <c r="C33" s="3" t="n">
        <v>25</v>
      </c>
      <c r="D33" s="3" t="n">
        <v>22</v>
      </c>
      <c r="E33" s="3" t="n">
        <v>20</v>
      </c>
      <c r="F33" s="3" t="n">
        <v>20</v>
      </c>
      <c r="G33" s="3" t="n">
        <v>20</v>
      </c>
      <c r="H33" s="3" t="n">
        <v>20</v>
      </c>
      <c r="I33" s="3" t="n">
        <v>20</v>
      </c>
      <c r="J33" s="3" t="n">
        <v>20</v>
      </c>
      <c r="K33" s="3" t="n">
        <v>20</v>
      </c>
      <c r="L33" s="3" t="n">
        <v>20</v>
      </c>
    </row>
    <row r="34" customFormat="false" ht="15" hidden="false" customHeight="false" outlineLevel="0" collapsed="false">
      <c r="A34" s="0" t="s">
        <v>133</v>
      </c>
      <c r="B34" s="3" t="n">
        <v>10</v>
      </c>
    </row>
    <row r="35" customFormat="false" ht="15" hidden="false" customHeight="false" outlineLevel="0" collapsed="false">
      <c r="A35" s="0" t="s">
        <v>134</v>
      </c>
      <c r="B35" s="3" t="n">
        <v>2.5</v>
      </c>
    </row>
    <row r="36" customFormat="false" ht="15" hidden="false" customHeight="false" outlineLevel="0" collapsed="false">
      <c r="A36" s="0" t="s">
        <v>135</v>
      </c>
      <c r="B36" s="3" t="n">
        <v>12</v>
      </c>
    </row>
    <row r="37" customFormat="false" ht="15" hidden="false" customHeight="false" outlineLevel="0" collapsed="false">
      <c r="A37" s="0" t="s">
        <v>136</v>
      </c>
      <c r="B37" s="3" t="n">
        <v>0</v>
      </c>
    </row>
    <row r="38" customFormat="false" ht="15" hidden="false" customHeight="false" outlineLevel="0" collapsed="false">
      <c r="A38" s="0" t="s">
        <v>137</v>
      </c>
      <c r="B38" s="3" t="n">
        <v>0.5</v>
      </c>
    </row>
    <row r="40" customFormat="false" ht="15" hidden="false" customHeight="false" outlineLevel="0" collapsed="false">
      <c r="A40" s="2" t="s">
        <v>139</v>
      </c>
      <c r="C40" s="2" t="s">
        <v>116</v>
      </c>
      <c r="D40" s="2" t="s">
        <v>117</v>
      </c>
      <c r="E40" s="2" t="s">
        <v>118</v>
      </c>
      <c r="F40" s="2" t="s">
        <v>119</v>
      </c>
      <c r="G40" s="2" t="s">
        <v>120</v>
      </c>
      <c r="H40" s="2" t="s">
        <v>121</v>
      </c>
      <c r="I40" s="2" t="s">
        <v>122</v>
      </c>
      <c r="J40" s="2" t="s">
        <v>123</v>
      </c>
      <c r="K40" s="2" t="s">
        <v>124</v>
      </c>
      <c r="L40" s="2" t="s">
        <v>125</v>
      </c>
    </row>
    <row r="41" customFormat="false" ht="15" hidden="false" customHeight="false" outlineLevel="0" collapsed="false">
      <c r="A41" s="0" t="s">
        <v>126</v>
      </c>
      <c r="C41" s="3" t="n">
        <v>3</v>
      </c>
      <c r="D41" s="3" t="n">
        <v>12</v>
      </c>
      <c r="E41" s="3" t="n">
        <v>11</v>
      </c>
      <c r="F41" s="3" t="n">
        <v>10</v>
      </c>
      <c r="G41" s="3" t="n">
        <v>8</v>
      </c>
      <c r="H41" s="3" t="n">
        <v>7</v>
      </c>
      <c r="I41" s="3" t="n">
        <v>6</v>
      </c>
      <c r="J41" s="3" t="n">
        <v>5</v>
      </c>
      <c r="K41" s="3" t="n">
        <v>4</v>
      </c>
      <c r="L41" s="3" t="n">
        <v>3</v>
      </c>
    </row>
    <row r="42" customFormat="false" ht="15" hidden="false" customHeight="false" outlineLevel="0" collapsed="false">
      <c r="A42" s="0" t="s">
        <v>127</v>
      </c>
      <c r="C42" s="3" t="n">
        <v>16.5</v>
      </c>
      <c r="D42" s="3" t="n">
        <v>16.5</v>
      </c>
      <c r="E42" s="3" t="n">
        <v>16.5</v>
      </c>
      <c r="F42" s="3" t="n">
        <v>16</v>
      </c>
      <c r="G42" s="3" t="n">
        <v>16</v>
      </c>
      <c r="H42" s="3" t="n">
        <v>15.5</v>
      </c>
      <c r="I42" s="3" t="n">
        <v>15.5</v>
      </c>
      <c r="J42" s="3" t="n">
        <v>15.5</v>
      </c>
      <c r="K42" s="3" t="n">
        <v>15.5</v>
      </c>
      <c r="L42" s="3" t="n">
        <v>15.5</v>
      </c>
    </row>
    <row r="43" customFormat="false" ht="15" hidden="false" customHeight="false" outlineLevel="0" collapsed="false">
      <c r="A43" s="0" t="s">
        <v>128</v>
      </c>
      <c r="C43" s="3" t="n">
        <v>0.17</v>
      </c>
      <c r="D43" s="3" t="n">
        <v>0.17</v>
      </c>
      <c r="E43" s="3" t="n">
        <v>0.16</v>
      </c>
      <c r="F43" s="3" t="n">
        <v>0.16</v>
      </c>
      <c r="G43" s="3" t="n">
        <v>0.15</v>
      </c>
      <c r="H43" s="3" t="n">
        <v>0.15</v>
      </c>
      <c r="I43" s="3" t="n">
        <v>0.15</v>
      </c>
      <c r="J43" s="3" t="n">
        <v>0.15</v>
      </c>
      <c r="K43" s="3" t="n">
        <v>0.15</v>
      </c>
      <c r="L43" s="3" t="n">
        <v>0.15</v>
      </c>
    </row>
    <row r="44" customFormat="false" ht="15" hidden="false" customHeight="false" outlineLevel="0" collapsed="false">
      <c r="A44" s="0" t="s">
        <v>129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130</v>
      </c>
      <c r="C45" s="3" t="n">
        <v>10.5</v>
      </c>
      <c r="D45" s="3" t="n">
        <v>10</v>
      </c>
      <c r="E45" s="3" t="n">
        <v>9.5</v>
      </c>
      <c r="F45" s="3" t="n">
        <v>9</v>
      </c>
      <c r="G45" s="3" t="n">
        <v>8.5</v>
      </c>
      <c r="H45" s="3" t="n">
        <v>8.5</v>
      </c>
      <c r="I45" s="3" t="n">
        <v>8</v>
      </c>
      <c r="J45" s="3" t="n">
        <v>8</v>
      </c>
      <c r="K45" s="3" t="n">
        <v>8</v>
      </c>
      <c r="L45" s="3" t="n">
        <v>8</v>
      </c>
    </row>
    <row r="46" customFormat="false" ht="15" hidden="false" customHeight="false" outlineLevel="0" collapsed="false">
      <c r="A46" s="0" t="s">
        <v>131</v>
      </c>
      <c r="C46" s="3" t="n">
        <v>12.5</v>
      </c>
      <c r="D46" s="3" t="n">
        <v>11.5</v>
      </c>
      <c r="E46" s="3" t="n">
        <v>10.5</v>
      </c>
      <c r="F46" s="3" t="n">
        <v>10</v>
      </c>
      <c r="G46" s="3" t="n">
        <v>9.5</v>
      </c>
      <c r="H46" s="3" t="n">
        <v>9</v>
      </c>
      <c r="I46" s="3" t="n">
        <v>8.5</v>
      </c>
      <c r="J46" s="3" t="n">
        <v>8.5</v>
      </c>
      <c r="K46" s="3" t="n">
        <v>8.5</v>
      </c>
      <c r="L46" s="3" t="n">
        <v>8.5</v>
      </c>
    </row>
    <row r="47" customFormat="false" ht="15" hidden="false" customHeight="false" outlineLevel="0" collapsed="false">
      <c r="A47" s="0" t="s">
        <v>132</v>
      </c>
      <c r="C47" s="3" t="n">
        <v>25</v>
      </c>
      <c r="D47" s="3" t="n">
        <v>22</v>
      </c>
      <c r="E47" s="3" t="n">
        <v>20</v>
      </c>
      <c r="F47" s="3" t="n">
        <v>20</v>
      </c>
      <c r="G47" s="3" t="n">
        <v>20</v>
      </c>
      <c r="H47" s="3" t="n">
        <v>20</v>
      </c>
      <c r="I47" s="3" t="n">
        <v>20</v>
      </c>
      <c r="J47" s="3" t="n">
        <v>20</v>
      </c>
      <c r="K47" s="3" t="n">
        <v>20</v>
      </c>
      <c r="L47" s="3" t="n">
        <v>20</v>
      </c>
    </row>
    <row r="48" customFormat="false" ht="15" hidden="false" customHeight="false" outlineLevel="0" collapsed="false">
      <c r="A48" s="0" t="s">
        <v>133</v>
      </c>
      <c r="B48" s="3" t="n">
        <v>10</v>
      </c>
    </row>
    <row r="49" customFormat="false" ht="15" hidden="false" customHeight="false" outlineLevel="0" collapsed="false">
      <c r="A49" s="0" t="s">
        <v>134</v>
      </c>
      <c r="B49" s="3" t="n">
        <v>3</v>
      </c>
    </row>
    <row r="50" customFormat="false" ht="15" hidden="false" customHeight="false" outlineLevel="0" collapsed="false">
      <c r="A50" s="0" t="s">
        <v>135</v>
      </c>
      <c r="B50" s="3" t="n">
        <v>12</v>
      </c>
    </row>
    <row r="51" customFormat="false" ht="15" hidden="false" customHeight="false" outlineLevel="0" collapsed="false">
      <c r="A51" s="0" t="s">
        <v>136</v>
      </c>
      <c r="B51" s="3" t="n">
        <v>5</v>
      </c>
    </row>
    <row r="52" customFormat="false" ht="15" hidden="false" customHeight="false" outlineLevel="0" collapsed="false">
      <c r="A52" s="0" t="s">
        <v>137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Assumptions!C13</f>
        <v>-4</v>
      </c>
      <c r="D5" s="4" t="n">
        <f aca="false">Assumptions!D13</f>
        <v>2</v>
      </c>
      <c r="E5" s="4" t="n">
        <f aca="false">Assumptions!E13</f>
        <v>3</v>
      </c>
      <c r="F5" s="4" t="n">
        <f aca="false">Assumptions!F13</f>
        <v>3</v>
      </c>
      <c r="G5" s="4" t="n">
        <f aca="false">Assumptions!G13</f>
        <v>3</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64</v>
      </c>
      <c r="B6" s="3" t="n">
        <v>803965</v>
      </c>
      <c r="C6" s="0" t="n">
        <f aca="false">B6*(1+C5/100)</f>
        <v>771806.4</v>
      </c>
      <c r="D6" s="0" t="n">
        <f aca="false">C6*(1+D5/100)</f>
        <v>787242.528</v>
      </c>
      <c r="E6" s="0" t="n">
        <f aca="false">D6*(1+E5/100)</f>
        <v>810859.80384</v>
      </c>
      <c r="F6" s="0" t="n">
        <f aca="false">E6*(1+F5/100)</f>
        <v>835185.5979552</v>
      </c>
      <c r="G6" s="0" t="n">
        <f aca="false">F6*(1+G5/100)</f>
        <v>860241.165893856</v>
      </c>
      <c r="H6" s="0" t="n">
        <f aca="false">G6*(1+H5/100)</f>
        <v>881747.195041203</v>
      </c>
      <c r="I6" s="0" t="n">
        <f aca="false">H6*(1+I5/100)</f>
        <v>903790.874917232</v>
      </c>
      <c r="J6" s="0" t="n">
        <f aca="false">I6*(1+J5/100)</f>
        <v>921866.692415577</v>
      </c>
      <c r="K6" s="0" t="n">
        <f aca="false">J6*(1+K5/100)</f>
        <v>940304.026263889</v>
      </c>
      <c r="L6" s="0" t="n">
        <f aca="false">K6*(1+L5/100)</f>
        <v>959110.106789167</v>
      </c>
    </row>
    <row r="7" customFormat="false" ht="15" hidden="false" customHeight="false" outlineLevel="0" collapsed="false">
      <c r="A7" s="0" t="s">
        <v>127</v>
      </c>
      <c r="C7" s="4" t="n">
        <f aca="false">Assumptions!C14</f>
        <v>15</v>
      </c>
      <c r="D7" s="4" t="n">
        <f aca="false">Assumptions!D14</f>
        <v>14</v>
      </c>
      <c r="E7" s="4" t="n">
        <f aca="false">Assumptions!E14</f>
        <v>13.5</v>
      </c>
      <c r="F7" s="4" t="n">
        <f aca="false">Assumptions!F14</f>
        <v>13</v>
      </c>
      <c r="G7" s="4" t="n">
        <f aca="false">Assumptions!G14</f>
        <v>13</v>
      </c>
      <c r="H7" s="4" t="n">
        <f aca="false">Assumptions!H14</f>
        <v>12.5</v>
      </c>
      <c r="I7" s="4" t="n">
        <f aca="false">Assumptions!I14</f>
        <v>12.5</v>
      </c>
      <c r="J7" s="4" t="n">
        <f aca="false">Assumptions!J14</f>
        <v>12.5</v>
      </c>
      <c r="K7" s="4" t="n">
        <f aca="false">Assumptions!K14</f>
        <v>12.5</v>
      </c>
      <c r="L7" s="4" t="n">
        <f aca="false">Assumptions!L14</f>
        <v>12.5</v>
      </c>
    </row>
    <row r="8" customFormat="false" ht="15" hidden="false" customHeight="false" outlineLevel="0" collapsed="false">
      <c r="A8" s="0" t="s">
        <v>70</v>
      </c>
      <c r="C8" s="0" t="n">
        <f aca="false">C6*C7/100</f>
        <v>115770.96</v>
      </c>
      <c r="D8" s="0" t="n">
        <f aca="false">D6*D7/100</f>
        <v>110213.95392</v>
      </c>
      <c r="E8" s="0" t="n">
        <f aca="false">E6*E7/100</f>
        <v>109466.0735184</v>
      </c>
      <c r="F8" s="0" t="n">
        <f aca="false">F6*F7/100</f>
        <v>108574.127734176</v>
      </c>
      <c r="G8" s="0" t="n">
        <f aca="false">G6*G7/100</f>
        <v>111831.351566201</v>
      </c>
      <c r="H8" s="0" t="n">
        <f aca="false">H6*H7/100</f>
        <v>110218.39938015</v>
      </c>
      <c r="I8" s="0" t="n">
        <f aca="false">I6*I7/100</f>
        <v>112973.859364654</v>
      </c>
      <c r="J8" s="0" t="n">
        <f aca="false">J6*J7/100</f>
        <v>115233.336551947</v>
      </c>
      <c r="K8" s="0" t="n">
        <f aca="false">K6*K7/100</f>
        <v>117538.003282986</v>
      </c>
      <c r="L8" s="0" t="n">
        <f aca="false">L6*L7/100</f>
        <v>119888.763348646</v>
      </c>
    </row>
    <row r="9" customFormat="false" ht="15" hidden="false" customHeight="false" outlineLevel="0" collapsed="false">
      <c r="A9" s="0" t="s">
        <v>128</v>
      </c>
      <c r="C9" s="4" t="n">
        <f aca="false">Assumptions!C15</f>
        <v>0.17</v>
      </c>
      <c r="D9" s="4" t="n">
        <f aca="false">Assumptions!D15</f>
        <v>0.17</v>
      </c>
      <c r="E9" s="4" t="n">
        <f aca="false">Assumptions!E15</f>
        <v>0.16</v>
      </c>
      <c r="F9" s="4" t="n">
        <f aca="false">Assumptions!F15</f>
        <v>0.16</v>
      </c>
      <c r="G9" s="4" t="n">
        <f aca="false">Assumptions!G15</f>
        <v>0.15</v>
      </c>
      <c r="H9" s="4" t="n">
        <f aca="false">Assumptions!H15</f>
        <v>0.15</v>
      </c>
      <c r="I9" s="4" t="n">
        <f aca="false">Assumptions!I15</f>
        <v>0.15</v>
      </c>
      <c r="J9" s="4" t="n">
        <f aca="false">Assumptions!J15</f>
        <v>0.15</v>
      </c>
      <c r="K9" s="4" t="n">
        <f aca="false">Assumptions!K15</f>
        <v>0.15</v>
      </c>
      <c r="L9" s="4" t="n">
        <f aca="false">Assumptions!L15</f>
        <v>0.15</v>
      </c>
    </row>
    <row r="10" customFormat="false" ht="15" hidden="false" customHeight="false" outlineLevel="0" collapsed="false">
      <c r="A10" s="0" t="s">
        <v>143</v>
      </c>
      <c r="C10" s="0" t="n">
        <f aca="false">-C6*C9/100</f>
        <v>-1312.07088</v>
      </c>
      <c r="D10" s="0" t="n">
        <f aca="false">-D6*D9/100</f>
        <v>-1338.3122976</v>
      </c>
      <c r="E10" s="0" t="n">
        <f aca="false">-E6*E9/100</f>
        <v>-1297.375686144</v>
      </c>
      <c r="F10" s="0" t="n">
        <f aca="false">-F6*F9/100</f>
        <v>-1336.29695672832</v>
      </c>
      <c r="G10" s="0" t="n">
        <f aca="false">-G6*G9/100</f>
        <v>-1290.36174884078</v>
      </c>
      <c r="H10" s="0" t="n">
        <f aca="false">-H6*H9/100</f>
        <v>-1322.6207925618</v>
      </c>
      <c r="I10" s="0" t="n">
        <f aca="false">-I6*I9/100</f>
        <v>-1355.68631237585</v>
      </c>
      <c r="J10" s="0" t="n">
        <f aca="false">-J6*J9/100</f>
        <v>-1382.80003862337</v>
      </c>
      <c r="K10" s="0" t="n">
        <f aca="false">-K6*K9/100</f>
        <v>-1410.45603939583</v>
      </c>
      <c r="L10" s="0" t="n">
        <f aca="false">-L6*L9/100</f>
        <v>-1438.66516018375</v>
      </c>
    </row>
    <row r="11" customFormat="false" ht="15" hidden="false" customHeight="false" outlineLevel="0" collapsed="false">
      <c r="A11" s="0" t="s">
        <v>144</v>
      </c>
      <c r="C11" s="0" t="n">
        <f aca="false">C8+C10+C24</f>
        <v>114458.88912</v>
      </c>
      <c r="D11" s="0" t="n">
        <f aca="false">D8+D10+D24</f>
        <v>108875.6416224</v>
      </c>
      <c r="E11" s="0" t="n">
        <f aca="false">E8+E10+E24</f>
        <v>108168.697832256</v>
      </c>
      <c r="F11" s="0" t="n">
        <f aca="false">F8+F10+F24</f>
        <v>107237.830777448</v>
      </c>
      <c r="G11" s="0" t="n">
        <f aca="false">G8+G10+G24</f>
        <v>110540.989817361</v>
      </c>
      <c r="H11" s="0" t="n">
        <f aca="false">H8+H10+H24</f>
        <v>108895.778587589</v>
      </c>
      <c r="I11" s="0" t="n">
        <f aca="false">I8+I10+I24</f>
        <v>111618.173052278</v>
      </c>
      <c r="J11" s="0" t="n">
        <f aca="false">J8+J10+J24</f>
        <v>113850.536513324</v>
      </c>
      <c r="K11" s="0" t="n">
        <f aca="false">K8+K10+K24</f>
        <v>116127.54724359</v>
      </c>
      <c r="L11" s="0" t="n">
        <f aca="false">L8+L10+L24</f>
        <v>118450.098188462</v>
      </c>
    </row>
    <row r="12" customFormat="false" ht="15" hidden="false" customHeight="false" outlineLevel="0" collapsed="false">
      <c r="A12" s="0" t="s">
        <v>145</v>
      </c>
      <c r="C12" s="4" t="n">
        <f aca="false">-C6*Assumptions!C17/100</f>
        <v>-81039.672</v>
      </c>
      <c r="D12" s="4" t="n">
        <f aca="false">-D6*Assumptions!D17/100</f>
        <v>-82660.46544</v>
      </c>
      <c r="E12" s="4" t="n">
        <f aca="false">-E6*Assumptions!E17/100</f>
        <v>-81085.980384</v>
      </c>
      <c r="F12" s="4" t="n">
        <f aca="false">-F6*Assumptions!F17/100</f>
        <v>-79342.631805744</v>
      </c>
      <c r="G12" s="4" t="n">
        <f aca="false">-G6*Assumptions!G17/100</f>
        <v>-77421.7049304471</v>
      </c>
      <c r="H12" s="4" t="n">
        <f aca="false">-H6*Assumptions!H17/100</f>
        <v>-79357.2475537082</v>
      </c>
      <c r="I12" s="4" t="n">
        <f aca="false">-I6*Assumptions!I17/100</f>
        <v>-76822.2243679648</v>
      </c>
      <c r="J12" s="4" t="n">
        <f aca="false">-J6*Assumptions!J17/100</f>
        <v>-78358.6688553241</v>
      </c>
      <c r="K12" s="4" t="n">
        <f aca="false">-K6*Assumptions!K17/100</f>
        <v>-79925.8422324305</v>
      </c>
      <c r="L12" s="4" t="n">
        <f aca="false">-L6*Assumptions!L17/100</f>
        <v>-81524.3590770792</v>
      </c>
    </row>
    <row r="13" customFormat="false" ht="15" hidden="false" customHeight="false" outlineLevel="0" collapsed="false">
      <c r="A13" s="0" t="s">
        <v>146</v>
      </c>
      <c r="C13" s="0" t="n">
        <f aca="false">C11+C12</f>
        <v>33419.21712</v>
      </c>
      <c r="D13" s="0" t="n">
        <f aca="false">D11+D12</f>
        <v>26215.1761824</v>
      </c>
      <c r="E13" s="0" t="n">
        <f aca="false">E11+E12</f>
        <v>27082.717448256</v>
      </c>
      <c r="F13" s="0" t="n">
        <f aca="false">F11+F12</f>
        <v>27895.1989717037</v>
      </c>
      <c r="G13" s="0" t="n">
        <f aca="false">G11+G12</f>
        <v>33119.2848869135</v>
      </c>
      <c r="H13" s="0" t="n">
        <f aca="false">H11+H12</f>
        <v>29538.5310338803</v>
      </c>
      <c r="I13" s="0" t="n">
        <f aca="false">I11+I12</f>
        <v>34795.9486843135</v>
      </c>
      <c r="J13" s="0" t="n">
        <f aca="false">J11+J12</f>
        <v>35491.8676579997</v>
      </c>
      <c r="K13" s="0" t="n">
        <f aca="false">K11+K12</f>
        <v>36201.7050111597</v>
      </c>
      <c r="L13" s="0" t="n">
        <f aca="false">L11+L12</f>
        <v>36925.7391113829</v>
      </c>
    </row>
    <row r="14" customFormat="false" ht="15" hidden="false" customHeight="false" outlineLevel="0" collapsed="false">
      <c r="A14" s="0" t="s">
        <v>132</v>
      </c>
      <c r="C14" s="4" t="n">
        <f aca="false">Assumptions!C19</f>
        <v>25</v>
      </c>
      <c r="D14" s="4" t="n">
        <f aca="false">Assumptions!D19</f>
        <v>23</v>
      </c>
      <c r="E14" s="4" t="n">
        <f aca="false">Assumptions!E19</f>
        <v>22</v>
      </c>
      <c r="F14" s="4" t="n">
        <f aca="false">Assumptions!F19</f>
        <v>21</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147</v>
      </c>
      <c r="C15" s="0" t="n">
        <f aca="false">C13-MAX(0,C13)*C14/100</f>
        <v>25064.41284</v>
      </c>
      <c r="D15" s="0" t="n">
        <f aca="false">D13-MAX(0,D13)*D14/100</f>
        <v>20185.685660448</v>
      </c>
      <c r="E15" s="0" t="n">
        <f aca="false">E13-MAX(0,E13)*E14/100</f>
        <v>21124.5196096397</v>
      </c>
      <c r="F15" s="0" t="n">
        <f aca="false">F13-MAX(0,F13)*F14/100</f>
        <v>22037.2071876459</v>
      </c>
      <c r="G15" s="0" t="n">
        <f aca="false">G13-MAX(0,G13)*G14/100</f>
        <v>26495.4279095308</v>
      </c>
      <c r="H15" s="0" t="n">
        <f aca="false">H13-MAX(0,H13)*H14/100</f>
        <v>23630.8248271042</v>
      </c>
      <c r="I15" s="0" t="n">
        <f aca="false">I13-MAX(0,I13)*I14/100</f>
        <v>27836.7589474508</v>
      </c>
      <c r="J15" s="0" t="n">
        <f aca="false">J13-MAX(0,J13)*J14/100</f>
        <v>28393.4941263998</v>
      </c>
      <c r="K15" s="0" t="n">
        <f aca="false">K13-MAX(0,K13)*K14/100</f>
        <v>28961.3640089278</v>
      </c>
      <c r="L15" s="0" t="n">
        <f aca="false">L13-MAX(0,L13)*L14/100</f>
        <v>29540.5912891063</v>
      </c>
    </row>
    <row r="16" customFormat="false" ht="15" hidden="false" customHeight="false" outlineLevel="0" collapsed="false">
      <c r="A16" s="0" t="s">
        <v>148</v>
      </c>
      <c r="C16" s="0" t="n">
        <f aca="false">-C12</f>
        <v>81039.672</v>
      </c>
      <c r="D16" s="0" t="n">
        <f aca="false">-D12</f>
        <v>82660.46544</v>
      </c>
      <c r="E16" s="0" t="n">
        <f aca="false">-E12</f>
        <v>81085.980384</v>
      </c>
      <c r="F16" s="0" t="n">
        <f aca="false">-F12</f>
        <v>79342.631805744</v>
      </c>
      <c r="G16" s="0" t="n">
        <f aca="false">-G12</f>
        <v>77421.7049304471</v>
      </c>
      <c r="H16" s="0" t="n">
        <f aca="false">-H12</f>
        <v>79357.2475537082</v>
      </c>
      <c r="I16" s="0" t="n">
        <f aca="false">-I12</f>
        <v>76822.2243679648</v>
      </c>
      <c r="J16" s="0" t="n">
        <f aca="false">-J12</f>
        <v>78358.6688553241</v>
      </c>
      <c r="K16" s="0" t="n">
        <f aca="false">-K12</f>
        <v>79925.8422324305</v>
      </c>
      <c r="L16" s="0" t="n">
        <f aca="false">-L12</f>
        <v>81524.3590770792</v>
      </c>
    </row>
    <row r="17" customFormat="false" ht="15" hidden="false" customHeight="false" outlineLevel="0" collapsed="false">
      <c r="A17" s="0" t="s">
        <v>149</v>
      </c>
      <c r="C17" s="4" t="n">
        <f aca="false">-C6*Assumptions!C18/100</f>
        <v>-96475.8</v>
      </c>
      <c r="D17" s="4" t="n">
        <f aca="false">-D6*Assumptions!D18/100</f>
        <v>-90532.89072</v>
      </c>
      <c r="E17" s="4" t="n">
        <f aca="false">-E6*Assumptions!E18/100</f>
        <v>-85140.2794032</v>
      </c>
      <c r="F17" s="4" t="n">
        <f aca="false">-F6*Assumptions!F18/100</f>
        <v>-83518.55979552</v>
      </c>
      <c r="G17" s="4" t="n">
        <f aca="false">-G6*Assumptions!G18/100</f>
        <v>-81722.9107599163</v>
      </c>
      <c r="H17" s="4" t="n">
        <f aca="false">-H6*Assumptions!H18/100</f>
        <v>-79357.2475537082</v>
      </c>
      <c r="I17" s="4" t="n">
        <f aca="false">-I6*Assumptions!I18/100</f>
        <v>-81341.1787425509</v>
      </c>
      <c r="J17" s="4" t="n">
        <f aca="false">-J6*Assumptions!J18/100</f>
        <v>-82968.0023174019</v>
      </c>
      <c r="K17" s="4" t="n">
        <f aca="false">-K6*Assumptions!K18/100</f>
        <v>-84627.36236375</v>
      </c>
      <c r="L17" s="4" t="n">
        <f aca="false">-L6*Assumptions!L18/100</f>
        <v>-86319.909611025</v>
      </c>
    </row>
    <row r="18" customFormat="false" ht="15" hidden="false" customHeight="false" outlineLevel="0" collapsed="false">
      <c r="A18" s="0" t="s">
        <v>150</v>
      </c>
      <c r="C18" s="4" t="n">
        <f aca="false">(C6-B6)*Assumptions!$B$23/100</f>
        <v>3215.86</v>
      </c>
      <c r="D18" s="4" t="n">
        <f aca="false">(D6-C6)*Assumptions!$B$23/100</f>
        <v>-1543.6128</v>
      </c>
      <c r="E18" s="4" t="n">
        <f aca="false">(E6-D6)*Assumptions!$B$23/100</f>
        <v>-2361.727584</v>
      </c>
      <c r="F18" s="4" t="n">
        <f aca="false">(F6-E6)*Assumptions!$B$23/100</f>
        <v>-2432.57941152001</v>
      </c>
      <c r="G18" s="4" t="n">
        <f aca="false">(G6-F6)*Assumptions!$B$23/100</f>
        <v>-2505.55679386561</v>
      </c>
      <c r="H18" s="4" t="n">
        <f aca="false">(H6-G6)*Assumptions!$B$23/100</f>
        <v>-2150.60291473463</v>
      </c>
      <c r="I18" s="4" t="n">
        <f aca="false">(I6-H6)*Assumptions!$B$23/100</f>
        <v>-2204.367987603</v>
      </c>
      <c r="J18" s="4" t="n">
        <f aca="false">(J6-I6)*Assumptions!$B$23/100</f>
        <v>-1807.58174983447</v>
      </c>
      <c r="K18" s="4" t="n">
        <f aca="false">(K6-J6)*Assumptions!$B$23/100</f>
        <v>-1843.73338483116</v>
      </c>
      <c r="L18" s="4" t="n">
        <f aca="false">(L6-K6)*Assumptions!$B$23/100</f>
        <v>-1880.60805252778</v>
      </c>
    </row>
    <row r="19" customFormat="false" ht="15" hidden="false" customHeight="false" outlineLevel="0" collapsed="false">
      <c r="A19" s="0" t="s">
        <v>151</v>
      </c>
      <c r="C19" s="0" t="n">
        <f aca="false">C15+C16+C17+C18</f>
        <v>12844.14484</v>
      </c>
      <c r="D19" s="0" t="n">
        <f aca="false">D15+D16+D17+D18</f>
        <v>10769.647580448</v>
      </c>
      <c r="E19" s="0" t="n">
        <f aca="false">E15+E16+E17+E18</f>
        <v>14708.4930064397</v>
      </c>
      <c r="F19" s="0" t="n">
        <f aca="false">F15+F16+F17+F18</f>
        <v>15428.6997863499</v>
      </c>
      <c r="G19" s="0" t="n">
        <f aca="false">G15+G16+G17+G18</f>
        <v>19688.6652861959</v>
      </c>
      <c r="H19" s="0" t="n">
        <f aca="false">H15+H16+H17+H18</f>
        <v>21480.2219123696</v>
      </c>
      <c r="I19" s="0" t="n">
        <f aca="false">I15+I16+I17+I18</f>
        <v>21113.4365852616</v>
      </c>
      <c r="J19" s="0" t="n">
        <f aca="false">J15+J16+J17+J18</f>
        <v>21976.5789144874</v>
      </c>
      <c r="K19" s="0" t="n">
        <f aca="false">K15+K16+K17+K18</f>
        <v>22416.1104927772</v>
      </c>
      <c r="L19" s="0" t="n">
        <f aca="false">L15+L16+L17+L18</f>
        <v>22864.4327026327</v>
      </c>
    </row>
    <row r="20" customFormat="false" ht="15" hidden="false" customHeight="false" outlineLevel="0" collapsed="false">
      <c r="A20" s="0" t="s">
        <v>152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153</v>
      </c>
      <c r="C21" s="0" t="n">
        <f aca="false">C19*C20</f>
        <v>11676.4953090909</v>
      </c>
      <c r="D21" s="0" t="n">
        <f aca="false">D19*D20</f>
        <v>8900.53519045289</v>
      </c>
      <c r="E21" s="0" t="n">
        <f aca="false">E19*E20</f>
        <v>11050.7084946955</v>
      </c>
      <c r="F21" s="0" t="n">
        <f aca="false">F19*F20</f>
        <v>10538.0095528652</v>
      </c>
      <c r="G21" s="0" t="n">
        <f aca="false">G19*G20</f>
        <v>12225.1120987736</v>
      </c>
      <c r="H21" s="0" t="n">
        <f aca="false">H19*H20</f>
        <v>12125.0252813025</v>
      </c>
      <c r="I21" s="0" t="n">
        <f aca="false">I19*I20</f>
        <v>10834.5313874762</v>
      </c>
      <c r="J21" s="0" t="n">
        <f aca="false">J19*J20</f>
        <v>10252.23625537</v>
      </c>
      <c r="K21" s="0" t="n">
        <f aca="false">K19*K20</f>
        <v>9506.61907316126</v>
      </c>
      <c r="L21" s="0" t="n">
        <f aca="false">L19*L20</f>
        <v>8815.22859511317</v>
      </c>
    </row>
    <row r="23" customFormat="false" ht="15" hidden="false" customHeight="false" outlineLevel="0" collapsed="false">
      <c r="A23" s="0" t="s">
        <v>129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154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155</v>
      </c>
    </row>
    <row r="27" customFormat="false" ht="15" hidden="false" customHeight="false" outlineLevel="0" collapsed="false">
      <c r="A27" s="0" t="s">
        <v>133</v>
      </c>
      <c r="B27" s="4" t="n">
        <f aca="false">Assumptions!$B$20</f>
        <v>10</v>
      </c>
    </row>
    <row r="28" customFormat="false" ht="15" hidden="false" customHeight="false" outlineLevel="0" collapsed="false">
      <c r="A28" s="0" t="s">
        <v>134</v>
      </c>
      <c r="B28" s="4" t="n">
        <f aca="false">Assumptions!$B$21</f>
        <v>2</v>
      </c>
    </row>
    <row r="29" customFormat="false" ht="15" hidden="false" customHeight="false" outlineLevel="0" collapsed="false">
      <c r="A29" s="0" t="s">
        <v>135</v>
      </c>
      <c r="B29" s="4" t="n">
        <f aca="false">Assumptions!$B$22</f>
        <v>12</v>
      </c>
    </row>
    <row r="30" customFormat="false" ht="15" hidden="false" customHeight="false" outlineLevel="0" collapsed="false">
      <c r="A30" s="0" t="s">
        <v>156</v>
      </c>
      <c r="B30" s="0" t="n">
        <f aca="false">SUM(C21:L21)</f>
        <v>105924.501238301</v>
      </c>
    </row>
    <row r="31" customFormat="false" ht="15" hidden="false" customHeight="false" outlineLevel="0" collapsed="false">
      <c r="A31" s="0" t="s">
        <v>157</v>
      </c>
      <c r="B31" s="0" t="n">
        <f aca="false">L19</f>
        <v>22864.4327026327</v>
      </c>
    </row>
    <row r="32" customFormat="false" ht="15" hidden="false" customHeight="false" outlineLevel="0" collapsed="false">
      <c r="A32" s="0" t="s">
        <v>158</v>
      </c>
      <c r="B32" s="0" t="n">
        <f aca="false">IF(B27&gt;B28,B31*(1+B28/100)/((B27-B28)/100),B31*B29)</f>
        <v>291521.516958567</v>
      </c>
    </row>
    <row r="33" customFormat="false" ht="15" hidden="false" customHeight="false" outlineLevel="0" collapsed="false">
      <c r="A33" s="0" t="s">
        <v>159</v>
      </c>
      <c r="B33" s="0" t="n">
        <f aca="false">B31*B29</f>
        <v>274373.192431593</v>
      </c>
    </row>
    <row r="34" customFormat="false" ht="15" hidden="false" customHeight="false" outlineLevel="0" collapsed="false">
      <c r="A34" s="0" t="s">
        <v>160</v>
      </c>
      <c r="B34" s="0" t="n">
        <f aca="false">MAX(0,MIN(B32,B33))</f>
        <v>274373.192431593</v>
      </c>
    </row>
    <row r="35" customFormat="false" ht="15" hidden="false" customHeight="false" outlineLevel="0" collapsed="false">
      <c r="A35" s="0" t="s">
        <v>161</v>
      </c>
      <c r="B35" s="0" t="n">
        <f aca="false">B34/(1+B27/100)^L4</f>
        <v>105782.743141358</v>
      </c>
    </row>
    <row r="36" customFormat="false" ht="15" hidden="false" customHeight="false" outlineLevel="0" collapsed="false">
      <c r="A36" s="0" t="s">
        <v>162</v>
      </c>
      <c r="B36" s="0" t="n">
        <f aca="false">B30+B35</f>
        <v>211707.244379659</v>
      </c>
    </row>
    <row r="37" customFormat="false" ht="15" hidden="false" customHeight="false" outlineLevel="0" collapsed="false">
      <c r="A37" s="0" t="s">
        <v>163</v>
      </c>
      <c r="B37" s="0" t="n">
        <f aca="false">B36+Assumptions!$B$5-Assumptions!$B$4</f>
        <v>217884.244379659</v>
      </c>
    </row>
    <row r="38" customFormat="false" ht="15" hidden="false" customHeight="false" outlineLevel="0" collapsed="false">
      <c r="A38" s="0" t="s">
        <v>164</v>
      </c>
      <c r="B38" s="0" t="n">
        <f aca="false">B37/Assumptions!$B$3*Assumptions!$B$10</f>
        <v>28.0110256260034</v>
      </c>
    </row>
    <row r="39" customFormat="false" ht="15" hidden="false" customHeight="false" outlineLevel="0" collapsed="false">
      <c r="A39" s="0" t="s">
        <v>165</v>
      </c>
      <c r="B39" s="4" t="n">
        <f aca="false">B38/Assumptions!$B$2-1</f>
        <v>-0.629483788015828</v>
      </c>
    </row>
    <row r="41" customFormat="false" ht="15" hidden="false" customHeight="false" outlineLevel="0" collapsed="false">
      <c r="A41" s="0" t="s">
        <v>166</v>
      </c>
      <c r="B41" s="0" t="n">
        <f aca="false">SUMPRODUCT(-C10:L10/(1+$B$27/100)^C4:L4)</f>
        <v>8227.68597416373</v>
      </c>
    </row>
    <row r="42" customFormat="false" ht="15" hidden="false" customHeight="false" outlineLevel="0" collapsed="false">
      <c r="A42" s="0" t="s">
        <v>167</v>
      </c>
      <c r="B42" s="0" t="n">
        <f aca="false">IF(B27&gt;B28,-L10*(1+B28/100)/((B27-B28)/100),-L10*20)/(1+B27/100)^L4</f>
        <v>7072.01315262256</v>
      </c>
    </row>
    <row r="43" customFormat="false" ht="15" hidden="false" customHeight="false" outlineLevel="0" collapsed="false">
      <c r="A43" s="0" t="s">
        <v>168</v>
      </c>
      <c r="B43" s="0" t="n">
        <f aca="false">(B37+B41+B42)/Assumptions!$B$3*Assumptions!$B$10</f>
        <v>29.9779428096241</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179397.856589888</v>
      </c>
    </row>
    <row r="47" customFormat="false" ht="15" hidden="false" customHeight="false" outlineLevel="0" collapsed="false">
      <c r="A47" s="0" t="s">
        <v>170</v>
      </c>
      <c r="B47" s="0" t="n">
        <f aca="false">(SUMPRODUCT(C19:L19/(1+B45/100)^C4:L4)+B46/(1+B45/100)^L4+Assumptions!$B$5-Assumptions!$B$4)/Assumptions!$B$3*Assumptions!$B$10</f>
        <v>17.2972107508371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171</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Assumptions!C27</f>
        <v>0</v>
      </c>
      <c r="D5" s="4" t="n">
        <f aca="false">Assumptions!D27</f>
        <v>8</v>
      </c>
      <c r="E5" s="4" t="n">
        <f aca="false">Assumptions!E27</f>
        <v>8</v>
      </c>
      <c r="F5" s="4" t="n">
        <f aca="false">Assumptions!F27</f>
        <v>7</v>
      </c>
      <c r="G5" s="4" t="n">
        <f aca="false">Assumptions!G27</f>
        <v>6</v>
      </c>
      <c r="H5" s="4" t="n">
        <f aca="false">Assumptions!H27</f>
        <v>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64</v>
      </c>
      <c r="B6" s="3" t="n">
        <v>803965</v>
      </c>
      <c r="C6" s="0" t="n">
        <f aca="false">B6*(1+C5/100)</f>
        <v>803965</v>
      </c>
      <c r="D6" s="0" t="n">
        <f aca="false">C6*(1+D5/100)</f>
        <v>868282.2</v>
      </c>
      <c r="E6" s="0" t="n">
        <f aca="false">D6*(1+E5/100)</f>
        <v>937744.776</v>
      </c>
      <c r="F6" s="0" t="n">
        <f aca="false">E6*(1+F5/100)</f>
        <v>1003386.91032</v>
      </c>
      <c r="G6" s="0" t="n">
        <f aca="false">F6*(1+G5/100)</f>
        <v>1063590.1249392</v>
      </c>
      <c r="H6" s="0" t="n">
        <f aca="false">G6*(1+H5/100)</f>
        <v>1116769.63118616</v>
      </c>
      <c r="I6" s="0" t="n">
        <f aca="false">H6*(1+I5/100)</f>
        <v>1161440.41643361</v>
      </c>
      <c r="J6" s="0" t="n">
        <f aca="false">I6*(1+J5/100)</f>
        <v>1202090.83100878</v>
      </c>
      <c r="K6" s="0" t="n">
        <f aca="false">J6*(1+K5/100)</f>
        <v>1238153.55593905</v>
      </c>
      <c r="L6" s="0" t="n">
        <f aca="false">K6*(1+L5/100)</f>
        <v>1275298.16261722</v>
      </c>
    </row>
    <row r="7" customFormat="false" ht="15" hidden="false" customHeight="false" outlineLevel="0" collapsed="false">
      <c r="A7" s="0" t="s">
        <v>127</v>
      </c>
      <c r="C7" s="4" t="n">
        <f aca="false">Assumptions!C28</f>
        <v>16</v>
      </c>
      <c r="D7" s="4" t="n">
        <f aca="false">Assumptions!D28</f>
        <v>15.5</v>
      </c>
      <c r="E7" s="4" t="n">
        <f aca="false">Assumptions!E28</f>
        <v>15</v>
      </c>
      <c r="F7" s="4" t="n">
        <f aca="false">Assumptions!F28</f>
        <v>14.5</v>
      </c>
      <c r="G7" s="4" t="n">
        <f aca="false">Assumptions!G28</f>
        <v>14.5</v>
      </c>
      <c r="H7" s="4" t="n">
        <f aca="false">Assumptions!H28</f>
        <v>14</v>
      </c>
      <c r="I7" s="4" t="n">
        <f aca="false">Assumptions!I28</f>
        <v>14</v>
      </c>
      <c r="J7" s="4" t="n">
        <f aca="false">Assumptions!J28</f>
        <v>14</v>
      </c>
      <c r="K7" s="4" t="n">
        <f aca="false">Assumptions!K28</f>
        <v>14</v>
      </c>
      <c r="L7" s="4" t="n">
        <f aca="false">Assumptions!L28</f>
        <v>14</v>
      </c>
    </row>
    <row r="8" customFormat="false" ht="15" hidden="false" customHeight="false" outlineLevel="0" collapsed="false">
      <c r="A8" s="0" t="s">
        <v>70</v>
      </c>
      <c r="C8" s="0" t="n">
        <f aca="false">C6*C7/100</f>
        <v>128634.4</v>
      </c>
      <c r="D8" s="0" t="n">
        <f aca="false">D6*D7/100</f>
        <v>134583.741</v>
      </c>
      <c r="E8" s="0" t="n">
        <f aca="false">E6*E7/100</f>
        <v>140661.7164</v>
      </c>
      <c r="F8" s="0" t="n">
        <f aca="false">F6*F7/100</f>
        <v>145491.1019964</v>
      </c>
      <c r="G8" s="0" t="n">
        <f aca="false">G6*G7/100</f>
        <v>154220.568116184</v>
      </c>
      <c r="H8" s="0" t="n">
        <f aca="false">H6*H7/100</f>
        <v>156347.748366062</v>
      </c>
      <c r="I8" s="0" t="n">
        <f aca="false">I6*I7/100</f>
        <v>162601.658300705</v>
      </c>
      <c r="J8" s="0" t="n">
        <f aca="false">J6*J7/100</f>
        <v>168292.71634123</v>
      </c>
      <c r="K8" s="0" t="n">
        <f aca="false">K6*K7/100</f>
        <v>173341.497831467</v>
      </c>
      <c r="L8" s="0" t="n">
        <f aca="false">L6*L7/100</f>
        <v>178541.742766411</v>
      </c>
    </row>
    <row r="9" customFormat="false" ht="15" hidden="false" customHeight="false" outlineLevel="0" collapsed="false">
      <c r="A9" s="0" t="s">
        <v>128</v>
      </c>
      <c r="C9" s="4" t="n">
        <f aca="false">Assumptions!C29</f>
        <v>0.17</v>
      </c>
      <c r="D9" s="4" t="n">
        <f aca="false">Assumptions!D29</f>
        <v>0.17</v>
      </c>
      <c r="E9" s="4" t="n">
        <f aca="false">Assumptions!E29</f>
        <v>0.16</v>
      </c>
      <c r="F9" s="4" t="n">
        <f aca="false">Assumptions!F29</f>
        <v>0.16</v>
      </c>
      <c r="G9" s="4" t="n">
        <f aca="false">Assumptions!G29</f>
        <v>0.15</v>
      </c>
      <c r="H9" s="4" t="n">
        <f aca="false">Assumptions!H29</f>
        <v>0.15</v>
      </c>
      <c r="I9" s="4" t="n">
        <f aca="false">Assumptions!I29</f>
        <v>0.15</v>
      </c>
      <c r="J9" s="4" t="n">
        <f aca="false">Assumptions!J29</f>
        <v>0.15</v>
      </c>
      <c r="K9" s="4" t="n">
        <f aca="false">Assumptions!K29</f>
        <v>0.15</v>
      </c>
      <c r="L9" s="4" t="n">
        <f aca="false">Assumptions!L29</f>
        <v>0.15</v>
      </c>
    </row>
    <row r="10" customFormat="false" ht="15" hidden="false" customHeight="false" outlineLevel="0" collapsed="false">
      <c r="A10" s="0" t="s">
        <v>143</v>
      </c>
      <c r="C10" s="0" t="n">
        <f aca="false">-C6*C9/100</f>
        <v>-1366.7405</v>
      </c>
      <c r="D10" s="0" t="n">
        <f aca="false">-D6*D9/100</f>
        <v>-1476.07974</v>
      </c>
      <c r="E10" s="0" t="n">
        <f aca="false">-E6*E9/100</f>
        <v>-1500.3916416</v>
      </c>
      <c r="F10" s="0" t="n">
        <f aca="false">-F6*F9/100</f>
        <v>-1605.419056512</v>
      </c>
      <c r="G10" s="0" t="n">
        <f aca="false">-G6*G9/100</f>
        <v>-1595.3851874088</v>
      </c>
      <c r="H10" s="0" t="n">
        <f aca="false">-H6*H9/100</f>
        <v>-1675.15444677924</v>
      </c>
      <c r="I10" s="0" t="n">
        <f aca="false">-I6*I9/100</f>
        <v>-1742.16062465041</v>
      </c>
      <c r="J10" s="0" t="n">
        <f aca="false">-J6*J9/100</f>
        <v>-1803.13624651317</v>
      </c>
      <c r="K10" s="0" t="n">
        <f aca="false">-K6*K9/100</f>
        <v>-1857.23033390857</v>
      </c>
      <c r="L10" s="0" t="n">
        <f aca="false">-L6*L9/100</f>
        <v>-1912.94724392583</v>
      </c>
    </row>
    <row r="11" customFormat="false" ht="15" hidden="false" customHeight="false" outlineLevel="0" collapsed="false">
      <c r="A11" s="0" t="s">
        <v>144</v>
      </c>
      <c r="C11" s="0" t="n">
        <f aca="false">C8+C10+C24</f>
        <v>127267.6595</v>
      </c>
      <c r="D11" s="0" t="n">
        <f aca="false">D8+D10+D24</f>
        <v>133107.66126</v>
      </c>
      <c r="E11" s="0" t="n">
        <f aca="false">E8+E10+E24</f>
        <v>139161.3247584</v>
      </c>
      <c r="F11" s="0" t="n">
        <f aca="false">F8+F10+F24</f>
        <v>143885.682939888</v>
      </c>
      <c r="G11" s="0" t="n">
        <f aca="false">G8+G10+G24</f>
        <v>152625.182928775</v>
      </c>
      <c r="H11" s="0" t="n">
        <f aca="false">H8+H10+H24</f>
        <v>154672.593919283</v>
      </c>
      <c r="I11" s="0" t="n">
        <f aca="false">I8+I10+I24</f>
        <v>160859.497676055</v>
      </c>
      <c r="J11" s="0" t="n">
        <f aca="false">J8+J10+J24</f>
        <v>166489.580094716</v>
      </c>
      <c r="K11" s="0" t="n">
        <f aca="false">K8+K10+K24</f>
        <v>171484.267497558</v>
      </c>
      <c r="L11" s="0" t="n">
        <f aca="false">L8+L10+L24</f>
        <v>176628.795522485</v>
      </c>
    </row>
    <row r="12" customFormat="false" ht="15" hidden="false" customHeight="false" outlineLevel="0" collapsed="false">
      <c r="A12" s="0" t="s">
        <v>145</v>
      </c>
      <c r="C12" s="4" t="n">
        <f aca="false">-C6*Assumptions!C31/100</f>
        <v>-84416.325</v>
      </c>
      <c r="D12" s="4" t="n">
        <f aca="false">-D6*Assumptions!D31/100</f>
        <v>-86828.22</v>
      </c>
      <c r="E12" s="4" t="n">
        <f aca="false">-E6*Assumptions!E31/100</f>
        <v>-89085.75372</v>
      </c>
      <c r="F12" s="4" t="n">
        <f aca="false">-F6*Assumptions!F31/100</f>
        <v>-90304.8219288</v>
      </c>
      <c r="G12" s="4" t="n">
        <f aca="false">-G6*Assumptions!G31/100</f>
        <v>-90405.160619832</v>
      </c>
      <c r="H12" s="4" t="n">
        <f aca="false">-H6*Assumptions!H31/100</f>
        <v>-94925.4186508236</v>
      </c>
      <c r="I12" s="4" t="n">
        <f aca="false">-I6*Assumptions!I31/100</f>
        <v>-92915.2333146885</v>
      </c>
      <c r="J12" s="4" t="n">
        <f aca="false">-J6*Assumptions!J31/100</f>
        <v>-96167.2664807026</v>
      </c>
      <c r="K12" s="4" t="n">
        <f aca="false">-K6*Assumptions!K31/100</f>
        <v>-99052.2844751237</v>
      </c>
      <c r="L12" s="4" t="n">
        <f aca="false">-L6*Assumptions!L31/100</f>
        <v>-102023.853009377</v>
      </c>
    </row>
    <row r="13" customFormat="false" ht="15" hidden="false" customHeight="false" outlineLevel="0" collapsed="false">
      <c r="A13" s="0" t="s">
        <v>146</v>
      </c>
      <c r="C13" s="0" t="n">
        <f aca="false">C11+C12</f>
        <v>42851.3345</v>
      </c>
      <c r="D13" s="0" t="n">
        <f aca="false">D11+D12</f>
        <v>46279.44126</v>
      </c>
      <c r="E13" s="0" t="n">
        <f aca="false">E11+E12</f>
        <v>50075.5710384</v>
      </c>
      <c r="F13" s="0" t="n">
        <f aca="false">F11+F12</f>
        <v>53580.861011088</v>
      </c>
      <c r="G13" s="0" t="n">
        <f aca="false">G11+G12</f>
        <v>62220.0223089432</v>
      </c>
      <c r="H13" s="0" t="n">
        <f aca="false">H11+H12</f>
        <v>59747.1752684596</v>
      </c>
      <c r="I13" s="0" t="n">
        <f aca="false">I11+I12</f>
        <v>67944.264361366</v>
      </c>
      <c r="J13" s="0" t="n">
        <f aca="false">J11+J12</f>
        <v>70322.3136140138</v>
      </c>
      <c r="K13" s="0" t="n">
        <f aca="false">K11+K12</f>
        <v>72431.9830224342</v>
      </c>
      <c r="L13" s="0" t="n">
        <f aca="false">L11+L12</f>
        <v>74604.9425131073</v>
      </c>
    </row>
    <row r="14" customFormat="false" ht="15" hidden="false" customHeight="false" outlineLevel="0" collapsed="false">
      <c r="A14" s="0" t="s">
        <v>132</v>
      </c>
      <c r="C14" s="4" t="n">
        <f aca="false">Assumptions!C33</f>
        <v>25</v>
      </c>
      <c r="D14" s="4" t="n">
        <f aca="false">Assumptions!D33</f>
        <v>22</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147</v>
      </c>
      <c r="C15" s="0" t="n">
        <f aca="false">C13-MAX(0,C13)*C14/100</f>
        <v>32138.500875</v>
      </c>
      <c r="D15" s="0" t="n">
        <f aca="false">D13-MAX(0,D13)*D14/100</f>
        <v>36097.9641828</v>
      </c>
      <c r="E15" s="0" t="n">
        <f aca="false">E13-MAX(0,E13)*E14/100</f>
        <v>40060.45683072</v>
      </c>
      <c r="F15" s="0" t="n">
        <f aca="false">F13-MAX(0,F13)*F14/100</f>
        <v>42864.6888088704</v>
      </c>
      <c r="G15" s="0" t="n">
        <f aca="false">G13-MAX(0,G13)*G14/100</f>
        <v>49776.0178471546</v>
      </c>
      <c r="H15" s="0" t="n">
        <f aca="false">H13-MAX(0,H13)*H14/100</f>
        <v>47797.7402147677</v>
      </c>
      <c r="I15" s="0" t="n">
        <f aca="false">I13-MAX(0,I13)*I14/100</f>
        <v>54355.4114890928</v>
      </c>
      <c r="J15" s="0" t="n">
        <f aca="false">J13-MAX(0,J13)*J14/100</f>
        <v>56257.850891211</v>
      </c>
      <c r="K15" s="0" t="n">
        <f aca="false">K13-MAX(0,K13)*K14/100</f>
        <v>57945.5864179474</v>
      </c>
      <c r="L15" s="0" t="n">
        <f aca="false">L13-MAX(0,L13)*L14/100</f>
        <v>59683.9540104858</v>
      </c>
    </row>
    <row r="16" customFormat="false" ht="15" hidden="false" customHeight="false" outlineLevel="0" collapsed="false">
      <c r="A16" s="0" t="s">
        <v>148</v>
      </c>
      <c r="C16" s="0" t="n">
        <f aca="false">-C12</f>
        <v>84416.325</v>
      </c>
      <c r="D16" s="0" t="n">
        <f aca="false">-D12</f>
        <v>86828.22</v>
      </c>
      <c r="E16" s="0" t="n">
        <f aca="false">-E12</f>
        <v>89085.75372</v>
      </c>
      <c r="F16" s="0" t="n">
        <f aca="false">-F12</f>
        <v>90304.8219288</v>
      </c>
      <c r="G16" s="0" t="n">
        <f aca="false">-G12</f>
        <v>90405.160619832</v>
      </c>
      <c r="H16" s="0" t="n">
        <f aca="false">-H12</f>
        <v>94925.4186508236</v>
      </c>
      <c r="I16" s="0" t="n">
        <f aca="false">-I12</f>
        <v>92915.2333146885</v>
      </c>
      <c r="J16" s="0" t="n">
        <f aca="false">-J12</f>
        <v>96167.2664807026</v>
      </c>
      <c r="K16" s="0" t="n">
        <f aca="false">-K12</f>
        <v>99052.2844751237</v>
      </c>
      <c r="L16" s="0" t="n">
        <f aca="false">-L12</f>
        <v>102023.853009377</v>
      </c>
    </row>
    <row r="17" customFormat="false" ht="15" hidden="false" customHeight="false" outlineLevel="0" collapsed="false">
      <c r="A17" s="0" t="s">
        <v>149</v>
      </c>
      <c r="C17" s="4" t="n">
        <f aca="false">-C6*Assumptions!C32/100</f>
        <v>-100495.625</v>
      </c>
      <c r="D17" s="4" t="n">
        <f aca="false">-D6*Assumptions!D32/100</f>
        <v>-99852.453</v>
      </c>
      <c r="E17" s="4" t="n">
        <f aca="false">-E6*Assumptions!E32/100</f>
        <v>-98463.20148</v>
      </c>
      <c r="F17" s="4" t="n">
        <f aca="false">-F6*Assumptions!F32/100</f>
        <v>-100338.691032</v>
      </c>
      <c r="G17" s="4" t="n">
        <f aca="false">-G6*Assumptions!G32/100</f>
        <v>-101041.061869224</v>
      </c>
      <c r="H17" s="4" t="n">
        <f aca="false">-H6*Assumptions!H32/100</f>
        <v>-100509.266806754</v>
      </c>
      <c r="I17" s="4" t="n">
        <f aca="false">-I6*Assumptions!I32/100</f>
        <v>-98722.4353968566</v>
      </c>
      <c r="J17" s="4" t="n">
        <f aca="false">-J6*Assumptions!J32/100</f>
        <v>-102177.720635747</v>
      </c>
      <c r="K17" s="4" t="n">
        <f aca="false">-K6*Assumptions!K32/100</f>
        <v>-105243.052254819</v>
      </c>
      <c r="L17" s="4" t="n">
        <f aca="false">-L6*Assumptions!L32/100</f>
        <v>-108400.343822464</v>
      </c>
    </row>
    <row r="18" customFormat="false" ht="15" hidden="false" customHeight="false" outlineLevel="0" collapsed="false">
      <c r="A18" s="0" t="s">
        <v>150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151</v>
      </c>
      <c r="C19" s="0" t="n">
        <f aca="false">C15+C16+C17+C18</f>
        <v>16059.200875</v>
      </c>
      <c r="D19" s="0" t="n">
        <f aca="false">D15+D16+D17+D18</f>
        <v>23073.7311828</v>
      </c>
      <c r="E19" s="0" t="n">
        <f aca="false">E15+E16+E17+E18</f>
        <v>30683.00907072</v>
      </c>
      <c r="F19" s="0" t="n">
        <f aca="false">F15+F16+F17+F18</f>
        <v>32830.8197056704</v>
      </c>
      <c r="G19" s="0" t="n">
        <f aca="false">G15+G16+G17+G18</f>
        <v>39140.1165977626</v>
      </c>
      <c r="H19" s="0" t="n">
        <f aca="false">H15+H16+H17+H18</f>
        <v>42213.8920588369</v>
      </c>
      <c r="I19" s="0" t="n">
        <f aca="false">I15+I16+I17+I18</f>
        <v>48548.2094069248</v>
      </c>
      <c r="J19" s="0" t="n">
        <f aca="false">J15+J16+J17+J18</f>
        <v>50247.3967361671</v>
      </c>
      <c r="K19" s="0" t="n">
        <f aca="false">K15+K16+K17+K18</f>
        <v>51754.8186382521</v>
      </c>
      <c r="L19" s="0" t="n">
        <f aca="false">L15+L16+L17+L18</f>
        <v>53307.4631973997</v>
      </c>
    </row>
    <row r="20" customFormat="false" ht="15" hidden="false" customHeight="false" outlineLevel="0" collapsed="false">
      <c r="A20" s="0" t="s">
        <v>152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153</v>
      </c>
      <c r="C21" s="0" t="n">
        <f aca="false">C19*C20</f>
        <v>14599.2735227273</v>
      </c>
      <c r="D21" s="0" t="n">
        <f aca="false">D19*D20</f>
        <v>19069.1993246281</v>
      </c>
      <c r="E21" s="0" t="n">
        <f aca="false">E19*E20</f>
        <v>23052.5988510293</v>
      </c>
      <c r="F21" s="0" t="n">
        <f aca="false">F19*F20</f>
        <v>22423.8916096376</v>
      </c>
      <c r="G21" s="0" t="n">
        <f aca="false">G19*G20</f>
        <v>24302.9329825723</v>
      </c>
      <c r="H21" s="0" t="n">
        <f aca="false">H19*H20</f>
        <v>23828.6415533176</v>
      </c>
      <c r="I21" s="0" t="n">
        <f aca="false">I19*I20</f>
        <v>24912.9077827278</v>
      </c>
      <c r="J21" s="0" t="n">
        <f aca="false">J19*J20</f>
        <v>23440.7814137484</v>
      </c>
      <c r="K21" s="0" t="n">
        <f aca="false">K19*K20</f>
        <v>21949.0953237826</v>
      </c>
      <c r="L21" s="0" t="n">
        <f aca="false">L19*L20</f>
        <v>20552.3347122692</v>
      </c>
    </row>
    <row r="23" customFormat="false" ht="15" hidden="false" customHeight="false" outlineLevel="0" collapsed="false">
      <c r="A23" s="0" t="s">
        <v>129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154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155</v>
      </c>
    </row>
    <row r="27" customFormat="false" ht="15" hidden="false" customHeight="false" outlineLevel="0" collapsed="false">
      <c r="A27" s="0" t="s">
        <v>133</v>
      </c>
      <c r="B27" s="4" t="n">
        <f aca="false">Assumptions!$B$34</f>
        <v>10</v>
      </c>
    </row>
    <row r="28" customFormat="false" ht="15" hidden="false" customHeight="false" outlineLevel="0" collapsed="false">
      <c r="A28" s="0" t="s">
        <v>134</v>
      </c>
      <c r="B28" s="4" t="n">
        <f aca="false">Assumptions!$B$35</f>
        <v>2.5</v>
      </c>
    </row>
    <row r="29" customFormat="false" ht="15" hidden="false" customHeight="false" outlineLevel="0" collapsed="false">
      <c r="A29" s="0" t="s">
        <v>135</v>
      </c>
      <c r="B29" s="4" t="n">
        <f aca="false">Assumptions!$B$36</f>
        <v>12</v>
      </c>
    </row>
    <row r="30" customFormat="false" ht="15" hidden="false" customHeight="false" outlineLevel="0" collapsed="false">
      <c r="A30" s="0" t="s">
        <v>156</v>
      </c>
      <c r="B30" s="0" t="n">
        <f aca="false">SUM(C21:L21)</f>
        <v>218131.65707644</v>
      </c>
    </row>
    <row r="31" customFormat="false" ht="15" hidden="false" customHeight="false" outlineLevel="0" collapsed="false">
      <c r="A31" s="0" t="s">
        <v>157</v>
      </c>
      <c r="B31" s="0" t="n">
        <f aca="false">L19</f>
        <v>53307.4631973997</v>
      </c>
    </row>
    <row r="32" customFormat="false" ht="15" hidden="false" customHeight="false" outlineLevel="0" collapsed="false">
      <c r="A32" s="0" t="s">
        <v>158</v>
      </c>
      <c r="B32" s="0" t="n">
        <f aca="false">IF(B27&gt;B28,B31*(1+B28/100)/((B27-B28)/100),B31*B29)</f>
        <v>728535.330364463</v>
      </c>
    </row>
    <row r="33" customFormat="false" ht="15" hidden="false" customHeight="false" outlineLevel="0" collapsed="false">
      <c r="A33" s="0" t="s">
        <v>159</v>
      </c>
      <c r="B33" s="0" t="n">
        <f aca="false">B31*B29</f>
        <v>639689.558368797</v>
      </c>
    </row>
    <row r="34" customFormat="false" ht="15" hidden="false" customHeight="false" outlineLevel="0" collapsed="false">
      <c r="A34" s="0" t="s">
        <v>160</v>
      </c>
      <c r="B34" s="0" t="n">
        <f aca="false">MAX(0,MIN(B32,B33))</f>
        <v>639689.558368797</v>
      </c>
    </row>
    <row r="35" customFormat="false" ht="15" hidden="false" customHeight="false" outlineLevel="0" collapsed="false">
      <c r="A35" s="0" t="s">
        <v>161</v>
      </c>
      <c r="B35" s="0" t="n">
        <f aca="false">B34/(1+B27/100)^L4</f>
        <v>246628.01654723</v>
      </c>
    </row>
    <row r="36" customFormat="false" ht="15" hidden="false" customHeight="false" outlineLevel="0" collapsed="false">
      <c r="A36" s="0" t="s">
        <v>162</v>
      </c>
      <c r="B36" s="0" t="n">
        <f aca="false">B30+B35</f>
        <v>464759.67362367</v>
      </c>
    </row>
    <row r="37" customFormat="false" ht="15" hidden="false" customHeight="false" outlineLevel="0" collapsed="false">
      <c r="A37" s="0" t="s">
        <v>163</v>
      </c>
      <c r="B37" s="0" t="n">
        <f aca="false">B36+Assumptions!$B$5-Assumptions!$B$4</f>
        <v>470936.67362367</v>
      </c>
    </row>
    <row r="38" customFormat="false" ht="15" hidden="false" customHeight="false" outlineLevel="0" collapsed="false">
      <c r="A38" s="0" t="s">
        <v>164</v>
      </c>
      <c r="B38" s="0" t="n">
        <f aca="false">B37/Assumptions!$B$3*Assumptions!$B$10</f>
        <v>60.5432452018497</v>
      </c>
    </row>
    <row r="39" customFormat="false" ht="15" hidden="false" customHeight="false" outlineLevel="0" collapsed="false">
      <c r="A39" s="0" t="s">
        <v>165</v>
      </c>
      <c r="B39" s="4" t="n">
        <f aca="false">B38/Assumptions!$B$2-1</f>
        <v>-0.199163423255957</v>
      </c>
    </row>
    <row r="41" customFormat="false" ht="15" hidden="false" customHeight="false" outlineLevel="0" collapsed="false">
      <c r="A41" s="0" t="s">
        <v>166</v>
      </c>
      <c r="B41" s="0" t="n">
        <f aca="false">SUMPRODUCT(-C10:L10/(1+$B$27/100)^C4:L4)</f>
        <v>9882.72210379368</v>
      </c>
    </row>
    <row r="42" customFormat="false" ht="15" hidden="false" customHeight="false" outlineLevel="0" collapsed="false">
      <c r="A42" s="0" t="s">
        <v>167</v>
      </c>
      <c r="B42" s="0" t="n">
        <f aca="false">IF(B27&gt;B28,-L10*(1+B28/100)/((B27-B28)/100),-L10*20)/(1+B27/100)^L4</f>
        <v>10079.494296687</v>
      </c>
    </row>
    <row r="43" customFormat="false" ht="15" hidden="false" customHeight="false" outlineLevel="0" collapsed="false">
      <c r="A43" s="0" t="s">
        <v>168</v>
      </c>
      <c r="B43" s="0" t="n">
        <f aca="false">(B37+B41+B42)/Assumptions!$B$3*Assumptions!$B$10</f>
        <v>63.1095719077466</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437121.198218678</v>
      </c>
    </row>
    <row r="47" customFormat="false" ht="15" hidden="false" customHeight="false" outlineLevel="0" collapsed="false">
      <c r="A47" s="0" t="s">
        <v>170</v>
      </c>
      <c r="B47" s="0" t="n">
        <f aca="false">(SUMPRODUCT(C19:L19/(1+B45/100)^C4:L4)+B46/(1+B45/100)^L4+Assumptions!$B$5-Assumptions!$B$4)/Assumptions!$B$3*Assumptions!$B$10</f>
        <v>36.6213133813033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172</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Assumptions!C41</f>
        <v>3</v>
      </c>
      <c r="D5" s="4" t="n">
        <f aca="false">Assumptions!D41</f>
        <v>12</v>
      </c>
      <c r="E5" s="4" t="n">
        <f aca="false">Assumptions!E41</f>
        <v>11</v>
      </c>
      <c r="F5" s="4" t="n">
        <f aca="false">Assumptions!F41</f>
        <v>10</v>
      </c>
      <c r="G5" s="4" t="n">
        <f aca="false">Assumptions!G41</f>
        <v>8</v>
      </c>
      <c r="H5" s="4" t="n">
        <f aca="false">Assumptions!H41</f>
        <v>7</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64</v>
      </c>
      <c r="B6" s="3" t="n">
        <v>803965</v>
      </c>
      <c r="C6" s="0" t="n">
        <f aca="false">B6*(1+C5/100)</f>
        <v>828083.95</v>
      </c>
      <c r="D6" s="0" t="n">
        <f aca="false">C6*(1+D5/100)</f>
        <v>927454.024</v>
      </c>
      <c r="E6" s="0" t="n">
        <f aca="false">D6*(1+E5/100)</f>
        <v>1029473.96664</v>
      </c>
      <c r="F6" s="0" t="n">
        <f aca="false">E6*(1+F5/100)</f>
        <v>1132421.363304</v>
      </c>
      <c r="G6" s="0" t="n">
        <f aca="false">F6*(1+G5/100)</f>
        <v>1223015.07236832</v>
      </c>
      <c r="H6" s="0" t="n">
        <f aca="false">G6*(1+H5/100)</f>
        <v>1308626.1274341</v>
      </c>
      <c r="I6" s="0" t="n">
        <f aca="false">H6*(1+I5/100)</f>
        <v>1387143.69508015</v>
      </c>
      <c r="J6" s="0" t="n">
        <f aca="false">I6*(1+J5/100)</f>
        <v>1456500.87983416</v>
      </c>
      <c r="K6" s="0" t="n">
        <f aca="false">J6*(1+K5/100)</f>
        <v>1514760.91502752</v>
      </c>
      <c r="L6" s="0" t="n">
        <f aca="false">K6*(1+L5/100)</f>
        <v>1560203.74247835</v>
      </c>
    </row>
    <row r="7" customFormat="false" ht="15" hidden="false" customHeight="false" outlineLevel="0" collapsed="false">
      <c r="A7" s="0" t="s">
        <v>127</v>
      </c>
      <c r="C7" s="4" t="n">
        <f aca="false">Assumptions!C42</f>
        <v>16.5</v>
      </c>
      <c r="D7" s="4" t="n">
        <f aca="false">Assumptions!D42</f>
        <v>16.5</v>
      </c>
      <c r="E7" s="4" t="n">
        <f aca="false">Assumptions!E42</f>
        <v>16.5</v>
      </c>
      <c r="F7" s="4" t="n">
        <f aca="false">Assumptions!F42</f>
        <v>16</v>
      </c>
      <c r="G7" s="4" t="n">
        <f aca="false">Assumptions!G42</f>
        <v>16</v>
      </c>
      <c r="H7" s="4" t="n">
        <f aca="false">Assumptions!H42</f>
        <v>15.5</v>
      </c>
      <c r="I7" s="4" t="n">
        <f aca="false">Assumptions!I42</f>
        <v>15.5</v>
      </c>
      <c r="J7" s="4" t="n">
        <f aca="false">Assumptions!J42</f>
        <v>15.5</v>
      </c>
      <c r="K7" s="4" t="n">
        <f aca="false">Assumptions!K42</f>
        <v>15.5</v>
      </c>
      <c r="L7" s="4" t="n">
        <f aca="false">Assumptions!L42</f>
        <v>15.5</v>
      </c>
    </row>
    <row r="8" customFormat="false" ht="15" hidden="false" customHeight="false" outlineLevel="0" collapsed="false">
      <c r="A8" s="0" t="s">
        <v>70</v>
      </c>
      <c r="C8" s="0" t="n">
        <f aca="false">C6*C7/100</f>
        <v>136633.85175</v>
      </c>
      <c r="D8" s="0" t="n">
        <f aca="false">D6*D7/100</f>
        <v>153029.91396</v>
      </c>
      <c r="E8" s="0" t="n">
        <f aca="false">E6*E7/100</f>
        <v>169863.2044956</v>
      </c>
      <c r="F8" s="0" t="n">
        <f aca="false">F6*F7/100</f>
        <v>181187.41812864</v>
      </c>
      <c r="G8" s="0" t="n">
        <f aca="false">G6*G7/100</f>
        <v>195682.411578931</v>
      </c>
      <c r="H8" s="0" t="n">
        <f aca="false">H6*H7/100</f>
        <v>202837.049752286</v>
      </c>
      <c r="I8" s="0" t="n">
        <f aca="false">I6*I7/100</f>
        <v>215007.272737423</v>
      </c>
      <c r="J8" s="0" t="n">
        <f aca="false">J6*J7/100</f>
        <v>225757.636374294</v>
      </c>
      <c r="K8" s="0" t="n">
        <f aca="false">K6*K7/100</f>
        <v>234787.941829266</v>
      </c>
      <c r="L8" s="0" t="n">
        <f aca="false">L6*L7/100</f>
        <v>241831.580084144</v>
      </c>
    </row>
    <row r="9" customFormat="false" ht="15" hidden="false" customHeight="false" outlineLevel="0" collapsed="false">
      <c r="A9" s="0" t="s">
        <v>128</v>
      </c>
      <c r="C9" s="4" t="n">
        <f aca="false">Assumptions!C43</f>
        <v>0.17</v>
      </c>
      <c r="D9" s="4" t="n">
        <f aca="false">Assumptions!D43</f>
        <v>0.17</v>
      </c>
      <c r="E9" s="4" t="n">
        <f aca="false">Assumptions!E43</f>
        <v>0.16</v>
      </c>
      <c r="F9" s="4" t="n">
        <f aca="false">Assumptions!F43</f>
        <v>0.16</v>
      </c>
      <c r="G9" s="4" t="n">
        <f aca="false">Assumptions!G43</f>
        <v>0.15</v>
      </c>
      <c r="H9" s="4" t="n">
        <f aca="false">Assumptions!H43</f>
        <v>0.15</v>
      </c>
      <c r="I9" s="4" t="n">
        <f aca="false">Assumptions!I43</f>
        <v>0.15</v>
      </c>
      <c r="J9" s="4" t="n">
        <f aca="false">Assumptions!J43</f>
        <v>0.15</v>
      </c>
      <c r="K9" s="4" t="n">
        <f aca="false">Assumptions!K43</f>
        <v>0.15</v>
      </c>
      <c r="L9" s="4" t="n">
        <f aca="false">Assumptions!L43</f>
        <v>0.15</v>
      </c>
    </row>
    <row r="10" customFormat="false" ht="15" hidden="false" customHeight="false" outlineLevel="0" collapsed="false">
      <c r="A10" s="0" t="s">
        <v>143</v>
      </c>
      <c r="C10" s="0" t="n">
        <f aca="false">-C6*C9/100</f>
        <v>-1407.742715</v>
      </c>
      <c r="D10" s="0" t="n">
        <f aca="false">-D6*D9/100</f>
        <v>-1576.6718408</v>
      </c>
      <c r="E10" s="0" t="n">
        <f aca="false">-E6*E9/100</f>
        <v>-1647.158346624</v>
      </c>
      <c r="F10" s="0" t="n">
        <f aca="false">-F6*F9/100</f>
        <v>-1811.8741812864</v>
      </c>
      <c r="G10" s="0" t="n">
        <f aca="false">-G6*G9/100</f>
        <v>-1834.52260855248</v>
      </c>
      <c r="H10" s="0" t="n">
        <f aca="false">-H6*H9/100</f>
        <v>-1962.93919115115</v>
      </c>
      <c r="I10" s="0" t="n">
        <f aca="false">-I6*I9/100</f>
        <v>-2080.71554262022</v>
      </c>
      <c r="J10" s="0" t="n">
        <f aca="false">-J6*J9/100</f>
        <v>-2184.75131975124</v>
      </c>
      <c r="K10" s="0" t="n">
        <f aca="false">-K6*K9/100</f>
        <v>-2272.14137254128</v>
      </c>
      <c r="L10" s="0" t="n">
        <f aca="false">-L6*L9/100</f>
        <v>-2340.30561371752</v>
      </c>
    </row>
    <row r="11" customFormat="false" ht="15" hidden="false" customHeight="false" outlineLevel="0" collapsed="false">
      <c r="A11" s="0" t="s">
        <v>144</v>
      </c>
      <c r="C11" s="0" t="n">
        <f aca="false">C8+C10+C24</f>
        <v>135226.109035</v>
      </c>
      <c r="D11" s="0" t="n">
        <f aca="false">D8+D10+D24</f>
        <v>151453.2421192</v>
      </c>
      <c r="E11" s="0" t="n">
        <f aca="false">E8+E10+E24</f>
        <v>168216.046148976</v>
      </c>
      <c r="F11" s="0" t="n">
        <f aca="false">F8+F10+F24</f>
        <v>179375.543947354</v>
      </c>
      <c r="G11" s="0" t="n">
        <f aca="false">G8+G10+G24</f>
        <v>193847.888970379</v>
      </c>
      <c r="H11" s="0" t="n">
        <f aca="false">H8+H10+H24</f>
        <v>200874.110561135</v>
      </c>
      <c r="I11" s="0" t="n">
        <f aca="false">I8+I10+I24</f>
        <v>212926.557194803</v>
      </c>
      <c r="J11" s="0" t="n">
        <f aca="false">J8+J10+J24</f>
        <v>223572.885054543</v>
      </c>
      <c r="K11" s="0" t="n">
        <f aca="false">K8+K10+K24</f>
        <v>232515.800456725</v>
      </c>
      <c r="L11" s="0" t="n">
        <f aca="false">L8+L10+L24</f>
        <v>239491.274470427</v>
      </c>
    </row>
    <row r="12" customFormat="false" ht="15" hidden="false" customHeight="false" outlineLevel="0" collapsed="false">
      <c r="A12" s="0" t="s">
        <v>145</v>
      </c>
      <c r="C12" s="4" t="n">
        <f aca="false">-C6*Assumptions!C45/100</f>
        <v>-86948.81475</v>
      </c>
      <c r="D12" s="4" t="n">
        <f aca="false">-D6*Assumptions!D45/100</f>
        <v>-92745.4024</v>
      </c>
      <c r="E12" s="4" t="n">
        <f aca="false">-E6*Assumptions!E45/100</f>
        <v>-97800.0268308</v>
      </c>
      <c r="F12" s="4" t="n">
        <f aca="false">-F6*Assumptions!F45/100</f>
        <v>-101917.92269736</v>
      </c>
      <c r="G12" s="4" t="n">
        <f aca="false">-G6*Assumptions!G45/100</f>
        <v>-103956.281151307</v>
      </c>
      <c r="H12" s="4" t="n">
        <f aca="false">-H6*Assumptions!H45/100</f>
        <v>-111233.220831899</v>
      </c>
      <c r="I12" s="4" t="n">
        <f aca="false">-I6*Assumptions!I45/100</f>
        <v>-110971.495606412</v>
      </c>
      <c r="J12" s="4" t="n">
        <f aca="false">-J6*Assumptions!J45/100</f>
        <v>-116520.070386733</v>
      </c>
      <c r="K12" s="4" t="n">
        <f aca="false">-K6*Assumptions!K45/100</f>
        <v>-121180.873202202</v>
      </c>
      <c r="L12" s="4" t="n">
        <f aca="false">-L6*Assumptions!L45/100</f>
        <v>-124816.299398268</v>
      </c>
    </row>
    <row r="13" customFormat="false" ht="15" hidden="false" customHeight="false" outlineLevel="0" collapsed="false">
      <c r="A13" s="0" t="s">
        <v>146</v>
      </c>
      <c r="C13" s="0" t="n">
        <f aca="false">C11+C12</f>
        <v>48277.294285</v>
      </c>
      <c r="D13" s="0" t="n">
        <f aca="false">D11+D12</f>
        <v>58707.8397192</v>
      </c>
      <c r="E13" s="0" t="n">
        <f aca="false">E11+E12</f>
        <v>70416.019318176</v>
      </c>
      <c r="F13" s="0" t="n">
        <f aca="false">F11+F12</f>
        <v>77457.6212499937</v>
      </c>
      <c r="G13" s="0" t="n">
        <f aca="false">G11+G12</f>
        <v>89891.6078190716</v>
      </c>
      <c r="H13" s="0" t="n">
        <f aca="false">H11+H12</f>
        <v>89640.8897292361</v>
      </c>
      <c r="I13" s="0" t="n">
        <f aca="false">I11+I12</f>
        <v>101955.061588391</v>
      </c>
      <c r="J13" s="0" t="n">
        <f aca="false">J11+J12</f>
        <v>107052.814667811</v>
      </c>
      <c r="K13" s="0" t="n">
        <f aca="false">K11+K12</f>
        <v>111334.927254523</v>
      </c>
      <c r="L13" s="0" t="n">
        <f aca="false">L11+L12</f>
        <v>114674.975072159</v>
      </c>
    </row>
    <row r="14" customFormat="false" ht="15" hidden="false" customHeight="false" outlineLevel="0" collapsed="false">
      <c r="A14" s="0" t="s">
        <v>132</v>
      </c>
      <c r="C14" s="4" t="n">
        <f aca="false">Assumptions!C47</f>
        <v>25</v>
      </c>
      <c r="D14" s="4" t="n">
        <f aca="false">Assumptions!D47</f>
        <v>22</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147</v>
      </c>
      <c r="C15" s="0" t="n">
        <f aca="false">C13-MAX(0,C13)*C14/100</f>
        <v>36207.97071375</v>
      </c>
      <c r="D15" s="0" t="n">
        <f aca="false">D13-MAX(0,D13)*D14/100</f>
        <v>45792.114980976</v>
      </c>
      <c r="E15" s="0" t="n">
        <f aca="false">E13-MAX(0,E13)*E14/100</f>
        <v>56332.8154545408</v>
      </c>
      <c r="F15" s="0" t="n">
        <f aca="false">F13-MAX(0,F13)*F14/100</f>
        <v>61966.0969999949</v>
      </c>
      <c r="G15" s="0" t="n">
        <f aca="false">G13-MAX(0,G13)*G14/100</f>
        <v>71913.2862552573</v>
      </c>
      <c r="H15" s="0" t="n">
        <f aca="false">H13-MAX(0,H13)*H14/100</f>
        <v>71712.7117833889</v>
      </c>
      <c r="I15" s="0" t="n">
        <f aca="false">I13-MAX(0,I13)*I14/100</f>
        <v>81564.0492707128</v>
      </c>
      <c r="J15" s="0" t="n">
        <f aca="false">J13-MAX(0,J13)*J14/100</f>
        <v>85642.2517342484</v>
      </c>
      <c r="K15" s="0" t="n">
        <f aca="false">K13-MAX(0,K13)*K14/100</f>
        <v>89067.9418036184</v>
      </c>
      <c r="L15" s="0" t="n">
        <f aca="false">L13-MAX(0,L13)*L14/100</f>
        <v>91739.9800577269</v>
      </c>
    </row>
    <row r="16" customFormat="false" ht="15" hidden="false" customHeight="false" outlineLevel="0" collapsed="false">
      <c r="A16" s="0" t="s">
        <v>148</v>
      </c>
      <c r="C16" s="0" t="n">
        <f aca="false">-C12</f>
        <v>86948.81475</v>
      </c>
      <c r="D16" s="0" t="n">
        <f aca="false">-D12</f>
        <v>92745.4024</v>
      </c>
      <c r="E16" s="0" t="n">
        <f aca="false">-E12</f>
        <v>97800.0268308</v>
      </c>
      <c r="F16" s="0" t="n">
        <f aca="false">-F12</f>
        <v>101917.92269736</v>
      </c>
      <c r="G16" s="0" t="n">
        <f aca="false">-G12</f>
        <v>103956.281151307</v>
      </c>
      <c r="H16" s="0" t="n">
        <f aca="false">-H12</f>
        <v>111233.220831899</v>
      </c>
      <c r="I16" s="0" t="n">
        <f aca="false">-I12</f>
        <v>110971.495606412</v>
      </c>
      <c r="J16" s="0" t="n">
        <f aca="false">-J12</f>
        <v>116520.070386733</v>
      </c>
      <c r="K16" s="0" t="n">
        <f aca="false">-K12</f>
        <v>121180.873202202</v>
      </c>
      <c r="L16" s="0" t="n">
        <f aca="false">-L12</f>
        <v>124816.299398268</v>
      </c>
    </row>
    <row r="17" customFormat="false" ht="15" hidden="false" customHeight="false" outlineLevel="0" collapsed="false">
      <c r="A17" s="0" t="s">
        <v>149</v>
      </c>
      <c r="C17" s="4" t="n">
        <f aca="false">-C6*Assumptions!C46/100</f>
        <v>-103510.49375</v>
      </c>
      <c r="D17" s="4" t="n">
        <f aca="false">-D6*Assumptions!D46/100</f>
        <v>-106657.21276</v>
      </c>
      <c r="E17" s="4" t="n">
        <f aca="false">-E6*Assumptions!E46/100</f>
        <v>-108094.7664972</v>
      </c>
      <c r="F17" s="4" t="n">
        <f aca="false">-F6*Assumptions!F46/100</f>
        <v>-113242.1363304</v>
      </c>
      <c r="G17" s="4" t="n">
        <f aca="false">-G6*Assumptions!G46/100</f>
        <v>-116186.43187499</v>
      </c>
      <c r="H17" s="4" t="n">
        <f aca="false">-H6*Assumptions!H46/100</f>
        <v>-117776.351469069</v>
      </c>
      <c r="I17" s="4" t="n">
        <f aca="false">-I6*Assumptions!I46/100</f>
        <v>-117907.214081813</v>
      </c>
      <c r="J17" s="4" t="n">
        <f aca="false">-J6*Assumptions!J46/100</f>
        <v>-123802.574785903</v>
      </c>
      <c r="K17" s="4" t="n">
        <f aca="false">-K6*Assumptions!K46/100</f>
        <v>-128754.677777339</v>
      </c>
      <c r="L17" s="4" t="n">
        <f aca="false">-L6*Assumptions!L46/100</f>
        <v>-132617.31811066</v>
      </c>
    </row>
    <row r="18" customFormat="false" ht="15" hidden="false" customHeight="false" outlineLevel="0" collapsed="false">
      <c r="A18" s="0" t="s">
        <v>150</v>
      </c>
      <c r="C18" s="4" t="n">
        <f aca="false">(C6-B6)*Assumptions!$B$51/100</f>
        <v>1205.9475</v>
      </c>
      <c r="D18" s="4" t="n">
        <f aca="false">(D6-C6)*Assumptions!$B$51/100</f>
        <v>4968.50370000001</v>
      </c>
      <c r="E18" s="4" t="n">
        <f aca="false">(E6-D6)*Assumptions!$B$51/100</f>
        <v>5100.99713200001</v>
      </c>
      <c r="F18" s="4" t="n">
        <f aca="false">(F6-E6)*Assumptions!$B$51/100</f>
        <v>5147.36983320001</v>
      </c>
      <c r="G18" s="4" t="n">
        <f aca="false">(G6-F6)*Assumptions!$B$51/100</f>
        <v>4529.68545321601</v>
      </c>
      <c r="H18" s="4" t="n">
        <f aca="false">(H6-G6)*Assumptions!$B$51/100</f>
        <v>4280.55275328913</v>
      </c>
      <c r="I18" s="4" t="n">
        <f aca="false">(I6-H6)*Assumptions!$B$51/100</f>
        <v>3925.87838230231</v>
      </c>
      <c r="J18" s="4" t="n">
        <f aca="false">(J6-I6)*Assumptions!$B$51/100</f>
        <v>3467.85923770037</v>
      </c>
      <c r="K18" s="4" t="n">
        <f aca="false">(K6-J6)*Assumptions!$B$51/100</f>
        <v>2913.00175966831</v>
      </c>
      <c r="L18" s="4" t="n">
        <f aca="false">(L6-K6)*Assumptions!$B$51/100</f>
        <v>2272.14137254129</v>
      </c>
    </row>
    <row r="19" customFormat="false" ht="15" hidden="false" customHeight="false" outlineLevel="0" collapsed="false">
      <c r="A19" s="0" t="s">
        <v>151</v>
      </c>
      <c r="C19" s="0" t="n">
        <f aca="false">C15+C16+C17+C18</f>
        <v>20852.23921375</v>
      </c>
      <c r="D19" s="0" t="n">
        <f aca="false">D15+D16+D17+D18</f>
        <v>36848.808320976</v>
      </c>
      <c r="E19" s="0" t="n">
        <f aca="false">E15+E16+E17+E18</f>
        <v>51139.0729201408</v>
      </c>
      <c r="F19" s="0" t="n">
        <f aca="false">F15+F16+F17+F18</f>
        <v>55789.2532001549</v>
      </c>
      <c r="G19" s="0" t="n">
        <f aca="false">G15+G16+G17+G18</f>
        <v>64212.8209847901</v>
      </c>
      <c r="H19" s="0" t="n">
        <f aca="false">H15+H16+H17+H18</f>
        <v>69450.1338995075</v>
      </c>
      <c r="I19" s="0" t="n">
        <f aca="false">I15+I16+I17+I18</f>
        <v>78554.2091776144</v>
      </c>
      <c r="J19" s="0" t="n">
        <f aca="false">J15+J16+J17+J18</f>
        <v>81827.606572778</v>
      </c>
      <c r="K19" s="0" t="n">
        <f aca="false">K15+K16+K17+K18</f>
        <v>84407.1389881491</v>
      </c>
      <c r="L19" s="0" t="n">
        <f aca="false">L15+L16+L17+L18</f>
        <v>86211.1027178765</v>
      </c>
    </row>
    <row r="20" customFormat="false" ht="15" hidden="false" customHeight="false" outlineLevel="0" collapsed="false">
      <c r="A20" s="0" t="s">
        <v>152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153</v>
      </c>
      <c r="C21" s="0" t="n">
        <f aca="false">C19*C20</f>
        <v>18956.5811034091</v>
      </c>
      <c r="D21" s="0" t="n">
        <f aca="false">D19*D20</f>
        <v>30453.5605958479</v>
      </c>
      <c r="E21" s="0" t="n">
        <f aca="false">E19*E20</f>
        <v>38421.5423892868</v>
      </c>
      <c r="F21" s="0" t="n">
        <f aca="false">F19*F20</f>
        <v>38104.8106004746</v>
      </c>
      <c r="G21" s="0" t="n">
        <f aca="false">G19*G20</f>
        <v>39871.1097632365</v>
      </c>
      <c r="H21" s="0" t="n">
        <f aca="false">H19*H20</f>
        <v>39202.790025016</v>
      </c>
      <c r="I21" s="0" t="n">
        <f aca="false">I19*I20</f>
        <v>40310.7301606859</v>
      </c>
      <c r="J21" s="0" t="n">
        <f aca="false">J19*J20</f>
        <v>38173.1823710994</v>
      </c>
      <c r="K21" s="0" t="n">
        <f aca="false">K19*K20</f>
        <v>35796.8666185093</v>
      </c>
      <c r="L21" s="0" t="n">
        <f aca="false">L19*L20</f>
        <v>33238.1121271973</v>
      </c>
    </row>
    <row r="23" customFormat="false" ht="15" hidden="false" customHeight="false" outlineLevel="0" collapsed="false">
      <c r="A23" s="0" t="s">
        <v>129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154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155</v>
      </c>
    </row>
    <row r="27" customFormat="false" ht="15" hidden="false" customHeight="false" outlineLevel="0" collapsed="false">
      <c r="A27" s="0" t="s">
        <v>133</v>
      </c>
      <c r="B27" s="4" t="n">
        <f aca="false">Assumptions!$B$48</f>
        <v>10</v>
      </c>
    </row>
    <row r="28" customFormat="false" ht="15" hidden="false" customHeight="false" outlineLevel="0" collapsed="false">
      <c r="A28" s="0" t="s">
        <v>134</v>
      </c>
      <c r="B28" s="4" t="n">
        <f aca="false">Assumptions!$B$49</f>
        <v>3</v>
      </c>
    </row>
    <row r="29" customFormat="false" ht="15" hidden="false" customHeight="false" outlineLevel="0" collapsed="false">
      <c r="A29" s="0" t="s">
        <v>135</v>
      </c>
      <c r="B29" s="4" t="n">
        <f aca="false">Assumptions!$B$50</f>
        <v>12</v>
      </c>
    </row>
    <row r="30" customFormat="false" ht="15" hidden="false" customHeight="false" outlineLevel="0" collapsed="false">
      <c r="A30" s="0" t="s">
        <v>156</v>
      </c>
      <c r="B30" s="0" t="n">
        <f aca="false">SUM(C21:L21)</f>
        <v>352529.285754763</v>
      </c>
    </row>
    <row r="31" customFormat="false" ht="15" hidden="false" customHeight="false" outlineLevel="0" collapsed="false">
      <c r="A31" s="0" t="s">
        <v>157</v>
      </c>
      <c r="B31" s="0" t="n">
        <f aca="false">L19</f>
        <v>86211.1027178765</v>
      </c>
    </row>
    <row r="32" customFormat="false" ht="15" hidden="false" customHeight="false" outlineLevel="0" collapsed="false">
      <c r="A32" s="0" t="s">
        <v>158</v>
      </c>
      <c r="B32" s="0" t="n">
        <f aca="false">IF(B27&gt;B28,B31*(1+B28/100)/((B27-B28)/100),B31*B29)</f>
        <v>1268534.79713447</v>
      </c>
    </row>
    <row r="33" customFormat="false" ht="15" hidden="false" customHeight="false" outlineLevel="0" collapsed="false">
      <c r="A33" s="0" t="s">
        <v>159</v>
      </c>
      <c r="B33" s="0" t="n">
        <f aca="false">B31*B29</f>
        <v>1034533.23261452</v>
      </c>
    </row>
    <row r="34" customFormat="false" ht="15" hidden="false" customHeight="false" outlineLevel="0" collapsed="false">
      <c r="A34" s="0" t="s">
        <v>160</v>
      </c>
      <c r="B34" s="0" t="n">
        <f aca="false">MAX(0,MIN(B32,B33))</f>
        <v>1034533.23261452</v>
      </c>
    </row>
    <row r="35" customFormat="false" ht="15" hidden="false" customHeight="false" outlineLevel="0" collapsed="false">
      <c r="A35" s="0" t="s">
        <v>161</v>
      </c>
      <c r="B35" s="0" t="n">
        <f aca="false">B34/(1+B27/100)^L4</f>
        <v>398857.345526368</v>
      </c>
    </row>
    <row r="36" customFormat="false" ht="15" hidden="false" customHeight="false" outlineLevel="0" collapsed="false">
      <c r="A36" s="0" t="s">
        <v>162</v>
      </c>
      <c r="B36" s="0" t="n">
        <f aca="false">B30+B35</f>
        <v>751386.631281131</v>
      </c>
    </row>
    <row r="37" customFormat="false" ht="15" hidden="false" customHeight="false" outlineLevel="0" collapsed="false">
      <c r="A37" s="0" t="s">
        <v>163</v>
      </c>
      <c r="B37" s="0" t="n">
        <f aca="false">B36+Assumptions!$B$5-Assumptions!$B$4</f>
        <v>757563.631281131</v>
      </c>
    </row>
    <row r="38" customFormat="false" ht="15" hidden="false" customHeight="false" outlineLevel="0" collapsed="false">
      <c r="A38" s="0" t="s">
        <v>164</v>
      </c>
      <c r="B38" s="0" t="n">
        <f aca="false">B37/Assumptions!$B$3*Assumptions!$B$10</f>
        <v>97.3917795183404</v>
      </c>
    </row>
    <row r="39" customFormat="false" ht="15" hidden="false" customHeight="false" outlineLevel="0" collapsed="false">
      <c r="A39" s="0" t="s">
        <v>165</v>
      </c>
      <c r="B39" s="4" t="n">
        <f aca="false">B38/Assumptions!$B$2-1</f>
        <v>0.2882510518299</v>
      </c>
    </row>
    <row r="41" customFormat="false" ht="15" hidden="false" customHeight="false" outlineLevel="0" collapsed="false">
      <c r="A41" s="0" t="s">
        <v>166</v>
      </c>
      <c r="B41" s="0" t="n">
        <f aca="false">SUMPRODUCT(-C10:L10/(1+$B$27/100)^C4:L4)</f>
        <v>11257.8293354781</v>
      </c>
    </row>
    <row r="42" customFormat="false" ht="15" hidden="false" customHeight="false" outlineLevel="0" collapsed="false">
      <c r="A42" s="0" t="s">
        <v>167</v>
      </c>
      <c r="B42" s="0" t="n">
        <f aca="false">IF(B27&gt;B28,-L10*(1+B28/100)/((B27-B28)/100),-L10*20)/(1+B27/100)^L4</f>
        <v>13276.5399760078</v>
      </c>
    </row>
    <row r="43" customFormat="false" ht="15" hidden="false" customHeight="false" outlineLevel="0" collapsed="false">
      <c r="A43" s="0" t="s">
        <v>168</v>
      </c>
      <c r="B43" s="0" t="n">
        <f aca="false">(B37+B41+B42)/Assumptions!$B$3*Assumptions!$B$10</f>
        <v>100.545898575726</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739978.631661773</v>
      </c>
    </row>
    <row r="47" customFormat="false" ht="15" hidden="false" customHeight="false" outlineLevel="0" collapsed="false">
      <c r="A47" s="0" t="s">
        <v>170</v>
      </c>
      <c r="B47" s="0" t="n">
        <f aca="false">(SUMPRODUCT(C19:L19/(1+B45/100)^C4:L4)+B46/(1+B45/100)^L4+Assumptions!$B$5-Assumptions!$B$4)/Assumptions!$B$3*Assumptions!$B$10</f>
        <v>59.6696543904464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173</v>
      </c>
    </row>
    <row r="3" customFormat="false" ht="15" hidden="false" customHeight="false" outlineLevel="0" collapsed="false">
      <c r="A3" s="2" t="s">
        <v>174</v>
      </c>
      <c r="B3" s="2" t="s">
        <v>175</v>
      </c>
      <c r="C3" s="2" t="s">
        <v>165</v>
      </c>
      <c r="D3" s="2" t="s">
        <v>176</v>
      </c>
      <c r="E3" s="2" t="s">
        <v>168</v>
      </c>
      <c r="F3" s="2" t="s">
        <v>177</v>
      </c>
    </row>
    <row r="4" customFormat="false" ht="15" hidden="false" customHeight="false" outlineLevel="0" collapsed="false">
      <c r="A4" s="0" t="s">
        <v>178</v>
      </c>
      <c r="B4" s="4" t="n">
        <f aca="false">DCF_Bear!$B$38</f>
        <v>28.0110256260034</v>
      </c>
      <c r="C4" s="0" t="n">
        <f aca="false">B4/Assumptions!$B$2-1</f>
        <v>-0.629483788015828</v>
      </c>
      <c r="D4" s="4" t="n">
        <f aca="false">Assumptions!$B$24</f>
        <v>0.25</v>
      </c>
      <c r="E4" s="4" t="n">
        <f aca="false">DCF_Bear!$B$43</f>
        <v>29.9779428096241</v>
      </c>
      <c r="F4" s="4" t="n">
        <f aca="false">DCF_Bear!$B$47</f>
        <v>17.2972107508371</v>
      </c>
    </row>
    <row r="5" customFormat="false" ht="15" hidden="false" customHeight="false" outlineLevel="0" collapsed="false">
      <c r="A5" s="0" t="s">
        <v>179</v>
      </c>
      <c r="B5" s="4" t="n">
        <f aca="false">DCF_Base!$B$38</f>
        <v>60.5432452018497</v>
      </c>
      <c r="C5" s="0" t="n">
        <f aca="false">B5/Assumptions!$B$2-1</f>
        <v>-0.199163423255957</v>
      </c>
      <c r="D5" s="4" t="n">
        <f aca="false">Assumptions!$B$38</f>
        <v>0.5</v>
      </c>
      <c r="E5" s="4" t="n">
        <f aca="false">DCF_Base!$B$43</f>
        <v>63.1095719077466</v>
      </c>
      <c r="F5" s="4" t="n">
        <f aca="false">DCF_Base!$B$47</f>
        <v>36.6213133813033</v>
      </c>
    </row>
    <row r="6" customFormat="false" ht="15" hidden="false" customHeight="false" outlineLevel="0" collapsed="false">
      <c r="A6" s="0" t="s">
        <v>180</v>
      </c>
      <c r="B6" s="4" t="n">
        <f aca="false">DCF_Bull!$B$38</f>
        <v>97.3917795183404</v>
      </c>
      <c r="C6" s="0" t="n">
        <f aca="false">B6/Assumptions!$B$2-1</f>
        <v>0.2882510518299</v>
      </c>
      <c r="D6" s="4" t="n">
        <f aca="false">Assumptions!$B$52</f>
        <v>0.25</v>
      </c>
      <c r="E6" s="4" t="n">
        <f aca="false">DCF_Bull!$B$43</f>
        <v>100.545898575726</v>
      </c>
      <c r="F6" s="4" t="n">
        <f aca="false">DCF_Bull!$B$47</f>
        <v>59.6696543904464</v>
      </c>
    </row>
    <row r="8" customFormat="false" ht="15" hidden="false" customHeight="false" outlineLevel="0" collapsed="false">
      <c r="A8" s="0" t="s">
        <v>181</v>
      </c>
      <c r="B8" s="0" t="n">
        <f aca="false">SUMPRODUCT(B4:B6,D4:D6)</f>
        <v>61.6223238870108</v>
      </c>
    </row>
    <row r="9" customFormat="false" ht="15" hidden="false" customHeight="false" outlineLevel="0" collapsed="false">
      <c r="A9" s="0" t="s">
        <v>182</v>
      </c>
      <c r="B9" s="0" t="n">
        <f aca="false">SUMPRODUCT(E4:E6,D4:D6)</f>
        <v>64.1857463002107</v>
      </c>
    </row>
    <row r="10" customFormat="false" ht="15" hidden="false" customHeight="false" outlineLevel="0" collapsed="false">
      <c r="A10" s="0" t="s">
        <v>183</v>
      </c>
      <c r="B10" s="0" t="n">
        <f aca="false">1-Assumptions!$B$2/B8</f>
        <v>-0.226828123824384</v>
      </c>
    </row>
    <row r="11" customFormat="false" ht="15" hidden="false" customHeight="false" outlineLevel="0" collapsed="false">
      <c r="A11" s="0" t="s">
        <v>184</v>
      </c>
      <c r="B11" s="0" t="n">
        <f aca="false">IF(ABS(B9-B8)&gt;0.01*ABS(B8),(Assumptions!$B$2-B8)/(B9-B8)*100,"n/a")</f>
        <v>545.274007163761</v>
      </c>
    </row>
    <row r="12" customFormat="false" ht="15" hidden="false" customHeight="false" outlineLevel="0" collapsed="false">
      <c r="A12" s="0" t="s">
        <v>185</v>
      </c>
      <c r="B12" s="0" t="n">
        <f aca="false">SUMPRODUCT(F4:F6,D4:D6)</f>
        <v>37.5523729759725</v>
      </c>
    </row>
    <row r="14" customFormat="false" ht="15" hidden="false" customHeight="false" outlineLevel="0" collapsed="false">
      <c r="A14" s="2" t="s">
        <v>186</v>
      </c>
      <c r="C14" s="0" t="s">
        <v>187</v>
      </c>
    </row>
    <row r="15" customFormat="false" ht="15" hidden="false" customHeight="false" outlineLevel="0" collapsed="false">
      <c r="A15" s="0" t="s">
        <v>188</v>
      </c>
      <c r="B15" s="0" t="n">
        <f aca="false">(SUMPRODUCT(DCF_Base!$C$19:$L$19/(1+$C$15/100)^DCF_Base!$C$4:$L$4)+MAX(0,MIN(IF($C$15&gt;DCF_Base!$B$28,DCF_Base!$L$19*(1+DCF_Base!$B$28/100)/(($C$15-DCF_Base!$B$28)/100),DCF_Base!$L$19*DCF_Base!$B$29),DCF_Base!$L$19*DCF_Base!$B$29))/(1+$C$15/100)^DCF_Base!$L$4+Assumptions!$B$5-Assumptions!$B$4)/Assumptions!$B$3*Assumptions!$B$10</f>
        <v>65.0798782849981</v>
      </c>
      <c r="C15" s="3" t="n">
        <v>9</v>
      </c>
    </row>
    <row r="16" customFormat="false" ht="15" hidden="false" customHeight="false" outlineLevel="0" collapsed="false">
      <c r="A16" s="0" t="s">
        <v>189</v>
      </c>
      <c r="B16" s="0" t="n">
        <f aca="false">(SUMPRODUCT(DCF_Base!$C$19:$L$19/(1+$C$16/100)^DCF_Base!$C$4:$L$4)+MAX(0,MIN(IF($C$16&gt;DCF_Base!$B$28,DCF_Base!$L$19*(1+DCF_Base!$B$28/100)/(($C$16-DCF_Base!$B$28)/100),DCF_Base!$L$19*DCF_Base!$B$29),DCF_Base!$L$19*DCF_Base!$B$29))/(1+$C$16/100)^DCF_Base!$L$4+Assumptions!$B$5-Assumptions!$B$4)/Assumptions!$B$3*Assumptions!$B$10</f>
        <v>60.5432452018497</v>
      </c>
      <c r="C16" s="3" t="n">
        <v>10</v>
      </c>
    </row>
    <row r="17" customFormat="false" ht="15" hidden="false" customHeight="false" outlineLevel="0" collapsed="false">
      <c r="A17" s="0" t="s">
        <v>190</v>
      </c>
      <c r="B17" s="0" t="n">
        <f aca="false">(SUMPRODUCT(DCF_Base!$C$19:$L$19/(1+$C$17/100)^DCF_Base!$C$4:$L$4)+MAX(0,MIN(IF($C$17&gt;DCF_Base!$B$28,DCF_Base!$L$19*(1+DCF_Base!$B$28/100)/(($C$17-DCF_Base!$B$28)/100),DCF_Base!$L$19*DCF_Base!$B$29),DCF_Base!$L$19*DCF_Base!$B$29))/(1+$C$17/100)^DCF_Base!$L$4+Assumptions!$B$5-Assumptions!$B$4)/Assumptions!$B$3*Assumptions!$B$10</f>
        <v>56.4006115342089</v>
      </c>
      <c r="C17" s="3" t="n">
        <v>11</v>
      </c>
    </row>
    <row r="18" customFormat="false" ht="15" hidden="false" customHeight="false" outlineLevel="0" collapsed="false">
      <c r="A18" s="0" t="s">
        <v>191</v>
      </c>
      <c r="B18" s="0" t="n">
        <f aca="false">(SUMPRODUCT(DCF_Base!$C$19:$L$19/(1+$C$18/100)^DCF_Base!$C$4:$L$4)+MAX(0,MIN(IF($C$18&gt;DCF_Base!$B$28,DCF_Base!$L$19*(1+DCF_Base!$B$28/100)/(($C$18-DCF_Base!$B$28)/100),DCF_Base!$L$19*DCF_Base!$B$29),DCF_Base!$L$19*DCF_Base!$B$29))/(1+$C$18/100)^DCF_Base!$L$4+Assumptions!$B$5-Assumptions!$B$4)/Assumptions!$B$3*Assumptions!$B$10</f>
        <v>49.942377005813</v>
      </c>
      <c r="C18" s="3" t="n">
        <v>12</v>
      </c>
    </row>
    <row r="19" customFormat="false" ht="15" hidden="false" customHeight="false" outlineLevel="0" collapsed="false">
      <c r="A19" s="0" t="s">
        <v>192</v>
      </c>
      <c r="B19" s="0" t="n">
        <f aca="false">(SUMPRODUCT(DCF_Base!$C$19:$L$19/(1+$C$19/100)^DCF_Base!$C$4:$L$4)+MAX(0,MIN(IF($C$19&gt;DCF_Base!$B$28,DCF_Base!$L$19*(1+DCF_Base!$B$28/100)/(($C$19-DCF_Base!$B$28)/100),DCF_Base!$L$19*DCF_Base!$B$29),DCF_Base!$L$19*DCF_Base!$B$29))/(1+$C$19/100)^DCF_Base!$L$4+Assumptions!$B$5-Assumptions!$B$4)/Assumptions!$B$3*Assumptions!$B$10</f>
        <v>36.6213133813033</v>
      </c>
      <c r="C19" s="3" t="n">
        <v>15</v>
      </c>
    </row>
    <row r="21" customFormat="false" ht="15" hidden="false" customHeight="false" outlineLevel="0" collapsed="false">
      <c r="A21" s="2" t="s">
        <v>193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70.0537077089527</v>
      </c>
      <c r="C23" s="0" t="n">
        <f aca="false">(SUMPRODUCT(DCF_Base!$C$19:$L$19/(1+$A$23/100)^DCF_Base!$C$4:$L$4)+MAX(0,MIN(IF($A$23&gt;$C$22,DCF_Base!$L$19*(1+$C$22/100)/(($A$23-$C$22)/100),DCF_Base!$L$19*DCF_Base!$B$29),DCF_Base!$L$19*DCF_Base!$B$29))/(1+$A$23/100)^DCF_Base!$L$4+Assumptions!$B$5-Assumptions!$B$4)/Assumptions!$B$3*Assumptions!$B$10</f>
        <v>70.0537077089527</v>
      </c>
      <c r="D23" s="0" t="n">
        <f aca="false">(SUMPRODUCT(DCF_Base!$C$19:$L$19/(1+$A$23/100)^DCF_Base!$C$4:$L$4)+MAX(0,MIN(IF($A$23&gt;$D$22,DCF_Base!$L$19*(1+$D$22/100)/(($A$23-$D$22)/100),DCF_Base!$L$19*DCF_Base!$B$29),DCF_Base!$L$19*DCF_Base!$B$29))/(1+$A$23/100)^DCF_Base!$L$4+Assumptions!$B$5-Assumptions!$B$4)/Assumptions!$B$3*Assumptions!$B$10</f>
        <v>70.0537077089527</v>
      </c>
      <c r="E23" s="0" t="n">
        <f aca="false">(SUMPRODUCT(DCF_Base!$C$19:$L$19/(1+$A$23/100)^DCF_Base!$C$4:$L$4)+MAX(0,MIN(IF($A$23&gt;$E$22,DCF_Base!$L$19*(1+$E$22/100)/(($A$23-$E$22)/100),DCF_Base!$L$19*DCF_Base!$B$29),DCF_Base!$L$19*DCF_Base!$B$29))/(1+$A$23/100)^DCF_Base!$L$4+Assumptions!$B$5-Assumptions!$B$4)/Assumptions!$B$3*Assumptions!$B$10</f>
        <v>70.0537077089527</v>
      </c>
      <c r="F23" s="0" t="n">
        <f aca="false">(SUMPRODUCT(DCF_Base!$C$19:$L$19/(1+$A$23/100)^DCF_Base!$C$4:$L$4)+MAX(0,MIN(IF($A$23&gt;$F$22,DCF_Base!$L$19*(1+$F$22/100)/(($A$23-$F$22)/100),DCF_Base!$L$19*DCF_Base!$B$29),DCF_Base!$L$19*DCF_Base!$B$29))/(1+$A$23/100)^DCF_Base!$L$4+Assumptions!$B$5-Assumptions!$B$4)/Assumptions!$B$3*Assumptions!$B$10</f>
        <v>70.0537077089527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65.0798782849981</v>
      </c>
      <c r="C24" s="0" t="n">
        <f aca="false">(SUMPRODUCT(DCF_Base!$C$19:$L$19/(1+$A$24/100)^DCF_Base!$C$4:$L$4)+MAX(0,MIN(IF($A$24&gt;$C$22,DCF_Base!$L$19*(1+$C$22/100)/(($A$24-$C$22)/100),DCF_Base!$L$19*DCF_Base!$B$29),DCF_Base!$L$19*DCF_Base!$B$29))/(1+$A$24/100)^DCF_Base!$L$4+Assumptions!$B$5-Assumptions!$B$4)/Assumptions!$B$3*Assumptions!$B$10</f>
        <v>65.0798782849981</v>
      </c>
      <c r="D24" s="0" t="n">
        <f aca="false">(SUMPRODUCT(DCF_Base!$C$19:$L$19/(1+$A$24/100)^DCF_Base!$C$4:$L$4)+MAX(0,MIN(IF($A$24&gt;$D$22,DCF_Base!$L$19*(1+$D$22/100)/(($A$24-$D$22)/100),DCF_Base!$L$19*DCF_Base!$B$29),DCF_Base!$L$19*DCF_Base!$B$29))/(1+$A$24/100)^DCF_Base!$L$4+Assumptions!$B$5-Assumptions!$B$4)/Assumptions!$B$3*Assumptions!$B$10</f>
        <v>65.0798782849981</v>
      </c>
      <c r="E24" s="0" t="n">
        <f aca="false">(SUMPRODUCT(DCF_Base!$C$19:$L$19/(1+$A$24/100)^DCF_Base!$C$4:$L$4)+MAX(0,MIN(IF($A$24&gt;$E$22,DCF_Base!$L$19*(1+$E$22/100)/(($A$24-$E$22)/100),DCF_Base!$L$19*DCF_Base!$B$29),DCF_Base!$L$19*DCF_Base!$B$29))/(1+$A$24/100)^DCF_Base!$L$4+Assumptions!$B$5-Assumptions!$B$4)/Assumptions!$B$3*Assumptions!$B$10</f>
        <v>65.0798782849981</v>
      </c>
      <c r="F24" s="0" t="n">
        <f aca="false">(SUMPRODUCT(DCF_Base!$C$19:$L$19/(1+$A$24/100)^DCF_Base!$C$4:$L$4)+MAX(0,MIN(IF($A$24&gt;$F$22,DCF_Base!$L$19*(1+$F$22/100)/(($A$24-$F$22)/100),DCF_Base!$L$19*DCF_Base!$B$29),DCF_Base!$L$19*DCF_Base!$B$29))/(1+$A$24/100)^DCF_Base!$L$4+Assumptions!$B$5-Assumptions!$B$4)/Assumptions!$B$3*Assumptions!$B$10</f>
        <v>65.0798782849981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60.3878221519695</v>
      </c>
      <c r="C25" s="0" t="n">
        <f aca="false">(SUMPRODUCT(DCF_Base!$C$19:$L$19/(1+$A$25/100)^DCF_Base!$C$4:$L$4)+MAX(0,MIN(IF($A$25&gt;$C$22,DCF_Base!$L$19*(1+$C$22/100)/(($A$25-$C$22)/100),DCF_Base!$L$19*DCF_Base!$B$29),DCF_Base!$L$19*DCF_Base!$B$29))/(1+$A$25/100)^DCF_Base!$L$4+Assumptions!$B$5-Assumptions!$B$4)/Assumptions!$B$3*Assumptions!$B$10</f>
        <v>60.5432452018497</v>
      </c>
      <c r="D25" s="0" t="n">
        <f aca="false">(SUMPRODUCT(DCF_Base!$C$19:$L$19/(1+$A$25/100)^DCF_Base!$C$4:$L$4)+MAX(0,MIN(IF($A$25&gt;$D$22,DCF_Base!$L$19*(1+$D$22/100)/(($A$25-$D$22)/100),DCF_Base!$L$19*DCF_Base!$B$29),DCF_Base!$L$19*DCF_Base!$B$29))/(1+$A$25/100)^DCF_Base!$L$4+Assumptions!$B$5-Assumptions!$B$4)/Assumptions!$B$3*Assumptions!$B$10</f>
        <v>60.5432452018497</v>
      </c>
      <c r="E25" s="0" t="n">
        <f aca="false">(SUMPRODUCT(DCF_Base!$C$19:$L$19/(1+$A$25/100)^DCF_Base!$C$4:$L$4)+MAX(0,MIN(IF($A$25&gt;$E$22,DCF_Base!$L$19*(1+$E$22/100)/(($A$25-$E$22)/100),DCF_Base!$L$19*DCF_Base!$B$29),DCF_Base!$L$19*DCF_Base!$B$29))/(1+$A$25/100)^DCF_Base!$L$4+Assumptions!$B$5-Assumptions!$B$4)/Assumptions!$B$3*Assumptions!$B$10</f>
        <v>60.5432452018497</v>
      </c>
      <c r="F25" s="0" t="n">
        <f aca="false">(SUMPRODUCT(DCF_Base!$C$19:$L$19/(1+$A$25/100)^DCF_Base!$C$4:$L$4)+MAX(0,MIN(IF($A$25&gt;$F$22,DCF_Base!$L$19*(1+$F$22/100)/(($A$25-$F$22)/100),DCF_Base!$L$19*DCF_Base!$B$29),DCF_Base!$L$19*DCF_Base!$B$29))/(1+$A$25/100)^DCF_Base!$L$4+Assumptions!$B$5-Assumptions!$B$4)/Assumptions!$B$3*Assumptions!$B$10</f>
        <v>60.5432452018497</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53.2248504707756</v>
      </c>
      <c r="C26" s="0" t="n">
        <f aca="false">(SUMPRODUCT(DCF_Base!$C$19:$L$19/(1+$A$26/100)^DCF_Base!$C$4:$L$4)+MAX(0,MIN(IF($A$26&gt;$C$22,DCF_Base!$L$19*(1+$C$22/100)/(($A$26-$C$22)/100),DCF_Base!$L$19*DCF_Base!$B$29),DCF_Base!$L$19*DCF_Base!$B$29))/(1+$A$26/100)^DCF_Base!$L$4+Assumptions!$B$5-Assumptions!$B$4)/Assumptions!$B$3*Assumptions!$B$10</f>
        <v>54.7915592620694</v>
      </c>
      <c r="D26" s="0" t="n">
        <f aca="false">(SUMPRODUCT(DCF_Base!$C$19:$L$19/(1+$A$26/100)^DCF_Base!$C$4:$L$4)+MAX(0,MIN(IF($A$26&gt;$D$22,DCF_Base!$L$19*(1+$D$22/100)/(($A$26-$D$22)/100),DCF_Base!$L$19*DCF_Base!$B$29),DCF_Base!$L$19*DCF_Base!$B$29))/(1+$A$26/100)^DCF_Base!$L$4+Assumptions!$B$5-Assumptions!$B$4)/Assumptions!$B$3*Assumptions!$B$10</f>
        <v>56.4006115342089</v>
      </c>
      <c r="E26" s="0" t="n">
        <f aca="false">(SUMPRODUCT(DCF_Base!$C$19:$L$19/(1+$A$26/100)^DCF_Base!$C$4:$L$4)+MAX(0,MIN(IF($A$26&gt;$E$22,DCF_Base!$L$19*(1+$E$22/100)/(($A$26-$E$22)/100),DCF_Base!$L$19*DCF_Base!$B$29),DCF_Base!$L$19*DCF_Base!$B$29))/(1+$A$26/100)^DCF_Base!$L$4+Assumptions!$B$5-Assumptions!$B$4)/Assumptions!$B$3*Assumptions!$B$10</f>
        <v>56.4006115342089</v>
      </c>
      <c r="F26" s="0" t="n">
        <f aca="false">(SUMPRODUCT(DCF_Base!$C$19:$L$19/(1+$A$26/100)^DCF_Base!$C$4:$L$4)+MAX(0,MIN(IF($A$26&gt;$F$22,DCF_Base!$L$19*(1+$F$22/100)/(($A$26-$F$22)/100),DCF_Base!$L$19*DCF_Base!$B$29),DCF_Base!$L$19*DCF_Base!$B$29))/(1+$A$26/100)^DCF_Base!$L$4+Assumptions!$B$5-Assumptions!$B$4)/Assumptions!$B$3*Assumptions!$B$10</f>
        <v>56.4006115342089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47.4648631530508</v>
      </c>
      <c r="C27" s="0" t="n">
        <f aca="false">(SUMPRODUCT(DCF_Base!$C$19:$L$19/(1+$A$27/100)^DCF_Base!$C$4:$L$4)+MAX(0,MIN(IF($A$27&gt;$C$22,DCF_Base!$L$19*(1+$C$22/100)/(($A$27-$C$22)/100),DCF_Base!$L$19*DCF_Base!$B$29),DCF_Base!$L$19*DCF_Base!$B$29))/(1+$A$27/100)^DCF_Base!$L$4+Assumptions!$B$5-Assumptions!$B$4)/Assumptions!$B$3*Assumptions!$B$10</f>
        <v>48.6416822331129</v>
      </c>
      <c r="D27" s="0" t="n">
        <f aca="false">(SUMPRODUCT(DCF_Base!$C$19:$L$19/(1+$A$27/100)^DCF_Base!$C$4:$L$4)+MAX(0,MIN(IF($A$27&gt;$D$22,DCF_Base!$L$19*(1+$D$22/100)/(($A$27-$D$22)/100),DCF_Base!$L$19*DCF_Base!$B$29),DCF_Base!$L$19*DCF_Base!$B$29))/(1+$A$27/100)^DCF_Base!$L$4+Assumptions!$B$5-Assumptions!$B$4)/Assumptions!$B$3*Assumptions!$B$10</f>
        <v>49.942377005813</v>
      </c>
      <c r="E27" s="0" t="n">
        <f aca="false">(SUMPRODUCT(DCF_Base!$C$19:$L$19/(1+$A$27/100)^DCF_Base!$C$4:$L$4)+MAX(0,MIN(IF($A$27&gt;$E$22,DCF_Base!$L$19*(1+$E$22/100)/(($A$27-$E$22)/100),DCF_Base!$L$19*DCF_Base!$B$29),DCF_Base!$L$19*DCF_Base!$B$29))/(1+$A$27/100)^DCF_Base!$L$4+Assumptions!$B$5-Assumptions!$B$4)/Assumptions!$B$3*Assumptions!$B$10</f>
        <v>51.3875934199243</v>
      </c>
      <c r="F27" s="0" t="n">
        <f aca="false">(SUMPRODUCT(DCF_Base!$C$19:$L$19/(1+$A$27/100)^DCF_Base!$C$4:$L$4)+MAX(0,MIN(IF($A$27&gt;$F$22,DCF_Base!$L$19*(1+$F$22/100)/(($A$27-$F$22)/100),DCF_Base!$L$19*DCF_Base!$B$29),DCF_Base!$L$19*DCF_Base!$B$29))/(1+$A$27/100)^DCF_Base!$L$4+Assumptions!$B$5-Assumptions!$B$4)/Assumptions!$B$3*Assumptions!$B$10</f>
        <v>52.6134466283223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2026-10-11T01:45:39Z</dcterms:created>
  <dc:creator>openpyxl</dc:creator>
  <dc:description/>
  <dc:language>en-NZ</dc:language>
  <cp:lastModifiedBy/>
  <dcterms:modified xsi:type="dcterms:W3CDTF">2026-10-11T01:45:39Z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