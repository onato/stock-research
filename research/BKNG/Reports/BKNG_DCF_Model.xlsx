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<sst xmlns="http://schemas.openxmlformats.org/spreadsheetml/2006/main" count="386" uniqueCount="173">
  <si>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</si>
  <si>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BKNG</t>
  </si>
  <si>
    <t xml:space="preserve">Company</t>
  </si>
  <si>
    <t xml:space="preserve">Booking Holdings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</si>
  <si>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</si>
  <si>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</si>
  <si>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</si>
  <si>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</si>
  <si>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API); 52-week range 150.14-224.996 (post-split basis throughout, no discontinuity)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</si>
  <si>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</si>
  <si>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</si>
  <si>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</si>
  <si>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</si>
  <si>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</si>
  <si>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</si>
  <si>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</si>
  <si>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</si>
  <si>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</si>
  <si>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</si>
  <si>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</si>
  <si>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</si>
  <si>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2026-09-25T23:33:37Z</t>
  </si>
  <si>
    <t xml:space="preserve">Drivers file</t>
  </si>
  <si>
    <t xml:space="preserve">BKNG_Drivers.json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</si>
  <si>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</si>
  <si>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</si>
  <si>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</si>
  <si>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Booking Holdings is valued on a strict owner-FCF component-build DCF (10-year explicit horizon, since the year-1 owner-FCF margin of ~25.8% is still climbing toward its Transformation-Program-driven mature level of ~28% by year 9-10). Stockholders' equity is deeply negative (~-$10.8B) from over a decade of aggressive, sustained buybacks (&gt;40% share-count reduction since 2014), which rules out any book-value-dependent model -- this DCF is built entirely from revenue, margin and net-debt anchors, with the flat post-split fully-diluted share count and net-debt bridge doing the work a book-value model would otherwise do. The single most consequential modelling choice in this build is NOT using the naive reported-FCF-derived owner FCF (~$7.94B, 29.5% margin) as the base year: roughly $1.7-2.2B of FY2025 operating cash flow is non-cash, non-operating noise -- principally a $1.4B unrealized FX loss on Euro-denominated debt that reversed to a $0.5B gain the prior year -- and the component build instead anchors to the company's own disclosed Adjusted-EBITDA-before-SBC margin (37.8%) to produce a cleaner $6.8B/25.4%-margin base year that will not swing $2B on currency noise. A 25-for-1 stock split effected 2026-04-02 is fully reflected: all share counts, the price and per-share outputs here are post-split.
key_risks_to_valuation: AI-driven search (Google AI Overviews, emerging AI travel agents) structurally disintermediating the paid-search funnel BKNG has monetized for two decades; EU Digital Markets Act gatekeeper obligations and 10,000+-hotel parity-clause litigation, with DMA fines of up to 10-20% of global annual revenue for non-compliance; The FX/convertible-note non-cash swing that motivated the component-build reconciliation is itself a real economic exposure (Euro-denominated debt) even though it is excluded from the unlevered owner-FCF base -- a sustained USD/EUR move affects reported net income and GAAP leverage optics even where it does not affect operating cash generation; Deeply negative stockholders' equity reduces balance-sheet flexibility in a sharp, sustained travel downturn despite low net debt/EBITDA today; Working-capital tailwind assumed at zero (not negative) -- if merchant-model mix shift accelerates faster than modelled, receivables growth could outpace deferred-merchant-bookings growth and turn working capital into a modest headwind</t>
  </si>
  <si>
    <t xml:space="preserve">Data sources</t>
  </si>
  <si>
    <t xml:space="preserve">price: Yahoo Finance chart API at inputs.price_as_of; 52-week range 150.14-224.996
financials: SEC EDGAR: FY2025 10-K (bkng-20251231.htm, filed 2026-02, CIK 0001075531) and Q2 2026 10-Q (bkng-20260630.htm, filed 2026-07-27) primary financial statements, MD&amp;A and notes (Treasury Stock and Dividends, Segment Information, Stock Split); cross-checked against research/BKNG/Reports/BKNG_Metrics.csv and dcf_context.py's kpis pivot (equity_award_taxes, buybacks, cash_taxes series)
qualitative: research/BKNG/Reports/BKNG_Analysis.json (2026-09-26)</t>
  </si>
  <si>
    <t xml:space="preserve">Scenario narrative: bear</t>
  </si>
  <si>
    <t xml:space="preserve">AI-search disintermediation structurally erodes the paid-search funnel BKNG depends on, EU DMA/antitrust litigation proves a genuine structural cost, and travel demand growth normalizes to low-single-digit -- margin compresses from 37.8% toward the mid-30s permanently, though the business stays solidly cash-generative throughout.</t>
  </si>
  <si>
    <t xml:space="preserve">Scenario narrative: base</t>
  </si>
  <si>
    <t xml:space="preserve">Management's own high-single-digit growth algorithm holds; Transformation Program savings land on schedule by FY2027; Connected Trip and AI initiatives sustain modest, unspectacular margin expansion without needing any single bet to be transformative.</t>
  </si>
  <si>
    <t xml:space="preserve">Scenario narrative: bull</t>
  </si>
  <si>
    <t xml:space="preserve">Connected Trip, AI and alternative-accommodations initiatives compound faster than guided, Genius loyalty defends the traffic funnel against AI-search disintermediation, and the EU DMA transition proves a manageable compliance cost rather than a structural profit headwind.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</si>
  <si>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</si>
  <si>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</si>
  <si>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</si>
  <si>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</si>
  <si>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</si>
  <si>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</si>
  <si>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</si>
  <si>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</si>
  <si>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</si>
  <si>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</si>
  <si>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</si>
  <si>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</si>
  <si>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</si>
  <si>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</si>
  <si>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</si>
  <si>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</si>
  <si>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</si>
  <si>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</si>
  <si>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</si>
  <si>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</si>
  <si>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</si>
  <si>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</si>
  <si>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</si>
  <si>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</si>
  <si>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</si>
  <si>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</si>
  <si>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</si>
  <si>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</si>
  <si>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</si>
  <si>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</si>
  <si>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</si>
  <si>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</si>
  <si>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</si>
  <si>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</si>
  <si>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</si>
  <si>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</si>
  <si>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</si>
  <si>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</si>
  <si>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</si>
  <si>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</si>
  <si>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</si>
  <si>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</si>
  <si>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</si>
  <si>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</si>
  <si>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</si>
  <si>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</si>
  <si>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</si>
  <si>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</si>
  <si>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</si>
  <si>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</si>
  <si>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</si>
  <si>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</si>
  <si>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</si>
  <si>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</si>
  <si>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</si>
  <si>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</si>
  <si>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</si>
  <si>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</si>
  <si>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</si>
  <si>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</si>
  <si>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</si>
  <si>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</si>
  <si>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</si>
  <si>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</si>
  <si>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</si>
  <si>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</si>
  <si>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</si>
  <si>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</si>
  <si>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</si>
  <si>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</si>
  <si>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</si>
  <si>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</si>
  <si>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</si>
  <si>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</si>
  <si>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</si>
  <si>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</si>
  <si>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</si>
  <si>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</si>
  <si>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</si>
  <si>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</si>
  <si>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</si>
  <si>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</si>
  <si>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</si>
  <si>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BKNG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</si>
  <si>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</si>
  <si>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</si>
  <si>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</si>
  <si>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</si>
  <si>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</si>
  <si>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</si>
  <si>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</si>
  <si>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</si>
  <si>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</si>
  <si>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</si>
  <si>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</si>
  <si>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</si>
  <si>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</si>
  <si>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</si>
  <si>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</si>
  <si>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</si>
  <si>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</si>
  <si>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</si>
  <si>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</si>
  <si>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</si>
  <si>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</si>
  <si>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</si>
  <si>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</si>
  <si>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</si>
  <si>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</si>
  <si>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</si>
  <si>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</si>
  <si>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</si>
  <si>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</si>
  <si>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</si>
  <si>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BKNG owner-FCF component DCF: base case (millions, USD)</t>
  </si>
  <si>
    <t xml:space="preserve">BKNG owner-FCF component DCF: bull case (millions, USD)</t>
  </si>
  <si>
    <t xml:space="preserve">BKNG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</si>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</sst>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163.95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453.625</v>
      </c>
      <c r="S2" s="0" t="n">
        <v>385.359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1884.806</v>
      </c>
      <c r="C3" s="0" t="n">
        <v>928.835</v>
      </c>
      <c r="D3" s="0" t="n">
        <v>955.971</v>
      </c>
      <c r="E3" s="0" t="n">
        <v>50.7198618849898</v>
      </c>
      <c r="F3" s="0" t="n">
        <v>289.474</v>
      </c>
      <c r="G3" s="0" t="n">
        <v>15.3582915164744</v>
      </c>
      <c r="H3" s="0" t="n">
        <v>332.27</v>
      </c>
      <c r="I3" s="0" t="n">
        <v>185.624</v>
      </c>
      <c r="J3" s="0" t="n">
        <v>9.84844063526962</v>
      </c>
      <c r="K3" s="0" t="n">
        <v>4.64</v>
      </c>
      <c r="L3" s="0" t="n">
        <v>315.553</v>
      </c>
      <c r="M3" s="0" t="n">
        <v>18.322</v>
      </c>
      <c r="N3" s="0" t="n">
        <v>297.231</v>
      </c>
      <c r="O3" s="0" t="n">
        <v>698.826</v>
      </c>
      <c r="S3" s="0" t="n">
        <v>364.55</v>
      </c>
      <c r="T3" s="0" t="n">
        <v>48.671</v>
      </c>
      <c r="U3" s="0" t="n">
        <v>40.522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2338.212</v>
      </c>
      <c r="C4" s="0" t="n">
        <v>1077.449</v>
      </c>
      <c r="D4" s="0" t="n">
        <v>1260.763</v>
      </c>
      <c r="E4" s="0" t="n">
        <v>53.9199610642662</v>
      </c>
      <c r="F4" s="0" t="n">
        <v>470.835</v>
      </c>
      <c r="G4" s="0" t="n">
        <v>20.1365402281744</v>
      </c>
      <c r="H4" s="0" t="n">
        <v>510.028</v>
      </c>
      <c r="I4" s="0" t="n">
        <v>489.472</v>
      </c>
      <c r="J4" s="0" t="n">
        <v>20.9336022567671</v>
      </c>
      <c r="K4" s="0" t="n">
        <v>11.54</v>
      </c>
      <c r="L4" s="0" t="n">
        <v>509.665</v>
      </c>
      <c r="M4" s="0" t="n">
        <v>15.106</v>
      </c>
      <c r="N4" s="0" t="n">
        <v>494.559</v>
      </c>
      <c r="O4" s="0" t="n">
        <v>1321.629</v>
      </c>
      <c r="P4" s="0" t="n">
        <v>1834.224</v>
      </c>
      <c r="Q4" s="0" t="n">
        <v>476.61</v>
      </c>
      <c r="S4" s="0" t="n">
        <v>202.141</v>
      </c>
      <c r="T4" s="0" t="n">
        <v>49.522</v>
      </c>
      <c r="U4" s="0" t="n">
        <v>40.7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3084.905</v>
      </c>
      <c r="C5" s="0" t="n">
        <v>1175.934</v>
      </c>
      <c r="D5" s="0" t="n">
        <v>1908.971</v>
      </c>
      <c r="E5" s="0" t="n">
        <v>61.881030372086</v>
      </c>
      <c r="F5" s="0" t="n">
        <v>786.797</v>
      </c>
      <c r="G5" s="0" t="n">
        <v>25.5047400163052</v>
      </c>
      <c r="H5" s="0" t="n">
        <v>832.56</v>
      </c>
      <c r="I5" s="0" t="n">
        <v>528.142</v>
      </c>
      <c r="J5" s="0" t="n">
        <v>17.1202030532545</v>
      </c>
      <c r="K5" s="0" t="n">
        <v>11</v>
      </c>
      <c r="L5" s="0" t="n">
        <v>777.297</v>
      </c>
      <c r="M5" s="0" t="n">
        <v>22.593</v>
      </c>
      <c r="N5" s="0" t="n">
        <v>754.704</v>
      </c>
      <c r="O5" s="0" t="n">
        <v>1813.336</v>
      </c>
      <c r="P5" s="0" t="n">
        <v>2905.953</v>
      </c>
      <c r="Q5" s="0" t="n">
        <v>1046.828</v>
      </c>
      <c r="S5" s="0" t="n">
        <v>358.967</v>
      </c>
      <c r="T5" s="0" t="n">
        <v>50.988</v>
      </c>
      <c r="U5" s="0" t="n">
        <v>68.2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4355.61</v>
      </c>
      <c r="C6" s="0" t="n">
        <v>1275.73</v>
      </c>
      <c r="D6" s="0" t="n">
        <v>3079.88</v>
      </c>
      <c r="E6" s="0" t="n">
        <v>70.7106467291608</v>
      </c>
      <c r="F6" s="0" t="n">
        <v>1398.922</v>
      </c>
      <c r="G6" s="0" t="n">
        <v>32.1177056715363</v>
      </c>
      <c r="H6" s="0" t="n">
        <v>1452.746</v>
      </c>
      <c r="I6" s="0" t="n">
        <v>1059.131</v>
      </c>
      <c r="J6" s="0" t="n">
        <v>24.3164792072752</v>
      </c>
      <c r="K6" s="0" t="n">
        <v>21.27</v>
      </c>
      <c r="M6" s="0" t="n">
        <v>46.833</v>
      </c>
      <c r="O6" s="0" t="n">
        <v>2574.295</v>
      </c>
      <c r="P6" s="0" t="n">
        <v>3970.671</v>
      </c>
      <c r="Q6" s="0" t="n">
        <v>1191.971</v>
      </c>
      <c r="S6" s="0" t="n">
        <v>632.836</v>
      </c>
      <c r="T6" s="0" t="n">
        <v>51.211</v>
      </c>
      <c r="U6" s="0" t="n">
        <v>65.724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5260.956</v>
      </c>
      <c r="C7" s="0" t="n">
        <v>1177.275</v>
      </c>
      <c r="D7" s="0" t="n">
        <v>4083.681</v>
      </c>
      <c r="E7" s="0" t="n">
        <v>77.6224131127498</v>
      </c>
      <c r="F7" s="0" t="n">
        <v>1829.793</v>
      </c>
      <c r="G7" s="0" t="n">
        <v>34.7806178192709</v>
      </c>
      <c r="H7" s="0" t="n">
        <v>1894.934</v>
      </c>
      <c r="I7" s="0" t="n">
        <v>1424.037</v>
      </c>
      <c r="J7" s="0" t="n">
        <v>27.068027179851</v>
      </c>
      <c r="K7" s="0" t="n">
        <v>28.48</v>
      </c>
      <c r="M7" s="0" t="n">
        <v>55.158</v>
      </c>
      <c r="O7" s="0" t="n">
        <v>3896.975</v>
      </c>
      <c r="P7" s="0" t="n">
        <v>6569.742</v>
      </c>
      <c r="Q7" s="0" t="n">
        <v>2457.825</v>
      </c>
      <c r="S7" s="0" t="n">
        <v>1536.349</v>
      </c>
      <c r="T7" s="0" t="n">
        <v>51.326</v>
      </c>
      <c r="U7" s="0" t="n">
        <v>71.565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6793.306</v>
      </c>
      <c r="C8" s="0" t="n">
        <v>1077.42</v>
      </c>
      <c r="D8" s="0" t="n">
        <v>5715.886</v>
      </c>
      <c r="E8" s="0" t="n">
        <v>84.1399754405293</v>
      </c>
      <c r="F8" s="0" t="n">
        <v>2412.414</v>
      </c>
      <c r="G8" s="0" t="n">
        <v>35.5116345414147</v>
      </c>
      <c r="H8" s="0" t="n">
        <v>2530.389</v>
      </c>
      <c r="I8" s="0" t="n">
        <v>1892.798</v>
      </c>
      <c r="J8" s="0" t="n">
        <v>27.8626930687356</v>
      </c>
      <c r="K8" s="0" t="n">
        <v>37.17</v>
      </c>
      <c r="M8" s="0" t="n">
        <v>84.445</v>
      </c>
      <c r="O8" s="0" t="n">
        <v>6909.729</v>
      </c>
      <c r="P8" s="0" t="n">
        <v>10444.46</v>
      </c>
      <c r="Q8" s="0" t="n">
        <v>3526.198</v>
      </c>
      <c r="R8" s="0" t="n">
        <v>1742.047</v>
      </c>
      <c r="S8" s="0" t="n">
        <v>1289.994</v>
      </c>
      <c r="T8" s="0" t="n">
        <v>52.413</v>
      </c>
      <c r="U8" s="0" t="n">
        <v>140.526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8441.971</v>
      </c>
      <c r="C9" s="0" t="n">
        <v>857.841</v>
      </c>
      <c r="D9" s="0" t="n">
        <v>7584.13</v>
      </c>
      <c r="E9" s="0" t="n">
        <v>89.838380160273</v>
      </c>
      <c r="F9" s="0" t="n">
        <v>3073.312</v>
      </c>
      <c r="G9" s="0" t="n">
        <v>36.4051475656574</v>
      </c>
      <c r="H9" s="0" t="n">
        <v>3281.132</v>
      </c>
      <c r="I9" s="0" t="n">
        <v>2421.753</v>
      </c>
      <c r="J9" s="0" t="n">
        <v>28.6870566127271</v>
      </c>
      <c r="K9" s="0" t="n">
        <v>46.3</v>
      </c>
      <c r="M9" s="0" t="n">
        <v>131.504</v>
      </c>
      <c r="O9" s="0" t="n">
        <v>8566.694</v>
      </c>
      <c r="P9" s="0" t="n">
        <v>14770.977</v>
      </c>
      <c r="Q9" s="0" t="n">
        <v>6203.954</v>
      </c>
      <c r="R9" s="0" t="n">
        <v>3823.87</v>
      </c>
      <c r="S9" s="0" t="n">
        <v>3148.651</v>
      </c>
      <c r="T9" s="0" t="n">
        <v>53.023</v>
      </c>
      <c r="U9" s="0" t="n">
        <v>186.425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9223.987</v>
      </c>
      <c r="C10" s="0" t="n">
        <v>632.18</v>
      </c>
      <c r="D10" s="0" t="n">
        <v>8591.807</v>
      </c>
      <c r="E10" s="0" t="n">
        <v>93.1463476693972</v>
      </c>
      <c r="F10" s="0" t="n">
        <v>3258.907</v>
      </c>
      <c r="G10" s="0" t="n">
        <v>35.3307848330662</v>
      </c>
      <c r="H10" s="0" t="n">
        <v>3531.401</v>
      </c>
      <c r="I10" s="0" t="n">
        <v>2551.36</v>
      </c>
      <c r="J10" s="0" t="n">
        <v>27.6600563292208</v>
      </c>
      <c r="K10" s="0" t="n">
        <v>50.09</v>
      </c>
      <c r="M10" s="0" t="n">
        <v>173.915</v>
      </c>
      <c r="O10" s="0" t="n">
        <v>8795</v>
      </c>
      <c r="P10" s="0" t="n">
        <v>17420.575</v>
      </c>
      <c r="Q10" s="0" t="n">
        <v>8625.106</v>
      </c>
      <c r="R10" s="0" t="n">
        <v>6158.443</v>
      </c>
      <c r="S10" s="0" t="n">
        <v>1477.265</v>
      </c>
      <c r="T10" s="0" t="n">
        <v>51.593</v>
      </c>
      <c r="U10" s="0" t="n">
        <v>247.395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10743</v>
      </c>
      <c r="C11" s="0" t="n">
        <v>415</v>
      </c>
      <c r="D11" s="0" t="n">
        <v>10328</v>
      </c>
      <c r="E11" s="0" t="n">
        <v>96.1370194545285</v>
      </c>
      <c r="F11" s="0" t="n">
        <v>2906</v>
      </c>
      <c r="G11" s="0" t="n">
        <v>27.0501722051569</v>
      </c>
      <c r="H11" s="0" t="n">
        <v>3215</v>
      </c>
      <c r="K11" s="0" t="n">
        <v>43.14</v>
      </c>
      <c r="L11" s="0" t="n">
        <v>3984</v>
      </c>
      <c r="M11" s="0" t="n">
        <v>220</v>
      </c>
      <c r="N11" s="0" t="n">
        <v>3764</v>
      </c>
      <c r="O11" s="0" t="n">
        <v>9820</v>
      </c>
      <c r="P11" s="0" t="n">
        <v>19838.973</v>
      </c>
      <c r="Q11" s="0" t="n">
        <v>9990.293</v>
      </c>
      <c r="R11" s="0" t="n">
        <v>6170.522</v>
      </c>
      <c r="S11" s="0" t="n">
        <v>2081.075</v>
      </c>
      <c r="T11" s="0" t="n">
        <v>50.063</v>
      </c>
      <c r="U11" s="0" t="n">
        <v>250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12681</v>
      </c>
      <c r="C12" s="0" t="n">
        <v>242</v>
      </c>
      <c r="D12" s="0" t="n">
        <v>12439</v>
      </c>
      <c r="E12" s="0" t="n">
        <v>98.0916331519596</v>
      </c>
      <c r="F12" s="0" t="n">
        <v>4538</v>
      </c>
      <c r="G12" s="0" t="n">
        <v>35.7858213074679</v>
      </c>
      <c r="H12" s="0" t="n">
        <v>4901</v>
      </c>
      <c r="K12" s="0" t="n">
        <v>47.78</v>
      </c>
      <c r="L12" s="0" t="n">
        <v>4662</v>
      </c>
      <c r="M12" s="0" t="n">
        <v>288</v>
      </c>
      <c r="N12" s="0" t="n">
        <v>4374</v>
      </c>
      <c r="O12" s="0" t="n">
        <v>11261</v>
      </c>
      <c r="P12" s="0" t="n">
        <v>25451</v>
      </c>
      <c r="Q12" s="0" t="n">
        <v>14187</v>
      </c>
      <c r="R12" s="0" t="n">
        <v>8810</v>
      </c>
      <c r="S12" s="0" t="n">
        <v>2542</v>
      </c>
      <c r="T12" s="0" t="n">
        <v>49.954</v>
      </c>
      <c r="U12" s="0" t="n">
        <v>261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14527</v>
      </c>
      <c r="F13" s="0" t="n">
        <v>5341</v>
      </c>
      <c r="G13" s="0" t="n">
        <v>36.7660218902733</v>
      </c>
      <c r="H13" s="0" t="n">
        <v>5767</v>
      </c>
      <c r="K13" s="0" t="n">
        <v>84.26</v>
      </c>
      <c r="L13" s="0" t="n">
        <v>5338</v>
      </c>
      <c r="M13" s="0" t="n">
        <v>442</v>
      </c>
      <c r="N13" s="0" t="n">
        <v>4896</v>
      </c>
      <c r="O13" s="0" t="n">
        <v>8785</v>
      </c>
      <c r="P13" s="0" t="n">
        <v>22687</v>
      </c>
      <c r="Q13" s="0" t="n">
        <v>13902</v>
      </c>
      <c r="R13" s="0" t="n">
        <v>8649</v>
      </c>
      <c r="S13" s="0" t="n">
        <v>2624</v>
      </c>
      <c r="T13" s="0" t="n">
        <v>48.017</v>
      </c>
      <c r="U13" s="0" t="n">
        <v>317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15066</v>
      </c>
      <c r="F14" s="0" t="n">
        <v>5345</v>
      </c>
      <c r="G14" s="0" t="n">
        <v>35.4772335059073</v>
      </c>
      <c r="H14" s="0" t="n">
        <v>5814</v>
      </c>
      <c r="K14" s="0" t="n">
        <v>112.93</v>
      </c>
      <c r="L14" s="0" t="n">
        <v>4865</v>
      </c>
      <c r="M14" s="0" t="n">
        <v>368</v>
      </c>
      <c r="N14" s="0" t="n">
        <v>4497</v>
      </c>
      <c r="O14" s="0" t="n">
        <v>5933</v>
      </c>
      <c r="P14" s="0" t="n">
        <v>21402</v>
      </c>
      <c r="Q14" s="0" t="n">
        <v>15469</v>
      </c>
      <c r="R14" s="0" t="n">
        <v>7640</v>
      </c>
      <c r="S14" s="0" t="n">
        <v>6312</v>
      </c>
      <c r="T14" s="0" t="n">
        <v>43.509</v>
      </c>
      <c r="U14" s="0" t="n">
        <v>308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6796</v>
      </c>
      <c r="F15" s="0" t="n">
        <v>-631</v>
      </c>
      <c r="G15" s="0" t="n">
        <v>-9.28487345497351</v>
      </c>
      <c r="H15" s="0" t="n">
        <v>-173</v>
      </c>
      <c r="K15" s="0" t="n">
        <v>1.45</v>
      </c>
      <c r="L15" s="0" t="n">
        <v>85</v>
      </c>
      <c r="M15" s="0" t="n">
        <v>286</v>
      </c>
      <c r="N15" s="0" t="n">
        <v>-201</v>
      </c>
      <c r="O15" s="0" t="n">
        <v>4893</v>
      </c>
      <c r="P15" s="0" t="n">
        <v>21874</v>
      </c>
      <c r="Q15" s="0" t="n">
        <v>16981</v>
      </c>
      <c r="R15" s="0" t="n">
        <v>12014</v>
      </c>
      <c r="S15" s="0" t="n">
        <v>10562</v>
      </c>
      <c r="T15" s="0" t="n">
        <v>41.16</v>
      </c>
      <c r="U15" s="0" t="n">
        <v>233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10958</v>
      </c>
      <c r="F16" s="0" t="n">
        <v>2496</v>
      </c>
      <c r="G16" s="0" t="n">
        <v>22.7778791750319</v>
      </c>
      <c r="H16" s="0" t="n">
        <v>2917</v>
      </c>
      <c r="I16" s="0" t="n">
        <v>1165</v>
      </c>
      <c r="J16" s="0" t="n">
        <v>10.6315020989232</v>
      </c>
      <c r="K16" s="0" t="n">
        <v>28.39</v>
      </c>
      <c r="L16" s="0" t="n">
        <v>2820</v>
      </c>
      <c r="M16" s="0" t="n">
        <v>304</v>
      </c>
      <c r="N16" s="0" t="n">
        <v>2516</v>
      </c>
      <c r="O16" s="0" t="n">
        <v>6178</v>
      </c>
      <c r="P16" s="0" t="n">
        <v>23641</v>
      </c>
      <c r="Q16" s="0" t="n">
        <v>17463</v>
      </c>
      <c r="R16" s="0" t="n">
        <v>10926</v>
      </c>
      <c r="S16" s="0" t="n">
        <v>11127</v>
      </c>
      <c r="T16" s="0" t="n">
        <v>41.362</v>
      </c>
      <c r="U16" s="0" t="n">
        <v>370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17090</v>
      </c>
      <c r="F17" s="0" t="n">
        <v>5102</v>
      </c>
      <c r="G17" s="0" t="n">
        <v>29.8537156231715</v>
      </c>
      <c r="H17" s="0" t="n">
        <v>5553</v>
      </c>
      <c r="I17" s="0" t="n">
        <v>3058</v>
      </c>
      <c r="J17" s="0" t="n">
        <v>17.8935049736688</v>
      </c>
      <c r="K17" s="0" t="n">
        <v>76.7</v>
      </c>
      <c r="L17" s="0" t="n">
        <v>6554</v>
      </c>
      <c r="M17" s="0" t="n">
        <v>368</v>
      </c>
      <c r="N17" s="0" t="n">
        <v>6186</v>
      </c>
      <c r="O17" s="0" t="n">
        <v>2782</v>
      </c>
      <c r="P17" s="0" t="n">
        <v>25361</v>
      </c>
      <c r="Q17" s="0" t="n">
        <v>22579</v>
      </c>
      <c r="R17" s="0" t="n">
        <v>12985</v>
      </c>
      <c r="S17" s="0" t="n">
        <v>12221</v>
      </c>
      <c r="T17" s="0" t="n">
        <v>40.052</v>
      </c>
      <c r="U17" s="0" t="n">
        <v>404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21365</v>
      </c>
      <c r="F18" s="0" t="n">
        <v>5835</v>
      </c>
      <c r="G18" s="0" t="n">
        <v>27.3110227006787</v>
      </c>
      <c r="H18" s="0" t="n">
        <v>6339</v>
      </c>
      <c r="I18" s="0" t="n">
        <v>4289</v>
      </c>
      <c r="J18" s="0" t="n">
        <v>20.0748888368828</v>
      </c>
      <c r="K18" s="0" t="n">
        <v>118.67</v>
      </c>
      <c r="L18" s="0" t="n">
        <v>7344</v>
      </c>
      <c r="M18" s="0" t="n">
        <v>345</v>
      </c>
      <c r="N18" s="0" t="n">
        <v>6999</v>
      </c>
      <c r="O18" s="0" t="n">
        <v>-2744</v>
      </c>
      <c r="P18" s="0" t="n">
        <v>24342</v>
      </c>
      <c r="Q18" s="0" t="n">
        <v>27086</v>
      </c>
      <c r="R18" s="0" t="n">
        <v>16145</v>
      </c>
      <c r="S18" s="0" t="n">
        <v>12107</v>
      </c>
      <c r="T18" s="0" t="n">
        <v>36.53</v>
      </c>
      <c r="U18" s="0" t="n">
        <v>530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23739</v>
      </c>
      <c r="F19" s="0" t="n">
        <v>7555</v>
      </c>
      <c r="G19" s="0" t="n">
        <v>31.8252664391929</v>
      </c>
      <c r="H19" s="0" t="n">
        <v>8146</v>
      </c>
      <c r="I19" s="0" t="n">
        <v>5882</v>
      </c>
      <c r="J19" s="0" t="n">
        <v>24.777791819369</v>
      </c>
      <c r="K19" s="0" t="n">
        <v>174.96</v>
      </c>
      <c r="L19" s="0" t="n">
        <v>8323</v>
      </c>
      <c r="M19" s="0" t="n">
        <v>429</v>
      </c>
      <c r="N19" s="0" t="n">
        <v>7894</v>
      </c>
      <c r="O19" s="0" t="n">
        <v>-4020</v>
      </c>
      <c r="P19" s="0" t="n">
        <v>27708</v>
      </c>
      <c r="Q19" s="0" t="n">
        <v>31728</v>
      </c>
      <c r="R19" s="0" t="n">
        <v>18343</v>
      </c>
      <c r="S19" s="0" t="n">
        <v>16164</v>
      </c>
      <c r="T19" s="0" t="n">
        <v>34.064</v>
      </c>
      <c r="U19" s="0" t="n">
        <v>599</v>
      </c>
      <c r="V19" s="0" t="n">
        <v>8.75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26917</v>
      </c>
      <c r="F20" s="0" t="n">
        <v>8825</v>
      </c>
      <c r="G20" s="0" t="n">
        <v>32.7859716907531</v>
      </c>
      <c r="H20" s="0" t="n">
        <v>9448</v>
      </c>
      <c r="I20" s="0" t="n">
        <v>5404</v>
      </c>
      <c r="J20" s="0" t="n">
        <v>20.0765315599807</v>
      </c>
      <c r="K20" s="0" t="n">
        <v>166.52</v>
      </c>
      <c r="L20" s="0" t="n">
        <v>9409</v>
      </c>
      <c r="M20" s="0" t="n">
        <v>322</v>
      </c>
      <c r="N20" s="0" t="n">
        <v>9087</v>
      </c>
      <c r="O20" s="0" t="n">
        <v>-5578</v>
      </c>
      <c r="P20" s="0" t="n">
        <v>29264</v>
      </c>
      <c r="Q20" s="0" t="n">
        <v>34842</v>
      </c>
      <c r="R20" s="0" t="n">
        <v>20616</v>
      </c>
      <c r="S20" s="0" t="n">
        <v>17203</v>
      </c>
      <c r="T20" s="0" t="n">
        <v>32.639</v>
      </c>
      <c r="U20" s="0" t="n">
        <v>613</v>
      </c>
      <c r="V20" s="0" t="n">
        <v>9.6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163.95</v>
      </c>
    </row>
    <row r="3" customFormat="false" ht="15" hidden="false" customHeight="false" outlineLevel="0" collapsed="false">
      <c r="A3" s="0" t="s">
        <v>85</v>
      </c>
      <c r="B3" s="3" t="n">
        <v>770</v>
      </c>
    </row>
    <row r="4" customFormat="false" ht="15" hidden="false" customHeight="false" outlineLevel="0" collapsed="false">
      <c r="A4" s="0" t="s">
        <v>86</v>
      </c>
      <c r="B4" s="3" t="n">
        <v>2966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26917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3.5</v>
      </c>
      <c r="E13" s="3" t="n">
        <v>3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36</v>
      </c>
      <c r="D14" s="3" t="n">
        <v>35.5</v>
      </c>
      <c r="E14" s="3" t="n">
        <v>35</v>
      </c>
      <c r="F14" s="3" t="n">
        <v>34.5</v>
      </c>
      <c r="G14" s="3" t="n">
        <v>34.5</v>
      </c>
      <c r="H14" s="3" t="n">
        <v>34.5</v>
      </c>
      <c r="I14" s="3" t="n">
        <v>34.5</v>
      </c>
      <c r="J14" s="3" t="n">
        <v>34.5</v>
      </c>
      <c r="K14" s="3" t="n">
        <v>34.5</v>
      </c>
      <c r="L14" s="3" t="n">
        <v>34.5</v>
      </c>
    </row>
    <row r="15" customFormat="false" ht="15" hidden="false" customHeight="false" outlineLevel="0" collapsed="false">
      <c r="A15" s="0" t="s">
        <v>107</v>
      </c>
      <c r="C15" s="3" t="n">
        <v>4.5</v>
      </c>
      <c r="D15" s="3" t="n">
        <v>4.5</v>
      </c>
      <c r="E15" s="3" t="n">
        <v>4.5</v>
      </c>
      <c r="F15" s="3" t="n">
        <v>4.5</v>
      </c>
      <c r="G15" s="3" t="n">
        <v>4.5</v>
      </c>
      <c r="H15" s="3" t="n">
        <v>4.5</v>
      </c>
      <c r="I15" s="3" t="n">
        <v>4.5</v>
      </c>
      <c r="J15" s="3" t="n">
        <v>4.5</v>
      </c>
      <c r="K15" s="3" t="n">
        <v>4.5</v>
      </c>
      <c r="L15" s="3" t="n">
        <v>4.5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2.5</v>
      </c>
      <c r="D17" s="3" t="n">
        <v>2.5</v>
      </c>
      <c r="E17" s="3" t="n">
        <v>2.5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110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</v>
      </c>
      <c r="D27" s="3" t="n">
        <v>7.5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4</v>
      </c>
    </row>
    <row r="28" customFormat="false" ht="15" hidden="false" customHeight="false" outlineLevel="0" collapsed="false">
      <c r="A28" s="0" t="s">
        <v>106</v>
      </c>
      <c r="C28" s="3" t="n">
        <v>37.8</v>
      </c>
      <c r="D28" s="3" t="n">
        <v>38.2</v>
      </c>
      <c r="E28" s="3" t="n">
        <v>38.6</v>
      </c>
      <c r="F28" s="3" t="n">
        <v>39</v>
      </c>
      <c r="G28" s="3" t="n">
        <v>39.3</v>
      </c>
      <c r="H28" s="3" t="n">
        <v>39.5</v>
      </c>
      <c r="I28" s="3" t="n">
        <v>39.7</v>
      </c>
      <c r="J28" s="3" t="n">
        <v>39.8</v>
      </c>
      <c r="K28" s="3" t="n">
        <v>39.9</v>
      </c>
      <c r="L28" s="3" t="n">
        <v>40</v>
      </c>
    </row>
    <row r="29" customFormat="false" ht="15" hidden="false" customHeight="false" outlineLevel="0" collapsed="false">
      <c r="A29" s="0" t="s">
        <v>107</v>
      </c>
      <c r="C29" s="3" t="n">
        <v>4.25</v>
      </c>
      <c r="D29" s="3" t="n">
        <v>4.15</v>
      </c>
      <c r="E29" s="3" t="n">
        <v>4.05</v>
      </c>
      <c r="F29" s="3" t="n">
        <v>3.95</v>
      </c>
      <c r="G29" s="3" t="n">
        <v>3.85</v>
      </c>
      <c r="H29" s="3" t="n">
        <v>3.75</v>
      </c>
      <c r="I29" s="3" t="n">
        <v>3.7</v>
      </c>
      <c r="J29" s="3" t="n">
        <v>3.65</v>
      </c>
      <c r="K29" s="3" t="n">
        <v>3.6</v>
      </c>
      <c r="L29" s="3" t="n">
        <v>3.6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2.3</v>
      </c>
      <c r="D31" s="3" t="n">
        <v>2.3</v>
      </c>
      <c r="E31" s="3" t="n">
        <v>2.3</v>
      </c>
      <c r="F31" s="3" t="n">
        <v>2.3</v>
      </c>
      <c r="G31" s="3" t="n">
        <v>2.3</v>
      </c>
      <c r="H31" s="3" t="n">
        <v>2.3</v>
      </c>
      <c r="I31" s="3" t="n">
        <v>2.3</v>
      </c>
      <c r="J31" s="3" t="n">
        <v>2.3</v>
      </c>
      <c r="K31" s="3" t="n">
        <v>2.3</v>
      </c>
      <c r="L31" s="3" t="n">
        <v>2.3</v>
      </c>
    </row>
    <row r="32" customFormat="false" ht="15" hidden="false" customHeight="false" outlineLevel="0" collapsed="false">
      <c r="A32" s="0" t="s">
        <v>110</v>
      </c>
      <c r="C32" s="3" t="n">
        <v>1.2</v>
      </c>
      <c r="D32" s="3" t="n">
        <v>1.2</v>
      </c>
      <c r="E32" s="3" t="n">
        <v>1.2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111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11</v>
      </c>
      <c r="D41" s="3" t="n">
        <v>10.5</v>
      </c>
      <c r="E41" s="3" t="n">
        <v>10</v>
      </c>
      <c r="F41" s="3" t="n">
        <v>9</v>
      </c>
      <c r="G41" s="3" t="n">
        <v>8.5</v>
      </c>
      <c r="H41" s="3" t="n">
        <v>8</v>
      </c>
      <c r="I41" s="3" t="n">
        <v>7</v>
      </c>
      <c r="J41" s="3" t="n">
        <v>6.5</v>
      </c>
      <c r="K41" s="3" t="n">
        <v>6</v>
      </c>
      <c r="L41" s="3" t="n">
        <v>5.5</v>
      </c>
    </row>
    <row r="42" customFormat="false" ht="15" hidden="false" customHeight="false" outlineLevel="0" collapsed="false">
      <c r="A42" s="0" t="s">
        <v>106</v>
      </c>
      <c r="C42" s="3" t="n">
        <v>38.5</v>
      </c>
      <c r="D42" s="3" t="n">
        <v>39.5</v>
      </c>
      <c r="E42" s="3" t="n">
        <v>40.5</v>
      </c>
      <c r="F42" s="3" t="n">
        <v>41.5</v>
      </c>
      <c r="G42" s="3" t="n">
        <v>42</v>
      </c>
      <c r="H42" s="3" t="n">
        <v>42.5</v>
      </c>
      <c r="I42" s="3" t="n">
        <v>43</v>
      </c>
      <c r="J42" s="3" t="n">
        <v>43.3</v>
      </c>
      <c r="K42" s="3" t="n">
        <v>43.5</v>
      </c>
      <c r="L42" s="3" t="n">
        <v>43.5</v>
      </c>
    </row>
    <row r="43" customFormat="false" ht="15" hidden="false" customHeight="false" outlineLevel="0" collapsed="false">
      <c r="A43" s="0" t="s">
        <v>107</v>
      </c>
      <c r="C43" s="3" t="n">
        <v>4</v>
      </c>
      <c r="D43" s="3" t="n">
        <v>3.8</v>
      </c>
      <c r="E43" s="3" t="n">
        <v>3.6</v>
      </c>
      <c r="F43" s="3" t="n">
        <v>3.4</v>
      </c>
      <c r="G43" s="3" t="n">
        <v>3.2</v>
      </c>
      <c r="H43" s="3" t="n">
        <v>3</v>
      </c>
      <c r="I43" s="3" t="n">
        <v>3</v>
      </c>
      <c r="J43" s="3" t="n">
        <v>3</v>
      </c>
      <c r="K43" s="3" t="n">
        <v>3</v>
      </c>
      <c r="L43" s="3" t="n">
        <v>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2.2</v>
      </c>
      <c r="D45" s="3" t="n">
        <v>2.2</v>
      </c>
      <c r="E45" s="3" t="n">
        <v>2.2</v>
      </c>
      <c r="F45" s="3" t="n">
        <v>2.2</v>
      </c>
      <c r="G45" s="3" t="n">
        <v>2.2</v>
      </c>
      <c r="H45" s="3" t="n">
        <v>2.2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110</v>
      </c>
      <c r="C46" s="3" t="n">
        <v>1.2</v>
      </c>
      <c r="D46" s="3" t="n">
        <v>1.2</v>
      </c>
      <c r="E46" s="3" t="n">
        <v>1.2</v>
      </c>
      <c r="F46" s="3" t="n">
        <v>1.2</v>
      </c>
      <c r="G46" s="3" t="n">
        <v>1.2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111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3.5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26917</v>
      </c>
      <c r="C6" s="0" t="n">
        <f aca="false">B6*(1+C5/100)</f>
        <v>27993.68</v>
      </c>
      <c r="D6" s="0" t="n">
        <f aca="false">C6*(1+D5/100)</f>
        <v>28973.4588</v>
      </c>
      <c r="E6" s="0" t="n">
        <f aca="false">D6*(1+E5/100)</f>
        <v>29842.662564</v>
      </c>
      <c r="F6" s="0" t="n">
        <f aca="false">E6*(1+F5/100)</f>
        <v>30588.7291281</v>
      </c>
      <c r="G6" s="0" t="n">
        <f aca="false">F6*(1+G5/100)</f>
        <v>31353.4473563025</v>
      </c>
      <c r="H6" s="0" t="n">
        <f aca="false">G6*(1+H5/100)</f>
        <v>31980.5163034285</v>
      </c>
      <c r="I6" s="0" t="n">
        <f aca="false">H6*(1+I5/100)</f>
        <v>32620.1266294971</v>
      </c>
      <c r="J6" s="0" t="n">
        <f aca="false">I6*(1+J5/100)</f>
        <v>33272.5291620871</v>
      </c>
      <c r="K6" s="0" t="n">
        <f aca="false">J6*(1+K5/100)</f>
        <v>33937.9797453288</v>
      </c>
      <c r="L6" s="0" t="n">
        <f aca="false">K6*(1+L5/100)</f>
        <v>34616.7393402354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36</v>
      </c>
      <c r="D7" s="4" t="n">
        <f aca="false">Assumptions!D14</f>
        <v>35.5</v>
      </c>
      <c r="E7" s="4" t="n">
        <f aca="false">Assumptions!E14</f>
        <v>35</v>
      </c>
      <c r="F7" s="4" t="n">
        <f aca="false">Assumptions!F14</f>
        <v>34.5</v>
      </c>
      <c r="G7" s="4" t="n">
        <f aca="false">Assumptions!G14</f>
        <v>34.5</v>
      </c>
      <c r="H7" s="4" t="n">
        <f aca="false">Assumptions!H14</f>
        <v>34.5</v>
      </c>
      <c r="I7" s="4" t="n">
        <f aca="false">Assumptions!I14</f>
        <v>34.5</v>
      </c>
      <c r="J7" s="4" t="n">
        <f aca="false">Assumptions!J14</f>
        <v>34.5</v>
      </c>
      <c r="K7" s="4" t="n">
        <f aca="false">Assumptions!K14</f>
        <v>34.5</v>
      </c>
      <c r="L7" s="4" t="n">
        <f aca="false">Assumptions!L14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10077.7248</v>
      </c>
      <c r="D8" s="0" t="n">
        <f aca="false">D6*D7/100</f>
        <v>10285.577874</v>
      </c>
      <c r="E8" s="0" t="n">
        <f aca="false">E6*E7/100</f>
        <v>10444.9318974</v>
      </c>
      <c r="F8" s="0" t="n">
        <f aca="false">F6*F7/100</f>
        <v>10553.1115491945</v>
      </c>
      <c r="G8" s="0" t="n">
        <f aca="false">G6*G7/100</f>
        <v>10816.9393379244</v>
      </c>
      <c r="H8" s="0" t="n">
        <f aca="false">H6*H7/100</f>
        <v>11033.2781246828</v>
      </c>
      <c r="I8" s="0" t="n">
        <f aca="false">I6*I7/100</f>
        <v>11253.9436871765</v>
      </c>
      <c r="J8" s="0" t="n">
        <f aca="false">J6*J7/100</f>
        <v>11479.02256092</v>
      </c>
      <c r="K8" s="0" t="n">
        <f aca="false">K6*K7/100</f>
        <v>11708.6030121384</v>
      </c>
      <c r="L8" s="0" t="n">
        <f aca="false">L6*L7/100</f>
        <v>11942.7750723812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4.5</v>
      </c>
      <c r="D9" s="4" t="n">
        <f aca="false">Assumptions!D15</f>
        <v>4.5</v>
      </c>
      <c r="E9" s="4" t="n">
        <f aca="false">Assumptions!E15</f>
        <v>4.5</v>
      </c>
      <c r="F9" s="4" t="n">
        <f aca="false">Assumptions!F15</f>
        <v>4.5</v>
      </c>
      <c r="G9" s="4" t="n">
        <f aca="false">Assumptions!G15</f>
        <v>4.5</v>
      </c>
      <c r="H9" s="4" t="n">
        <f aca="false">Assumptions!H15</f>
        <v>4.5</v>
      </c>
      <c r="I9" s="4" t="n">
        <f aca="false">Assumptions!I15</f>
        <v>4.5</v>
      </c>
      <c r="J9" s="4" t="n">
        <f aca="false">Assumptions!J15</f>
        <v>4.5</v>
      </c>
      <c r="K9" s="4" t="n">
        <f aca="false">Assumptions!K15</f>
        <v>4.5</v>
      </c>
      <c r="L9" s="4" t="n">
        <f aca="false">Assumptions!L15</f>
        <v>4.5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-1259.7156</v>
      </c>
      <c r="D10" s="0" t="n">
        <f aca="false">-D6*D9/100</f>
        <v>-1303.805646</v>
      </c>
      <c r="E10" s="0" t="n">
        <f aca="false">-E6*E9/100</f>
        <v>-1342.91981538</v>
      </c>
      <c r="F10" s="0" t="n">
        <f aca="false">-F6*F9/100</f>
        <v>-1376.4928107645</v>
      </c>
      <c r="G10" s="0" t="n">
        <f aca="false">-G6*G9/100</f>
        <v>-1410.90513103361</v>
      </c>
      <c r="H10" s="0" t="n">
        <f aca="false">-H6*H9/100</f>
        <v>-1439.12323365428</v>
      </c>
      <c r="I10" s="0" t="n">
        <f aca="false">-I6*I9/100</f>
        <v>-1467.90569832737</v>
      </c>
      <c r="J10" s="0" t="n">
        <f aca="false">-J6*J9/100</f>
        <v>-1497.26381229392</v>
      </c>
      <c r="K10" s="0" t="n">
        <f aca="false">-K6*K9/100</f>
        <v>-1527.2090885398</v>
      </c>
      <c r="L10" s="0" t="n">
        <f aca="false">-L6*L9/100</f>
        <v>-1557.75327031059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8818.0092</v>
      </c>
      <c r="D11" s="0" t="n">
        <f aca="false">D8+D10+D24</f>
        <v>8981.772228</v>
      </c>
      <c r="E11" s="0" t="n">
        <f aca="false">E8+E10+E24</f>
        <v>9102.01208202</v>
      </c>
      <c r="F11" s="0" t="n">
        <f aca="false">F8+F10+F24</f>
        <v>9176.61873843</v>
      </c>
      <c r="G11" s="0" t="n">
        <f aca="false">G8+G10+G24</f>
        <v>9406.03420689075</v>
      </c>
      <c r="H11" s="0" t="n">
        <f aca="false">H8+H10+H24</f>
        <v>9594.15489102856</v>
      </c>
      <c r="I11" s="0" t="n">
        <f aca="false">I8+I10+I24</f>
        <v>9786.03798884914</v>
      </c>
      <c r="J11" s="0" t="n">
        <f aca="false">J8+J10+J24</f>
        <v>9981.75874862612</v>
      </c>
      <c r="K11" s="0" t="n">
        <f aca="false">K8+K10+K24</f>
        <v>10181.3939235986</v>
      </c>
      <c r="L11" s="0" t="n">
        <f aca="false">L8+L10+L24</f>
        <v>10385.0218020706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-699.842</v>
      </c>
      <c r="D12" s="4" t="n">
        <f aca="false">-D6*Assumptions!D17/100</f>
        <v>-724.33647</v>
      </c>
      <c r="E12" s="4" t="n">
        <f aca="false">-E6*Assumptions!E17/100</f>
        <v>-746.0665641</v>
      </c>
      <c r="F12" s="4" t="n">
        <f aca="false">-F6*Assumptions!F17/100</f>
        <v>-764.7182282025</v>
      </c>
      <c r="G12" s="4" t="n">
        <f aca="false">-G6*Assumptions!G17/100</f>
        <v>-783.836183907562</v>
      </c>
      <c r="H12" s="4" t="n">
        <f aca="false">-H6*Assumptions!H17/100</f>
        <v>-799.512907585714</v>
      </c>
      <c r="I12" s="4" t="n">
        <f aca="false">-I6*Assumptions!I17/100</f>
        <v>-815.503165737428</v>
      </c>
      <c r="J12" s="4" t="n">
        <f aca="false">-J6*Assumptions!J17/100</f>
        <v>-831.813229052177</v>
      </c>
      <c r="K12" s="4" t="n">
        <f aca="false">-K6*Assumptions!K17/100</f>
        <v>-848.44949363322</v>
      </c>
      <c r="L12" s="4" t="n">
        <f aca="false">-L6*Assumptions!L17/100</f>
        <v>-865.418483505885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8118.1672</v>
      </c>
      <c r="D13" s="0" t="n">
        <f aca="false">D11+D12</f>
        <v>8257.435758</v>
      </c>
      <c r="E13" s="0" t="n">
        <f aca="false">E11+E12</f>
        <v>8355.94551792</v>
      </c>
      <c r="F13" s="0" t="n">
        <f aca="false">F11+F12</f>
        <v>8411.9005102275</v>
      </c>
      <c r="G13" s="0" t="n">
        <f aca="false">G11+G12</f>
        <v>8622.19802298319</v>
      </c>
      <c r="H13" s="0" t="n">
        <f aca="false">H11+H12</f>
        <v>8794.64198344285</v>
      </c>
      <c r="I13" s="0" t="n">
        <f aca="false">I11+I12</f>
        <v>8970.53482311171</v>
      </c>
      <c r="J13" s="0" t="n">
        <f aca="false">J11+J12</f>
        <v>9149.94551957394</v>
      </c>
      <c r="K13" s="0" t="n">
        <f aca="false">K11+K12</f>
        <v>9332.94442996542</v>
      </c>
      <c r="L13" s="0" t="n">
        <f aca="false">L11+L12</f>
        <v>9519.60331856473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6332.170416</v>
      </c>
      <c r="D15" s="0" t="n">
        <f aca="false">D13-MAX(0,D13)*D14/100</f>
        <v>6440.79989124</v>
      </c>
      <c r="E15" s="0" t="n">
        <f aca="false">E13-MAX(0,E13)*E14/100</f>
        <v>6517.6375039776</v>
      </c>
      <c r="F15" s="0" t="n">
        <f aca="false">F13-MAX(0,F13)*F14/100</f>
        <v>6561.28239797745</v>
      </c>
      <c r="G15" s="0" t="n">
        <f aca="false">G13-MAX(0,G13)*G14/100</f>
        <v>6725.31445792689</v>
      </c>
      <c r="H15" s="0" t="n">
        <f aca="false">H13-MAX(0,H13)*H14/100</f>
        <v>6859.82074708542</v>
      </c>
      <c r="I15" s="0" t="n">
        <f aca="false">I13-MAX(0,I13)*I14/100</f>
        <v>6997.01716202713</v>
      </c>
      <c r="J15" s="0" t="n">
        <f aca="false">J13-MAX(0,J13)*J14/100</f>
        <v>7136.95750526767</v>
      </c>
      <c r="K15" s="0" t="n">
        <f aca="false">K13-MAX(0,K13)*K14/100</f>
        <v>7279.69665537303</v>
      </c>
      <c r="L15" s="0" t="n">
        <f aca="false">L13-MAX(0,L13)*L14/100</f>
        <v>7425.29058848049</v>
      </c>
    </row>
    <row r="16" customFormat="false" ht="15" hidden="false" customHeight="false" outlineLevel="0" collapsed="false">
      <c r="A16" s="0" t="s">
        <v>127</v>
      </c>
      <c r="C16" s="0" t="n">
        <f aca="false">-C12</f>
        <v>699.842</v>
      </c>
      <c r="D16" s="0" t="n">
        <f aca="false">-D12</f>
        <v>724.33647</v>
      </c>
      <c r="E16" s="0" t="n">
        <f aca="false">-E12</f>
        <v>746.0665641</v>
      </c>
      <c r="F16" s="0" t="n">
        <f aca="false">-F12</f>
        <v>764.7182282025</v>
      </c>
      <c r="G16" s="0" t="n">
        <f aca="false">-G12</f>
        <v>783.836183907562</v>
      </c>
      <c r="H16" s="0" t="n">
        <f aca="false">-H12</f>
        <v>799.512907585714</v>
      </c>
      <c r="I16" s="0" t="n">
        <f aca="false">-I12</f>
        <v>815.503165737428</v>
      </c>
      <c r="J16" s="0" t="n">
        <f aca="false">-J12</f>
        <v>831.813229052177</v>
      </c>
      <c r="K16" s="0" t="n">
        <f aca="false">-K12</f>
        <v>848.44949363322</v>
      </c>
      <c r="L16" s="0" t="n">
        <f aca="false">-L12</f>
        <v>865.418483505885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-363.91784</v>
      </c>
      <c r="D17" s="4" t="n">
        <f aca="false">-D6*Assumptions!D18/100</f>
        <v>-376.6549644</v>
      </c>
      <c r="E17" s="4" t="n">
        <f aca="false">-E6*Assumptions!E18/100</f>
        <v>-387.954613332</v>
      </c>
      <c r="F17" s="4" t="n">
        <f aca="false">-F6*Assumptions!F18/100</f>
        <v>-397.6534786653</v>
      </c>
      <c r="G17" s="4" t="n">
        <f aca="false">-G6*Assumptions!G18/100</f>
        <v>-407.594815631932</v>
      </c>
      <c r="H17" s="4" t="n">
        <f aca="false">-H6*Assumptions!H18/100</f>
        <v>-415.746711944571</v>
      </c>
      <c r="I17" s="4" t="n">
        <f aca="false">-I6*Assumptions!I18/100</f>
        <v>-424.061646183463</v>
      </c>
      <c r="J17" s="4" t="n">
        <f aca="false">-J6*Assumptions!J18/100</f>
        <v>-432.542879107132</v>
      </c>
      <c r="K17" s="4" t="n">
        <f aca="false">-K6*Assumptions!K18/100</f>
        <v>-441.193736689274</v>
      </c>
      <c r="L17" s="4" t="n">
        <f aca="false">-L6*Assumptions!L18/100</f>
        <v>-450.01761142306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6668.094576</v>
      </c>
      <c r="D19" s="0" t="n">
        <f aca="false">D15+D16+D17+D18</f>
        <v>6788.48139684</v>
      </c>
      <c r="E19" s="0" t="n">
        <f aca="false">E15+E16+E17+E18</f>
        <v>6875.7494547456</v>
      </c>
      <c r="F19" s="0" t="n">
        <f aca="false">F15+F16+F17+F18</f>
        <v>6928.34714751465</v>
      </c>
      <c r="G19" s="0" t="n">
        <f aca="false">G15+G16+G17+G18</f>
        <v>7101.55582620251</v>
      </c>
      <c r="H19" s="0" t="n">
        <f aca="false">H15+H16+H17+H18</f>
        <v>7243.58694272657</v>
      </c>
      <c r="I19" s="0" t="n">
        <f aca="false">I15+I16+I17+I18</f>
        <v>7388.4586815811</v>
      </c>
      <c r="J19" s="0" t="n">
        <f aca="false">J15+J16+J17+J18</f>
        <v>7536.22785521272</v>
      </c>
      <c r="K19" s="0" t="n">
        <f aca="false">K15+K16+K17+K18</f>
        <v>7686.95241231698</v>
      </c>
      <c r="L19" s="0" t="n">
        <f aca="false">L15+L16+L17+L18</f>
        <v>7840.69146056332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6061.90416</v>
      </c>
      <c r="D21" s="0" t="n">
        <f aca="false">D19*D20</f>
        <v>5610.315204</v>
      </c>
      <c r="E21" s="0" t="n">
        <f aca="false">E19*E20</f>
        <v>5165.85233264132</v>
      </c>
      <c r="F21" s="0" t="n">
        <f aca="false">F19*F20</f>
        <v>4732.15432519271</v>
      </c>
      <c r="G21" s="0" t="n">
        <f aca="false">G19*G20</f>
        <v>4409.50743938412</v>
      </c>
      <c r="H21" s="0" t="n">
        <f aca="false">H19*H20</f>
        <v>4088.81598924709</v>
      </c>
      <c r="I21" s="0" t="n">
        <f aca="false">I19*I20</f>
        <v>3791.44755366548</v>
      </c>
      <c r="J21" s="0" t="n">
        <f aca="false">J19*J20</f>
        <v>3515.7059133989</v>
      </c>
      <c r="K21" s="0" t="n">
        <f aca="false">K19*K20</f>
        <v>3260.01821060625</v>
      </c>
      <c r="L21" s="0" t="n">
        <f aca="false">L19*L20</f>
        <v>3022.92597710762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43658.6471052435</v>
      </c>
    </row>
    <row r="31" customFormat="false" ht="15" hidden="false" customHeight="false" outlineLevel="0" collapsed="false">
      <c r="A31" s="0" t="s">
        <v>136</v>
      </c>
      <c r="B31" s="0" t="n">
        <f aca="false">L19</f>
        <v>7840.69146056332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99968.8161221823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109769.680447886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99968.8161221823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38542.3062081221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82200.9533133656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79234.9533133656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102.902536770605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-0.372354152054866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8560.26800177362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7657.41182942823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123.964458629308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61519.2714598045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61.9233743746541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</v>
      </c>
      <c r="D5" s="4" t="n">
        <f aca="false">Assumptions!D27</f>
        <v>7.5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26917</v>
      </c>
      <c r="C6" s="0" t="n">
        <f aca="false">B6*(1+C5/100)</f>
        <v>29070.36</v>
      </c>
      <c r="D6" s="0" t="n">
        <f aca="false">C6*(1+D5/100)</f>
        <v>31250.637</v>
      </c>
      <c r="E6" s="0" t="n">
        <f aca="false">D6*(1+E5/100)</f>
        <v>33438.18159</v>
      </c>
      <c r="F6" s="0" t="n">
        <f aca="false">E6*(1+F5/100)</f>
        <v>35611.66339335</v>
      </c>
      <c r="G6" s="0" t="n">
        <f aca="false">F6*(1+G5/100)</f>
        <v>37748.363196951</v>
      </c>
      <c r="H6" s="0" t="n">
        <f aca="false">G6*(1+H5/100)</f>
        <v>39824.5231727833</v>
      </c>
      <c r="I6" s="0" t="n">
        <f aca="false">H6*(1+I5/100)</f>
        <v>41815.7493314225</v>
      </c>
      <c r="J6" s="0" t="n">
        <f aca="false">I6*(1+J5/100)</f>
        <v>43697.4580513365</v>
      </c>
      <c r="K6" s="0" t="n">
        <f aca="false">J6*(1+K5/100)</f>
        <v>45445.3563733899</v>
      </c>
      <c r="L6" s="0" t="n">
        <f aca="false">K6*(1+L5/100)</f>
        <v>47263.1706283255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37.8</v>
      </c>
      <c r="D7" s="4" t="n">
        <f aca="false">Assumptions!D28</f>
        <v>38.2</v>
      </c>
      <c r="E7" s="4" t="n">
        <f aca="false">Assumptions!E28</f>
        <v>38.6</v>
      </c>
      <c r="F7" s="4" t="n">
        <f aca="false">Assumptions!F28</f>
        <v>39</v>
      </c>
      <c r="G7" s="4" t="n">
        <f aca="false">Assumptions!G28</f>
        <v>39.3</v>
      </c>
      <c r="H7" s="4" t="n">
        <f aca="false">Assumptions!H28</f>
        <v>39.5</v>
      </c>
      <c r="I7" s="4" t="n">
        <f aca="false">Assumptions!I28</f>
        <v>39.7</v>
      </c>
      <c r="J7" s="4" t="n">
        <f aca="false">Assumptions!J28</f>
        <v>39.8</v>
      </c>
      <c r="K7" s="4" t="n">
        <f aca="false">Assumptions!K28</f>
        <v>39.9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10988.59608</v>
      </c>
      <c r="D8" s="0" t="n">
        <f aca="false">D6*D7/100</f>
        <v>11937.743334</v>
      </c>
      <c r="E8" s="0" t="n">
        <f aca="false">E6*E7/100</f>
        <v>12907.13809374</v>
      </c>
      <c r="F8" s="0" t="n">
        <f aca="false">F6*F7/100</f>
        <v>13888.5487234065</v>
      </c>
      <c r="G8" s="0" t="n">
        <f aca="false">G6*G7/100</f>
        <v>14835.1067364017</v>
      </c>
      <c r="H8" s="0" t="n">
        <f aca="false">H6*H7/100</f>
        <v>15730.6866532494</v>
      </c>
      <c r="I8" s="0" t="n">
        <f aca="false">I6*I7/100</f>
        <v>16600.8524845747</v>
      </c>
      <c r="J8" s="0" t="n">
        <f aca="false">J6*J7/100</f>
        <v>17391.5883044319</v>
      </c>
      <c r="K8" s="0" t="n">
        <f aca="false">K6*K7/100</f>
        <v>18132.6971929826</v>
      </c>
      <c r="L8" s="0" t="n">
        <f aca="false">L6*L7/100</f>
        <v>18905.2682513302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4.25</v>
      </c>
      <c r="D9" s="4" t="n">
        <f aca="false">Assumptions!D29</f>
        <v>4.15</v>
      </c>
      <c r="E9" s="4" t="n">
        <f aca="false">Assumptions!E29</f>
        <v>4.05</v>
      </c>
      <c r="F9" s="4" t="n">
        <f aca="false">Assumptions!F29</f>
        <v>3.95</v>
      </c>
      <c r="G9" s="4" t="n">
        <f aca="false">Assumptions!G29</f>
        <v>3.85</v>
      </c>
      <c r="H9" s="4" t="n">
        <f aca="false">Assumptions!H29</f>
        <v>3.75</v>
      </c>
      <c r="I9" s="4" t="n">
        <f aca="false">Assumptions!I29</f>
        <v>3.7</v>
      </c>
      <c r="J9" s="4" t="n">
        <f aca="false">Assumptions!J29</f>
        <v>3.65</v>
      </c>
      <c r="K9" s="4" t="n">
        <f aca="false">Assumptions!K29</f>
        <v>3.6</v>
      </c>
      <c r="L9" s="4" t="n">
        <f aca="false">Assumptions!L29</f>
        <v>3.6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-1235.4903</v>
      </c>
      <c r="D10" s="0" t="n">
        <f aca="false">-D6*D9/100</f>
        <v>-1296.9014355</v>
      </c>
      <c r="E10" s="0" t="n">
        <f aca="false">-E6*E9/100</f>
        <v>-1354.246354395</v>
      </c>
      <c r="F10" s="0" t="n">
        <f aca="false">-F6*F9/100</f>
        <v>-1406.66070403733</v>
      </c>
      <c r="G10" s="0" t="n">
        <f aca="false">-G6*G9/100</f>
        <v>-1453.31198308261</v>
      </c>
      <c r="H10" s="0" t="n">
        <f aca="false">-H6*H9/100</f>
        <v>-1493.41961897937</v>
      </c>
      <c r="I10" s="0" t="n">
        <f aca="false">-I6*I9/100</f>
        <v>-1547.18272526263</v>
      </c>
      <c r="J10" s="0" t="n">
        <f aca="false">-J6*J9/100</f>
        <v>-1594.95721887378</v>
      </c>
      <c r="K10" s="0" t="n">
        <f aca="false">-K6*K9/100</f>
        <v>-1636.03282944204</v>
      </c>
      <c r="L10" s="0" t="n">
        <f aca="false">-L6*L9/100</f>
        <v>-1701.47414261972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9753.10578</v>
      </c>
      <c r="D11" s="0" t="n">
        <f aca="false">D8+D10+D24</f>
        <v>10640.8418985</v>
      </c>
      <c r="E11" s="0" t="n">
        <f aca="false">E8+E10+E24</f>
        <v>11552.891739345</v>
      </c>
      <c r="F11" s="0" t="n">
        <f aca="false">F8+F10+F24</f>
        <v>12481.8880193692</v>
      </c>
      <c r="G11" s="0" t="n">
        <f aca="false">G8+G10+G24</f>
        <v>13381.7947533191</v>
      </c>
      <c r="H11" s="0" t="n">
        <f aca="false">H8+H10+H24</f>
        <v>14237.26703427</v>
      </c>
      <c r="I11" s="0" t="n">
        <f aca="false">I8+I10+I24</f>
        <v>15053.6697593121</v>
      </c>
      <c r="J11" s="0" t="n">
        <f aca="false">J8+J10+J24</f>
        <v>15796.6310855581</v>
      </c>
      <c r="K11" s="0" t="n">
        <f aca="false">K8+K10+K24</f>
        <v>16496.6643635406</v>
      </c>
      <c r="L11" s="0" t="n">
        <f aca="false">L8+L10+L24</f>
        <v>17203.7941087105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-668.61828</v>
      </c>
      <c r="D12" s="4" t="n">
        <f aca="false">-D6*Assumptions!D31/100</f>
        <v>-718.764651</v>
      </c>
      <c r="E12" s="4" t="n">
        <f aca="false">-E6*Assumptions!E31/100</f>
        <v>-769.07817657</v>
      </c>
      <c r="F12" s="4" t="n">
        <f aca="false">-F6*Assumptions!F31/100</f>
        <v>-819.06825804705</v>
      </c>
      <c r="G12" s="4" t="n">
        <f aca="false">-G6*Assumptions!G31/100</f>
        <v>-868.212353529873</v>
      </c>
      <c r="H12" s="4" t="n">
        <f aca="false">-H6*Assumptions!H31/100</f>
        <v>-915.964032974016</v>
      </c>
      <c r="I12" s="4" t="n">
        <f aca="false">-I6*Assumptions!I31/100</f>
        <v>-961.762234622717</v>
      </c>
      <c r="J12" s="4" t="n">
        <f aca="false">-J6*Assumptions!J31/100</f>
        <v>-1005.04153518074</v>
      </c>
      <c r="K12" s="4" t="n">
        <f aca="false">-K6*Assumptions!K31/100</f>
        <v>-1045.24319658797</v>
      </c>
      <c r="L12" s="4" t="n">
        <f aca="false">-L6*Assumptions!L31/100</f>
        <v>-1087.05292445149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9084.4875</v>
      </c>
      <c r="D13" s="0" t="n">
        <f aca="false">D11+D12</f>
        <v>9922.0772475</v>
      </c>
      <c r="E13" s="0" t="n">
        <f aca="false">E11+E12</f>
        <v>10783.813562775</v>
      </c>
      <c r="F13" s="0" t="n">
        <f aca="false">F11+F12</f>
        <v>11662.8197613221</v>
      </c>
      <c r="G13" s="0" t="n">
        <f aca="false">G11+G12</f>
        <v>12513.5823997893</v>
      </c>
      <c r="H13" s="0" t="n">
        <f aca="false">H11+H12</f>
        <v>13321.303001296</v>
      </c>
      <c r="I13" s="0" t="n">
        <f aca="false">I11+I12</f>
        <v>14091.9075246894</v>
      </c>
      <c r="J13" s="0" t="n">
        <f aca="false">J11+J12</f>
        <v>14791.5895503774</v>
      </c>
      <c r="K13" s="0" t="n">
        <f aca="false">K11+K12</f>
        <v>15451.4211669526</v>
      </c>
      <c r="L13" s="0" t="n">
        <f aca="false">L11+L12</f>
        <v>16116.741184259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7176.745125</v>
      </c>
      <c r="D15" s="0" t="n">
        <f aca="false">D13-MAX(0,D13)*D14/100</f>
        <v>7838.441025525</v>
      </c>
      <c r="E15" s="0" t="n">
        <f aca="false">E13-MAX(0,E13)*E14/100</f>
        <v>8519.21271459225</v>
      </c>
      <c r="F15" s="0" t="n">
        <f aca="false">F13-MAX(0,F13)*F14/100</f>
        <v>9213.62761144448</v>
      </c>
      <c r="G15" s="0" t="n">
        <f aca="false">G13-MAX(0,G13)*G14/100</f>
        <v>9885.73009583351</v>
      </c>
      <c r="H15" s="0" t="n">
        <f aca="false">H13-MAX(0,H13)*H14/100</f>
        <v>10523.8293710239</v>
      </c>
      <c r="I15" s="0" t="n">
        <f aca="false">I13-MAX(0,I13)*I14/100</f>
        <v>11132.6069445046</v>
      </c>
      <c r="J15" s="0" t="n">
        <f aca="false">J13-MAX(0,J13)*J14/100</f>
        <v>11685.3557447981</v>
      </c>
      <c r="K15" s="0" t="n">
        <f aca="false">K13-MAX(0,K13)*K14/100</f>
        <v>12206.6227218925</v>
      </c>
      <c r="L15" s="0" t="n">
        <f aca="false">L13-MAX(0,L13)*L14/100</f>
        <v>12732.2255355646</v>
      </c>
    </row>
    <row r="16" customFormat="false" ht="15" hidden="false" customHeight="false" outlineLevel="0" collapsed="false">
      <c r="A16" s="0" t="s">
        <v>127</v>
      </c>
      <c r="C16" s="0" t="n">
        <f aca="false">-C12</f>
        <v>668.61828</v>
      </c>
      <c r="D16" s="0" t="n">
        <f aca="false">-D12</f>
        <v>718.764651</v>
      </c>
      <c r="E16" s="0" t="n">
        <f aca="false">-E12</f>
        <v>769.07817657</v>
      </c>
      <c r="F16" s="0" t="n">
        <f aca="false">-F12</f>
        <v>819.06825804705</v>
      </c>
      <c r="G16" s="0" t="n">
        <f aca="false">-G12</f>
        <v>868.212353529873</v>
      </c>
      <c r="H16" s="0" t="n">
        <f aca="false">-H12</f>
        <v>915.964032974016</v>
      </c>
      <c r="I16" s="0" t="n">
        <f aca="false">-I12</f>
        <v>961.762234622717</v>
      </c>
      <c r="J16" s="0" t="n">
        <f aca="false">-J12</f>
        <v>1005.04153518074</v>
      </c>
      <c r="K16" s="0" t="n">
        <f aca="false">-K12</f>
        <v>1045.24319658797</v>
      </c>
      <c r="L16" s="0" t="n">
        <f aca="false">-L12</f>
        <v>1087.05292445149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-348.84432</v>
      </c>
      <c r="D17" s="4" t="n">
        <f aca="false">-D6*Assumptions!D32/100</f>
        <v>-375.007644</v>
      </c>
      <c r="E17" s="4" t="n">
        <f aca="false">-E6*Assumptions!E32/100</f>
        <v>-401.25817908</v>
      </c>
      <c r="F17" s="4" t="n">
        <f aca="false">-F6*Assumptions!F32/100</f>
        <v>-427.3399607202</v>
      </c>
      <c r="G17" s="4" t="n">
        <f aca="false">-G6*Assumptions!G32/100</f>
        <v>-452.980358363412</v>
      </c>
      <c r="H17" s="4" t="n">
        <f aca="false">-H6*Assumptions!H32/100</f>
        <v>-477.8942780734</v>
      </c>
      <c r="I17" s="4" t="n">
        <f aca="false">-I6*Assumptions!I32/100</f>
        <v>-501.78899197707</v>
      </c>
      <c r="J17" s="4" t="n">
        <f aca="false">-J6*Assumptions!J32/100</f>
        <v>-524.369496616038</v>
      </c>
      <c r="K17" s="4" t="n">
        <f aca="false">-K6*Assumptions!K32/100</f>
        <v>-545.344276480679</v>
      </c>
      <c r="L17" s="4" t="n">
        <f aca="false">-L6*Assumptions!L32/100</f>
        <v>-567.158047539906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7496.519085</v>
      </c>
      <c r="D19" s="0" t="n">
        <f aca="false">D15+D16+D17+D18</f>
        <v>8182.198032525</v>
      </c>
      <c r="E19" s="0" t="n">
        <f aca="false">E15+E16+E17+E18</f>
        <v>8887.03271208225</v>
      </c>
      <c r="F19" s="0" t="n">
        <f aca="false">F15+F16+F17+F18</f>
        <v>9605.35590877133</v>
      </c>
      <c r="G19" s="0" t="n">
        <f aca="false">G15+G16+G17+G18</f>
        <v>10300.962091</v>
      </c>
      <c r="H19" s="0" t="n">
        <f aca="false">H15+H16+H17+H18</f>
        <v>10961.8991259245</v>
      </c>
      <c r="I19" s="0" t="n">
        <f aca="false">I15+I16+I17+I18</f>
        <v>11592.5801871503</v>
      </c>
      <c r="J19" s="0" t="n">
        <f aca="false">J15+J16+J17+J18</f>
        <v>12166.0277833628</v>
      </c>
      <c r="K19" s="0" t="n">
        <f aca="false">K15+K16+K17+K18</f>
        <v>12706.5216419998</v>
      </c>
      <c r="L19" s="0" t="n">
        <f aca="false">L15+L16+L17+L18</f>
        <v>13252.1204124762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6877.54044495413</v>
      </c>
      <c r="D21" s="0" t="n">
        <f aca="false">D19*D20</f>
        <v>6886.7923849213</v>
      </c>
      <c r="E21" s="0" t="n">
        <f aca="false">E19*E20</f>
        <v>6862.41984703219</v>
      </c>
      <c r="F21" s="0" t="n">
        <f aca="false">F19*F20</f>
        <v>6804.67628702766</v>
      </c>
      <c r="G21" s="0" t="n">
        <f aca="false">G19*G20</f>
        <v>6694.91857201031</v>
      </c>
      <c r="H21" s="0" t="n">
        <f aca="false">H19*H20</f>
        <v>6536.2222893346</v>
      </c>
      <c r="I21" s="0" t="n">
        <f aca="false">I19*I20</f>
        <v>6341.53834846334</v>
      </c>
      <c r="J21" s="0" t="n">
        <f aca="false">J19*J20</f>
        <v>6105.71910203184</v>
      </c>
      <c r="K21" s="0" t="n">
        <f aca="false">K19*K20</f>
        <v>5850.4355450018</v>
      </c>
      <c r="L21" s="0" t="n">
        <f aca="false">L19*L20</f>
        <v>5597.8388765129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64558.1016972901</v>
      </c>
    </row>
    <row r="31" customFormat="false" ht="15" hidden="false" customHeight="false" outlineLevel="0" collapsed="false">
      <c r="A31" s="0" t="s">
        <v>136</v>
      </c>
      <c r="B31" s="0" t="n">
        <f aca="false">L19</f>
        <v>13252.1204124762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227494.733747508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238538.167424572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227494.733747508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96096.2340468048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160654.335744095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157688.335744095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204.790046420902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0.249100618608737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9221.13750370076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12338.0449576838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232.788984682441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113747.366873754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96.4609287432004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11</v>
      </c>
      <c r="D5" s="4" t="n">
        <f aca="false">Assumptions!D41</f>
        <v>10.5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8.5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</v>
      </c>
      <c r="L5" s="4" t="n">
        <f aca="false">Assumptions!L41</f>
        <v>5.5</v>
      </c>
    </row>
    <row r="6" customFormat="false" ht="15" hidden="false" customHeight="false" outlineLevel="0" collapsed="false">
      <c r="A6" s="0" t="s">
        <v>37</v>
      </c>
      <c r="B6" s="3" t="n">
        <v>26917</v>
      </c>
      <c r="C6" s="0" t="n">
        <f aca="false">B6*(1+C5/100)</f>
        <v>29877.87</v>
      </c>
      <c r="D6" s="0" t="n">
        <f aca="false">C6*(1+D5/100)</f>
        <v>33015.04635</v>
      </c>
      <c r="E6" s="0" t="n">
        <f aca="false">D6*(1+E5/100)</f>
        <v>36316.550985</v>
      </c>
      <c r="F6" s="0" t="n">
        <f aca="false">E6*(1+F5/100)</f>
        <v>39585.04057365</v>
      </c>
      <c r="G6" s="0" t="n">
        <f aca="false">F6*(1+G5/100)</f>
        <v>42949.7690224103</v>
      </c>
      <c r="H6" s="0" t="n">
        <f aca="false">G6*(1+H5/100)</f>
        <v>46385.7505442031</v>
      </c>
      <c r="I6" s="0" t="n">
        <f aca="false">H6*(1+I5/100)</f>
        <v>49632.7530822973</v>
      </c>
      <c r="J6" s="0" t="n">
        <f aca="false">I6*(1+J5/100)</f>
        <v>52858.8820326466</v>
      </c>
      <c r="K6" s="0" t="n">
        <f aca="false">J6*(1+K5/100)</f>
        <v>56030.4149546054</v>
      </c>
      <c r="L6" s="0" t="n">
        <f aca="false">K6*(1+L5/100)</f>
        <v>59112.0877771087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38.5</v>
      </c>
      <c r="D7" s="4" t="n">
        <f aca="false">Assumptions!D42</f>
        <v>39.5</v>
      </c>
      <c r="E7" s="4" t="n">
        <f aca="false">Assumptions!E42</f>
        <v>40.5</v>
      </c>
      <c r="F7" s="4" t="n">
        <f aca="false">Assumptions!F42</f>
        <v>41.5</v>
      </c>
      <c r="G7" s="4" t="n">
        <f aca="false">Assumptions!G42</f>
        <v>42</v>
      </c>
      <c r="H7" s="4" t="n">
        <f aca="false">Assumptions!H42</f>
        <v>42.5</v>
      </c>
      <c r="I7" s="4" t="n">
        <f aca="false">Assumptions!I42</f>
        <v>43</v>
      </c>
      <c r="J7" s="4" t="n">
        <f aca="false">Assumptions!J42</f>
        <v>43.3</v>
      </c>
      <c r="K7" s="4" t="n">
        <f aca="false">Assumptions!K42</f>
        <v>43.5</v>
      </c>
      <c r="L7" s="4" t="n">
        <f aca="false">Assumptions!L42</f>
        <v>43.5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11502.97995</v>
      </c>
      <c r="D8" s="0" t="n">
        <f aca="false">D6*D7/100</f>
        <v>13040.94330825</v>
      </c>
      <c r="E8" s="0" t="n">
        <f aca="false">E6*E7/100</f>
        <v>14708.203148925</v>
      </c>
      <c r="F8" s="0" t="n">
        <f aca="false">F6*F7/100</f>
        <v>16427.7918380648</v>
      </c>
      <c r="G8" s="0" t="n">
        <f aca="false">G6*G7/100</f>
        <v>18038.9029894123</v>
      </c>
      <c r="H8" s="0" t="n">
        <f aca="false">H6*H7/100</f>
        <v>19713.9439812863</v>
      </c>
      <c r="I8" s="0" t="n">
        <f aca="false">I6*I7/100</f>
        <v>21342.0838253878</v>
      </c>
      <c r="J8" s="0" t="n">
        <f aca="false">J6*J7/100</f>
        <v>22887.895920136</v>
      </c>
      <c r="K8" s="0" t="n">
        <f aca="false">K6*K7/100</f>
        <v>24373.2305052534</v>
      </c>
      <c r="L8" s="0" t="n">
        <f aca="false">L6*L7/100</f>
        <v>25713.7581830423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4</v>
      </c>
      <c r="D9" s="4" t="n">
        <f aca="false">Assumptions!D43</f>
        <v>3.8</v>
      </c>
      <c r="E9" s="4" t="n">
        <f aca="false">Assumptions!E43</f>
        <v>3.6</v>
      </c>
      <c r="F9" s="4" t="n">
        <f aca="false">Assumptions!F43</f>
        <v>3.4</v>
      </c>
      <c r="G9" s="4" t="n">
        <f aca="false">Assumptions!G43</f>
        <v>3.2</v>
      </c>
      <c r="H9" s="4" t="n">
        <f aca="false">Assumptions!H43</f>
        <v>3</v>
      </c>
      <c r="I9" s="4" t="n">
        <f aca="false">Assumptions!I43</f>
        <v>3</v>
      </c>
      <c r="J9" s="4" t="n">
        <f aca="false">Assumptions!J43</f>
        <v>3</v>
      </c>
      <c r="K9" s="4" t="n">
        <f aca="false">Assumptions!K43</f>
        <v>3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-1195.1148</v>
      </c>
      <c r="D10" s="0" t="n">
        <f aca="false">-D6*D9/100</f>
        <v>-1254.5717613</v>
      </c>
      <c r="E10" s="0" t="n">
        <f aca="false">-E6*E9/100</f>
        <v>-1307.39583546</v>
      </c>
      <c r="F10" s="0" t="n">
        <f aca="false">-F6*F9/100</f>
        <v>-1345.8913795041</v>
      </c>
      <c r="G10" s="0" t="n">
        <f aca="false">-G6*G9/100</f>
        <v>-1374.39260871713</v>
      </c>
      <c r="H10" s="0" t="n">
        <f aca="false">-H6*H9/100</f>
        <v>-1391.57251632609</v>
      </c>
      <c r="I10" s="0" t="n">
        <f aca="false">-I6*I9/100</f>
        <v>-1488.98259246892</v>
      </c>
      <c r="J10" s="0" t="n">
        <f aca="false">-J6*J9/100</f>
        <v>-1585.7664609794</v>
      </c>
      <c r="K10" s="0" t="n">
        <f aca="false">-K6*K9/100</f>
        <v>-1680.91244863816</v>
      </c>
      <c r="L10" s="0" t="n">
        <f aca="false">-L6*L9/100</f>
        <v>-1773.36263331326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10307.86515</v>
      </c>
      <c r="D11" s="0" t="n">
        <f aca="false">D8+D10+D24</f>
        <v>11786.37154695</v>
      </c>
      <c r="E11" s="0" t="n">
        <f aca="false">E8+E10+E24</f>
        <v>13400.807313465</v>
      </c>
      <c r="F11" s="0" t="n">
        <f aca="false">F8+F10+F24</f>
        <v>15081.9004585607</v>
      </c>
      <c r="G11" s="0" t="n">
        <f aca="false">G8+G10+G24</f>
        <v>16664.5103806952</v>
      </c>
      <c r="H11" s="0" t="n">
        <f aca="false">H8+H10+H24</f>
        <v>18322.3714649602</v>
      </c>
      <c r="I11" s="0" t="n">
        <f aca="false">I8+I10+I24</f>
        <v>19853.1012329189</v>
      </c>
      <c r="J11" s="0" t="n">
        <f aca="false">J8+J10+J24</f>
        <v>21302.1294591566</v>
      </c>
      <c r="K11" s="0" t="n">
        <f aca="false">K8+K10+K24</f>
        <v>22692.3180566152</v>
      </c>
      <c r="L11" s="0" t="n">
        <f aca="false">L8+L10+L24</f>
        <v>23940.395549729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-657.31314</v>
      </c>
      <c r="D12" s="4" t="n">
        <f aca="false">-D6*Assumptions!D45/100</f>
        <v>-726.3310197</v>
      </c>
      <c r="E12" s="4" t="n">
        <f aca="false">-E6*Assumptions!E45/100</f>
        <v>-798.96412167</v>
      </c>
      <c r="F12" s="4" t="n">
        <f aca="false">-F6*Assumptions!F45/100</f>
        <v>-870.8708926203</v>
      </c>
      <c r="G12" s="4" t="n">
        <f aca="false">-G6*Assumptions!G45/100</f>
        <v>-944.894918493026</v>
      </c>
      <c r="H12" s="4" t="n">
        <f aca="false">-H6*Assumptions!H45/100</f>
        <v>-1020.48651197247</v>
      </c>
      <c r="I12" s="4" t="n">
        <f aca="false">-I6*Assumptions!I45/100</f>
        <v>-1091.92056781054</v>
      </c>
      <c r="J12" s="4" t="n">
        <f aca="false">-J6*Assumptions!J45/100</f>
        <v>-1162.89540471823</v>
      </c>
      <c r="K12" s="4" t="n">
        <f aca="false">-K6*Assumptions!K45/100</f>
        <v>-1232.66912900132</v>
      </c>
      <c r="L12" s="4" t="n">
        <f aca="false">-L6*Assumptions!L45/100</f>
        <v>-1300.46593109639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9650.55201</v>
      </c>
      <c r="D13" s="0" t="n">
        <f aca="false">D11+D12</f>
        <v>11060.04052725</v>
      </c>
      <c r="E13" s="0" t="n">
        <f aca="false">E11+E12</f>
        <v>12601.843191795</v>
      </c>
      <c r="F13" s="0" t="n">
        <f aca="false">F11+F12</f>
        <v>14211.0295659404</v>
      </c>
      <c r="G13" s="0" t="n">
        <f aca="false">G11+G12</f>
        <v>15719.6154622022</v>
      </c>
      <c r="H13" s="0" t="n">
        <f aca="false">H11+H12</f>
        <v>17301.8849529878</v>
      </c>
      <c r="I13" s="0" t="n">
        <f aca="false">I11+I12</f>
        <v>18761.1806651084</v>
      </c>
      <c r="J13" s="0" t="n">
        <f aca="false">J11+J12</f>
        <v>20139.2340544384</v>
      </c>
      <c r="K13" s="0" t="n">
        <f aca="false">K11+K12</f>
        <v>21459.6489276139</v>
      </c>
      <c r="L13" s="0" t="n">
        <f aca="false">L11+L12</f>
        <v>22639.9296186326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7623.9360879</v>
      </c>
      <c r="D15" s="0" t="n">
        <f aca="false">D13-MAX(0,D13)*D14/100</f>
        <v>8737.4320165275</v>
      </c>
      <c r="E15" s="0" t="n">
        <f aca="false">E13-MAX(0,E13)*E14/100</f>
        <v>9955.45612151805</v>
      </c>
      <c r="F15" s="0" t="n">
        <f aca="false">F13-MAX(0,F13)*F14/100</f>
        <v>11226.7133570929</v>
      </c>
      <c r="G15" s="0" t="n">
        <f aca="false">G13-MAX(0,G13)*G14/100</f>
        <v>12418.4962151397</v>
      </c>
      <c r="H15" s="0" t="n">
        <f aca="false">H13-MAX(0,H13)*H14/100</f>
        <v>13668.4891128603</v>
      </c>
      <c r="I15" s="0" t="n">
        <f aca="false">I13-MAX(0,I13)*I14/100</f>
        <v>14821.3327254356</v>
      </c>
      <c r="J15" s="0" t="n">
        <f aca="false">J13-MAX(0,J13)*J14/100</f>
        <v>15909.9949030063</v>
      </c>
      <c r="K15" s="0" t="n">
        <f aca="false">K13-MAX(0,K13)*K14/100</f>
        <v>16953.122652815</v>
      </c>
      <c r="L15" s="0" t="n">
        <f aca="false">L13-MAX(0,L13)*L14/100</f>
        <v>17885.5443987198</v>
      </c>
    </row>
    <row r="16" customFormat="false" ht="15" hidden="false" customHeight="false" outlineLevel="0" collapsed="false">
      <c r="A16" s="0" t="s">
        <v>127</v>
      </c>
      <c r="C16" s="0" t="n">
        <f aca="false">-C12</f>
        <v>657.31314</v>
      </c>
      <c r="D16" s="0" t="n">
        <f aca="false">-D12</f>
        <v>726.3310197</v>
      </c>
      <c r="E16" s="0" t="n">
        <f aca="false">-E12</f>
        <v>798.96412167</v>
      </c>
      <c r="F16" s="0" t="n">
        <f aca="false">-F12</f>
        <v>870.8708926203</v>
      </c>
      <c r="G16" s="0" t="n">
        <f aca="false">-G12</f>
        <v>944.894918493026</v>
      </c>
      <c r="H16" s="0" t="n">
        <f aca="false">-H12</f>
        <v>1020.48651197247</v>
      </c>
      <c r="I16" s="0" t="n">
        <f aca="false">-I12</f>
        <v>1091.92056781054</v>
      </c>
      <c r="J16" s="0" t="n">
        <f aca="false">-J12</f>
        <v>1162.89540471823</v>
      </c>
      <c r="K16" s="0" t="n">
        <f aca="false">-K12</f>
        <v>1232.66912900132</v>
      </c>
      <c r="L16" s="0" t="n">
        <f aca="false">-L12</f>
        <v>1300.46593109639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-358.53444</v>
      </c>
      <c r="D17" s="4" t="n">
        <f aca="false">-D6*Assumptions!D46/100</f>
        <v>-396.1805562</v>
      </c>
      <c r="E17" s="4" t="n">
        <f aca="false">-E6*Assumptions!E46/100</f>
        <v>-435.79861182</v>
      </c>
      <c r="F17" s="4" t="n">
        <f aca="false">-F6*Assumptions!F46/100</f>
        <v>-475.0204868838</v>
      </c>
      <c r="G17" s="4" t="n">
        <f aca="false">-G6*Assumptions!G46/100</f>
        <v>-515.397228268923</v>
      </c>
      <c r="H17" s="4" t="n">
        <f aca="false">-H6*Assumptions!H46/100</f>
        <v>-556.629006530437</v>
      </c>
      <c r="I17" s="4" t="n">
        <f aca="false">-I6*Assumptions!I46/100</f>
        <v>-595.593036987568</v>
      </c>
      <c r="J17" s="4" t="n">
        <f aca="false">-J6*Assumptions!J46/100</f>
        <v>-634.30658439176</v>
      </c>
      <c r="K17" s="4" t="n">
        <f aca="false">-K6*Assumptions!K46/100</f>
        <v>-672.364979455265</v>
      </c>
      <c r="L17" s="4" t="n">
        <f aca="false">-L6*Assumptions!L46/100</f>
        <v>-709.345053325305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7922.7147879</v>
      </c>
      <c r="D19" s="0" t="n">
        <f aca="false">D15+D16+D17+D18</f>
        <v>9067.5824800275</v>
      </c>
      <c r="E19" s="0" t="n">
        <f aca="false">E15+E16+E17+E18</f>
        <v>10318.6216313681</v>
      </c>
      <c r="F19" s="0" t="n">
        <f aca="false">F15+F16+F17+F18</f>
        <v>11622.5637628294</v>
      </c>
      <c r="G19" s="0" t="n">
        <f aca="false">G15+G16+G17+G18</f>
        <v>12847.9939053638</v>
      </c>
      <c r="H19" s="0" t="n">
        <f aca="false">H15+H16+H17+H18</f>
        <v>14132.3466183024</v>
      </c>
      <c r="I19" s="0" t="n">
        <f aca="false">I15+I16+I17+I18</f>
        <v>15317.6602562586</v>
      </c>
      <c r="J19" s="0" t="n">
        <f aca="false">J15+J16+J17+J18</f>
        <v>16438.5837233328</v>
      </c>
      <c r="K19" s="0" t="n">
        <f aca="false">K15+K16+K17+K18</f>
        <v>17513.426802361</v>
      </c>
      <c r="L19" s="0" t="n">
        <f aca="false">L15+L16+L17+L18</f>
        <v>18476.6652764909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7302.04127917051</v>
      </c>
      <c r="D21" s="0" t="n">
        <f aca="false">D19*D20</f>
        <v>7702.50587613031</v>
      </c>
      <c r="E21" s="0" t="n">
        <f aca="false">E19*E20</f>
        <v>8078.53243984055</v>
      </c>
      <c r="F21" s="0" t="n">
        <f aca="false">F19*F20</f>
        <v>8386.54312852226</v>
      </c>
      <c r="G21" s="0" t="n">
        <f aca="false">G19*G20</f>
        <v>8544.49954519992</v>
      </c>
      <c r="H21" s="0" t="n">
        <f aca="false">H19*H20</f>
        <v>8662.35247818229</v>
      </c>
      <c r="I21" s="0" t="n">
        <f aca="false">I19*I20</f>
        <v>8653.34991094477</v>
      </c>
      <c r="J21" s="0" t="n">
        <f aca="false">J19*J20</f>
        <v>8559.0683084742</v>
      </c>
      <c r="K21" s="0" t="n">
        <f aca="false">K19*K20</f>
        <v>8404.33756757058</v>
      </c>
      <c r="L21" s="0" t="n">
        <f aca="false">L19*L20</f>
        <v>8171.95957031056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82465.190104346</v>
      </c>
    </row>
    <row r="31" customFormat="false" ht="15" hidden="false" customHeight="false" outlineLevel="0" collapsed="false">
      <c r="A31" s="0" t="s">
        <v>136</v>
      </c>
      <c r="B31" s="0" t="n">
        <f aca="false">L19</f>
        <v>18476.6652764909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382466.971223361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369533.305529818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369533.305529818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163439.191406211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245904.381510557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242938.381510557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315.504391572152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0.924393971162868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9186.7071609917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16235.6812655177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348.520480437749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166289.987488418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127.908203762437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102.902536770605</v>
      </c>
      <c r="C4" s="0" t="n">
        <f aca="false">B4/Assumptions!$B$2-1</f>
        <v>-0.372354152054866</v>
      </c>
      <c r="D4" s="4" t="n">
        <f aca="false">Assumptions!$B$24</f>
        <v>0.2</v>
      </c>
      <c r="E4" s="4" t="n">
        <f aca="false">DCF_Bear!$B$43</f>
        <v>123.964458629308</v>
      </c>
      <c r="F4" s="4" t="n">
        <f aca="false">DCF_Bear!$B$47</f>
        <v>61.9233743746541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204.790046420902</v>
      </c>
      <c r="C5" s="0" t="n">
        <f aca="false">B5/Assumptions!$B$2-1</f>
        <v>0.249100618608737</v>
      </c>
      <c r="D5" s="4" t="n">
        <f aca="false">Assumptions!$B$38</f>
        <v>0.5</v>
      </c>
      <c r="E5" s="4" t="n">
        <f aca="false">DCF_Base!$B$43</f>
        <v>232.788984682441</v>
      </c>
      <c r="F5" s="4" t="n">
        <f aca="false">DCF_Base!$B$47</f>
        <v>96.4609287432004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315.504391572152</v>
      </c>
      <c r="C6" s="0" t="n">
        <f aca="false">B6/Assumptions!$B$2-1</f>
        <v>0.924393971162868</v>
      </c>
      <c r="D6" s="4" t="n">
        <f aca="false">Assumptions!$B$52</f>
        <v>0.3</v>
      </c>
      <c r="E6" s="4" t="n">
        <f aca="false">DCF_Bull!$B$43</f>
        <v>348.520480437749</v>
      </c>
      <c r="F6" s="4" t="n">
        <f aca="false">DCF_Bull!$B$47</f>
        <v>127.908203762437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217.626848036218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245.743528198407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0.246646259506018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-190.907488816556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98.9876003752621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204.790046420902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173.680708422186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150.409270677042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132.359410006277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96.4609287432004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246.268626983636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246.268626983636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246.268626983636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246.268626983636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246.268626983636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219.748736369545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227.720549198601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227.720549198601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227.720549198601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227.720549198601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185.922871481511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194.630798376615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204.790046420902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210.848313603276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210.848313603276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160.646866341211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166.729325978999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173.680708422186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181.701534318171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191.059164530153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141.064786291512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145.462190708232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150.409270677042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156.015961308361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162.423607744153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2026-09-25T23:33:37Z</dcterms:created>
  <dc:creator>openpyxl</dc:creator>
  <dc:description/>
  <dc:language>en-NZ</dc:language>
  <cp:lastModifiedBy/>
  <dcterms:modified xsi:type="dcterms:W3CDTF">2026-09-25T23:33:37Z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