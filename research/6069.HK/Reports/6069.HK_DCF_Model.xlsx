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<sst xmlns="http://schemas.openxmlformats.org/spreadsheetml/2006/main" count="360" uniqueCount="168">
  <si>
    <t xml:space="preserve">Ticker</t>
  </si>
  <si>
    <t xml:space="preserve">6069.HK</t>
  </si>
  <si>
    <t xml:space="preserve">Company</t>
  </si>
  <si>
    <t xml:space="preserve">SY Holdings Group Limited (formerly Sheng Ye Capital)</t>
  </si>
  <si>
    <t xml:space="preserve">Valuation date</t>
  </si>
  <si>
    <t xml:space="preserve">2026-10-24</t>
  </si>
  <si>
    <t xml:space="preserve">Current price</t>
  </si>
  <si>
    <t xml:space="preserve">Price as of</t>
  </si>
  <si>
    <t xml:space="preserve">2026-10-23T08:08:08Z (HKEX regular close, Friday 23 Oct 2026; 52-week range 5.30-12.36)</t>
  </si>
  <si>
    <t xml:space="preserve">Balance sheet date</t>
  </si>
  <si>
    <t xml:space="preserve">2026-06-30</t>
  </si>
  <si>
    <t xml:space="preserve">Model</t>
  </si>
  <si>
    <t xml:space="preserve">Lender FCFE (distributable earnings) capitalisation at cost of equity (engine route)</t>
  </si>
  <si>
    <t xml:space="preserve">Currency (model)</t>
  </si>
  <si>
    <t xml:space="preserve">CNY</t>
  </si>
  <si>
    <t xml:space="preserve">Currency (quote)</t>
  </si>
  <si>
    <t xml:space="preserve">HKD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</si>
  <si>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</si>
  <si>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</si>
  <si>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</si>
  <si>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</si>
  <si>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</si>
  <si>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2026-10-23T11:39:10Z</t>
  </si>
  <si>
    <t xml:space="preserve">Drivers file</t>
  </si>
  <si>
    <t xml:space="preserve">6069.HK_Drivers.json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</si>
  <si>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</si>
  <si>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</si>
  <si>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</si>
  <si>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SY is valued as a lender becoming a fee platform: distributable earnings to ordinary shareholders (attributable NPAT less capital retained for the credit-enhancement entities), capitalised at a 12% CNY cost of equity with no net-debt bridge, converted to HKD at spot. The headline question is whether the fee line grows fast enough to offset the run-off of balance-sheet financing income; the model answers that in the revenue path, and the regulatory and credit risk sits in the scenario weights rather than in a stacked discount-rate premium.
key_risks_to_valuation: Regulatory: Yinfa No. 77 [2025] and disguised-lending / electronic-IOU crackdowns could constrain facilitation fees or require more capital in the factoring and guarantee entities (bear case).; Mix-shift arithmetic: digital financing income fell 28% in FY2025; if platform revenue growth slows below ~20% group revenue shrinks (bear).; Credit: RMB4.36bn of supply-chain assets at FVTOCI remain on balance sheet with core-enterprise concentration in infrastructure, pharma and commodities.; Payout sustainability: the &gt;=90% commitment ends FY2026; FY2025 dividends (RMB950.6m paid) exceeded profit and were funded by book shrinkage and RMB735m of placements -- more placements would dilute the flat share count assumed here.; FX: CNY flows against an HKD quote; the 1.1748 rate must be refreshed with the price.; The 'EBITDA margin' in this file is a PBT-basis margin after finance costs and associates; do not read it as an operating margin or compare it with operating-company multiples.</t>
  </si>
  <si>
    <t xml:space="preserve">Data sources</t>
  </si>
  <si>
    <t xml:space="preserve">price: Yahoo Finance chart API at inputs.price_as_of (HKEX regular close); 52-week range 5.30-12.36; CNY/HKD from Yahoo CNYHKD=X same date
financials: 6069.HK_Metrics.csv / core_metrics (RMB millions); FY2025 annual report (P&amp;L, tax note 11, dividend), H1 FY2026 interim report (balance sheet at 30 June 2026, share capital note 24, EPS note 12, taxation paragraph); kpis table for segment revenue, finance costs, associates and dividends
qualitative: 6069.HK_Analysis.json (2026-10-24): business model, mix-shift, regulatory risk, guidance (payout &gt;=90% FY2024-FY2026, no numeric revenue guidance), interim outlook section</t>
  </si>
  <si>
    <t xml:space="preserve">Scenario narrative: bear</t>
  </si>
  <si>
    <t xml:space="preserve">Regulation bites: Yinfa No. 77 [2025] and the disguised-lending / e-IOU crackdowns raise compliance cost and constrain facilitation and credit-enhancement fees, while a China SME credit downturn lifts impairments on the RMB4.4bn FVTOCI book and a top-tier core-enterprise relationship is lost. Revenue falls 3%/yr for two years, margin compresses to 62%, and after the FY2026 payout commitment lapses management retains 20% of earnings as capital for the factoring/guarantee entities. The overseas, AI and RWA/stablecoin initiatives carry opex and regulatory headline risk without material revenue.</t>
  </si>
  <si>
    <t xml:space="preserve">Scenario narrative: base</t>
  </si>
  <si>
    <t xml:space="preserve">The asset-light pivot continues at its current pace: platform-based technology revenue (52% of FY2025 revenue, +36.6%) grows low-20s% while on-balance-sheet digital financing income runs off ~15-20%/yr, so group revenue is flat-to-+2% in FY2026 (H1 +1.0%) and re-accelerates to 5-6% as the fee line dominates. Finance costs keep falling with the own-book and funding cost (6.1% -&gt; 5.0%), offsetting rising staff/R&amp;D spend, so the PBT-basis margin holds ~72.5%. Earnings compound mid-single digits, 90% is distributed (the FY2024-FY2026 payout commitment), and the stock remains a ~7-8% yield with modest growth.</t>
  </si>
  <si>
    <t xml:space="preserve">Scenario narrative: bull</t>
  </si>
  <si>
    <t xml:space="preserve">E-commerce, Southeast Asia and AI services all scale: e-commerce cumulative volume already went from RMB6bn to &gt;RMB10bn in six months with six platform integrations and Be Friends as a strategic holder; the Singapore HQ with Temasek support replicates the model offshore; AI service revenue (RMB17m -&gt; RMB21.5m in a half) becomes a high-margin line. Group revenue grows 9-11% in FY2027-FY2029, associates' profit keeps compounding, margin reaches 75%, and with the own-book shrinking almost all earnings are distributable. The market re-rates from 12x to a mid-teens multiple.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</si>
  <si>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</si>
  <si>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</si>
  <si>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</si>
  <si>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</si>
  <si>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</si>
  <si>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</si>
  <si>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</si>
  <si>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</si>
  <si>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</si>
  <si>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</si>
  <si>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</si>
  <si>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</si>
  <si>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</si>
  <si>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</si>
  <si>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</si>
  <si>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</si>
  <si>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</si>
  <si>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</si>
  <si>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</si>
  <si>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</si>
  <si>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</si>
  <si>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</si>
  <si>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</si>
  <si>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</si>
  <si>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</si>
  <si>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</si>
  <si>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</si>
  <si>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AdjustedNetProfit</t>
  </si>
  <si>
    <t xml:space="preserve">FinanceRevenue</t>
  </si>
  <si>
    <t xml:space="preserve">ServicesRevenue</t>
  </si>
  <si>
    <t xml:space="preserve">ShareOfAssociatesProfit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</si>
  <si>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</si>
  <si>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</si>
  <si>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</si>
  <si>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</si>
  <si>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</si>
  <si>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</si>
  <si>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</si>
  <si>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</si>
  <si>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</si>
  <si>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</si>
  <si>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</si>
  <si>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</si>
  <si>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</si>
  <si>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</si>
  <si>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</si>
  <si>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</si>
  <si>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</si>
  <si>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</si>
  <si>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</si>
  <si>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CNY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</si>
  <si>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</si>
  <si>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</si>
  <si>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</si>
  <si>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</si>
  <si>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</si>
  <si>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</si>
  <si>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</si>
  <si>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</si>
  <si>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</si>
  <si>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</si>
  <si>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</si>
  <si>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</si>
  <si>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</si>
  <si>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</si>
  <si>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</si>
  <si>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</si>
  <si>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</si>
  <si>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</si>
  <si>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</si>
  <si>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</si>
  <si>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</si>
  <si>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</si>
  <si>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</si>
  <si>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</si>
  <si>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</si>
  <si>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</si>
  <si>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6069.HK owner-FCF component DCF: bear case (millions, CNY)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</si>
  <si>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</si>
  <si>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</si>
  <si>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</si>
  <si>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</si>
  <si>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</si>
  <si>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</si>
  <si>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</si>
  <si>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</si>
  <si>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</si>
  <si>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</si>
  <si>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</si>
  <si>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</si>
  <si>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</si>
  <si>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</si>
  <si>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</si>
  <si>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</si>
  <si>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</si>
  <si>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</si>
  <si>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</si>
  <si>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</si>
  <si>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</si>
  <si>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</si>
  <si>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</si>
  <si>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</si>
  <si>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</si>
  <si>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</si>
  <si>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</si>
  <si>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</si>
  <si>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</si>
  <si>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</si>
  <si>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6069.HK owner-FCF component DCF: base case (millions, CNY)</t>
  </si>
  <si>
    <t xml:space="preserve">6069.HK owner-FCF component DCF: bull case (millions, CNY)</t>
  </si>
  <si>
    <t xml:space="preserve">6069.HK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</si>
  <si>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</si>
  <si>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</si>
  <si>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</si>
  <si>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</si>
  <si>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</si>
  <si>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</si>
  <si>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</si>
  <si>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</si>
  <si>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</si>
  <si>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</si>
  <si>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</si>
  <si>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</si>
  <si>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</si>
  <si>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</si>
  <si>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</si>
  <si>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</si>
  <si>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</si>
  <si>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 (WACC)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</si>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</sst>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6.75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  <c r="AC1" s="2" t="s">
        <v>64</v>
      </c>
      <c r="AD1" s="2" t="s">
        <v>65</v>
      </c>
      <c r="AE1" s="2" t="s">
        <v>66</v>
      </c>
      <c r="AF1" s="2" t="s">
        <v>67</v>
      </c>
    </row>
    <row r="2" customFormat="false" ht="15" hidden="false" customHeight="false" outlineLevel="0" collapsed="false">
      <c r="A2" s="0" t="s">
        <v>68</v>
      </c>
      <c r="B2" s="0" t="n">
        <v>215.284</v>
      </c>
      <c r="K2" s="0" t="n">
        <v>0.14</v>
      </c>
      <c r="P2" s="0" t="n">
        <v>1718.821</v>
      </c>
      <c r="AA2" s="0" t="s">
        <v>18</v>
      </c>
      <c r="AB2" s="0" t="s">
        <v>14</v>
      </c>
    </row>
    <row r="3" customFormat="false" ht="15" hidden="false" customHeight="false" outlineLevel="0" collapsed="false">
      <c r="A3" s="0" t="s">
        <v>69</v>
      </c>
      <c r="B3" s="0" t="n">
        <v>470.444</v>
      </c>
      <c r="I3" s="0" t="n">
        <v>208.421</v>
      </c>
      <c r="J3" s="0" t="n">
        <v>44.3</v>
      </c>
      <c r="K3" s="0" t="n">
        <v>0.26</v>
      </c>
      <c r="L3" s="0" t="n">
        <v>-1048.528</v>
      </c>
      <c r="M3" s="0" t="n">
        <v>16.717</v>
      </c>
      <c r="N3" s="0" t="n">
        <v>-1065.245</v>
      </c>
      <c r="O3" s="0" t="n">
        <v>2020.181</v>
      </c>
      <c r="P3" s="0" t="n">
        <v>3192.581</v>
      </c>
      <c r="Q3" s="0" t="n">
        <v>1076.519</v>
      </c>
      <c r="R3" s="0" t="n">
        <v>921.961</v>
      </c>
      <c r="S3" s="0" t="n">
        <v>226.069</v>
      </c>
      <c r="T3" s="0" t="n">
        <v>810.297</v>
      </c>
      <c r="U3" s="0" t="n">
        <v>7.341</v>
      </c>
      <c r="AA3" s="0" t="s">
        <v>18</v>
      </c>
      <c r="AB3" s="0" t="s">
        <v>14</v>
      </c>
    </row>
    <row r="4" customFormat="false" ht="15" hidden="false" customHeight="false" outlineLevel="0" collapsed="false">
      <c r="A4" s="0" t="s">
        <v>70</v>
      </c>
      <c r="B4" s="0" t="n">
        <v>606.663</v>
      </c>
      <c r="I4" s="0" t="n">
        <v>280.343</v>
      </c>
      <c r="J4" s="0" t="n">
        <v>46.2</v>
      </c>
      <c r="K4" s="0" t="n">
        <v>0.32</v>
      </c>
      <c r="L4" s="0" t="n">
        <v>-594.236</v>
      </c>
      <c r="M4" s="0" t="n">
        <v>14.741</v>
      </c>
      <c r="N4" s="0" t="n">
        <v>-608.977</v>
      </c>
      <c r="O4" s="0" t="n">
        <v>2288.999</v>
      </c>
      <c r="P4" s="0" t="n">
        <v>4479.174</v>
      </c>
      <c r="Q4" s="0" t="n">
        <v>2061.114</v>
      </c>
      <c r="R4" s="0" t="n">
        <v>1885.163</v>
      </c>
      <c r="S4" s="0" t="n">
        <v>377.327</v>
      </c>
      <c r="T4" s="0" t="n">
        <v>883.438</v>
      </c>
      <c r="U4" s="0" t="n">
        <v>10.006</v>
      </c>
      <c r="AA4" s="0" t="s">
        <v>18</v>
      </c>
      <c r="AB4" s="0" t="s">
        <v>14</v>
      </c>
      <c r="AC4" s="0" t="n">
        <v>305.131</v>
      </c>
    </row>
    <row r="5" customFormat="false" ht="15" hidden="false" customHeight="false" outlineLevel="0" collapsed="false">
      <c r="A5" s="0" t="s">
        <v>71</v>
      </c>
      <c r="B5" s="0" t="n">
        <v>634.12</v>
      </c>
      <c r="I5" s="0" t="n">
        <v>329.252</v>
      </c>
      <c r="J5" s="0" t="n">
        <v>51.9</v>
      </c>
      <c r="K5" s="0" t="n">
        <v>0.37</v>
      </c>
      <c r="L5" s="0" t="n">
        <v>460.169</v>
      </c>
      <c r="M5" s="0" t="n">
        <v>11.63</v>
      </c>
      <c r="N5" s="0" t="n">
        <v>448.539</v>
      </c>
      <c r="O5" s="0" t="n">
        <v>2916.047</v>
      </c>
      <c r="P5" s="0" t="n">
        <v>4786.498</v>
      </c>
      <c r="Q5" s="0" t="n">
        <v>1759.154</v>
      </c>
      <c r="R5" s="0" t="n">
        <v>1486.741</v>
      </c>
      <c r="S5" s="0" t="n">
        <v>348.715</v>
      </c>
      <c r="T5" s="0" t="n">
        <v>898.724</v>
      </c>
      <c r="U5" s="0" t="n">
        <v>5.509</v>
      </c>
      <c r="AA5" s="0" t="s">
        <v>18</v>
      </c>
      <c r="AB5" s="0" t="s">
        <v>14</v>
      </c>
      <c r="AC5" s="0" t="n">
        <v>342.905</v>
      </c>
    </row>
    <row r="6" customFormat="false" ht="15" hidden="false" customHeight="false" outlineLevel="0" collapsed="false">
      <c r="A6" s="0" t="s">
        <v>72</v>
      </c>
      <c r="B6" s="0" t="n">
        <v>575.333</v>
      </c>
      <c r="I6" s="0" t="n">
        <v>411.043</v>
      </c>
      <c r="J6" s="0" t="n">
        <v>71.4</v>
      </c>
      <c r="K6" s="0" t="n">
        <v>0.43</v>
      </c>
      <c r="L6" s="0" t="n">
        <v>-95.513</v>
      </c>
      <c r="M6" s="0" t="n">
        <v>33.657</v>
      </c>
      <c r="N6" s="0" t="n">
        <v>-129.17</v>
      </c>
      <c r="O6" s="0" t="n">
        <v>3770.845</v>
      </c>
      <c r="P6" s="0" t="n">
        <v>8802.773</v>
      </c>
      <c r="Q6" s="0" t="n">
        <v>4849.179</v>
      </c>
      <c r="R6" s="0" t="n">
        <v>4340.879</v>
      </c>
      <c r="S6" s="0" t="n">
        <v>800.41</v>
      </c>
      <c r="T6" s="0" t="n">
        <v>956.914</v>
      </c>
      <c r="U6" s="0" t="n">
        <v>12.882</v>
      </c>
      <c r="AA6" s="0" t="s">
        <v>18</v>
      </c>
      <c r="AB6" s="0" t="s">
        <v>14</v>
      </c>
      <c r="AC6" s="0" t="n">
        <v>226.191</v>
      </c>
      <c r="AD6" s="0" t="n">
        <v>430.014</v>
      </c>
      <c r="AE6" s="0" t="n">
        <v>50.155</v>
      </c>
      <c r="AF6" s="0" t="n">
        <v>16.814</v>
      </c>
    </row>
    <row r="7" customFormat="false" ht="15" hidden="false" customHeight="false" outlineLevel="0" collapsed="false">
      <c r="A7" s="0" t="s">
        <v>73</v>
      </c>
      <c r="B7" s="0" t="n">
        <v>800.425</v>
      </c>
      <c r="I7" s="0" t="n">
        <v>219.399</v>
      </c>
      <c r="J7" s="0" t="n">
        <v>27.4</v>
      </c>
      <c r="K7" s="0" t="n">
        <v>0.22</v>
      </c>
      <c r="L7" s="0" t="n">
        <v>-769.203</v>
      </c>
      <c r="M7" s="0" t="n">
        <v>27.93</v>
      </c>
      <c r="N7" s="0" t="n">
        <v>-797.133</v>
      </c>
      <c r="O7" s="0" t="n">
        <v>3916.192</v>
      </c>
      <c r="P7" s="0" t="n">
        <v>11378.459</v>
      </c>
      <c r="Q7" s="0" t="n">
        <v>7254.77</v>
      </c>
      <c r="R7" s="0" t="n">
        <v>6610.362</v>
      </c>
      <c r="S7" s="0" t="n">
        <v>577.033</v>
      </c>
      <c r="T7" s="0" t="n">
        <v>1004.259</v>
      </c>
      <c r="U7" s="0" t="n">
        <v>5.968</v>
      </c>
      <c r="AA7" s="0" t="s">
        <v>18</v>
      </c>
      <c r="AB7" s="0" t="s">
        <v>14</v>
      </c>
      <c r="AC7" s="0" t="n">
        <v>249.576</v>
      </c>
      <c r="AD7" s="0" t="n">
        <v>624.871</v>
      </c>
      <c r="AE7" s="0" t="n">
        <v>103.267</v>
      </c>
      <c r="AF7" s="0" t="n">
        <v>-0.927</v>
      </c>
    </row>
    <row r="8" customFormat="false" ht="15" hidden="false" customHeight="false" outlineLevel="0" collapsed="false">
      <c r="A8" s="0" t="s">
        <v>74</v>
      </c>
      <c r="B8" s="0" t="n">
        <v>963.518</v>
      </c>
      <c r="I8" s="0" t="n">
        <v>268.246</v>
      </c>
      <c r="J8" s="0" t="n">
        <v>27.8</v>
      </c>
      <c r="K8" s="0" t="n">
        <v>0.27</v>
      </c>
      <c r="L8" s="0" t="n">
        <v>1681.936</v>
      </c>
      <c r="M8" s="0" t="n">
        <v>61.797</v>
      </c>
      <c r="N8" s="0" t="n">
        <v>1620.139</v>
      </c>
      <c r="O8" s="0" t="n">
        <v>3926.566</v>
      </c>
      <c r="P8" s="0" t="n">
        <v>11819.568</v>
      </c>
      <c r="Q8" s="0" t="n">
        <v>7756.281</v>
      </c>
      <c r="R8" s="0" t="n">
        <v>7182.939</v>
      </c>
      <c r="S8" s="0" t="n">
        <v>658.21</v>
      </c>
      <c r="T8" s="0" t="n">
        <v>985.843</v>
      </c>
      <c r="U8" s="0" t="n">
        <v>5.578</v>
      </c>
      <c r="AA8" s="0" t="s">
        <v>18</v>
      </c>
      <c r="AB8" s="0" t="s">
        <v>14</v>
      </c>
      <c r="AC8" s="0" t="n">
        <v>291.598</v>
      </c>
      <c r="AD8" s="0" t="n">
        <v>722.811</v>
      </c>
      <c r="AE8" s="0" t="n">
        <v>170.234</v>
      </c>
      <c r="AF8" s="0" t="n">
        <v>20.36</v>
      </c>
    </row>
    <row r="9" customFormat="false" ht="15" hidden="false" customHeight="false" outlineLevel="0" collapsed="false">
      <c r="A9" s="0" t="s">
        <v>75</v>
      </c>
      <c r="B9" s="0" t="n">
        <v>919.366</v>
      </c>
      <c r="I9" s="0" t="n">
        <v>380.18</v>
      </c>
      <c r="J9" s="0" t="n">
        <v>41.4</v>
      </c>
      <c r="K9" s="0" t="n">
        <v>0.39</v>
      </c>
      <c r="L9" s="0" t="n">
        <v>2759.655</v>
      </c>
      <c r="M9" s="0" t="n">
        <v>103.419</v>
      </c>
      <c r="N9" s="0" t="n">
        <v>2656.236</v>
      </c>
      <c r="O9" s="0" t="n">
        <v>4070.593</v>
      </c>
      <c r="P9" s="0" t="n">
        <v>10598.922</v>
      </c>
      <c r="Q9" s="0" t="n">
        <v>6484.54</v>
      </c>
      <c r="R9" s="0" t="n">
        <v>5136.05</v>
      </c>
      <c r="S9" s="0" t="n">
        <v>515.614</v>
      </c>
      <c r="T9" s="0" t="n">
        <v>976.696</v>
      </c>
      <c r="U9" s="0" t="n">
        <v>6.92</v>
      </c>
      <c r="AA9" s="0" t="s">
        <v>18</v>
      </c>
      <c r="AB9" s="0" t="s">
        <v>14</v>
      </c>
      <c r="AD9" s="0" t="n">
        <v>521.884</v>
      </c>
      <c r="AE9" s="0" t="n">
        <v>346.571</v>
      </c>
      <c r="AF9" s="0" t="n">
        <v>124.565</v>
      </c>
    </row>
    <row r="10" customFormat="false" ht="15" hidden="false" customHeight="false" outlineLevel="0" collapsed="false">
      <c r="A10" s="0" t="s">
        <v>76</v>
      </c>
      <c r="B10" s="0" t="n">
        <v>903.508</v>
      </c>
      <c r="I10" s="0" t="n">
        <v>478.909</v>
      </c>
      <c r="J10" s="0" t="n">
        <v>53</v>
      </c>
      <c r="K10" s="0" t="n">
        <v>0.48</v>
      </c>
      <c r="L10" s="0" t="n">
        <v>2203.956</v>
      </c>
      <c r="M10" s="0" t="n">
        <v>511.72</v>
      </c>
      <c r="N10" s="0" t="n">
        <v>1692.236</v>
      </c>
      <c r="O10" s="0" t="n">
        <v>4373.033</v>
      </c>
      <c r="P10" s="0" t="n">
        <v>11601.422</v>
      </c>
      <c r="Q10" s="0" t="n">
        <v>7184.573</v>
      </c>
      <c r="R10" s="0" t="n">
        <v>5139.515</v>
      </c>
      <c r="S10" s="0" t="n">
        <v>712.153</v>
      </c>
      <c r="T10" s="0" t="n">
        <v>1004.706</v>
      </c>
      <c r="U10" s="0" t="n">
        <v>2.472</v>
      </c>
      <c r="AA10" s="0" t="s">
        <v>18</v>
      </c>
      <c r="AB10" s="0" t="s">
        <v>14</v>
      </c>
      <c r="AD10" s="0" t="n">
        <v>375.944</v>
      </c>
      <c r="AE10" s="0" t="n">
        <v>473.526</v>
      </c>
      <c r="AF10" s="0" t="n">
        <v>151.321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77</v>
      </c>
      <c r="B1" s="2" t="s">
        <v>78</v>
      </c>
    </row>
    <row r="2" customFormat="false" ht="15" hidden="false" customHeight="false" outlineLevel="0" collapsed="false">
      <c r="A2" s="0" t="s">
        <v>79</v>
      </c>
      <c r="B2" s="3" t="n">
        <v>6.75</v>
      </c>
    </row>
    <row r="3" customFormat="false" ht="15" hidden="false" customHeight="false" outlineLevel="0" collapsed="false">
      <c r="A3" s="0" t="s">
        <v>80</v>
      </c>
      <c r="B3" s="3" t="n">
        <v>1067.2</v>
      </c>
    </row>
    <row r="4" customFormat="false" ht="15" hidden="false" customHeight="false" outlineLevel="0" collapsed="false">
      <c r="A4" s="0" t="s">
        <v>81</v>
      </c>
      <c r="B4" s="3" t="n">
        <v>0</v>
      </c>
    </row>
    <row r="5" customFormat="false" ht="15" hidden="false" customHeight="false" outlineLevel="0" collapsed="false">
      <c r="A5" s="0" t="s">
        <v>82</v>
      </c>
      <c r="B5" s="3" t="n">
        <v>0</v>
      </c>
    </row>
    <row r="6" customFormat="false" ht="15" hidden="false" customHeight="false" outlineLevel="0" collapsed="false">
      <c r="A6" s="0" t="s">
        <v>83</v>
      </c>
      <c r="B6" s="3" t="n">
        <v>15</v>
      </c>
    </row>
    <row r="7" customFormat="false" ht="15" hidden="false" customHeight="false" outlineLevel="0" collapsed="false">
      <c r="A7" s="0" t="s">
        <v>84</v>
      </c>
      <c r="B7" s="3" t="n">
        <v>903.508</v>
      </c>
    </row>
    <row r="8" customFormat="false" ht="15" hidden="false" customHeight="false" outlineLevel="0" collapsed="false">
      <c r="A8" s="0" t="s">
        <v>85</v>
      </c>
      <c r="B8" s="3" t="s">
        <v>76</v>
      </c>
    </row>
    <row r="9" customFormat="false" ht="15" hidden="false" customHeight="false" outlineLevel="0" collapsed="false">
      <c r="A9" s="0" t="s">
        <v>86</v>
      </c>
      <c r="B9" s="3" t="s">
        <v>87</v>
      </c>
    </row>
    <row r="10" customFormat="false" ht="15" hidden="false" customHeight="false" outlineLevel="0" collapsed="false">
      <c r="A10" s="0" t="s">
        <v>88</v>
      </c>
      <c r="B10" s="3" t="n">
        <v>1.1748</v>
      </c>
    </row>
    <row r="12" customFormat="false" ht="15" hidden="false" customHeight="false" outlineLevel="0" collapsed="false">
      <c r="A12" s="2" t="s">
        <v>89</v>
      </c>
      <c r="C12" s="2" t="s">
        <v>90</v>
      </c>
      <c r="D12" s="2" t="s">
        <v>91</v>
      </c>
      <c r="E12" s="2" t="s">
        <v>92</v>
      </c>
      <c r="F12" s="2" t="s">
        <v>93</v>
      </c>
      <c r="G12" s="2" t="s">
        <v>94</v>
      </c>
      <c r="H12" s="2" t="s">
        <v>95</v>
      </c>
      <c r="I12" s="2" t="s">
        <v>96</v>
      </c>
      <c r="J12" s="2" t="s">
        <v>97</v>
      </c>
      <c r="K12" s="2" t="s">
        <v>98</v>
      </c>
      <c r="L12" s="2" t="s">
        <v>99</v>
      </c>
    </row>
    <row r="13" customFormat="false" ht="15" hidden="false" customHeight="false" outlineLevel="0" collapsed="false">
      <c r="A13" s="0" t="s">
        <v>100</v>
      </c>
      <c r="C13" s="3" t="n">
        <v>-3</v>
      </c>
      <c r="D13" s="3" t="n">
        <v>-3</v>
      </c>
      <c r="E13" s="3" t="n">
        <v>-1</v>
      </c>
      <c r="F13" s="3" t="n">
        <v>0</v>
      </c>
      <c r="G13" s="3" t="n">
        <v>1</v>
      </c>
      <c r="H13" s="3" t="n">
        <v>1.5</v>
      </c>
      <c r="I13" s="3" t="n">
        <v>2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101</v>
      </c>
      <c r="C14" s="3" t="n">
        <v>71</v>
      </c>
      <c r="D14" s="3" t="n">
        <v>68</v>
      </c>
      <c r="E14" s="3" t="n">
        <v>65</v>
      </c>
      <c r="F14" s="3" t="n">
        <v>63</v>
      </c>
      <c r="G14" s="3" t="n">
        <v>62</v>
      </c>
      <c r="H14" s="3" t="n">
        <v>62</v>
      </c>
      <c r="I14" s="3" t="n">
        <v>62</v>
      </c>
      <c r="J14" s="3" t="n">
        <v>62</v>
      </c>
      <c r="K14" s="3" t="n">
        <v>62</v>
      </c>
      <c r="L14" s="3" t="n">
        <v>62</v>
      </c>
    </row>
    <row r="15" customFormat="false" ht="15" hidden="false" customHeight="false" outlineLevel="0" collapsed="false">
      <c r="A15" s="0" t="s">
        <v>102</v>
      </c>
      <c r="C15" s="3" t="n">
        <v>0.3</v>
      </c>
      <c r="D15" s="3" t="n">
        <v>0.3</v>
      </c>
      <c r="E15" s="3" t="n">
        <v>0.3</v>
      </c>
      <c r="F15" s="3" t="n">
        <v>0.3</v>
      </c>
      <c r="G15" s="3" t="n">
        <v>0.3</v>
      </c>
      <c r="H15" s="3" t="n">
        <v>0.3</v>
      </c>
      <c r="I15" s="3" t="n">
        <v>0.3</v>
      </c>
      <c r="J15" s="3" t="n">
        <v>0.3</v>
      </c>
      <c r="K15" s="3" t="n">
        <v>0.3</v>
      </c>
      <c r="L15" s="3" t="n">
        <v>0.3</v>
      </c>
    </row>
    <row r="16" customFormat="false" ht="15" hidden="false" customHeight="false" outlineLevel="0" collapsed="false">
      <c r="A16" s="0" t="s">
        <v>103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104</v>
      </c>
      <c r="C17" s="3" t="n">
        <v>4.2</v>
      </c>
      <c r="D17" s="3" t="n">
        <v>4.2</v>
      </c>
      <c r="E17" s="3" t="n">
        <v>4.1</v>
      </c>
      <c r="F17" s="3" t="n">
        <v>4.1</v>
      </c>
      <c r="G17" s="3" t="n">
        <v>4</v>
      </c>
      <c r="H17" s="3" t="n">
        <v>4</v>
      </c>
      <c r="I17" s="3" t="n">
        <v>4</v>
      </c>
      <c r="J17" s="3" t="n">
        <v>4</v>
      </c>
      <c r="K17" s="3" t="n">
        <v>4</v>
      </c>
      <c r="L17" s="3" t="n">
        <v>4</v>
      </c>
    </row>
    <row r="18" customFormat="false" ht="15" hidden="false" customHeight="false" outlineLevel="0" collapsed="false">
      <c r="A18" s="0" t="s">
        <v>105</v>
      </c>
      <c r="C18" s="3" t="n">
        <v>12.2</v>
      </c>
      <c r="D18" s="3" t="n">
        <v>12.2</v>
      </c>
      <c r="E18" s="3" t="n">
        <v>12.1</v>
      </c>
      <c r="F18" s="3" t="n">
        <v>12.1</v>
      </c>
      <c r="G18" s="3" t="n">
        <v>12</v>
      </c>
      <c r="H18" s="3" t="n">
        <v>12</v>
      </c>
      <c r="I18" s="3" t="n">
        <v>12</v>
      </c>
      <c r="J18" s="3" t="n">
        <v>12</v>
      </c>
      <c r="K18" s="3" t="n">
        <v>12</v>
      </c>
      <c r="L18" s="3" t="n">
        <v>12</v>
      </c>
    </row>
    <row r="19" customFormat="false" ht="15" hidden="false" customHeight="false" outlineLevel="0" collapsed="false">
      <c r="A19" s="0" t="s">
        <v>106</v>
      </c>
      <c r="C19" s="3" t="n">
        <v>27</v>
      </c>
      <c r="D19" s="3" t="n">
        <v>27</v>
      </c>
      <c r="E19" s="3" t="n">
        <v>27</v>
      </c>
      <c r="F19" s="3" t="n">
        <v>27</v>
      </c>
      <c r="G19" s="3" t="n">
        <v>27</v>
      </c>
      <c r="H19" s="3" t="n">
        <v>27</v>
      </c>
      <c r="I19" s="3" t="n">
        <v>27</v>
      </c>
      <c r="J19" s="3" t="n">
        <v>27</v>
      </c>
      <c r="K19" s="3" t="n">
        <v>27</v>
      </c>
      <c r="L19" s="3" t="n">
        <v>27</v>
      </c>
    </row>
    <row r="20" customFormat="false" ht="15" hidden="false" customHeight="false" outlineLevel="0" collapsed="false">
      <c r="A20" s="0" t="s">
        <v>107</v>
      </c>
      <c r="B20" s="3" t="n">
        <v>12</v>
      </c>
    </row>
    <row r="21" customFormat="false" ht="15" hidden="false" customHeight="false" outlineLevel="0" collapsed="false">
      <c r="A21" s="0" t="s">
        <v>108</v>
      </c>
      <c r="B21" s="3" t="n">
        <v>1.5</v>
      </c>
    </row>
    <row r="22" customFormat="false" ht="15" hidden="false" customHeight="false" outlineLevel="0" collapsed="false">
      <c r="A22" s="0" t="s">
        <v>109</v>
      </c>
      <c r="B22" s="3" t="n">
        <v>10</v>
      </c>
    </row>
    <row r="23" customFormat="false" ht="15" hidden="false" customHeight="false" outlineLevel="0" collapsed="false">
      <c r="A23" s="0" t="s">
        <v>110</v>
      </c>
      <c r="B23" s="3" t="n">
        <v>0</v>
      </c>
    </row>
    <row r="24" customFormat="false" ht="15" hidden="false" customHeight="false" outlineLevel="0" collapsed="false">
      <c r="A24" s="0" t="s">
        <v>111</v>
      </c>
      <c r="B24" s="3" t="n">
        <v>0.3</v>
      </c>
    </row>
    <row r="26" customFormat="false" ht="15" hidden="false" customHeight="false" outlineLevel="0" collapsed="false">
      <c r="A26" s="2" t="s">
        <v>112</v>
      </c>
      <c r="C26" s="2" t="s">
        <v>90</v>
      </c>
      <c r="D26" s="2" t="s">
        <v>91</v>
      </c>
      <c r="E26" s="2" t="s">
        <v>92</v>
      </c>
      <c r="F26" s="2" t="s">
        <v>93</v>
      </c>
      <c r="G26" s="2" t="s">
        <v>94</v>
      </c>
      <c r="H26" s="2" t="s">
        <v>95</v>
      </c>
      <c r="I26" s="2" t="s">
        <v>96</v>
      </c>
      <c r="J26" s="2" t="s">
        <v>97</v>
      </c>
      <c r="K26" s="2" t="s">
        <v>98</v>
      </c>
      <c r="L26" s="2" t="s">
        <v>99</v>
      </c>
    </row>
    <row r="27" customFormat="false" ht="15" hidden="false" customHeight="false" outlineLevel="0" collapsed="false">
      <c r="A27" s="0" t="s">
        <v>100</v>
      </c>
      <c r="C27" s="3" t="n">
        <v>2</v>
      </c>
      <c r="D27" s="3" t="n">
        <v>5</v>
      </c>
      <c r="E27" s="3" t="n">
        <v>6</v>
      </c>
      <c r="F27" s="3" t="n">
        <v>6</v>
      </c>
      <c r="G27" s="3" t="n">
        <v>5</v>
      </c>
      <c r="H27" s="3" t="n">
        <v>4</v>
      </c>
      <c r="I27" s="3" t="n">
        <v>4</v>
      </c>
      <c r="J27" s="3" t="n">
        <v>3</v>
      </c>
      <c r="K27" s="3" t="n">
        <v>3</v>
      </c>
      <c r="L27" s="3" t="n">
        <v>2.5</v>
      </c>
    </row>
    <row r="28" customFormat="false" ht="15" hidden="false" customHeight="false" outlineLevel="0" collapsed="false">
      <c r="A28" s="0" t="s">
        <v>101</v>
      </c>
      <c r="C28" s="3" t="n">
        <v>73</v>
      </c>
      <c r="D28" s="3" t="n">
        <v>72.5</v>
      </c>
      <c r="E28" s="3" t="n">
        <v>72.5</v>
      </c>
      <c r="F28" s="3" t="n">
        <v>72.5</v>
      </c>
      <c r="G28" s="3" t="n">
        <v>72.5</v>
      </c>
      <c r="H28" s="3" t="n">
        <v>72.5</v>
      </c>
      <c r="I28" s="3" t="n">
        <v>72.5</v>
      </c>
      <c r="J28" s="3" t="n">
        <v>72.5</v>
      </c>
      <c r="K28" s="3" t="n">
        <v>72.5</v>
      </c>
      <c r="L28" s="3" t="n">
        <v>72.5</v>
      </c>
    </row>
    <row r="29" customFormat="false" ht="15" hidden="false" customHeight="false" outlineLevel="0" collapsed="false">
      <c r="A29" s="0" t="s">
        <v>102</v>
      </c>
      <c r="C29" s="3" t="n">
        <v>0.3</v>
      </c>
      <c r="D29" s="3" t="n">
        <v>0.3</v>
      </c>
      <c r="E29" s="3" t="n">
        <v>0.3</v>
      </c>
      <c r="F29" s="3" t="n">
        <v>0.3</v>
      </c>
      <c r="G29" s="3" t="n">
        <v>0.3</v>
      </c>
      <c r="H29" s="3" t="n">
        <v>0.3</v>
      </c>
      <c r="I29" s="3" t="n">
        <v>0.3</v>
      </c>
      <c r="J29" s="3" t="n">
        <v>0.3</v>
      </c>
      <c r="K29" s="3" t="n">
        <v>0.3</v>
      </c>
      <c r="L29" s="3" t="n">
        <v>0.3</v>
      </c>
    </row>
    <row r="30" customFormat="false" ht="15" hidden="false" customHeight="false" outlineLevel="0" collapsed="false">
      <c r="A30" s="0" t="s">
        <v>103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104</v>
      </c>
      <c r="C31" s="3" t="n">
        <v>4.2</v>
      </c>
      <c r="D31" s="3" t="n">
        <v>4.2</v>
      </c>
      <c r="E31" s="3" t="n">
        <v>4.1</v>
      </c>
      <c r="F31" s="3" t="n">
        <v>4.1</v>
      </c>
      <c r="G31" s="3" t="n">
        <v>4</v>
      </c>
      <c r="H31" s="3" t="n">
        <v>4</v>
      </c>
      <c r="I31" s="3" t="n">
        <v>4</v>
      </c>
      <c r="J31" s="3" t="n">
        <v>4</v>
      </c>
      <c r="K31" s="3" t="n">
        <v>4</v>
      </c>
      <c r="L31" s="3" t="n">
        <v>4</v>
      </c>
    </row>
    <row r="32" customFormat="false" ht="15" hidden="false" customHeight="false" outlineLevel="0" collapsed="false">
      <c r="A32" s="0" t="s">
        <v>105</v>
      </c>
      <c r="C32" s="3" t="n">
        <v>9.2</v>
      </c>
      <c r="D32" s="3" t="n">
        <v>9.2</v>
      </c>
      <c r="E32" s="3" t="n">
        <v>9.1</v>
      </c>
      <c r="F32" s="3" t="n">
        <v>9.1</v>
      </c>
      <c r="G32" s="3" t="n">
        <v>9</v>
      </c>
      <c r="H32" s="3" t="n">
        <v>9</v>
      </c>
      <c r="I32" s="3" t="n">
        <v>9</v>
      </c>
      <c r="J32" s="3" t="n">
        <v>9</v>
      </c>
      <c r="K32" s="3" t="n">
        <v>9</v>
      </c>
      <c r="L32" s="3" t="n">
        <v>9</v>
      </c>
    </row>
    <row r="33" customFormat="false" ht="15" hidden="false" customHeight="false" outlineLevel="0" collapsed="false">
      <c r="A33" s="0" t="s">
        <v>106</v>
      </c>
      <c r="C33" s="3" t="n">
        <v>27</v>
      </c>
      <c r="D33" s="3" t="n">
        <v>27</v>
      </c>
      <c r="E33" s="3" t="n">
        <v>27</v>
      </c>
      <c r="F33" s="3" t="n">
        <v>27</v>
      </c>
      <c r="G33" s="3" t="n">
        <v>27</v>
      </c>
      <c r="H33" s="3" t="n">
        <v>27</v>
      </c>
      <c r="I33" s="3" t="n">
        <v>27</v>
      </c>
      <c r="J33" s="3" t="n">
        <v>27</v>
      </c>
      <c r="K33" s="3" t="n">
        <v>27</v>
      </c>
      <c r="L33" s="3" t="n">
        <v>27</v>
      </c>
    </row>
    <row r="34" customFormat="false" ht="15" hidden="false" customHeight="false" outlineLevel="0" collapsed="false">
      <c r="A34" s="0" t="s">
        <v>107</v>
      </c>
      <c r="B34" s="3" t="n">
        <v>12</v>
      </c>
    </row>
    <row r="35" customFormat="false" ht="15" hidden="false" customHeight="false" outlineLevel="0" collapsed="false">
      <c r="A35" s="0" t="s">
        <v>108</v>
      </c>
      <c r="B35" s="3" t="n">
        <v>2.5</v>
      </c>
    </row>
    <row r="36" customFormat="false" ht="15" hidden="false" customHeight="false" outlineLevel="0" collapsed="false">
      <c r="A36" s="0" t="s">
        <v>109</v>
      </c>
      <c r="B36" s="3" t="n">
        <v>12</v>
      </c>
    </row>
    <row r="37" customFormat="false" ht="15" hidden="false" customHeight="false" outlineLevel="0" collapsed="false">
      <c r="A37" s="0" t="s">
        <v>110</v>
      </c>
      <c r="B37" s="3" t="n">
        <v>0</v>
      </c>
    </row>
    <row r="38" customFormat="false" ht="15" hidden="false" customHeight="false" outlineLevel="0" collapsed="false">
      <c r="A38" s="0" t="s">
        <v>111</v>
      </c>
      <c r="B38" s="3" t="n">
        <v>0.5</v>
      </c>
    </row>
    <row r="40" customFormat="false" ht="15" hidden="false" customHeight="false" outlineLevel="0" collapsed="false">
      <c r="A40" s="2" t="s">
        <v>113</v>
      </c>
      <c r="C40" s="2" t="s">
        <v>90</v>
      </c>
      <c r="D40" s="2" t="s">
        <v>91</v>
      </c>
      <c r="E40" s="2" t="s">
        <v>92</v>
      </c>
      <c r="F40" s="2" t="s">
        <v>93</v>
      </c>
      <c r="G40" s="2" t="s">
        <v>94</v>
      </c>
      <c r="H40" s="2" t="s">
        <v>95</v>
      </c>
      <c r="I40" s="2" t="s">
        <v>96</v>
      </c>
      <c r="J40" s="2" t="s">
        <v>97</v>
      </c>
      <c r="K40" s="2" t="s">
        <v>98</v>
      </c>
      <c r="L40" s="2" t="s">
        <v>99</v>
      </c>
    </row>
    <row r="41" customFormat="false" ht="15" hidden="false" customHeight="false" outlineLevel="0" collapsed="false">
      <c r="A41" s="0" t="s">
        <v>100</v>
      </c>
      <c r="C41" s="3" t="n">
        <v>4</v>
      </c>
      <c r="D41" s="3" t="n">
        <v>9</v>
      </c>
      <c r="E41" s="3" t="n">
        <v>11</v>
      </c>
      <c r="F41" s="3" t="n">
        <v>11</v>
      </c>
      <c r="G41" s="3" t="n">
        <v>9</v>
      </c>
      <c r="H41" s="3" t="n">
        <v>7</v>
      </c>
      <c r="I41" s="3" t="n">
        <v>6</v>
      </c>
      <c r="J41" s="3" t="n">
        <v>5</v>
      </c>
      <c r="K41" s="3" t="n">
        <v>4</v>
      </c>
      <c r="L41" s="3" t="n">
        <v>3</v>
      </c>
    </row>
    <row r="42" customFormat="false" ht="15" hidden="false" customHeight="false" outlineLevel="0" collapsed="false">
      <c r="A42" s="0" t="s">
        <v>101</v>
      </c>
      <c r="C42" s="3" t="n">
        <v>73.5</v>
      </c>
      <c r="D42" s="3" t="n">
        <v>74</v>
      </c>
      <c r="E42" s="3" t="n">
        <v>74.5</v>
      </c>
      <c r="F42" s="3" t="n">
        <v>75</v>
      </c>
      <c r="G42" s="3" t="n">
        <v>75</v>
      </c>
      <c r="H42" s="3" t="n">
        <v>75</v>
      </c>
      <c r="I42" s="3" t="n">
        <v>75</v>
      </c>
      <c r="J42" s="3" t="n">
        <v>75</v>
      </c>
      <c r="K42" s="3" t="n">
        <v>75</v>
      </c>
      <c r="L42" s="3" t="n">
        <v>75</v>
      </c>
    </row>
    <row r="43" customFormat="false" ht="15" hidden="false" customHeight="false" outlineLevel="0" collapsed="false">
      <c r="A43" s="0" t="s">
        <v>102</v>
      </c>
      <c r="C43" s="3" t="n">
        <v>0.3</v>
      </c>
      <c r="D43" s="3" t="n">
        <v>0.3</v>
      </c>
      <c r="E43" s="3" t="n">
        <v>0.3</v>
      </c>
      <c r="F43" s="3" t="n">
        <v>0.3</v>
      </c>
      <c r="G43" s="3" t="n">
        <v>0.3</v>
      </c>
      <c r="H43" s="3" t="n">
        <v>0.3</v>
      </c>
      <c r="I43" s="3" t="n">
        <v>0.3</v>
      </c>
      <c r="J43" s="3" t="n">
        <v>0.3</v>
      </c>
      <c r="K43" s="3" t="n">
        <v>0.3</v>
      </c>
      <c r="L43" s="3" t="n">
        <v>0.3</v>
      </c>
    </row>
    <row r="44" customFormat="false" ht="15" hidden="false" customHeight="false" outlineLevel="0" collapsed="false">
      <c r="A44" s="0" t="s">
        <v>103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104</v>
      </c>
      <c r="C45" s="3" t="n">
        <v>4.2</v>
      </c>
      <c r="D45" s="3" t="n">
        <v>4.2</v>
      </c>
      <c r="E45" s="3" t="n">
        <v>4.1</v>
      </c>
      <c r="F45" s="3" t="n">
        <v>4.1</v>
      </c>
      <c r="G45" s="3" t="n">
        <v>4</v>
      </c>
      <c r="H45" s="3" t="n">
        <v>4</v>
      </c>
      <c r="I45" s="3" t="n">
        <v>4</v>
      </c>
      <c r="J45" s="3" t="n">
        <v>4</v>
      </c>
      <c r="K45" s="3" t="n">
        <v>4</v>
      </c>
      <c r="L45" s="3" t="n">
        <v>4</v>
      </c>
    </row>
    <row r="46" customFormat="false" ht="15" hidden="false" customHeight="false" outlineLevel="0" collapsed="false">
      <c r="A46" s="0" t="s">
        <v>105</v>
      </c>
      <c r="C46" s="3" t="n">
        <v>6.7</v>
      </c>
      <c r="D46" s="3" t="n">
        <v>6.7</v>
      </c>
      <c r="E46" s="3" t="n">
        <v>6.6</v>
      </c>
      <c r="F46" s="3" t="n">
        <v>6.6</v>
      </c>
      <c r="G46" s="3" t="n">
        <v>6.5</v>
      </c>
      <c r="H46" s="3" t="n">
        <v>6.5</v>
      </c>
      <c r="I46" s="3" t="n">
        <v>6.5</v>
      </c>
      <c r="J46" s="3" t="n">
        <v>6.5</v>
      </c>
      <c r="K46" s="3" t="n">
        <v>6.5</v>
      </c>
      <c r="L46" s="3" t="n">
        <v>6.5</v>
      </c>
    </row>
    <row r="47" customFormat="false" ht="15" hidden="false" customHeight="false" outlineLevel="0" collapsed="false">
      <c r="A47" s="0" t="s">
        <v>106</v>
      </c>
      <c r="C47" s="3" t="n">
        <v>27</v>
      </c>
      <c r="D47" s="3" t="n">
        <v>27</v>
      </c>
      <c r="E47" s="3" t="n">
        <v>27</v>
      </c>
      <c r="F47" s="3" t="n">
        <v>27</v>
      </c>
      <c r="G47" s="3" t="n">
        <v>27</v>
      </c>
      <c r="H47" s="3" t="n">
        <v>27</v>
      </c>
      <c r="I47" s="3" t="n">
        <v>27</v>
      </c>
      <c r="J47" s="3" t="n">
        <v>27</v>
      </c>
      <c r="K47" s="3" t="n">
        <v>27</v>
      </c>
      <c r="L47" s="3" t="n">
        <v>27</v>
      </c>
    </row>
    <row r="48" customFormat="false" ht="15" hidden="false" customHeight="false" outlineLevel="0" collapsed="false">
      <c r="A48" s="0" t="s">
        <v>107</v>
      </c>
      <c r="B48" s="3" t="n">
        <v>12</v>
      </c>
    </row>
    <row r="49" customFormat="false" ht="15" hidden="false" customHeight="false" outlineLevel="0" collapsed="false">
      <c r="A49" s="0" t="s">
        <v>108</v>
      </c>
      <c r="B49" s="3" t="n">
        <v>3</v>
      </c>
    </row>
    <row r="50" customFormat="false" ht="15" hidden="false" customHeight="false" outlineLevel="0" collapsed="false">
      <c r="A50" s="0" t="s">
        <v>109</v>
      </c>
      <c r="B50" s="3" t="n">
        <v>14</v>
      </c>
    </row>
    <row r="51" customFormat="false" ht="15" hidden="false" customHeight="false" outlineLevel="0" collapsed="false">
      <c r="A51" s="0" t="s">
        <v>110</v>
      </c>
      <c r="B51" s="3" t="n">
        <v>0</v>
      </c>
    </row>
    <row r="52" customFormat="false" ht="15" hidden="false" customHeight="false" outlineLevel="0" collapsed="false">
      <c r="A52" s="0" t="s">
        <v>111</v>
      </c>
      <c r="B52" s="3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114</v>
      </c>
    </row>
    <row r="3" customFormat="false" ht="15" hidden="false" customHeight="false" outlineLevel="0" collapsed="false">
      <c r="A3" s="0" t="s">
        <v>115</v>
      </c>
      <c r="B3" s="0" t="s">
        <v>76</v>
      </c>
      <c r="C3" s="2" t="s">
        <v>90</v>
      </c>
      <c r="D3" s="2" t="s">
        <v>91</v>
      </c>
      <c r="E3" s="2" t="s">
        <v>92</v>
      </c>
      <c r="F3" s="2" t="s">
        <v>93</v>
      </c>
      <c r="G3" s="2" t="s">
        <v>94</v>
      </c>
      <c r="H3" s="2" t="s">
        <v>95</v>
      </c>
      <c r="I3" s="2" t="s">
        <v>96</v>
      </c>
      <c r="J3" s="2" t="s">
        <v>97</v>
      </c>
      <c r="K3" s="2" t="s">
        <v>98</v>
      </c>
      <c r="L3" s="2" t="s">
        <v>99</v>
      </c>
    </row>
    <row r="4" customFormat="false" ht="15" hidden="false" customHeight="false" outlineLevel="0" collapsed="false">
      <c r="A4" s="0" t="s">
        <v>116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100</v>
      </c>
      <c r="C5" s="4" t="n">
        <f aca="false">Assumptions!C13</f>
        <v>-3</v>
      </c>
      <c r="D5" s="4" t="n">
        <f aca="false">Assumptions!D13</f>
        <v>-3</v>
      </c>
      <c r="E5" s="4" t="n">
        <f aca="false">Assumptions!E13</f>
        <v>-1</v>
      </c>
      <c r="F5" s="4" t="n">
        <f aca="false">Assumptions!F13</f>
        <v>0</v>
      </c>
      <c r="G5" s="4" t="n">
        <f aca="false">Assumptions!G13</f>
        <v>1</v>
      </c>
      <c r="H5" s="4" t="n">
        <f aca="false">Assumptions!H13</f>
        <v>1.5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38</v>
      </c>
      <c r="B6" s="3" t="n">
        <v>903.508</v>
      </c>
      <c r="C6" s="0" t="n">
        <f aca="false">B6*(1+C5/100)</f>
        <v>876.40276</v>
      </c>
      <c r="D6" s="0" t="n">
        <f aca="false">C6*(1+D5/100)</f>
        <v>850.1106772</v>
      </c>
      <c r="E6" s="0" t="n">
        <f aca="false">D6*(1+E5/100)</f>
        <v>841.609570428</v>
      </c>
      <c r="F6" s="0" t="n">
        <f aca="false">E6*(1+F5/100)</f>
        <v>841.609570428</v>
      </c>
      <c r="G6" s="0" t="n">
        <f aca="false">F6*(1+G5/100)</f>
        <v>850.02566613228</v>
      </c>
      <c r="H6" s="0" t="n">
        <f aca="false">G6*(1+H5/100)</f>
        <v>862.776051124264</v>
      </c>
      <c r="I6" s="0" t="n">
        <f aca="false">H6*(1+I5/100)</f>
        <v>880.03157214675</v>
      </c>
      <c r="J6" s="0" t="n">
        <f aca="false">I6*(1+J5/100)</f>
        <v>897.632203589684</v>
      </c>
      <c r="K6" s="0" t="n">
        <f aca="false">J6*(1+K5/100)</f>
        <v>915.584847661478</v>
      </c>
      <c r="L6" s="0" t="n">
        <f aca="false">K6*(1+L5/100)</f>
        <v>933.896544614708</v>
      </c>
    </row>
    <row r="7" customFormat="false" ht="15" hidden="false" customHeight="false" outlineLevel="0" collapsed="false">
      <c r="A7" s="0" t="s">
        <v>101</v>
      </c>
      <c r="C7" s="4" t="n">
        <f aca="false">Assumptions!C14</f>
        <v>71</v>
      </c>
      <c r="D7" s="4" t="n">
        <f aca="false">Assumptions!D14</f>
        <v>68</v>
      </c>
      <c r="E7" s="4" t="n">
        <f aca="false">Assumptions!E14</f>
        <v>65</v>
      </c>
      <c r="F7" s="4" t="n">
        <f aca="false">Assumptions!F14</f>
        <v>63</v>
      </c>
      <c r="G7" s="4" t="n">
        <f aca="false">Assumptions!G14</f>
        <v>62</v>
      </c>
      <c r="H7" s="4" t="n">
        <f aca="false">Assumptions!H14</f>
        <v>62</v>
      </c>
      <c r="I7" s="4" t="n">
        <f aca="false">Assumptions!I14</f>
        <v>62</v>
      </c>
      <c r="J7" s="4" t="n">
        <f aca="false">Assumptions!J14</f>
        <v>62</v>
      </c>
      <c r="K7" s="4" t="n">
        <f aca="false">Assumptions!K14</f>
        <v>62</v>
      </c>
      <c r="L7" s="4" t="n">
        <f aca="false">Assumptions!L14</f>
        <v>62</v>
      </c>
    </row>
    <row r="8" customFormat="false" ht="15" hidden="false" customHeight="false" outlineLevel="0" collapsed="false">
      <c r="A8" s="0" t="s">
        <v>44</v>
      </c>
      <c r="C8" s="0" t="n">
        <f aca="false">C6*C7/100</f>
        <v>622.2459596</v>
      </c>
      <c r="D8" s="0" t="n">
        <f aca="false">D6*D7/100</f>
        <v>578.075260496</v>
      </c>
      <c r="E8" s="0" t="n">
        <f aca="false">E6*E7/100</f>
        <v>547.0462207782</v>
      </c>
      <c r="F8" s="0" t="n">
        <f aca="false">F6*F7/100</f>
        <v>530.21402936964</v>
      </c>
      <c r="G8" s="0" t="n">
        <f aca="false">G6*G7/100</f>
        <v>527.015913002014</v>
      </c>
      <c r="H8" s="0" t="n">
        <f aca="false">H6*H7/100</f>
        <v>534.921151697044</v>
      </c>
      <c r="I8" s="0" t="n">
        <f aca="false">I6*I7/100</f>
        <v>545.619574730985</v>
      </c>
      <c r="J8" s="0" t="n">
        <f aca="false">J6*J7/100</f>
        <v>556.531966225604</v>
      </c>
      <c r="K8" s="0" t="n">
        <f aca="false">K6*K7/100</f>
        <v>567.662605550116</v>
      </c>
      <c r="L8" s="0" t="n">
        <f aca="false">L6*L7/100</f>
        <v>579.015857661119</v>
      </c>
    </row>
    <row r="9" customFormat="false" ht="15" hidden="false" customHeight="false" outlineLevel="0" collapsed="false">
      <c r="A9" s="0" t="s">
        <v>102</v>
      </c>
      <c r="C9" s="4" t="n">
        <f aca="false">Assumptions!C15</f>
        <v>0.3</v>
      </c>
      <c r="D9" s="4" t="n">
        <f aca="false">Assumptions!D15</f>
        <v>0.3</v>
      </c>
      <c r="E9" s="4" t="n">
        <f aca="false">Assumptions!E15</f>
        <v>0.3</v>
      </c>
      <c r="F9" s="4" t="n">
        <f aca="false">Assumptions!F15</f>
        <v>0.3</v>
      </c>
      <c r="G9" s="4" t="n">
        <f aca="false">Assumptions!G15</f>
        <v>0.3</v>
      </c>
      <c r="H9" s="4" t="n">
        <f aca="false">Assumptions!H15</f>
        <v>0.3</v>
      </c>
      <c r="I9" s="4" t="n">
        <f aca="false">Assumptions!I15</f>
        <v>0.3</v>
      </c>
      <c r="J9" s="4" t="n">
        <f aca="false">Assumptions!J15</f>
        <v>0.3</v>
      </c>
      <c r="K9" s="4" t="n">
        <f aca="false">Assumptions!K15</f>
        <v>0.3</v>
      </c>
      <c r="L9" s="4" t="n">
        <f aca="false">Assumptions!L15</f>
        <v>0.3</v>
      </c>
    </row>
    <row r="10" customFormat="false" ht="15" hidden="false" customHeight="false" outlineLevel="0" collapsed="false">
      <c r="A10" s="0" t="s">
        <v>117</v>
      </c>
      <c r="C10" s="0" t="n">
        <f aca="false">-C6*C9/100</f>
        <v>-2.62920828</v>
      </c>
      <c r="D10" s="0" t="n">
        <f aca="false">-D6*D9/100</f>
        <v>-2.5503320316</v>
      </c>
      <c r="E10" s="0" t="n">
        <f aca="false">-E6*E9/100</f>
        <v>-2.524828711284</v>
      </c>
      <c r="F10" s="0" t="n">
        <f aca="false">-F6*F9/100</f>
        <v>-2.524828711284</v>
      </c>
      <c r="G10" s="0" t="n">
        <f aca="false">-G6*G9/100</f>
        <v>-2.55007699839684</v>
      </c>
      <c r="H10" s="0" t="n">
        <f aca="false">-H6*H9/100</f>
        <v>-2.58832815337279</v>
      </c>
      <c r="I10" s="0" t="n">
        <f aca="false">-I6*I9/100</f>
        <v>-2.64009471644025</v>
      </c>
      <c r="J10" s="0" t="n">
        <f aca="false">-J6*J9/100</f>
        <v>-2.69289661076905</v>
      </c>
      <c r="K10" s="0" t="n">
        <f aca="false">-K6*K9/100</f>
        <v>-2.74675454298443</v>
      </c>
      <c r="L10" s="0" t="n">
        <f aca="false">-L6*L9/100</f>
        <v>-2.80168963384412</v>
      </c>
    </row>
    <row r="11" customFormat="false" ht="15" hidden="false" customHeight="false" outlineLevel="0" collapsed="false">
      <c r="A11" s="0" t="s">
        <v>118</v>
      </c>
      <c r="C11" s="0" t="n">
        <f aca="false">C8+C10+C24</f>
        <v>619.61675132</v>
      </c>
      <c r="D11" s="0" t="n">
        <f aca="false">D8+D10+D24</f>
        <v>575.5249284644</v>
      </c>
      <c r="E11" s="0" t="n">
        <f aca="false">E8+E10+E24</f>
        <v>544.521392066916</v>
      </c>
      <c r="F11" s="0" t="n">
        <f aca="false">F8+F10+F24</f>
        <v>527.689200658356</v>
      </c>
      <c r="G11" s="0" t="n">
        <f aca="false">G8+G10+G24</f>
        <v>524.465836003617</v>
      </c>
      <c r="H11" s="0" t="n">
        <f aca="false">H8+H10+H24</f>
        <v>532.332823543671</v>
      </c>
      <c r="I11" s="0" t="n">
        <f aca="false">I8+I10+I24</f>
        <v>542.979480014545</v>
      </c>
      <c r="J11" s="0" t="n">
        <f aca="false">J8+J10+J24</f>
        <v>553.839069614835</v>
      </c>
      <c r="K11" s="0" t="n">
        <f aca="false">K8+K10+K24</f>
        <v>564.915851007132</v>
      </c>
      <c r="L11" s="0" t="n">
        <f aca="false">L8+L10+L24</f>
        <v>576.214168027275</v>
      </c>
    </row>
    <row r="12" customFormat="false" ht="15" hidden="false" customHeight="false" outlineLevel="0" collapsed="false">
      <c r="A12" s="0" t="s">
        <v>119</v>
      </c>
      <c r="C12" s="4" t="n">
        <f aca="false">-C6*Assumptions!C17/100</f>
        <v>-36.80891592</v>
      </c>
      <c r="D12" s="4" t="n">
        <f aca="false">-D6*Assumptions!D17/100</f>
        <v>-35.7046484424</v>
      </c>
      <c r="E12" s="4" t="n">
        <f aca="false">-E6*Assumptions!E17/100</f>
        <v>-34.505992387548</v>
      </c>
      <c r="F12" s="4" t="n">
        <f aca="false">-F6*Assumptions!F17/100</f>
        <v>-34.505992387548</v>
      </c>
      <c r="G12" s="4" t="n">
        <f aca="false">-G6*Assumptions!G17/100</f>
        <v>-34.0010266452912</v>
      </c>
      <c r="H12" s="4" t="n">
        <f aca="false">-H6*Assumptions!H17/100</f>
        <v>-34.5110420449706</v>
      </c>
      <c r="I12" s="4" t="n">
        <f aca="false">-I6*Assumptions!I17/100</f>
        <v>-35.20126288587</v>
      </c>
      <c r="J12" s="4" t="n">
        <f aca="false">-J6*Assumptions!J17/100</f>
        <v>-35.9052881435874</v>
      </c>
      <c r="K12" s="4" t="n">
        <f aca="false">-K6*Assumptions!K17/100</f>
        <v>-36.6233939064591</v>
      </c>
      <c r="L12" s="4" t="n">
        <f aca="false">-L6*Assumptions!L17/100</f>
        <v>-37.3558617845883</v>
      </c>
    </row>
    <row r="13" customFormat="false" ht="15" hidden="false" customHeight="false" outlineLevel="0" collapsed="false">
      <c r="A13" s="0" t="s">
        <v>120</v>
      </c>
      <c r="C13" s="0" t="n">
        <f aca="false">C11+C12</f>
        <v>582.8078354</v>
      </c>
      <c r="D13" s="0" t="n">
        <f aca="false">D11+D12</f>
        <v>539.820280022</v>
      </c>
      <c r="E13" s="0" t="n">
        <f aca="false">E11+E12</f>
        <v>510.015399679368</v>
      </c>
      <c r="F13" s="0" t="n">
        <f aca="false">F11+F12</f>
        <v>493.183208270808</v>
      </c>
      <c r="G13" s="0" t="n">
        <f aca="false">G11+G12</f>
        <v>490.464809358326</v>
      </c>
      <c r="H13" s="0" t="n">
        <f aca="false">H11+H12</f>
        <v>497.8217814987</v>
      </c>
      <c r="I13" s="0" t="n">
        <f aca="false">I11+I12</f>
        <v>507.778217128675</v>
      </c>
      <c r="J13" s="0" t="n">
        <f aca="false">J11+J12</f>
        <v>517.933781471248</v>
      </c>
      <c r="K13" s="0" t="n">
        <f aca="false">K11+K12</f>
        <v>528.292457100673</v>
      </c>
      <c r="L13" s="0" t="n">
        <f aca="false">L11+L12</f>
        <v>538.858306242686</v>
      </c>
    </row>
    <row r="14" customFormat="false" ht="15" hidden="false" customHeight="false" outlineLevel="0" collapsed="false">
      <c r="A14" s="0" t="s">
        <v>106</v>
      </c>
      <c r="C14" s="4" t="n">
        <f aca="false">Assumptions!C19</f>
        <v>27</v>
      </c>
      <c r="D14" s="4" t="n">
        <f aca="false">Assumptions!D19</f>
        <v>27</v>
      </c>
      <c r="E14" s="4" t="n">
        <f aca="false">Assumptions!E19</f>
        <v>27</v>
      </c>
      <c r="F14" s="4" t="n">
        <f aca="false">Assumptions!F19</f>
        <v>27</v>
      </c>
      <c r="G14" s="4" t="n">
        <f aca="false">Assumptions!G19</f>
        <v>27</v>
      </c>
      <c r="H14" s="4" t="n">
        <f aca="false">Assumptions!H19</f>
        <v>27</v>
      </c>
      <c r="I14" s="4" t="n">
        <f aca="false">Assumptions!I19</f>
        <v>27</v>
      </c>
      <c r="J14" s="4" t="n">
        <f aca="false">Assumptions!J19</f>
        <v>27</v>
      </c>
      <c r="K14" s="4" t="n">
        <f aca="false">Assumptions!K19</f>
        <v>27</v>
      </c>
      <c r="L14" s="4" t="n">
        <f aca="false">Assumptions!L19</f>
        <v>27</v>
      </c>
    </row>
    <row r="15" customFormat="false" ht="15" hidden="false" customHeight="false" outlineLevel="0" collapsed="false">
      <c r="A15" s="0" t="s">
        <v>121</v>
      </c>
      <c r="C15" s="0" t="n">
        <f aca="false">C13-MAX(0,C13)*C14/100</f>
        <v>425.449719842</v>
      </c>
      <c r="D15" s="0" t="n">
        <f aca="false">D13-MAX(0,D13)*D14/100</f>
        <v>394.06880441606</v>
      </c>
      <c r="E15" s="0" t="n">
        <f aca="false">E13-MAX(0,E13)*E14/100</f>
        <v>372.311241765939</v>
      </c>
      <c r="F15" s="0" t="n">
        <f aca="false">F13-MAX(0,F13)*F14/100</f>
        <v>360.02374203769</v>
      </c>
      <c r="G15" s="0" t="n">
        <f aca="false">G13-MAX(0,G13)*G14/100</f>
        <v>358.039310831578</v>
      </c>
      <c r="H15" s="0" t="n">
        <f aca="false">H13-MAX(0,H13)*H14/100</f>
        <v>363.409900494051</v>
      </c>
      <c r="I15" s="0" t="n">
        <f aca="false">I13-MAX(0,I13)*I14/100</f>
        <v>370.678098503932</v>
      </c>
      <c r="J15" s="0" t="n">
        <f aca="false">J13-MAX(0,J13)*J14/100</f>
        <v>378.091660474011</v>
      </c>
      <c r="K15" s="0" t="n">
        <f aca="false">K13-MAX(0,K13)*K14/100</f>
        <v>385.653493683491</v>
      </c>
      <c r="L15" s="0" t="n">
        <f aca="false">L13-MAX(0,L13)*L14/100</f>
        <v>393.366563557161</v>
      </c>
    </row>
    <row r="16" customFormat="false" ht="15" hidden="false" customHeight="false" outlineLevel="0" collapsed="false">
      <c r="A16" s="0" t="s">
        <v>122</v>
      </c>
      <c r="C16" s="0" t="n">
        <f aca="false">-C12</f>
        <v>36.80891592</v>
      </c>
      <c r="D16" s="0" t="n">
        <f aca="false">-D12</f>
        <v>35.7046484424</v>
      </c>
      <c r="E16" s="0" t="n">
        <f aca="false">-E12</f>
        <v>34.505992387548</v>
      </c>
      <c r="F16" s="0" t="n">
        <f aca="false">-F12</f>
        <v>34.505992387548</v>
      </c>
      <c r="G16" s="0" t="n">
        <f aca="false">-G12</f>
        <v>34.0010266452912</v>
      </c>
      <c r="H16" s="0" t="n">
        <f aca="false">-H12</f>
        <v>34.5110420449706</v>
      </c>
      <c r="I16" s="0" t="n">
        <f aca="false">-I12</f>
        <v>35.20126288587</v>
      </c>
      <c r="J16" s="0" t="n">
        <f aca="false">-J12</f>
        <v>35.9052881435874</v>
      </c>
      <c r="K16" s="0" t="n">
        <f aca="false">-K12</f>
        <v>36.6233939064591</v>
      </c>
      <c r="L16" s="0" t="n">
        <f aca="false">-L12</f>
        <v>37.3558617845883</v>
      </c>
    </row>
    <row r="17" customFormat="false" ht="15" hidden="false" customHeight="false" outlineLevel="0" collapsed="false">
      <c r="A17" s="0" t="s">
        <v>123</v>
      </c>
      <c r="C17" s="4" t="n">
        <f aca="false">-C6*Assumptions!C18/100</f>
        <v>-106.92113672</v>
      </c>
      <c r="D17" s="4" t="n">
        <f aca="false">-D6*Assumptions!D18/100</f>
        <v>-103.7135026184</v>
      </c>
      <c r="E17" s="4" t="n">
        <f aca="false">-E6*Assumptions!E18/100</f>
        <v>-101.834758021788</v>
      </c>
      <c r="F17" s="4" t="n">
        <f aca="false">-F6*Assumptions!F18/100</f>
        <v>-101.834758021788</v>
      </c>
      <c r="G17" s="4" t="n">
        <f aca="false">-G6*Assumptions!G18/100</f>
        <v>-102.003079935874</v>
      </c>
      <c r="H17" s="4" t="n">
        <f aca="false">-H6*Assumptions!H18/100</f>
        <v>-103.533126134912</v>
      </c>
      <c r="I17" s="4" t="n">
        <f aca="false">-I6*Assumptions!I18/100</f>
        <v>-105.60378865761</v>
      </c>
      <c r="J17" s="4" t="n">
        <f aca="false">-J6*Assumptions!J18/100</f>
        <v>-107.715864430762</v>
      </c>
      <c r="K17" s="4" t="n">
        <f aca="false">-K6*Assumptions!K18/100</f>
        <v>-109.870181719377</v>
      </c>
      <c r="L17" s="4" t="n">
        <f aca="false">-L6*Assumptions!L18/100</f>
        <v>-112.067585353765</v>
      </c>
    </row>
    <row r="18" customFormat="false" ht="15" hidden="false" customHeight="false" outlineLevel="0" collapsed="false">
      <c r="A18" s="0" t="s">
        <v>124</v>
      </c>
      <c r="C18" s="4" t="n">
        <f aca="false">(C6-B6)*Assumptions!$B$23/100</f>
        <v>-0</v>
      </c>
      <c r="D18" s="4" t="n">
        <f aca="false">(D6-C6)*Assumptions!$B$23/100</f>
        <v>-0</v>
      </c>
      <c r="E18" s="4" t="n">
        <f aca="false">(E6-D6)*Assumptions!$B$23/100</f>
        <v>-0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125</v>
      </c>
      <c r="C19" s="0" t="n">
        <f aca="false">C15+C16+C17+C18</f>
        <v>355.337499042</v>
      </c>
      <c r="D19" s="0" t="n">
        <f aca="false">D15+D16+D17+D18</f>
        <v>326.05995024006</v>
      </c>
      <c r="E19" s="0" t="n">
        <f aca="false">E15+E16+E17+E18</f>
        <v>304.982476131699</v>
      </c>
      <c r="F19" s="0" t="n">
        <f aca="false">F15+F16+F17+F18</f>
        <v>292.69497640345</v>
      </c>
      <c r="G19" s="0" t="n">
        <f aca="false">G15+G16+G17+G18</f>
        <v>290.037257540995</v>
      </c>
      <c r="H19" s="0" t="n">
        <f aca="false">H15+H16+H17+H18</f>
        <v>294.38781640411</v>
      </c>
      <c r="I19" s="0" t="n">
        <f aca="false">I15+I16+I17+I18</f>
        <v>300.275572732192</v>
      </c>
      <c r="J19" s="0" t="n">
        <f aca="false">J15+J16+J17+J18</f>
        <v>306.281084186836</v>
      </c>
      <c r="K19" s="0" t="n">
        <f aca="false">K15+K16+K17+K18</f>
        <v>312.406705870573</v>
      </c>
      <c r="L19" s="0" t="n">
        <f aca="false">L15+L16+L17+L18</f>
        <v>318.654839987984</v>
      </c>
    </row>
    <row r="20" customFormat="false" ht="15" hidden="false" customHeight="false" outlineLevel="0" collapsed="false">
      <c r="A20" s="0" t="s">
        <v>126</v>
      </c>
      <c r="C20" s="0" t="n">
        <f aca="false">1/(1+$B$27/100)^C4</f>
        <v>0.892857142857143</v>
      </c>
      <c r="D20" s="0" t="n">
        <f aca="false">1/(1+$B$27/100)^D4</f>
        <v>0.79719387755102</v>
      </c>
      <c r="E20" s="0" t="n">
        <f aca="false">1/(1+$B$27/100)^E4</f>
        <v>0.711780247813411</v>
      </c>
      <c r="F20" s="0" t="n">
        <f aca="false">1/(1+$B$27/100)^F4</f>
        <v>0.635518078404831</v>
      </c>
      <c r="G20" s="0" t="n">
        <f aca="false">1/(1+$B$27/100)^G4</f>
        <v>0.567426855718599</v>
      </c>
      <c r="H20" s="0" t="n">
        <f aca="false">1/(1+$B$27/100)^H4</f>
        <v>0.506631121177321</v>
      </c>
      <c r="I20" s="0" t="n">
        <f aca="false">1/(1+$B$27/100)^I4</f>
        <v>0.452349215336893</v>
      </c>
      <c r="J20" s="0" t="n">
        <f aca="false">1/(1+$B$27/100)^J4</f>
        <v>0.403883227979369</v>
      </c>
      <c r="K20" s="0" t="n">
        <f aca="false">1/(1+$B$27/100)^K4</f>
        <v>0.360610024981579</v>
      </c>
      <c r="L20" s="0" t="n">
        <f aca="false">1/(1+$B$27/100)^L4</f>
        <v>0.321973236590696</v>
      </c>
    </row>
    <row r="21" customFormat="false" ht="15" hidden="false" customHeight="false" outlineLevel="0" collapsed="false">
      <c r="A21" s="0" t="s">
        <v>127</v>
      </c>
      <c r="C21" s="0" t="n">
        <f aca="false">C19*C20</f>
        <v>317.265624144643</v>
      </c>
      <c r="D21" s="0" t="n">
        <f aca="false">D19*D20</f>
        <v>259.932996045966</v>
      </c>
      <c r="E21" s="0" t="n">
        <f aca="false">E19*E20</f>
        <v>217.080502439768</v>
      </c>
      <c r="F21" s="0" t="n">
        <f aca="false">F19*F20</f>
        <v>186.012948962668</v>
      </c>
      <c r="G21" s="0" t="n">
        <f aca="false">G19*G20</f>
        <v>164.574929087733</v>
      </c>
      <c r="H21" s="0" t="n">
        <f aca="false">H19*H20</f>
        <v>149.146029485758</v>
      </c>
      <c r="I21" s="0" t="n">
        <f aca="false">I19*I20</f>
        <v>135.829419710243</v>
      </c>
      <c r="J21" s="0" t="n">
        <f aca="false">J19*J20</f>
        <v>123.7017929504</v>
      </c>
      <c r="K21" s="0" t="n">
        <f aca="false">K19*K20</f>
        <v>112.6569900084</v>
      </c>
      <c r="L21" s="0" t="n">
        <f aca="false">L19*L20</f>
        <v>102.598330186222</v>
      </c>
    </row>
    <row r="23" customFormat="false" ht="15" hidden="false" customHeight="false" outlineLevel="0" collapsed="false">
      <c r="A23" s="0" t="s">
        <v>103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128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129</v>
      </c>
    </row>
    <row r="27" customFormat="false" ht="15" hidden="false" customHeight="false" outlineLevel="0" collapsed="false">
      <c r="A27" s="0" t="s">
        <v>107</v>
      </c>
      <c r="B27" s="4" t="n">
        <f aca="false">Assumptions!$B$20</f>
        <v>12</v>
      </c>
    </row>
    <row r="28" customFormat="false" ht="15" hidden="false" customHeight="false" outlineLevel="0" collapsed="false">
      <c r="A28" s="0" t="s">
        <v>108</v>
      </c>
      <c r="B28" s="4" t="n">
        <f aca="false">Assumptions!$B$21</f>
        <v>1.5</v>
      </c>
    </row>
    <row r="29" customFormat="false" ht="15" hidden="false" customHeight="false" outlineLevel="0" collapsed="false">
      <c r="A29" s="0" t="s">
        <v>109</v>
      </c>
      <c r="B29" s="4" t="n">
        <f aca="false">Assumptions!$B$22</f>
        <v>10</v>
      </c>
    </row>
    <row r="30" customFormat="false" ht="15" hidden="false" customHeight="false" outlineLevel="0" collapsed="false">
      <c r="A30" s="0" t="s">
        <v>130</v>
      </c>
      <c r="B30" s="0" t="n">
        <f aca="false">SUM(C21:L21)</f>
        <v>1768.7995630218</v>
      </c>
    </row>
    <row r="31" customFormat="false" ht="15" hidden="false" customHeight="false" outlineLevel="0" collapsed="false">
      <c r="A31" s="0" t="s">
        <v>131</v>
      </c>
      <c r="B31" s="0" t="n">
        <f aca="false">L19</f>
        <v>318.654839987984</v>
      </c>
    </row>
    <row r="32" customFormat="false" ht="15" hidden="false" customHeight="false" outlineLevel="0" collapsed="false">
      <c r="A32" s="0" t="s">
        <v>132</v>
      </c>
      <c r="B32" s="0" t="n">
        <f aca="false">IF(B27&gt;B28,B31*(1+B28/100)/((B27-B28)/100),B31*B29)</f>
        <v>3080.33011988385</v>
      </c>
    </row>
    <row r="33" customFormat="false" ht="15" hidden="false" customHeight="false" outlineLevel="0" collapsed="false">
      <c r="A33" s="0" t="s">
        <v>133</v>
      </c>
      <c r="B33" s="0" t="n">
        <f aca="false">B31*B29</f>
        <v>3186.54839987984</v>
      </c>
    </row>
    <row r="34" customFormat="false" ht="15" hidden="false" customHeight="false" outlineLevel="0" collapsed="false">
      <c r="A34" s="0" t="s">
        <v>134</v>
      </c>
      <c r="B34" s="0" t="n">
        <f aca="false">MAX(0,MIN(B32,B33))</f>
        <v>3080.33011988385</v>
      </c>
    </row>
    <row r="35" customFormat="false" ht="15" hidden="false" customHeight="false" outlineLevel="0" collapsed="false">
      <c r="A35" s="0" t="s">
        <v>135</v>
      </c>
      <c r="B35" s="0" t="n">
        <f aca="false">B34/(1+B27/100)^L4</f>
        <v>991.783858466809</v>
      </c>
    </row>
    <row r="36" customFormat="false" ht="15" hidden="false" customHeight="false" outlineLevel="0" collapsed="false">
      <c r="A36" s="0" t="s">
        <v>136</v>
      </c>
      <c r="B36" s="0" t="n">
        <f aca="false">B30+B35</f>
        <v>2760.58342148861</v>
      </c>
    </row>
    <row r="37" customFormat="false" ht="15" hidden="false" customHeight="false" outlineLevel="0" collapsed="false">
      <c r="A37" s="0" t="s">
        <v>137</v>
      </c>
      <c r="B37" s="0" t="n">
        <f aca="false">B36+Assumptions!$B$5-Assumptions!$B$4</f>
        <v>2760.58342148861</v>
      </c>
    </row>
    <row r="38" customFormat="false" ht="15" hidden="false" customHeight="false" outlineLevel="0" collapsed="false">
      <c r="A38" s="0" t="s">
        <v>138</v>
      </c>
      <c r="B38" s="0" t="n">
        <f aca="false">B37/Assumptions!$B$3*Assumptions!$B$10</f>
        <v>3.03891810678862</v>
      </c>
    </row>
    <row r="39" customFormat="false" ht="15" hidden="false" customHeight="false" outlineLevel="0" collapsed="false">
      <c r="A39" s="0" t="s">
        <v>139</v>
      </c>
      <c r="B39" s="4" t="n">
        <f aca="false">B38/Assumptions!$B$2-1</f>
        <v>-0.549789910105389</v>
      </c>
    </row>
    <row r="41" customFormat="false" ht="15" hidden="false" customHeight="false" outlineLevel="0" collapsed="false">
      <c r="A41" s="0" t="s">
        <v>140</v>
      </c>
      <c r="B41" s="0" t="n">
        <f aca="false">SUMPRODUCT(-C10:L10/(1+$B$27/100)^C4:L4)</f>
        <v>14.7150605910945</v>
      </c>
    </row>
    <row r="42" customFormat="false" ht="15" hidden="false" customHeight="false" outlineLevel="0" collapsed="false">
      <c r="A42" s="0" t="s">
        <v>141</v>
      </c>
      <c r="B42" s="0" t="n">
        <f aca="false">IF(B27&gt;B28,-L10*(1+B28/100)/((B27-B28)/100),-L10*20)/(1+B27/100)^L4</f>
        <v>8.72000110020348</v>
      </c>
    </row>
    <row r="43" customFormat="false" ht="15" hidden="false" customHeight="false" outlineLevel="0" collapsed="false">
      <c r="A43" s="0" t="s">
        <v>142</v>
      </c>
      <c r="B43" s="0" t="n">
        <f aca="false">(B37+B41+B42)/Assumptions!$B$3*Assumptions!$B$10</f>
        <v>3.06471599891281</v>
      </c>
    </row>
    <row r="45" customFormat="false" ht="15" hidden="false" customHeight="false" outlineLevel="0" collapsed="false">
      <c r="A45" s="0" t="s">
        <v>83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143</v>
      </c>
      <c r="B46" s="0" t="n">
        <f aca="false">MAX(0,MIN(IF(B45&gt;B28,B31*(1+B28/100)/((B45-B28)/100),B31*B29),B31*B29))</f>
        <v>2395.81231546522</v>
      </c>
    </row>
    <row r="47" customFormat="false" ht="15" hidden="false" customHeight="false" outlineLevel="0" collapsed="false">
      <c r="A47" s="0" t="s">
        <v>144</v>
      </c>
      <c r="B47" s="0" t="n">
        <f aca="false">(SUMPRODUCT(C19:L19/(1+B45/100)^C4:L4)+B46/(1+B45/100)^L4+Assumptions!$B$5-Assumptions!$B$4)/Assumptions!$B$3*Assumptions!$B$10</f>
        <v>2.3862333185832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145</v>
      </c>
    </row>
    <row r="3" customFormat="false" ht="15" hidden="false" customHeight="false" outlineLevel="0" collapsed="false">
      <c r="A3" s="0" t="s">
        <v>115</v>
      </c>
      <c r="B3" s="0" t="s">
        <v>76</v>
      </c>
      <c r="C3" s="2" t="s">
        <v>90</v>
      </c>
      <c r="D3" s="2" t="s">
        <v>91</v>
      </c>
      <c r="E3" s="2" t="s">
        <v>92</v>
      </c>
      <c r="F3" s="2" t="s">
        <v>93</v>
      </c>
      <c r="G3" s="2" t="s">
        <v>94</v>
      </c>
      <c r="H3" s="2" t="s">
        <v>95</v>
      </c>
      <c r="I3" s="2" t="s">
        <v>96</v>
      </c>
      <c r="J3" s="2" t="s">
        <v>97</v>
      </c>
      <c r="K3" s="2" t="s">
        <v>98</v>
      </c>
      <c r="L3" s="2" t="s">
        <v>99</v>
      </c>
    </row>
    <row r="4" customFormat="false" ht="15" hidden="false" customHeight="false" outlineLevel="0" collapsed="false">
      <c r="A4" s="0" t="s">
        <v>116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100</v>
      </c>
      <c r="C5" s="4" t="n">
        <f aca="false">Assumptions!C27</f>
        <v>2</v>
      </c>
      <c r="D5" s="4" t="n">
        <f aca="false">Assumptions!D27</f>
        <v>5</v>
      </c>
      <c r="E5" s="4" t="n">
        <f aca="false">Assumptions!E27</f>
        <v>6</v>
      </c>
      <c r="F5" s="4" t="n">
        <f aca="false">Assumptions!F27</f>
        <v>6</v>
      </c>
      <c r="G5" s="4" t="n">
        <f aca="false">Assumptions!G27</f>
        <v>5</v>
      </c>
      <c r="H5" s="4" t="n">
        <f aca="false">Assumptions!H27</f>
        <v>4</v>
      </c>
      <c r="I5" s="4" t="n">
        <f aca="false">Assumptions!I27</f>
        <v>4</v>
      </c>
      <c r="J5" s="4" t="n">
        <f aca="false">Assumptions!J27</f>
        <v>3</v>
      </c>
      <c r="K5" s="4" t="n">
        <f aca="false">Assumptions!K27</f>
        <v>3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38</v>
      </c>
      <c r="B6" s="3" t="n">
        <v>903.508</v>
      </c>
      <c r="C6" s="0" t="n">
        <f aca="false">B6*(1+C5/100)</f>
        <v>921.57816</v>
      </c>
      <c r="D6" s="0" t="n">
        <f aca="false">C6*(1+D5/100)</f>
        <v>967.657068</v>
      </c>
      <c r="E6" s="0" t="n">
        <f aca="false">D6*(1+E5/100)</f>
        <v>1025.71649208</v>
      </c>
      <c r="F6" s="0" t="n">
        <f aca="false">E6*(1+F5/100)</f>
        <v>1087.2594816048</v>
      </c>
      <c r="G6" s="0" t="n">
        <f aca="false">F6*(1+G5/100)</f>
        <v>1141.62245568504</v>
      </c>
      <c r="H6" s="0" t="n">
        <f aca="false">G6*(1+H5/100)</f>
        <v>1187.28735391244</v>
      </c>
      <c r="I6" s="0" t="n">
        <f aca="false">H6*(1+I5/100)</f>
        <v>1234.77884806894</v>
      </c>
      <c r="J6" s="0" t="n">
        <f aca="false">I6*(1+J5/100)</f>
        <v>1271.82221351101</v>
      </c>
      <c r="K6" s="0" t="n">
        <f aca="false">J6*(1+K5/100)</f>
        <v>1309.97687991634</v>
      </c>
      <c r="L6" s="0" t="n">
        <f aca="false">K6*(1+L5/100)</f>
        <v>1342.72630191425</v>
      </c>
    </row>
    <row r="7" customFormat="false" ht="15" hidden="false" customHeight="false" outlineLevel="0" collapsed="false">
      <c r="A7" s="0" t="s">
        <v>101</v>
      </c>
      <c r="C7" s="4" t="n">
        <f aca="false">Assumptions!C28</f>
        <v>73</v>
      </c>
      <c r="D7" s="4" t="n">
        <f aca="false">Assumptions!D28</f>
        <v>72.5</v>
      </c>
      <c r="E7" s="4" t="n">
        <f aca="false">Assumptions!E28</f>
        <v>72.5</v>
      </c>
      <c r="F7" s="4" t="n">
        <f aca="false">Assumptions!F28</f>
        <v>72.5</v>
      </c>
      <c r="G7" s="4" t="n">
        <f aca="false">Assumptions!G28</f>
        <v>72.5</v>
      </c>
      <c r="H7" s="4" t="n">
        <f aca="false">Assumptions!H28</f>
        <v>72.5</v>
      </c>
      <c r="I7" s="4" t="n">
        <f aca="false">Assumptions!I28</f>
        <v>72.5</v>
      </c>
      <c r="J7" s="4" t="n">
        <f aca="false">Assumptions!J28</f>
        <v>72.5</v>
      </c>
      <c r="K7" s="4" t="n">
        <f aca="false">Assumptions!K28</f>
        <v>72.5</v>
      </c>
      <c r="L7" s="4" t="n">
        <f aca="false">Assumptions!L28</f>
        <v>72.5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672.7520568</v>
      </c>
      <c r="D8" s="0" t="n">
        <f aca="false">D6*D7/100</f>
        <v>701.5513743</v>
      </c>
      <c r="E8" s="0" t="n">
        <f aca="false">E6*E7/100</f>
        <v>743.644456758</v>
      </c>
      <c r="F8" s="0" t="n">
        <f aca="false">F6*F7/100</f>
        <v>788.26312416348</v>
      </c>
      <c r="G8" s="0" t="n">
        <f aca="false">G6*G7/100</f>
        <v>827.676280371654</v>
      </c>
      <c r="H8" s="0" t="n">
        <f aca="false">H6*H7/100</f>
        <v>860.78333158652</v>
      </c>
      <c r="I8" s="0" t="n">
        <f aca="false">I6*I7/100</f>
        <v>895.214664849981</v>
      </c>
      <c r="J8" s="0" t="n">
        <f aca="false">J6*J7/100</f>
        <v>922.071104795481</v>
      </c>
      <c r="K8" s="0" t="n">
        <f aca="false">K6*K7/100</f>
        <v>949.733237939345</v>
      </c>
      <c r="L8" s="0" t="n">
        <f aca="false">L6*L7/100</f>
        <v>973.476568887829</v>
      </c>
    </row>
    <row r="9" customFormat="false" ht="15" hidden="false" customHeight="false" outlineLevel="0" collapsed="false">
      <c r="A9" s="0" t="s">
        <v>102</v>
      </c>
      <c r="C9" s="4" t="n">
        <f aca="false">Assumptions!C29</f>
        <v>0.3</v>
      </c>
      <c r="D9" s="4" t="n">
        <f aca="false">Assumptions!D29</f>
        <v>0.3</v>
      </c>
      <c r="E9" s="4" t="n">
        <f aca="false">Assumptions!E29</f>
        <v>0.3</v>
      </c>
      <c r="F9" s="4" t="n">
        <f aca="false">Assumptions!F29</f>
        <v>0.3</v>
      </c>
      <c r="G9" s="4" t="n">
        <f aca="false">Assumptions!G29</f>
        <v>0.3</v>
      </c>
      <c r="H9" s="4" t="n">
        <f aca="false">Assumptions!H29</f>
        <v>0.3</v>
      </c>
      <c r="I9" s="4" t="n">
        <f aca="false">Assumptions!I29</f>
        <v>0.3</v>
      </c>
      <c r="J9" s="4" t="n">
        <f aca="false">Assumptions!J29</f>
        <v>0.3</v>
      </c>
      <c r="K9" s="4" t="n">
        <f aca="false">Assumptions!K29</f>
        <v>0.3</v>
      </c>
      <c r="L9" s="4" t="n">
        <f aca="false">Assumptions!L29</f>
        <v>0.3</v>
      </c>
    </row>
    <row r="10" customFormat="false" ht="15" hidden="false" customHeight="false" outlineLevel="0" collapsed="false">
      <c r="A10" s="0" t="s">
        <v>117</v>
      </c>
      <c r="C10" s="0" t="n">
        <f aca="false">-C6*C9/100</f>
        <v>-2.76473448</v>
      </c>
      <c r="D10" s="0" t="n">
        <f aca="false">-D6*D9/100</f>
        <v>-2.902971204</v>
      </c>
      <c r="E10" s="0" t="n">
        <f aca="false">-E6*E9/100</f>
        <v>-3.07714947624</v>
      </c>
      <c r="F10" s="0" t="n">
        <f aca="false">-F6*F9/100</f>
        <v>-3.2617784448144</v>
      </c>
      <c r="G10" s="0" t="n">
        <f aca="false">-G6*G9/100</f>
        <v>-3.42486736705512</v>
      </c>
      <c r="H10" s="0" t="n">
        <f aca="false">-H6*H9/100</f>
        <v>-3.56186206173733</v>
      </c>
      <c r="I10" s="0" t="n">
        <f aca="false">-I6*I9/100</f>
        <v>-3.70433654420682</v>
      </c>
      <c r="J10" s="0" t="n">
        <f aca="false">-J6*J9/100</f>
        <v>-3.81546664053302</v>
      </c>
      <c r="K10" s="0" t="n">
        <f aca="false">-K6*K9/100</f>
        <v>-3.92993063974902</v>
      </c>
      <c r="L10" s="0" t="n">
        <f aca="false">-L6*L9/100</f>
        <v>-4.02817890574274</v>
      </c>
    </row>
    <row r="11" customFormat="false" ht="15" hidden="false" customHeight="false" outlineLevel="0" collapsed="false">
      <c r="A11" s="0" t="s">
        <v>118</v>
      </c>
      <c r="C11" s="0" t="n">
        <f aca="false">C8+C10+C24</f>
        <v>669.98732232</v>
      </c>
      <c r="D11" s="0" t="n">
        <f aca="false">D8+D10+D24</f>
        <v>698.648403096</v>
      </c>
      <c r="E11" s="0" t="n">
        <f aca="false">E8+E10+E24</f>
        <v>740.56730728176</v>
      </c>
      <c r="F11" s="0" t="n">
        <f aca="false">F8+F10+F24</f>
        <v>785.001345718666</v>
      </c>
      <c r="G11" s="0" t="n">
        <f aca="false">G8+G10+G24</f>
        <v>824.251413004599</v>
      </c>
      <c r="H11" s="0" t="n">
        <f aca="false">H8+H10+H24</f>
        <v>857.221469524783</v>
      </c>
      <c r="I11" s="0" t="n">
        <f aca="false">I8+I10+I24</f>
        <v>891.510328305774</v>
      </c>
      <c r="J11" s="0" t="n">
        <f aca="false">J8+J10+J24</f>
        <v>918.255638154948</v>
      </c>
      <c r="K11" s="0" t="n">
        <f aca="false">K8+K10+K24</f>
        <v>945.803307299596</v>
      </c>
      <c r="L11" s="0" t="n">
        <f aca="false">L8+L10+L24</f>
        <v>969.448389982086</v>
      </c>
    </row>
    <row r="12" customFormat="false" ht="15" hidden="false" customHeight="false" outlineLevel="0" collapsed="false">
      <c r="A12" s="0" t="s">
        <v>119</v>
      </c>
      <c r="C12" s="4" t="n">
        <f aca="false">-C6*Assumptions!C31/100</f>
        <v>-38.70628272</v>
      </c>
      <c r="D12" s="4" t="n">
        <f aca="false">-D6*Assumptions!D31/100</f>
        <v>-40.641596856</v>
      </c>
      <c r="E12" s="4" t="n">
        <f aca="false">-E6*Assumptions!E31/100</f>
        <v>-42.05437617528</v>
      </c>
      <c r="F12" s="4" t="n">
        <f aca="false">-F6*Assumptions!F31/100</f>
        <v>-44.5776387457968</v>
      </c>
      <c r="G12" s="4" t="n">
        <f aca="false">-G6*Assumptions!G31/100</f>
        <v>-45.6648982274016</v>
      </c>
      <c r="H12" s="4" t="n">
        <f aca="false">-H6*Assumptions!H31/100</f>
        <v>-47.4914941564977</v>
      </c>
      <c r="I12" s="4" t="n">
        <f aca="false">-I6*Assumptions!I31/100</f>
        <v>-49.3911539227576</v>
      </c>
      <c r="J12" s="4" t="n">
        <f aca="false">-J6*Assumptions!J31/100</f>
        <v>-50.8728885404403</v>
      </c>
      <c r="K12" s="4" t="n">
        <f aca="false">-K6*Assumptions!K31/100</f>
        <v>-52.3990751966535</v>
      </c>
      <c r="L12" s="4" t="n">
        <f aca="false">-L6*Assumptions!L31/100</f>
        <v>-53.7090520765699</v>
      </c>
    </row>
    <row r="13" customFormat="false" ht="15" hidden="false" customHeight="false" outlineLevel="0" collapsed="false">
      <c r="A13" s="0" t="s">
        <v>120</v>
      </c>
      <c r="C13" s="0" t="n">
        <f aca="false">C11+C12</f>
        <v>631.2810396</v>
      </c>
      <c r="D13" s="0" t="n">
        <f aca="false">D11+D12</f>
        <v>658.00680624</v>
      </c>
      <c r="E13" s="0" t="n">
        <f aca="false">E11+E12</f>
        <v>698.51293110648</v>
      </c>
      <c r="F13" s="0" t="n">
        <f aca="false">F11+F12</f>
        <v>740.423706972869</v>
      </c>
      <c r="G13" s="0" t="n">
        <f aca="false">G11+G12</f>
        <v>778.586514777197</v>
      </c>
      <c r="H13" s="0" t="n">
        <f aca="false">H11+H12</f>
        <v>809.729975368285</v>
      </c>
      <c r="I13" s="0" t="n">
        <f aca="false">I11+I12</f>
        <v>842.119174383017</v>
      </c>
      <c r="J13" s="0" t="n">
        <f aca="false">J11+J12</f>
        <v>867.382749614508</v>
      </c>
      <c r="K13" s="0" t="n">
        <f aca="false">K11+K12</f>
        <v>893.404232102943</v>
      </c>
      <c r="L13" s="0" t="n">
        <f aca="false">L11+L12</f>
        <v>915.739337905516</v>
      </c>
    </row>
    <row r="14" customFormat="false" ht="15" hidden="false" customHeight="false" outlineLevel="0" collapsed="false">
      <c r="A14" s="0" t="s">
        <v>106</v>
      </c>
      <c r="C14" s="4" t="n">
        <f aca="false">Assumptions!C33</f>
        <v>27</v>
      </c>
      <c r="D14" s="4" t="n">
        <f aca="false">Assumptions!D33</f>
        <v>27</v>
      </c>
      <c r="E14" s="4" t="n">
        <f aca="false">Assumptions!E33</f>
        <v>27</v>
      </c>
      <c r="F14" s="4" t="n">
        <f aca="false">Assumptions!F33</f>
        <v>27</v>
      </c>
      <c r="G14" s="4" t="n">
        <f aca="false">Assumptions!G33</f>
        <v>27</v>
      </c>
      <c r="H14" s="4" t="n">
        <f aca="false">Assumptions!H33</f>
        <v>27</v>
      </c>
      <c r="I14" s="4" t="n">
        <f aca="false">Assumptions!I33</f>
        <v>27</v>
      </c>
      <c r="J14" s="4" t="n">
        <f aca="false">Assumptions!J33</f>
        <v>27</v>
      </c>
      <c r="K14" s="4" t="n">
        <f aca="false">Assumptions!K33</f>
        <v>27</v>
      </c>
      <c r="L14" s="4" t="n">
        <f aca="false">Assumptions!L33</f>
        <v>27</v>
      </c>
    </row>
    <row r="15" customFormat="false" ht="15" hidden="false" customHeight="false" outlineLevel="0" collapsed="false">
      <c r="A15" s="0" t="s">
        <v>121</v>
      </c>
      <c r="C15" s="0" t="n">
        <f aca="false">C13-MAX(0,C13)*C14/100</f>
        <v>460.835158908</v>
      </c>
      <c r="D15" s="0" t="n">
        <f aca="false">D13-MAX(0,D13)*D14/100</f>
        <v>480.3449685552</v>
      </c>
      <c r="E15" s="0" t="n">
        <f aca="false">E13-MAX(0,E13)*E14/100</f>
        <v>509.91443970773</v>
      </c>
      <c r="F15" s="0" t="n">
        <f aca="false">F13-MAX(0,F13)*F14/100</f>
        <v>540.509306090194</v>
      </c>
      <c r="G15" s="0" t="n">
        <f aca="false">G13-MAX(0,G13)*G14/100</f>
        <v>568.368155787354</v>
      </c>
      <c r="H15" s="0" t="n">
        <f aca="false">H13-MAX(0,H13)*H14/100</f>
        <v>591.102882018848</v>
      </c>
      <c r="I15" s="0" t="n">
        <f aca="false">I13-MAX(0,I13)*I14/100</f>
        <v>614.746997299602</v>
      </c>
      <c r="J15" s="0" t="n">
        <f aca="false">J13-MAX(0,J13)*J14/100</f>
        <v>633.18940721859</v>
      </c>
      <c r="K15" s="0" t="n">
        <f aca="false">K13-MAX(0,K13)*K14/100</f>
        <v>652.185089435148</v>
      </c>
      <c r="L15" s="0" t="n">
        <f aca="false">L13-MAX(0,L13)*L14/100</f>
        <v>668.489716671027</v>
      </c>
    </row>
    <row r="16" customFormat="false" ht="15" hidden="false" customHeight="false" outlineLevel="0" collapsed="false">
      <c r="A16" s="0" t="s">
        <v>122</v>
      </c>
      <c r="C16" s="0" t="n">
        <f aca="false">-C12</f>
        <v>38.70628272</v>
      </c>
      <c r="D16" s="0" t="n">
        <f aca="false">-D12</f>
        <v>40.641596856</v>
      </c>
      <c r="E16" s="0" t="n">
        <f aca="false">-E12</f>
        <v>42.05437617528</v>
      </c>
      <c r="F16" s="0" t="n">
        <f aca="false">-F12</f>
        <v>44.5776387457968</v>
      </c>
      <c r="G16" s="0" t="n">
        <f aca="false">-G12</f>
        <v>45.6648982274016</v>
      </c>
      <c r="H16" s="0" t="n">
        <f aca="false">-H12</f>
        <v>47.4914941564977</v>
      </c>
      <c r="I16" s="0" t="n">
        <f aca="false">-I12</f>
        <v>49.3911539227576</v>
      </c>
      <c r="J16" s="0" t="n">
        <f aca="false">-J12</f>
        <v>50.8728885404403</v>
      </c>
      <c r="K16" s="0" t="n">
        <f aca="false">-K12</f>
        <v>52.3990751966535</v>
      </c>
      <c r="L16" s="0" t="n">
        <f aca="false">-L12</f>
        <v>53.7090520765699</v>
      </c>
    </row>
    <row r="17" customFormat="false" ht="15" hidden="false" customHeight="false" outlineLevel="0" collapsed="false">
      <c r="A17" s="0" t="s">
        <v>123</v>
      </c>
      <c r="C17" s="4" t="n">
        <f aca="false">-C6*Assumptions!C32/100</f>
        <v>-84.78519072</v>
      </c>
      <c r="D17" s="4" t="n">
        <f aca="false">-D6*Assumptions!D32/100</f>
        <v>-89.024450256</v>
      </c>
      <c r="E17" s="4" t="n">
        <f aca="false">-E6*Assumptions!E32/100</f>
        <v>-93.34020077928</v>
      </c>
      <c r="F17" s="4" t="n">
        <f aca="false">-F6*Assumptions!F32/100</f>
        <v>-98.9406128260368</v>
      </c>
      <c r="G17" s="4" t="n">
        <f aca="false">-G6*Assumptions!G32/100</f>
        <v>-102.746021011654</v>
      </c>
      <c r="H17" s="4" t="n">
        <f aca="false">-H6*Assumptions!H32/100</f>
        <v>-106.85586185212</v>
      </c>
      <c r="I17" s="4" t="n">
        <f aca="false">-I6*Assumptions!I32/100</f>
        <v>-111.130096326205</v>
      </c>
      <c r="J17" s="4" t="n">
        <f aca="false">-J6*Assumptions!J32/100</f>
        <v>-114.463999215991</v>
      </c>
      <c r="K17" s="4" t="n">
        <f aca="false">-K6*Assumptions!K32/100</f>
        <v>-117.89791919247</v>
      </c>
      <c r="L17" s="4" t="n">
        <f aca="false">-L6*Assumptions!L32/100</f>
        <v>-120.845367172282</v>
      </c>
    </row>
    <row r="18" customFormat="false" ht="15" hidden="false" customHeight="false" outlineLevel="0" collapsed="false">
      <c r="A18" s="0" t="s">
        <v>124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125</v>
      </c>
      <c r="C19" s="0" t="n">
        <f aca="false">C15+C16+C17+C18</f>
        <v>414.756250908</v>
      </c>
      <c r="D19" s="0" t="n">
        <f aca="false">D15+D16+D17+D18</f>
        <v>431.9621151552</v>
      </c>
      <c r="E19" s="0" t="n">
        <f aca="false">E15+E16+E17+E18</f>
        <v>458.62861510373</v>
      </c>
      <c r="F19" s="0" t="n">
        <f aca="false">F15+F16+F17+F18</f>
        <v>486.146332009954</v>
      </c>
      <c r="G19" s="0" t="n">
        <f aca="false">G15+G16+G17+G18</f>
        <v>511.287033003102</v>
      </c>
      <c r="H19" s="0" t="n">
        <f aca="false">H15+H16+H17+H18</f>
        <v>531.738514323226</v>
      </c>
      <c r="I19" s="0" t="n">
        <f aca="false">I15+I16+I17+I18</f>
        <v>553.008054896155</v>
      </c>
      <c r="J19" s="0" t="n">
        <f aca="false">J15+J16+J17+J18</f>
        <v>569.59829654304</v>
      </c>
      <c r="K19" s="0" t="n">
        <f aca="false">K15+K16+K17+K18</f>
        <v>586.686245439331</v>
      </c>
      <c r="L19" s="0" t="n">
        <f aca="false">L15+L16+L17+L18</f>
        <v>601.353401575315</v>
      </c>
    </row>
    <row r="20" customFormat="false" ht="15" hidden="false" customHeight="false" outlineLevel="0" collapsed="false">
      <c r="A20" s="0" t="s">
        <v>126</v>
      </c>
      <c r="C20" s="0" t="n">
        <f aca="false">1/(1+$B$27/100)^C4</f>
        <v>0.892857142857143</v>
      </c>
      <c r="D20" s="0" t="n">
        <f aca="false">1/(1+$B$27/100)^D4</f>
        <v>0.79719387755102</v>
      </c>
      <c r="E20" s="0" t="n">
        <f aca="false">1/(1+$B$27/100)^E4</f>
        <v>0.711780247813411</v>
      </c>
      <c r="F20" s="0" t="n">
        <f aca="false">1/(1+$B$27/100)^F4</f>
        <v>0.635518078404831</v>
      </c>
      <c r="G20" s="0" t="n">
        <f aca="false">1/(1+$B$27/100)^G4</f>
        <v>0.567426855718599</v>
      </c>
      <c r="H20" s="0" t="n">
        <f aca="false">1/(1+$B$27/100)^H4</f>
        <v>0.506631121177321</v>
      </c>
      <c r="I20" s="0" t="n">
        <f aca="false">1/(1+$B$27/100)^I4</f>
        <v>0.452349215336893</v>
      </c>
      <c r="J20" s="0" t="n">
        <f aca="false">1/(1+$B$27/100)^J4</f>
        <v>0.403883227979369</v>
      </c>
      <c r="K20" s="0" t="n">
        <f aca="false">1/(1+$B$27/100)^K4</f>
        <v>0.360610024981579</v>
      </c>
      <c r="L20" s="0" t="n">
        <f aca="false">1/(1+$B$27/100)^L4</f>
        <v>0.321973236590696</v>
      </c>
    </row>
    <row r="21" customFormat="false" ht="15" hidden="false" customHeight="false" outlineLevel="0" collapsed="false">
      <c r="A21" s="0" t="s">
        <v>127</v>
      </c>
      <c r="C21" s="0" t="n">
        <f aca="false">C19*C20</f>
        <v>370.318081167857</v>
      </c>
      <c r="D21" s="0" t="n">
        <f aca="false">D19*D20</f>
        <v>344.357553535714</v>
      </c>
      <c r="E21" s="0" t="n">
        <f aca="false">E19*E20</f>
        <v>326.442789312855</v>
      </c>
      <c r="F21" s="0" t="n">
        <f aca="false">F19*F20</f>
        <v>308.954782742523</v>
      </c>
      <c r="G21" s="0" t="n">
        <f aca="false">G19*G20</f>
        <v>290.117993506642</v>
      </c>
      <c r="H21" s="0" t="n">
        <f aca="false">H19*H20</f>
        <v>269.395279684739</v>
      </c>
      <c r="I21" s="0" t="n">
        <f aca="false">I19*I20</f>
        <v>250.152759707258</v>
      </c>
      <c r="J21" s="0" t="n">
        <f aca="false">J19*J20</f>
        <v>230.051198659353</v>
      </c>
      <c r="K21" s="0" t="n">
        <f aca="false">K19*K20</f>
        <v>211.564941624226</v>
      </c>
      <c r="L21" s="0" t="n">
        <f aca="false">L19*L20</f>
        <v>193.619701040029</v>
      </c>
    </row>
    <row r="23" customFormat="false" ht="15" hidden="false" customHeight="false" outlineLevel="0" collapsed="false">
      <c r="A23" s="0" t="s">
        <v>103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128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129</v>
      </c>
    </row>
    <row r="27" customFormat="false" ht="15" hidden="false" customHeight="false" outlineLevel="0" collapsed="false">
      <c r="A27" s="0" t="s">
        <v>107</v>
      </c>
      <c r="B27" s="4" t="n">
        <f aca="false">Assumptions!$B$34</f>
        <v>12</v>
      </c>
    </row>
    <row r="28" customFormat="false" ht="15" hidden="false" customHeight="false" outlineLevel="0" collapsed="false">
      <c r="A28" s="0" t="s">
        <v>108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109</v>
      </c>
      <c r="B29" s="4" t="n">
        <f aca="false">Assumptions!$B$36</f>
        <v>12</v>
      </c>
    </row>
    <row r="30" customFormat="false" ht="15" hidden="false" customHeight="false" outlineLevel="0" collapsed="false">
      <c r="A30" s="0" t="s">
        <v>130</v>
      </c>
      <c r="B30" s="0" t="n">
        <f aca="false">SUM(C21:L21)</f>
        <v>2794.9750809812</v>
      </c>
    </row>
    <row r="31" customFormat="false" ht="15" hidden="false" customHeight="false" outlineLevel="0" collapsed="false">
      <c r="A31" s="0" t="s">
        <v>131</v>
      </c>
      <c r="B31" s="0" t="n">
        <f aca="false">L19</f>
        <v>601.353401575315</v>
      </c>
    </row>
    <row r="32" customFormat="false" ht="15" hidden="false" customHeight="false" outlineLevel="0" collapsed="false">
      <c r="A32" s="0" t="s">
        <v>132</v>
      </c>
      <c r="B32" s="0" t="n">
        <f aca="false">IF(B27&gt;B28,B31*(1+B28/100)/((B27-B28)/100),B31*B29)</f>
        <v>6488.28670120734</v>
      </c>
    </row>
    <row r="33" customFormat="false" ht="15" hidden="false" customHeight="false" outlineLevel="0" collapsed="false">
      <c r="A33" s="0" t="s">
        <v>133</v>
      </c>
      <c r="B33" s="0" t="n">
        <f aca="false">B31*B29</f>
        <v>7216.24081890377</v>
      </c>
    </row>
    <row r="34" customFormat="false" ht="15" hidden="false" customHeight="false" outlineLevel="0" collapsed="false">
      <c r="A34" s="0" t="s">
        <v>134</v>
      </c>
      <c r="B34" s="0" t="n">
        <f aca="false">MAX(0,MIN(B32,B33))</f>
        <v>6488.28670120734</v>
      </c>
    </row>
    <row r="35" customFormat="false" ht="15" hidden="false" customHeight="false" outlineLevel="0" collapsed="false">
      <c r="A35" s="0" t="s">
        <v>135</v>
      </c>
      <c r="B35" s="0" t="n">
        <f aca="false">B34/(1+B27/100)^L4</f>
        <v>2089.0546691161</v>
      </c>
    </row>
    <row r="36" customFormat="false" ht="15" hidden="false" customHeight="false" outlineLevel="0" collapsed="false">
      <c r="A36" s="0" t="s">
        <v>136</v>
      </c>
      <c r="B36" s="0" t="n">
        <f aca="false">B30+B35</f>
        <v>4884.02975009729</v>
      </c>
    </row>
    <row r="37" customFormat="false" ht="15" hidden="false" customHeight="false" outlineLevel="0" collapsed="false">
      <c r="A37" s="0" t="s">
        <v>137</v>
      </c>
      <c r="B37" s="0" t="n">
        <f aca="false">B36+Assumptions!$B$5-Assumptions!$B$4</f>
        <v>4884.02975009729</v>
      </c>
    </row>
    <row r="38" customFormat="false" ht="15" hidden="false" customHeight="false" outlineLevel="0" collapsed="false">
      <c r="A38" s="0" t="s">
        <v>138</v>
      </c>
      <c r="B38" s="0" t="n">
        <f aca="false">B37/Assumptions!$B$3*Assumptions!$B$10</f>
        <v>5.37646003599541</v>
      </c>
    </row>
    <row r="39" customFormat="false" ht="15" hidden="false" customHeight="false" outlineLevel="0" collapsed="false">
      <c r="A39" s="0" t="s">
        <v>139</v>
      </c>
      <c r="B39" s="4" t="n">
        <f aca="false">B38/Assumptions!$B$2-1</f>
        <v>-0.203487402074754</v>
      </c>
    </row>
    <row r="41" customFormat="false" ht="15" hidden="false" customHeight="false" outlineLevel="0" collapsed="false">
      <c r="A41" s="0" t="s">
        <v>140</v>
      </c>
      <c r="B41" s="0" t="n">
        <f aca="false">SUMPRODUCT(-C10:L10/(1+$B$27/100)^C4:L4)</f>
        <v>18.7246239746191</v>
      </c>
    </row>
    <row r="42" customFormat="false" ht="15" hidden="false" customHeight="false" outlineLevel="0" collapsed="false">
      <c r="A42" s="0" t="s">
        <v>141</v>
      </c>
      <c r="B42" s="0" t="n">
        <f aca="false">IF(B27&gt;B28,-L10*(1+B28/100)/((B27-B28)/100),-L10*20)/(1+B27/100)^L4</f>
        <v>13.9935783667849</v>
      </c>
    </row>
    <row r="43" customFormat="false" ht="15" hidden="false" customHeight="false" outlineLevel="0" collapsed="false">
      <c r="A43" s="0" t="s">
        <v>142</v>
      </c>
      <c r="B43" s="0" t="n">
        <f aca="false">(B37+B41+B42)/Assumptions!$B$3*Assumptions!$B$10</f>
        <v>5.41247703759837</v>
      </c>
    </row>
    <row r="45" customFormat="false" ht="15" hidden="false" customHeight="false" outlineLevel="0" collapsed="false">
      <c r="A45" s="0" t="s">
        <v>83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143</v>
      </c>
      <c r="B46" s="0" t="n">
        <f aca="false">MAX(0,MIN(IF(B45&gt;B28,B31*(1+B28/100)/((B45-B28)/100),B31*B29),B31*B29))</f>
        <v>4931.09789291758</v>
      </c>
    </row>
    <row r="47" customFormat="false" ht="15" hidden="false" customHeight="false" outlineLevel="0" collapsed="false">
      <c r="A47" s="0" t="s">
        <v>144</v>
      </c>
      <c r="B47" s="0" t="n">
        <f aca="false">(SUMPRODUCT(C19:L19/(1+B45/100)^C4:L4)+B46/(1+B45/100)^L4+Assumptions!$B$5-Assumptions!$B$4)/Assumptions!$B$3*Assumptions!$B$10</f>
        <v>4.05025166478859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146</v>
      </c>
    </row>
    <row r="3" customFormat="false" ht="15" hidden="false" customHeight="false" outlineLevel="0" collapsed="false">
      <c r="A3" s="0" t="s">
        <v>115</v>
      </c>
      <c r="B3" s="0" t="s">
        <v>76</v>
      </c>
      <c r="C3" s="2" t="s">
        <v>90</v>
      </c>
      <c r="D3" s="2" t="s">
        <v>91</v>
      </c>
      <c r="E3" s="2" t="s">
        <v>92</v>
      </c>
      <c r="F3" s="2" t="s">
        <v>93</v>
      </c>
      <c r="G3" s="2" t="s">
        <v>94</v>
      </c>
      <c r="H3" s="2" t="s">
        <v>95</v>
      </c>
      <c r="I3" s="2" t="s">
        <v>96</v>
      </c>
      <c r="J3" s="2" t="s">
        <v>97</v>
      </c>
      <c r="K3" s="2" t="s">
        <v>98</v>
      </c>
      <c r="L3" s="2" t="s">
        <v>99</v>
      </c>
    </row>
    <row r="4" customFormat="false" ht="15" hidden="false" customHeight="false" outlineLevel="0" collapsed="false">
      <c r="A4" s="0" t="s">
        <v>116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100</v>
      </c>
      <c r="C5" s="4" t="n">
        <f aca="false">Assumptions!C41</f>
        <v>4</v>
      </c>
      <c r="D5" s="4" t="n">
        <f aca="false">Assumptions!D41</f>
        <v>9</v>
      </c>
      <c r="E5" s="4" t="n">
        <f aca="false">Assumptions!E41</f>
        <v>11</v>
      </c>
      <c r="F5" s="4" t="n">
        <f aca="false">Assumptions!F41</f>
        <v>11</v>
      </c>
      <c r="G5" s="4" t="n">
        <f aca="false">Assumptions!G41</f>
        <v>9</v>
      </c>
      <c r="H5" s="4" t="n">
        <f aca="false">Assumptions!H41</f>
        <v>7</v>
      </c>
      <c r="I5" s="4" t="n">
        <f aca="false">Assumptions!I41</f>
        <v>6</v>
      </c>
      <c r="J5" s="4" t="n">
        <f aca="false">Assumptions!J41</f>
        <v>5</v>
      </c>
      <c r="K5" s="4" t="n">
        <f aca="false">Assumptions!K41</f>
        <v>4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38</v>
      </c>
      <c r="B6" s="3" t="n">
        <v>903.508</v>
      </c>
      <c r="C6" s="0" t="n">
        <f aca="false">B6*(1+C5/100)</f>
        <v>939.64832</v>
      </c>
      <c r="D6" s="0" t="n">
        <f aca="false">C6*(1+D5/100)</f>
        <v>1024.2166688</v>
      </c>
      <c r="E6" s="0" t="n">
        <f aca="false">D6*(1+E5/100)</f>
        <v>1136.880502368</v>
      </c>
      <c r="F6" s="0" t="n">
        <f aca="false">E6*(1+F5/100)</f>
        <v>1261.93735762848</v>
      </c>
      <c r="G6" s="0" t="n">
        <f aca="false">F6*(1+G5/100)</f>
        <v>1375.51171981504</v>
      </c>
      <c r="H6" s="0" t="n">
        <f aca="false">G6*(1+H5/100)</f>
        <v>1471.7975402021</v>
      </c>
      <c r="I6" s="0" t="n">
        <f aca="false">H6*(1+I5/100)</f>
        <v>1560.10539261422</v>
      </c>
      <c r="J6" s="0" t="n">
        <f aca="false">I6*(1+J5/100)</f>
        <v>1638.11066224493</v>
      </c>
      <c r="K6" s="0" t="n">
        <f aca="false">J6*(1+K5/100)</f>
        <v>1703.63508873473</v>
      </c>
      <c r="L6" s="0" t="n">
        <f aca="false">K6*(1+L5/100)</f>
        <v>1754.74414139677</v>
      </c>
    </row>
    <row r="7" customFormat="false" ht="15" hidden="false" customHeight="false" outlineLevel="0" collapsed="false">
      <c r="A7" s="0" t="s">
        <v>101</v>
      </c>
      <c r="C7" s="4" t="n">
        <f aca="false">Assumptions!C42</f>
        <v>73.5</v>
      </c>
      <c r="D7" s="4" t="n">
        <f aca="false">Assumptions!D42</f>
        <v>74</v>
      </c>
      <c r="E7" s="4" t="n">
        <f aca="false">Assumptions!E42</f>
        <v>74.5</v>
      </c>
      <c r="F7" s="4" t="n">
        <f aca="false">Assumptions!F42</f>
        <v>75</v>
      </c>
      <c r="G7" s="4" t="n">
        <f aca="false">Assumptions!G42</f>
        <v>75</v>
      </c>
      <c r="H7" s="4" t="n">
        <f aca="false">Assumptions!H42</f>
        <v>75</v>
      </c>
      <c r="I7" s="4" t="n">
        <f aca="false">Assumptions!I42</f>
        <v>75</v>
      </c>
      <c r="J7" s="4" t="n">
        <f aca="false">Assumptions!J42</f>
        <v>75</v>
      </c>
      <c r="K7" s="4" t="n">
        <f aca="false">Assumptions!K42</f>
        <v>75</v>
      </c>
      <c r="L7" s="4" t="n">
        <f aca="false">Assumptions!L42</f>
        <v>75</v>
      </c>
    </row>
    <row r="8" customFormat="false" ht="15" hidden="false" customHeight="false" outlineLevel="0" collapsed="false">
      <c r="A8" s="0" t="s">
        <v>44</v>
      </c>
      <c r="C8" s="0" t="n">
        <f aca="false">C6*C7/100</f>
        <v>690.6415152</v>
      </c>
      <c r="D8" s="0" t="n">
        <f aca="false">D6*D7/100</f>
        <v>757.920334912</v>
      </c>
      <c r="E8" s="0" t="n">
        <f aca="false">E6*E7/100</f>
        <v>846.97597426416</v>
      </c>
      <c r="F8" s="0" t="n">
        <f aca="false">F6*F7/100</f>
        <v>946.453018221361</v>
      </c>
      <c r="G8" s="0" t="n">
        <f aca="false">G6*G7/100</f>
        <v>1031.63378986128</v>
      </c>
      <c r="H8" s="0" t="n">
        <f aca="false">H6*H7/100</f>
        <v>1103.84815515157</v>
      </c>
      <c r="I8" s="0" t="n">
        <f aca="false">I6*I7/100</f>
        <v>1170.07904446067</v>
      </c>
      <c r="J8" s="0" t="n">
        <f aca="false">J6*J7/100</f>
        <v>1228.5829966837</v>
      </c>
      <c r="K8" s="0" t="n">
        <f aca="false">K6*K7/100</f>
        <v>1277.72631655105</v>
      </c>
      <c r="L8" s="0" t="n">
        <f aca="false">L6*L7/100</f>
        <v>1316.05810604758</v>
      </c>
    </row>
    <row r="9" customFormat="false" ht="15" hidden="false" customHeight="false" outlineLevel="0" collapsed="false">
      <c r="A9" s="0" t="s">
        <v>102</v>
      </c>
      <c r="C9" s="4" t="n">
        <f aca="false">Assumptions!C43</f>
        <v>0.3</v>
      </c>
      <c r="D9" s="4" t="n">
        <f aca="false">Assumptions!D43</f>
        <v>0.3</v>
      </c>
      <c r="E9" s="4" t="n">
        <f aca="false">Assumptions!E43</f>
        <v>0.3</v>
      </c>
      <c r="F9" s="4" t="n">
        <f aca="false">Assumptions!F43</f>
        <v>0.3</v>
      </c>
      <c r="G9" s="4" t="n">
        <f aca="false">Assumptions!G43</f>
        <v>0.3</v>
      </c>
      <c r="H9" s="4" t="n">
        <f aca="false">Assumptions!H43</f>
        <v>0.3</v>
      </c>
      <c r="I9" s="4" t="n">
        <f aca="false">Assumptions!I43</f>
        <v>0.3</v>
      </c>
      <c r="J9" s="4" t="n">
        <f aca="false">Assumptions!J43</f>
        <v>0.3</v>
      </c>
      <c r="K9" s="4" t="n">
        <f aca="false">Assumptions!K43</f>
        <v>0.3</v>
      </c>
      <c r="L9" s="4" t="n">
        <f aca="false">Assumptions!L43</f>
        <v>0.3</v>
      </c>
    </row>
    <row r="10" customFormat="false" ht="15" hidden="false" customHeight="false" outlineLevel="0" collapsed="false">
      <c r="A10" s="0" t="s">
        <v>117</v>
      </c>
      <c r="C10" s="0" t="n">
        <f aca="false">-C6*C9/100</f>
        <v>-2.81894496</v>
      </c>
      <c r="D10" s="0" t="n">
        <f aca="false">-D6*D9/100</f>
        <v>-3.0726500064</v>
      </c>
      <c r="E10" s="0" t="n">
        <f aca="false">-E6*E9/100</f>
        <v>-3.410641507104</v>
      </c>
      <c r="F10" s="0" t="n">
        <f aca="false">-F6*F9/100</f>
        <v>-3.78581207288544</v>
      </c>
      <c r="G10" s="0" t="n">
        <f aca="false">-G6*G9/100</f>
        <v>-4.12653515944513</v>
      </c>
      <c r="H10" s="0" t="n">
        <f aca="false">-H6*H9/100</f>
        <v>-4.41539262060629</v>
      </c>
      <c r="I10" s="0" t="n">
        <f aca="false">-I6*I9/100</f>
        <v>-4.68031617784267</v>
      </c>
      <c r="J10" s="0" t="n">
        <f aca="false">-J6*J9/100</f>
        <v>-4.9143319867348</v>
      </c>
      <c r="K10" s="0" t="n">
        <f aca="false">-K6*K9/100</f>
        <v>-5.1109052662042</v>
      </c>
      <c r="L10" s="0" t="n">
        <f aca="false">-L6*L9/100</f>
        <v>-5.26423242419032</v>
      </c>
    </row>
    <row r="11" customFormat="false" ht="15" hidden="false" customHeight="false" outlineLevel="0" collapsed="false">
      <c r="A11" s="0" t="s">
        <v>118</v>
      </c>
      <c r="C11" s="0" t="n">
        <f aca="false">C8+C10+C24</f>
        <v>687.82257024</v>
      </c>
      <c r="D11" s="0" t="n">
        <f aca="false">D8+D10+D24</f>
        <v>754.8476849056</v>
      </c>
      <c r="E11" s="0" t="n">
        <f aca="false">E8+E10+E24</f>
        <v>843.565332757056</v>
      </c>
      <c r="F11" s="0" t="n">
        <f aca="false">F8+F10+F24</f>
        <v>942.667206148475</v>
      </c>
      <c r="G11" s="0" t="n">
        <f aca="false">G8+G10+G24</f>
        <v>1027.50725470184</v>
      </c>
      <c r="H11" s="0" t="n">
        <f aca="false">H8+H10+H24</f>
        <v>1099.43276253097</v>
      </c>
      <c r="I11" s="0" t="n">
        <f aca="false">I8+I10+I24</f>
        <v>1165.39872828282</v>
      </c>
      <c r="J11" s="0" t="n">
        <f aca="false">J8+J10+J24</f>
        <v>1223.66866469697</v>
      </c>
      <c r="K11" s="0" t="n">
        <f aca="false">K8+K10+K24</f>
        <v>1272.61541128484</v>
      </c>
      <c r="L11" s="0" t="n">
        <f aca="false">L8+L10+L24</f>
        <v>1310.79387362339</v>
      </c>
    </row>
    <row r="12" customFormat="false" ht="15" hidden="false" customHeight="false" outlineLevel="0" collapsed="false">
      <c r="A12" s="0" t="s">
        <v>119</v>
      </c>
      <c r="C12" s="4" t="n">
        <f aca="false">-C6*Assumptions!C45/100</f>
        <v>-39.46522944</v>
      </c>
      <c r="D12" s="4" t="n">
        <f aca="false">-D6*Assumptions!D45/100</f>
        <v>-43.0171000896</v>
      </c>
      <c r="E12" s="4" t="n">
        <f aca="false">-E6*Assumptions!E45/100</f>
        <v>-46.612100597088</v>
      </c>
      <c r="F12" s="4" t="n">
        <f aca="false">-F6*Assumptions!F45/100</f>
        <v>-51.7394316627677</v>
      </c>
      <c r="G12" s="4" t="n">
        <f aca="false">-G6*Assumptions!G45/100</f>
        <v>-55.0204687926018</v>
      </c>
      <c r="H12" s="4" t="n">
        <f aca="false">-H6*Assumptions!H45/100</f>
        <v>-58.8719016080839</v>
      </c>
      <c r="I12" s="4" t="n">
        <f aca="false">-I6*Assumptions!I45/100</f>
        <v>-62.4042157045689</v>
      </c>
      <c r="J12" s="4" t="n">
        <f aca="false">-J6*Assumptions!J45/100</f>
        <v>-65.5244264897974</v>
      </c>
      <c r="K12" s="4" t="n">
        <f aca="false">-K6*Assumptions!K45/100</f>
        <v>-68.1454035493893</v>
      </c>
      <c r="L12" s="4" t="n">
        <f aca="false">-L6*Assumptions!L45/100</f>
        <v>-70.1897656558709</v>
      </c>
    </row>
    <row r="13" customFormat="false" ht="15" hidden="false" customHeight="false" outlineLevel="0" collapsed="false">
      <c r="A13" s="0" t="s">
        <v>120</v>
      </c>
      <c r="C13" s="0" t="n">
        <f aca="false">C11+C12</f>
        <v>648.3573408</v>
      </c>
      <c r="D13" s="0" t="n">
        <f aca="false">D11+D12</f>
        <v>711.830584816</v>
      </c>
      <c r="E13" s="0" t="n">
        <f aca="false">E11+E12</f>
        <v>796.953232159968</v>
      </c>
      <c r="F13" s="0" t="n">
        <f aca="false">F11+F12</f>
        <v>890.927774485708</v>
      </c>
      <c r="G13" s="0" t="n">
        <f aca="false">G11+G12</f>
        <v>972.486785909236</v>
      </c>
      <c r="H13" s="0" t="n">
        <f aca="false">H11+H12</f>
        <v>1040.56086092288</v>
      </c>
      <c r="I13" s="0" t="n">
        <f aca="false">I11+I12</f>
        <v>1102.99451257826</v>
      </c>
      <c r="J13" s="0" t="n">
        <f aca="false">J11+J12</f>
        <v>1158.14423820717</v>
      </c>
      <c r="K13" s="0" t="n">
        <f aca="false">K11+K12</f>
        <v>1204.47000773546</v>
      </c>
      <c r="L13" s="0" t="n">
        <f aca="false">L11+L12</f>
        <v>1240.60410796752</v>
      </c>
    </row>
    <row r="14" customFormat="false" ht="15" hidden="false" customHeight="false" outlineLevel="0" collapsed="false">
      <c r="A14" s="0" t="s">
        <v>106</v>
      </c>
      <c r="C14" s="4" t="n">
        <f aca="false">Assumptions!C47</f>
        <v>27</v>
      </c>
      <c r="D14" s="4" t="n">
        <f aca="false">Assumptions!D47</f>
        <v>27</v>
      </c>
      <c r="E14" s="4" t="n">
        <f aca="false">Assumptions!E47</f>
        <v>27</v>
      </c>
      <c r="F14" s="4" t="n">
        <f aca="false">Assumptions!F47</f>
        <v>27</v>
      </c>
      <c r="G14" s="4" t="n">
        <f aca="false">Assumptions!G47</f>
        <v>27</v>
      </c>
      <c r="H14" s="4" t="n">
        <f aca="false">Assumptions!H47</f>
        <v>27</v>
      </c>
      <c r="I14" s="4" t="n">
        <f aca="false">Assumptions!I47</f>
        <v>27</v>
      </c>
      <c r="J14" s="4" t="n">
        <f aca="false">Assumptions!J47</f>
        <v>27</v>
      </c>
      <c r="K14" s="4" t="n">
        <f aca="false">Assumptions!K47</f>
        <v>27</v>
      </c>
      <c r="L14" s="4" t="n">
        <f aca="false">Assumptions!L47</f>
        <v>27</v>
      </c>
    </row>
    <row r="15" customFormat="false" ht="15" hidden="false" customHeight="false" outlineLevel="0" collapsed="false">
      <c r="A15" s="0" t="s">
        <v>121</v>
      </c>
      <c r="C15" s="0" t="n">
        <f aca="false">C13-MAX(0,C13)*C14/100</f>
        <v>473.300858784</v>
      </c>
      <c r="D15" s="0" t="n">
        <f aca="false">D13-MAX(0,D13)*D14/100</f>
        <v>519.63632691568</v>
      </c>
      <c r="E15" s="0" t="n">
        <f aca="false">E13-MAX(0,E13)*E14/100</f>
        <v>581.775859476777</v>
      </c>
      <c r="F15" s="0" t="n">
        <f aca="false">F13-MAX(0,F13)*F14/100</f>
        <v>650.377275374567</v>
      </c>
      <c r="G15" s="0" t="n">
        <f aca="false">G13-MAX(0,G13)*G14/100</f>
        <v>709.915353713742</v>
      </c>
      <c r="H15" s="0" t="n">
        <f aca="false">H13-MAX(0,H13)*H14/100</f>
        <v>759.609428473705</v>
      </c>
      <c r="I15" s="0" t="n">
        <f aca="false">I13-MAX(0,I13)*I14/100</f>
        <v>805.185994182127</v>
      </c>
      <c r="J15" s="0" t="n">
        <f aca="false">J13-MAX(0,J13)*J14/100</f>
        <v>845.445293891233</v>
      </c>
      <c r="K15" s="0" t="n">
        <f aca="false">K13-MAX(0,K13)*K14/100</f>
        <v>879.263105646882</v>
      </c>
      <c r="L15" s="0" t="n">
        <f aca="false">L13-MAX(0,L13)*L14/100</f>
        <v>905.640998816289</v>
      </c>
    </row>
    <row r="16" customFormat="false" ht="15" hidden="false" customHeight="false" outlineLevel="0" collapsed="false">
      <c r="A16" s="0" t="s">
        <v>122</v>
      </c>
      <c r="C16" s="0" t="n">
        <f aca="false">-C12</f>
        <v>39.46522944</v>
      </c>
      <c r="D16" s="0" t="n">
        <f aca="false">-D12</f>
        <v>43.0171000896</v>
      </c>
      <c r="E16" s="0" t="n">
        <f aca="false">-E12</f>
        <v>46.612100597088</v>
      </c>
      <c r="F16" s="0" t="n">
        <f aca="false">-F12</f>
        <v>51.7394316627677</v>
      </c>
      <c r="G16" s="0" t="n">
        <f aca="false">-G12</f>
        <v>55.0204687926018</v>
      </c>
      <c r="H16" s="0" t="n">
        <f aca="false">-H12</f>
        <v>58.8719016080839</v>
      </c>
      <c r="I16" s="0" t="n">
        <f aca="false">-I12</f>
        <v>62.4042157045689</v>
      </c>
      <c r="J16" s="0" t="n">
        <f aca="false">-J12</f>
        <v>65.5244264897974</v>
      </c>
      <c r="K16" s="0" t="n">
        <f aca="false">-K12</f>
        <v>68.1454035493893</v>
      </c>
      <c r="L16" s="0" t="n">
        <f aca="false">-L12</f>
        <v>70.1897656558709</v>
      </c>
    </row>
    <row r="17" customFormat="false" ht="15" hidden="false" customHeight="false" outlineLevel="0" collapsed="false">
      <c r="A17" s="0" t="s">
        <v>123</v>
      </c>
      <c r="C17" s="4" t="n">
        <f aca="false">-C6*Assumptions!C46/100</f>
        <v>-62.95643744</v>
      </c>
      <c r="D17" s="4" t="n">
        <f aca="false">-D6*Assumptions!D46/100</f>
        <v>-68.6225168096</v>
      </c>
      <c r="E17" s="4" t="n">
        <f aca="false">-E6*Assumptions!E46/100</f>
        <v>-75.034113156288</v>
      </c>
      <c r="F17" s="4" t="n">
        <f aca="false">-F6*Assumptions!F46/100</f>
        <v>-83.2878656034797</v>
      </c>
      <c r="G17" s="4" t="n">
        <f aca="false">-G6*Assumptions!G46/100</f>
        <v>-89.4082617879779</v>
      </c>
      <c r="H17" s="4" t="n">
        <f aca="false">-H6*Assumptions!H46/100</f>
        <v>-95.6668401131363</v>
      </c>
      <c r="I17" s="4" t="n">
        <f aca="false">-I6*Assumptions!I46/100</f>
        <v>-101.406850519925</v>
      </c>
      <c r="J17" s="4" t="n">
        <f aca="false">-J6*Assumptions!J46/100</f>
        <v>-106.477193045921</v>
      </c>
      <c r="K17" s="4" t="n">
        <f aca="false">-K6*Assumptions!K46/100</f>
        <v>-110.736280767758</v>
      </c>
      <c r="L17" s="4" t="n">
        <f aca="false">-L6*Assumptions!L46/100</f>
        <v>-114.05836919079</v>
      </c>
    </row>
    <row r="18" customFormat="false" ht="15" hidden="false" customHeight="false" outlineLevel="0" collapsed="false">
      <c r="A18" s="0" t="s">
        <v>124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125</v>
      </c>
      <c r="C19" s="0" t="n">
        <f aca="false">C15+C16+C17+C18</f>
        <v>449.809650784</v>
      </c>
      <c r="D19" s="0" t="n">
        <f aca="false">D15+D16+D17+D18</f>
        <v>494.03091019568</v>
      </c>
      <c r="E19" s="0" t="n">
        <f aca="false">E15+E16+E17+E18</f>
        <v>553.353846917577</v>
      </c>
      <c r="F19" s="0" t="n">
        <f aca="false">F15+F16+F17+F18</f>
        <v>618.828841433854</v>
      </c>
      <c r="G19" s="0" t="n">
        <f aca="false">G15+G16+G17+G18</f>
        <v>675.527560718366</v>
      </c>
      <c r="H19" s="0" t="n">
        <f aca="false">H15+H16+H17+H18</f>
        <v>722.814489968652</v>
      </c>
      <c r="I19" s="0" t="n">
        <f aca="false">I15+I16+I17+I18</f>
        <v>766.183359366771</v>
      </c>
      <c r="J19" s="0" t="n">
        <f aca="false">J15+J16+J17+J18</f>
        <v>804.49252733511</v>
      </c>
      <c r="K19" s="0" t="n">
        <f aca="false">K15+K16+K17+K18</f>
        <v>836.672228428514</v>
      </c>
      <c r="L19" s="0" t="n">
        <f aca="false">L15+L16+L17+L18</f>
        <v>861.772395281369</v>
      </c>
    </row>
    <row r="20" customFormat="false" ht="15" hidden="false" customHeight="false" outlineLevel="0" collapsed="false">
      <c r="A20" s="0" t="s">
        <v>126</v>
      </c>
      <c r="C20" s="0" t="n">
        <f aca="false">1/(1+$B$27/100)^C4</f>
        <v>0.892857142857143</v>
      </c>
      <c r="D20" s="0" t="n">
        <f aca="false">1/(1+$B$27/100)^D4</f>
        <v>0.79719387755102</v>
      </c>
      <c r="E20" s="0" t="n">
        <f aca="false">1/(1+$B$27/100)^E4</f>
        <v>0.711780247813411</v>
      </c>
      <c r="F20" s="0" t="n">
        <f aca="false">1/(1+$B$27/100)^F4</f>
        <v>0.635518078404831</v>
      </c>
      <c r="G20" s="0" t="n">
        <f aca="false">1/(1+$B$27/100)^G4</f>
        <v>0.567426855718599</v>
      </c>
      <c r="H20" s="0" t="n">
        <f aca="false">1/(1+$B$27/100)^H4</f>
        <v>0.506631121177321</v>
      </c>
      <c r="I20" s="0" t="n">
        <f aca="false">1/(1+$B$27/100)^I4</f>
        <v>0.452349215336893</v>
      </c>
      <c r="J20" s="0" t="n">
        <f aca="false">1/(1+$B$27/100)^J4</f>
        <v>0.403883227979369</v>
      </c>
      <c r="K20" s="0" t="n">
        <f aca="false">1/(1+$B$27/100)^K4</f>
        <v>0.360610024981579</v>
      </c>
      <c r="L20" s="0" t="n">
        <f aca="false">1/(1+$B$27/100)^L4</f>
        <v>0.321973236590696</v>
      </c>
    </row>
    <row r="21" customFormat="false" ht="15" hidden="false" customHeight="false" outlineLevel="0" collapsed="false">
      <c r="A21" s="0" t="s">
        <v>127</v>
      </c>
      <c r="C21" s="0" t="n">
        <f aca="false">C19*C20</f>
        <v>401.615759628572</v>
      </c>
      <c r="D21" s="0" t="n">
        <f aca="false">D19*D20</f>
        <v>393.838416928954</v>
      </c>
      <c r="E21" s="0" t="n">
        <f aca="false">E19*E20</f>
        <v>393.866338287497</v>
      </c>
      <c r="F21" s="0" t="n">
        <f aca="false">F19*F20</f>
        <v>393.276916169531</v>
      </c>
      <c r="G21" s="0" t="n">
        <f aca="false">G19*G20</f>
        <v>383.312479729678</v>
      </c>
      <c r="H21" s="0" t="n">
        <f aca="false">H19*H20</f>
        <v>366.200315456031</v>
      </c>
      <c r="I21" s="0" t="n">
        <f aca="false">I19*I20</f>
        <v>346.582441413744</v>
      </c>
      <c r="J21" s="0" t="n">
        <f aca="false">J19*J20</f>
        <v>324.921038825385</v>
      </c>
      <c r="K21" s="0" t="n">
        <f aca="false">K19*K20</f>
        <v>301.712393195</v>
      </c>
      <c r="L21" s="0" t="n">
        <f aca="false">L19*L20</f>
        <v>277.467647313259</v>
      </c>
    </row>
    <row r="23" customFormat="false" ht="15" hidden="false" customHeight="false" outlineLevel="0" collapsed="false">
      <c r="A23" s="0" t="s">
        <v>103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128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129</v>
      </c>
    </row>
    <row r="27" customFormat="false" ht="15" hidden="false" customHeight="false" outlineLevel="0" collapsed="false">
      <c r="A27" s="0" t="s">
        <v>107</v>
      </c>
      <c r="B27" s="4" t="n">
        <f aca="false">Assumptions!$B$48</f>
        <v>12</v>
      </c>
    </row>
    <row r="28" customFormat="false" ht="15" hidden="false" customHeight="false" outlineLevel="0" collapsed="false">
      <c r="A28" s="0" t="s">
        <v>108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109</v>
      </c>
      <c r="B29" s="4" t="n">
        <f aca="false">Assumptions!$B$50</f>
        <v>14</v>
      </c>
    </row>
    <row r="30" customFormat="false" ht="15" hidden="false" customHeight="false" outlineLevel="0" collapsed="false">
      <c r="A30" s="0" t="s">
        <v>130</v>
      </c>
      <c r="B30" s="0" t="n">
        <f aca="false">SUM(C21:L21)</f>
        <v>3582.79374694765</v>
      </c>
    </row>
    <row r="31" customFormat="false" ht="15" hidden="false" customHeight="false" outlineLevel="0" collapsed="false">
      <c r="A31" s="0" t="s">
        <v>131</v>
      </c>
      <c r="B31" s="0" t="n">
        <f aca="false">L19</f>
        <v>861.772395281369</v>
      </c>
    </row>
    <row r="32" customFormat="false" ht="15" hidden="false" customHeight="false" outlineLevel="0" collapsed="false">
      <c r="A32" s="0" t="s">
        <v>132</v>
      </c>
      <c r="B32" s="0" t="n">
        <f aca="false">IF(B27&gt;B28,B31*(1+B28/100)/((B27-B28)/100),B31*B29)</f>
        <v>9862.50630155345</v>
      </c>
    </row>
    <row r="33" customFormat="false" ht="15" hidden="false" customHeight="false" outlineLevel="0" collapsed="false">
      <c r="A33" s="0" t="s">
        <v>133</v>
      </c>
      <c r="B33" s="0" t="n">
        <f aca="false">B31*B29</f>
        <v>12064.8135339392</v>
      </c>
    </row>
    <row r="34" customFormat="false" ht="15" hidden="false" customHeight="false" outlineLevel="0" collapsed="false">
      <c r="A34" s="0" t="s">
        <v>134</v>
      </c>
      <c r="B34" s="0" t="n">
        <f aca="false">MAX(0,MIN(B32,B33))</f>
        <v>9862.50630155345</v>
      </c>
    </row>
    <row r="35" customFormat="false" ht="15" hidden="false" customHeight="false" outlineLevel="0" collapsed="false">
      <c r="A35" s="0" t="s">
        <v>135</v>
      </c>
      <c r="B35" s="0" t="n">
        <f aca="false">B34/(1+B27/100)^L4</f>
        <v>3175.4630748073</v>
      </c>
    </row>
    <row r="36" customFormat="false" ht="15" hidden="false" customHeight="false" outlineLevel="0" collapsed="false">
      <c r="A36" s="0" t="s">
        <v>136</v>
      </c>
      <c r="B36" s="0" t="n">
        <f aca="false">B30+B35</f>
        <v>6758.25682175495</v>
      </c>
    </row>
    <row r="37" customFormat="false" ht="15" hidden="false" customHeight="false" outlineLevel="0" collapsed="false">
      <c r="A37" s="0" t="s">
        <v>137</v>
      </c>
      <c r="B37" s="0" t="n">
        <f aca="false">B36+Assumptions!$B$5-Assumptions!$B$4</f>
        <v>6758.25682175495</v>
      </c>
    </row>
    <row r="38" customFormat="false" ht="15" hidden="false" customHeight="false" outlineLevel="0" collapsed="false">
      <c r="A38" s="0" t="s">
        <v>138</v>
      </c>
      <c r="B38" s="0" t="n">
        <f aca="false">B37/Assumptions!$B$3*Assumptions!$B$10</f>
        <v>7.43965527942065</v>
      </c>
    </row>
    <row r="39" customFormat="false" ht="15" hidden="false" customHeight="false" outlineLevel="0" collapsed="false">
      <c r="A39" s="0" t="s">
        <v>139</v>
      </c>
      <c r="B39" s="4" t="n">
        <f aca="false">B38/Assumptions!$B$2-1</f>
        <v>0.102171152506762</v>
      </c>
    </row>
    <row r="41" customFormat="false" ht="15" hidden="false" customHeight="false" outlineLevel="0" collapsed="false">
      <c r="A41" s="0" t="s">
        <v>140</v>
      </c>
      <c r="B41" s="0" t="n">
        <f aca="false">SUMPRODUCT(-C10:L10/(1+$B$27/100)^C4:L4)</f>
        <v>22.0184136153066</v>
      </c>
    </row>
    <row r="42" customFormat="false" ht="15" hidden="false" customHeight="false" outlineLevel="0" collapsed="false">
      <c r="A42" s="0" t="s">
        <v>141</v>
      </c>
      <c r="B42" s="0" t="n">
        <f aca="false">IF(B27&gt;B28,-L10*(1+B28/100)/((B27-B28)/100),-L10*20)/(1+B27/100)^L4</f>
        <v>19.3976690037301</v>
      </c>
    </row>
    <row r="43" customFormat="false" ht="15" hidden="false" customHeight="false" outlineLevel="0" collapsed="false">
      <c r="A43" s="0" t="s">
        <v>142</v>
      </c>
      <c r="B43" s="0" t="n">
        <f aca="false">(B37+B41+B42)/Assumptions!$B$3*Assumptions!$B$10</f>
        <v>7.48524712149415</v>
      </c>
    </row>
    <row r="45" customFormat="false" ht="15" hidden="false" customHeight="false" outlineLevel="0" collapsed="false">
      <c r="A45" s="0" t="s">
        <v>83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143</v>
      </c>
      <c r="B46" s="0" t="n">
        <f aca="false">MAX(0,MIN(IF(B45&gt;B28,B31*(1+B28/100)/((B45-B28)/100),B31*B29),B31*B29))</f>
        <v>7396.87972616509</v>
      </c>
    </row>
    <row r="47" customFormat="false" ht="15" hidden="false" customHeight="false" outlineLevel="0" collapsed="false">
      <c r="A47" s="0" t="s">
        <v>144</v>
      </c>
      <c r="B47" s="0" t="n">
        <f aca="false">(SUMPRODUCT(C19:L19/(1+B45/100)^C4:L4)+B46/(1+B45/100)^L4+Assumptions!$B$5-Assumptions!$B$4)/Assumptions!$B$3*Assumptions!$B$10</f>
        <v>5.46116507079715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147</v>
      </c>
    </row>
    <row r="3" customFormat="false" ht="15" hidden="false" customHeight="false" outlineLevel="0" collapsed="false">
      <c r="A3" s="2" t="s">
        <v>148</v>
      </c>
      <c r="B3" s="2" t="s">
        <v>149</v>
      </c>
      <c r="C3" s="2" t="s">
        <v>139</v>
      </c>
      <c r="D3" s="2" t="s">
        <v>150</v>
      </c>
      <c r="E3" s="2" t="s">
        <v>142</v>
      </c>
      <c r="F3" s="2" t="s">
        <v>151</v>
      </c>
    </row>
    <row r="4" customFormat="false" ht="15" hidden="false" customHeight="false" outlineLevel="0" collapsed="false">
      <c r="A4" s="0" t="s">
        <v>152</v>
      </c>
      <c r="B4" s="4" t="n">
        <f aca="false">DCF_Bear!$B$38</f>
        <v>3.03891810678862</v>
      </c>
      <c r="C4" s="0" t="n">
        <f aca="false">B4/Assumptions!$B$2-1</f>
        <v>-0.549789910105389</v>
      </c>
      <c r="D4" s="4" t="n">
        <f aca="false">Assumptions!$B$24</f>
        <v>0.3</v>
      </c>
      <c r="E4" s="4" t="n">
        <f aca="false">DCF_Bear!$B$43</f>
        <v>3.06471599891281</v>
      </c>
      <c r="F4" s="4" t="n">
        <f aca="false">DCF_Bear!$B$47</f>
        <v>2.3862333185832</v>
      </c>
    </row>
    <row r="5" customFormat="false" ht="15" hidden="false" customHeight="false" outlineLevel="0" collapsed="false">
      <c r="A5" s="0" t="s">
        <v>153</v>
      </c>
      <c r="B5" s="4" t="n">
        <f aca="false">DCF_Base!$B$38</f>
        <v>5.37646003599541</v>
      </c>
      <c r="C5" s="0" t="n">
        <f aca="false">B5/Assumptions!$B$2-1</f>
        <v>-0.203487402074754</v>
      </c>
      <c r="D5" s="4" t="n">
        <f aca="false">Assumptions!$B$38</f>
        <v>0.5</v>
      </c>
      <c r="E5" s="4" t="n">
        <f aca="false">DCF_Base!$B$43</f>
        <v>5.41247703759837</v>
      </c>
      <c r="F5" s="4" t="n">
        <f aca="false">DCF_Base!$B$47</f>
        <v>4.05025166478859</v>
      </c>
    </row>
    <row r="6" customFormat="false" ht="15" hidden="false" customHeight="false" outlineLevel="0" collapsed="false">
      <c r="A6" s="0" t="s">
        <v>154</v>
      </c>
      <c r="B6" s="4" t="n">
        <f aca="false">DCF_Bull!$B$38</f>
        <v>7.43965527942065</v>
      </c>
      <c r="C6" s="0" t="n">
        <f aca="false">B6/Assumptions!$B$2-1</f>
        <v>0.102171152506762</v>
      </c>
      <c r="D6" s="4" t="n">
        <f aca="false">Assumptions!$B$52</f>
        <v>0.2</v>
      </c>
      <c r="E6" s="4" t="n">
        <f aca="false">DCF_Bull!$B$43</f>
        <v>7.48524712149415</v>
      </c>
      <c r="F6" s="4" t="n">
        <f aca="false">DCF_Bull!$B$47</f>
        <v>5.46116507079715</v>
      </c>
    </row>
    <row r="8" customFormat="false" ht="15" hidden="false" customHeight="false" outlineLevel="0" collapsed="false">
      <c r="A8" s="0" t="s">
        <v>155</v>
      </c>
      <c r="B8" s="0" t="n">
        <f aca="false">SUMPRODUCT(B4:B6,D4:D6)</f>
        <v>5.08783650591842</v>
      </c>
    </row>
    <row r="9" customFormat="false" ht="15" hidden="false" customHeight="false" outlineLevel="0" collapsed="false">
      <c r="A9" s="0" t="s">
        <v>156</v>
      </c>
      <c r="B9" s="0" t="n">
        <f aca="false">SUMPRODUCT(E4:E6,D4:D6)</f>
        <v>5.12270274277186</v>
      </c>
    </row>
    <row r="10" customFormat="false" ht="15" hidden="false" customHeight="false" outlineLevel="0" collapsed="false">
      <c r="A10" s="0" t="s">
        <v>157</v>
      </c>
      <c r="B10" s="0" t="n">
        <f aca="false">1-Assumptions!$B$2/B8</f>
        <v>-0.326693574400056</v>
      </c>
    </row>
    <row r="11" customFormat="false" ht="15" hidden="false" customHeight="false" outlineLevel="0" collapsed="false">
      <c r="A11" s="0" t="s">
        <v>158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159</v>
      </c>
      <c r="B12" s="0" t="n">
        <f aca="false">SUMPRODUCT(F4:F6,D4:D6)</f>
        <v>3.83322884212868</v>
      </c>
    </row>
    <row r="14" customFormat="false" ht="15" hidden="false" customHeight="false" outlineLevel="0" collapsed="false">
      <c r="A14" s="2" t="s">
        <v>160</v>
      </c>
      <c r="C14" s="0" t="s">
        <v>161</v>
      </c>
    </row>
    <row r="15" customFormat="false" ht="15" hidden="false" customHeight="false" outlineLevel="0" collapsed="false">
      <c r="A15" s="0" t="s">
        <v>162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6.88315583354782</v>
      </c>
      <c r="C15" s="3" t="n">
        <v>9</v>
      </c>
    </row>
    <row r="16" customFormat="false" ht="15" hidden="false" customHeight="false" outlineLevel="0" collapsed="false">
      <c r="A16" s="0" t="s">
        <v>163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6.42949891357698</v>
      </c>
      <c r="C16" s="3" t="n">
        <v>10</v>
      </c>
    </row>
    <row r="17" customFormat="false" ht="15" hidden="false" customHeight="false" outlineLevel="0" collapsed="false">
      <c r="A17" s="0" t="s">
        <v>164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6.01452329624485</v>
      </c>
      <c r="C17" s="3" t="n">
        <v>11</v>
      </c>
    </row>
    <row r="18" customFormat="false" ht="15" hidden="false" customHeight="false" outlineLevel="0" collapsed="false">
      <c r="A18" s="0" t="s">
        <v>165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5.37646003599541</v>
      </c>
      <c r="C18" s="3" t="n">
        <v>12</v>
      </c>
    </row>
    <row r="19" customFormat="false" ht="15" hidden="false" customHeight="false" outlineLevel="0" collapsed="false">
      <c r="A19" s="0" t="s">
        <v>166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4.05025166478859</v>
      </c>
      <c r="C19" s="3" t="n">
        <v>15</v>
      </c>
    </row>
    <row r="21" customFormat="false" ht="15" hidden="false" customHeight="false" outlineLevel="0" collapsed="false">
      <c r="A21" s="2" t="s">
        <v>167</v>
      </c>
    </row>
    <row r="22" customFormat="false" ht="15" hidden="false" customHeight="false" outlineLevel="0" collapsed="false">
      <c r="B22" s="3" t="n">
        <v>1.5</v>
      </c>
      <c r="C22" s="3" t="n">
        <v>2</v>
      </c>
      <c r="D22" s="3" t="n">
        <v>2.5</v>
      </c>
      <c r="E22" s="3" t="n">
        <v>3</v>
      </c>
      <c r="F22" s="3" t="n">
        <v>3.5</v>
      </c>
    </row>
    <row r="23" customFormat="false" ht="15" hidden="false" customHeight="false" outlineLevel="0" collapsed="false">
      <c r="A23" s="3" t="n">
        <v>10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6.41448575332827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6.42949891357698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6.42949891357698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6.42949891357698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6.42949891357698</v>
      </c>
    </row>
    <row r="24" customFormat="false" ht="15" hidden="false" customHeight="false" outlineLevel="0" collapsed="false">
      <c r="A24" s="3" t="n">
        <v>11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5.70775921077836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5.85909615960849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6.01452329624485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6.01452329624485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6.01452329624485</v>
      </c>
    </row>
    <row r="25" customFormat="false" ht="15" hidden="false" customHeight="false" outlineLevel="0" collapsed="false">
      <c r="A25" s="3" t="n">
        <v>12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5.13714345767212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5.25081883237568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5.37646003599541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5.51606137335066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5.6344732220002</v>
      </c>
    </row>
    <row r="26" customFormat="false" ht="15" hidden="false" customHeight="false" outlineLevel="0" collapsed="false">
      <c r="A26" s="3" t="n">
        <v>13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4.66703927810814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4.75413992503295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4.84953587166488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4.95447141296001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5.07045280070725</v>
      </c>
    </row>
    <row r="27" customFormat="false" ht="15" hidden="false" customHeight="false" outlineLevel="0" collapsed="false">
      <c r="A27" s="3" t="n">
        <v>14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4.27324598401704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4.34110115926024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4.41485678452458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4.49531746663114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4.58344107084309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2026-10-23T11:39:10Z</dcterms:created>
  <dc:creator>openpyxl</dc:creator>
  <dc:description/>
  <dc:language>en-NZ</dc:language>
  <cp:lastModifiedBy/>
  <dcterms:modified xsi:type="dcterms:W3CDTF">2026-10-23T11:39:10Z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