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ensitivity" sheetId="2" r:id="rId2"/>
    <sheet name="Scenarios" sheetId="3" r:id="rId3"/>
    <sheet name="FCF Quality" sheetId="4" r:id="rId4"/>
    <sheet name="Model_Info" sheetId="5" r:id="rId5"/>
  </sheets>
  <calcPr calcId="124519" fullCalcOnLoad="1"/>
</workbook>
</file>

<file path=xl/sharedStrings.xml><?xml version="1.0" encoding="utf-8"?>
<sst xmlns="http://schemas.openxmlformats.org/spreadsheetml/2006/main" count="159" uniqueCount="146">
  <si>
    <t>AIA.NZ DCF Valuation Model (Base Case, 10-Year Component Build)</t>
  </si>
  <si>
    <t>Gray cells are INPUTS - adjust to see valuation change. Owner FCF is built from EBITDAFI margin -&gt; D&amp;A -&gt; tax -&gt; capex -&gt; working capital each year (NOT a flat margin).</t>
  </si>
  <si>
    <t>KEY INPUTS</t>
  </si>
  <si>
    <t>Current Stock Price (NZ$)</t>
  </si>
  <si>
    <t>Shares Outstanding, current (M)</t>
  </si>
  <si>
    <t>Cash &amp; Equivalents (H1-2026, NZ$M)</t>
  </si>
  <si>
    <t>Total Debt (H1-2026, NZ$M)</t>
  </si>
  <si>
    <t>Net Debt (NZ$M)</t>
  </si>
  <si>
    <t>Annual Share Growth (uncovered dilution, SBC net of buybacks)</t>
  </si>
  <si>
    <t>WACC (base)</t>
  </si>
  <si>
    <t>Terminal Growth Rate (base)</t>
  </si>
  <si>
    <t>Terminal Cap Multiple (x FCF, ceiling on Gordon TV)</t>
  </si>
  <si>
    <t>FY2025 Revenue actual (NZ$M) — growth anchor</t>
  </si>
  <si>
    <t>BASE CASE ASSUMPTIONS BY YEAR</t>
  </si>
  <si>
    <t>FY2026</t>
  </si>
  <si>
    <t>FY2027</t>
  </si>
  <si>
    <t>FY2028</t>
  </si>
  <si>
    <t>FY2029</t>
  </si>
  <si>
    <t>FY2030</t>
  </si>
  <si>
    <t>FY2031</t>
  </si>
  <si>
    <t>FY2032</t>
  </si>
  <si>
    <t>FY2033</t>
  </si>
  <si>
    <t>FY2034</t>
  </si>
  <si>
    <t>FY2035</t>
  </si>
  <si>
    <t>Revenue growth %</t>
  </si>
  <si>
    <t>EBITDAFI margin %</t>
  </si>
  <si>
    <t>SBC % of revenue</t>
  </si>
  <si>
    <t>D&amp;A % of revenue</t>
  </si>
  <si>
    <t>Capex (NZ$M, absolute — mgmt guided)</t>
  </si>
  <si>
    <t>Cash tax rate %</t>
  </si>
  <si>
    <t>Working capital capture % of revenue growth (constant)</t>
  </si>
  <si>
    <t>PROJECTIONS (BASE CASE)</t>
  </si>
  <si>
    <t>Revenue (NZ$M)</t>
  </si>
  <si>
    <t>Adj. EBITDAFI (NZ$M)</t>
  </si>
  <si>
    <t>Less: SBC (NZ$M)</t>
  </si>
  <si>
    <t>Less: D&amp;A (NZ$M)</t>
  </si>
  <si>
    <t>EBIT (NZ$M)</t>
  </si>
  <si>
    <t>NOPAT = EBIT x (1-tax) (NZ$M)</t>
  </si>
  <si>
    <t>Add back: D&amp;A (NZ$M)</t>
  </si>
  <si>
    <t>Less: Capex (NZ$M, mgmt guided)</t>
  </si>
  <si>
    <t>Working capital (capture x delta revenue) (NZ$M)</t>
  </si>
  <si>
    <t>Owner FCF (NZ$M)</t>
  </si>
  <si>
    <t>Owner FCF margin % (memo)</t>
  </si>
  <si>
    <t>Discount Factor @ WACC</t>
  </si>
  <si>
    <t>PV of Owner FCF (NZ$M)</t>
  </si>
  <si>
    <t>Projected Shares Outstanding (M)</t>
  </si>
  <si>
    <t>VALUATION</t>
  </si>
  <si>
    <t>Sum of PV of FCF (NZ$M)</t>
  </si>
  <si>
    <t>Terminal Owner FCF (FY2035 x (1+g))</t>
  </si>
  <si>
    <t>Terminal Value - Gordon Growth (NZ$M)</t>
  </si>
  <si>
    <t>Terminal Value - Cap (20x terminal-year FCF) (NZ$M)</t>
  </si>
  <si>
    <t>Terminal Value used (MIN of Gordon, Cap) (NZ$M)</t>
  </si>
  <si>
    <t>PV of Terminal Value (NZ$M)</t>
  </si>
  <si>
    <t>Enterprise Value (NZ$M)</t>
  </si>
  <si>
    <t>Less: Net Debt (NZ$M)</t>
  </si>
  <si>
    <t>Equity Value (NZ$M)</t>
  </si>
  <si>
    <t>INTRINSIC VALUE / SHARE (NZ$)</t>
  </si>
  <si>
    <t>ENTRY PRICE (15% IRR Target)</t>
  </si>
  <si>
    <t>PV of Yrs 1-N FCF @ 15% (NZ$M)</t>
  </si>
  <si>
    <t>PV of Terminal Value @ 15% (NZ$M)</t>
  </si>
  <si>
    <t>ENTRY PRICE (15% IRR) (NZ$)</t>
  </si>
  <si>
    <t>Upside to Intrinsic Value</t>
  </si>
  <si>
    <t>Discount of Current Price to Entry Price</t>
  </si>
  <si>
    <t>NOTE: Base-case IV is expected to sit far below the market price. See the</t>
  </si>
  <si>
    <t>Model_Info and Cross-Check sheets for why (duration/scarcity premium the</t>
  </si>
  <si>
    <t>market pays for monopoly airport infrastructure, not a model error).</t>
  </si>
  <si>
    <t>Sensitivity Analysis - Base Case Intrinsic Value</t>
  </si>
  <si>
    <t>Rows = WACC, Columns = Terminal Growth. Uses the DCF Model sheet base-case FCF path.</t>
  </si>
  <si>
    <t>WACC \ Term G</t>
  </si>
  <si>
    <t>Note: cells shown here recompute the terminal-year FCF at the base-case growth path</t>
  </si>
  <si>
    <t>(revenue/margin/capex assumptions unchanged); only WACC and terminal growth vary.</t>
  </si>
  <si>
    <t>Scenario Summary</t>
  </si>
  <si>
    <t>Metric</t>
  </si>
  <si>
    <t>Bull</t>
  </si>
  <si>
    <t>Base</t>
  </si>
  <si>
    <t>Bear</t>
  </si>
  <si>
    <t>WACC</t>
  </si>
  <si>
    <t>Terminal Growth</t>
  </si>
  <si>
    <t>Sum PV of FCF (NZ$M)</t>
  </si>
  <si>
    <t>PV Terminal Value (NZ$M)</t>
  </si>
  <si>
    <t>Intrinsic Value/Share (NZ$)</t>
  </si>
  <si>
    <t>Upside/Downside vs NZ$8.76</t>
  </si>
  <si>
    <t>Terminal % of Value</t>
  </si>
  <si>
    <t>Implied Exit Multiple (x FCF)</t>
  </si>
  <si>
    <t>Probability-Weighted IV (NZ$)</t>
  </si>
  <si>
    <t>Weights (Bull/Base/Bear)</t>
  </si>
  <si>
    <t>25% / 50% / 25%</t>
  </si>
  <si>
    <t>Entry Price (15% IRR hurdle, base case) (NZ$)</t>
  </si>
  <si>
    <t>Bear case negative equity value note:</t>
  </si>
  <si>
    <t>A negative equity intrinsic value in the bear case is a genuine model output, not an error: it reflects that the ~NZ$1.0-1.6bn/yr capex program is largely already committed/contractual (NZ$1.31bn of PP&amp;E purchase obligations at Dec-2025) and debt-funded, so a scenario combining sustained capacity cuts, weaker margins, and a higher WACC leaves owner FCF unable to service the resulting debt build without either delaying capex, cutting the dividend, or raising further equity. Read as a warning signal (leverage/refinancing risk in a severe downside, reinforced by the June-2026 traffic print already showing capacity-driven passenger declines), not a literal negative per-share value.</t>
  </si>
  <si>
    <t>FCF Quality: Reported vs Owner FCF Reconciliation</t>
  </si>
  <si>
    <t>Historical reported FCF is deeply negative during the capex supercycle; SBC is immaterial for AIA.NZ.</t>
  </si>
  <si>
    <t>FY2019</t>
  </si>
  <si>
    <t>FY2020</t>
  </si>
  <si>
    <t>FY2021</t>
  </si>
  <si>
    <t>FY2022</t>
  </si>
  <si>
    <t>FY2023</t>
  </si>
  <si>
    <t>FY2024</t>
  </si>
  <si>
    <t>FY2025</t>
  </si>
  <si>
    <t>H1-2026</t>
  </si>
  <si>
    <t>Reported FCF (company definition, NZ$M)</t>
  </si>
  <si>
    <t>Reported Capex (NZ$M, memo)</t>
  </si>
  <si>
    <t>Less: SBC (immaterial, NZ$M)</t>
  </si>
  <si>
    <t>Less: Interest Income (NZ$0 - net debt, not net cash)</t>
  </si>
  <si>
    <t>Owner FCF (approx = Reported FCF, SBC immaterial) (NZ$M)</t>
  </si>
  <si>
    <t>Revenue (NZ$M, memo)</t>
  </si>
  <si>
    <t>Reported FCF Margin %</t>
  </si>
  <si>
    <t>Memo: why owner FCF ~= reported FCF for AIA.NZ</t>
  </si>
  <si>
    <t>Unlike SBC-heavy tech names, AIA.NZ's SBC is immaterial (NZ$0.1-0.6m/yr executive LTI plan, 8 people) so the SBC/interest-income adjustments that matter elsewhere in this framework barely move the needle here. The dominant driver of AIA.NZ's negative FCF is capex (debt-funded terminal/airfield programme), not SBC or working capital timing. The 10-year projected model builds owner FCF from EBITDAFI margin, D&amp;A, tax, capex-guidance and a working-capital-on-revenue-growth capture, NOT by extrapolating the historical reported FCF margin forward (which would wrongly assume the capex supercycle never ends).</t>
  </si>
  <si>
    <t>Model Provenance &amp; Methodology Notes</t>
  </si>
  <si>
    <t>Ticker</t>
  </si>
  <si>
    <t>AIA.NZ</t>
  </si>
  <si>
    <t>Company</t>
  </si>
  <si>
    <t>Auckland International Airport Limited</t>
  </si>
  <si>
    <t>Valuation Date</t>
  </si>
  <si>
    <t>2026-08-09</t>
  </si>
  <si>
    <t>Share Price Used</t>
  </si>
  <si>
    <t>NZ$8.76 (Yahoo Finance live quote, verified 2026-08-09)</t>
  </si>
  <si>
    <t>Data Vintage</t>
  </si>
  <si>
    <t>FY2025 (year ended 30-Jun-2025) full-year actuals + H1-2026 (half year ended 31-Dec-2025) interim actuals. FY2026 annual results (year ended 30-Jun-2026) are due 20-Aug-2026 and are NOT reflected here.</t>
  </si>
  <si>
    <t>Net Debt Basis</t>
  </si>
  <si>
    <t>H1-2026: Total Debt NZ$2,652.1m - Cash NZ$360.6m = NZ$2,291.5m</t>
  </si>
  <si>
    <t>Shares Outstanding Basis</t>
  </si>
  <si>
    <t>H1-2026: 1,705.7m shares (post Sep-2024 NZ$1.4bn equity raise, 1472m -&gt; 1688m -&gt; 1705.7m at H1-26)</t>
  </si>
  <si>
    <t>Methodology</t>
  </si>
  <si>
    <t>10-year explicit component-build owner FCF DCF (revenue -&gt; EBITDAFI margin -&gt; less SBC -&gt; less D&amp;A -&gt; EBIT -&gt; tax-effected NOPAT -&gt; add back D&amp;A -&gt; less capex -&gt; plus/minus working capital-on-revenue-growth). A 10-year horizon (not 5) is used because AIA.NZ is mid-capex-supercycle: margins/FCF do not mature until the capex programme tapers post-FY29.</t>
  </si>
  <si>
    <t>Why NOT trailing-FCF DCF</t>
  </si>
  <si>
    <t>Reported FCF has been negative every year FY2023-25 (-NZ$247m to -NZ$581m) purely from a debt-funded terminal/airfield capex supercycle (NZ$1.0-1.6bn/yr guided to ~2029). A DCF grown off trailing FCF would either explode a negative base or require an arbitrary positive override; the component build instead lets capex taper explicitly to a ~NZ$320m/yr maintenance level post-FY32.</t>
  </si>
  <si>
    <t>Excluded Outlier Years</t>
  </si>
  <si>
    <t>FY2018 &amp; FY2021 (investment-property revaluation gains inflate NPAT/EBITDA); FY2020-23 (COVID border closures/recovery); FY2024 (NZ$5.5m NPAT one-off deferred-tax charge, NZ removed building depreciation deductions).</t>
  </si>
  <si>
    <t>WACC / Terminal Growth (Base)</t>
  </si>
  <si>
    <t>7.5% / 2.25% -- large-cap regulated infrastructure; NOT stacked with small-cap/illiquidity premiums (this is a ~NZ$15bn NZX large cap). Cross-referenced against AIA's own PSE4 regulatory target return of 7.82% (actual aero return 5.53%).</t>
  </si>
  <si>
    <t>Terminal Value Cap</t>
  </si>
  <si>
    <t>20x terminal-year FCF (15x in bear case) -- binds instead of Gordon growth at low WACC/high-g combinations; see Sensitivity sheet.</t>
  </si>
  <si>
    <t>Entry Price Formula</t>
  </si>
  <si>
    <t>15%-IRR entry price = (NPV of Yrs1-10 owner FCF @15% + PV of terminal value @15% - net debt) / year-10 projected shares. NOT a terminal-value-only shortcut.</t>
  </si>
  <si>
    <t>Key Qualitative Inputs (Aug-2026 refresh)</t>
  </si>
  <si>
    <t>30-Jun-2026 finalised Master Plan (38m pax/yr by late 2040s, existing-infrastructure-first capital discipline, second runway safeguarded with no build timeline); Jun-2026 traffic (-4% intl / -5% domestic pax YoY on capacity cuts, FY26 YTD pax still +2%); live Jan/Mar-2026 ComCom Information Disclosure + cost-of-capital consultation (cross-submissions due 10-Aug-2026); 5-May-2026 ComCom cost-of-capital determination for disclosure year 2027; FY26 guidance (underlying NPAT NZ$295-320m, capex NZ$1.0-1.2bn) unchanged since 19-Feb-2026 interim, issued before the Middle East fuel-price shock.</t>
  </si>
  <si>
    <t>Known DCF-vs-Market Gap</t>
  </si>
  <si>
    <t>Base IV ~NZ$1.90 vs market price NZ$8.76 (~6.2x implied EV/EBITDAFI vs ~17.8x historical average / ~24.6x current). This is a documented, intentional finding -- see cross_check_memo and valuation_philosophy in the JSON -- not a bug. The market pays a duration/scarcity premium for monopoly airport infrastructure that a Gordon DCF discounting a multi-year negative-FCF capex trough cannot reproduce.</t>
  </si>
  <si>
    <t>What To Refresh After 20-Aug-2026</t>
  </si>
  <si>
    <t>FY2026 full-year actuals (revenue, EBITDAFI, NPAT, capex, net debt, shares); any updated FY2027 guidance; confirm whether Master Plan capital discipline is showing up in FY27 capex guidance; check for ComCom Information Disclosure consultation outcome.</t>
  </si>
  <si>
    <t>Cell Colour Convention</t>
  </si>
  <si>
    <t>Gray-filled cells (light blue-gray, #dfe6e9) = editable INPUTS. White cells with borders = FORMULAS (do not hardcode over these). Green-filled bold cells = headline RESULTS (Intrinsic Value, Entry Price).</t>
  </si>
  <si>
    <t>Staleness Warning</t>
  </si>
  <si>
    <t>All figures in this workbook reflect data as of the Valuation Date above. Share price, net debt, shares outstanding and guidance figures WILL go stale after the next earnings release or market move -- re-verify before relying on this model.</t>
  </si>
</sst>
</file>

<file path=xl/styles.xml><?xml version="1.0" encoding="utf-8"?>
<styleSheet xmlns="http://schemas.openxmlformats.org/spreadsheetml/2006/main">
  <numFmts count="4">
    <numFmt numFmtId="164" formatCode="#,##0.0"/>
    <numFmt numFmtId="165" formatCode="0.00%"/>
    <numFmt numFmtId="166" formatCode="0.0%"/>
    <numFmt numFmtId="167" formatCode="&quot;$&quot;#,##0.00"/>
  </numFmts>
  <fonts count="6">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164" fontId="0" fillId="0" borderId="2" xfId="0" applyNumberFormat="1" applyBorder="1"/>
    <xf numFmtId="165" fontId="0" fillId="2" borderId="2" xfId="0" applyNumberFormat="1" applyFill="1" applyBorder="1"/>
    <xf numFmtId="0" fontId="4" fillId="3" borderId="2" xfId="0" applyFont="1" applyFill="1" applyBorder="1"/>
    <xf numFmtId="166" fontId="0" fillId="0" borderId="2" xfId="0" applyNumberFormat="1" applyBorder="1"/>
    <xf numFmtId="0" fontId="5" fillId="0" borderId="0" xfId="0" applyFont="1"/>
    <xf numFmtId="167" fontId="4" fillId="4" borderId="2" xfId="0" applyNumberFormat="1" applyFont="1" applyFill="1" applyBorder="1"/>
    <xf numFmtId="165" fontId="4" fillId="3" borderId="0" xfId="0" applyNumberFormat="1" applyFont="1" applyFill="1"/>
    <xf numFmtId="167" fontId="0" fillId="0" borderId="2" xfId="0" applyNumberForma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7"/>
  <sheetViews>
    <sheetView tabSelected="1" workbookViewId="0"/>
  </sheetViews>
  <sheetFormatPr defaultRowHeight="15"/>
  <cols>
    <col min="1" max="1" width="30.7109375" customWidth="1"/>
    <col min="2" max="12" width="12.7109375" customWidth="1"/>
  </cols>
  <sheetData>
    <row r="1" spans="1:2">
      <c r="A1" s="1" t="s">
        <v>0</v>
      </c>
    </row>
    <row r="2" spans="1:2">
      <c r="A2" s="2" t="s">
        <v>1</v>
      </c>
    </row>
    <row r="4" spans="1:2">
      <c r="A4" s="3" t="s">
        <v>2</v>
      </c>
    </row>
    <row r="5" spans="1:2">
      <c r="A5" t="s">
        <v>3</v>
      </c>
      <c r="B5" s="4">
        <v>8.76</v>
      </c>
    </row>
    <row r="6" spans="1:2">
      <c r="A6" t="s">
        <v>4</v>
      </c>
      <c r="B6" s="4">
        <v>1705.7</v>
      </c>
    </row>
    <row r="7" spans="1:2">
      <c r="A7" t="s">
        <v>5</v>
      </c>
      <c r="B7" s="4">
        <v>360.6</v>
      </c>
    </row>
    <row r="8" spans="1:2">
      <c r="A8" t="s">
        <v>6</v>
      </c>
      <c r="B8" s="4">
        <v>2652.1</v>
      </c>
    </row>
    <row r="9" spans="1:2">
      <c r="A9" t="s">
        <v>7</v>
      </c>
      <c r="B9" s="5">
        <f>B8-B7</f>
        <v>0</v>
      </c>
    </row>
    <row r="10" spans="1:2">
      <c r="A10" t="s">
        <v>8</v>
      </c>
      <c r="B10" s="6">
        <v>2.7E-05</v>
      </c>
    </row>
    <row r="12" spans="1:2">
      <c r="A12" t="s">
        <v>9</v>
      </c>
      <c r="B12" s="6">
        <v>0.075</v>
      </c>
    </row>
    <row r="13" spans="1:2">
      <c r="A13" t="s">
        <v>10</v>
      </c>
      <c r="B13" s="6">
        <v>0.0225</v>
      </c>
    </row>
    <row r="14" spans="1:2">
      <c r="A14" t="s">
        <v>11</v>
      </c>
      <c r="B14" s="4">
        <v>20</v>
      </c>
    </row>
    <row r="15" spans="1:2">
      <c r="A15" t="s">
        <v>12</v>
      </c>
      <c r="B15" s="4">
        <v>1004.7</v>
      </c>
    </row>
    <row r="17" spans="1:11">
      <c r="A17" s="3" t="s">
        <v>13</v>
      </c>
    </row>
    <row r="18" spans="1:11">
      <c r="A18" s="7"/>
      <c r="B18" s="7" t="s">
        <v>14</v>
      </c>
      <c r="C18" s="7" t="s">
        <v>15</v>
      </c>
      <c r="D18" s="7" t="s">
        <v>16</v>
      </c>
      <c r="E18" s="7" t="s">
        <v>17</v>
      </c>
      <c r="F18" s="7" t="s">
        <v>18</v>
      </c>
      <c r="G18" s="7" t="s">
        <v>19</v>
      </c>
      <c r="H18" s="7" t="s">
        <v>20</v>
      </c>
      <c r="I18" s="7" t="s">
        <v>21</v>
      </c>
      <c r="J18" s="7" t="s">
        <v>22</v>
      </c>
      <c r="K18" s="7" t="s">
        <v>23</v>
      </c>
    </row>
    <row r="19" spans="1:11">
      <c r="A19" t="s">
        <v>24</v>
      </c>
      <c r="B19" s="6">
        <v>0.05</v>
      </c>
      <c r="C19" s="6">
        <v>0.06</v>
      </c>
      <c r="D19" s="6">
        <v>0.07000000000000001</v>
      </c>
      <c r="E19" s="6">
        <v>0.075</v>
      </c>
      <c r="F19" s="6">
        <v>0.065</v>
      </c>
      <c r="G19" s="6">
        <v>0.055</v>
      </c>
      <c r="H19" s="6">
        <v>0.05</v>
      </c>
      <c r="I19" s="6">
        <v>0.045</v>
      </c>
      <c r="J19" s="6">
        <v>0.04</v>
      </c>
      <c r="K19" s="6">
        <v>0.04</v>
      </c>
    </row>
    <row r="20" spans="1:11">
      <c r="A20" t="s">
        <v>25</v>
      </c>
      <c r="B20" s="6">
        <v>0.705</v>
      </c>
      <c r="C20" s="6">
        <v>0.71</v>
      </c>
      <c r="D20" s="6">
        <v>0.715</v>
      </c>
      <c r="E20" s="6">
        <v>0.72</v>
      </c>
      <c r="F20" s="6">
        <v>0.723</v>
      </c>
      <c r="G20" s="6">
        <v>0.725</v>
      </c>
      <c r="H20" s="6">
        <v>0.727</v>
      </c>
      <c r="I20" s="6">
        <v>0.728</v>
      </c>
      <c r="J20" s="6">
        <v>0.7290000000000001</v>
      </c>
      <c r="K20" s="6">
        <v>0.73</v>
      </c>
    </row>
    <row r="21" spans="1:11">
      <c r="A21" t="s">
        <v>26</v>
      </c>
      <c r="B21" s="6">
        <v>0.0004</v>
      </c>
      <c r="C21" s="6">
        <v>0.0004</v>
      </c>
      <c r="D21" s="6">
        <v>0.0004</v>
      </c>
      <c r="E21" s="6">
        <v>0.0004</v>
      </c>
      <c r="F21" s="6">
        <v>0.0004</v>
      </c>
      <c r="G21" s="6">
        <v>0.0004</v>
      </c>
      <c r="H21" s="6">
        <v>0.0004</v>
      </c>
      <c r="I21" s="6">
        <v>0.0004</v>
      </c>
      <c r="J21" s="6">
        <v>0.0004</v>
      </c>
      <c r="K21" s="6">
        <v>0.0004</v>
      </c>
    </row>
    <row r="22" spans="1:11">
      <c r="A22" t="s">
        <v>27</v>
      </c>
      <c r="B22" s="6">
        <v>0.21</v>
      </c>
      <c r="C22" s="6">
        <v>0.22</v>
      </c>
      <c r="D22" s="6">
        <v>0.225</v>
      </c>
      <c r="E22" s="6">
        <v>0.225</v>
      </c>
      <c r="F22" s="6">
        <v>0.22</v>
      </c>
      <c r="G22" s="6">
        <v>0.21</v>
      </c>
      <c r="H22" s="6">
        <v>0.195</v>
      </c>
      <c r="I22" s="6">
        <v>0.18</v>
      </c>
      <c r="J22" s="6">
        <v>0.165</v>
      </c>
      <c r="K22" s="6">
        <v>0.155</v>
      </c>
    </row>
    <row r="23" spans="1:11">
      <c r="A23" t="s">
        <v>28</v>
      </c>
      <c r="B23" s="4">
        <v>1100</v>
      </c>
      <c r="C23" s="4">
        <v>1300</v>
      </c>
      <c r="D23" s="4">
        <v>1400</v>
      </c>
      <c r="E23" s="4">
        <v>1300</v>
      </c>
      <c r="F23" s="4">
        <v>1000</v>
      </c>
      <c r="G23" s="4">
        <v>700</v>
      </c>
      <c r="H23" s="4">
        <v>450</v>
      </c>
      <c r="I23" s="4">
        <v>350</v>
      </c>
      <c r="J23" s="4">
        <v>320</v>
      </c>
      <c r="K23" s="4">
        <v>320</v>
      </c>
    </row>
    <row r="24" spans="1:11">
      <c r="A24" t="s">
        <v>29</v>
      </c>
      <c r="B24" s="6">
        <v>0.27</v>
      </c>
      <c r="C24" s="6">
        <v>0.27</v>
      </c>
      <c r="D24" s="6">
        <v>0.27</v>
      </c>
      <c r="E24" s="6">
        <v>0.27</v>
      </c>
      <c r="F24" s="6">
        <v>0.27</v>
      </c>
      <c r="G24" s="6">
        <v>0.27</v>
      </c>
      <c r="H24" s="6">
        <v>0.27</v>
      </c>
      <c r="I24" s="6">
        <v>0.27</v>
      </c>
      <c r="J24" s="6">
        <v>0.27</v>
      </c>
      <c r="K24" s="6">
        <v>0.27</v>
      </c>
    </row>
    <row r="25" spans="1:11">
      <c r="A25" t="s">
        <v>30</v>
      </c>
      <c r="B25" s="6">
        <v>0.05</v>
      </c>
    </row>
    <row r="27" spans="1:11">
      <c r="A27" s="3" t="s">
        <v>31</v>
      </c>
    </row>
    <row r="28" spans="1:11">
      <c r="A28" s="7"/>
      <c r="B28" s="7" t="s">
        <v>14</v>
      </c>
      <c r="C28" s="7" t="s">
        <v>15</v>
      </c>
      <c r="D28" s="7" t="s">
        <v>16</v>
      </c>
      <c r="E28" s="7" t="s">
        <v>17</v>
      </c>
      <c r="F28" s="7" t="s">
        <v>18</v>
      </c>
      <c r="G28" s="7" t="s">
        <v>19</v>
      </c>
      <c r="H28" s="7" t="s">
        <v>20</v>
      </c>
      <c r="I28" s="7" t="s">
        <v>21</v>
      </c>
      <c r="J28" s="7" t="s">
        <v>22</v>
      </c>
      <c r="K28" s="7" t="s">
        <v>23</v>
      </c>
    </row>
    <row r="29" spans="1:11">
      <c r="A29" t="s">
        <v>32</v>
      </c>
      <c r="B29" s="5">
        <f>$B$15*(1+B19)</f>
        <v>0</v>
      </c>
      <c r="C29" s="5">
        <f>B29*(1+C19)</f>
        <v>0</v>
      </c>
      <c r="D29" s="5">
        <f>C29*(1+D19)</f>
        <v>0</v>
      </c>
      <c r="E29" s="5">
        <f>D29*(1+E19)</f>
        <v>0</v>
      </c>
      <c r="F29" s="5">
        <f>E29*(1+F19)</f>
        <v>0</v>
      </c>
      <c r="G29" s="5">
        <f>F29*(1+G19)</f>
        <v>0</v>
      </c>
      <c r="H29" s="5">
        <f>G29*(1+H19)</f>
        <v>0</v>
      </c>
      <c r="I29" s="5">
        <f>H29*(1+I19)</f>
        <v>0</v>
      </c>
      <c r="J29" s="5">
        <f>I29*(1+J19)</f>
        <v>0</v>
      </c>
      <c r="K29" s="5">
        <f>J29*(1+K19)</f>
        <v>0</v>
      </c>
    </row>
    <row r="30" spans="1:11">
      <c r="A30" t="s">
        <v>33</v>
      </c>
      <c r="B30" s="5">
        <f>B29*B20</f>
        <v>0</v>
      </c>
      <c r="C30" s="5">
        <f>C29*C20</f>
        <v>0</v>
      </c>
      <c r="D30" s="5">
        <f>D29*D20</f>
        <v>0</v>
      </c>
      <c r="E30" s="5">
        <f>E29*E20</f>
        <v>0</v>
      </c>
      <c r="F30" s="5">
        <f>F29*F20</f>
        <v>0</v>
      </c>
      <c r="G30" s="5">
        <f>G29*G20</f>
        <v>0</v>
      </c>
      <c r="H30" s="5">
        <f>H29*H20</f>
        <v>0</v>
      </c>
      <c r="I30" s="5">
        <f>I29*I20</f>
        <v>0</v>
      </c>
      <c r="J30" s="5">
        <f>J29*J20</f>
        <v>0</v>
      </c>
      <c r="K30" s="5">
        <f>K29*K20</f>
        <v>0</v>
      </c>
    </row>
    <row r="31" spans="1:11">
      <c r="A31" t="s">
        <v>34</v>
      </c>
      <c r="B31" s="5">
        <f>B29*B21</f>
        <v>0</v>
      </c>
      <c r="C31" s="5">
        <f>C29*C21</f>
        <v>0</v>
      </c>
      <c r="D31" s="5">
        <f>D29*D21</f>
        <v>0</v>
      </c>
      <c r="E31" s="5">
        <f>E29*E21</f>
        <v>0</v>
      </c>
      <c r="F31" s="5">
        <f>F29*F21</f>
        <v>0</v>
      </c>
      <c r="G31" s="5">
        <f>G29*G21</f>
        <v>0</v>
      </c>
      <c r="H31" s="5">
        <f>H29*H21</f>
        <v>0</v>
      </c>
      <c r="I31" s="5">
        <f>I29*I21</f>
        <v>0</v>
      </c>
      <c r="J31" s="5">
        <f>J29*J21</f>
        <v>0</v>
      </c>
      <c r="K31" s="5">
        <f>K29*K21</f>
        <v>0</v>
      </c>
    </row>
    <row r="32" spans="1:11">
      <c r="A32" t="s">
        <v>35</v>
      </c>
      <c r="B32" s="5">
        <f>B29*B22</f>
        <v>0</v>
      </c>
      <c r="C32" s="5">
        <f>C29*C22</f>
        <v>0</v>
      </c>
      <c r="D32" s="5">
        <f>D29*D22</f>
        <v>0</v>
      </c>
      <c r="E32" s="5">
        <f>E29*E22</f>
        <v>0</v>
      </c>
      <c r="F32" s="5">
        <f>F29*F22</f>
        <v>0</v>
      </c>
      <c r="G32" s="5">
        <f>G29*G22</f>
        <v>0</v>
      </c>
      <c r="H32" s="5">
        <f>H29*H22</f>
        <v>0</v>
      </c>
      <c r="I32" s="5">
        <f>I29*I22</f>
        <v>0</v>
      </c>
      <c r="J32" s="5">
        <f>J29*J22</f>
        <v>0</v>
      </c>
      <c r="K32" s="5">
        <f>K29*K22</f>
        <v>0</v>
      </c>
    </row>
    <row r="33" spans="1:11">
      <c r="A33" t="s">
        <v>36</v>
      </c>
      <c r="B33" s="5">
        <f>B30-B31-B32</f>
        <v>0</v>
      </c>
      <c r="C33" s="5">
        <f>C30-C31-C32</f>
        <v>0</v>
      </c>
      <c r="D33" s="5">
        <f>D30-D31-D32</f>
        <v>0</v>
      </c>
      <c r="E33" s="5">
        <f>E30-E31-E32</f>
        <v>0</v>
      </c>
      <c r="F33" s="5">
        <f>F30-F31-F32</f>
        <v>0</v>
      </c>
      <c r="G33" s="5">
        <f>G30-G31-G32</f>
        <v>0</v>
      </c>
      <c r="H33" s="5">
        <f>H30-H31-H32</f>
        <v>0</v>
      </c>
      <c r="I33" s="5">
        <f>I30-I31-I32</f>
        <v>0</v>
      </c>
      <c r="J33" s="5">
        <f>J30-J31-J32</f>
        <v>0</v>
      </c>
      <c r="K33" s="5">
        <f>K30-K31-K32</f>
        <v>0</v>
      </c>
    </row>
    <row r="34" spans="1:11">
      <c r="A34" t="s">
        <v>37</v>
      </c>
      <c r="B34" s="5">
        <f>B33*(1-B24)</f>
        <v>0</v>
      </c>
      <c r="C34" s="5">
        <f>C33*(1-C24)</f>
        <v>0</v>
      </c>
      <c r="D34" s="5">
        <f>D33*(1-D24)</f>
        <v>0</v>
      </c>
      <c r="E34" s="5">
        <f>E33*(1-E24)</f>
        <v>0</v>
      </c>
      <c r="F34" s="5">
        <f>F33*(1-F24)</f>
        <v>0</v>
      </c>
      <c r="G34" s="5">
        <f>G33*(1-G24)</f>
        <v>0</v>
      </c>
      <c r="H34" s="5">
        <f>H33*(1-H24)</f>
        <v>0</v>
      </c>
      <c r="I34" s="5">
        <f>I33*(1-I24)</f>
        <v>0</v>
      </c>
      <c r="J34" s="5">
        <f>J33*(1-J24)</f>
        <v>0</v>
      </c>
      <c r="K34" s="5">
        <f>K33*(1-K24)</f>
        <v>0</v>
      </c>
    </row>
    <row r="35" spans="1:11">
      <c r="A35" t="s">
        <v>38</v>
      </c>
      <c r="B35" s="5">
        <f>B32</f>
        <v>0</v>
      </c>
      <c r="C35" s="5">
        <f>C32</f>
        <v>0</v>
      </c>
      <c r="D35" s="5">
        <f>D32</f>
        <v>0</v>
      </c>
      <c r="E35" s="5">
        <f>E32</f>
        <v>0</v>
      </c>
      <c r="F35" s="5">
        <f>F32</f>
        <v>0</v>
      </c>
      <c r="G35" s="5">
        <f>G32</f>
        <v>0</v>
      </c>
      <c r="H35" s="5">
        <f>H32</f>
        <v>0</v>
      </c>
      <c r="I35" s="5">
        <f>I32</f>
        <v>0</v>
      </c>
      <c r="J35" s="5">
        <f>J32</f>
        <v>0</v>
      </c>
      <c r="K35" s="5">
        <f>K32</f>
        <v>0</v>
      </c>
    </row>
    <row r="36" spans="1:11">
      <c r="A36" t="s">
        <v>39</v>
      </c>
      <c r="B36" s="5">
        <f>B23</f>
        <v>0</v>
      </c>
      <c r="C36" s="5">
        <f>C23</f>
        <v>0</v>
      </c>
      <c r="D36" s="5">
        <f>D23</f>
        <v>0</v>
      </c>
      <c r="E36" s="5">
        <f>E23</f>
        <v>0</v>
      </c>
      <c r="F36" s="5">
        <f>F23</f>
        <v>0</v>
      </c>
      <c r="G36" s="5">
        <f>G23</f>
        <v>0</v>
      </c>
      <c r="H36" s="5">
        <f>H23</f>
        <v>0</v>
      </c>
      <c r="I36" s="5">
        <f>I23</f>
        <v>0</v>
      </c>
      <c r="J36" s="5">
        <f>J23</f>
        <v>0</v>
      </c>
      <c r="K36" s="5">
        <f>K23</f>
        <v>0</v>
      </c>
    </row>
    <row r="37" spans="1:11">
      <c r="A37" t="s">
        <v>40</v>
      </c>
      <c r="B37" s="5">
        <f>$B$25*(B29-$B$15)</f>
        <v>0</v>
      </c>
      <c r="C37" s="5">
        <f>$B$25*(C29-B29)</f>
        <v>0</v>
      </c>
      <c r="D37" s="5">
        <f>$B$25*(D29-C29)</f>
        <v>0</v>
      </c>
      <c r="E37" s="5">
        <f>$B$25*(E29-D29)</f>
        <v>0</v>
      </c>
      <c r="F37" s="5">
        <f>$B$25*(F29-E29)</f>
        <v>0</v>
      </c>
      <c r="G37" s="5">
        <f>$B$25*(G29-F29)</f>
        <v>0</v>
      </c>
      <c r="H37" s="5">
        <f>$B$25*(H29-G29)</f>
        <v>0</v>
      </c>
      <c r="I37" s="5">
        <f>$B$25*(I29-H29)</f>
        <v>0</v>
      </c>
      <c r="J37" s="5">
        <f>$B$25*(J29-I29)</f>
        <v>0</v>
      </c>
      <c r="K37" s="5">
        <f>$B$25*(K29-J29)</f>
        <v>0</v>
      </c>
    </row>
    <row r="38" spans="1:11">
      <c r="A38" t="s">
        <v>41</v>
      </c>
      <c r="B38" s="5">
        <f>B34+B35-B36+B37</f>
        <v>0</v>
      </c>
      <c r="C38" s="5">
        <f>C34+C35-C36+C37</f>
        <v>0</v>
      </c>
      <c r="D38" s="5">
        <f>D34+D35-D36+D37</f>
        <v>0</v>
      </c>
      <c r="E38" s="5">
        <f>E34+E35-E36+E37</f>
        <v>0</v>
      </c>
      <c r="F38" s="5">
        <f>F34+F35-F36+F37</f>
        <v>0</v>
      </c>
      <c r="G38" s="5">
        <f>G34+G35-G36+G37</f>
        <v>0</v>
      </c>
      <c r="H38" s="5">
        <f>H34+H35-H36+H37</f>
        <v>0</v>
      </c>
      <c r="I38" s="5">
        <f>I34+I35-I36+I37</f>
        <v>0</v>
      </c>
      <c r="J38" s="5">
        <f>J34+J35-J36+J37</f>
        <v>0</v>
      </c>
      <c r="K38" s="5">
        <f>K34+K35-K36+K37</f>
        <v>0</v>
      </c>
    </row>
    <row r="39" spans="1:11">
      <c r="A39" t="s">
        <v>42</v>
      </c>
      <c r="B39" s="8">
        <f>B38/B29</f>
        <v>0</v>
      </c>
      <c r="C39" s="8">
        <f>C38/C29</f>
        <v>0</v>
      </c>
      <c r="D39" s="8">
        <f>D38/D29</f>
        <v>0</v>
      </c>
      <c r="E39" s="8">
        <f>E38/E29</f>
        <v>0</v>
      </c>
      <c r="F39" s="8">
        <f>F38/F29</f>
        <v>0</v>
      </c>
      <c r="G39" s="8">
        <f>G38/G29</f>
        <v>0</v>
      </c>
      <c r="H39" s="8">
        <f>H38/H29</f>
        <v>0</v>
      </c>
      <c r="I39" s="8">
        <f>I38/I29</f>
        <v>0</v>
      </c>
      <c r="J39" s="8">
        <f>J38/J29</f>
        <v>0</v>
      </c>
      <c r="K39" s="8">
        <f>K38/K29</f>
        <v>0</v>
      </c>
    </row>
    <row r="40" spans="1:11">
      <c r="A40" t="s">
        <v>43</v>
      </c>
      <c r="B40" s="5">
        <f>1/(1+$B$12)^1</f>
        <v>0</v>
      </c>
      <c r="C40" s="5">
        <f>1/(1+$B$12)^2</f>
        <v>0</v>
      </c>
      <c r="D40" s="5">
        <f>1/(1+$B$12)^3</f>
        <v>0</v>
      </c>
      <c r="E40" s="5">
        <f>1/(1+$B$12)^4</f>
        <v>0</v>
      </c>
      <c r="F40" s="5">
        <f>1/(1+$B$12)^5</f>
        <v>0</v>
      </c>
      <c r="G40" s="5">
        <f>1/(1+$B$12)^6</f>
        <v>0</v>
      </c>
      <c r="H40" s="5">
        <f>1/(1+$B$12)^7</f>
        <v>0</v>
      </c>
      <c r="I40" s="5">
        <f>1/(1+$B$12)^8</f>
        <v>0</v>
      </c>
      <c r="J40" s="5">
        <f>1/(1+$B$12)^9</f>
        <v>0</v>
      </c>
      <c r="K40" s="5">
        <f>1/(1+$B$12)^10</f>
        <v>0</v>
      </c>
    </row>
    <row r="41" spans="1:11">
      <c r="A41" t="s">
        <v>44</v>
      </c>
      <c r="B41" s="5">
        <f>B38*B40</f>
        <v>0</v>
      </c>
      <c r="C41" s="5">
        <f>C38*C40</f>
        <v>0</v>
      </c>
      <c r="D41" s="5">
        <f>D38*D40</f>
        <v>0</v>
      </c>
      <c r="E41" s="5">
        <f>E38*E40</f>
        <v>0</v>
      </c>
      <c r="F41" s="5">
        <f>F38*F40</f>
        <v>0</v>
      </c>
      <c r="G41" s="5">
        <f>G38*G40</f>
        <v>0</v>
      </c>
      <c r="H41" s="5">
        <f>H38*H40</f>
        <v>0</v>
      </c>
      <c r="I41" s="5">
        <f>I38*I40</f>
        <v>0</v>
      </c>
      <c r="J41" s="5">
        <f>J38*J40</f>
        <v>0</v>
      </c>
      <c r="K41" s="5">
        <f>K38*K40</f>
        <v>0</v>
      </c>
    </row>
    <row r="42" spans="1:11">
      <c r="A42" t="s">
        <v>45</v>
      </c>
      <c r="B42" s="5">
        <f>$B$6*(1+$B$10)</f>
        <v>0</v>
      </c>
      <c r="C42" s="5">
        <f>B42*(1+$B$10)</f>
        <v>0</v>
      </c>
      <c r="D42" s="5">
        <f>C42*(1+$B$10)</f>
        <v>0</v>
      </c>
      <c r="E42" s="5">
        <f>D42*(1+$B$10)</f>
        <v>0</v>
      </c>
      <c r="F42" s="5">
        <f>E42*(1+$B$10)</f>
        <v>0</v>
      </c>
      <c r="G42" s="5">
        <f>F42*(1+$B$10)</f>
        <v>0</v>
      </c>
      <c r="H42" s="5">
        <f>G42*(1+$B$10)</f>
        <v>0</v>
      </c>
      <c r="I42" s="5">
        <f>H42*(1+$B$10)</f>
        <v>0</v>
      </c>
      <c r="J42" s="5">
        <f>I42*(1+$B$10)</f>
        <v>0</v>
      </c>
      <c r="K42" s="5">
        <f>J42*(1+$B$10)</f>
        <v>0</v>
      </c>
    </row>
    <row r="44" spans="1:11">
      <c r="A44" s="3" t="s">
        <v>46</v>
      </c>
    </row>
    <row r="45" spans="1:11">
      <c r="A45" t="s">
        <v>47</v>
      </c>
      <c r="B45" s="5">
        <f>SUM(B41:K41)</f>
        <v>0</v>
      </c>
    </row>
    <row r="46" spans="1:11">
      <c r="A46" t="s">
        <v>48</v>
      </c>
      <c r="B46" s="5">
        <f>K38*(1+$B$13)</f>
        <v>0</v>
      </c>
    </row>
    <row r="47" spans="1:11">
      <c r="A47" t="s">
        <v>49</v>
      </c>
      <c r="B47" s="5">
        <f>B46/($B$12-$B$13)</f>
        <v>0</v>
      </c>
    </row>
    <row r="48" spans="1:11">
      <c r="A48" t="s">
        <v>50</v>
      </c>
      <c r="B48" s="5">
        <f>$B$14*K38</f>
        <v>0</v>
      </c>
    </row>
    <row r="49" spans="1:2">
      <c r="A49" t="s">
        <v>51</v>
      </c>
      <c r="B49" s="5">
        <f>MIN(B47,B48)</f>
        <v>0</v>
      </c>
    </row>
    <row r="50" spans="1:2">
      <c r="A50" t="s">
        <v>52</v>
      </c>
      <c r="B50" s="5">
        <f>B49/(1+$B$12)^10</f>
        <v>0</v>
      </c>
    </row>
    <row r="51" spans="1:2">
      <c r="A51" t="s">
        <v>53</v>
      </c>
      <c r="B51" s="5">
        <f>B45+B50</f>
        <v>0</v>
      </c>
    </row>
    <row r="52" spans="1:2">
      <c r="A52" t="s">
        <v>54</v>
      </c>
      <c r="B52" s="5">
        <f>B9</f>
        <v>0</v>
      </c>
    </row>
    <row r="53" spans="1:2">
      <c r="A53" t="s">
        <v>55</v>
      </c>
      <c r="B53" s="5">
        <f>B51-B52</f>
        <v>0</v>
      </c>
    </row>
    <row r="54" spans="1:2">
      <c r="A54" s="9" t="s">
        <v>56</v>
      </c>
      <c r="B54" s="10">
        <f>B53/K42</f>
        <v>0</v>
      </c>
    </row>
    <row r="56" spans="1:2">
      <c r="A56" s="3" t="s">
        <v>57</v>
      </c>
    </row>
    <row r="57" spans="1:2">
      <c r="A57" t="s">
        <v>58</v>
      </c>
      <c r="B57" s="5">
        <f>NPV(0.15,B38:K38)</f>
        <v>0</v>
      </c>
    </row>
    <row r="58" spans="1:2">
      <c r="A58" t="s">
        <v>59</v>
      </c>
      <c r="B58" s="5">
        <f>B49/(1.15^10)</f>
        <v>0</v>
      </c>
    </row>
    <row r="59" spans="1:2">
      <c r="A59" t="s">
        <v>54</v>
      </c>
      <c r="B59" s="5">
        <f>B9</f>
        <v>0</v>
      </c>
    </row>
    <row r="60" spans="1:2">
      <c r="A60" s="9" t="s">
        <v>60</v>
      </c>
      <c r="B60" s="10">
        <f>(B57+B58-B59)/K42</f>
        <v>0</v>
      </c>
    </row>
    <row r="62" spans="1:2">
      <c r="A62" t="s">
        <v>61</v>
      </c>
      <c r="B62" s="8">
        <f>(B54-B5)/B5</f>
        <v>0</v>
      </c>
    </row>
    <row r="63" spans="1:2">
      <c r="A63" t="s">
        <v>62</v>
      </c>
      <c r="B63" s="8">
        <f>(B5-B60)/B5</f>
        <v>0</v>
      </c>
    </row>
    <row r="65" spans="1:1">
      <c r="A65" s="2" t="s">
        <v>63</v>
      </c>
    </row>
    <row r="66" spans="1:1">
      <c r="A66" s="2" t="s">
        <v>64</v>
      </c>
    </row>
    <row r="67" spans="1:1">
      <c r="A67" s="2"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3"/>
  <sheetViews>
    <sheetView workbookViewId="0"/>
  </sheetViews>
  <sheetFormatPr defaultRowHeight="15"/>
  <cols>
    <col min="1" max="1" width="18.7109375" customWidth="1"/>
    <col min="2" max="7" width="12.7109375" customWidth="1"/>
  </cols>
  <sheetData>
    <row r="1" spans="1:6">
      <c r="A1" s="1" t="s">
        <v>66</v>
      </c>
    </row>
    <row r="2" spans="1:6">
      <c r="A2" t="s">
        <v>67</v>
      </c>
    </row>
    <row r="4" spans="1:6">
      <c r="A4" s="7" t="s">
        <v>68</v>
      </c>
      <c r="B4" s="11">
        <v>0.0125</v>
      </c>
      <c r="C4" s="11">
        <v>0.0175</v>
      </c>
      <c r="D4" s="11">
        <v>0.0225</v>
      </c>
      <c r="E4" s="11">
        <v>0.0275</v>
      </c>
      <c r="F4" s="11">
        <v>0.0325</v>
      </c>
    </row>
    <row r="5" spans="1:6">
      <c r="A5" s="11">
        <v>0.055</v>
      </c>
      <c r="B5" s="12">
        <f>(NPV(0.055,'DCF Model'!B38:K38)+MIN('DCF Model'!K38*(1+0.0125)/(0.055-0.0125),'DCF Model'!$B$14*'DCF Model'!K38)/(1+0.055)^10-'DCF Model'!$B$9)/'DCF Model'!K42</f>
        <v>0</v>
      </c>
      <c r="C5" s="12">
        <f>(NPV(0.055,'DCF Model'!B38:K38)+MIN('DCF Model'!K38*(1+0.0175)/(0.055-0.0175),'DCF Model'!$B$14*'DCF Model'!K38)/(1+0.055)^10-'DCF Model'!$B$9)/'DCF Model'!K42</f>
        <v>0</v>
      </c>
      <c r="D5" s="12">
        <f>(NPV(0.055,'DCF Model'!B38:K38)+MIN('DCF Model'!K38*(1+0.0225)/(0.055-0.0225),'DCF Model'!$B$14*'DCF Model'!K38)/(1+0.055)^10-'DCF Model'!$B$9)/'DCF Model'!K42</f>
        <v>0</v>
      </c>
      <c r="E5" s="12">
        <f>(NPV(0.055,'DCF Model'!B38:K38)+MIN('DCF Model'!K38*(1+0.0275)/(0.055-0.0275),'DCF Model'!$B$14*'DCF Model'!K38)/(1+0.055)^10-'DCF Model'!$B$9)/'DCF Model'!K42</f>
        <v>0</v>
      </c>
      <c r="F5" s="12">
        <f>(NPV(0.055,'DCF Model'!B38:K38)+MIN('DCF Model'!K38*(1+0.0325)/(0.055-0.0325),'DCF Model'!$B$14*'DCF Model'!K38)/(1+0.055)^10-'DCF Model'!$B$9)/'DCF Model'!K42</f>
        <v>0</v>
      </c>
    </row>
    <row r="6" spans="1:6">
      <c r="A6" s="11">
        <v>0.065</v>
      </c>
      <c r="B6" s="12">
        <f>(NPV(0.065,'DCF Model'!B38:K38)+MIN('DCF Model'!K38*(1+0.0125)/(0.065-0.0125),'DCF Model'!$B$14*'DCF Model'!K38)/(1+0.065)^10-'DCF Model'!$B$9)/'DCF Model'!K42</f>
        <v>0</v>
      </c>
      <c r="C6" s="12">
        <f>(NPV(0.065,'DCF Model'!B38:K38)+MIN('DCF Model'!K38*(1+0.0175)/(0.065-0.0175),'DCF Model'!$B$14*'DCF Model'!K38)/(1+0.065)^10-'DCF Model'!$B$9)/'DCF Model'!K42</f>
        <v>0</v>
      </c>
      <c r="D6" s="12">
        <f>(NPV(0.065,'DCF Model'!B38:K38)+MIN('DCF Model'!K38*(1+0.0225)/(0.065-0.0225),'DCF Model'!$B$14*'DCF Model'!K38)/(1+0.065)^10-'DCF Model'!$B$9)/'DCF Model'!K42</f>
        <v>0</v>
      </c>
      <c r="E6" s="12">
        <f>(NPV(0.065,'DCF Model'!B38:K38)+MIN('DCF Model'!K38*(1+0.0275)/(0.065-0.0275),'DCF Model'!$B$14*'DCF Model'!K38)/(1+0.065)^10-'DCF Model'!$B$9)/'DCF Model'!K42</f>
        <v>0</v>
      </c>
      <c r="F6" s="12">
        <f>(NPV(0.065,'DCF Model'!B38:K38)+MIN('DCF Model'!K38*(1+0.0325)/(0.065-0.0325),'DCF Model'!$B$14*'DCF Model'!K38)/(1+0.065)^10-'DCF Model'!$B$9)/'DCF Model'!K42</f>
        <v>0</v>
      </c>
    </row>
    <row r="7" spans="1:6">
      <c r="A7" s="11">
        <v>0.075</v>
      </c>
      <c r="B7" s="12">
        <f>(NPV(0.075,'DCF Model'!B38:K38)+MIN('DCF Model'!K38*(1+0.0125)/(0.075-0.0125),'DCF Model'!$B$14*'DCF Model'!K38)/(1+0.075)^10-'DCF Model'!$B$9)/'DCF Model'!K42</f>
        <v>0</v>
      </c>
      <c r="C7" s="12">
        <f>(NPV(0.075,'DCF Model'!B38:K38)+MIN('DCF Model'!K38*(1+0.0175)/(0.075-0.0175),'DCF Model'!$B$14*'DCF Model'!K38)/(1+0.075)^10-'DCF Model'!$B$9)/'DCF Model'!K42</f>
        <v>0</v>
      </c>
      <c r="D7" s="12">
        <f>(NPV(0.075,'DCF Model'!B38:K38)+MIN('DCF Model'!K38*(1+0.0225)/(0.075-0.0225),'DCF Model'!$B$14*'DCF Model'!K38)/(1+0.075)^10-'DCF Model'!$B$9)/'DCF Model'!K42</f>
        <v>0</v>
      </c>
      <c r="E7" s="12">
        <f>(NPV(0.075,'DCF Model'!B38:K38)+MIN('DCF Model'!K38*(1+0.0275)/(0.075-0.0275),'DCF Model'!$B$14*'DCF Model'!K38)/(1+0.075)^10-'DCF Model'!$B$9)/'DCF Model'!K42</f>
        <v>0</v>
      </c>
      <c r="F7" s="12">
        <f>(NPV(0.075,'DCF Model'!B38:K38)+MIN('DCF Model'!K38*(1+0.0325)/(0.075-0.0325),'DCF Model'!$B$14*'DCF Model'!K38)/(1+0.075)^10-'DCF Model'!$B$9)/'DCF Model'!K42</f>
        <v>0</v>
      </c>
    </row>
    <row r="8" spans="1:6">
      <c r="A8" s="11">
        <v>0.08500000000000001</v>
      </c>
      <c r="B8" s="12">
        <f>(NPV(0.085,'DCF Model'!B38:K38)+MIN('DCF Model'!K38*(1+0.0125)/(0.085-0.0125),'DCF Model'!$B$14*'DCF Model'!K38)/(1+0.085)^10-'DCF Model'!$B$9)/'DCF Model'!K42</f>
        <v>0</v>
      </c>
      <c r="C8" s="12">
        <f>(NPV(0.085,'DCF Model'!B38:K38)+MIN('DCF Model'!K38*(1+0.0175)/(0.085-0.0175),'DCF Model'!$B$14*'DCF Model'!K38)/(1+0.085)^10-'DCF Model'!$B$9)/'DCF Model'!K42</f>
        <v>0</v>
      </c>
      <c r="D8" s="12">
        <f>(NPV(0.085,'DCF Model'!B38:K38)+MIN('DCF Model'!K38*(1+0.0225)/(0.085-0.0225),'DCF Model'!$B$14*'DCF Model'!K38)/(1+0.085)^10-'DCF Model'!$B$9)/'DCF Model'!K42</f>
        <v>0</v>
      </c>
      <c r="E8" s="12">
        <f>(NPV(0.085,'DCF Model'!B38:K38)+MIN('DCF Model'!K38*(1+0.0275)/(0.085-0.0275),'DCF Model'!$B$14*'DCF Model'!K38)/(1+0.085)^10-'DCF Model'!$B$9)/'DCF Model'!K42</f>
        <v>0</v>
      </c>
      <c r="F8" s="12">
        <f>(NPV(0.085,'DCF Model'!B38:K38)+MIN('DCF Model'!K38*(1+0.0325)/(0.085-0.0325),'DCF Model'!$B$14*'DCF Model'!K38)/(1+0.085)^10-'DCF Model'!$B$9)/'DCF Model'!K42</f>
        <v>0</v>
      </c>
    </row>
    <row r="9" spans="1:6">
      <c r="A9" s="11">
        <v>0.095</v>
      </c>
      <c r="B9" s="12">
        <f>(NPV(0.095,'DCF Model'!B38:K38)+MIN('DCF Model'!K38*(1+0.0125)/(0.095-0.0125),'DCF Model'!$B$14*'DCF Model'!K38)/(1+0.095)^10-'DCF Model'!$B$9)/'DCF Model'!K42</f>
        <v>0</v>
      </c>
      <c r="C9" s="12">
        <f>(NPV(0.095,'DCF Model'!B38:K38)+MIN('DCF Model'!K38*(1+0.0175)/(0.095-0.0175),'DCF Model'!$B$14*'DCF Model'!K38)/(1+0.095)^10-'DCF Model'!$B$9)/'DCF Model'!K42</f>
        <v>0</v>
      </c>
      <c r="D9" s="12">
        <f>(NPV(0.095,'DCF Model'!B38:K38)+MIN('DCF Model'!K38*(1+0.0225)/(0.095-0.0225),'DCF Model'!$B$14*'DCF Model'!K38)/(1+0.095)^10-'DCF Model'!$B$9)/'DCF Model'!K42</f>
        <v>0</v>
      </c>
      <c r="E9" s="12">
        <f>(NPV(0.095,'DCF Model'!B38:K38)+MIN('DCF Model'!K38*(1+0.0275)/(0.095-0.0275),'DCF Model'!$B$14*'DCF Model'!K38)/(1+0.095)^10-'DCF Model'!$B$9)/'DCF Model'!K42</f>
        <v>0</v>
      </c>
      <c r="F9" s="12">
        <f>(NPV(0.095,'DCF Model'!B38:K38)+MIN('DCF Model'!K38*(1+0.0325)/(0.095-0.0325),'DCF Model'!$B$14*'DCF Model'!K38)/(1+0.095)^10-'DCF Model'!$B$9)/'DCF Model'!K42</f>
        <v>0</v>
      </c>
    </row>
    <row r="12" spans="1:6">
      <c r="A12" s="2" t="s">
        <v>69</v>
      </c>
    </row>
    <row r="13" spans="1:6">
      <c r="A13" s="2"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9"/>
  <sheetViews>
    <sheetView workbookViewId="0"/>
  </sheetViews>
  <sheetFormatPr defaultRowHeight="15"/>
  <cols>
    <col min="1" max="1" width="26.7109375" customWidth="1"/>
    <col min="2" max="5" width="16.7109375" customWidth="1"/>
  </cols>
  <sheetData>
    <row r="1" spans="1:4">
      <c r="A1" s="1" t="s">
        <v>71</v>
      </c>
    </row>
    <row r="3" spans="1:4">
      <c r="A3" s="7" t="s">
        <v>72</v>
      </c>
      <c r="B3" s="7" t="s">
        <v>73</v>
      </c>
      <c r="C3" s="7" t="s">
        <v>74</v>
      </c>
      <c r="D3" s="7" t="s">
        <v>75</v>
      </c>
    </row>
    <row r="4" spans="1:4">
      <c r="A4" t="s">
        <v>76</v>
      </c>
      <c r="B4" s="8">
        <v>0.07000000000000001</v>
      </c>
      <c r="C4" s="8">
        <v>0.075</v>
      </c>
      <c r="D4" s="8">
        <v>0.08500000000000001</v>
      </c>
    </row>
    <row r="5" spans="1:4">
      <c r="A5" t="s">
        <v>77</v>
      </c>
      <c r="B5" s="8">
        <v>0.025</v>
      </c>
      <c r="C5" s="8">
        <v>0.0225</v>
      </c>
      <c r="D5" s="8">
        <v>0.02</v>
      </c>
    </row>
    <row r="6" spans="1:4">
      <c r="A6" t="s">
        <v>78</v>
      </c>
      <c r="B6" s="5">
        <v>-226.2</v>
      </c>
      <c r="C6" s="5">
        <v>-788.5</v>
      </c>
      <c r="D6" s="5">
        <v>-1594.3</v>
      </c>
    </row>
    <row r="7" spans="1:4">
      <c r="A7" t="s">
        <v>79</v>
      </c>
      <c r="B7" s="5">
        <v>9081.299999999999</v>
      </c>
      <c r="C7" s="5">
        <v>6317.8</v>
      </c>
      <c r="D7" s="5">
        <v>2719.3</v>
      </c>
    </row>
    <row r="8" spans="1:4">
      <c r="A8" t="s">
        <v>53</v>
      </c>
      <c r="B8" s="5">
        <v>8855.1</v>
      </c>
      <c r="C8" s="5">
        <v>5529.4</v>
      </c>
      <c r="D8" s="5">
        <v>1124.9</v>
      </c>
    </row>
    <row r="9" spans="1:4">
      <c r="A9" t="s">
        <v>55</v>
      </c>
      <c r="B9" s="5">
        <v>6563.6</v>
      </c>
      <c r="C9" s="5">
        <v>3237.9</v>
      </c>
      <c r="D9" s="5">
        <v>-1166.6</v>
      </c>
    </row>
    <row r="10" spans="1:4">
      <c r="A10" t="s">
        <v>80</v>
      </c>
      <c r="B10" s="12">
        <v>3.85</v>
      </c>
      <c r="C10" s="12">
        <v>1.9</v>
      </c>
      <c r="D10" s="12">
        <v>-0.68</v>
      </c>
    </row>
    <row r="11" spans="1:4">
      <c r="A11" t="s">
        <v>81</v>
      </c>
      <c r="B11" s="8">
        <v>-0.5610000000000001</v>
      </c>
      <c r="C11" s="8">
        <v>-0.7829999999999999</v>
      </c>
      <c r="D11" s="8">
        <v>-1.078</v>
      </c>
    </row>
    <row r="12" spans="1:4">
      <c r="A12" t="s">
        <v>82</v>
      </c>
      <c r="B12" s="8">
        <v>1.026</v>
      </c>
      <c r="C12" s="8">
        <v>1.143</v>
      </c>
      <c r="D12" s="8">
        <v>2.417</v>
      </c>
    </row>
    <row r="13" spans="1:4">
      <c r="A13" t="s">
        <v>83</v>
      </c>
      <c r="B13" s="5">
        <v>20</v>
      </c>
      <c r="C13" s="5">
        <v>19.5</v>
      </c>
      <c r="D13" s="5">
        <v>15</v>
      </c>
    </row>
    <row r="15" spans="1:4">
      <c r="A15" s="9" t="s">
        <v>84</v>
      </c>
      <c r="B15" s="12">
        <v>1.74</v>
      </c>
    </row>
    <row r="16" spans="1:4">
      <c r="A16" t="s">
        <v>85</v>
      </c>
      <c r="B16" t="s">
        <v>86</v>
      </c>
    </row>
    <row r="18" spans="1:5">
      <c r="A18" s="9" t="s">
        <v>87</v>
      </c>
      <c r="B18" s="12">
        <v>-0.06</v>
      </c>
    </row>
    <row r="19" spans="1:5">
      <c r="A19" s="9" t="s">
        <v>88</v>
      </c>
      <c r="B19" s="13" t="s">
        <v>89</v>
      </c>
      <c r="C19" s="13"/>
      <c r="D19" s="13"/>
      <c r="E19" s="13"/>
    </row>
  </sheetData>
  <mergeCells count="1">
    <mergeCell ref="B19:E1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6"/>
  <sheetViews>
    <sheetView workbookViewId="0"/>
  </sheetViews>
  <sheetFormatPr defaultRowHeight="15"/>
  <cols>
    <col min="1" max="1" width="30.7109375" customWidth="1"/>
    <col min="2" max="11" width="12.7109375" customWidth="1"/>
  </cols>
  <sheetData>
    <row r="1" spans="1:9">
      <c r="A1" s="1" t="s">
        <v>90</v>
      </c>
    </row>
    <row r="2" spans="1:9">
      <c r="A2" s="2" t="s">
        <v>91</v>
      </c>
    </row>
    <row r="4" spans="1:9">
      <c r="A4" s="7"/>
      <c r="B4" s="7" t="s">
        <v>92</v>
      </c>
      <c r="C4" s="7" t="s">
        <v>93</v>
      </c>
      <c r="D4" s="7" t="s">
        <v>94</v>
      </c>
      <c r="E4" s="7" t="s">
        <v>95</v>
      </c>
      <c r="F4" s="7" t="s">
        <v>96</v>
      </c>
      <c r="G4" s="7" t="s">
        <v>97</v>
      </c>
      <c r="H4" s="7" t="s">
        <v>98</v>
      </c>
      <c r="I4" s="7" t="s">
        <v>99</v>
      </c>
    </row>
    <row r="5" spans="1:9">
      <c r="A5" t="s">
        <v>100</v>
      </c>
      <c r="B5" s="5">
        <v>136.8</v>
      </c>
      <c r="C5" s="5">
        <v>-64.7</v>
      </c>
      <c r="D5" s="5">
        <v>-139</v>
      </c>
      <c r="E5" s="5">
        <v>-163.4</v>
      </c>
      <c r="F5" s="5">
        <v>-246.8</v>
      </c>
      <c r="G5" s="5">
        <v>-581</v>
      </c>
      <c r="H5" s="5">
        <v>-570.1</v>
      </c>
      <c r="I5" s="5">
        <v>-246.9</v>
      </c>
    </row>
    <row r="6" spans="1:9">
      <c r="A6" t="s">
        <v>101</v>
      </c>
      <c r="B6" s="5">
        <v>-239.1</v>
      </c>
      <c r="C6" s="5">
        <v>-240.5</v>
      </c>
      <c r="D6" s="5">
        <v>-200</v>
      </c>
      <c r="E6" s="5">
        <v>-264.6</v>
      </c>
      <c r="F6" s="5">
        <v>-571.9</v>
      </c>
      <c r="G6" s="5">
        <v>-1077.3</v>
      </c>
      <c r="H6" s="5">
        <v>-1044.4</v>
      </c>
      <c r="I6" s="5">
        <v>-432.3</v>
      </c>
    </row>
    <row r="7" spans="1:9">
      <c r="A7" t="s">
        <v>102</v>
      </c>
      <c r="B7" s="5">
        <v>0</v>
      </c>
      <c r="C7" s="5">
        <v>0</v>
      </c>
      <c r="D7" s="5">
        <v>0</v>
      </c>
      <c r="E7" s="5">
        <v>-0.1</v>
      </c>
      <c r="F7" s="5">
        <v>0.5</v>
      </c>
      <c r="G7" s="5">
        <v>0.2</v>
      </c>
      <c r="H7" s="5">
        <v>0.6</v>
      </c>
    </row>
    <row r="8" spans="1:9">
      <c r="A8" t="s">
        <v>103</v>
      </c>
      <c r="B8" s="5">
        <v>0</v>
      </c>
      <c r="C8" s="5">
        <v>0</v>
      </c>
      <c r="D8" s="5">
        <v>0</v>
      </c>
      <c r="E8" s="5">
        <v>0</v>
      </c>
      <c r="F8" s="5">
        <v>0</v>
      </c>
      <c r="G8" s="5">
        <v>0</v>
      </c>
      <c r="H8" s="5">
        <v>0</v>
      </c>
      <c r="I8" s="5">
        <v>0</v>
      </c>
    </row>
    <row r="9" spans="1:9">
      <c r="A9" t="s">
        <v>104</v>
      </c>
      <c r="B9" s="5">
        <v>136.8</v>
      </c>
      <c r="C9" s="5">
        <v>-64.7</v>
      </c>
      <c r="D9" s="5">
        <v>-139</v>
      </c>
      <c r="E9" s="5">
        <v>-163.4</v>
      </c>
      <c r="F9" s="5">
        <v>-246.8</v>
      </c>
      <c r="G9" s="5">
        <v>-581</v>
      </c>
      <c r="H9" s="5">
        <v>-570.1</v>
      </c>
      <c r="I9" s="5">
        <v>-246.9</v>
      </c>
    </row>
    <row r="10" spans="1:9">
      <c r="A10" t="s">
        <v>105</v>
      </c>
      <c r="B10" s="5">
        <v>743.4</v>
      </c>
      <c r="C10" s="5">
        <v>567</v>
      </c>
      <c r="D10" s="5">
        <v>281.1</v>
      </c>
      <c r="E10" s="5">
        <v>300.3</v>
      </c>
      <c r="F10" s="5">
        <v>625.9</v>
      </c>
      <c r="G10" s="5">
        <v>895.5</v>
      </c>
      <c r="H10" s="5">
        <v>1004.7</v>
      </c>
      <c r="I10" s="5">
        <v>519.6</v>
      </c>
    </row>
    <row r="11" spans="1:9">
      <c r="A11" t="s">
        <v>106</v>
      </c>
      <c r="B11" s="8">
        <v>0.1840193704600485</v>
      </c>
      <c r="C11" s="8">
        <v>-0.1141093474426808</v>
      </c>
      <c r="D11" s="8">
        <v>-0.4944859480611882</v>
      </c>
      <c r="E11" s="8">
        <v>-0.5441225441225441</v>
      </c>
      <c r="F11" s="8">
        <v>-0.3943121904457582</v>
      </c>
      <c r="G11" s="8">
        <v>-0.6487995533221664</v>
      </c>
      <c r="H11" s="8">
        <v>-0.567433064596397</v>
      </c>
      <c r="I11" s="8">
        <v>-0.4751732101616628</v>
      </c>
    </row>
    <row r="13" spans="1:9">
      <c r="A13" s="9" t="s">
        <v>107</v>
      </c>
    </row>
    <row r="14" spans="1:9">
      <c r="A14" s="13" t="s">
        <v>108</v>
      </c>
      <c r="B14" s="13"/>
      <c r="C14" s="13"/>
      <c r="D14" s="13"/>
      <c r="E14" s="13"/>
      <c r="F14" s="13"/>
      <c r="G14" s="13"/>
    </row>
    <row r="15" spans="1:9">
      <c r="A15" s="13"/>
      <c r="B15" s="13"/>
      <c r="C15" s="13"/>
      <c r="D15" s="13"/>
      <c r="E15" s="13"/>
      <c r="F15" s="13"/>
      <c r="G15" s="13"/>
    </row>
    <row r="16" spans="1:9">
      <c r="A16" s="13"/>
      <c r="B16" s="13"/>
      <c r="C16" s="13"/>
      <c r="D16" s="13"/>
      <c r="E16" s="13"/>
      <c r="F16" s="13"/>
      <c r="G16" s="13"/>
    </row>
  </sheetData>
  <mergeCells count="1">
    <mergeCell ref="A14: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1"/>
  <sheetViews>
    <sheetView workbookViewId="0"/>
  </sheetViews>
  <sheetFormatPr defaultRowHeight="15"/>
  <cols>
    <col min="1" max="1" width="28.7109375" customWidth="1"/>
    <col min="2" max="2" width="90.7109375" customWidth="1"/>
  </cols>
  <sheetData>
    <row r="1" spans="1:2">
      <c r="A1" s="1" t="s">
        <v>109</v>
      </c>
    </row>
    <row r="4" spans="1:2" ht="45" customHeight="1">
      <c r="A4" s="9" t="s">
        <v>110</v>
      </c>
      <c r="B4" s="13" t="s">
        <v>111</v>
      </c>
    </row>
    <row r="5" spans="1:2" ht="45" customHeight="1">
      <c r="A5" s="9" t="s">
        <v>112</v>
      </c>
      <c r="B5" s="13" t="s">
        <v>113</v>
      </c>
    </row>
    <row r="6" spans="1:2" ht="45" customHeight="1">
      <c r="A6" s="9" t="s">
        <v>114</v>
      </c>
      <c r="B6" s="13" t="s">
        <v>115</v>
      </c>
    </row>
    <row r="7" spans="1:2" ht="45" customHeight="1">
      <c r="A7" s="9" t="s">
        <v>116</v>
      </c>
      <c r="B7" s="13" t="s">
        <v>117</v>
      </c>
    </row>
    <row r="8" spans="1:2" ht="45" customHeight="1">
      <c r="A8" s="9" t="s">
        <v>118</v>
      </c>
      <c r="B8" s="13" t="s">
        <v>119</v>
      </c>
    </row>
    <row r="9" spans="1:2" ht="45" customHeight="1">
      <c r="A9" s="9" t="s">
        <v>120</v>
      </c>
      <c r="B9" s="13" t="s">
        <v>121</v>
      </c>
    </row>
    <row r="10" spans="1:2" ht="45" customHeight="1">
      <c r="A10" s="9" t="s">
        <v>122</v>
      </c>
      <c r="B10" s="13" t="s">
        <v>123</v>
      </c>
    </row>
    <row r="11" spans="1:2" ht="45" customHeight="1">
      <c r="A11" s="9" t="s">
        <v>124</v>
      </c>
      <c r="B11" s="13" t="s">
        <v>125</v>
      </c>
    </row>
    <row r="12" spans="1:2" ht="45" customHeight="1">
      <c r="A12" s="9" t="s">
        <v>126</v>
      </c>
      <c r="B12" s="13" t="s">
        <v>127</v>
      </c>
    </row>
    <row r="13" spans="1:2" ht="45" customHeight="1">
      <c r="A13" s="9" t="s">
        <v>128</v>
      </c>
      <c r="B13" s="13" t="s">
        <v>129</v>
      </c>
    </row>
    <row r="14" spans="1:2" ht="45" customHeight="1">
      <c r="A14" s="9" t="s">
        <v>130</v>
      </c>
      <c r="B14" s="13" t="s">
        <v>131</v>
      </c>
    </row>
    <row r="15" spans="1:2" ht="45" customHeight="1">
      <c r="A15" s="9" t="s">
        <v>132</v>
      </c>
      <c r="B15" s="13" t="s">
        <v>133</v>
      </c>
    </row>
    <row r="16" spans="1:2" ht="45" customHeight="1">
      <c r="A16" s="9" t="s">
        <v>134</v>
      </c>
      <c r="B16" s="13" t="s">
        <v>135</v>
      </c>
    </row>
    <row r="17" spans="1:2" ht="45" customHeight="1">
      <c r="A17" s="9" t="s">
        <v>136</v>
      </c>
      <c r="B17" s="13" t="s">
        <v>137</v>
      </c>
    </row>
    <row r="18" spans="1:2" ht="45" customHeight="1">
      <c r="A18" s="9" t="s">
        <v>138</v>
      </c>
      <c r="B18" s="13" t="s">
        <v>139</v>
      </c>
    </row>
    <row r="19" spans="1:2" ht="45" customHeight="1">
      <c r="A19" s="9" t="s">
        <v>140</v>
      </c>
      <c r="B19" s="13" t="s">
        <v>141</v>
      </c>
    </row>
    <row r="20" spans="1:2" ht="45" customHeight="1">
      <c r="A20" s="9" t="s">
        <v>142</v>
      </c>
      <c r="B20" s="13" t="s">
        <v>143</v>
      </c>
    </row>
    <row r="21" spans="1:2" ht="45" customHeight="1">
      <c r="A21" s="9" t="s">
        <v>144</v>
      </c>
      <c r="B21" s="1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Sensitivity</vt:lpstr>
      <vt:lpstr>Scenarios</vt:lpstr>
      <vt:lpstr>FCF Quality</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2026-08-08T23:04:58Z</dcterms:created>
  <dcterms:modified xsi:type="dcterms:W3CDTF">2026-08-08T23:04:58Z</dcterms:modified>
</cp:coreProperties>
</file>