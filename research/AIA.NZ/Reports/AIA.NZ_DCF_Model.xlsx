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FCF Quality" sheetId="3" r:id="rId3"/>
    <sheet name="Historical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<sst xmlns="http://schemas.openxmlformats.org/spreadsheetml/2006/main" count="153" uniqueCount="139">
  <si>
    <t>AIA.NZ DCF Valuation Model (Auckland International Airport)</t>
  </si>
  <si>
    <t>Gray cells are INPUTS - adjust to see valuation change. 10-year horizon used because owner FCF margin is still ramping out of a capex supercycle.</t>
  </si>
  <si>
    <t>WARNING: FY2023-25 reported FCF is deeply negative (capex supercycle). Base FCF below is the Year-1 OWNER FCF from a component build, not trailing reported FCF.</t>
  </si>
  <si>
    <t>KEY INPUTS</t>
  </si>
  <si>
    <t>Current Stock Price (NZD)</t>
  </si>
  <si>
    <t>Shares Outstanding (M)</t>
  </si>
  <si>
    <t>Cash &amp; Equivalents (NZ$M)</t>
  </si>
  <si>
    <t>Total Debt (NZ$M)</t>
  </si>
  <si>
    <t>Net Debt (NZ$M)</t>
  </si>
  <si>
    <t>FY2025 Revenue (NZ$M, base)</t>
  </si>
  <si>
    <t>Annual Share Growth (dilution)</t>
  </si>
  <si>
    <t>WACC (Base)</t>
  </si>
  <si>
    <t>Terminal Growth Rate (Base)</t>
  </si>
  <si>
    <t>Terminal Cap Multiple (x FCF)</t>
  </si>
  <si>
    <t>BASE CASE ASSUMPTIONS (10yr)</t>
  </si>
  <si>
    <t>FY2026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</si>
  <si>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</si>
  <si>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</si>
  <si>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</si>
  <si>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</si>
  <si>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</si>
  <si>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</si>
  <si>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</si>
  <si>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</si>
  <si>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</si>
  <si>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Revenue Growth %</t>
  </si>
  <si>
    <t>EBITDAFI Margin %</t>
  </si>
  <si>
    <t>D&amp;A % of Revenue</t>
  </si>
  <si>
    <t>Capex (NZ$M, absolute)</t>
  </si>
  <si>
    <t>Cash Tax Rate %</t>
  </si>
  <si>
    <t>Working Capital Capture %</t>
  </si>
  <si>
    <t>PROJECTIONS (BASE CASE)</t>
  </si>
  <si>
    <t>Revenue (NZ$M)</t>
  </si>
  <si>
    <t>Adj. EBITDAFI (NZ$M)</t>
  </si>
  <si>
    <t>D&amp;A (NZ$M)</t>
  </si>
  <si>
    <t>EBIT (NZ$M)</t>
  </si>
  <si>
    <t>NOPAT (NZ$M)</t>
  </si>
  <si>
    <t>Less: Capex (NZ$M)</t>
  </si>
  <si>
    <t>Working Capital (NZ$M)</t>
  </si>
  <si>
    <t>Owner FCF (NZ$M)</t>
  </si>
  <si>
    <t>Owner FCF Margin %</t>
  </si>
  <si>
    <t>Discount Factor</t>
  </si>
  <si>
    <t>PV of FCF (NZ$M)</t>
  </si>
  <si>
    <t>VALUATION</t>
  </si>
  <si>
    <t>Sum of PV of FCF (NZ$M)</t>
  </si>
  <si>
    <t>Terminal FCF (Year 10, NZ$M)</t>
  </si>
  <si>
    <t>Terminal Value - Gordon (NZ$M)</t>
  </si>
  <si>
    <t>Terminal Value - Cap (20x FCF) (NZ$M)</t>
  </si>
  <si>
    <t>Terminal Value (lower of) (NZ$M)</t>
  </si>
  <si>
    <t>PV of Terminal Value (NZ$M)</t>
  </si>
  <si>
    <t>Enterprise Value (NZ$M)</t>
  </si>
  <si>
    <t>Less: Net Debt (NZ$M)</t>
  </si>
  <si>
    <t>Equity Value (NZ$M)</t>
  </si>
  <si>
    <t>Terminal-Year Shares Outstanding (M)</t>
  </si>
  <si>
    <t>INTRINSIC VALUE/SHARE (NZD)</t>
  </si>
  <si>
    <t>ENTRY PRICE (15% IRR Target)</t>
  </si>
  <si>
    <t>PV of Yrs 1-10 FCF @15% (NZ$M)</t>
  </si>
  <si>
    <t>PV of Terminal Value @15% (NZ$M)</t>
  </si>
  <si>
    <t>Entry Price (15% IRR) (NZD)</t>
  </si>
  <si>
    <t>Upside to Intrinsic Value</t>
  </si>
  <si>
    <t>Upside to Entry Price</t>
  </si>
  <si>
    <t>Sensitivity Analysis</t>
  </si>
  <si>
    <t>Intrinsic Value (NZD/share) by WACC &amp; Terminal Growth - Base Case FCF path</t>
  </si>
  <si>
    <t>WACC \ Term G</t>
  </si>
  <si>
    <t>Note: rows with low WACC may show flat values where the 20x FCF terminal cap binds rather than Gordon growth.</t>
  </si>
  <si>
    <t>FCF Quality - Reported vs Owner FCF Reconciliation</t>
  </si>
  <si>
    <t>Fiscal Year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</si>
  <si>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</si>
  <si>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</si>
  <si>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</si>
  <si>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</si>
  <si>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</si>
  <si>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</si>
  <si>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</si>
  <si>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</si>
  <si>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</si>
  <si>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</si>
  <si>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Operating Cash Flow (NZ$M)</t>
  </si>
  <si>
    <t>Capex (NZ$M)</t>
  </si>
  <si>
    <t>Reported FCF (company definition, NZ$M)</t>
  </si>
  <si>
    <t>Less: SBC (immaterial, ~NZ$0.3-0.5m/yr)</t>
  </si>
  <si>
    <t>Less: Interest Income (n/a - net debt co.)</t>
  </si>
  <si>
    <t>Reported FCF Margin %</t>
  </si>
  <si>
    <t>Memo: EBITDAFI (clean, ex-revaluation, NZ$M)</t>
  </si>
  <si>
    <t>Memo: EBITDAFI Margin %</t>
  </si>
  <si>
    <t>Memo: Cash Tax Rate</t>
  </si>
  <si>
    <t>FY2025 effective: 24.1% | H1-2026 effective: 27.5% | NZ statutory: 28% -- no abnormal one-off; held at 27% in projections</t>
  </si>
  <si>
    <t>KEY FINDING: Reported FCF has been negative every year since FY2023 (-NZ$247m to -NZ$581m) due to a debt-funded capex supercycle (domestic jet terminal + airfield expansion), NOT operating weakness -- EBITDAFI margin has actually IMPROVED from 63.4% (FY2023) to 69.8% (FY2025) to 71.5% (H1-2026 annualized) through the same period. SBC and interest income are both immaterial for AIA.NZ (net-debt company, no share buybacks, tiny LTI plan), so reported FCF ~= owner FCF historically; the adjustment that matters here is projecting FORWARD owner FCF from EBITDAFI/D&amp;A/tax/capex components rather than extrapolating the negative trailing FCF.</t>
  </si>
  <si>
    <t>Historical Growth Rates</t>
  </si>
  <si>
    <t>Metric</t>
  </si>
  <si>
    <t>Value</t>
  </si>
  <si>
    <t>Period</t>
  </si>
  <si>
    <t>Revenue CAGR (2yr recovery)</t>
  </si>
  <si>
    <t>FY2023-FY2025</t>
  </si>
  <si>
    <t>Revenue CAGR (6yr, spans COVID)</t>
  </si>
  <si>
    <t>FY2019-FY2025</t>
  </si>
  <si>
    <t>EPS CAGR (6yr, spans COVID+dilution)</t>
  </si>
  <si>
    <t>Equity CAGR (3yr, post equity raise)</t>
  </si>
  <si>
    <t>FY2022-FY2025</t>
  </si>
  <si>
    <t>Equity CAGR (5yr)</t>
  </si>
  <si>
    <t>FY2020-FY2025</t>
  </si>
  <si>
    <t>Growth rate source:</t>
  </si>
  <si>
    <t>revenue_driven_component_build</t>
  </si>
  <si>
    <t>Reported FCF has been negative every year FY2023-FY2025 (~-NZ$247m to -NZ$581m) due to a once-in-a-generation capex supercycle (domestic jet terminal + airfield expansion, ~NZ$1.0-1.6bn/yr through decade-end vs historical maintenance capex of ~NZ$150-260m). FCF-based CAGRs are not meaningful and are omitted; growth driver for the DCF is revenue (aeronautical volume/price recovery + property rent-roll growth), with owner FCF built from EBITDAFI margin, D&amp;A, tax, capex-guidance and working-capital components rather than extrapolated from history. Equity CAGR is distorted by the Sep-2024 NZ$1.4bn placement/retail equity raise (shares 1472m-&gt;1688m) and is not used as the primary growth driver.</t>
  </si>
  <si>
    <t>Model Provenance &amp; Notes</t>
  </si>
  <si>
    <t>Built by</t>
  </si>
  <si>
    <t>dcf-analyst agent (Claude), invoked via Stocks/Research pipeline</t>
  </si>
  <si>
    <t>Build date</t>
  </si>
  <si>
    <t>2026-08-08</t>
  </si>
  <si>
    <t>Share price date/source</t>
  </si>
  <si>
    <t>NZD 8.76 - Yahoo Finance chart API, live quote fetched 2026-08-08</t>
  </si>
  <si>
    <t>Data vintage</t>
  </si>
  <si>
    <t>FY2025 Annual Report (year ended 30 Jun 2025, filed Aug 2025) + H1 FY2026 Interim Results (six months to 31 Dec 2025, released 19 Feb 2026)</t>
  </si>
  <si>
    <t>Fiscal year</t>
  </si>
  <si>
    <t>AIA.NZ FY ends 30 June. H1 = Jul-Dec.</t>
  </si>
  <si>
    <t>Capex guidance source</t>
  </si>
  <si>
    <t>FY2025 Annual Report: 'forecast capital expenditure between $1.0 and $1.6 billion annually until the end of the decade'; FY2026 guidance narrowed to $1.0-1.2bn at H1 FY2026 results (19 Feb 2026); $1.31bn of contractual PP&amp;E purchase obligations at 31 Dec 2025.</t>
  </si>
  <si>
    <t>Underlying profit guidance</t>
  </si>
  <si>
    <t>FY2026 underlying NPAT guidance $295-320m (narrowed from $280-320m at FY25 results), issued before the 2026 Middle East fuel-price shock.</t>
  </si>
  <si>
    <t>Methodology - horizon</t>
  </si>
  <si>
    <t>10-year explicit component build used (not 5yr) because owner FCF margin is still deeply negative in years 1-5 and only matures to a steady state by roughly year 8-10 as the capex program (domestic jet terminal, targeted completion ~2029) tapers to a maintenance level.</t>
  </si>
  <si>
    <t>Methodology - FCF base</t>
  </si>
  <si>
    <t>last_fcf/base FCF is Year-1 (FY2026) OWNER FCF from a component build (Revenue x EBITDAFI margin - SBC - D&amp;A, tax-effected NOPAT + D&amp;A - capex + working capital), NOT trailing reported FCF, because reported FCF has been negative every year FY2023-FY2025 (-$247m to -$581m) due to the capex supercycle and is not representative of a base to grow off.</t>
  </si>
  <si>
    <t>Methodology - EBITDAFI</t>
  </si>
  <si>
    <t>Used AIA's own clean non-GAAP measure EBITDAFI (earnings before interest, tax, depreciation, fair-value adjustments and investments in associates) instead of the raw EBITDA in the Metrics.csv, because CSV EBITDA embeds large, lumpy investment-property revaluation gains/losses (e.g. FY2018 EBITDA margin 142%, FY2021 253%) that are non-cash and non-repeatable.</t>
  </si>
  <si>
    <t>Methodology - SBC</t>
  </si>
  <si>
    <t>SBC is immaterial for AIA.NZ (FY2025 share-based payments reserve balance NZ$2.2m, annual expense ~NZ$0.3-0.5m via a small 8-person executive LTI share-rights plan) and does not meaningfully affect valuation or share count.</t>
  </si>
  <si>
    <t>Methodology - cash tax rate</t>
  </si>
  <si>
    <t>Held at 27% flat across the projection (close to FY2025 effective 24.1% and H1-2026 effective 27.5%, near NZ statutory 28%); no valuation-allowance release or one-off credit identified, so no ramp was needed (unlike names such as DUOL).</t>
  </si>
  <si>
    <t>Methodology - WACC</t>
  </si>
  <si>
    <t>Base 7.5%, Bull 7.0%, Bear 8.5%. Chosen for a large-cap (~NZ$15bn market cap), investment-grade (A- rated), regulated infrastructure monopoly -- NOT a small-cap stacked WACC. Cross-referenced against AIA's own disclosed PSE4 aeronautical target return of 7.82% (nominal vanilla WACC per Commerce Commission methodology).</t>
  </si>
  <si>
    <t>KNOWN LIMITATION</t>
  </si>
  <si>
    <t>The rigorous WACC-based DCF (base IV ~NZ$1.90/share) lands far below the current market price (NZD 8.76) and below the entry price (near/below zero). This is because the market prices AIA at a ~24.6x EV/EBITDAFI multiple (a duration/scarcity premium typical of listed regulated-monopoly airport infrastructure) that a textbook 7-8.5% WACC Gordon-growth terminal value cannot replicate while also discounting 5-8 years of deeply negative capex-driven interim FCF. See the cross_check_memo in the JSON and the warnings field. Treat the DCF outputs as a conservative cash-flow floor and cross-check against peer EV/EBITDA multiples and regulatory asset base (RAB) approaches before concluding the stock is overvalued.</t>
  </si>
  <si>
    <t>What to refresh after next earnings</t>
  </si>
  <si>
    <t>FY2026 Annual Report (expected Aug 2026): update FY2026 actual revenue/EBITDAFI/capex/D&amp;A, roll the projection base year forward, re-check capex guidance for FY2027 and confirm whether the domestic jet terminal completion timeline (~2029) has shifted. Also re-check the Middle East fuel-price shock impact on FY2026 passenger volumes flagged in the H1 FY2026 results as a live risk.</t>
  </si>
  <si>
    <t>Cell colour conventions</t>
  </si>
  <si>
    <t>Gray/light-blue cells = INPUTS (editable). White cells = FORMULAS (derived, do not hand-edit). Green cells = key valuation outputs (Intrinsic Value/share, Entry Price).</t>
  </si>
  <si>
    <t>Staleness warning</t>
  </si>
  <si>
    <t>All figures will go stale after the next earnings release, guidance update, or material capex program change (e.g. Master Plan revision, PSE5 determination). Re-verify current_price, capex guidance and underlying profit guidance before relying on this model.</t>
  </si>
</sst>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&quot;$&quot;#,##0.00"/>
    <numFmt numFmtId="167" formatCode="0.00%"/>
  </numFmts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rgb="FFD6303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5" fillId="3" borderId="2" xfId="0" applyFont="1" applyFill="1" applyBorder="1"/>
    <xf numFmtId="165" fontId="0" fillId="0" borderId="2" xfId="0" applyNumberFormat="1" applyBorder="1"/>
    <xf numFmtId="0" fontId="6" fillId="0" borderId="0" xfId="0" applyFont="1"/>
    <xf numFmtId="166" fontId="5" fillId="4" borderId="2" xfId="0" applyNumberFormat="1" applyFont="1" applyFill="1" applyBorder="1"/>
    <xf numFmtId="167" fontId="5" fillId="3" borderId="0" xfId="0" applyNumberFormat="1" applyFont="1" applyFill="1"/>
    <xf numFmtId="166" fontId="0" fillId="0" borderId="2" xfId="0" applyNumberFormat="1" applyBorder="1"/>
    <xf numFmtId="0" fontId="7" fillId="0" borderId="0" xfId="0" applyFont="1" applyAlignment="1">
      <alignment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61"/>
  <sheetViews>
    <sheetView tabSelected="1" workbookViewId="0"/>
  </sheetViews>
  <sheetFormatPr defaultRowHeight="15"/>
  <cols>
    <col min="1" max="1" width="30.7109375" customWidth="1"/>
    <col min="2" max="12" width="12.7109375" customWidth="1"/>
  </cols>
  <sheetData>
    <row r="1" spans="1:12">
      <c r="A1" s="1" t="s">
        <v>0</v>
      </c>
    </row>
    <row r="2" spans="1:12" ht="30" customHeight="1">
      <c r="A2" s="2" t="s">
        <v>1</v>
      </c>
    </row>
    <row r="3" spans="1:12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spans="1:12">
      <c r="A5" s="4" t="s">
        <v>3</v>
      </c>
    </row>
    <row r="6" spans="1:12">
      <c r="A6" t="s">
        <v>4</v>
      </c>
      <c r="B6" s="5">
        <v>8.76</v>
      </c>
    </row>
    <row r="7" spans="1:12">
      <c r="A7" t="s">
        <v>5</v>
      </c>
      <c r="B7" s="5">
        <v>1705.7</v>
      </c>
    </row>
    <row r="8" spans="1:12">
      <c r="A8" t="s">
        <v>6</v>
      </c>
      <c r="B8" s="5">
        <v>360.6</v>
      </c>
    </row>
    <row r="9" spans="1:12">
      <c r="A9" t="s">
        <v>7</v>
      </c>
      <c r="B9" s="5">
        <v>2652.1</v>
      </c>
    </row>
    <row r="10" spans="1:12">
      <c r="A10" t="s">
        <v>8</v>
      </c>
      <c r="B10" s="6">
        <f>B9-B8</f>
        <v>0</v>
      </c>
    </row>
    <row r="11" spans="1:12">
      <c r="A11" t="s">
        <v>9</v>
      </c>
      <c r="B11" s="5">
        <v>1004.7</v>
      </c>
    </row>
    <row r="12" spans="1:12">
      <c r="A12" t="s">
        <v>10</v>
      </c>
      <c r="B12" s="7">
        <v>2.7E-05</v>
      </c>
    </row>
    <row r="14" spans="1:12">
      <c r="A14" t="s">
        <v>11</v>
      </c>
      <c r="B14" s="7">
        <v>0.075</v>
      </c>
    </row>
    <row r="15" spans="1:12">
      <c r="A15" t="s">
        <v>12</v>
      </c>
      <c r="B15" s="7">
        <v>0.0225</v>
      </c>
    </row>
    <row r="16" spans="1:12">
      <c r="A16" t="s">
        <v>13</v>
      </c>
      <c r="B16" s="5">
        <v>20</v>
      </c>
    </row>
    <row r="18" spans="1:11">
      <c r="A18" s="4" t="s">
        <v>14</v>
      </c>
    </row>
    <row r="19" spans="1:11">
      <c r="B19" s="8" t="s">
        <v>15</v>
      </c>
      <c r="C19" s="8" t="s">
        <v>16</v>
      </c>
      <c r="D19" s="8" t="s">
        <v>17</v>
      </c>
      <c r="E19" s="8" t="s">
        <v>18</v>
      </c>
      <c r="F19" s="8" t="s">
        <v>19</v>
      </c>
      <c r="G19" s="8" t="s">
        <v>20</v>
      </c>
      <c r="H19" s="8" t="s">
        <v>21</v>
      </c>
      <c r="I19" s="8" t="s">
        <v>22</v>
      </c>
      <c r="J19" s="8" t="s">
        <v>23</v>
      </c>
      <c r="K19" s="8" t="s">
        <v>24</v>
      </c>
    </row>
    <row r="20" spans="1:11">
      <c r="A20" t="s">
        <v>25</v>
      </c>
      <c r="B20" s="7">
        <v>0.05</v>
      </c>
      <c r="C20" s="7">
        <v>0.06</v>
      </c>
      <c r="D20" s="7">
        <v>0.07000000000000001</v>
      </c>
      <c r="E20" s="7">
        <v>0.075</v>
      </c>
      <c r="F20" s="7">
        <v>0.065</v>
      </c>
      <c r="G20" s="7">
        <v>0.055</v>
      </c>
      <c r="H20" s="7">
        <v>0.05</v>
      </c>
      <c r="I20" s="7">
        <v>0.045</v>
      </c>
      <c r="J20" s="7">
        <v>0.04</v>
      </c>
      <c r="K20" s="7">
        <v>0.04</v>
      </c>
    </row>
    <row r="21" spans="1:11">
      <c r="A21" t="s">
        <v>26</v>
      </c>
      <c r="B21" s="7">
        <v>0.705</v>
      </c>
      <c r="C21" s="7">
        <v>0.71</v>
      </c>
      <c r="D21" s="7">
        <v>0.715</v>
      </c>
      <c r="E21" s="7">
        <v>0.72</v>
      </c>
      <c r="F21" s="7">
        <v>0.723</v>
      </c>
      <c r="G21" s="7">
        <v>0.725</v>
      </c>
      <c r="H21" s="7">
        <v>0.727</v>
      </c>
      <c r="I21" s="7">
        <v>0.728</v>
      </c>
      <c r="J21" s="7">
        <v>0.7290000000000001</v>
      </c>
      <c r="K21" s="7">
        <v>0.73</v>
      </c>
    </row>
    <row r="22" spans="1:11">
      <c r="A22" t="s">
        <v>27</v>
      </c>
      <c r="B22" s="7">
        <v>0.21</v>
      </c>
      <c r="C22" s="7">
        <v>0.22</v>
      </c>
      <c r="D22" s="7">
        <v>0.225</v>
      </c>
      <c r="E22" s="7">
        <v>0.225</v>
      </c>
      <c r="F22" s="7">
        <v>0.22</v>
      </c>
      <c r="G22" s="7">
        <v>0.21</v>
      </c>
      <c r="H22" s="7">
        <v>0.195</v>
      </c>
      <c r="I22" s="7">
        <v>0.18</v>
      </c>
      <c r="J22" s="7">
        <v>0.165</v>
      </c>
      <c r="K22" s="7">
        <v>0.155</v>
      </c>
    </row>
    <row r="23" spans="1:11">
      <c r="A23" t="s">
        <v>28</v>
      </c>
      <c r="B23" s="5">
        <v>1100</v>
      </c>
      <c r="C23" s="5">
        <v>1300</v>
      </c>
      <c r="D23" s="5">
        <v>1400</v>
      </c>
      <c r="E23" s="5">
        <v>1300</v>
      </c>
      <c r="F23" s="5">
        <v>1000</v>
      </c>
      <c r="G23" s="5">
        <v>700</v>
      </c>
      <c r="H23" s="5">
        <v>450</v>
      </c>
      <c r="I23" s="5">
        <v>350</v>
      </c>
      <c r="J23" s="5">
        <v>320</v>
      </c>
      <c r="K23" s="5">
        <v>320</v>
      </c>
    </row>
    <row r="24" spans="1:11">
      <c r="A24" t="s">
        <v>29</v>
      </c>
      <c r="B24" s="7">
        <v>0.27</v>
      </c>
      <c r="C24" s="7">
        <v>0.27</v>
      </c>
      <c r="D24" s="7">
        <v>0.27</v>
      </c>
      <c r="E24" s="7">
        <v>0.27</v>
      </c>
      <c r="F24" s="7">
        <v>0.27</v>
      </c>
      <c r="G24" s="7">
        <v>0.27</v>
      </c>
      <c r="H24" s="7">
        <v>0.27</v>
      </c>
      <c r="I24" s="7">
        <v>0.27</v>
      </c>
      <c r="J24" s="7">
        <v>0.27</v>
      </c>
      <c r="K24" s="7">
        <v>0.27</v>
      </c>
    </row>
    <row r="25" spans="1:11">
      <c r="A25" t="s">
        <v>30</v>
      </c>
      <c r="B25" s="7">
        <v>0.05</v>
      </c>
    </row>
    <row r="27" spans="1:11">
      <c r="A27" s="4" t="s">
        <v>31</v>
      </c>
    </row>
    <row r="28" spans="1:11">
      <c r="B28" s="8" t="s">
        <v>15</v>
      </c>
      <c r="C28" s="8" t="s">
        <v>16</v>
      </c>
      <c r="D28" s="8" t="s">
        <v>17</v>
      </c>
      <c r="E28" s="8" t="s">
        <v>18</v>
      </c>
      <c r="F28" s="8" t="s">
        <v>19</v>
      </c>
      <c r="G28" s="8" t="s">
        <v>20</v>
      </c>
      <c r="H28" s="8" t="s">
        <v>21</v>
      </c>
      <c r="I28" s="8" t="s">
        <v>22</v>
      </c>
      <c r="J28" s="8" t="s">
        <v>23</v>
      </c>
      <c r="K28" s="8" t="s">
        <v>24</v>
      </c>
    </row>
    <row r="29" spans="1:11">
      <c r="A29" t="s">
        <v>32</v>
      </c>
      <c r="B29" s="6">
        <f>$B$11*(1+B20)</f>
        <v>0</v>
      </c>
      <c r="C29" s="6">
        <f>B29*(1+C20)</f>
        <v>0</v>
      </c>
      <c r="D29" s="6">
        <f>C29*(1+D20)</f>
        <v>0</v>
      </c>
      <c r="E29" s="6">
        <f>D29*(1+E20)</f>
        <v>0</v>
      </c>
      <c r="F29" s="6">
        <f>E29*(1+F20)</f>
        <v>0</v>
      </c>
      <c r="G29" s="6">
        <f>F29*(1+G20)</f>
        <v>0</v>
      </c>
      <c r="H29" s="6">
        <f>G29*(1+H20)</f>
        <v>0</v>
      </c>
      <c r="I29" s="6">
        <f>H29*(1+I20)</f>
        <v>0</v>
      </c>
      <c r="J29" s="6">
        <f>I29*(1+J20)</f>
        <v>0</v>
      </c>
      <c r="K29" s="6">
        <f>J29*(1+K20)</f>
        <v>0</v>
      </c>
    </row>
    <row r="30" spans="1:11">
      <c r="A30" t="s">
        <v>33</v>
      </c>
      <c r="B30" s="6">
        <f>B29*B21</f>
        <v>0</v>
      </c>
      <c r="C30" s="6">
        <f>C29*C21</f>
        <v>0</v>
      </c>
      <c r="D30" s="6">
        <f>D29*D21</f>
        <v>0</v>
      </c>
      <c r="E30" s="6">
        <f>E29*E21</f>
        <v>0</v>
      </c>
      <c r="F30" s="6">
        <f>F29*F21</f>
        <v>0</v>
      </c>
      <c r="G30" s="6">
        <f>G29*G21</f>
        <v>0</v>
      </c>
      <c r="H30" s="6">
        <f>H29*H21</f>
        <v>0</v>
      </c>
      <c r="I30" s="6">
        <f>I29*I21</f>
        <v>0</v>
      </c>
      <c r="J30" s="6">
        <f>J29*J21</f>
        <v>0</v>
      </c>
      <c r="K30" s="6">
        <f>K29*K21</f>
        <v>0</v>
      </c>
    </row>
    <row r="31" spans="1:11">
      <c r="A31" t="s">
        <v>34</v>
      </c>
      <c r="B31" s="6">
        <f>B29*B22</f>
        <v>0</v>
      </c>
      <c r="C31" s="6">
        <f>C29*C22</f>
        <v>0</v>
      </c>
      <c r="D31" s="6">
        <f>D29*D22</f>
        <v>0</v>
      </c>
      <c r="E31" s="6">
        <f>E29*E22</f>
        <v>0</v>
      </c>
      <c r="F31" s="6">
        <f>F29*F22</f>
        <v>0</v>
      </c>
      <c r="G31" s="6">
        <f>G29*G22</f>
        <v>0</v>
      </c>
      <c r="H31" s="6">
        <f>H29*H22</f>
        <v>0</v>
      </c>
      <c r="I31" s="6">
        <f>I29*I22</f>
        <v>0</v>
      </c>
      <c r="J31" s="6">
        <f>J29*J22</f>
        <v>0</v>
      </c>
      <c r="K31" s="6">
        <f>K29*K22</f>
        <v>0</v>
      </c>
    </row>
    <row r="32" spans="1:11">
      <c r="A32" t="s">
        <v>35</v>
      </c>
      <c r="B32" s="6">
        <f>B30-B31</f>
        <v>0</v>
      </c>
      <c r="C32" s="6">
        <f>C30-C31</f>
        <v>0</v>
      </c>
      <c r="D32" s="6">
        <f>D30-D31</f>
        <v>0</v>
      </c>
      <c r="E32" s="6">
        <f>E30-E31</f>
        <v>0</v>
      </c>
      <c r="F32" s="6">
        <f>F30-F31</f>
        <v>0</v>
      </c>
      <c r="G32" s="6">
        <f>G30-G31</f>
        <v>0</v>
      </c>
      <c r="H32" s="6">
        <f>H30-H31</f>
        <v>0</v>
      </c>
      <c r="I32" s="6">
        <f>I30-I31</f>
        <v>0</v>
      </c>
      <c r="J32" s="6">
        <f>J30-J31</f>
        <v>0</v>
      </c>
      <c r="K32" s="6">
        <f>K30-K31</f>
        <v>0</v>
      </c>
    </row>
    <row r="33" spans="1:11">
      <c r="A33" t="s">
        <v>36</v>
      </c>
      <c r="B33" s="6">
        <f>B32*(1-B24)</f>
        <v>0</v>
      </c>
      <c r="C33" s="6">
        <f>C32*(1-C24)</f>
        <v>0</v>
      </c>
      <c r="D33" s="6">
        <f>D32*(1-D24)</f>
        <v>0</v>
      </c>
      <c r="E33" s="6">
        <f>E32*(1-E24)</f>
        <v>0</v>
      </c>
      <c r="F33" s="6">
        <f>F32*(1-F24)</f>
        <v>0</v>
      </c>
      <c r="G33" s="6">
        <f>G32*(1-G24)</f>
        <v>0</v>
      </c>
      <c r="H33" s="6">
        <f>H32*(1-H24)</f>
        <v>0</v>
      </c>
      <c r="I33" s="6">
        <f>I32*(1-I24)</f>
        <v>0</v>
      </c>
      <c r="J33" s="6">
        <f>J32*(1-J24)</f>
        <v>0</v>
      </c>
      <c r="K33" s="6">
        <f>K32*(1-K24)</f>
        <v>0</v>
      </c>
    </row>
    <row r="34" spans="1:11">
      <c r="A34" t="s">
        <v>37</v>
      </c>
      <c r="B34" s="6">
        <f>B23</f>
        <v>0</v>
      </c>
      <c r="C34" s="6">
        <f>C23</f>
        <v>0</v>
      </c>
      <c r="D34" s="6">
        <f>D23</f>
        <v>0</v>
      </c>
      <c r="E34" s="6">
        <f>E23</f>
        <v>0</v>
      </c>
      <c r="F34" s="6">
        <f>F23</f>
        <v>0</v>
      </c>
      <c r="G34" s="6">
        <f>G23</f>
        <v>0</v>
      </c>
      <c r="H34" s="6">
        <f>H23</f>
        <v>0</v>
      </c>
      <c r="I34" s="6">
        <f>I23</f>
        <v>0</v>
      </c>
      <c r="J34" s="6">
        <f>J23</f>
        <v>0</v>
      </c>
      <c r="K34" s="6">
        <f>K23</f>
        <v>0</v>
      </c>
    </row>
    <row r="35" spans="1:11">
      <c r="A35" t="s">
        <v>38</v>
      </c>
      <c r="B35" s="6">
        <f>$B$25*(B29-$B$11)</f>
        <v>0</v>
      </c>
      <c r="C35" s="6">
        <f>$B$25*(C29-B29)</f>
        <v>0</v>
      </c>
      <c r="D35" s="6">
        <f>$B$25*(D29-C29)</f>
        <v>0</v>
      </c>
      <c r="E35" s="6">
        <f>$B$25*(E29-D29)</f>
        <v>0</v>
      </c>
      <c r="F35" s="6">
        <f>$B$25*(F29-E29)</f>
        <v>0</v>
      </c>
      <c r="G35" s="6">
        <f>$B$25*(G29-F29)</f>
        <v>0</v>
      </c>
      <c r="H35" s="6">
        <f>$B$25*(H29-G29)</f>
        <v>0</v>
      </c>
      <c r="I35" s="6">
        <f>$B$25*(I29-H29)</f>
        <v>0</v>
      </c>
      <c r="J35" s="6">
        <f>$B$25*(J29-I29)</f>
        <v>0</v>
      </c>
      <c r="K35" s="6">
        <f>$B$25*(K29-J29)</f>
        <v>0</v>
      </c>
    </row>
    <row r="36" spans="1:11">
      <c r="A36" t="s">
        <v>39</v>
      </c>
      <c r="B36" s="6">
        <f>B33+B31-B34+B35</f>
        <v>0</v>
      </c>
      <c r="C36" s="6">
        <f>C33+C31-C34+C35</f>
        <v>0</v>
      </c>
      <c r="D36" s="6">
        <f>D33+D31-D34+D35</f>
        <v>0</v>
      </c>
      <c r="E36" s="6">
        <f>E33+E31-E34+E35</f>
        <v>0</v>
      </c>
      <c r="F36" s="6">
        <f>F33+F31-F34+F35</f>
        <v>0</v>
      </c>
      <c r="G36" s="6">
        <f>G33+G31-G34+G35</f>
        <v>0</v>
      </c>
      <c r="H36" s="6">
        <f>H33+H31-H34+H35</f>
        <v>0</v>
      </c>
      <c r="I36" s="6">
        <f>I33+I31-I34+I35</f>
        <v>0</v>
      </c>
      <c r="J36" s="6">
        <f>J33+J31-J34+J35</f>
        <v>0</v>
      </c>
      <c r="K36" s="6">
        <f>K33+K31-K34+K35</f>
        <v>0</v>
      </c>
    </row>
    <row r="37" spans="1:11">
      <c r="A37" t="s">
        <v>40</v>
      </c>
      <c r="B37" s="9">
        <f>B36/B29</f>
        <v>0</v>
      </c>
      <c r="C37" s="9">
        <f>C36/C29</f>
        <v>0</v>
      </c>
      <c r="D37" s="9">
        <f>D36/D29</f>
        <v>0</v>
      </c>
      <c r="E37" s="9">
        <f>E36/E29</f>
        <v>0</v>
      </c>
      <c r="F37" s="9">
        <f>F36/F29</f>
        <v>0</v>
      </c>
      <c r="G37" s="9">
        <f>G36/G29</f>
        <v>0</v>
      </c>
      <c r="H37" s="9">
        <f>H36/H29</f>
        <v>0</v>
      </c>
      <c r="I37" s="9">
        <f>I36/I29</f>
        <v>0</v>
      </c>
      <c r="J37" s="9">
        <f>J36/J29</f>
        <v>0</v>
      </c>
      <c r="K37" s="9">
        <f>K36/K29</f>
        <v>0</v>
      </c>
    </row>
    <row r="38" spans="1:11">
      <c r="A38" t="s">
        <v>41</v>
      </c>
      <c r="B38" s="6">
        <f>1/(1+$B$14)^1</f>
        <v>0</v>
      </c>
      <c r="C38" s="6">
        <f>1/(1+$B$14)^2</f>
        <v>0</v>
      </c>
      <c r="D38" s="6">
        <f>1/(1+$B$14)^3</f>
        <v>0</v>
      </c>
      <c r="E38" s="6">
        <f>1/(1+$B$14)^4</f>
        <v>0</v>
      </c>
      <c r="F38" s="6">
        <f>1/(1+$B$14)^5</f>
        <v>0</v>
      </c>
      <c r="G38" s="6">
        <f>1/(1+$B$14)^6</f>
        <v>0</v>
      </c>
      <c r="H38" s="6">
        <f>1/(1+$B$14)^7</f>
        <v>0</v>
      </c>
      <c r="I38" s="6">
        <f>1/(1+$B$14)^8</f>
        <v>0</v>
      </c>
      <c r="J38" s="6">
        <f>1/(1+$B$14)^9</f>
        <v>0</v>
      </c>
      <c r="K38" s="6">
        <f>1/(1+$B$14)^10</f>
        <v>0</v>
      </c>
    </row>
    <row r="39" spans="1:11">
      <c r="A39" t="s">
        <v>42</v>
      </c>
      <c r="B39" s="6">
        <f>B36*B38</f>
        <v>0</v>
      </c>
      <c r="C39" s="6">
        <f>C36*C38</f>
        <v>0</v>
      </c>
      <c r="D39" s="6">
        <f>D36*D38</f>
        <v>0</v>
      </c>
      <c r="E39" s="6">
        <f>E36*E38</f>
        <v>0</v>
      </c>
      <c r="F39" s="6">
        <f>F36*F38</f>
        <v>0</v>
      </c>
      <c r="G39" s="6">
        <f>G36*G38</f>
        <v>0</v>
      </c>
      <c r="H39" s="6">
        <f>H36*H38</f>
        <v>0</v>
      </c>
      <c r="I39" s="6">
        <f>I36*I38</f>
        <v>0</v>
      </c>
      <c r="J39" s="6">
        <f>J36*J38</f>
        <v>0</v>
      </c>
      <c r="K39" s="6">
        <f>K36*K38</f>
        <v>0</v>
      </c>
    </row>
    <row r="41" spans="1:11">
      <c r="A41" s="4" t="s">
        <v>43</v>
      </c>
    </row>
    <row r="42" spans="1:11">
      <c r="A42" t="s">
        <v>44</v>
      </c>
      <c r="B42" s="6">
        <f>SUM(B39:K39)</f>
        <v>0</v>
      </c>
    </row>
    <row r="43" spans="1:11">
      <c r="A43" t="s">
        <v>45</v>
      </c>
      <c r="B43" s="6">
        <f>K36</f>
        <v>0</v>
      </c>
    </row>
    <row r="44" spans="1:11">
      <c r="A44" t="s">
        <v>46</v>
      </c>
      <c r="B44" s="6">
        <f>B43*(1+$B$15)/($B$14-$B$15)</f>
        <v>0</v>
      </c>
    </row>
    <row r="45" spans="1:11">
      <c r="A45" t="s">
        <v>47</v>
      </c>
      <c r="B45" s="6">
        <f>B43*$B$16</f>
        <v>0</v>
      </c>
    </row>
    <row r="46" spans="1:11">
      <c r="A46" t="s">
        <v>48</v>
      </c>
      <c r="B46" s="6">
        <f>MIN(B44,B45)</f>
        <v>0</v>
      </c>
    </row>
    <row r="47" spans="1:11">
      <c r="A47" t="s">
        <v>49</v>
      </c>
      <c r="B47" s="6">
        <f>B46*K38</f>
        <v>0</v>
      </c>
    </row>
    <row r="48" spans="1:11">
      <c r="A48" t="s">
        <v>50</v>
      </c>
      <c r="B48" s="6">
        <f>B42+B47</f>
        <v>0</v>
      </c>
    </row>
    <row r="49" spans="1:2">
      <c r="A49" t="s">
        <v>51</v>
      </c>
      <c r="B49" s="6">
        <f>B10</f>
        <v>0</v>
      </c>
    </row>
    <row r="50" spans="1:2">
      <c r="A50" t="s">
        <v>52</v>
      </c>
      <c r="B50" s="6">
        <f>B48-B49</f>
        <v>0</v>
      </c>
    </row>
    <row r="51" spans="1:2">
      <c r="A51" t="s">
        <v>53</v>
      </c>
      <c r="B51" s="6">
        <f>$B$7*(1+$B$12)^10</f>
        <v>0</v>
      </c>
    </row>
    <row r="52" spans="1:2">
      <c r="A52" s="10" t="s">
        <v>54</v>
      </c>
      <c r="B52" s="11">
        <f>B50/B51</f>
        <v>0</v>
      </c>
    </row>
    <row r="54" spans="1:2">
      <c r="A54" s="4" t="s">
        <v>55</v>
      </c>
    </row>
    <row r="55" spans="1:2">
      <c r="A55" t="s">
        <v>56</v>
      </c>
      <c r="B55" s="6">
        <f>NPV(0.15,B36:K36)</f>
        <v>0</v>
      </c>
    </row>
    <row r="56" spans="1:2">
      <c r="A56" t="s">
        <v>57</v>
      </c>
      <c r="B56" s="6">
        <f>B46/(1.15^10)</f>
        <v>0</v>
      </c>
    </row>
    <row r="57" spans="1:2">
      <c r="A57" t="s">
        <v>51</v>
      </c>
      <c r="B57" s="6">
        <f>B10</f>
        <v>0</v>
      </c>
    </row>
    <row r="58" spans="1:2">
      <c r="A58" t="s">
        <v>58</v>
      </c>
      <c r="B58" s="11">
        <f>(B55+B56-B57)/B51</f>
        <v>0</v>
      </c>
    </row>
    <row r="60" spans="1:2">
      <c r="A60" t="s">
        <v>59</v>
      </c>
      <c r="B60" s="9">
        <f>(B52-B6)/B6</f>
        <v>0</v>
      </c>
    </row>
    <row r="61" spans="1:2">
      <c r="A61" t="s">
        <v>60</v>
      </c>
      <c r="B61" s="9">
        <f>(B6-B58)/B6</f>
        <v>0</v>
      </c>
    </row>
  </sheetData>
  <mergeCells count="1">
    <mergeCell ref="A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61</v>
      </c>
    </row>
    <row r="2" spans="1:6">
      <c r="A2" t="s">
        <v>62</v>
      </c>
    </row>
    <row r="4" spans="1:6">
      <c r="A4" s="8" t="s">
        <v>63</v>
      </c>
      <c r="B4" s="12">
        <v>0.0125</v>
      </c>
      <c r="C4" s="12">
        <v>0.0175</v>
      </c>
      <c r="D4" s="12">
        <v>0.0225</v>
      </c>
      <c r="E4" s="12">
        <v>0.0275</v>
      </c>
      <c r="F4" s="12">
        <v>0.0325</v>
      </c>
    </row>
    <row r="5" spans="1:6">
      <c r="A5" s="12">
        <v>0.055</v>
      </c>
      <c r="B5" s="13">
        <f>(SUMPRODUCT('DCF Model'!$B$36:$K$36,1/(1+0.055)^{1,2,3,4,5,6,7,8,9,10})+MIN('DCF Model'!$K$36*(1+0.0125)/(0.055-0.0125),'DCF Model'!$K$36*'DCF Model'!$B$16)/(1+0.055)^10-'DCF Model'!$B$10)/'DCF Model'!$B$51</f>
        <v>0</v>
      </c>
      <c r="C5" s="13">
        <f>(SUMPRODUCT('DCF Model'!$B$36:$K$36,1/(1+0.055)^{1,2,3,4,5,6,7,8,9,10})+MIN('DCF Model'!$K$36*(1+0.0175)/(0.055-0.0175),'DCF Model'!$K$36*'DCF Model'!$B$16)/(1+0.055)^10-'DCF Model'!$B$10)/'DCF Model'!$B$51</f>
        <v>0</v>
      </c>
      <c r="D5" s="13">
        <f>(SUMPRODUCT('DCF Model'!$B$36:$K$36,1/(1+0.055)^{1,2,3,4,5,6,7,8,9,10})+MIN('DCF Model'!$K$36*(1+0.0225)/(0.055-0.0225),'DCF Model'!$K$36*'DCF Model'!$B$16)/(1+0.055)^10-'DCF Model'!$B$10)/'DCF Model'!$B$51</f>
        <v>0</v>
      </c>
      <c r="E5" s="13">
        <f>(SUMPRODUCT('DCF Model'!$B$36:$K$36,1/(1+0.055)^{1,2,3,4,5,6,7,8,9,10})+MIN('DCF Model'!$K$36*(1+0.0275)/(0.055-0.0275),'DCF Model'!$K$36*'DCF Model'!$B$16)/(1+0.055)^10-'DCF Model'!$B$10)/'DCF Model'!$B$51</f>
        <v>0</v>
      </c>
      <c r="F5" s="13">
        <f>(SUMPRODUCT('DCF Model'!$B$36:$K$36,1/(1+0.055)^{1,2,3,4,5,6,7,8,9,10})+MIN('DCF Model'!$K$36*(1+0.0325)/(0.055-0.0325),'DCF Model'!$K$36*'DCF Model'!$B$16)/(1+0.055)^10-'DCF Model'!$B$10)/'DCF Model'!$B$51</f>
        <v>0</v>
      </c>
    </row>
    <row r="6" spans="1:6">
      <c r="A6" s="12">
        <v>0.065</v>
      </c>
      <c r="B6" s="13">
        <f>(SUMPRODUCT('DCF Model'!$B$36:$K$36,1/(1+0.065)^{1,2,3,4,5,6,7,8,9,10})+MIN('DCF Model'!$K$36*(1+0.0125)/(0.065-0.0125),'DCF Model'!$K$36*'DCF Model'!$B$16)/(1+0.065)^10-'DCF Model'!$B$10)/'DCF Model'!$B$51</f>
        <v>0</v>
      </c>
      <c r="C6" s="13">
        <f>(SUMPRODUCT('DCF Model'!$B$36:$K$36,1/(1+0.065)^{1,2,3,4,5,6,7,8,9,10})+MIN('DCF Model'!$K$36*(1+0.0175)/(0.065-0.0175),'DCF Model'!$K$36*'DCF Model'!$B$16)/(1+0.065)^10-'DCF Model'!$B$10)/'DCF Model'!$B$51</f>
        <v>0</v>
      </c>
      <c r="D6" s="13">
        <f>(SUMPRODUCT('DCF Model'!$B$36:$K$36,1/(1+0.065)^{1,2,3,4,5,6,7,8,9,10})+MIN('DCF Model'!$K$36*(1+0.0225)/(0.065-0.0225),'DCF Model'!$K$36*'DCF Model'!$B$16)/(1+0.065)^10-'DCF Model'!$B$10)/'DCF Model'!$B$51</f>
        <v>0</v>
      </c>
      <c r="E6" s="13">
        <f>(SUMPRODUCT('DCF Model'!$B$36:$K$36,1/(1+0.065)^{1,2,3,4,5,6,7,8,9,10})+MIN('DCF Model'!$K$36*(1+0.0275)/(0.065-0.0275),'DCF Model'!$K$36*'DCF Model'!$B$16)/(1+0.065)^10-'DCF Model'!$B$10)/'DCF Model'!$B$51</f>
        <v>0</v>
      </c>
      <c r="F6" s="13">
        <f>(SUMPRODUCT('DCF Model'!$B$36:$K$36,1/(1+0.065)^{1,2,3,4,5,6,7,8,9,10})+MIN('DCF Model'!$K$36*(1+0.0325)/(0.065-0.0325),'DCF Model'!$K$36*'DCF Model'!$B$16)/(1+0.065)^10-'DCF Model'!$B$10)/'DCF Model'!$B$51</f>
        <v>0</v>
      </c>
    </row>
    <row r="7" spans="1:6">
      <c r="A7" s="12">
        <v>0.075</v>
      </c>
      <c r="B7" s="13">
        <f>(SUMPRODUCT('DCF Model'!$B$36:$K$36,1/(1+0.075)^{1,2,3,4,5,6,7,8,9,10})+MIN('DCF Model'!$K$36*(1+0.0125)/(0.075-0.0125),'DCF Model'!$K$36*'DCF Model'!$B$16)/(1+0.075)^10-'DCF Model'!$B$10)/'DCF Model'!$B$51</f>
        <v>0</v>
      </c>
      <c r="C7" s="13">
        <f>(SUMPRODUCT('DCF Model'!$B$36:$K$36,1/(1+0.075)^{1,2,3,4,5,6,7,8,9,10})+MIN('DCF Model'!$K$36*(1+0.0175)/(0.075-0.0175),'DCF Model'!$K$36*'DCF Model'!$B$16)/(1+0.075)^10-'DCF Model'!$B$10)/'DCF Model'!$B$51</f>
        <v>0</v>
      </c>
      <c r="D7" s="13">
        <f>(SUMPRODUCT('DCF Model'!$B$36:$K$36,1/(1+0.075)^{1,2,3,4,5,6,7,8,9,10})+MIN('DCF Model'!$K$36*(1+0.0225)/(0.075-0.0225),'DCF Model'!$K$36*'DCF Model'!$B$16)/(1+0.075)^10-'DCF Model'!$B$10)/'DCF Model'!$B$51</f>
        <v>0</v>
      </c>
      <c r="E7" s="13">
        <f>(SUMPRODUCT('DCF Model'!$B$36:$K$36,1/(1+0.075)^{1,2,3,4,5,6,7,8,9,10})+MIN('DCF Model'!$K$36*(1+0.0275)/(0.075-0.0275),'DCF Model'!$K$36*'DCF Model'!$B$16)/(1+0.075)^10-'DCF Model'!$B$10)/'DCF Model'!$B$51</f>
        <v>0</v>
      </c>
      <c r="F7" s="13">
        <f>(SUMPRODUCT('DCF Model'!$B$36:$K$36,1/(1+0.075)^{1,2,3,4,5,6,7,8,9,10})+MIN('DCF Model'!$K$36*(1+0.0325)/(0.075-0.0325),'DCF Model'!$K$36*'DCF Model'!$B$16)/(1+0.075)^10-'DCF Model'!$B$10)/'DCF Model'!$B$51</f>
        <v>0</v>
      </c>
    </row>
    <row r="8" spans="1:6">
      <c r="A8" s="12">
        <v>0.08500000000000001</v>
      </c>
      <c r="B8" s="13">
        <f>(SUMPRODUCT('DCF Model'!$B$36:$K$36,1/(1+0.085)^{1,2,3,4,5,6,7,8,9,10})+MIN('DCF Model'!$K$36*(1+0.0125)/(0.085-0.0125),'DCF Model'!$K$36*'DCF Model'!$B$16)/(1+0.085)^10-'DCF Model'!$B$10)/'DCF Model'!$B$51</f>
        <v>0</v>
      </c>
      <c r="C8" s="13">
        <f>(SUMPRODUCT('DCF Model'!$B$36:$K$36,1/(1+0.085)^{1,2,3,4,5,6,7,8,9,10})+MIN('DCF Model'!$K$36*(1+0.0175)/(0.085-0.0175),'DCF Model'!$K$36*'DCF Model'!$B$16)/(1+0.085)^10-'DCF Model'!$B$10)/'DCF Model'!$B$51</f>
        <v>0</v>
      </c>
      <c r="D8" s="13">
        <f>(SUMPRODUCT('DCF Model'!$B$36:$K$36,1/(1+0.085)^{1,2,3,4,5,6,7,8,9,10})+MIN('DCF Model'!$K$36*(1+0.0225)/(0.085-0.0225),'DCF Model'!$K$36*'DCF Model'!$B$16)/(1+0.085)^10-'DCF Model'!$B$10)/'DCF Model'!$B$51</f>
        <v>0</v>
      </c>
      <c r="E8" s="13">
        <f>(SUMPRODUCT('DCF Model'!$B$36:$K$36,1/(1+0.085)^{1,2,3,4,5,6,7,8,9,10})+MIN('DCF Model'!$K$36*(1+0.0275)/(0.085-0.0275),'DCF Model'!$K$36*'DCF Model'!$B$16)/(1+0.085)^10-'DCF Model'!$B$10)/'DCF Model'!$B$51</f>
        <v>0</v>
      </c>
      <c r="F8" s="13">
        <f>(SUMPRODUCT('DCF Model'!$B$36:$K$36,1/(1+0.085)^{1,2,3,4,5,6,7,8,9,10})+MIN('DCF Model'!$K$36*(1+0.0325)/(0.085-0.0325),'DCF Model'!$K$36*'DCF Model'!$B$16)/(1+0.085)^10-'DCF Model'!$B$10)/'DCF Model'!$B$51</f>
        <v>0</v>
      </c>
    </row>
    <row r="9" spans="1:6">
      <c r="A9" s="12">
        <v>0.095</v>
      </c>
      <c r="B9" s="13">
        <f>(SUMPRODUCT('DCF Model'!$B$36:$K$36,1/(1+0.095)^{1,2,3,4,5,6,7,8,9,10})+MIN('DCF Model'!$K$36*(1+0.0125)/(0.095-0.0125),'DCF Model'!$K$36*'DCF Model'!$B$16)/(1+0.095)^10-'DCF Model'!$B$10)/'DCF Model'!$B$51</f>
        <v>0</v>
      </c>
      <c r="C9" s="13">
        <f>(SUMPRODUCT('DCF Model'!$B$36:$K$36,1/(1+0.095)^{1,2,3,4,5,6,7,8,9,10})+MIN('DCF Model'!$K$36*(1+0.0175)/(0.095-0.0175),'DCF Model'!$K$36*'DCF Model'!$B$16)/(1+0.095)^10-'DCF Model'!$B$10)/'DCF Model'!$B$51</f>
        <v>0</v>
      </c>
      <c r="D9" s="13">
        <f>(SUMPRODUCT('DCF Model'!$B$36:$K$36,1/(1+0.095)^{1,2,3,4,5,6,7,8,9,10})+MIN('DCF Model'!$K$36*(1+0.0225)/(0.095-0.0225),'DCF Model'!$K$36*'DCF Model'!$B$16)/(1+0.095)^10-'DCF Model'!$B$10)/'DCF Model'!$B$51</f>
        <v>0</v>
      </c>
      <c r="E9" s="13">
        <f>(SUMPRODUCT('DCF Model'!$B$36:$K$36,1/(1+0.095)^{1,2,3,4,5,6,7,8,9,10})+MIN('DCF Model'!$K$36*(1+0.0275)/(0.095-0.0275),'DCF Model'!$K$36*'DCF Model'!$B$16)/(1+0.095)^10-'DCF Model'!$B$10)/'DCF Model'!$B$51</f>
        <v>0</v>
      </c>
      <c r="F9" s="13">
        <f>(SUMPRODUCT('DCF Model'!$B$36:$K$36,1/(1+0.095)^{1,2,3,4,5,6,7,8,9,10})+MIN('DCF Model'!$K$36*(1+0.0325)/(0.095-0.0325),'DCF Model'!$K$36*'DCF Model'!$B$16)/(1+0.095)^10-'DCF Model'!$B$10)/'DCF Model'!$B$51</f>
        <v>0</v>
      </c>
    </row>
    <row r="11" spans="1:6">
      <c r="A11" s="14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1"/>
  <sheetViews>
    <sheetView workbookViewId="0"/>
  </sheetViews>
  <sheetFormatPr defaultRowHeight="15"/>
  <cols>
    <col min="1" max="1" width="30.7109375" customWidth="1"/>
    <col min="2" max="11" width="12.7109375" customWidth="1"/>
  </cols>
  <sheetData>
    <row r="1" spans="1:11">
      <c r="A1" s="1" t="s">
        <v>65</v>
      </c>
    </row>
    <row r="3" spans="1:11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  <c r="I3" s="8" t="s">
        <v>74</v>
      </c>
      <c r="J3" s="8" t="s">
        <v>75</v>
      </c>
      <c r="K3" s="8" t="s">
        <v>76</v>
      </c>
    </row>
    <row r="4" spans="1:11">
      <c r="A4" t="s">
        <v>32</v>
      </c>
      <c r="B4" s="6">
        <v>573.9</v>
      </c>
      <c r="C4" s="6">
        <v>629.3</v>
      </c>
      <c r="D4" s="6">
        <v>683.9</v>
      </c>
      <c r="E4" s="6">
        <v>743.4</v>
      </c>
      <c r="F4" s="6">
        <v>567</v>
      </c>
      <c r="G4" s="6">
        <v>281.1</v>
      </c>
      <c r="H4" s="6">
        <v>300.3</v>
      </c>
      <c r="I4" s="6">
        <v>625.9</v>
      </c>
      <c r="J4" s="6">
        <v>895.5</v>
      </c>
      <c r="K4" s="6">
        <v>1004.7</v>
      </c>
    </row>
    <row r="5" spans="1:11">
      <c r="A5" t="s">
        <v>77</v>
      </c>
      <c r="B5" s="6">
        <v>270.5</v>
      </c>
      <c r="C5" s="6">
        <v>307.1</v>
      </c>
      <c r="D5" s="6">
        <v>321.2</v>
      </c>
      <c r="E5" s="6">
        <v>375.9</v>
      </c>
      <c r="F5" s="6">
        <v>175.8</v>
      </c>
      <c r="G5" s="6">
        <v>61</v>
      </c>
      <c r="H5" s="6">
        <v>101.2</v>
      </c>
      <c r="I5" s="6">
        <v>325.1</v>
      </c>
      <c r="J5" s="6">
        <v>496.3</v>
      </c>
      <c r="K5" s="6">
        <v>474.3</v>
      </c>
    </row>
    <row r="6" spans="1:11">
      <c r="A6" t="s">
        <v>78</v>
      </c>
      <c r="B6" s="6">
        <v>-124.4</v>
      </c>
      <c r="C6" s="6">
        <v>-247.9</v>
      </c>
      <c r="D6" s="6">
        <v>-310.3</v>
      </c>
      <c r="E6" s="6">
        <v>-239.1</v>
      </c>
      <c r="F6" s="6">
        <v>-240.5</v>
      </c>
      <c r="G6" s="6">
        <v>-200</v>
      </c>
      <c r="H6" s="6">
        <v>-264.6</v>
      </c>
      <c r="I6" s="6">
        <v>-571.9</v>
      </c>
      <c r="J6" s="6">
        <v>-1077.3</v>
      </c>
      <c r="K6" s="6">
        <v>-1044.4</v>
      </c>
    </row>
    <row r="7" spans="1:11">
      <c r="A7" t="s">
        <v>79</v>
      </c>
      <c r="B7" s="6">
        <v>146.1</v>
      </c>
      <c r="C7" s="6">
        <v>59.2</v>
      </c>
      <c r="D7" s="6">
        <v>10.9</v>
      </c>
      <c r="E7" s="6">
        <v>136.8</v>
      </c>
      <c r="F7" s="6">
        <v>-64.7</v>
      </c>
      <c r="G7" s="6">
        <v>-139</v>
      </c>
      <c r="H7" s="6">
        <v>-163.4</v>
      </c>
      <c r="I7" s="6">
        <v>-246.8</v>
      </c>
      <c r="J7" s="6">
        <v>-581</v>
      </c>
      <c r="K7" s="6">
        <v>-570.1</v>
      </c>
    </row>
    <row r="8" spans="1:11">
      <c r="A8" t="s">
        <v>80</v>
      </c>
    </row>
    <row r="9" spans="1:11">
      <c r="A9" t="s">
        <v>81</v>
      </c>
    </row>
    <row r="10" spans="1:11">
      <c r="A10" t="s">
        <v>39</v>
      </c>
      <c r="B10" s="6">
        <v>146.1</v>
      </c>
      <c r="C10" s="6">
        <v>59.2</v>
      </c>
      <c r="D10" s="6">
        <v>10.9</v>
      </c>
      <c r="E10" s="6">
        <v>136.8</v>
      </c>
      <c r="F10" s="6">
        <v>-64.7</v>
      </c>
      <c r="G10" s="6">
        <v>-139</v>
      </c>
      <c r="H10" s="6">
        <v>-163.4</v>
      </c>
      <c r="I10" s="6">
        <v>-246.8</v>
      </c>
      <c r="J10" s="6">
        <v>-581</v>
      </c>
      <c r="K10" s="6">
        <v>-570.1</v>
      </c>
    </row>
    <row r="11" spans="1:11">
      <c r="A11" t="s">
        <v>82</v>
      </c>
      <c r="B11" s="9">
        <v>0.2545739675901725</v>
      </c>
      <c r="C11" s="9">
        <v>0.0940727792785635</v>
      </c>
      <c r="D11" s="9">
        <v>0.01593800263196374</v>
      </c>
      <c r="E11" s="9">
        <v>0.1840193704600485</v>
      </c>
      <c r="F11" s="9">
        <v>-0.1141093474426808</v>
      </c>
      <c r="G11" s="9">
        <v>-0.4944859480611882</v>
      </c>
      <c r="H11" s="9">
        <v>-0.5441225441225441</v>
      </c>
      <c r="I11" s="9">
        <v>-0.3943121904457582</v>
      </c>
      <c r="J11" s="9">
        <v>-0.6487995533221664</v>
      </c>
      <c r="K11" s="9">
        <v>-0.567433064596397</v>
      </c>
    </row>
    <row r="13" spans="1:11">
      <c r="A13" t="s">
        <v>83</v>
      </c>
      <c r="D13" s="6">
        <v>506.4</v>
      </c>
      <c r="E13" s="6">
        <v>554.8</v>
      </c>
      <c r="H13" s="6">
        <v>144.5</v>
      </c>
      <c r="I13" s="6">
        <v>397.1</v>
      </c>
      <c r="J13" s="6">
        <v>614</v>
      </c>
      <c r="K13" s="6">
        <v>701.1</v>
      </c>
    </row>
    <row r="14" spans="1:11">
      <c r="A14" t="s">
        <v>84</v>
      </c>
      <c r="D14" s="9">
        <v>0.7404591314519666</v>
      </c>
      <c r="E14" s="9">
        <v>0.7463007801990853</v>
      </c>
      <c r="H14" s="9">
        <v>0.4811854811854812</v>
      </c>
      <c r="I14" s="9">
        <v>0.6344463971880493</v>
      </c>
      <c r="J14" s="9">
        <v>0.6856504745951982</v>
      </c>
      <c r="K14" s="9">
        <v>0.6978202448492087</v>
      </c>
    </row>
    <row r="16" spans="1:11">
      <c r="A16" s="10" t="s">
        <v>85</v>
      </c>
      <c r="B16" t="s">
        <v>86</v>
      </c>
    </row>
    <row r="18" spans="1:11">
      <c r="A18" s="3" t="s">
        <v>87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</sheetData>
  <mergeCells count="1">
    <mergeCell ref="A18:K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0"/>
  <sheetViews>
    <sheetView workbookViewId="0"/>
  </sheetViews>
  <sheetFormatPr defaultRowHeight="15"/>
  <cols>
    <col min="1" max="1" width="25.7109375" customWidth="1"/>
    <col min="2" max="3" width="15.7109375" customWidth="1"/>
  </cols>
  <sheetData>
    <row r="1" spans="1:4">
      <c r="A1" s="1" t="s">
        <v>88</v>
      </c>
    </row>
    <row r="3" spans="1:4">
      <c r="A3" s="8" t="s">
        <v>89</v>
      </c>
      <c r="B3" s="8" t="s">
        <v>90</v>
      </c>
      <c r="C3" s="8" t="s">
        <v>91</v>
      </c>
    </row>
    <row r="4" spans="1:4">
      <c r="A4" t="s">
        <v>92</v>
      </c>
      <c r="B4" s="9">
        <v>0.267</v>
      </c>
      <c r="C4" t="s">
        <v>93</v>
      </c>
    </row>
    <row r="5" spans="1:4">
      <c r="A5" t="s">
        <v>94</v>
      </c>
      <c r="B5" s="9">
        <v>0.0515</v>
      </c>
      <c r="C5" t="s">
        <v>95</v>
      </c>
    </row>
    <row r="6" spans="1:4">
      <c r="A6" t="s">
        <v>96</v>
      </c>
      <c r="B6" s="9">
        <v>-0.08259999999999999</v>
      </c>
      <c r="C6" t="s">
        <v>95</v>
      </c>
    </row>
    <row r="7" spans="1:4">
      <c r="A7" t="s">
        <v>97</v>
      </c>
      <c r="B7" s="9">
        <v>0.08710000000000001</v>
      </c>
      <c r="C7" t="s">
        <v>98</v>
      </c>
    </row>
    <row r="8" spans="1:4">
      <c r="A8" t="s">
        <v>99</v>
      </c>
      <c r="B8" s="9">
        <v>0.0955</v>
      </c>
      <c r="C8" t="s">
        <v>100</v>
      </c>
    </row>
    <row r="10" spans="1:4">
      <c r="A10" s="10" t="s">
        <v>101</v>
      </c>
      <c r="B10" t="s">
        <v>102</v>
      </c>
    </row>
    <row r="12" spans="1:4">
      <c r="A12" s="15" t="s">
        <v>103</v>
      </c>
      <c r="B12" s="15"/>
      <c r="C12" s="15"/>
      <c r="D12" s="15"/>
    </row>
    <row r="13" spans="1:4">
      <c r="A13" s="15"/>
      <c r="B13" s="15"/>
      <c r="C13" s="15"/>
      <c r="D13" s="15"/>
    </row>
    <row r="14" spans="1:4">
      <c r="A14" s="15"/>
      <c r="B14" s="15"/>
      <c r="C14" s="15"/>
      <c r="D14" s="15"/>
    </row>
    <row r="15" spans="1:4">
      <c r="A15" s="15"/>
      <c r="B15" s="15"/>
      <c r="C15" s="15"/>
      <c r="D15" s="15"/>
    </row>
    <row r="16" spans="1:4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</sheetData>
  <mergeCells count="1">
    <mergeCell ref="A12:D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9"/>
  <sheetViews>
    <sheetView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104</v>
      </c>
    </row>
    <row r="3" spans="1:2" ht="45" customHeight="1">
      <c r="A3" s="10" t="s">
        <v>105</v>
      </c>
      <c r="B3" s="15" t="s">
        <v>106</v>
      </c>
    </row>
    <row r="4" spans="1:2" ht="45" customHeight="1">
      <c r="A4" s="10" t="s">
        <v>107</v>
      </c>
      <c r="B4" s="15" t="s">
        <v>108</v>
      </c>
    </row>
    <row r="5" spans="1:2" ht="45" customHeight="1">
      <c r="A5" s="10" t="s">
        <v>109</v>
      </c>
      <c r="B5" s="15" t="s">
        <v>110</v>
      </c>
    </row>
    <row r="6" spans="1:2" ht="45" customHeight="1">
      <c r="A6" s="10" t="s">
        <v>111</v>
      </c>
      <c r="B6" s="15" t="s">
        <v>112</v>
      </c>
    </row>
    <row r="7" spans="1:2" ht="45" customHeight="1">
      <c r="A7" s="10" t="s">
        <v>113</v>
      </c>
      <c r="B7" s="15" t="s">
        <v>114</v>
      </c>
    </row>
    <row r="8" spans="1:2" ht="45" customHeight="1">
      <c r="A8" s="10" t="s">
        <v>115</v>
      </c>
      <c r="B8" s="15" t="s">
        <v>116</v>
      </c>
    </row>
    <row r="9" spans="1:2" ht="45" customHeight="1">
      <c r="A9" s="10" t="s">
        <v>117</v>
      </c>
      <c r="B9" s="15" t="s">
        <v>118</v>
      </c>
    </row>
    <row r="10" spans="1:2" ht="45" customHeight="1">
      <c r="A10" s="10" t="s">
        <v>119</v>
      </c>
      <c r="B10" s="15" t="s">
        <v>120</v>
      </c>
    </row>
    <row r="11" spans="1:2" ht="45" customHeight="1">
      <c r="A11" s="10" t="s">
        <v>121</v>
      </c>
      <c r="B11" s="15" t="s">
        <v>122</v>
      </c>
    </row>
    <row r="12" spans="1:2" ht="45" customHeight="1">
      <c r="A12" s="10" t="s">
        <v>123</v>
      </c>
      <c r="B12" s="15" t="s">
        <v>124</v>
      </c>
    </row>
    <row r="13" spans="1:2" ht="45" customHeight="1">
      <c r="A13" s="10" t="s">
        <v>125</v>
      </c>
      <c r="B13" s="15" t="s">
        <v>126</v>
      </c>
    </row>
    <row r="14" spans="1:2" ht="45" customHeight="1">
      <c r="A14" s="10" t="s">
        <v>127</v>
      </c>
      <c r="B14" s="15" t="s">
        <v>128</v>
      </c>
    </row>
    <row r="15" spans="1:2" ht="45" customHeight="1">
      <c r="A15" s="10" t="s">
        <v>129</v>
      </c>
      <c r="B15" s="15" t="s">
        <v>130</v>
      </c>
    </row>
    <row r="16" spans="1:2" ht="45" customHeight="1">
      <c r="A16" s="10" t="s">
        <v>131</v>
      </c>
      <c r="B16" s="15" t="s">
        <v>132</v>
      </c>
    </row>
    <row r="17" spans="1:2" ht="45" customHeight="1">
      <c r="A17" s="10" t="s">
        <v>133</v>
      </c>
      <c r="B17" s="15" t="s">
        <v>134</v>
      </c>
    </row>
    <row r="18" spans="1:2" ht="45" customHeight="1">
      <c r="A18" s="10" t="s">
        <v>135</v>
      </c>
      <c r="B18" s="15" t="s">
        <v>136</v>
      </c>
    </row>
    <row r="19" spans="1:2" ht="45" customHeight="1">
      <c r="A19" s="10" t="s">
        <v>137</v>
      </c>
      <c r="B19" s="15" t="s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FCF Quality</vt:lpstr>
      <vt:lpstr>Historical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2026-08-08T00:19:19Z</dcterms:created>
  <dcterms:modified xsi:type="dcterms:W3CDTF">2026-08-08T00:19:19Z</dcterms:modified>
</cp:coreProperties>
</file>