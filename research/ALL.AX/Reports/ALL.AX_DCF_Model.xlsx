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#,##0.0"/>
    <numFmt numFmtId="167" formatCode="0.0x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9" fontId="0" fillId="0" borderId="0" pivotButton="0" quotePrefix="0" xfId="0"/>
    <xf numFmtId="164" fontId="2" fillId="2" borderId="0" pivotButton="0" quotePrefix="0" xfId="0"/>
    <xf numFmtId="0" fontId="3" fillId="0" borderId="0" pivotButton="0" quotePrefix="0" xfId="0"/>
    <xf numFmtId="166" fontId="0" fillId="0" borderId="0" pivotButton="0" quotePrefix="0" xfId="0"/>
    <xf numFmtId="166" fontId="3" fillId="0" borderId="0" pivotButton="0" quotePrefix="0" xfId="0"/>
    <xf numFmtId="9" fontId="2" fillId="2" borderId="0" pivotButton="0" quotePrefix="0" xfId="0"/>
    <xf numFmtId="166" fontId="1" fillId="0" borderId="0" pivotButton="0" quotePrefix="0" xfId="0"/>
    <xf numFmtId="165" fontId="3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2" fontId="1" fillId="3" borderId="0" pivotButton="0" quotePrefix="0" xfId="0"/>
    <xf numFmtId="2" fontId="0" fillId="0" borderId="0" pivotButton="0" quotePrefix="0" xfId="0"/>
    <xf numFmtId="2" fontId="3" fillId="0" borderId="0" pivotButton="0" quotePrefix="0" xfId="0"/>
    <xf numFmtId="9" fontId="3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ALL.AX -- Aristocrat Leisure Limited -- owner-FCF DCF model</t>
        </is>
      </c>
    </row>
    <row r="2">
      <c r="A2" t="inlineStr">
        <is>
          <t>Version 1.0, fresh build 2026-09-21. Supersedes nothing (first valuation of this ticker).</t>
        </is>
      </c>
    </row>
    <row r="3">
      <c r="A3" t="inlineStr">
        <is>
          <t>Built by the dcf-analyst agent (Claude Fable 5.1) on 2026-09-21 at the orchestrator's request as part of /research-stock ALL.AX.</t>
        </is>
      </c>
    </row>
    <row r="4">
      <c r="A4" t="inlineStr"/>
    </row>
    <row r="5">
      <c r="A5" s="1" t="inlineStr">
        <is>
          <t>DATA VINTAGE -- these figures go stale</t>
        </is>
      </c>
    </row>
    <row r="6">
      <c r="A6" t="inlineStr">
        <is>
          <t>Price: A$60.55 as of 2026-09-21T06:10:31Z regular close (ASX) (Yahoo Finance chart endpoint).</t>
        </is>
      </c>
    </row>
    <row r="7">
      <c r="A7" t="inlineStr">
        <is>
          <t>Balance sheet: 30-Sep-2025 (FY2025 annual report). Net debt A$423.3m = borrowings A$1705.1m less cash A$1281.8m; lease liabilities A$325.1m excluded (treatment B).</t>
        </is>
      </c>
    </row>
    <row r="8">
      <c r="A8" t="inlineStr">
        <is>
          <t>Share count: 620.16m fully diluted = 616,871,882 on issue at 30-Sep-2025 (note 3-4) + 3,288,200 dilutive PSRs (note 1-5). Buybacks continued after balance date -- refresh.</t>
        </is>
      </c>
    </row>
    <row r="9">
      <c r="A9" t="inlineStr">
        <is>
          <t>Guidance: FY2026 NPATA growth on a constant-currency basis, read by analysts as high-single-digit, second-half weighted (results call 12-Nov-2025).</t>
        </is>
      </c>
    </row>
    <row r="10">
      <c r="A10" t="inlineStr">
        <is>
          <t>NOT in the folder: the H1 FY2026 result (May-2026). Refresh shares, net debt and guidance from it and from the FY2026 annual report (Nov-2026).</t>
        </is>
      </c>
    </row>
    <row r="11">
      <c r="A11" t="inlineStr"/>
    </row>
    <row r="12">
      <c r="A12" s="1" t="inlineStr">
        <is>
          <t>METHODOLOGY</t>
        </is>
      </c>
    </row>
    <row r="13">
      <c r="A13" t="inlineStr">
        <is>
          <t>Model: owner-FCF DCF, component build, 10-year explicit horizon, end-of-year discounting, three probability-weighted scenarios (dcf-methods/references/owner-fcf.md + section 7).</t>
        </is>
      </c>
    </row>
    <row r="14">
      <c r="A14" t="inlineStr">
        <is>
          <t>SBC: expensed in the flows at 1.1% of revenue AND the share count held flat (charge once). Employee-share-trust purchases (A$123.5m) and buybacks (A$853.5m) are the cash mechanism that keeps the count flat and are value-neutral.</t>
        </is>
      </c>
    </row>
    <row r="15">
      <c r="A15" t="inlineStr">
        <is>
          <t>EBITDA row is PRE-SBC (reported normalised EBITDA A$2,628.9m + SBC A$67.5m = 42.8% of revenue) so SBC is its own visible line.</t>
        </is>
      </c>
    </row>
    <row r="16">
      <c r="A16" t="inlineStr">
        <is>
          <t>Leases: treatment (B). Lease principal + lease interest (A$65.5m, 1.04% of revenue) charged inside the flows; lease liabilities excluded from net debt; D&amp;A for the tax line is ex right-of-use depreciation (8.4% of revenue, declining to 7.5% as acquired-intangible amortisation runs off).</t>
        </is>
      </c>
    </row>
    <row r="17">
      <c r="A17" t="inlineStr">
        <is>
          <t>Tax: 28% flat cash rate on positive EBIT (FY2025 cash tax / normalised PBT = 28.3%). FY2020's A$1,018m deferred-tax benefit is not repeatable and is not used.</t>
        </is>
      </c>
    </row>
    <row r="18">
      <c r="A18" t="inlineStr">
        <is>
          <t>Working capital: -12% capture on the CHANGE in revenue (B2B receivables business; NWC 5.8% of revenue).</t>
        </is>
      </c>
    </row>
    <row r="19">
      <c r="A19" t="inlineStr">
        <is>
          <t>Terminal value: MAX(0, MIN(Gordon, 15x FCF_10)). Cap set at 15x for a moderately cyclical gaming business; it binds in base and bull.</t>
        </is>
      </c>
    </row>
    <row r="20">
      <c r="A20" t="inlineStr">
        <is>
          <t>WACC 9.5% built in AUD (AU 10yr ~4.4% + 5.0% ERP x beta ~1.1; ~4% debt at ~2.9% after tax). Same rate in all scenarios -- risk is in the flows and the weights.</t>
        </is>
      </c>
    </row>
    <row r="21">
      <c r="A21" t="inlineStr">
        <is>
          <t>Entry price: 15% IRR with the terminal value REBUILT at 15% (min(Gordon@15%, 15x)); required-return table rebuilds TV at each row's rate.</t>
        </is>
      </c>
    </row>
    <row r="22">
      <c r="A22" t="inlineStr">
        <is>
          <t>FX: statements and quote both AUD; majority of profit is USD. Held flat at FY2025 rates. ~A$27m NPATA per US 1c move.</t>
        </is>
      </c>
    </row>
    <row r="23">
      <c r="A23" t="inlineStr"/>
    </row>
    <row r="24">
      <c r="A24" s="1" t="inlineStr">
        <is>
          <t>WHOSE JUDGMENT</t>
        </is>
      </c>
    </row>
    <row r="25">
      <c r="A25" t="inlineStr">
        <is>
          <t>Scenario driver paths (rows 5, 7, 9, 15 on each DCF tab; capex/WC/terminal growth/weights on Assumptions) were set by the dcf-analyst agent on 2026-09-21 from the FY2025 annual report and ALL.AX_Analysis.json. Weights 20/55/25 are the agent's judgment (bear above default for platform/litigation tail risk; bull below default because it needs three segments to outperform at once).</t>
        </is>
      </c>
    </row>
    <row r="26">
      <c r="A26" t="inlineStr"/>
    </row>
    <row r="27">
      <c r="A27" t="inlineStr">
        <is>
          <t>AFTER THE NEXT PRINT, REFRESH: price + timestamp; net debt and share count from the latest balance sheet; FY2026 actuals into Actuals; year-1 growth/margin if guidance moves; AUD/USD.</t>
        </is>
      </c>
    </row>
    <row r="28">
      <c r="A28" t="inlineStr"/>
    </row>
    <row r="29">
      <c r="A29" t="inlineStr">
        <is>
          <t>CELL LEGEND: blue font = hardcoded input; yellow fill = key driver row; black = formula; green font = cross-sheet link. Sheet names have no spaces. Only rows 5, 7, 9 and 15 of each DCF tab are hardcoded drivers.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Reported history, A$ millions (ALL.AX_Metrics.csv / annual reports); hardcoded</t>
        </is>
      </c>
    </row>
    <row r="3">
      <c r="A3" s="1" t="inlineStr">
        <is>
          <t>Period</t>
        </is>
      </c>
      <c r="B3" s="1" t="inlineStr">
        <is>
          <t>Revenue</t>
        </is>
      </c>
      <c r="C3" s="1" t="inlineStr">
        <is>
          <t>EBITDA (post-SBC)</t>
        </is>
      </c>
      <c r="D3" s="1" t="inlineStr">
        <is>
          <t>NetIncome</t>
        </is>
      </c>
      <c r="E3" s="1" t="inlineStr">
        <is>
          <t>OCF</t>
        </is>
      </c>
      <c r="F3" s="1" t="inlineStr">
        <is>
          <t>CapEx</t>
        </is>
      </c>
      <c r="G3" s="1" t="inlineStr">
        <is>
          <t>ReportedFCF</t>
        </is>
      </c>
      <c r="H3" s="1" t="inlineStr">
        <is>
          <t>SBC</t>
        </is>
      </c>
      <c r="I3" s="1" t="inlineStr">
        <is>
          <t>LeasePrincipal</t>
        </is>
      </c>
      <c r="J3" s="1" t="inlineStr">
        <is>
          <t>Equity</t>
        </is>
      </c>
      <c r="K3" s="1" t="inlineStr">
        <is>
          <t>Cash</t>
        </is>
      </c>
      <c r="L3" s="1" t="inlineStr">
        <is>
          <t>Borrowings+Leases</t>
        </is>
      </c>
      <c r="M3" s="1" t="inlineStr">
        <is>
          <t>Shares(m)</t>
        </is>
      </c>
      <c r="N3" s="1" t="inlineStr">
        <is>
          <t>EPS</t>
        </is>
      </c>
      <c r="O3" s="1" t="inlineStr">
        <is>
          <t>CashTaxPaid</t>
        </is>
      </c>
      <c r="P3" s="1" t="inlineStr">
        <is>
          <t>Buybacks</t>
        </is>
      </c>
      <c r="Q3" s="1" t="inlineStr">
        <is>
          <t>Dividends</t>
        </is>
      </c>
    </row>
    <row r="4">
      <c r="A4" t="inlineStr">
        <is>
          <t>FY2016</t>
        </is>
      </c>
      <c r="B4" s="2" t="n">
        <v>2128.7</v>
      </c>
      <c r="C4" s="2" t="n">
        <v>806</v>
      </c>
      <c r="D4" s="2" t="n">
        <v>350.5</v>
      </c>
      <c r="E4" s="2" t="n">
        <v>680.5</v>
      </c>
      <c r="F4" s="2" t="n">
        <v>192.6</v>
      </c>
      <c r="G4" s="2" t="n">
        <v>487.9</v>
      </c>
      <c r="H4" s="2" t="n">
        <v>19.3</v>
      </c>
      <c r="I4" s="2" t="n">
        <v>0</v>
      </c>
      <c r="J4" s="2" t="n">
        <v>1075.5</v>
      </c>
      <c r="K4" s="2" t="n">
        <v>283.2</v>
      </c>
      <c r="L4" s="2" t="n">
        <v>1287.8</v>
      </c>
      <c r="M4" s="2" t="n">
        <v>637.869</v>
      </c>
      <c r="N4" s="2" t="n">
        <v>0.549</v>
      </c>
      <c r="O4" s="2" t="n">
        <v>84.59999999999999</v>
      </c>
      <c r="P4" s="2" t="n">
        <v>0</v>
      </c>
      <c r="Q4" s="2" t="n">
        <v>121</v>
      </c>
    </row>
    <row r="5">
      <c r="A5" t="inlineStr">
        <is>
          <t>FY2017</t>
        </is>
      </c>
      <c r="B5" s="2" t="n">
        <v>2453.8</v>
      </c>
      <c r="C5" s="2" t="n">
        <v>1001.2</v>
      </c>
      <c r="D5" s="2" t="n">
        <v>495.1</v>
      </c>
      <c r="E5" s="2" t="n">
        <v>799.1</v>
      </c>
      <c r="F5" s="2" t="n">
        <v>214.3</v>
      </c>
      <c r="G5" s="2" t="n">
        <v>584.8</v>
      </c>
      <c r="H5" s="2" t="n">
        <v>16.1</v>
      </c>
      <c r="I5" s="2" t="n">
        <v>0</v>
      </c>
      <c r="J5" s="2" t="n">
        <v>1345.6</v>
      </c>
      <c r="K5" s="2" t="n">
        <v>547.1</v>
      </c>
      <c r="L5" s="2" t="n">
        <v>1199.4</v>
      </c>
      <c r="M5" s="2" t="n">
        <v>639.146</v>
      </c>
      <c r="N5" s="2" t="n">
        <v>0.775</v>
      </c>
      <c r="O5" s="2" t="n">
        <v>127</v>
      </c>
      <c r="P5" s="2" t="n">
        <v>0</v>
      </c>
      <c r="Q5" s="2" t="n">
        <v>185.2</v>
      </c>
    </row>
    <row r="6">
      <c r="A6" t="inlineStr">
        <is>
          <t>FY2018</t>
        </is>
      </c>
      <c r="B6" s="2" t="n">
        <v>3624.1</v>
      </c>
      <c r="C6" s="2" t="n">
        <v>1328.6</v>
      </c>
      <c r="D6" s="2" t="n">
        <v>542.6</v>
      </c>
      <c r="E6" s="2" t="n">
        <v>933.8</v>
      </c>
      <c r="F6" s="2" t="n">
        <v>270.1</v>
      </c>
      <c r="G6" s="2" t="n">
        <v>663.7</v>
      </c>
      <c r="H6" s="2" t="n">
        <v>24.2</v>
      </c>
      <c r="I6" s="2" t="n">
        <v>0</v>
      </c>
      <c r="J6" s="2" t="n">
        <v>1732.5</v>
      </c>
      <c r="K6" s="2" t="n">
        <v>428.1</v>
      </c>
      <c r="L6" s="2" t="n">
        <v>2881.1</v>
      </c>
      <c r="M6" s="2" t="n">
        <v>639.303</v>
      </c>
      <c r="N6" s="2" t="n">
        <v>0.849</v>
      </c>
      <c r="O6" s="2" t="n">
        <v>234.3</v>
      </c>
      <c r="P6" s="2" t="n">
        <v>0</v>
      </c>
      <c r="Q6" s="2" t="n">
        <v>249</v>
      </c>
    </row>
    <row r="7">
      <c r="A7" t="inlineStr">
        <is>
          <t>FY2019</t>
        </is>
      </c>
      <c r="B7" s="2" t="n">
        <v>4397.4</v>
      </c>
      <c r="C7" s="2" t="n">
        <v>1596.8</v>
      </c>
      <c r="D7" s="2" t="n">
        <v>698.8</v>
      </c>
      <c r="E7" s="2" t="n">
        <v>1085.5</v>
      </c>
      <c r="F7" s="2" t="n">
        <v>316.6</v>
      </c>
      <c r="G7" s="2" t="n">
        <v>768.9</v>
      </c>
      <c r="H7" s="2" t="n">
        <v>26</v>
      </c>
      <c r="I7" s="2" t="n">
        <v>0</v>
      </c>
      <c r="J7" s="2" t="n">
        <v>2143.6</v>
      </c>
      <c r="K7" s="2" t="n">
        <v>568.6</v>
      </c>
      <c r="L7" s="2" t="n">
        <v>2792.7</v>
      </c>
      <c r="M7" s="2" t="n">
        <v>637.904</v>
      </c>
      <c r="N7" s="2" t="n">
        <v>1.095</v>
      </c>
      <c r="O7" s="2" t="n">
        <v>232.9</v>
      </c>
      <c r="P7" s="2" t="n">
        <v>0</v>
      </c>
      <c r="Q7" s="2" t="n">
        <v>312.4</v>
      </c>
    </row>
    <row r="8">
      <c r="A8" t="inlineStr">
        <is>
          <t>FY2020</t>
        </is>
      </c>
      <c r="B8" s="2" t="n">
        <v>4139.1</v>
      </c>
      <c r="C8" s="2" t="n">
        <v>1089.4</v>
      </c>
      <c r="D8" s="2" t="n">
        <v>1377.7</v>
      </c>
      <c r="E8" s="2" t="n">
        <v>1022.9</v>
      </c>
      <c r="F8" s="2" t="n">
        <v>247.8</v>
      </c>
      <c r="G8" s="2" t="n">
        <v>775.1</v>
      </c>
      <c r="H8" s="2" t="n">
        <v>34.4</v>
      </c>
      <c r="I8" s="2" t="n">
        <v>36.6</v>
      </c>
      <c r="J8" s="2" t="n">
        <v>3180</v>
      </c>
      <c r="K8" s="2" t="n">
        <v>1675.7</v>
      </c>
      <c r="L8" s="2" t="n">
        <v>3519.2</v>
      </c>
      <c r="M8" s="2" t="n">
        <v>637.941</v>
      </c>
      <c r="N8" s="2" t="n">
        <v>2.16</v>
      </c>
      <c r="O8" s="2" t="n">
        <v>56.1</v>
      </c>
      <c r="P8" s="2" t="n">
        <v>0</v>
      </c>
      <c r="Q8" s="2" t="n">
        <v>217.1</v>
      </c>
    </row>
    <row r="9">
      <c r="A9" t="inlineStr">
        <is>
          <t>FY2021</t>
        </is>
      </c>
      <c r="B9" s="2" t="n">
        <v>4736.6</v>
      </c>
      <c r="C9" s="2" t="n">
        <v>1542.9</v>
      </c>
      <c r="D9" s="2" t="n">
        <v>820</v>
      </c>
      <c r="E9" s="2" t="n">
        <v>1328.4</v>
      </c>
      <c r="F9" s="2" t="n">
        <v>227.7</v>
      </c>
      <c r="G9" s="2" t="n">
        <v>1100.7</v>
      </c>
      <c r="H9" s="2" t="n">
        <v>66.2</v>
      </c>
      <c r="I9" s="2" t="n">
        <v>36.3</v>
      </c>
      <c r="J9" s="2" t="n">
        <v>3878.9</v>
      </c>
      <c r="K9" s="2" t="n">
        <v>2431.6</v>
      </c>
      <c r="L9" s="2" t="n">
        <v>3525</v>
      </c>
      <c r="M9" s="2" t="n">
        <v>637.909</v>
      </c>
      <c r="N9" s="2" t="n">
        <v>1.285</v>
      </c>
      <c r="O9" s="2" t="n">
        <v>218.3</v>
      </c>
      <c r="P9" s="2" t="n">
        <v>0</v>
      </c>
      <c r="Q9" s="2" t="n">
        <v>159.4</v>
      </c>
    </row>
    <row r="10">
      <c r="A10" t="inlineStr">
        <is>
          <t>FY2022</t>
        </is>
      </c>
      <c r="B10" s="2" t="n">
        <v>5573.7</v>
      </c>
      <c r="C10" s="2" t="n">
        <v>1850.9</v>
      </c>
      <c r="D10" s="2" t="n">
        <v>948.5</v>
      </c>
      <c r="E10" s="2" t="n">
        <v>1246</v>
      </c>
      <c r="F10" s="2" t="n">
        <v>268.8</v>
      </c>
      <c r="G10" s="2" t="n">
        <v>977.2</v>
      </c>
      <c r="H10" s="2" t="n">
        <v>56.9</v>
      </c>
      <c r="I10" s="2" t="n">
        <v>39.4</v>
      </c>
      <c r="J10" s="2" t="n">
        <v>6022.7</v>
      </c>
      <c r="K10" s="2" t="n">
        <v>3021.3</v>
      </c>
      <c r="L10" s="2" t="n">
        <v>2785.1</v>
      </c>
      <c r="M10" s="2" t="n">
        <v>666.4059999999999</v>
      </c>
      <c r="N10" s="2" t="n">
        <v>1.423</v>
      </c>
      <c r="O10" s="2" t="n">
        <v>365</v>
      </c>
      <c r="P10" s="2" t="n">
        <v>312</v>
      </c>
      <c r="Q10" s="2" t="n">
        <v>348.2</v>
      </c>
    </row>
    <row r="11">
      <c r="A11" t="inlineStr">
        <is>
          <t>FY2023</t>
        </is>
      </c>
      <c r="B11" s="2" t="n">
        <v>6295.7</v>
      </c>
      <c r="C11" s="2" t="n">
        <v>2105.4</v>
      </c>
      <c r="D11" s="2" t="n">
        <v>1454.1</v>
      </c>
      <c r="E11" s="2" t="n">
        <v>1799.1</v>
      </c>
      <c r="F11" s="2" t="n">
        <v>452.7</v>
      </c>
      <c r="G11" s="2" t="n">
        <v>1346.4</v>
      </c>
      <c r="H11" s="2" t="n">
        <v>76.40000000000001</v>
      </c>
      <c r="I11" s="2" t="n">
        <v>42.9</v>
      </c>
      <c r="J11" s="2" t="n">
        <v>6726.1</v>
      </c>
      <c r="K11" s="2" t="n">
        <v>3151</v>
      </c>
      <c r="L11" s="2" t="n">
        <v>2681.9</v>
      </c>
      <c r="M11" s="2" t="n">
        <v>656.812</v>
      </c>
      <c r="N11" s="2" t="n">
        <v>2.214</v>
      </c>
      <c r="O11" s="2" t="n">
        <v>384.8</v>
      </c>
      <c r="P11" s="2" t="n">
        <v>443.3</v>
      </c>
      <c r="Q11" s="2" t="n">
        <v>367.9</v>
      </c>
    </row>
    <row r="12">
      <c r="A12" t="inlineStr">
        <is>
          <t>FY2024</t>
        </is>
      </c>
      <c r="B12" s="2" t="n">
        <v>6603.6</v>
      </c>
      <c r="C12" s="2" t="n">
        <v>2469.1</v>
      </c>
      <c r="D12" s="2" t="n">
        <v>1303.4</v>
      </c>
      <c r="E12" s="2" t="n">
        <v>1765.2</v>
      </c>
      <c r="F12" s="2" t="n">
        <v>494.1</v>
      </c>
      <c r="G12" s="2" t="n">
        <v>1271.1</v>
      </c>
      <c r="H12" s="2" t="n">
        <v>73.8</v>
      </c>
      <c r="I12" s="2" t="n">
        <v>47</v>
      </c>
      <c r="J12" s="2" t="n">
        <v>6279.9</v>
      </c>
      <c r="K12" s="2" t="n">
        <v>943.8</v>
      </c>
      <c r="L12" s="2" t="n">
        <v>2407.7</v>
      </c>
      <c r="M12" s="2" t="n">
        <v>640.064</v>
      </c>
      <c r="N12" s="2" t="n">
        <v>2.036</v>
      </c>
      <c r="O12" s="2" t="n">
        <v>553.6</v>
      </c>
      <c r="P12" s="2" t="n">
        <v>837.4</v>
      </c>
      <c r="Q12" s="2" t="n">
        <v>447.7</v>
      </c>
    </row>
    <row r="13">
      <c r="A13" t="inlineStr">
        <is>
          <t>FY2025</t>
        </is>
      </c>
      <c r="B13" s="2" t="n">
        <v>6297</v>
      </c>
      <c r="C13" s="2" t="n">
        <v>2628.9</v>
      </c>
      <c r="D13" s="2" t="n">
        <v>1640.3</v>
      </c>
      <c r="E13" s="2" t="n">
        <v>1933.7</v>
      </c>
      <c r="F13" s="2" t="n">
        <v>458.3</v>
      </c>
      <c r="G13" s="2" t="n">
        <v>1475.4</v>
      </c>
      <c r="H13" s="2" t="n">
        <v>67.5</v>
      </c>
      <c r="I13" s="2" t="n">
        <v>44.8</v>
      </c>
      <c r="J13" s="2" t="n">
        <v>6557.2</v>
      </c>
      <c r="K13" s="2" t="n">
        <v>1281.8</v>
      </c>
      <c r="L13" s="2" t="n">
        <v>2030.2</v>
      </c>
      <c r="M13" s="2" t="n">
        <v>627.367</v>
      </c>
      <c r="N13" s="2" t="n">
        <v>2.615</v>
      </c>
      <c r="O13" s="2" t="n">
        <v>555.9</v>
      </c>
      <c r="P13" s="2" t="n">
        <v>853.5</v>
      </c>
      <c r="Q13" s="2" t="n">
        <v>538.4</v>
      </c>
    </row>
    <row r="16">
      <c r="A16" t="inlineStr">
        <is>
          <t>Notes:</t>
        </is>
      </c>
    </row>
    <row r="17">
      <c r="A17" t="inlineStr">
        <is>
          <t>FY2025 revenue/EBITDA/NetIncome are continuing operations (Plarium divested Feb-2025); FY2016-24 include Plarium. FY2024 restated continuing revenue A$5,673.4m.</t>
        </is>
      </c>
    </row>
    <row r="18">
      <c r="A18" t="inlineStr">
        <is>
          <t>FY2020 NetIncome includes a ~A$1,018m one-off deferred-tax benefit; FY2025 NetIncome includes the A$456.2m Plarium gain (discontinued) and a A$109.4m pre-tax Big Fish charge. Neither year is a base.</t>
        </is>
      </c>
    </row>
    <row r="19">
      <c r="A19" t="inlineStr">
        <is>
          <t>Borrowings+Leases column is the CSV TotalDebt (IFRS 16 lease liabilities included from FY2020). Model net debt uses borrowings only: A$1,705.1m - cash A$1,281.8m = A$423.3m at 30-Sep-2025.</t>
        </is>
      </c>
    </row>
    <row r="20">
      <c r="A20" t="inlineStr">
        <is>
          <t>Shares(m) is the diluted WANOS for the year. Model divisor is the year-end fully diluted count 620.16m.</t>
        </is>
      </c>
    </row>
    <row r="21">
      <c r="A21" t="inlineStr">
        <is>
          <t>FY2025 OCF includes A$63.6m from discontinued operations (note 4-4); the model's continuing reported FCF is 1,933.7 - 63.6 - 458.3 = 1,411.8.</t>
        </is>
      </c>
    </row>
    <row r="22">
      <c r="A22" t="inlineStr">
        <is>
          <t>Buyback status at 30-Sep-2025: A$1.85bn program complete; A$584m of the A$750m program (Feb-2025) purchased. Dividends FY2025 93.0c/share.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3" max="3"/>
  </cols>
  <sheetData>
    <row r="1">
      <c r="A1" s="1" t="inlineStr">
        <is>
          <t>Global assumptions (blue = input)</t>
        </is>
      </c>
    </row>
    <row r="4">
      <c r="A4" t="inlineStr">
        <is>
          <t>WACC</t>
        </is>
      </c>
      <c r="B4" s="3" t="n">
        <v>0.095</v>
      </c>
      <c r="C4" t="inlineStr">
        <is>
          <t>AUD-built; same for all scenarios</t>
        </is>
      </c>
    </row>
    <row r="5">
      <c r="A5" t="inlineStr">
        <is>
          <t>Lease cost % revenue</t>
        </is>
      </c>
      <c r="B5" s="4" t="n">
        <v>0.0104</v>
      </c>
      <c r="C5" t="inlineStr">
        <is>
          <t>lease principal 44.8 + lease interest 20.7 over FY2025 revenue (treatment B)</t>
        </is>
      </c>
    </row>
    <row r="6">
      <c r="A6" t="inlineStr">
        <is>
          <t>Net debt (A$m)</t>
        </is>
      </c>
      <c r="B6" s="2" t="n">
        <v>423.3</v>
      </c>
      <c r="C6" t="inlineStr">
        <is>
          <t>borrowings 1,705.1 - cash 1,281.8 at 30-Sep-2025; leases excluded</t>
        </is>
      </c>
    </row>
    <row r="7">
      <c r="A7" t="inlineStr">
        <is>
          <t>Diluted shares (m)</t>
        </is>
      </c>
      <c r="B7" s="2" t="n">
        <v>620.16</v>
      </c>
      <c r="C7" t="inlineStr">
        <is>
          <t>616.87m on issue + 3.29m PSRs; held flat</t>
        </is>
      </c>
    </row>
    <row r="8">
      <c r="A8" t="inlineStr">
        <is>
          <t>Current price (A$)</t>
        </is>
      </c>
      <c r="B8" s="2" t="n">
        <v>60.55</v>
      </c>
      <c r="C8" t="inlineStr">
        <is>
          <t>2026-09-21T06:10:31Z regular close (ASX)</t>
        </is>
      </c>
    </row>
    <row r="9">
      <c r="A9" t="inlineStr">
        <is>
          <t>Terminal value cap (x FCF_10)</t>
        </is>
      </c>
      <c r="B9" s="2" t="n">
        <v>15</v>
      </c>
      <c r="C9" t="inlineStr">
        <is>
          <t>15x: moderately cyclical gaming business</t>
        </is>
      </c>
    </row>
    <row r="10">
      <c r="A10" t="inlineStr">
        <is>
          <t>Hurdle rate</t>
        </is>
      </c>
      <c r="B10" s="5" t="n">
        <v>0.15</v>
      </c>
      <c r="C10" t="inlineStr">
        <is>
          <t>entry-price IRR</t>
        </is>
      </c>
    </row>
    <row r="11">
      <c r="A11" t="inlineStr">
        <is>
          <t>FY2025 revenue (A$m)</t>
        </is>
      </c>
      <c r="B11" s="2" t="n">
        <v>6297</v>
      </c>
      <c r="C11" t="inlineStr">
        <is>
          <t>continuing operations</t>
        </is>
      </c>
    </row>
    <row r="13">
      <c r="A13" s="1" t="inlineStr">
        <is>
          <t>Scenario</t>
        </is>
      </c>
      <c r="B13" s="1" t="inlineStr">
        <is>
          <t>Terminal growth</t>
        </is>
      </c>
      <c r="C13" s="1" t="inlineStr">
        <is>
          <t>Weight</t>
        </is>
      </c>
      <c r="D13" s="1" t="inlineStr">
        <is>
          <t>Capex % rev</t>
        </is>
      </c>
      <c r="E13" s="1" t="inlineStr">
        <is>
          <t>WC capture (of rev change)</t>
        </is>
      </c>
    </row>
    <row r="14">
      <c r="A14" t="inlineStr">
        <is>
          <t>bear</t>
        </is>
      </c>
      <c r="B14" s="3" t="n">
        <v>0.02</v>
      </c>
      <c r="C14" s="5" t="n">
        <v>0.2</v>
      </c>
      <c r="D14" s="3" t="n">
        <v>0.075</v>
      </c>
      <c r="E14" s="5" t="n">
        <v>-0.12</v>
      </c>
    </row>
    <row r="15">
      <c r="A15" t="inlineStr">
        <is>
          <t>base</t>
        </is>
      </c>
      <c r="B15" s="3" t="n">
        <v>0.03</v>
      </c>
      <c r="C15" s="5" t="n">
        <v>0.55</v>
      </c>
      <c r="D15" s="3" t="n">
        <v>0.07000000000000001</v>
      </c>
      <c r="E15" s="5" t="n">
        <v>-0.12</v>
      </c>
    </row>
    <row r="16">
      <c r="A16" t="inlineStr">
        <is>
          <t>bull</t>
        </is>
      </c>
      <c r="B16" s="3" t="n">
        <v>0.035</v>
      </c>
      <c r="C16" s="5" t="n">
        <v>0.25</v>
      </c>
      <c r="D16" s="3" t="n">
        <v>0.068</v>
      </c>
      <c r="E16" s="5" t="n">
        <v>-0.12</v>
      </c>
    </row>
    <row r="17">
      <c r="A17" t="inlineStr">
        <is>
          <t>Weight check (must be 100%)</t>
        </is>
      </c>
      <c r="C17" s="6">
        <f>SUM(C14:C16)</f>
        <v/>
      </c>
    </row>
    <row r="19">
      <c r="A19" s="1" t="inlineStr">
        <is>
          <t>D&amp;A % of revenue (ex right-of-use), by forecast year -&gt; all scenarios</t>
        </is>
      </c>
      <c r="C19" t="inlineStr">
        <is>
          <t>FY2026E</t>
        </is>
      </c>
      <c r="D19" t="inlineStr">
        <is>
          <t>FY2027E</t>
        </is>
      </c>
      <c r="E19" t="inlineStr">
        <is>
          <t>FY2028E</t>
        </is>
      </c>
      <c r="F19" t="inlineStr">
        <is>
          <t>FY2029E</t>
        </is>
      </c>
      <c r="G19" t="inlineStr">
        <is>
          <t>FY2030E</t>
        </is>
      </c>
      <c r="H19" t="inlineStr">
        <is>
          <t>FY2031E</t>
        </is>
      </c>
      <c r="I19" t="inlineStr">
        <is>
          <t>FY2032E</t>
        </is>
      </c>
      <c r="J19" t="inlineStr">
        <is>
          <t>FY2033E</t>
        </is>
      </c>
      <c r="K19" t="inlineStr">
        <is>
          <t>FY2034E</t>
        </is>
      </c>
      <c r="L19" t="inlineStr">
        <is>
          <t>FY2035E</t>
        </is>
      </c>
    </row>
    <row r="20">
      <c r="A20" t="inlineStr">
        <is>
          <t>D&amp;A %</t>
        </is>
      </c>
      <c r="C20" s="3" t="n">
        <v>0.08400000000000001</v>
      </c>
      <c r="D20" s="3" t="n">
        <v>0.083</v>
      </c>
      <c r="E20" s="3" t="n">
        <v>0.08199999999999999</v>
      </c>
      <c r="F20" s="3" t="n">
        <v>0.081</v>
      </c>
      <c r="G20" s="3" t="n">
        <v>0.08</v>
      </c>
      <c r="H20" s="3" t="n">
        <v>0.079</v>
      </c>
      <c r="I20" s="3" t="n">
        <v>0.078</v>
      </c>
      <c r="J20" s="3" t="n">
        <v>0.077</v>
      </c>
      <c r="K20" s="3" t="n">
        <v>0.076</v>
      </c>
      <c r="L20" s="3" t="n">
        <v>0.075</v>
      </c>
    </row>
    <row r="22">
      <c r="A22" s="1" t="inlineStr">
        <is>
          <t>Scenario narratives</t>
        </is>
      </c>
    </row>
    <row r="23">
      <c r="A23" t="inlineStr">
        <is>
          <t>BEAR: Deceleration compounds: the Apollo-backed Everi/IGT Gaming combination wins floor share in North American Gaming Operations, social casino keeps shrinking (-9% market, DAU 1.9m and falling) with Product Madness unable to offset via share gains, and an Apple/Google policy change or adverse gambling-classification ruling cuts social-casino economics. AUD strength reverses the FY2025 translational tailwind. Revenue grows 2-2.5%, pre-SBC EBITDA margin compresses from 42.8% to 39% by year 5, capex stays elevated at 7.5% to defend the installed base, terminal growth 2%.</t>
        </is>
      </c>
    </row>
    <row r="24">
      <c r="A24" t="inlineStr">
        <is>
          <t>BASE: FY2026 lands on guidance (high-single-digit constant-currency NPATA growth, second-half weighted) and growth decays from 7% toward 3% over ten years. Gaming holds its ~43% North American installed-base share and keeps winning Outright Sales on new titles (Spooky Link, Baron, Phoenix Link) plus HHR/VLT/COAM adjacencies; Interactive scales with iLottery wins (Michigan, Massachusetts) and Awager; Product Madness gains share in a shrinking market with margin expansion from disciplined UA and direct-to-consumer. Pre-SBC EBITDA margin drifts up 1pp to 43.8% as Interactive matures and Big Fish casual drag is gone. Capex 7.0%, tax 28%, terminal growth 3%, terminal value capped at 15x FCF.</t>
        </is>
      </c>
    </row>
    <row r="25">
      <c r="A25" t="inlineStr">
        <is>
          <t>BULL: All three segments outperform simultaneously: North American Gaming Operations installed base keeps adding 4-7k units a year while share holds against the Everi/IGT entity; Interactive sustains 30%+ growth into a still-expanding US iGaming/iLottery market; social casino stabilises and Product Madness converts share gains into margin. AUD stays weak. Revenue grows 10% in FY2026 fading to 3.5% by year 10, pre-SBC EBITDA margin reaches 46%, capex 6.8%, terminal growth 3.5%, terminal value capped at 15x.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BEAR scenario -- unlevered owner FCF, A$ millions</t>
        </is>
      </c>
    </row>
    <row r="3">
      <c r="A3" t="inlineStr">
        <is>
          <t>Year</t>
        </is>
      </c>
      <c r="B3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7" t="n">
        <v>0.02</v>
      </c>
      <c r="D5" s="7" t="n">
        <v>0.015</v>
      </c>
      <c r="E5" s="7" t="n">
        <v>0.02</v>
      </c>
      <c r="F5" s="7" t="n">
        <v>0.025</v>
      </c>
      <c r="G5" s="7" t="n">
        <v>0.025</v>
      </c>
      <c r="H5" s="7" t="n">
        <v>0.025</v>
      </c>
      <c r="I5" s="7" t="n">
        <v>0.025</v>
      </c>
      <c r="J5" s="7" t="n">
        <v>0.025</v>
      </c>
      <c r="K5" s="7" t="n">
        <v>0.025</v>
      </c>
      <c r="L5" s="7" t="n">
        <v>0.025</v>
      </c>
    </row>
    <row r="6">
      <c r="A6" t="inlineStr">
        <is>
          <t>Revenue</t>
        </is>
      </c>
      <c r="B6" s="8">
        <f>Assumptions!$B$11</f>
        <v/>
      </c>
      <c r="C6" s="9">
        <f>B6*(1+C5)</f>
        <v/>
      </c>
      <c r="D6" s="9">
        <f>C6*(1+D5)</f>
        <v/>
      </c>
      <c r="E6" s="9">
        <f>D6*(1+E5)</f>
        <v/>
      </c>
      <c r="F6" s="9">
        <f>E6*(1+F5)</f>
        <v/>
      </c>
      <c r="G6" s="9">
        <f>F6*(1+G5)</f>
        <v/>
      </c>
      <c r="H6" s="9">
        <f>G6*(1+H5)</f>
        <v/>
      </c>
      <c r="I6" s="9">
        <f>H6*(1+I5)</f>
        <v/>
      </c>
      <c r="J6" s="9">
        <f>I6*(1+J5)</f>
        <v/>
      </c>
      <c r="K6" s="9">
        <f>J6*(1+K5)</f>
        <v/>
      </c>
      <c r="L6" s="9">
        <f>K6*(1+L5)</f>
        <v/>
      </c>
    </row>
    <row r="7">
      <c r="A7" t="inlineStr">
        <is>
          <t>Adj EBITDA margin (pre-SBC)</t>
        </is>
      </c>
      <c r="C7" s="7" t="n">
        <v>0.415</v>
      </c>
      <c r="D7" s="7" t="n">
        <v>0.405</v>
      </c>
      <c r="E7" s="7" t="n">
        <v>0.4</v>
      </c>
      <c r="F7" s="7" t="n">
        <v>0.395</v>
      </c>
      <c r="G7" s="7" t="n">
        <v>0.39</v>
      </c>
      <c r="H7" s="7" t="n">
        <v>0.39</v>
      </c>
      <c r="I7" s="7" t="n">
        <v>0.39</v>
      </c>
      <c r="J7" s="7" t="n">
        <v>0.39</v>
      </c>
      <c r="K7" s="7" t="n">
        <v>0.39</v>
      </c>
      <c r="L7" s="7" t="n">
        <v>0.39</v>
      </c>
    </row>
    <row r="8">
      <c r="A8" t="inlineStr">
        <is>
          <t>Adjusted EBITDA</t>
        </is>
      </c>
      <c r="C8" s="9">
        <f>C6*C7</f>
        <v/>
      </c>
      <c r="D8" s="9">
        <f>D6*D7</f>
        <v/>
      </c>
      <c r="E8" s="9">
        <f>E6*E7</f>
        <v/>
      </c>
      <c r="F8" s="9">
        <f>F6*F7</f>
        <v/>
      </c>
      <c r="G8" s="9">
        <f>G6*G7</f>
        <v/>
      </c>
      <c r="H8" s="9">
        <f>H6*H7</f>
        <v/>
      </c>
      <c r="I8" s="9">
        <f>I6*I7</f>
        <v/>
      </c>
      <c r="J8" s="9">
        <f>J6*J7</f>
        <v/>
      </c>
      <c r="K8" s="9">
        <f>K6*K7</f>
        <v/>
      </c>
      <c r="L8" s="9">
        <f>L6*L7</f>
        <v/>
      </c>
    </row>
    <row r="9">
      <c r="A9" t="inlineStr">
        <is>
          <t>SBC % revenue</t>
        </is>
      </c>
      <c r="C9" s="7" t="n">
        <v>0.011</v>
      </c>
      <c r="D9" s="7" t="n">
        <v>0.011</v>
      </c>
      <c r="E9" s="7" t="n">
        <v>0.011</v>
      </c>
      <c r="F9" s="7" t="n">
        <v>0.011</v>
      </c>
      <c r="G9" s="7" t="n">
        <v>0.011</v>
      </c>
      <c r="H9" s="7" t="n">
        <v>0.011</v>
      </c>
      <c r="I9" s="7" t="n">
        <v>0.011</v>
      </c>
      <c r="J9" s="7" t="n">
        <v>0.011</v>
      </c>
      <c r="K9" s="7" t="n">
        <v>0.011</v>
      </c>
      <c r="L9" s="7" t="n">
        <v>0.011</v>
      </c>
    </row>
    <row r="10">
      <c r="A10" t="inlineStr">
        <is>
          <t>SBC (negative)</t>
        </is>
      </c>
      <c r="C10" s="9">
        <f>-C6*C9</f>
        <v/>
      </c>
      <c r="D10" s="9">
        <f>-D6*D9</f>
        <v/>
      </c>
      <c r="E10" s="9">
        <f>-E6*E9</f>
        <v/>
      </c>
      <c r="F10" s="9">
        <f>-F6*F9</f>
        <v/>
      </c>
      <c r="G10" s="9">
        <f>-G6*G9</f>
        <v/>
      </c>
      <c r="H10" s="9">
        <f>-H6*H9</f>
        <v/>
      </c>
      <c r="I10" s="9">
        <f>-I6*I9</f>
        <v/>
      </c>
      <c r="J10" s="9">
        <f>-J6*J9</f>
        <v/>
      </c>
      <c r="K10" s="9">
        <f>-K6*K9</f>
        <v/>
      </c>
      <c r="L10" s="9">
        <f>-L6*L9</f>
        <v/>
      </c>
    </row>
    <row r="11">
      <c r="A11" t="inlineStr">
        <is>
          <t>Lease cost (principal+interest)</t>
        </is>
      </c>
      <c r="C11" s="10">
        <f>-C6*Assumptions!$B$5</f>
        <v/>
      </c>
      <c r="D11" s="10">
        <f>-D6*Assumptions!$B$5</f>
        <v/>
      </c>
      <c r="E11" s="10">
        <f>-E6*Assumptions!$B$5</f>
        <v/>
      </c>
      <c r="F11" s="10">
        <f>-F6*Assumptions!$B$5</f>
        <v/>
      </c>
      <c r="G11" s="10">
        <f>-G6*Assumptions!$B$5</f>
        <v/>
      </c>
      <c r="H11" s="10">
        <f>-H6*Assumptions!$B$5</f>
        <v/>
      </c>
      <c r="I11" s="10">
        <f>-I6*Assumptions!$B$5</f>
        <v/>
      </c>
      <c r="J11" s="10">
        <f>-J6*Assumptions!$B$5</f>
        <v/>
      </c>
      <c r="K11" s="10">
        <f>-K6*Assumptions!$B$5</f>
        <v/>
      </c>
      <c r="L11" s="10">
        <f>-L6*Assumptions!$B$5</f>
        <v/>
      </c>
    </row>
    <row r="12">
      <c r="A12" t="inlineStr">
        <is>
          <t>Owner EBITDA</t>
        </is>
      </c>
      <c r="C12" s="9">
        <f>C8+C10+C11</f>
        <v/>
      </c>
      <c r="D12" s="9">
        <f>D8+D10+D11</f>
        <v/>
      </c>
      <c r="E12" s="9">
        <f>E8+E10+E11</f>
        <v/>
      </c>
      <c r="F12" s="9">
        <f>F8+F10+F11</f>
        <v/>
      </c>
      <c r="G12" s="9">
        <f>G8+G10+G11</f>
        <v/>
      </c>
      <c r="H12" s="9">
        <f>H8+H10+H11</f>
        <v/>
      </c>
      <c r="I12" s="9">
        <f>I8+I10+I11</f>
        <v/>
      </c>
      <c r="J12" s="9">
        <f>J8+J10+J11</f>
        <v/>
      </c>
      <c r="K12" s="9">
        <f>K8+K10+K11</f>
        <v/>
      </c>
      <c r="L12" s="9">
        <f>L8+L10+L11</f>
        <v/>
      </c>
    </row>
    <row r="13">
      <c r="A13" t="inlineStr">
        <is>
          <t>D&amp;A ex-ROU (negative)</t>
        </is>
      </c>
      <c r="C13" s="10">
        <f>-C6*Assumptions!C$20</f>
        <v/>
      </c>
      <c r="D13" s="10">
        <f>-D6*Assumptions!D$20</f>
        <v/>
      </c>
      <c r="E13" s="10">
        <f>-E6*Assumptions!E$20</f>
        <v/>
      </c>
      <c r="F13" s="10">
        <f>-F6*Assumptions!F$20</f>
        <v/>
      </c>
      <c r="G13" s="10">
        <f>-G6*Assumptions!G$20</f>
        <v/>
      </c>
      <c r="H13" s="10">
        <f>-H6*Assumptions!H$20</f>
        <v/>
      </c>
      <c r="I13" s="10">
        <f>-I6*Assumptions!I$20</f>
        <v/>
      </c>
      <c r="J13" s="10">
        <f>-J6*Assumptions!J$20</f>
        <v/>
      </c>
      <c r="K13" s="10">
        <f>-K6*Assumptions!K$20</f>
        <v/>
      </c>
      <c r="L13" s="10">
        <f>-L6*Assumptions!L$20</f>
        <v/>
      </c>
    </row>
    <row r="14">
      <c r="A14" t="inlineStr">
        <is>
          <t>EBIT, SBC + leases expensed</t>
        </is>
      </c>
      <c r="C14" s="9">
        <f>C12+C13</f>
        <v/>
      </c>
      <c r="D14" s="9">
        <f>D12+D13</f>
        <v/>
      </c>
      <c r="E14" s="9">
        <f>E12+E13</f>
        <v/>
      </c>
      <c r="F14" s="9">
        <f>F12+F13</f>
        <v/>
      </c>
      <c r="G14" s="9">
        <f>G12+G13</f>
        <v/>
      </c>
      <c r="H14" s="9">
        <f>H12+H13</f>
        <v/>
      </c>
      <c r="I14" s="9">
        <f>I12+I13</f>
        <v/>
      </c>
      <c r="J14" s="9">
        <f>J12+J13</f>
        <v/>
      </c>
      <c r="K14" s="9">
        <f>K12+K13</f>
        <v/>
      </c>
      <c r="L14" s="9">
        <f>L12+L13</f>
        <v/>
      </c>
    </row>
    <row r="15">
      <c r="A15" t="inlineStr">
        <is>
          <t>Cash tax rate</t>
        </is>
      </c>
      <c r="C15" s="11" t="n">
        <v>0.28</v>
      </c>
      <c r="D15" s="11" t="n">
        <v>0.28</v>
      </c>
      <c r="E15" s="11" t="n">
        <v>0.28</v>
      </c>
      <c r="F15" s="11" t="n">
        <v>0.28</v>
      </c>
      <c r="G15" s="11" t="n">
        <v>0.28</v>
      </c>
      <c r="H15" s="11" t="n">
        <v>0.28</v>
      </c>
      <c r="I15" s="11" t="n">
        <v>0.28</v>
      </c>
      <c r="J15" s="11" t="n">
        <v>0.28</v>
      </c>
      <c r="K15" s="11" t="n">
        <v>0.28</v>
      </c>
      <c r="L15" s="11" t="n">
        <v>0.28</v>
      </c>
    </row>
    <row r="16">
      <c r="A16" t="inlineStr">
        <is>
          <t>NOPAT</t>
        </is>
      </c>
      <c r="C16" s="9">
        <f>C14-MAX(0,C14)*C15</f>
        <v/>
      </c>
      <c r="D16" s="9">
        <f>D14-MAX(0,D14)*D15</f>
        <v/>
      </c>
      <c r="E16" s="9">
        <f>E14-MAX(0,E14)*E15</f>
        <v/>
      </c>
      <c r="F16" s="9">
        <f>F14-MAX(0,F14)*F15</f>
        <v/>
      </c>
      <c r="G16" s="9">
        <f>G14-MAX(0,G14)*G15</f>
        <v/>
      </c>
      <c r="H16" s="9">
        <f>H14-MAX(0,H14)*H15</f>
        <v/>
      </c>
      <c r="I16" s="9">
        <f>I14-MAX(0,I14)*I15</f>
        <v/>
      </c>
      <c r="J16" s="9">
        <f>J14-MAX(0,J14)*J15</f>
        <v/>
      </c>
      <c r="K16" s="9">
        <f>K14-MAX(0,K14)*K15</f>
        <v/>
      </c>
      <c r="L16" s="9">
        <f>L14-MAX(0,L14)*L15</f>
        <v/>
      </c>
    </row>
    <row r="17">
      <c r="A17" t="inlineStr">
        <is>
          <t>add back D&amp;A</t>
        </is>
      </c>
      <c r="C17" s="9">
        <f>-C13</f>
        <v/>
      </c>
      <c r="D17" s="9">
        <f>-D13</f>
        <v/>
      </c>
      <c r="E17" s="9">
        <f>-E13</f>
        <v/>
      </c>
      <c r="F17" s="9">
        <f>-F13</f>
        <v/>
      </c>
      <c r="G17" s="9">
        <f>-G13</f>
        <v/>
      </c>
      <c r="H17" s="9">
        <f>-H13</f>
        <v/>
      </c>
      <c r="I17" s="9">
        <f>-I13</f>
        <v/>
      </c>
      <c r="J17" s="9">
        <f>-J13</f>
        <v/>
      </c>
      <c r="K17" s="9">
        <f>-K13</f>
        <v/>
      </c>
      <c r="L17" s="9">
        <f>-L13</f>
        <v/>
      </c>
    </row>
    <row r="18">
      <c r="A18" t="inlineStr">
        <is>
          <t>less capex</t>
        </is>
      </c>
      <c r="C18" s="10">
        <f>-C6*Assumptions!$D$14</f>
        <v/>
      </c>
      <c r="D18" s="10">
        <f>-D6*Assumptions!$D$14</f>
        <v/>
      </c>
      <c r="E18" s="10">
        <f>-E6*Assumptions!$D$14</f>
        <v/>
      </c>
      <c r="F18" s="10">
        <f>-F6*Assumptions!$D$14</f>
        <v/>
      </c>
      <c r="G18" s="10">
        <f>-G6*Assumptions!$D$14</f>
        <v/>
      </c>
      <c r="H18" s="10">
        <f>-H6*Assumptions!$D$14</f>
        <v/>
      </c>
      <c r="I18" s="10">
        <f>-I6*Assumptions!$D$14</f>
        <v/>
      </c>
      <c r="J18" s="10">
        <f>-J6*Assumptions!$D$14</f>
        <v/>
      </c>
      <c r="K18" s="10">
        <f>-K6*Assumptions!$D$14</f>
        <v/>
      </c>
      <c r="L18" s="10">
        <f>-L6*Assumptions!$D$14</f>
        <v/>
      </c>
    </row>
    <row r="19">
      <c r="A19" t="inlineStr">
        <is>
          <t>add working capital</t>
        </is>
      </c>
      <c r="C19" s="10">
        <f>Assumptions!$E$14*(C6-B6)</f>
        <v/>
      </c>
      <c r="D19" s="10">
        <f>Assumptions!$E$14*(D6-C6)</f>
        <v/>
      </c>
      <c r="E19" s="10">
        <f>Assumptions!$E$14*(E6-D6)</f>
        <v/>
      </c>
      <c r="F19" s="10">
        <f>Assumptions!$E$14*(F6-E6)</f>
        <v/>
      </c>
      <c r="G19" s="10">
        <f>Assumptions!$E$14*(G6-F6)</f>
        <v/>
      </c>
      <c r="H19" s="10">
        <f>Assumptions!$E$14*(H6-G6)</f>
        <v/>
      </c>
      <c r="I19" s="10">
        <f>Assumptions!$E$14*(I6-H6)</f>
        <v/>
      </c>
      <c r="J19" s="10">
        <f>Assumptions!$E$14*(J6-I6)</f>
        <v/>
      </c>
      <c r="K19" s="10">
        <f>Assumptions!$E$14*(K6-J6)</f>
        <v/>
      </c>
      <c r="L19" s="10">
        <f>Assumptions!$E$14*(L6-K6)</f>
        <v/>
      </c>
    </row>
    <row r="20">
      <c r="A20" s="1" t="inlineStr">
        <is>
          <t>Unlevered owner FCF</t>
        </is>
      </c>
      <c r="C20" s="12">
        <f>C16+C17+C18+C19</f>
        <v/>
      </c>
      <c r="D20" s="12">
        <f>D16+D17+D18+D19</f>
        <v/>
      </c>
      <c r="E20" s="12">
        <f>E16+E17+E18+E19</f>
        <v/>
      </c>
      <c r="F20" s="12">
        <f>F16+F17+F18+F19</f>
        <v/>
      </c>
      <c r="G20" s="12">
        <f>G16+G17+G18+G19</f>
        <v/>
      </c>
      <c r="H20" s="12">
        <f>H16+H17+H18+H19</f>
        <v/>
      </c>
      <c r="I20" s="12">
        <f>I16+I17+I18+I19</f>
        <v/>
      </c>
      <c r="J20" s="12">
        <f>J16+J17+J18+J19</f>
        <v/>
      </c>
      <c r="K20" s="12">
        <f>K16+K17+K18+K19</f>
        <v/>
      </c>
      <c r="L20" s="12">
        <f>L16+L17+L18+L19</f>
        <v/>
      </c>
    </row>
    <row r="21">
      <c r="A21" t="inlineStr">
        <is>
          <t>Discount factor</t>
        </is>
      </c>
      <c r="C21" s="13">
        <f>1/(1+Assumptions!$B$4)^C4</f>
        <v/>
      </c>
      <c r="D21" s="13">
        <f>1/(1+Assumptions!$B$4)^D4</f>
        <v/>
      </c>
      <c r="E21" s="13">
        <f>1/(1+Assumptions!$B$4)^E4</f>
        <v/>
      </c>
      <c r="F21" s="13">
        <f>1/(1+Assumptions!$B$4)^F4</f>
        <v/>
      </c>
      <c r="G21" s="13">
        <f>1/(1+Assumptions!$B$4)^G4</f>
        <v/>
      </c>
      <c r="H21" s="13">
        <f>1/(1+Assumptions!$B$4)^H4</f>
        <v/>
      </c>
      <c r="I21" s="13">
        <f>1/(1+Assumptions!$B$4)^I4</f>
        <v/>
      </c>
      <c r="J21" s="13">
        <f>1/(1+Assumptions!$B$4)^J4</f>
        <v/>
      </c>
      <c r="K21" s="13">
        <f>1/(1+Assumptions!$B$4)^K4</f>
        <v/>
      </c>
      <c r="L21" s="13">
        <f>1/(1+Assumptions!$B$4)^L4</f>
        <v/>
      </c>
    </row>
    <row r="22">
      <c r="A22" t="inlineStr">
        <is>
          <t>PV of FCF</t>
        </is>
      </c>
      <c r="C22" s="9">
        <f>C20*C21</f>
        <v/>
      </c>
      <c r="D22" s="9">
        <f>D20*D21</f>
        <v/>
      </c>
      <c r="E22" s="9">
        <f>E20*E21</f>
        <v/>
      </c>
      <c r="F22" s="9">
        <f>F20*F21</f>
        <v/>
      </c>
      <c r="G22" s="9">
        <f>G20*G21</f>
        <v/>
      </c>
      <c r="H22" s="9">
        <f>H20*H21</f>
        <v/>
      </c>
      <c r="I22" s="9">
        <f>I20*I21</f>
        <v/>
      </c>
      <c r="J22" s="9">
        <f>J20*J21</f>
        <v/>
      </c>
      <c r="K22" s="9">
        <f>K20*K21</f>
        <v/>
      </c>
      <c r="L22" s="9">
        <f>L20*L21</f>
        <v/>
      </c>
    </row>
    <row r="24">
      <c r="A24" t="inlineStr">
        <is>
          <t>Memo: FCF before SBC (company-style)</t>
        </is>
      </c>
      <c r="C24" s="9">
        <f>C20-C10</f>
        <v/>
      </c>
      <c r="D24" s="9">
        <f>D20-D10</f>
        <v/>
      </c>
      <c r="E24" s="9">
        <f>E20-E10</f>
        <v/>
      </c>
      <c r="F24" s="9">
        <f>F20-F10</f>
        <v/>
      </c>
      <c r="G24" s="9">
        <f>G20-G10</f>
        <v/>
      </c>
      <c r="H24" s="9">
        <f>H20-H10</f>
        <v/>
      </c>
      <c r="I24" s="9">
        <f>I20-I10</f>
        <v/>
      </c>
      <c r="J24" s="9">
        <f>J20-J10</f>
        <v/>
      </c>
      <c r="K24" s="9">
        <f>K20-K10</f>
        <v/>
      </c>
      <c r="L24" s="9">
        <f>L20-L10</f>
        <v/>
      </c>
    </row>
    <row r="25">
      <c r="A25" t="inlineStr">
        <is>
          <t>Memo: owner-FCF margin</t>
        </is>
      </c>
      <c r="C25" s="14">
        <f>C20/C6</f>
        <v/>
      </c>
      <c r="D25" s="14">
        <f>D20/D6</f>
        <v/>
      </c>
      <c r="E25" s="14">
        <f>E20/E6</f>
        <v/>
      </c>
      <c r="F25" s="14">
        <f>F20/F6</f>
        <v/>
      </c>
      <c r="G25" s="14">
        <f>G20/G6</f>
        <v/>
      </c>
      <c r="H25" s="14">
        <f>H20/H6</f>
        <v/>
      </c>
      <c r="I25" s="14">
        <f>I20/I6</f>
        <v/>
      </c>
      <c r="J25" s="14">
        <f>J20/J6</f>
        <v/>
      </c>
      <c r="K25" s="14">
        <f>K20/K6</f>
        <v/>
      </c>
      <c r="L25" s="14">
        <f>L20/L6</f>
        <v/>
      </c>
    </row>
    <row r="27">
      <c r="A27" t="inlineStr">
        <is>
          <t>Sum of PV of FCF</t>
        </is>
      </c>
      <c r="B27" s="9">
        <f>SUM(C22:L22)</f>
        <v/>
      </c>
    </row>
    <row r="28">
      <c r="A28" t="inlineStr">
        <is>
          <t>Terminal growth</t>
        </is>
      </c>
      <c r="B28" s="14">
        <f>Assumptions!$B$14</f>
        <v/>
      </c>
    </row>
    <row r="29">
      <c r="A29" t="inlineStr">
        <is>
          <t>Terminal-year FCF x (1+g)</t>
        </is>
      </c>
      <c r="B29" s="9">
        <f>L20*(1+B28)</f>
        <v/>
      </c>
    </row>
    <row r="30">
      <c r="A30" t="inlineStr">
        <is>
          <t>Gordon terminal value</t>
        </is>
      </c>
      <c r="B30" s="9">
        <f>B29/(Assumptions!$B$4-B28)</f>
        <v/>
      </c>
    </row>
    <row r="31">
      <c r="A31" t="inlineStr">
        <is>
          <t>Cap terminal value</t>
        </is>
      </c>
      <c r="B31" s="9">
        <f>Assumptions!$B$9*L20</f>
        <v/>
      </c>
    </row>
    <row r="32">
      <c r="A32" t="inlineStr">
        <is>
          <t>Terminal value used = MAX(0,MIN(Gordon,cap))</t>
        </is>
      </c>
      <c r="B32" s="9">
        <f>MAX(0,MIN(B30,B31))</f>
        <v/>
      </c>
    </row>
    <row r="33">
      <c r="A33" t="inlineStr">
        <is>
          <t>Implied exit multiple (TV / FCF_10)</t>
        </is>
      </c>
      <c r="B33" s="15">
        <f>B32/L20</f>
        <v/>
      </c>
    </row>
    <row r="34">
      <c r="A34" t="inlineStr">
        <is>
          <t>PV of terminal value</t>
        </is>
      </c>
      <c r="B34" s="9">
        <f>B32*L21</f>
        <v/>
      </c>
    </row>
    <row r="35">
      <c r="A35" t="inlineStr">
        <is>
          <t>Enterprise value</t>
        </is>
      </c>
      <c r="B35" s="9">
        <f>B27+B34</f>
        <v/>
      </c>
    </row>
    <row r="36">
      <c r="A36" t="inlineStr">
        <is>
          <t>less net debt</t>
        </is>
      </c>
      <c r="B36" s="9">
        <f>-Assumptions!$B$6</f>
        <v/>
      </c>
    </row>
    <row r="37">
      <c r="A37" t="inlineStr">
        <is>
          <t>Equity value</t>
        </is>
      </c>
      <c r="B37" s="9">
        <f>B35+B36</f>
        <v/>
      </c>
    </row>
    <row r="38">
      <c r="A38" t="inlineStr">
        <is>
          <t>Diluted shares (m)</t>
        </is>
      </c>
      <c r="B38" s="9">
        <f>Assumptions!$B$7</f>
        <v/>
      </c>
    </row>
    <row r="39">
      <c r="A39" s="1" t="inlineStr">
        <is>
          <t>VALUE PER SHARE (A$)</t>
        </is>
      </c>
      <c r="B39" s="16">
        <f>B37/B38</f>
        <v/>
      </c>
    </row>
    <row r="40">
      <c r="A40" t="inlineStr">
        <is>
          <t>Upside vs price</t>
        </is>
      </c>
      <c r="B40" s="14">
        <f>B39/Assumptions!$B$8-1</f>
        <v/>
      </c>
    </row>
    <row r="42">
      <c r="A42" t="inlineStr">
        <is>
          <t>Street memo: PV of explicit SBC</t>
        </is>
      </c>
      <c r="B42" s="9">
        <f>-NPV(Assumptions!$B$4,C10:L10)</f>
        <v/>
      </c>
    </row>
    <row r="43">
      <c r="A43" t="inlineStr">
        <is>
          <t>Street memo: PV of terminal SBC</t>
        </is>
      </c>
      <c r="B43" s="9">
        <f>(-L10*(1+B28)/(Assumptions!$B$4-B28))*L21</f>
        <v/>
      </c>
    </row>
    <row r="44">
      <c r="A44" t="inlineStr">
        <is>
          <t>Street value per share (SBC as non-cash)</t>
        </is>
      </c>
      <c r="B44" s="17">
        <f>(B37+B42+B43)/B38</f>
        <v/>
      </c>
    </row>
    <row r="45">
      <c r="A45" t="inlineStr">
        <is>
          <t>Terminal value % of EV</t>
        </is>
      </c>
      <c r="B45" s="14">
        <f>B34/B35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BASE scenario -- unlevered owner FCF, A$ millions</t>
        </is>
      </c>
    </row>
    <row r="3">
      <c r="A3" t="inlineStr">
        <is>
          <t>Year</t>
        </is>
      </c>
      <c r="B3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7" t="n">
        <v>0.07000000000000001</v>
      </c>
      <c r="D5" s="7" t="n">
        <v>0.065</v>
      </c>
      <c r="E5" s="7" t="n">
        <v>0.06</v>
      </c>
      <c r="F5" s="7" t="n">
        <v>0.055</v>
      </c>
      <c r="G5" s="7" t="n">
        <v>0.05</v>
      </c>
      <c r="H5" s="7" t="n">
        <v>0.045</v>
      </c>
      <c r="I5" s="7" t="n">
        <v>0.04</v>
      </c>
      <c r="J5" s="7" t="n">
        <v>0.035</v>
      </c>
      <c r="K5" s="7" t="n">
        <v>0.03</v>
      </c>
      <c r="L5" s="7" t="n">
        <v>0.03</v>
      </c>
    </row>
    <row r="6">
      <c r="A6" t="inlineStr">
        <is>
          <t>Revenue</t>
        </is>
      </c>
      <c r="B6" s="8">
        <f>Assumptions!$B$11</f>
        <v/>
      </c>
      <c r="C6" s="9">
        <f>B6*(1+C5)</f>
        <v/>
      </c>
      <c r="D6" s="9">
        <f>C6*(1+D5)</f>
        <v/>
      </c>
      <c r="E6" s="9">
        <f>D6*(1+E5)</f>
        <v/>
      </c>
      <c r="F6" s="9">
        <f>E6*(1+F5)</f>
        <v/>
      </c>
      <c r="G6" s="9">
        <f>F6*(1+G5)</f>
        <v/>
      </c>
      <c r="H6" s="9">
        <f>G6*(1+H5)</f>
        <v/>
      </c>
      <c r="I6" s="9">
        <f>H6*(1+I5)</f>
        <v/>
      </c>
      <c r="J6" s="9">
        <f>I6*(1+J5)</f>
        <v/>
      </c>
      <c r="K6" s="9">
        <f>J6*(1+K5)</f>
        <v/>
      </c>
      <c r="L6" s="9">
        <f>K6*(1+L5)</f>
        <v/>
      </c>
    </row>
    <row r="7">
      <c r="A7" t="inlineStr">
        <is>
          <t>Adj EBITDA margin (pre-SBC)</t>
        </is>
      </c>
      <c r="C7" s="7" t="n">
        <v>0.428</v>
      </c>
      <c r="D7" s="7" t="n">
        <v>0.43</v>
      </c>
      <c r="E7" s="7" t="n">
        <v>0.4320000000000001</v>
      </c>
      <c r="F7" s="7" t="n">
        <v>0.434</v>
      </c>
      <c r="G7" s="7" t="n">
        <v>0.435</v>
      </c>
      <c r="H7" s="7" t="n">
        <v>0.436</v>
      </c>
      <c r="I7" s="7" t="n">
        <v>0.4370000000000001</v>
      </c>
      <c r="J7" s="7" t="n">
        <v>0.4379999999999999</v>
      </c>
      <c r="K7" s="7" t="n">
        <v>0.4379999999999999</v>
      </c>
      <c r="L7" s="7" t="n">
        <v>0.4379999999999999</v>
      </c>
    </row>
    <row r="8">
      <c r="A8" t="inlineStr">
        <is>
          <t>Adjusted EBITDA</t>
        </is>
      </c>
      <c r="C8" s="9">
        <f>C6*C7</f>
        <v/>
      </c>
      <c r="D8" s="9">
        <f>D6*D7</f>
        <v/>
      </c>
      <c r="E8" s="9">
        <f>E6*E7</f>
        <v/>
      </c>
      <c r="F8" s="9">
        <f>F6*F7</f>
        <v/>
      </c>
      <c r="G8" s="9">
        <f>G6*G7</f>
        <v/>
      </c>
      <c r="H8" s="9">
        <f>H6*H7</f>
        <v/>
      </c>
      <c r="I8" s="9">
        <f>I6*I7</f>
        <v/>
      </c>
      <c r="J8" s="9">
        <f>J6*J7</f>
        <v/>
      </c>
      <c r="K8" s="9">
        <f>K6*K7</f>
        <v/>
      </c>
      <c r="L8" s="9">
        <f>L6*L7</f>
        <v/>
      </c>
    </row>
    <row r="9">
      <c r="A9" t="inlineStr">
        <is>
          <t>SBC % revenue</t>
        </is>
      </c>
      <c r="C9" s="7" t="n">
        <v>0.011</v>
      </c>
      <c r="D9" s="7" t="n">
        <v>0.011</v>
      </c>
      <c r="E9" s="7" t="n">
        <v>0.011</v>
      </c>
      <c r="F9" s="7" t="n">
        <v>0.011</v>
      </c>
      <c r="G9" s="7" t="n">
        <v>0.011</v>
      </c>
      <c r="H9" s="7" t="n">
        <v>0.011</v>
      </c>
      <c r="I9" s="7" t="n">
        <v>0.011</v>
      </c>
      <c r="J9" s="7" t="n">
        <v>0.011</v>
      </c>
      <c r="K9" s="7" t="n">
        <v>0.011</v>
      </c>
      <c r="L9" s="7" t="n">
        <v>0.011</v>
      </c>
    </row>
    <row r="10">
      <c r="A10" t="inlineStr">
        <is>
          <t>SBC (negative)</t>
        </is>
      </c>
      <c r="C10" s="9">
        <f>-C6*C9</f>
        <v/>
      </c>
      <c r="D10" s="9">
        <f>-D6*D9</f>
        <v/>
      </c>
      <c r="E10" s="9">
        <f>-E6*E9</f>
        <v/>
      </c>
      <c r="F10" s="9">
        <f>-F6*F9</f>
        <v/>
      </c>
      <c r="G10" s="9">
        <f>-G6*G9</f>
        <v/>
      </c>
      <c r="H10" s="9">
        <f>-H6*H9</f>
        <v/>
      </c>
      <c r="I10" s="9">
        <f>-I6*I9</f>
        <v/>
      </c>
      <c r="J10" s="9">
        <f>-J6*J9</f>
        <v/>
      </c>
      <c r="K10" s="9">
        <f>-K6*K9</f>
        <v/>
      </c>
      <c r="L10" s="9">
        <f>-L6*L9</f>
        <v/>
      </c>
    </row>
    <row r="11">
      <c r="A11" t="inlineStr">
        <is>
          <t>Lease cost (principal+interest)</t>
        </is>
      </c>
      <c r="C11" s="10">
        <f>-C6*Assumptions!$B$5</f>
        <v/>
      </c>
      <c r="D11" s="10">
        <f>-D6*Assumptions!$B$5</f>
        <v/>
      </c>
      <c r="E11" s="10">
        <f>-E6*Assumptions!$B$5</f>
        <v/>
      </c>
      <c r="F11" s="10">
        <f>-F6*Assumptions!$B$5</f>
        <v/>
      </c>
      <c r="G11" s="10">
        <f>-G6*Assumptions!$B$5</f>
        <v/>
      </c>
      <c r="H11" s="10">
        <f>-H6*Assumptions!$B$5</f>
        <v/>
      </c>
      <c r="I11" s="10">
        <f>-I6*Assumptions!$B$5</f>
        <v/>
      </c>
      <c r="J11" s="10">
        <f>-J6*Assumptions!$B$5</f>
        <v/>
      </c>
      <c r="K11" s="10">
        <f>-K6*Assumptions!$B$5</f>
        <v/>
      </c>
      <c r="L11" s="10">
        <f>-L6*Assumptions!$B$5</f>
        <v/>
      </c>
    </row>
    <row r="12">
      <c r="A12" t="inlineStr">
        <is>
          <t>Owner EBITDA</t>
        </is>
      </c>
      <c r="C12" s="9">
        <f>C8+C10+C11</f>
        <v/>
      </c>
      <c r="D12" s="9">
        <f>D8+D10+D11</f>
        <v/>
      </c>
      <c r="E12" s="9">
        <f>E8+E10+E11</f>
        <v/>
      </c>
      <c r="F12" s="9">
        <f>F8+F10+F11</f>
        <v/>
      </c>
      <c r="G12" s="9">
        <f>G8+G10+G11</f>
        <v/>
      </c>
      <c r="H12" s="9">
        <f>H8+H10+H11</f>
        <v/>
      </c>
      <c r="I12" s="9">
        <f>I8+I10+I11</f>
        <v/>
      </c>
      <c r="J12" s="9">
        <f>J8+J10+J11</f>
        <v/>
      </c>
      <c r="K12" s="9">
        <f>K8+K10+K11</f>
        <v/>
      </c>
      <c r="L12" s="9">
        <f>L8+L10+L11</f>
        <v/>
      </c>
    </row>
    <row r="13">
      <c r="A13" t="inlineStr">
        <is>
          <t>D&amp;A ex-ROU (negative)</t>
        </is>
      </c>
      <c r="C13" s="10">
        <f>-C6*Assumptions!C$20</f>
        <v/>
      </c>
      <c r="D13" s="10">
        <f>-D6*Assumptions!D$20</f>
        <v/>
      </c>
      <c r="E13" s="10">
        <f>-E6*Assumptions!E$20</f>
        <v/>
      </c>
      <c r="F13" s="10">
        <f>-F6*Assumptions!F$20</f>
        <v/>
      </c>
      <c r="G13" s="10">
        <f>-G6*Assumptions!G$20</f>
        <v/>
      </c>
      <c r="H13" s="10">
        <f>-H6*Assumptions!H$20</f>
        <v/>
      </c>
      <c r="I13" s="10">
        <f>-I6*Assumptions!I$20</f>
        <v/>
      </c>
      <c r="J13" s="10">
        <f>-J6*Assumptions!J$20</f>
        <v/>
      </c>
      <c r="K13" s="10">
        <f>-K6*Assumptions!K$20</f>
        <v/>
      </c>
      <c r="L13" s="10">
        <f>-L6*Assumptions!L$20</f>
        <v/>
      </c>
    </row>
    <row r="14">
      <c r="A14" t="inlineStr">
        <is>
          <t>EBIT, SBC + leases expensed</t>
        </is>
      </c>
      <c r="C14" s="9">
        <f>C12+C13</f>
        <v/>
      </c>
      <c r="D14" s="9">
        <f>D12+D13</f>
        <v/>
      </c>
      <c r="E14" s="9">
        <f>E12+E13</f>
        <v/>
      </c>
      <c r="F14" s="9">
        <f>F12+F13</f>
        <v/>
      </c>
      <c r="G14" s="9">
        <f>G12+G13</f>
        <v/>
      </c>
      <c r="H14" s="9">
        <f>H12+H13</f>
        <v/>
      </c>
      <c r="I14" s="9">
        <f>I12+I13</f>
        <v/>
      </c>
      <c r="J14" s="9">
        <f>J12+J13</f>
        <v/>
      </c>
      <c r="K14" s="9">
        <f>K12+K13</f>
        <v/>
      </c>
      <c r="L14" s="9">
        <f>L12+L13</f>
        <v/>
      </c>
    </row>
    <row r="15">
      <c r="A15" t="inlineStr">
        <is>
          <t>Cash tax rate</t>
        </is>
      </c>
      <c r="C15" s="11" t="n">
        <v>0.28</v>
      </c>
      <c r="D15" s="11" t="n">
        <v>0.28</v>
      </c>
      <c r="E15" s="11" t="n">
        <v>0.28</v>
      </c>
      <c r="F15" s="11" t="n">
        <v>0.28</v>
      </c>
      <c r="G15" s="11" t="n">
        <v>0.28</v>
      </c>
      <c r="H15" s="11" t="n">
        <v>0.28</v>
      </c>
      <c r="I15" s="11" t="n">
        <v>0.28</v>
      </c>
      <c r="J15" s="11" t="n">
        <v>0.28</v>
      </c>
      <c r="K15" s="11" t="n">
        <v>0.28</v>
      </c>
      <c r="L15" s="11" t="n">
        <v>0.28</v>
      </c>
    </row>
    <row r="16">
      <c r="A16" t="inlineStr">
        <is>
          <t>NOPAT</t>
        </is>
      </c>
      <c r="C16" s="9">
        <f>C14-MAX(0,C14)*C15</f>
        <v/>
      </c>
      <c r="D16" s="9">
        <f>D14-MAX(0,D14)*D15</f>
        <v/>
      </c>
      <c r="E16" s="9">
        <f>E14-MAX(0,E14)*E15</f>
        <v/>
      </c>
      <c r="F16" s="9">
        <f>F14-MAX(0,F14)*F15</f>
        <v/>
      </c>
      <c r="G16" s="9">
        <f>G14-MAX(0,G14)*G15</f>
        <v/>
      </c>
      <c r="H16" s="9">
        <f>H14-MAX(0,H14)*H15</f>
        <v/>
      </c>
      <c r="I16" s="9">
        <f>I14-MAX(0,I14)*I15</f>
        <v/>
      </c>
      <c r="J16" s="9">
        <f>J14-MAX(0,J14)*J15</f>
        <v/>
      </c>
      <c r="K16" s="9">
        <f>K14-MAX(0,K14)*K15</f>
        <v/>
      </c>
      <c r="L16" s="9">
        <f>L14-MAX(0,L14)*L15</f>
        <v/>
      </c>
    </row>
    <row r="17">
      <c r="A17" t="inlineStr">
        <is>
          <t>add back D&amp;A</t>
        </is>
      </c>
      <c r="C17" s="9">
        <f>-C13</f>
        <v/>
      </c>
      <c r="D17" s="9">
        <f>-D13</f>
        <v/>
      </c>
      <c r="E17" s="9">
        <f>-E13</f>
        <v/>
      </c>
      <c r="F17" s="9">
        <f>-F13</f>
        <v/>
      </c>
      <c r="G17" s="9">
        <f>-G13</f>
        <v/>
      </c>
      <c r="H17" s="9">
        <f>-H13</f>
        <v/>
      </c>
      <c r="I17" s="9">
        <f>-I13</f>
        <v/>
      </c>
      <c r="J17" s="9">
        <f>-J13</f>
        <v/>
      </c>
      <c r="K17" s="9">
        <f>-K13</f>
        <v/>
      </c>
      <c r="L17" s="9">
        <f>-L13</f>
        <v/>
      </c>
    </row>
    <row r="18">
      <c r="A18" t="inlineStr">
        <is>
          <t>less capex</t>
        </is>
      </c>
      <c r="C18" s="10">
        <f>-C6*Assumptions!$D$15</f>
        <v/>
      </c>
      <c r="D18" s="10">
        <f>-D6*Assumptions!$D$15</f>
        <v/>
      </c>
      <c r="E18" s="10">
        <f>-E6*Assumptions!$D$15</f>
        <v/>
      </c>
      <c r="F18" s="10">
        <f>-F6*Assumptions!$D$15</f>
        <v/>
      </c>
      <c r="G18" s="10">
        <f>-G6*Assumptions!$D$15</f>
        <v/>
      </c>
      <c r="H18" s="10">
        <f>-H6*Assumptions!$D$15</f>
        <v/>
      </c>
      <c r="I18" s="10">
        <f>-I6*Assumptions!$D$15</f>
        <v/>
      </c>
      <c r="J18" s="10">
        <f>-J6*Assumptions!$D$15</f>
        <v/>
      </c>
      <c r="K18" s="10">
        <f>-K6*Assumptions!$D$15</f>
        <v/>
      </c>
      <c r="L18" s="10">
        <f>-L6*Assumptions!$D$15</f>
        <v/>
      </c>
    </row>
    <row r="19">
      <c r="A19" t="inlineStr">
        <is>
          <t>add working capital</t>
        </is>
      </c>
      <c r="C19" s="10">
        <f>Assumptions!$E$15*(C6-B6)</f>
        <v/>
      </c>
      <c r="D19" s="10">
        <f>Assumptions!$E$15*(D6-C6)</f>
        <v/>
      </c>
      <c r="E19" s="10">
        <f>Assumptions!$E$15*(E6-D6)</f>
        <v/>
      </c>
      <c r="F19" s="10">
        <f>Assumptions!$E$15*(F6-E6)</f>
        <v/>
      </c>
      <c r="G19" s="10">
        <f>Assumptions!$E$15*(G6-F6)</f>
        <v/>
      </c>
      <c r="H19" s="10">
        <f>Assumptions!$E$15*(H6-G6)</f>
        <v/>
      </c>
      <c r="I19" s="10">
        <f>Assumptions!$E$15*(I6-H6)</f>
        <v/>
      </c>
      <c r="J19" s="10">
        <f>Assumptions!$E$15*(J6-I6)</f>
        <v/>
      </c>
      <c r="K19" s="10">
        <f>Assumptions!$E$15*(K6-J6)</f>
        <v/>
      </c>
      <c r="L19" s="10">
        <f>Assumptions!$E$15*(L6-K6)</f>
        <v/>
      </c>
    </row>
    <row r="20">
      <c r="A20" s="1" t="inlineStr">
        <is>
          <t>Unlevered owner FCF</t>
        </is>
      </c>
      <c r="C20" s="12">
        <f>C16+C17+C18+C19</f>
        <v/>
      </c>
      <c r="D20" s="12">
        <f>D16+D17+D18+D19</f>
        <v/>
      </c>
      <c r="E20" s="12">
        <f>E16+E17+E18+E19</f>
        <v/>
      </c>
      <c r="F20" s="12">
        <f>F16+F17+F18+F19</f>
        <v/>
      </c>
      <c r="G20" s="12">
        <f>G16+G17+G18+G19</f>
        <v/>
      </c>
      <c r="H20" s="12">
        <f>H16+H17+H18+H19</f>
        <v/>
      </c>
      <c r="I20" s="12">
        <f>I16+I17+I18+I19</f>
        <v/>
      </c>
      <c r="J20" s="12">
        <f>J16+J17+J18+J19</f>
        <v/>
      </c>
      <c r="K20" s="12">
        <f>K16+K17+K18+K19</f>
        <v/>
      </c>
      <c r="L20" s="12">
        <f>L16+L17+L18+L19</f>
        <v/>
      </c>
    </row>
    <row r="21">
      <c r="A21" t="inlineStr">
        <is>
          <t>Discount factor</t>
        </is>
      </c>
      <c r="C21" s="13">
        <f>1/(1+Assumptions!$B$4)^C4</f>
        <v/>
      </c>
      <c r="D21" s="13">
        <f>1/(1+Assumptions!$B$4)^D4</f>
        <v/>
      </c>
      <c r="E21" s="13">
        <f>1/(1+Assumptions!$B$4)^E4</f>
        <v/>
      </c>
      <c r="F21" s="13">
        <f>1/(1+Assumptions!$B$4)^F4</f>
        <v/>
      </c>
      <c r="G21" s="13">
        <f>1/(1+Assumptions!$B$4)^G4</f>
        <v/>
      </c>
      <c r="H21" s="13">
        <f>1/(1+Assumptions!$B$4)^H4</f>
        <v/>
      </c>
      <c r="I21" s="13">
        <f>1/(1+Assumptions!$B$4)^I4</f>
        <v/>
      </c>
      <c r="J21" s="13">
        <f>1/(1+Assumptions!$B$4)^J4</f>
        <v/>
      </c>
      <c r="K21" s="13">
        <f>1/(1+Assumptions!$B$4)^K4</f>
        <v/>
      </c>
      <c r="L21" s="13">
        <f>1/(1+Assumptions!$B$4)^L4</f>
        <v/>
      </c>
    </row>
    <row r="22">
      <c r="A22" t="inlineStr">
        <is>
          <t>PV of FCF</t>
        </is>
      </c>
      <c r="C22" s="9">
        <f>C20*C21</f>
        <v/>
      </c>
      <c r="D22" s="9">
        <f>D20*D21</f>
        <v/>
      </c>
      <c r="E22" s="9">
        <f>E20*E21</f>
        <v/>
      </c>
      <c r="F22" s="9">
        <f>F20*F21</f>
        <v/>
      </c>
      <c r="G22" s="9">
        <f>G20*G21</f>
        <v/>
      </c>
      <c r="H22" s="9">
        <f>H20*H21</f>
        <v/>
      </c>
      <c r="I22" s="9">
        <f>I20*I21</f>
        <v/>
      </c>
      <c r="J22" s="9">
        <f>J20*J21</f>
        <v/>
      </c>
      <c r="K22" s="9">
        <f>K20*K21</f>
        <v/>
      </c>
      <c r="L22" s="9">
        <f>L20*L21</f>
        <v/>
      </c>
    </row>
    <row r="24">
      <c r="A24" t="inlineStr">
        <is>
          <t>Memo: FCF before SBC (company-style)</t>
        </is>
      </c>
      <c r="C24" s="9">
        <f>C20-C10</f>
        <v/>
      </c>
      <c r="D24" s="9">
        <f>D20-D10</f>
        <v/>
      </c>
      <c r="E24" s="9">
        <f>E20-E10</f>
        <v/>
      </c>
      <c r="F24" s="9">
        <f>F20-F10</f>
        <v/>
      </c>
      <c r="G24" s="9">
        <f>G20-G10</f>
        <v/>
      </c>
      <c r="H24" s="9">
        <f>H20-H10</f>
        <v/>
      </c>
      <c r="I24" s="9">
        <f>I20-I10</f>
        <v/>
      </c>
      <c r="J24" s="9">
        <f>J20-J10</f>
        <v/>
      </c>
      <c r="K24" s="9">
        <f>K20-K10</f>
        <v/>
      </c>
      <c r="L24" s="9">
        <f>L20-L10</f>
        <v/>
      </c>
    </row>
    <row r="25">
      <c r="A25" t="inlineStr">
        <is>
          <t>Memo: owner-FCF margin</t>
        </is>
      </c>
      <c r="C25" s="14">
        <f>C20/C6</f>
        <v/>
      </c>
      <c r="D25" s="14">
        <f>D20/D6</f>
        <v/>
      </c>
      <c r="E25" s="14">
        <f>E20/E6</f>
        <v/>
      </c>
      <c r="F25" s="14">
        <f>F20/F6</f>
        <v/>
      </c>
      <c r="G25" s="14">
        <f>G20/G6</f>
        <v/>
      </c>
      <c r="H25" s="14">
        <f>H20/H6</f>
        <v/>
      </c>
      <c r="I25" s="14">
        <f>I20/I6</f>
        <v/>
      </c>
      <c r="J25" s="14">
        <f>J20/J6</f>
        <v/>
      </c>
      <c r="K25" s="14">
        <f>K20/K6</f>
        <v/>
      </c>
      <c r="L25" s="14">
        <f>L20/L6</f>
        <v/>
      </c>
    </row>
    <row r="27">
      <c r="A27" t="inlineStr">
        <is>
          <t>Sum of PV of FCF</t>
        </is>
      </c>
      <c r="B27" s="9">
        <f>SUM(C22:L22)</f>
        <v/>
      </c>
    </row>
    <row r="28">
      <c r="A28" t="inlineStr">
        <is>
          <t>Terminal growth</t>
        </is>
      </c>
      <c r="B28" s="14">
        <f>Assumptions!$B$15</f>
        <v/>
      </c>
    </row>
    <row r="29">
      <c r="A29" t="inlineStr">
        <is>
          <t>Terminal-year FCF x (1+g)</t>
        </is>
      </c>
      <c r="B29" s="9">
        <f>L20*(1+B28)</f>
        <v/>
      </c>
    </row>
    <row r="30">
      <c r="A30" t="inlineStr">
        <is>
          <t>Gordon terminal value</t>
        </is>
      </c>
      <c r="B30" s="9">
        <f>B29/(Assumptions!$B$4-B28)</f>
        <v/>
      </c>
    </row>
    <row r="31">
      <c r="A31" t="inlineStr">
        <is>
          <t>Cap terminal value</t>
        </is>
      </c>
      <c r="B31" s="9">
        <f>Assumptions!$B$9*L20</f>
        <v/>
      </c>
    </row>
    <row r="32">
      <c r="A32" t="inlineStr">
        <is>
          <t>Terminal value used = MAX(0,MIN(Gordon,cap))</t>
        </is>
      </c>
      <c r="B32" s="9">
        <f>MAX(0,MIN(B30,B31))</f>
        <v/>
      </c>
    </row>
    <row r="33">
      <c r="A33" t="inlineStr">
        <is>
          <t>Implied exit multiple (TV / FCF_10)</t>
        </is>
      </c>
      <c r="B33" s="15">
        <f>B32/L20</f>
        <v/>
      </c>
    </row>
    <row r="34">
      <c r="A34" t="inlineStr">
        <is>
          <t>PV of terminal value</t>
        </is>
      </c>
      <c r="B34" s="9">
        <f>B32*L21</f>
        <v/>
      </c>
    </row>
    <row r="35">
      <c r="A35" t="inlineStr">
        <is>
          <t>Enterprise value</t>
        </is>
      </c>
      <c r="B35" s="9">
        <f>B27+B34</f>
        <v/>
      </c>
    </row>
    <row r="36">
      <c r="A36" t="inlineStr">
        <is>
          <t>less net debt</t>
        </is>
      </c>
      <c r="B36" s="9">
        <f>-Assumptions!$B$6</f>
        <v/>
      </c>
    </row>
    <row r="37">
      <c r="A37" t="inlineStr">
        <is>
          <t>Equity value</t>
        </is>
      </c>
      <c r="B37" s="9">
        <f>B35+B36</f>
        <v/>
      </c>
    </row>
    <row r="38">
      <c r="A38" t="inlineStr">
        <is>
          <t>Diluted shares (m)</t>
        </is>
      </c>
      <c r="B38" s="9">
        <f>Assumptions!$B$7</f>
        <v/>
      </c>
    </row>
    <row r="39">
      <c r="A39" s="1" t="inlineStr">
        <is>
          <t>VALUE PER SHARE (A$)</t>
        </is>
      </c>
      <c r="B39" s="16">
        <f>B37/B38</f>
        <v/>
      </c>
    </row>
    <row r="40">
      <c r="A40" t="inlineStr">
        <is>
          <t>Upside vs price</t>
        </is>
      </c>
      <c r="B40" s="14">
        <f>B39/Assumptions!$B$8-1</f>
        <v/>
      </c>
    </row>
    <row r="42">
      <c r="A42" t="inlineStr">
        <is>
          <t>Street memo: PV of explicit SBC</t>
        </is>
      </c>
      <c r="B42" s="9">
        <f>-NPV(Assumptions!$B$4,C10:L10)</f>
        <v/>
      </c>
    </row>
    <row r="43">
      <c r="A43" t="inlineStr">
        <is>
          <t>Street memo: PV of terminal SBC</t>
        </is>
      </c>
      <c r="B43" s="9">
        <f>(-L10*(1+B28)/(Assumptions!$B$4-B28))*L21</f>
        <v/>
      </c>
    </row>
    <row r="44">
      <c r="A44" t="inlineStr">
        <is>
          <t>Street value per share (SBC as non-cash)</t>
        </is>
      </c>
      <c r="B44" s="17">
        <f>(B37+B42+B43)/B38</f>
        <v/>
      </c>
    </row>
    <row r="45">
      <c r="A45" t="inlineStr">
        <is>
          <t>Terminal value % of EV</t>
        </is>
      </c>
      <c r="B45" s="14">
        <f>B34/B35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BULL scenario -- unlevered owner FCF, A$ millions</t>
        </is>
      </c>
    </row>
    <row r="3">
      <c r="A3" t="inlineStr">
        <is>
          <t>Year</t>
        </is>
      </c>
      <c r="B3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7" t="n">
        <v>0.1</v>
      </c>
      <c r="D5" s="7" t="n">
        <v>0.095</v>
      </c>
      <c r="E5" s="7" t="n">
        <v>0.09</v>
      </c>
      <c r="F5" s="7" t="n">
        <v>0.08</v>
      </c>
      <c r="G5" s="7" t="n">
        <v>0.07000000000000001</v>
      </c>
      <c r="H5" s="7" t="n">
        <v>0.06</v>
      </c>
      <c r="I5" s="7" t="n">
        <v>0.05</v>
      </c>
      <c r="J5" s="7" t="n">
        <v>0.045</v>
      </c>
      <c r="K5" s="7" t="n">
        <v>0.04</v>
      </c>
      <c r="L5" s="7" t="n">
        <v>0.035</v>
      </c>
    </row>
    <row r="6">
      <c r="A6" t="inlineStr">
        <is>
          <t>Revenue</t>
        </is>
      </c>
      <c r="B6" s="8">
        <f>Assumptions!$B$11</f>
        <v/>
      </c>
      <c r="C6" s="9">
        <f>B6*(1+C5)</f>
        <v/>
      </c>
      <c r="D6" s="9">
        <f>C6*(1+D5)</f>
        <v/>
      </c>
      <c r="E6" s="9">
        <f>D6*(1+E5)</f>
        <v/>
      </c>
      <c r="F6" s="9">
        <f>E6*(1+F5)</f>
        <v/>
      </c>
      <c r="G6" s="9">
        <f>F6*(1+G5)</f>
        <v/>
      </c>
      <c r="H6" s="9">
        <f>G6*(1+H5)</f>
        <v/>
      </c>
      <c r="I6" s="9">
        <f>H6*(1+I5)</f>
        <v/>
      </c>
      <c r="J6" s="9">
        <f>I6*(1+J5)</f>
        <v/>
      </c>
      <c r="K6" s="9">
        <f>J6*(1+K5)</f>
        <v/>
      </c>
      <c r="L6" s="9">
        <f>K6*(1+L5)</f>
        <v/>
      </c>
    </row>
    <row r="7">
      <c r="A7" t="inlineStr">
        <is>
          <t>Adj EBITDA margin (pre-SBC)</t>
        </is>
      </c>
      <c r="C7" s="7" t="n">
        <v>0.43</v>
      </c>
      <c r="D7" s="7" t="n">
        <v>0.435</v>
      </c>
      <c r="E7" s="7" t="n">
        <v>0.44</v>
      </c>
      <c r="F7" s="7" t="n">
        <v>0.445</v>
      </c>
      <c r="G7" s="7" t="n">
        <v>0.45</v>
      </c>
      <c r="H7" s="7" t="n">
        <v>0.453</v>
      </c>
      <c r="I7" s="7" t="n">
        <v>0.456</v>
      </c>
      <c r="J7" s="7" t="n">
        <v>0.458</v>
      </c>
      <c r="K7" s="7" t="n">
        <v>0.46</v>
      </c>
      <c r="L7" s="7" t="n">
        <v>0.46</v>
      </c>
    </row>
    <row r="8">
      <c r="A8" t="inlineStr">
        <is>
          <t>Adjusted EBITDA</t>
        </is>
      </c>
      <c r="C8" s="9">
        <f>C6*C7</f>
        <v/>
      </c>
      <c r="D8" s="9">
        <f>D6*D7</f>
        <v/>
      </c>
      <c r="E8" s="9">
        <f>E6*E7</f>
        <v/>
      </c>
      <c r="F8" s="9">
        <f>F6*F7</f>
        <v/>
      </c>
      <c r="G8" s="9">
        <f>G6*G7</f>
        <v/>
      </c>
      <c r="H8" s="9">
        <f>H6*H7</f>
        <v/>
      </c>
      <c r="I8" s="9">
        <f>I6*I7</f>
        <v/>
      </c>
      <c r="J8" s="9">
        <f>J6*J7</f>
        <v/>
      </c>
      <c r="K8" s="9">
        <f>K6*K7</f>
        <v/>
      </c>
      <c r="L8" s="9">
        <f>L6*L7</f>
        <v/>
      </c>
    </row>
    <row r="9">
      <c r="A9" t="inlineStr">
        <is>
          <t>SBC % revenue</t>
        </is>
      </c>
      <c r="C9" s="7" t="n">
        <v>0.011</v>
      </c>
      <c r="D9" s="7" t="n">
        <v>0.011</v>
      </c>
      <c r="E9" s="7" t="n">
        <v>0.011</v>
      </c>
      <c r="F9" s="7" t="n">
        <v>0.011</v>
      </c>
      <c r="G9" s="7" t="n">
        <v>0.011</v>
      </c>
      <c r="H9" s="7" t="n">
        <v>0.011</v>
      </c>
      <c r="I9" s="7" t="n">
        <v>0.011</v>
      </c>
      <c r="J9" s="7" t="n">
        <v>0.011</v>
      </c>
      <c r="K9" s="7" t="n">
        <v>0.011</v>
      </c>
      <c r="L9" s="7" t="n">
        <v>0.011</v>
      </c>
    </row>
    <row r="10">
      <c r="A10" t="inlineStr">
        <is>
          <t>SBC (negative)</t>
        </is>
      </c>
      <c r="C10" s="9">
        <f>-C6*C9</f>
        <v/>
      </c>
      <c r="D10" s="9">
        <f>-D6*D9</f>
        <v/>
      </c>
      <c r="E10" s="9">
        <f>-E6*E9</f>
        <v/>
      </c>
      <c r="F10" s="9">
        <f>-F6*F9</f>
        <v/>
      </c>
      <c r="G10" s="9">
        <f>-G6*G9</f>
        <v/>
      </c>
      <c r="H10" s="9">
        <f>-H6*H9</f>
        <v/>
      </c>
      <c r="I10" s="9">
        <f>-I6*I9</f>
        <v/>
      </c>
      <c r="J10" s="9">
        <f>-J6*J9</f>
        <v/>
      </c>
      <c r="K10" s="9">
        <f>-K6*K9</f>
        <v/>
      </c>
      <c r="L10" s="9">
        <f>-L6*L9</f>
        <v/>
      </c>
    </row>
    <row r="11">
      <c r="A11" t="inlineStr">
        <is>
          <t>Lease cost (principal+interest)</t>
        </is>
      </c>
      <c r="C11" s="10">
        <f>-C6*Assumptions!$B$5</f>
        <v/>
      </c>
      <c r="D11" s="10">
        <f>-D6*Assumptions!$B$5</f>
        <v/>
      </c>
      <c r="E11" s="10">
        <f>-E6*Assumptions!$B$5</f>
        <v/>
      </c>
      <c r="F11" s="10">
        <f>-F6*Assumptions!$B$5</f>
        <v/>
      </c>
      <c r="G11" s="10">
        <f>-G6*Assumptions!$B$5</f>
        <v/>
      </c>
      <c r="H11" s="10">
        <f>-H6*Assumptions!$B$5</f>
        <v/>
      </c>
      <c r="I11" s="10">
        <f>-I6*Assumptions!$B$5</f>
        <v/>
      </c>
      <c r="J11" s="10">
        <f>-J6*Assumptions!$B$5</f>
        <v/>
      </c>
      <c r="K11" s="10">
        <f>-K6*Assumptions!$B$5</f>
        <v/>
      </c>
      <c r="L11" s="10">
        <f>-L6*Assumptions!$B$5</f>
        <v/>
      </c>
    </row>
    <row r="12">
      <c r="A12" t="inlineStr">
        <is>
          <t>Owner EBITDA</t>
        </is>
      </c>
      <c r="C12" s="9">
        <f>C8+C10+C11</f>
        <v/>
      </c>
      <c r="D12" s="9">
        <f>D8+D10+D11</f>
        <v/>
      </c>
      <c r="E12" s="9">
        <f>E8+E10+E11</f>
        <v/>
      </c>
      <c r="F12" s="9">
        <f>F8+F10+F11</f>
        <v/>
      </c>
      <c r="G12" s="9">
        <f>G8+G10+G11</f>
        <v/>
      </c>
      <c r="H12" s="9">
        <f>H8+H10+H11</f>
        <v/>
      </c>
      <c r="I12" s="9">
        <f>I8+I10+I11</f>
        <v/>
      </c>
      <c r="J12" s="9">
        <f>J8+J10+J11</f>
        <v/>
      </c>
      <c r="K12" s="9">
        <f>K8+K10+K11</f>
        <v/>
      </c>
      <c r="L12" s="9">
        <f>L8+L10+L11</f>
        <v/>
      </c>
    </row>
    <row r="13">
      <c r="A13" t="inlineStr">
        <is>
          <t>D&amp;A ex-ROU (negative)</t>
        </is>
      </c>
      <c r="C13" s="10">
        <f>-C6*Assumptions!C$20</f>
        <v/>
      </c>
      <c r="D13" s="10">
        <f>-D6*Assumptions!D$20</f>
        <v/>
      </c>
      <c r="E13" s="10">
        <f>-E6*Assumptions!E$20</f>
        <v/>
      </c>
      <c r="F13" s="10">
        <f>-F6*Assumptions!F$20</f>
        <v/>
      </c>
      <c r="G13" s="10">
        <f>-G6*Assumptions!G$20</f>
        <v/>
      </c>
      <c r="H13" s="10">
        <f>-H6*Assumptions!H$20</f>
        <v/>
      </c>
      <c r="I13" s="10">
        <f>-I6*Assumptions!I$20</f>
        <v/>
      </c>
      <c r="J13" s="10">
        <f>-J6*Assumptions!J$20</f>
        <v/>
      </c>
      <c r="K13" s="10">
        <f>-K6*Assumptions!K$20</f>
        <v/>
      </c>
      <c r="L13" s="10">
        <f>-L6*Assumptions!L$20</f>
        <v/>
      </c>
    </row>
    <row r="14">
      <c r="A14" t="inlineStr">
        <is>
          <t>EBIT, SBC + leases expensed</t>
        </is>
      </c>
      <c r="C14" s="9">
        <f>C12+C13</f>
        <v/>
      </c>
      <c r="D14" s="9">
        <f>D12+D13</f>
        <v/>
      </c>
      <c r="E14" s="9">
        <f>E12+E13</f>
        <v/>
      </c>
      <c r="F14" s="9">
        <f>F12+F13</f>
        <v/>
      </c>
      <c r="G14" s="9">
        <f>G12+G13</f>
        <v/>
      </c>
      <c r="H14" s="9">
        <f>H12+H13</f>
        <v/>
      </c>
      <c r="I14" s="9">
        <f>I12+I13</f>
        <v/>
      </c>
      <c r="J14" s="9">
        <f>J12+J13</f>
        <v/>
      </c>
      <c r="K14" s="9">
        <f>K12+K13</f>
        <v/>
      </c>
      <c r="L14" s="9">
        <f>L12+L13</f>
        <v/>
      </c>
    </row>
    <row r="15">
      <c r="A15" t="inlineStr">
        <is>
          <t>Cash tax rate</t>
        </is>
      </c>
      <c r="C15" s="11" t="n">
        <v>0.28</v>
      </c>
      <c r="D15" s="11" t="n">
        <v>0.28</v>
      </c>
      <c r="E15" s="11" t="n">
        <v>0.28</v>
      </c>
      <c r="F15" s="11" t="n">
        <v>0.28</v>
      </c>
      <c r="G15" s="11" t="n">
        <v>0.28</v>
      </c>
      <c r="H15" s="11" t="n">
        <v>0.28</v>
      </c>
      <c r="I15" s="11" t="n">
        <v>0.28</v>
      </c>
      <c r="J15" s="11" t="n">
        <v>0.28</v>
      </c>
      <c r="K15" s="11" t="n">
        <v>0.28</v>
      </c>
      <c r="L15" s="11" t="n">
        <v>0.28</v>
      </c>
    </row>
    <row r="16">
      <c r="A16" t="inlineStr">
        <is>
          <t>NOPAT</t>
        </is>
      </c>
      <c r="C16" s="9">
        <f>C14-MAX(0,C14)*C15</f>
        <v/>
      </c>
      <c r="D16" s="9">
        <f>D14-MAX(0,D14)*D15</f>
        <v/>
      </c>
      <c r="E16" s="9">
        <f>E14-MAX(0,E14)*E15</f>
        <v/>
      </c>
      <c r="F16" s="9">
        <f>F14-MAX(0,F14)*F15</f>
        <v/>
      </c>
      <c r="G16" s="9">
        <f>G14-MAX(0,G14)*G15</f>
        <v/>
      </c>
      <c r="H16" s="9">
        <f>H14-MAX(0,H14)*H15</f>
        <v/>
      </c>
      <c r="I16" s="9">
        <f>I14-MAX(0,I14)*I15</f>
        <v/>
      </c>
      <c r="J16" s="9">
        <f>J14-MAX(0,J14)*J15</f>
        <v/>
      </c>
      <c r="K16" s="9">
        <f>K14-MAX(0,K14)*K15</f>
        <v/>
      </c>
      <c r="L16" s="9">
        <f>L14-MAX(0,L14)*L15</f>
        <v/>
      </c>
    </row>
    <row r="17">
      <c r="A17" t="inlineStr">
        <is>
          <t>add back D&amp;A</t>
        </is>
      </c>
      <c r="C17" s="9">
        <f>-C13</f>
        <v/>
      </c>
      <c r="D17" s="9">
        <f>-D13</f>
        <v/>
      </c>
      <c r="E17" s="9">
        <f>-E13</f>
        <v/>
      </c>
      <c r="F17" s="9">
        <f>-F13</f>
        <v/>
      </c>
      <c r="G17" s="9">
        <f>-G13</f>
        <v/>
      </c>
      <c r="H17" s="9">
        <f>-H13</f>
        <v/>
      </c>
      <c r="I17" s="9">
        <f>-I13</f>
        <v/>
      </c>
      <c r="J17" s="9">
        <f>-J13</f>
        <v/>
      </c>
      <c r="K17" s="9">
        <f>-K13</f>
        <v/>
      </c>
      <c r="L17" s="9">
        <f>-L13</f>
        <v/>
      </c>
    </row>
    <row r="18">
      <c r="A18" t="inlineStr">
        <is>
          <t>less capex</t>
        </is>
      </c>
      <c r="C18" s="10">
        <f>-C6*Assumptions!$D$16</f>
        <v/>
      </c>
      <c r="D18" s="10">
        <f>-D6*Assumptions!$D$16</f>
        <v/>
      </c>
      <c r="E18" s="10">
        <f>-E6*Assumptions!$D$16</f>
        <v/>
      </c>
      <c r="F18" s="10">
        <f>-F6*Assumptions!$D$16</f>
        <v/>
      </c>
      <c r="G18" s="10">
        <f>-G6*Assumptions!$D$16</f>
        <v/>
      </c>
      <c r="H18" s="10">
        <f>-H6*Assumptions!$D$16</f>
        <v/>
      </c>
      <c r="I18" s="10">
        <f>-I6*Assumptions!$D$16</f>
        <v/>
      </c>
      <c r="J18" s="10">
        <f>-J6*Assumptions!$D$16</f>
        <v/>
      </c>
      <c r="K18" s="10">
        <f>-K6*Assumptions!$D$16</f>
        <v/>
      </c>
      <c r="L18" s="10">
        <f>-L6*Assumptions!$D$16</f>
        <v/>
      </c>
    </row>
    <row r="19">
      <c r="A19" t="inlineStr">
        <is>
          <t>add working capital</t>
        </is>
      </c>
      <c r="C19" s="10">
        <f>Assumptions!$E$16*(C6-B6)</f>
        <v/>
      </c>
      <c r="D19" s="10">
        <f>Assumptions!$E$16*(D6-C6)</f>
        <v/>
      </c>
      <c r="E19" s="10">
        <f>Assumptions!$E$16*(E6-D6)</f>
        <v/>
      </c>
      <c r="F19" s="10">
        <f>Assumptions!$E$16*(F6-E6)</f>
        <v/>
      </c>
      <c r="G19" s="10">
        <f>Assumptions!$E$16*(G6-F6)</f>
        <v/>
      </c>
      <c r="H19" s="10">
        <f>Assumptions!$E$16*(H6-G6)</f>
        <v/>
      </c>
      <c r="I19" s="10">
        <f>Assumptions!$E$16*(I6-H6)</f>
        <v/>
      </c>
      <c r="J19" s="10">
        <f>Assumptions!$E$16*(J6-I6)</f>
        <v/>
      </c>
      <c r="K19" s="10">
        <f>Assumptions!$E$16*(K6-J6)</f>
        <v/>
      </c>
      <c r="L19" s="10">
        <f>Assumptions!$E$16*(L6-K6)</f>
        <v/>
      </c>
    </row>
    <row r="20">
      <c r="A20" s="1" t="inlineStr">
        <is>
          <t>Unlevered owner FCF</t>
        </is>
      </c>
      <c r="C20" s="12">
        <f>C16+C17+C18+C19</f>
        <v/>
      </c>
      <c r="D20" s="12">
        <f>D16+D17+D18+D19</f>
        <v/>
      </c>
      <c r="E20" s="12">
        <f>E16+E17+E18+E19</f>
        <v/>
      </c>
      <c r="F20" s="12">
        <f>F16+F17+F18+F19</f>
        <v/>
      </c>
      <c r="G20" s="12">
        <f>G16+G17+G18+G19</f>
        <v/>
      </c>
      <c r="H20" s="12">
        <f>H16+H17+H18+H19</f>
        <v/>
      </c>
      <c r="I20" s="12">
        <f>I16+I17+I18+I19</f>
        <v/>
      </c>
      <c r="J20" s="12">
        <f>J16+J17+J18+J19</f>
        <v/>
      </c>
      <c r="K20" s="12">
        <f>K16+K17+K18+K19</f>
        <v/>
      </c>
      <c r="L20" s="12">
        <f>L16+L17+L18+L19</f>
        <v/>
      </c>
    </row>
    <row r="21">
      <c r="A21" t="inlineStr">
        <is>
          <t>Discount factor</t>
        </is>
      </c>
      <c r="C21" s="13">
        <f>1/(1+Assumptions!$B$4)^C4</f>
        <v/>
      </c>
      <c r="D21" s="13">
        <f>1/(1+Assumptions!$B$4)^D4</f>
        <v/>
      </c>
      <c r="E21" s="13">
        <f>1/(1+Assumptions!$B$4)^E4</f>
        <v/>
      </c>
      <c r="F21" s="13">
        <f>1/(1+Assumptions!$B$4)^F4</f>
        <v/>
      </c>
      <c r="G21" s="13">
        <f>1/(1+Assumptions!$B$4)^G4</f>
        <v/>
      </c>
      <c r="H21" s="13">
        <f>1/(1+Assumptions!$B$4)^H4</f>
        <v/>
      </c>
      <c r="I21" s="13">
        <f>1/(1+Assumptions!$B$4)^I4</f>
        <v/>
      </c>
      <c r="J21" s="13">
        <f>1/(1+Assumptions!$B$4)^J4</f>
        <v/>
      </c>
      <c r="K21" s="13">
        <f>1/(1+Assumptions!$B$4)^K4</f>
        <v/>
      </c>
      <c r="L21" s="13">
        <f>1/(1+Assumptions!$B$4)^L4</f>
        <v/>
      </c>
    </row>
    <row r="22">
      <c r="A22" t="inlineStr">
        <is>
          <t>PV of FCF</t>
        </is>
      </c>
      <c r="C22" s="9">
        <f>C20*C21</f>
        <v/>
      </c>
      <c r="D22" s="9">
        <f>D20*D21</f>
        <v/>
      </c>
      <c r="E22" s="9">
        <f>E20*E21</f>
        <v/>
      </c>
      <c r="F22" s="9">
        <f>F20*F21</f>
        <v/>
      </c>
      <c r="G22" s="9">
        <f>G20*G21</f>
        <v/>
      </c>
      <c r="H22" s="9">
        <f>H20*H21</f>
        <v/>
      </c>
      <c r="I22" s="9">
        <f>I20*I21</f>
        <v/>
      </c>
      <c r="J22" s="9">
        <f>J20*J21</f>
        <v/>
      </c>
      <c r="K22" s="9">
        <f>K20*K21</f>
        <v/>
      </c>
      <c r="L22" s="9">
        <f>L20*L21</f>
        <v/>
      </c>
    </row>
    <row r="24">
      <c r="A24" t="inlineStr">
        <is>
          <t>Memo: FCF before SBC (company-style)</t>
        </is>
      </c>
      <c r="C24" s="9">
        <f>C20-C10</f>
        <v/>
      </c>
      <c r="D24" s="9">
        <f>D20-D10</f>
        <v/>
      </c>
      <c r="E24" s="9">
        <f>E20-E10</f>
        <v/>
      </c>
      <c r="F24" s="9">
        <f>F20-F10</f>
        <v/>
      </c>
      <c r="G24" s="9">
        <f>G20-G10</f>
        <v/>
      </c>
      <c r="H24" s="9">
        <f>H20-H10</f>
        <v/>
      </c>
      <c r="I24" s="9">
        <f>I20-I10</f>
        <v/>
      </c>
      <c r="J24" s="9">
        <f>J20-J10</f>
        <v/>
      </c>
      <c r="K24" s="9">
        <f>K20-K10</f>
        <v/>
      </c>
      <c r="L24" s="9">
        <f>L20-L10</f>
        <v/>
      </c>
    </row>
    <row r="25">
      <c r="A25" t="inlineStr">
        <is>
          <t>Memo: owner-FCF margin</t>
        </is>
      </c>
      <c r="C25" s="14">
        <f>C20/C6</f>
        <v/>
      </c>
      <c r="D25" s="14">
        <f>D20/D6</f>
        <v/>
      </c>
      <c r="E25" s="14">
        <f>E20/E6</f>
        <v/>
      </c>
      <c r="F25" s="14">
        <f>F20/F6</f>
        <v/>
      </c>
      <c r="G25" s="14">
        <f>G20/G6</f>
        <v/>
      </c>
      <c r="H25" s="14">
        <f>H20/H6</f>
        <v/>
      </c>
      <c r="I25" s="14">
        <f>I20/I6</f>
        <v/>
      </c>
      <c r="J25" s="14">
        <f>J20/J6</f>
        <v/>
      </c>
      <c r="K25" s="14">
        <f>K20/K6</f>
        <v/>
      </c>
      <c r="L25" s="14">
        <f>L20/L6</f>
        <v/>
      </c>
    </row>
    <row r="27">
      <c r="A27" t="inlineStr">
        <is>
          <t>Sum of PV of FCF</t>
        </is>
      </c>
      <c r="B27" s="9">
        <f>SUM(C22:L22)</f>
        <v/>
      </c>
    </row>
    <row r="28">
      <c r="A28" t="inlineStr">
        <is>
          <t>Terminal growth</t>
        </is>
      </c>
      <c r="B28" s="14">
        <f>Assumptions!$B$16</f>
        <v/>
      </c>
    </row>
    <row r="29">
      <c r="A29" t="inlineStr">
        <is>
          <t>Terminal-year FCF x (1+g)</t>
        </is>
      </c>
      <c r="B29" s="9">
        <f>L20*(1+B28)</f>
        <v/>
      </c>
    </row>
    <row r="30">
      <c r="A30" t="inlineStr">
        <is>
          <t>Gordon terminal value</t>
        </is>
      </c>
      <c r="B30" s="9">
        <f>B29/(Assumptions!$B$4-B28)</f>
        <v/>
      </c>
    </row>
    <row r="31">
      <c r="A31" t="inlineStr">
        <is>
          <t>Cap terminal value</t>
        </is>
      </c>
      <c r="B31" s="9">
        <f>Assumptions!$B$9*L20</f>
        <v/>
      </c>
    </row>
    <row r="32">
      <c r="A32" t="inlineStr">
        <is>
          <t>Terminal value used = MAX(0,MIN(Gordon,cap))</t>
        </is>
      </c>
      <c r="B32" s="9">
        <f>MAX(0,MIN(B30,B31))</f>
        <v/>
      </c>
    </row>
    <row r="33">
      <c r="A33" t="inlineStr">
        <is>
          <t>Implied exit multiple (TV / FCF_10)</t>
        </is>
      </c>
      <c r="B33" s="15">
        <f>B32/L20</f>
        <v/>
      </c>
    </row>
    <row r="34">
      <c r="A34" t="inlineStr">
        <is>
          <t>PV of terminal value</t>
        </is>
      </c>
      <c r="B34" s="9">
        <f>B32*L21</f>
        <v/>
      </c>
    </row>
    <row r="35">
      <c r="A35" t="inlineStr">
        <is>
          <t>Enterprise value</t>
        </is>
      </c>
      <c r="B35" s="9">
        <f>B27+B34</f>
        <v/>
      </c>
    </row>
    <row r="36">
      <c r="A36" t="inlineStr">
        <is>
          <t>less net debt</t>
        </is>
      </c>
      <c r="B36" s="9">
        <f>-Assumptions!$B$6</f>
        <v/>
      </c>
    </row>
    <row r="37">
      <c r="A37" t="inlineStr">
        <is>
          <t>Equity value</t>
        </is>
      </c>
      <c r="B37" s="9">
        <f>B35+B36</f>
        <v/>
      </c>
    </row>
    <row r="38">
      <c r="A38" t="inlineStr">
        <is>
          <t>Diluted shares (m)</t>
        </is>
      </c>
      <c r="B38" s="9">
        <f>Assumptions!$B$7</f>
        <v/>
      </c>
    </row>
    <row r="39">
      <c r="A39" s="1" t="inlineStr">
        <is>
          <t>VALUE PER SHARE (A$)</t>
        </is>
      </c>
      <c r="B39" s="16">
        <f>B37/B38</f>
        <v/>
      </c>
    </row>
    <row r="40">
      <c r="A40" t="inlineStr">
        <is>
          <t>Upside vs price</t>
        </is>
      </c>
      <c r="B40" s="14">
        <f>B39/Assumptions!$B$8-1</f>
        <v/>
      </c>
    </row>
    <row r="42">
      <c r="A42" t="inlineStr">
        <is>
          <t>Street memo: PV of explicit SBC</t>
        </is>
      </c>
      <c r="B42" s="9">
        <f>-NPV(Assumptions!$B$4,C10:L10)</f>
        <v/>
      </c>
    </row>
    <row r="43">
      <c r="A43" t="inlineStr">
        <is>
          <t>Street memo: PV of terminal SBC</t>
        </is>
      </c>
      <c r="B43" s="9">
        <f>(-L10*(1+B28)/(Assumptions!$B$4-B28))*L21</f>
        <v/>
      </c>
    </row>
    <row r="44">
      <c r="A44" t="inlineStr">
        <is>
          <t>Street value per share (SBC as non-cash)</t>
        </is>
      </c>
      <c r="B44" s="17">
        <f>(B37+B42+B43)/B38</f>
        <v/>
      </c>
    </row>
    <row r="45">
      <c r="A45" t="inlineStr">
        <is>
          <t>Terminal value % of EV</t>
        </is>
      </c>
      <c r="B45" s="14">
        <f>B34/B35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Reported FCF reconciled to owner FCF (A$m). Lease principal applies from FY2020 (IFRS 16).</t>
        </is>
      </c>
    </row>
    <row r="3">
      <c r="A3" t="inlineStr">
        <is>
          <t>Line</t>
        </is>
      </c>
      <c r="B3" s="1" t="inlineStr">
        <is>
          <t>FY2016</t>
        </is>
      </c>
      <c r="C3" s="1" t="inlineStr">
        <is>
          <t>FY2017</t>
        </is>
      </c>
      <c r="D3" s="1" t="inlineStr">
        <is>
          <t>FY2018</t>
        </is>
      </c>
      <c r="E3" s="1" t="inlineStr">
        <is>
          <t>FY2019</t>
        </is>
      </c>
      <c r="F3" s="1" t="inlineStr">
        <is>
          <t>FY2020</t>
        </is>
      </c>
      <c r="G3" s="1" t="inlineStr">
        <is>
          <t>FY2021</t>
        </is>
      </c>
      <c r="H3" s="1" t="inlineStr">
        <is>
          <t>FY2022</t>
        </is>
      </c>
      <c r="I3" s="1" t="inlineStr">
        <is>
          <t>FY2023</t>
        </is>
      </c>
      <c r="J3" s="1" t="inlineStr">
        <is>
          <t>FY2024</t>
        </is>
      </c>
      <c r="K3" s="1" t="inlineStr">
        <is>
          <t>FY2025</t>
        </is>
      </c>
    </row>
    <row r="4">
      <c r="A4" t="inlineStr">
        <is>
          <t>Revenue</t>
        </is>
      </c>
      <c r="B4" s="10">
        <f>Actuals!B4</f>
        <v/>
      </c>
      <c r="C4" s="10">
        <f>Actuals!B5</f>
        <v/>
      </c>
      <c r="D4" s="10">
        <f>Actuals!B6</f>
        <v/>
      </c>
      <c r="E4" s="10">
        <f>Actuals!B7</f>
        <v/>
      </c>
      <c r="F4" s="10">
        <f>Actuals!B8</f>
        <v/>
      </c>
      <c r="G4" s="10">
        <f>Actuals!B9</f>
        <v/>
      </c>
      <c r="H4" s="10">
        <f>Actuals!B10</f>
        <v/>
      </c>
      <c r="I4" s="10">
        <f>Actuals!B11</f>
        <v/>
      </c>
      <c r="J4" s="10">
        <f>Actuals!B12</f>
        <v/>
      </c>
      <c r="K4" s="10">
        <f>Actuals!B13</f>
        <v/>
      </c>
    </row>
    <row r="5">
      <c r="A5" t="inlineStr">
        <is>
          <t>Free cash flow (company: OCF - capex)</t>
        </is>
      </c>
      <c r="B5" s="10">
        <f>Actuals!G4</f>
        <v/>
      </c>
      <c r="C5" s="10">
        <f>Actuals!G5</f>
        <v/>
      </c>
      <c r="D5" s="10">
        <f>Actuals!G6</f>
        <v/>
      </c>
      <c r="E5" s="10">
        <f>Actuals!G7</f>
        <v/>
      </c>
      <c r="F5" s="10">
        <f>Actuals!G8</f>
        <v/>
      </c>
      <c r="G5" s="10">
        <f>Actuals!G9</f>
        <v/>
      </c>
      <c r="H5" s="10">
        <f>Actuals!G10</f>
        <v/>
      </c>
      <c r="I5" s="10">
        <f>Actuals!G11</f>
        <v/>
      </c>
      <c r="J5" s="10">
        <f>Actuals!G12</f>
        <v/>
      </c>
      <c r="K5" s="10">
        <f>Actuals!G13</f>
        <v/>
      </c>
    </row>
    <row r="6">
      <c r="A6" t="inlineStr">
        <is>
          <t>less: SBC</t>
        </is>
      </c>
      <c r="B6" s="10">
        <f>Actuals!H4</f>
        <v/>
      </c>
      <c r="C6" s="10">
        <f>Actuals!H5</f>
        <v/>
      </c>
      <c r="D6" s="10">
        <f>Actuals!H6</f>
        <v/>
      </c>
      <c r="E6" s="10">
        <f>Actuals!H7</f>
        <v/>
      </c>
      <c r="F6" s="10">
        <f>Actuals!H8</f>
        <v/>
      </c>
      <c r="G6" s="10">
        <f>Actuals!H9</f>
        <v/>
      </c>
      <c r="H6" s="10">
        <f>Actuals!H10</f>
        <v/>
      </c>
      <c r="I6" s="10">
        <f>Actuals!H11</f>
        <v/>
      </c>
      <c r="J6" s="10">
        <f>Actuals!H12</f>
        <v/>
      </c>
      <c r="K6" s="10">
        <f>Actuals!H13</f>
        <v/>
      </c>
    </row>
    <row r="7">
      <c r="A7" t="inlineStr">
        <is>
          <t>less: lease principal</t>
        </is>
      </c>
      <c r="B7" s="10">
        <f>Actuals!I4</f>
        <v/>
      </c>
      <c r="C7" s="10">
        <f>Actuals!I5</f>
        <v/>
      </c>
      <c r="D7" s="10">
        <f>Actuals!I6</f>
        <v/>
      </c>
      <c r="E7" s="10">
        <f>Actuals!I7</f>
        <v/>
      </c>
      <c r="F7" s="10">
        <f>Actuals!I8</f>
        <v/>
      </c>
      <c r="G7" s="10">
        <f>Actuals!I9</f>
        <v/>
      </c>
      <c r="H7" s="10">
        <f>Actuals!I10</f>
        <v/>
      </c>
      <c r="I7" s="10">
        <f>Actuals!I11</f>
        <v/>
      </c>
      <c r="J7" s="10">
        <f>Actuals!I12</f>
        <v/>
      </c>
      <c r="K7" s="10">
        <f>Actuals!I13</f>
        <v/>
      </c>
    </row>
    <row r="8">
      <c r="A8" t="inlineStr">
        <is>
          <t>less: interest income (not stripped: net-debt company)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s="1" t="inlineStr">
        <is>
          <t>Owner FCF (reported less SBC less lease principal)</t>
        </is>
      </c>
      <c r="B9" s="12">
        <f>B5-B6-B7-B8</f>
        <v/>
      </c>
      <c r="C9" s="12">
        <f>C5-C6-C7-C8</f>
        <v/>
      </c>
      <c r="D9" s="12">
        <f>D5-D6-D7-D8</f>
        <v/>
      </c>
      <c r="E9" s="12">
        <f>E5-E6-E7-E8</f>
        <v/>
      </c>
      <c r="F9" s="12">
        <f>F5-F6-F7-F8</f>
        <v/>
      </c>
      <c r="G9" s="12">
        <f>G5-G6-G7-G8</f>
        <v/>
      </c>
      <c r="H9" s="12">
        <f>H5-H6-H7-H8</f>
        <v/>
      </c>
      <c r="I9" s="12">
        <f>I5-I6-I7-I8</f>
        <v/>
      </c>
      <c r="J9" s="12">
        <f>J5-J6-J7-J8</f>
        <v/>
      </c>
      <c r="K9" s="12">
        <f>K5-K6-K7-K8</f>
        <v/>
      </c>
    </row>
    <row r="10">
      <c r="A10" t="inlineStr">
        <is>
          <t>Reported FCF margin</t>
        </is>
      </c>
      <c r="B10" s="14">
        <f>B5/B4</f>
        <v/>
      </c>
      <c r="C10" s="14">
        <f>C5/C4</f>
        <v/>
      </c>
      <c r="D10" s="14">
        <f>D5/D4</f>
        <v/>
      </c>
      <c r="E10" s="14">
        <f>E5/E4</f>
        <v/>
      </c>
      <c r="F10" s="14">
        <f>F5/F4</f>
        <v/>
      </c>
      <c r="G10" s="14">
        <f>G5/G4</f>
        <v/>
      </c>
      <c r="H10" s="14">
        <f>H5/H4</f>
        <v/>
      </c>
      <c r="I10" s="14">
        <f>I5/I4</f>
        <v/>
      </c>
      <c r="J10" s="14">
        <f>J5/J4</f>
        <v/>
      </c>
      <c r="K10" s="14">
        <f>K5/K4</f>
        <v/>
      </c>
    </row>
    <row r="11">
      <c r="A11" t="inlineStr">
        <is>
          <t>Owner FCF margin</t>
        </is>
      </c>
      <c r="B11" s="14">
        <f>B9/B4</f>
        <v/>
      </c>
      <c r="C11" s="14">
        <f>C9/C4</f>
        <v/>
      </c>
      <c r="D11" s="14">
        <f>D9/D4</f>
        <v/>
      </c>
      <c r="E11" s="14">
        <f>E9/E4</f>
        <v/>
      </c>
      <c r="F11" s="14">
        <f>F9/F4</f>
        <v/>
      </c>
      <c r="G11" s="14">
        <f>G9/G4</f>
        <v/>
      </c>
      <c r="H11" s="14">
        <f>H9/H4</f>
        <v/>
      </c>
      <c r="I11" s="14">
        <f>I9/I4</f>
        <v/>
      </c>
      <c r="J11" s="14">
        <f>J9/J4</f>
        <v/>
      </c>
      <c r="K11" s="14">
        <f>K9/K4</f>
        <v/>
      </c>
    </row>
    <row r="12">
      <c r="A12" t="inlineStr">
        <is>
          <t>Memo: cash tax paid</t>
        </is>
      </c>
      <c r="B12" s="8">
        <f>Actuals!O4</f>
        <v/>
      </c>
      <c r="C12" s="8">
        <f>Actuals!O5</f>
        <v/>
      </c>
      <c r="D12" s="8">
        <f>Actuals!O6</f>
        <v/>
      </c>
      <c r="E12" s="8">
        <f>Actuals!O7</f>
        <v/>
      </c>
      <c r="F12" s="8">
        <f>Actuals!O8</f>
        <v/>
      </c>
      <c r="G12" s="8">
        <f>Actuals!O9</f>
        <v/>
      </c>
      <c r="H12" s="8">
        <f>Actuals!O10</f>
        <v/>
      </c>
      <c r="I12" s="8">
        <f>Actuals!O11</f>
        <v/>
      </c>
      <c r="J12" s="8">
        <f>Actuals!O12</f>
        <v/>
      </c>
      <c r="K12" s="8">
        <f>Actuals!O13</f>
        <v/>
      </c>
    </row>
    <row r="13">
      <c r="A13" t="inlineStr">
        <is>
          <t>Memo: cash tax / EBITDA (flag FY2020 abnormal)</t>
        </is>
      </c>
      <c r="B13" s="14">
        <f>B12/Actuals!C4</f>
        <v/>
      </c>
      <c r="C13" s="14">
        <f>C12/Actuals!C5</f>
        <v/>
      </c>
      <c r="D13" s="14">
        <f>D12/Actuals!C6</f>
        <v/>
      </c>
      <c r="E13" s="14">
        <f>E12/Actuals!C7</f>
        <v/>
      </c>
      <c r="F13" s="14">
        <f>F12/Actuals!C8</f>
        <v/>
      </c>
      <c r="G13" s="14">
        <f>G12/Actuals!C9</f>
        <v/>
      </c>
      <c r="H13" s="14">
        <f>H12/Actuals!C10</f>
        <v/>
      </c>
      <c r="I13" s="14">
        <f>I12/Actuals!C11</f>
        <v/>
      </c>
      <c r="J13" s="14">
        <f>J12/Actuals!C12</f>
        <v/>
      </c>
      <c r="K13" s="14">
        <f>K12/Actuals!C13</f>
        <v/>
      </c>
    </row>
    <row r="15">
      <c r="A15" t="inlineStr">
        <is>
          <t>FY2025 reported FCF above is total (incl. A$63.6m Plarium stub OCF). Continuing reported FCF 1,411.8; continuing owner FCF 1,299.5 = inputs.last_fcf.</t>
        </is>
      </c>
    </row>
    <row r="16">
      <c r="A16" t="inlineStr">
        <is>
          <t>Deferred revenue moved 198.1 -&gt; 188.5 in FY2025 (-A$9.6m): no working-capital tailwind inside OCF; NWC was an A$136.3m OUTFLOW.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Valuation summary (A$ per share)</t>
        </is>
      </c>
    </row>
    <row r="3">
      <c r="A3" s="1" t="inlineStr">
        <is>
          <t>Scenario</t>
        </is>
      </c>
      <c r="B3" s="1" t="inlineStr">
        <is>
          <t>Value/share</t>
        </is>
      </c>
      <c r="C3" s="1" t="inlineStr">
        <is>
          <t>Upside vs price</t>
        </is>
      </c>
      <c r="D3" s="1" t="inlineStr">
        <is>
          <t>Weight</t>
        </is>
      </c>
      <c r="E3" s="1" t="inlineStr">
        <is>
          <t>Street value/share</t>
        </is>
      </c>
      <c r="F3" s="1" t="inlineStr">
        <is>
          <t>Entry price @15%</t>
        </is>
      </c>
      <c r="G3" s="1" t="inlineStr">
        <is>
          <t>Street entry @15%</t>
        </is>
      </c>
    </row>
    <row r="4">
      <c r="A4" t="inlineStr">
        <is>
          <t>bear</t>
        </is>
      </c>
      <c r="B4" s="18">
        <f>DCF_Bear!$B$39</f>
        <v/>
      </c>
      <c r="C4" s="14">
        <f>B4/Assumptions!$B$8-1</f>
        <v/>
      </c>
      <c r="D4" s="19">
        <f>Assumptions!$C$14</f>
        <v/>
      </c>
      <c r="E4" s="18">
        <f>DCF_Bear!$B$44</f>
        <v/>
      </c>
      <c r="F4" s="17">
        <f>IF(Assumptions!$B$10&gt;Assumptions!$B$14,(NPV(Assumptions!$B$10,DCF_Bear!$C$20:$L$20)+MAX(0,MIN(DCF_Bear!$L$20*(1+Assumptions!$B$14)/(Assumptions!$B$10-Assumptions!$B$14),Assumptions!$B$9*DCF_Bear!$L$20))/(1+Assumptions!$B$10)^10-Assumptions!$B$6)/Assumptions!$B$7,"n/a")</f>
        <v/>
      </c>
      <c r="G4" s="17">
        <f>IF(Assumptions!$B$10&gt;Assumptions!$B$14,(NPV(Assumptions!$B$10,DCF_Bear!$C$20:$L$20)+MAX(0,MIN(DCF_Bear!$L$20*(1+Assumptions!$B$14)/(Assumptions!$B$10-Assumptions!$B$14),Assumptions!$B$9*DCF_Bear!$L$20))/(1+Assumptions!$B$10)^10-Assumptions!$B$6-NPV(Assumptions!$B$10,DCF_Bear!$C$10:$L$10)+(-DCF_Bear!$L$10*(1+Assumptions!$B$14)/(Assumptions!$B$10-Assumptions!$B$14))/(1+Assumptions!$B$10)^10)/Assumptions!$B$7,"n/a")</f>
        <v/>
      </c>
    </row>
    <row r="5">
      <c r="A5" t="inlineStr">
        <is>
          <t>base</t>
        </is>
      </c>
      <c r="B5" s="18">
        <f>DCF_Base!$B$39</f>
        <v/>
      </c>
      <c r="C5" s="14">
        <f>B5/Assumptions!$B$8-1</f>
        <v/>
      </c>
      <c r="D5" s="19">
        <f>Assumptions!$C$15</f>
        <v/>
      </c>
      <c r="E5" s="18">
        <f>DCF_Base!$B$44</f>
        <v/>
      </c>
      <c r="F5" s="17">
        <f>IF(Assumptions!$B$10&gt;Assumptions!$B$15,(NPV(Assumptions!$B$10,DCF_Base!$C$20:$L$20)+MAX(0,MIN(DCF_Base!$L$20*(1+Assumptions!$B$15)/(Assumptions!$B$10-Assumptions!$B$15),Assumptions!$B$9*DCF_Base!$L$20))/(1+Assumptions!$B$10)^10-Assumptions!$B$6)/Assumptions!$B$7,"n/a")</f>
        <v/>
      </c>
      <c r="G5" s="17">
        <f>IF(Assumptions!$B$10&gt;Assumptions!$B$15,(NPV(Assumptions!$B$10,DCF_Base!$C$20:$L$20)+MAX(0,MIN(DCF_Base!$L$20*(1+Assumptions!$B$15)/(Assumptions!$B$10-Assumptions!$B$15),Assumptions!$B$9*DCF_Base!$L$20))/(1+Assumptions!$B$10)^10-Assumptions!$B$6-NPV(Assumptions!$B$10,DCF_Base!$C$10:$L$10)+(-DCF_Base!$L$10*(1+Assumptions!$B$15)/(Assumptions!$B$10-Assumptions!$B$15))/(1+Assumptions!$B$10)^10)/Assumptions!$B$7,"n/a")</f>
        <v/>
      </c>
    </row>
    <row r="6">
      <c r="A6" t="inlineStr">
        <is>
          <t>bull</t>
        </is>
      </c>
      <c r="B6" s="18">
        <f>DCF_Bull!$B$39</f>
        <v/>
      </c>
      <c r="C6" s="14">
        <f>B6/Assumptions!$B$8-1</f>
        <v/>
      </c>
      <c r="D6" s="19">
        <f>Assumptions!$C$16</f>
        <v/>
      </c>
      <c r="E6" s="18">
        <f>DCF_Bull!$B$44</f>
        <v/>
      </c>
      <c r="F6" s="17">
        <f>IF(Assumptions!$B$10&gt;Assumptions!$B$16,(NPV(Assumptions!$B$10,DCF_Bull!$C$20:$L$20)+MAX(0,MIN(DCF_Bull!$L$20*(1+Assumptions!$B$16)/(Assumptions!$B$10-Assumptions!$B$16),Assumptions!$B$9*DCF_Bull!$L$20))/(1+Assumptions!$B$10)^10-Assumptions!$B$6)/Assumptions!$B$7,"n/a")</f>
        <v/>
      </c>
      <c r="G6" s="17">
        <f>IF(Assumptions!$B$10&gt;Assumptions!$B$16,(NPV(Assumptions!$B$10,DCF_Bull!$C$20:$L$20)+MAX(0,MIN(DCF_Bull!$L$20*(1+Assumptions!$B$16)/(Assumptions!$B$10-Assumptions!$B$16),Assumptions!$B$9*DCF_Bull!$L$20))/(1+Assumptions!$B$10)^10-Assumptions!$B$6-NPV(Assumptions!$B$10,DCF_Bull!$C$10:$L$10)+(-DCF_Bull!$L$10*(1+Assumptions!$B$16)/(Assumptions!$B$10-Assumptions!$B$16))/(1+Assumptions!$B$10)^10)/Assumptions!$B$7,"n/a")</f>
        <v/>
      </c>
    </row>
    <row r="8">
      <c r="A8" t="inlineStr">
        <is>
          <t>Probability-weighted value</t>
        </is>
      </c>
      <c r="B8" s="16">
        <f>SUMPRODUCT(B4:B6,D4:D6)</f>
        <v/>
      </c>
      <c r="E8" s="17">
        <f>SUMPRODUCT(E4:E6,D4:D6)</f>
        <v/>
      </c>
      <c r="F8" s="20">
        <f>SUMPRODUCT(F4:F6,D4:D6)</f>
        <v/>
      </c>
      <c r="G8" s="17">
        <f>SUMPRODUCT(G4:G6,D4:D6)</f>
        <v/>
      </c>
    </row>
    <row r="9">
      <c r="A9" t="inlineStr">
        <is>
          <t>Margin of safety (1 - price/weighted)</t>
        </is>
      </c>
      <c r="B9" s="14">
        <f>1-Assumptions!$B$8/B8</f>
        <v/>
      </c>
    </row>
    <row r="10">
      <c r="A10" t="inlineStr">
        <is>
          <t>Band position (price-house)/(street-house)</t>
        </is>
      </c>
      <c r="B10" s="6">
        <f>(Assumptions!$B$8-B8)/(E8-B8)</f>
        <v/>
      </c>
    </row>
    <row r="11">
      <c r="A11" t="inlineStr">
        <is>
          <t>Band note: SBC is 1.1% of revenue, so the band is ~A$2/share wide; price sits above both bases. Above 100% means the market pays more than even the street basis.</t>
        </is>
      </c>
    </row>
    <row r="13">
      <c r="A13" s="1" t="inlineStr">
        <is>
          <t>Required-return table (base case; TV rebuilt at each rate)</t>
        </is>
      </c>
    </row>
    <row r="14">
      <c r="A14" t="inlineStr">
        <is>
          <t>Required return</t>
        </is>
      </c>
      <c r="B14" t="inlineStr">
        <is>
          <t>Value/share</t>
        </is>
      </c>
    </row>
    <row r="15">
      <c r="A15" s="3" t="n">
        <v>0.09</v>
      </c>
      <c r="B15" s="17">
        <f>IF($A$15&gt;Assumptions!$B$15,(NPV($A$15,DCF_Base!$C$20:$L$20)+MAX(0,MIN(DCF_Base!$L$20*(1+Assumptions!$B$15)/($A$15-Assumptions!$B$15),Assumptions!$B$9*DCF_Base!$L$20))/(1+$A$15)^10-Assumptions!$B$6)/Assumptions!$B$7,"n/a")</f>
        <v/>
      </c>
    </row>
    <row r="16">
      <c r="A16" s="3" t="n">
        <v>0.095</v>
      </c>
      <c r="B16" s="17">
        <f>IF($A$16&gt;Assumptions!$B$15,(NPV($A$16,DCF_Base!$C$20:$L$20)+MAX(0,MIN(DCF_Base!$L$20*(1+Assumptions!$B$15)/($A$16-Assumptions!$B$15),Assumptions!$B$9*DCF_Base!$L$20))/(1+$A$16)^10-Assumptions!$B$6)/Assumptions!$B$7,"n/a")</f>
        <v/>
      </c>
      <c r="C16" t="inlineStr">
        <is>
          <t>model WACC row: must equal DCF_Base!B39</t>
        </is>
      </c>
    </row>
    <row r="17">
      <c r="A17" s="3" t="n">
        <v>0.1</v>
      </c>
      <c r="B17" s="17">
        <f>IF($A$17&gt;Assumptions!$B$15,(NPV($A$17,DCF_Base!$C$20:$L$20)+MAX(0,MIN(DCF_Base!$L$20*(1+Assumptions!$B$15)/($A$17-Assumptions!$B$15),Assumptions!$B$9*DCF_Base!$L$20))/(1+$A$17)^10-Assumptions!$B$6)/Assumptions!$B$7,"n/a")</f>
        <v/>
      </c>
    </row>
    <row r="18">
      <c r="A18" s="3" t="n">
        <v>0.11</v>
      </c>
      <c r="B18" s="17">
        <f>IF($A$18&gt;Assumptions!$B$15,(NPV($A$18,DCF_Base!$C$20:$L$20)+MAX(0,MIN(DCF_Base!$L$20*(1+Assumptions!$B$15)/($A$18-Assumptions!$B$15),Assumptions!$B$9*DCF_Base!$L$20))/(1+$A$18)^10-Assumptions!$B$6)/Assumptions!$B$7,"n/a")</f>
        <v/>
      </c>
    </row>
    <row r="19">
      <c r="A19" s="3" t="n">
        <v>0.12</v>
      </c>
      <c r="B19" s="17">
        <f>IF($A$19&gt;Assumptions!$B$15,(NPV($A$19,DCF_Base!$C$20:$L$20)+MAX(0,MIN(DCF_Base!$L$20*(1+Assumptions!$B$15)/($A$19-Assumptions!$B$15),Assumptions!$B$9*DCF_Base!$L$20))/(1+$A$19)^10-Assumptions!$B$6)/Assumptions!$B$7,"n/a")</f>
        <v/>
      </c>
    </row>
    <row r="20">
      <c r="A20" s="3" t="n">
        <v>0.15</v>
      </c>
      <c r="B20" s="17">
        <f>IF($A$20&gt;Assumptions!$B$15,(NPV($A$20,DCF_Base!$C$20:$L$20)+MAX(0,MIN(DCF_Base!$L$20*(1+Assumptions!$B$15)/($A$20-Assumptions!$B$15),Assumptions!$B$9*DCF_Base!$L$20))/(1+$A$20)^10-Assumptions!$B$6)/Assumptions!$B$7,"n/a")</f>
        <v/>
      </c>
      <c r="C20" t="inlineStr">
        <is>
          <t>hurdle row: must equal base entry price (F5)</t>
        </is>
      </c>
    </row>
    <row r="23">
      <c r="A23" s="1" t="inlineStr">
        <is>
          <t>Sensitivity: base value/share, WACC (rows) x terminal growth (columns); TV = MIN(Gordon, cap) per cell</t>
        </is>
      </c>
    </row>
    <row r="24">
      <c r="B24" s="3" t="n">
        <v>0.02</v>
      </c>
      <c r="C24" s="3" t="n">
        <v>0.025</v>
      </c>
      <c r="D24" s="3" t="n">
        <v>0.03</v>
      </c>
      <c r="E24" s="3" t="n">
        <v>0.035</v>
      </c>
      <c r="F24" s="3" t="n">
        <v>0.04</v>
      </c>
    </row>
    <row r="25">
      <c r="A25" s="3" t="n">
        <v>0.075</v>
      </c>
      <c r="B25" s="17">
        <f>IF($A$25&gt;B$24,(NPV($A$25,DCF_Base!$C$20:$L$20)+MAX(0,MIN(DCF_Base!$L$20*(1+B$24)/($A$25-B$24),Assumptions!$B$9*DCF_Base!$L$20))/(1+$A$25)^10-Assumptions!$B$6)/Assumptions!$B$7,"n/a")</f>
        <v/>
      </c>
      <c r="C25" s="17">
        <f>IF($A$25&gt;C$24,(NPV($A$25,DCF_Base!$C$20:$L$20)+MAX(0,MIN(DCF_Base!$L$20*(1+C$24)/($A$25-C$24),Assumptions!$B$9*DCF_Base!$L$20))/(1+$A$25)^10-Assumptions!$B$6)/Assumptions!$B$7,"n/a")</f>
        <v/>
      </c>
      <c r="D25" s="17">
        <f>IF($A$25&gt;D$24,(NPV($A$25,DCF_Base!$C$20:$L$20)+MAX(0,MIN(DCF_Base!$L$20*(1+D$24)/($A$25-D$24),Assumptions!$B$9*DCF_Base!$L$20))/(1+$A$25)^10-Assumptions!$B$6)/Assumptions!$B$7,"n/a")</f>
        <v/>
      </c>
      <c r="E25" s="17">
        <f>IF($A$25&gt;E$24,(NPV($A$25,DCF_Base!$C$20:$L$20)+MAX(0,MIN(DCF_Base!$L$20*(1+E$24)/($A$25-E$24),Assumptions!$B$9*DCF_Base!$L$20))/(1+$A$25)^10-Assumptions!$B$6)/Assumptions!$B$7,"n/a")</f>
        <v/>
      </c>
      <c r="F25" s="17">
        <f>IF($A$25&gt;F$24,(NPV($A$25,DCF_Base!$C$20:$L$20)+MAX(0,MIN(DCF_Base!$L$20*(1+F$24)/($A$25-F$24),Assumptions!$B$9*DCF_Base!$L$20))/(1+$A$25)^10-Assumptions!$B$6)/Assumptions!$B$7,"n/a")</f>
        <v/>
      </c>
    </row>
    <row r="26">
      <c r="A26" s="3" t="n">
        <v>0.08500000000000001</v>
      </c>
      <c r="B26" s="17">
        <f>IF($A$26&gt;B$24,(NPV($A$26,DCF_Base!$C$20:$L$20)+MAX(0,MIN(DCF_Base!$L$20*(1+B$24)/($A$26-B$24),Assumptions!$B$9*DCF_Base!$L$20))/(1+$A$26)^10-Assumptions!$B$6)/Assumptions!$B$7,"n/a")</f>
        <v/>
      </c>
      <c r="C26" s="17">
        <f>IF($A$26&gt;C$24,(NPV($A$26,DCF_Base!$C$20:$L$20)+MAX(0,MIN(DCF_Base!$L$20*(1+C$24)/($A$26-C$24),Assumptions!$B$9*DCF_Base!$L$20))/(1+$A$26)^10-Assumptions!$B$6)/Assumptions!$B$7,"n/a")</f>
        <v/>
      </c>
      <c r="D26" s="17">
        <f>IF($A$26&gt;D$24,(NPV($A$26,DCF_Base!$C$20:$L$20)+MAX(0,MIN(DCF_Base!$L$20*(1+D$24)/($A$26-D$24),Assumptions!$B$9*DCF_Base!$L$20))/(1+$A$26)^10-Assumptions!$B$6)/Assumptions!$B$7,"n/a")</f>
        <v/>
      </c>
      <c r="E26" s="17">
        <f>IF($A$26&gt;E$24,(NPV($A$26,DCF_Base!$C$20:$L$20)+MAX(0,MIN(DCF_Base!$L$20*(1+E$24)/($A$26-E$24),Assumptions!$B$9*DCF_Base!$L$20))/(1+$A$26)^10-Assumptions!$B$6)/Assumptions!$B$7,"n/a")</f>
        <v/>
      </c>
      <c r="F26" s="17">
        <f>IF($A$26&gt;F$24,(NPV($A$26,DCF_Base!$C$20:$L$20)+MAX(0,MIN(DCF_Base!$L$20*(1+F$24)/($A$26-F$24),Assumptions!$B$9*DCF_Base!$L$20))/(1+$A$26)^10-Assumptions!$B$6)/Assumptions!$B$7,"n/a")</f>
        <v/>
      </c>
    </row>
    <row r="27">
      <c r="A27" s="3" t="n">
        <v>0.095</v>
      </c>
      <c r="B27" s="17">
        <f>IF($A$27&gt;B$24,(NPV($A$27,DCF_Base!$C$20:$L$20)+MAX(0,MIN(DCF_Base!$L$20*(1+B$24)/($A$27-B$24),Assumptions!$B$9*DCF_Base!$L$20))/(1+$A$27)^10-Assumptions!$B$6)/Assumptions!$B$7,"n/a")</f>
        <v/>
      </c>
      <c r="C27" s="17">
        <f>IF($A$27&gt;C$24,(NPV($A$27,DCF_Base!$C$20:$L$20)+MAX(0,MIN(DCF_Base!$L$20*(1+C$24)/($A$27-C$24),Assumptions!$B$9*DCF_Base!$L$20))/(1+$A$27)^10-Assumptions!$B$6)/Assumptions!$B$7,"n/a")</f>
        <v/>
      </c>
      <c r="D27" s="20">
        <f>IF($A$27&gt;D$24,(NPV($A$27,DCF_Base!$C$20:$L$20)+MAX(0,MIN(DCF_Base!$L$20*(1+D$24)/($A$27-D$24),Assumptions!$B$9*DCF_Base!$L$20))/(1+$A$27)^10-Assumptions!$B$6)/Assumptions!$B$7,"n/a")</f>
        <v/>
      </c>
      <c r="E27" s="17">
        <f>IF($A$27&gt;E$24,(NPV($A$27,DCF_Base!$C$20:$L$20)+MAX(0,MIN(DCF_Base!$L$20*(1+E$24)/($A$27-E$24),Assumptions!$B$9*DCF_Base!$L$20))/(1+$A$27)^10-Assumptions!$B$6)/Assumptions!$B$7,"n/a")</f>
        <v/>
      </c>
      <c r="F27" s="17">
        <f>IF($A$27&gt;F$24,(NPV($A$27,DCF_Base!$C$20:$L$20)+MAX(0,MIN(DCF_Base!$L$20*(1+F$24)/($A$27-F$24),Assumptions!$B$9*DCF_Base!$L$20))/(1+$A$27)^10-Assumptions!$B$6)/Assumptions!$B$7,"n/a")</f>
        <v/>
      </c>
    </row>
    <row r="28">
      <c r="A28" s="3" t="n">
        <v>0.105</v>
      </c>
      <c r="B28" s="17">
        <f>IF($A$28&gt;B$24,(NPV($A$28,DCF_Base!$C$20:$L$20)+MAX(0,MIN(DCF_Base!$L$20*(1+B$24)/($A$28-B$24),Assumptions!$B$9*DCF_Base!$L$20))/(1+$A$28)^10-Assumptions!$B$6)/Assumptions!$B$7,"n/a")</f>
        <v/>
      </c>
      <c r="C28" s="17">
        <f>IF($A$28&gt;C$24,(NPV($A$28,DCF_Base!$C$20:$L$20)+MAX(0,MIN(DCF_Base!$L$20*(1+C$24)/($A$28-C$24),Assumptions!$B$9*DCF_Base!$L$20))/(1+$A$28)^10-Assumptions!$B$6)/Assumptions!$B$7,"n/a")</f>
        <v/>
      </c>
      <c r="D28" s="17">
        <f>IF($A$28&gt;D$24,(NPV($A$28,DCF_Base!$C$20:$L$20)+MAX(0,MIN(DCF_Base!$L$20*(1+D$24)/($A$28-D$24),Assumptions!$B$9*DCF_Base!$L$20))/(1+$A$28)^10-Assumptions!$B$6)/Assumptions!$B$7,"n/a")</f>
        <v/>
      </c>
      <c r="E28" s="17">
        <f>IF($A$28&gt;E$24,(NPV($A$28,DCF_Base!$C$20:$L$20)+MAX(0,MIN(DCF_Base!$L$20*(1+E$24)/($A$28-E$24),Assumptions!$B$9*DCF_Base!$L$20))/(1+$A$28)^10-Assumptions!$B$6)/Assumptions!$B$7,"n/a")</f>
        <v/>
      </c>
      <c r="F28" s="17">
        <f>IF($A$28&gt;F$24,(NPV($A$28,DCF_Base!$C$20:$L$20)+MAX(0,MIN(DCF_Base!$L$20*(1+F$24)/($A$28-F$24),Assumptions!$B$9*DCF_Base!$L$20))/(1+$A$28)^10-Assumptions!$B$6)/Assumptions!$B$7,"n/a")</f>
        <v/>
      </c>
    </row>
    <row r="29">
      <c r="A29" s="3" t="n">
        <v>0.115</v>
      </c>
      <c r="B29" s="17">
        <f>IF($A$29&gt;B$24,(NPV($A$29,DCF_Base!$C$20:$L$20)+MAX(0,MIN(DCF_Base!$L$20*(1+B$24)/($A$29-B$24),Assumptions!$B$9*DCF_Base!$L$20))/(1+$A$29)^10-Assumptions!$B$6)/Assumptions!$B$7,"n/a")</f>
        <v/>
      </c>
      <c r="C29" s="17">
        <f>IF($A$29&gt;C$24,(NPV($A$29,DCF_Base!$C$20:$L$20)+MAX(0,MIN(DCF_Base!$L$20*(1+C$24)/($A$29-C$24),Assumptions!$B$9*DCF_Base!$L$20))/(1+$A$29)^10-Assumptions!$B$6)/Assumptions!$B$7,"n/a")</f>
        <v/>
      </c>
      <c r="D29" s="17">
        <f>IF($A$29&gt;D$24,(NPV($A$29,DCF_Base!$C$20:$L$20)+MAX(0,MIN(DCF_Base!$L$20*(1+D$24)/($A$29-D$24),Assumptions!$B$9*DCF_Base!$L$20))/(1+$A$29)^10-Assumptions!$B$6)/Assumptions!$B$7,"n/a")</f>
        <v/>
      </c>
      <c r="E29" s="17">
        <f>IF($A$29&gt;E$24,(NPV($A$29,DCF_Base!$C$20:$L$20)+MAX(0,MIN(DCF_Base!$L$20*(1+E$24)/($A$29-E$24),Assumptions!$B$9*DCF_Base!$L$20))/(1+$A$29)^10-Assumptions!$B$6)/Assumptions!$B$7,"n/a")</f>
        <v/>
      </c>
      <c r="F29" s="17">
        <f>IF($A$29&gt;F$24,(NPV($A$29,DCF_Base!$C$20:$L$20)+MAX(0,MIN(DCF_Base!$L$20*(1+F$24)/($A$29-F$24),Assumptions!$B$9*DCF_Base!$L$20))/(1+$A$29)^10-Assumptions!$B$6)/Assumptions!$B$7,"n/a")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2026-09-21T09:43:44Z</dcterms:created>
  <dcterms:modified xsi:type="dcterms:W3CDTF">2026-09-21T09:43:44Z</dcterms:modified>
</cp:coreProperties>
</file>