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<sst xmlns="http://schemas.openxmlformats.org/spreadsheetml/2006/main" count="355" uniqueCount="166">
  <si>
    <t xml:space="preserve">Ticker</t>
  </si>
  <si>
    <t xml:space="preserve">1776.HK</t>
  </si>
  <si>
    <t xml:space="preserve">Company</t>
  </si>
  <si>
    <t xml:space="preserve">GF Securities Co.,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</si>
  <si>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</si>
  <si>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</si>
  <si>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</si>
  <si>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</si>
  <si>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(Friday); valuation dated the following day</t>
  </si>
  <si>
    <t xml:space="preserve">Balance sheet date</t>
  </si>
  <si>
    <t xml:space="preserve">2026-06-30</t>
  </si>
  <si>
    <t xml:space="preserve">Model</t>
  </si>
  <si>
    <t xml:space="preserve">Broker-dealer FCFE at cost of equity (engine route), net debt zero, equity retention on balance-sheet growth, NCI and perpetual-bond distributions charged in the flow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</si>
  <si>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</si>
  <si>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</si>
  <si>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</si>
  <si>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</si>
  <si>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</si>
  <si>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</si>
  <si>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</si>
  <si>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</si>
  <si>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</si>
  <si>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2026-10-16T17:46:13Z</t>
  </si>
  <si>
    <t xml:space="preserve">Drivers file</t>
  </si>
  <si>
    <t xml:space="preserve">1776.HK_Drivers.json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</si>
  <si>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</si>
  <si>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</si>
  <si>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</si>
  <si>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securities broker is worth the equity cash flow it can distribute after funding its own balance-sheet growth, discounted at the cost of equity. For GF Securities that flow is net profit to ordinary shareholders (after tax, GF Fund's 45.5% minority and the RMB1.2bn/yr of perpetual-bond coupons that sit inside 'profit attributable to owners') less the equity retained to grow ordinary shareholders' equity with the business. Reported FCF (+39bn to -56bn) is client-money and trading-book flow and is ignored; net debt is zero by construction because the RMB260bn of borrowings and bonds fund the margin and trading books. The valuation is a through-cycle ROE question: GF earned 8.6% on ordinary equity on average over FY2019-25 and ~16% annualised in H1 2026 at the top of the cycle; the base case normalises to ~8.5% against an 11% cost of equity, worth ~0.7x book against the 0.81x the H share trades at. Bull is ROE at the cost of equity (1.0x book, where the sell-side sits); bear is the 0.4x book the stock saw in 2022-24.
key_risks_to_valuation: Cyclicality: FY2026E is a boom year (H1 profit +80%, turnover +97%); the base case assumes a 15% revenue normalisation, the bear a 31% fall. If H2 2026 turnover stays at H1 levels the fy0 revenue base is ~2-3bn too low; if Q3 2026 (due late October) shows the market has already turned, the base path is too generous.; Trading-book marks: net investment gains were RMB15.0bn in H1 2026 vs 12.8bn for all of FY2025 and included a derivatives loss in FY2025; a mark-to-market reversal flows straight through PBT.; Capital allocation: ordinary equity has compounded 5.7%/yr while ROE averaged 8.6%, i.e. below the cost of equity; every RMB retained at that return destroys ~20% of its value. The model charges retention at 3-4%/yr; faster balance-sheet growth (H1 2026 assets +22%) at sub-CoE returns lowers the value.; Dilution: the January 2026 placing was 219m shares at an 8.4% discount and the HK$2.15bn CB converts at HK$19.82; the flat share count assumes no further placing. Perpetuals (RMB38.6bn, 3.17%) rank ahead of ordinary equity and their coupon is a fixed charge against a cyclical PBT.; Regulatory/compliance: CSRC sanctions suspended GF's sponsor and bond-underwriting licences for a year in 2020-21; fee caps on brokerage and public-fund management compress the two largest revenue lines; state-driven consolidation (Guotai Haitong, CICC-Dongxing-Cinda) creates larger rivals.; Currency and withholding: RMB flows against an HKD quote -- a 10% RMB move is a 10% move in the HKD value; the 10% H-share dividend withholding tax is not modelled; the A share trades at a ~35% premium that is not a parity check.; Sell-side (H-share targets HK$17-26, mean ~21.5, Buy consensus) sits at this model's bull case: the street capitalises FY2026E earnings at ~8-9x; this model capitalises a normalised ROE at an 11% cost of equity. The gap is the cycle view and the discount rate (at 10% the base value rises materially -- see the sensitivity grid).</t>
  </si>
  <si>
    <t xml:space="preserve">Data sources</t>
  </si>
  <si>
    <t xml:space="preserve">price: Yahoo Finance chart API (1776.HK, HKD) at inputs.price_as_of; 52-week range 14.15-21.08. FX CNYHKD=X and 000776.SZ from the same API on the same date.
financials: 1776.HK_Metrics.csv / metrics_normalized (FY2018-FY2025 annual, H1 2023-H1 2026 interim, Q1/Q3 2024-2026, RMB millions) built from the HKEX annual, interim and quarterly reports in Extracted/; kpis table for NetIncomeInclNCI, OtherEquityInstruments, InterestIncome, DividendsPaid, ProfitBeforeTax, CashTaxesPaid, OperatingRevenuePRC. H1 2026 interim: key indicators (line 431-457: total revenue and other income, PBT, attributable profit, equity per share incl./excl. perpetuals), income statement (line 6480-6520), balance sheet (line 6740-6762: share capital, other equity instruments, equity attributable, NCI), note 48 perpetual bonds (line 9535-9565), net capital and risk-control indicators (line 477-504), H placing and CB (line 2098-2150, 4622-4640), interim dividend proposal (line 3058-3090). FY2025 annual: five-year key data (total revenue and other income, PBT, attributable profit, equity, ROE 10.16%), income statement (line 14085-14112), dividends to other equity instrument holders RMB918m (line 19452), final dividend RMB5.00/10 shares (line 8242). FY2024 annual: dividend RMB4.00/10 shares (line 8557).
qualitative: 1776.HK_Analysis.json (2026-10-17), read after the drivers were drafted and before the final build; it confirmed them (H1 2026 +80% profit within the +85% alert; risk coverage 233%; interim dividend RMB2.5/10 shares; CB terms; consolidation and sanction history; sell-side targets). Outlook and risk context also taken from the H1 2026 interim MD&amp;A and the FY2025 annual report chairman's statement and risk sections.</t>
  </si>
  <si>
    <t xml:space="preserve">Scenario narrative: bear</t>
  </si>
  <si>
    <t xml:space="preserve">A FY2022-23 downturn from a larger cost base: revenue -25% then -8%, margin troughs at 28% and recovers to 32%, ROE ~5-6%. FCFE ~RMB2-5bn in FY2027-28, below the ordinary dividend, so the payout is funded by perpetuals or cut; terminal P/B ~0.4x, where the H share traded in 2022-24.</t>
  </si>
  <si>
    <t xml:space="preserve">Scenario narrative: base</t>
  </si>
  <si>
    <t xml:space="preserve">Revenue normalises ~15% below the FY2026E boom level by FY2028 and then grows 4% fading to 3%; pre-tax margin 37%, deductions (tax + NCI + perpetual coupons) ~31% of PBT, ordinary equity retained to grow 4% -&gt; 3%. FCFE ~RMB7-8bn in FY2027-30 rising to ~RMB11bn by FY2036; through-cycle ROE ~8.5% against an 11% cost of equity gives a terminal P/B ~0.7x.</t>
  </si>
  <si>
    <t xml:space="preserve">Scenario narrative: bull</t>
  </si>
  <si>
    <t xml:space="preserve">A multi-year bull market: revenue only dips 3% then compounds 5-6%, margin 40%, balance sheet deployed at 5%/yr, ROE reaches the 11% cost of equity. FCFE ~RMB10bn in FY2027 rising to ~RMB16.5bn; terminal P/B ~1.05x. This is where the sell-side's HK$21-22 mean target sits.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</si>
  <si>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</si>
  <si>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</si>
  <si>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</si>
  <si>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</si>
  <si>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</si>
  <si>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</si>
  <si>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</si>
  <si>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</si>
  <si>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</si>
  <si>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</si>
  <si>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</si>
  <si>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</si>
  <si>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</si>
  <si>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</si>
  <si>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</si>
  <si>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</si>
  <si>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</si>
  <si>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</si>
  <si>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</si>
  <si>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</si>
  <si>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</si>
  <si>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</si>
  <si>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</si>
  <si>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</si>
  <si>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</si>
  <si>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</si>
  <si>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</si>
  <si>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</si>
  <si>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OtherEquityInstruments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</si>
  <si>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</si>
  <si>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</si>
  <si>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</si>
  <si>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</si>
  <si>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</si>
  <si>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</si>
  <si>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</si>
  <si>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</si>
  <si>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</si>
  <si>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</si>
  <si>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</si>
  <si>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</si>
  <si>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</si>
  <si>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</si>
  <si>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</si>
  <si>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</si>
  <si>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</si>
  <si>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(year ending 2026-12-31, unreported: H1 2026 actual + H2 estimate; Q3 2026 results due late October)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</si>
  <si>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</si>
  <si>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</si>
  <si>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</si>
  <si>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</si>
  <si>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</si>
  <si>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</si>
  <si>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</si>
  <si>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</si>
  <si>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</si>
  <si>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</si>
  <si>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</si>
  <si>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</si>
  <si>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</si>
  <si>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</si>
  <si>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</si>
  <si>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</si>
  <si>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</si>
  <si>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</si>
  <si>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</si>
  <si>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</si>
  <si>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</si>
  <si>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</si>
  <si>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</si>
  <si>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</si>
  <si>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</si>
  <si>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</si>
  <si>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</si>
  <si>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</si>
  <si>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1776.HK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</si>
  <si>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</si>
  <si>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</si>
  <si>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</si>
  <si>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</si>
  <si>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</si>
  <si>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</si>
  <si>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</si>
  <si>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</si>
  <si>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</si>
  <si>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</si>
  <si>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</si>
  <si>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</si>
  <si>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</si>
  <si>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</si>
  <si>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</si>
  <si>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</si>
  <si>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</si>
  <si>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</si>
  <si>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</si>
  <si>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</si>
  <si>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</si>
  <si>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</si>
  <si>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</si>
  <si>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</si>
  <si>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</si>
  <si>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</si>
  <si>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</si>
  <si>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</si>
  <si>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</si>
  <si>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</si>
  <si>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1776.HK owner-FCF component DCF: base case (millions, CNY)</t>
  </si>
  <si>
    <t xml:space="preserve">1776.HK owner-FCF component DCF: bull case (millions, CNY)</t>
  </si>
  <si>
    <t xml:space="preserve">1776.HK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</si>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</sst>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16.77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21032.666</v>
      </c>
      <c r="I2" s="0" t="n">
        <v>4300.126</v>
      </c>
      <c r="J2" s="0" t="n">
        <v>20.4</v>
      </c>
      <c r="K2" s="0" t="n">
        <v>0.56</v>
      </c>
      <c r="L2" s="0" t="n">
        <v>40858.151</v>
      </c>
      <c r="M2" s="0" t="n">
        <v>646.558</v>
      </c>
      <c r="N2" s="0" t="n">
        <v>40211.593</v>
      </c>
      <c r="O2" s="0" t="n">
        <v>85018.016</v>
      </c>
      <c r="P2" s="0" t="n">
        <v>389105.946</v>
      </c>
      <c r="Q2" s="0" t="n">
        <v>300476.772</v>
      </c>
      <c r="R2" s="0" t="n">
        <v>103723.955</v>
      </c>
      <c r="S2" s="0" t="n">
        <v>21285.579</v>
      </c>
      <c r="T2" s="0" t="n">
        <v>7621.088</v>
      </c>
      <c r="AA2" s="0" t="s">
        <v>18</v>
      </c>
      <c r="AB2" s="0" t="s">
        <v>14</v>
      </c>
      <c r="AC2" s="0" t="n">
        <v>4632.045</v>
      </c>
      <c r="AD2" s="0" t="n">
        <v>0</v>
      </c>
    </row>
    <row r="3" customFormat="false" ht="15" hidden="false" customHeight="false" outlineLevel="0" collapsed="false">
      <c r="A3" s="0" t="s">
        <v>67</v>
      </c>
      <c r="B3" s="0" t="n">
        <v>27762.027</v>
      </c>
      <c r="I3" s="0" t="n">
        <v>7538.921</v>
      </c>
      <c r="J3" s="0" t="n">
        <v>27.2</v>
      </c>
      <c r="K3" s="0" t="n">
        <v>0.99</v>
      </c>
      <c r="L3" s="0" t="n">
        <v>20094.794</v>
      </c>
      <c r="M3" s="0" t="n">
        <v>391.646</v>
      </c>
      <c r="N3" s="0" t="n">
        <v>19703.148</v>
      </c>
      <c r="O3" s="0" t="n">
        <v>91233.985</v>
      </c>
      <c r="P3" s="0" t="n">
        <v>394391.064</v>
      </c>
      <c r="Q3" s="0" t="n">
        <v>300254.468</v>
      </c>
      <c r="R3" s="0" t="n">
        <v>102131.701</v>
      </c>
      <c r="S3" s="0" t="n">
        <v>21302.612</v>
      </c>
      <c r="T3" s="0" t="n">
        <v>7621.088</v>
      </c>
      <c r="AA3" s="0" t="s">
        <v>18</v>
      </c>
      <c r="AB3" s="0" t="s">
        <v>14</v>
      </c>
      <c r="AC3" s="0" t="n">
        <v>8110.261</v>
      </c>
      <c r="AD3" s="0" t="n">
        <v>0</v>
      </c>
    </row>
    <row r="4" customFormat="false" ht="15" hidden="false" customHeight="false" outlineLevel="0" collapsed="false">
      <c r="A4" s="0" t="s">
        <v>68</v>
      </c>
      <c r="B4" s="0" t="n">
        <v>34412.228</v>
      </c>
      <c r="I4" s="0" t="n">
        <v>10038.135</v>
      </c>
      <c r="J4" s="0" t="n">
        <v>29.2</v>
      </c>
      <c r="K4" s="0" t="n">
        <v>1.32</v>
      </c>
      <c r="L4" s="0" t="n">
        <v>-2085.056</v>
      </c>
      <c r="M4" s="0" t="n">
        <v>3047.082</v>
      </c>
      <c r="N4" s="0" t="n">
        <v>-5132.138</v>
      </c>
      <c r="O4" s="0" t="n">
        <v>98162.197</v>
      </c>
      <c r="P4" s="0" t="n">
        <v>457463.686</v>
      </c>
      <c r="Q4" s="0" t="n">
        <v>355190.1</v>
      </c>
      <c r="R4" s="0" t="n">
        <v>129493.897</v>
      </c>
      <c r="S4" s="0" t="n">
        <v>19907.205</v>
      </c>
      <c r="T4" s="0" t="n">
        <v>7621.088</v>
      </c>
      <c r="AA4" s="0" t="s">
        <v>18</v>
      </c>
      <c r="AB4" s="0" t="s">
        <v>14</v>
      </c>
      <c r="AC4" s="0" t="n">
        <v>10770.895</v>
      </c>
      <c r="AD4" s="0" t="n">
        <v>0</v>
      </c>
    </row>
    <row r="5" customFormat="false" ht="15" hidden="false" customHeight="false" outlineLevel="0" collapsed="false">
      <c r="A5" s="0" t="s">
        <v>69</v>
      </c>
      <c r="B5" s="0" t="n">
        <v>38860.43</v>
      </c>
      <c r="I5" s="0" t="n">
        <v>10854.116</v>
      </c>
      <c r="J5" s="0" t="n">
        <v>27.9</v>
      </c>
      <c r="K5" s="0" t="n">
        <v>1.42</v>
      </c>
      <c r="L5" s="0" t="n">
        <v>-50835.95</v>
      </c>
      <c r="M5" s="0" t="n">
        <v>670.947</v>
      </c>
      <c r="N5" s="0" t="n">
        <v>-51506.897</v>
      </c>
      <c r="O5" s="0" t="n">
        <v>106624.51</v>
      </c>
      <c r="P5" s="0" t="n">
        <v>535855.324</v>
      </c>
      <c r="Q5" s="0" t="n">
        <v>425053.981</v>
      </c>
      <c r="R5" s="0" t="n">
        <v>167814.912</v>
      </c>
      <c r="S5" s="0" t="n">
        <v>21281.276</v>
      </c>
      <c r="T5" s="0" t="n">
        <v>7621.088</v>
      </c>
      <c r="AA5" s="0" t="s">
        <v>18</v>
      </c>
      <c r="AB5" s="0" t="s">
        <v>14</v>
      </c>
      <c r="AC5" s="0" t="n">
        <v>12054.906</v>
      </c>
      <c r="AD5" s="0" t="n">
        <v>1000</v>
      </c>
    </row>
    <row r="6" customFormat="false" ht="15" hidden="false" customHeight="false" outlineLevel="0" collapsed="false">
      <c r="A6" s="0" t="s">
        <v>70</v>
      </c>
      <c r="B6" s="0" t="n">
        <v>30128.762</v>
      </c>
      <c r="I6" s="0" t="n">
        <v>7929.282</v>
      </c>
      <c r="J6" s="0" t="n">
        <v>26.3</v>
      </c>
      <c r="K6" s="0" t="n">
        <v>1.02</v>
      </c>
      <c r="L6" s="0" t="n">
        <v>40163.338</v>
      </c>
      <c r="M6" s="0" t="n">
        <v>717.791</v>
      </c>
      <c r="N6" s="0" t="n">
        <v>39445.547</v>
      </c>
      <c r="O6" s="0" t="n">
        <v>120145.632</v>
      </c>
      <c r="P6" s="0" t="n">
        <v>617256.282</v>
      </c>
      <c r="Q6" s="0" t="n">
        <v>492463.442</v>
      </c>
      <c r="R6" s="0" t="n">
        <v>157751.838</v>
      </c>
      <c r="S6" s="0" t="n">
        <v>19072.052</v>
      </c>
      <c r="T6" s="0" t="n">
        <v>7621.088</v>
      </c>
      <c r="AA6" s="0" t="s">
        <v>18</v>
      </c>
      <c r="AB6" s="0" t="s">
        <v>14</v>
      </c>
      <c r="AC6" s="0" t="n">
        <v>8898.003</v>
      </c>
      <c r="AD6" s="0" t="n">
        <v>10990</v>
      </c>
    </row>
    <row r="7" customFormat="false" ht="15" hidden="false" customHeight="false" outlineLevel="0" collapsed="false">
      <c r="A7" s="0" t="s">
        <v>71</v>
      </c>
      <c r="B7" s="0" t="n">
        <v>32092.672</v>
      </c>
      <c r="I7" s="0" t="n">
        <v>6977.8</v>
      </c>
      <c r="J7" s="0" t="n">
        <v>21.7</v>
      </c>
      <c r="K7" s="0" t="n">
        <v>0.83</v>
      </c>
      <c r="L7" s="0" t="n">
        <v>-2352.39</v>
      </c>
      <c r="M7" s="0" t="n">
        <v>941.479</v>
      </c>
      <c r="N7" s="0" t="n">
        <v>-3293.869</v>
      </c>
      <c r="O7" s="0" t="n">
        <v>135717.648</v>
      </c>
      <c r="P7" s="0" t="n">
        <v>682181.679</v>
      </c>
      <c r="Q7" s="0" t="n">
        <v>541505.969</v>
      </c>
      <c r="R7" s="0" t="n">
        <v>155781.832</v>
      </c>
      <c r="S7" s="0" t="n">
        <v>21741.361</v>
      </c>
      <c r="T7" s="0" t="n">
        <v>7621.088</v>
      </c>
      <c r="AA7" s="0" t="s">
        <v>18</v>
      </c>
      <c r="AB7" s="0" t="s">
        <v>14</v>
      </c>
      <c r="AC7" s="0" t="n">
        <v>7862.917</v>
      </c>
      <c r="AD7" s="0" t="n">
        <v>22478.5</v>
      </c>
    </row>
    <row r="8" customFormat="false" ht="15" hidden="false" customHeight="false" outlineLevel="0" collapsed="false">
      <c r="A8" s="0" t="s">
        <v>72</v>
      </c>
      <c r="B8" s="0" t="n">
        <v>35383.442</v>
      </c>
      <c r="I8" s="0" t="n">
        <v>9636.83</v>
      </c>
      <c r="J8" s="0" t="n">
        <v>27.2</v>
      </c>
      <c r="K8" s="0" t="n">
        <v>1.15</v>
      </c>
      <c r="L8" s="0" t="n">
        <v>-30466.679</v>
      </c>
      <c r="M8" s="0" t="n">
        <v>735.801</v>
      </c>
      <c r="N8" s="0" t="n">
        <v>-31202.48</v>
      </c>
      <c r="O8" s="0" t="n">
        <v>147601.916</v>
      </c>
      <c r="P8" s="0" t="n">
        <v>758745.109</v>
      </c>
      <c r="Q8" s="0" t="n">
        <v>605659.727</v>
      </c>
      <c r="R8" s="0" t="n">
        <v>179598.792</v>
      </c>
      <c r="S8" s="0" t="n">
        <v>32238.193</v>
      </c>
      <c r="T8" s="0" t="n">
        <v>7605.846</v>
      </c>
      <c r="AA8" s="0" t="s">
        <v>18</v>
      </c>
      <c r="AB8" s="0" t="s">
        <v>14</v>
      </c>
      <c r="AC8" s="0" t="n">
        <v>10544.673</v>
      </c>
      <c r="AD8" s="0" t="n">
        <v>26600</v>
      </c>
    </row>
    <row r="9" customFormat="false" ht="15" hidden="false" customHeight="false" outlineLevel="0" collapsed="false">
      <c r="A9" s="0" t="s">
        <v>73</v>
      </c>
      <c r="B9" s="0" t="n">
        <v>44287.097</v>
      </c>
      <c r="I9" s="0" t="n">
        <v>13701.548</v>
      </c>
      <c r="J9" s="0" t="n">
        <v>30.9</v>
      </c>
      <c r="K9" s="0" t="n">
        <v>1.68</v>
      </c>
      <c r="L9" s="0" t="n">
        <v>-55582.49</v>
      </c>
      <c r="M9" s="0" t="n">
        <v>727.266</v>
      </c>
      <c r="N9" s="0" t="n">
        <v>-56309.756</v>
      </c>
      <c r="O9" s="0" t="n">
        <v>156111.484</v>
      </c>
      <c r="P9" s="0" t="n">
        <v>975484.254</v>
      </c>
      <c r="Q9" s="0" t="n">
        <v>813026.402</v>
      </c>
      <c r="R9" s="0" t="n">
        <v>231192.945</v>
      </c>
      <c r="S9" s="0" t="n">
        <v>27428.979</v>
      </c>
      <c r="T9" s="0" t="n">
        <v>7605.846</v>
      </c>
      <c r="AA9" s="0" t="s">
        <v>18</v>
      </c>
      <c r="AB9" s="0" t="s">
        <v>14</v>
      </c>
      <c r="AC9" s="0" t="n">
        <v>14952.11</v>
      </c>
      <c r="AD9" s="0" t="n">
        <v>26600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16.77</v>
      </c>
    </row>
    <row r="3" customFormat="false" ht="15" hidden="false" customHeight="false" outlineLevel="0" collapsed="false">
      <c r="A3" s="0" t="s">
        <v>77</v>
      </c>
      <c r="B3" s="3" t="n">
        <v>7933.3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1834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59000</v>
      </c>
    </row>
    <row r="8" customFormat="false" ht="15" hidden="false" customHeight="false" outlineLevel="0" collapsed="false">
      <c r="A8" s="0" t="s">
        <v>82</v>
      </c>
      <c r="B8" s="3" t="s">
        <v>83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1.1726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-25</v>
      </c>
      <c r="D13" s="3" t="n">
        <v>-8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99</v>
      </c>
      <c r="C14" s="3" t="n">
        <v>32</v>
      </c>
      <c r="D14" s="3" t="n">
        <v>28</v>
      </c>
      <c r="E14" s="3" t="n">
        <v>29</v>
      </c>
      <c r="F14" s="3" t="n">
        <v>30</v>
      </c>
      <c r="G14" s="3" t="n">
        <v>31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11.31</v>
      </c>
      <c r="D18" s="3" t="n">
        <v>12.72</v>
      </c>
      <c r="E18" s="3" t="n">
        <v>11.07</v>
      </c>
      <c r="F18" s="3" t="n">
        <v>11.07</v>
      </c>
      <c r="G18" s="3" t="n">
        <v>11.07</v>
      </c>
      <c r="H18" s="3" t="n">
        <v>9.22</v>
      </c>
      <c r="I18" s="3" t="n">
        <v>9.22</v>
      </c>
      <c r="J18" s="3" t="n">
        <v>9.22</v>
      </c>
      <c r="K18" s="3" t="n">
        <v>9.22</v>
      </c>
      <c r="L18" s="3" t="n">
        <v>9.22</v>
      </c>
    </row>
    <row r="19" customFormat="false" ht="15" hidden="false" customHeight="false" outlineLevel="0" collapsed="false">
      <c r="A19" s="0" t="s">
        <v>104</v>
      </c>
      <c r="C19" s="3" t="n">
        <v>32</v>
      </c>
      <c r="D19" s="3" t="n">
        <v>34</v>
      </c>
      <c r="E19" s="3" t="n">
        <v>33.5</v>
      </c>
      <c r="F19" s="3" t="n">
        <v>33</v>
      </c>
      <c r="G19" s="3" t="n">
        <v>32.5</v>
      </c>
      <c r="H19" s="3" t="n">
        <v>32</v>
      </c>
      <c r="I19" s="3" t="n">
        <v>32</v>
      </c>
      <c r="J19" s="3" t="n">
        <v>32</v>
      </c>
      <c r="K19" s="3" t="n">
        <v>32</v>
      </c>
      <c r="L19" s="3" t="n">
        <v>32</v>
      </c>
    </row>
    <row r="20" customFormat="false" ht="15" hidden="false" customHeight="false" outlineLevel="0" collapsed="false">
      <c r="A20" s="0" t="s">
        <v>105</v>
      </c>
      <c r="B20" s="3" t="n">
        <v>11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18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-12</v>
      </c>
      <c r="D27" s="3" t="n">
        <v>-3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38.5</v>
      </c>
      <c r="D28" s="3" t="n">
        <v>37</v>
      </c>
      <c r="E28" s="3" t="n">
        <v>37</v>
      </c>
      <c r="F28" s="3" t="n">
        <v>37</v>
      </c>
      <c r="G28" s="3" t="n">
        <v>37</v>
      </c>
      <c r="H28" s="3" t="n">
        <v>37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11.02</v>
      </c>
      <c r="D32" s="3" t="n">
        <v>11.81</v>
      </c>
      <c r="E32" s="3" t="n">
        <v>11.81</v>
      </c>
      <c r="F32" s="3" t="n">
        <v>11.81</v>
      </c>
      <c r="G32" s="3" t="n">
        <v>10.34</v>
      </c>
      <c r="H32" s="3" t="n">
        <v>10.34</v>
      </c>
      <c r="I32" s="3" t="n">
        <v>8.86</v>
      </c>
      <c r="J32" s="3" t="n">
        <v>8.86</v>
      </c>
      <c r="K32" s="3" t="n">
        <v>8.86</v>
      </c>
      <c r="L32" s="3" t="n">
        <v>8.86</v>
      </c>
    </row>
    <row r="33" customFormat="false" ht="15" hidden="false" customHeight="false" outlineLevel="0" collapsed="false">
      <c r="A33" s="0" t="s">
        <v>104</v>
      </c>
      <c r="C33" s="3" t="n">
        <v>31</v>
      </c>
      <c r="D33" s="3" t="n">
        <v>31.5</v>
      </c>
      <c r="E33" s="3" t="n">
        <v>31.2</v>
      </c>
      <c r="F33" s="3" t="n">
        <v>31</v>
      </c>
      <c r="G33" s="3" t="n">
        <v>30.8</v>
      </c>
      <c r="H33" s="3" t="n">
        <v>30.6</v>
      </c>
      <c r="I33" s="3" t="n">
        <v>30.4</v>
      </c>
      <c r="J33" s="3" t="n">
        <v>30.2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105</v>
      </c>
      <c r="B34" s="3" t="n">
        <v>11</v>
      </c>
    </row>
    <row r="35" customFormat="false" ht="15" hidden="false" customHeight="false" outlineLevel="0" collapsed="false">
      <c r="A35" s="0" t="s">
        <v>106</v>
      </c>
      <c r="B35" s="3" t="n">
        <v>3</v>
      </c>
    </row>
    <row r="36" customFormat="false" ht="15" hidden="false" customHeight="false" outlineLevel="0" collapsed="false">
      <c r="A36" s="0" t="s">
        <v>107</v>
      </c>
      <c r="B36" s="3" t="n">
        <v>18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0.45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-3</v>
      </c>
      <c r="D41" s="3" t="n">
        <v>2</v>
      </c>
      <c r="E41" s="3" t="n">
        <v>6</v>
      </c>
      <c r="F41" s="3" t="n">
        <v>6</v>
      </c>
      <c r="G41" s="3" t="n">
        <v>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99</v>
      </c>
      <c r="C42" s="3" t="n">
        <v>42</v>
      </c>
      <c r="D42" s="3" t="n">
        <v>40</v>
      </c>
      <c r="E42" s="3" t="n">
        <v>40</v>
      </c>
      <c r="F42" s="3" t="n">
        <v>40</v>
      </c>
      <c r="G42" s="3" t="n">
        <v>40</v>
      </c>
      <c r="H42" s="3" t="n">
        <v>40</v>
      </c>
      <c r="I42" s="3" t="n">
        <v>40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12.49</v>
      </c>
      <c r="D46" s="3" t="n">
        <v>12.86</v>
      </c>
      <c r="E46" s="3" t="n">
        <v>12.74</v>
      </c>
      <c r="F46" s="3" t="n">
        <v>12.62</v>
      </c>
      <c r="G46" s="3" t="n">
        <v>11.36</v>
      </c>
      <c r="H46" s="3" t="n">
        <v>10.05</v>
      </c>
      <c r="I46" s="3" t="n">
        <v>10</v>
      </c>
      <c r="J46" s="3" t="n">
        <v>8.75</v>
      </c>
      <c r="K46" s="3" t="n">
        <v>8.75</v>
      </c>
      <c r="L46" s="3" t="n">
        <v>8.75</v>
      </c>
    </row>
    <row r="47" customFormat="false" ht="15" hidden="false" customHeight="false" outlineLevel="0" collapsed="false">
      <c r="A47" s="0" t="s">
        <v>104</v>
      </c>
      <c r="C47" s="3" t="n">
        <v>29.5</v>
      </c>
      <c r="D47" s="3" t="n">
        <v>29.5</v>
      </c>
      <c r="E47" s="3" t="n">
        <v>29.4</v>
      </c>
      <c r="F47" s="3" t="n">
        <v>29.3</v>
      </c>
      <c r="G47" s="3" t="n">
        <v>29.2</v>
      </c>
      <c r="H47" s="3" t="n">
        <v>29.1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105</v>
      </c>
      <c r="B48" s="3" t="n">
        <v>11</v>
      </c>
    </row>
    <row r="49" customFormat="false" ht="15" hidden="false" customHeight="false" outlineLevel="0" collapsed="false">
      <c r="A49" s="0" t="s">
        <v>106</v>
      </c>
      <c r="B49" s="3" t="n">
        <v>3.5</v>
      </c>
    </row>
    <row r="50" customFormat="false" ht="15" hidden="false" customHeight="false" outlineLevel="0" collapsed="false">
      <c r="A50" s="0" t="s">
        <v>107</v>
      </c>
      <c r="B50" s="3" t="n">
        <v>18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-25</v>
      </c>
      <c r="D5" s="4" t="n">
        <f aca="false">Assumptions!D13</f>
        <v>-8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59000</v>
      </c>
      <c r="C6" s="0" t="n">
        <f aca="false">B6*(1+C5/100)</f>
        <v>44250</v>
      </c>
      <c r="D6" s="0" t="n">
        <f aca="false">C6*(1+D5/100)</f>
        <v>40710</v>
      </c>
      <c r="E6" s="0" t="n">
        <f aca="false">D6*(1+E5/100)</f>
        <v>41524.2</v>
      </c>
      <c r="F6" s="0" t="n">
        <f aca="false">E6*(1+F5/100)</f>
        <v>42769.926</v>
      </c>
      <c r="G6" s="0" t="n">
        <f aca="false">F6*(1+G5/100)</f>
        <v>44053.02378</v>
      </c>
      <c r="H6" s="0" t="n">
        <f aca="false">G6*(1+H5/100)</f>
        <v>45374.6144934</v>
      </c>
      <c r="I6" s="0" t="n">
        <f aca="false">H6*(1+I5/100)</f>
        <v>46508.979855735</v>
      </c>
      <c r="J6" s="0" t="n">
        <f aca="false">I6*(1+J5/100)</f>
        <v>47671.7043521284</v>
      </c>
      <c r="K6" s="0" t="n">
        <f aca="false">J6*(1+K5/100)</f>
        <v>48863.4969609316</v>
      </c>
      <c r="L6" s="0" t="n">
        <f aca="false">K6*(1+L5/100)</f>
        <v>50085.0843849549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32</v>
      </c>
      <c r="D7" s="4" t="n">
        <f aca="false">Assumptions!D14</f>
        <v>28</v>
      </c>
      <c r="E7" s="4" t="n">
        <f aca="false">Assumptions!E14</f>
        <v>29</v>
      </c>
      <c r="F7" s="4" t="n">
        <f aca="false">Assumptions!F14</f>
        <v>30</v>
      </c>
      <c r="G7" s="4" t="n">
        <f aca="false">Assumptions!G14</f>
        <v>31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14160</v>
      </c>
      <c r="D8" s="0" t="n">
        <f aca="false">D6*D7/100</f>
        <v>11398.8</v>
      </c>
      <c r="E8" s="0" t="n">
        <f aca="false">E6*E7/100</f>
        <v>12042.018</v>
      </c>
      <c r="F8" s="0" t="n">
        <f aca="false">F6*F7/100</f>
        <v>12830.9778</v>
      </c>
      <c r="G8" s="0" t="n">
        <f aca="false">G6*G7/100</f>
        <v>13656.4373718</v>
      </c>
      <c r="H8" s="0" t="n">
        <f aca="false">H6*H7/100</f>
        <v>14519.876637888</v>
      </c>
      <c r="I8" s="0" t="n">
        <f aca="false">I6*I7/100</f>
        <v>14882.8735538352</v>
      </c>
      <c r="J8" s="0" t="n">
        <f aca="false">J6*J7/100</f>
        <v>15254.9453926811</v>
      </c>
      <c r="K8" s="0" t="n">
        <f aca="false">K6*K7/100</f>
        <v>15636.3190274981</v>
      </c>
      <c r="L8" s="0" t="n">
        <f aca="false">L6*L7/100</f>
        <v>16027.2270031856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14160</v>
      </c>
      <c r="D11" s="0" t="n">
        <f aca="false">D8+D10+D24</f>
        <v>11398.8</v>
      </c>
      <c r="E11" s="0" t="n">
        <f aca="false">E8+E10+E24</f>
        <v>12042.018</v>
      </c>
      <c r="F11" s="0" t="n">
        <f aca="false">F8+F10+F24</f>
        <v>12830.9778</v>
      </c>
      <c r="G11" s="0" t="n">
        <f aca="false">G8+G10+G24</f>
        <v>13656.4373718</v>
      </c>
      <c r="H11" s="0" t="n">
        <f aca="false">H8+H10+H24</f>
        <v>14519.876637888</v>
      </c>
      <c r="I11" s="0" t="n">
        <f aca="false">I8+I10+I24</f>
        <v>14882.8735538352</v>
      </c>
      <c r="J11" s="0" t="n">
        <f aca="false">J8+J10+J24</f>
        <v>15254.9453926811</v>
      </c>
      <c r="K11" s="0" t="n">
        <f aca="false">K8+K10+K24</f>
        <v>15636.3190274981</v>
      </c>
      <c r="L11" s="0" t="n">
        <f aca="false">L8+L10+L24</f>
        <v>16027.2270031856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14160</v>
      </c>
      <c r="D13" s="0" t="n">
        <f aca="false">D11+D12</f>
        <v>11398.8</v>
      </c>
      <c r="E13" s="0" t="n">
        <f aca="false">E11+E12</f>
        <v>12042.018</v>
      </c>
      <c r="F13" s="0" t="n">
        <f aca="false">F11+F12</f>
        <v>12830.9778</v>
      </c>
      <c r="G13" s="0" t="n">
        <f aca="false">G11+G12</f>
        <v>13656.4373718</v>
      </c>
      <c r="H13" s="0" t="n">
        <f aca="false">H11+H12</f>
        <v>14519.876637888</v>
      </c>
      <c r="I13" s="0" t="n">
        <f aca="false">I11+I12</f>
        <v>14882.8735538352</v>
      </c>
      <c r="J13" s="0" t="n">
        <f aca="false">J11+J12</f>
        <v>15254.9453926811</v>
      </c>
      <c r="K13" s="0" t="n">
        <f aca="false">K11+K12</f>
        <v>15636.3190274981</v>
      </c>
      <c r="L13" s="0" t="n">
        <f aca="false">L11+L12</f>
        <v>16027.2270031856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32</v>
      </c>
      <c r="D14" s="4" t="n">
        <f aca="false">Assumptions!D19</f>
        <v>34</v>
      </c>
      <c r="E14" s="4" t="n">
        <f aca="false">Assumptions!E19</f>
        <v>33.5</v>
      </c>
      <c r="F14" s="4" t="n">
        <f aca="false">Assumptions!F19</f>
        <v>33</v>
      </c>
      <c r="G14" s="4" t="n">
        <f aca="false">Assumptions!G19</f>
        <v>32.5</v>
      </c>
      <c r="H14" s="4" t="n">
        <f aca="false">Assumptions!H19</f>
        <v>32</v>
      </c>
      <c r="I14" s="4" t="n">
        <f aca="false">Assumptions!I19</f>
        <v>32</v>
      </c>
      <c r="J14" s="4" t="n">
        <f aca="false">Assumptions!J19</f>
        <v>32</v>
      </c>
      <c r="K14" s="4" t="n">
        <f aca="false">Assumptions!K19</f>
        <v>32</v>
      </c>
      <c r="L14" s="4" t="n">
        <f aca="false">Assumptions!L19</f>
        <v>32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9628.8</v>
      </c>
      <c r="D15" s="0" t="n">
        <f aca="false">D13-MAX(0,D13)*D14/100</f>
        <v>7523.208</v>
      </c>
      <c r="E15" s="0" t="n">
        <f aca="false">E13-MAX(0,E13)*E14/100</f>
        <v>8007.94197</v>
      </c>
      <c r="F15" s="0" t="n">
        <f aca="false">F13-MAX(0,F13)*F14/100</f>
        <v>8596.755126</v>
      </c>
      <c r="G15" s="0" t="n">
        <f aca="false">G13-MAX(0,G13)*G14/100</f>
        <v>9218.095225965</v>
      </c>
      <c r="H15" s="0" t="n">
        <f aca="false">H13-MAX(0,H13)*H14/100</f>
        <v>9873.51611376384</v>
      </c>
      <c r="I15" s="0" t="n">
        <f aca="false">I13-MAX(0,I13)*I14/100</f>
        <v>10120.3540166079</v>
      </c>
      <c r="J15" s="0" t="n">
        <f aca="false">J13-MAX(0,J13)*J14/100</f>
        <v>10373.3628670231</v>
      </c>
      <c r="K15" s="0" t="n">
        <f aca="false">K13-MAX(0,K13)*K14/100</f>
        <v>10632.6969386987</v>
      </c>
      <c r="L15" s="0" t="n">
        <f aca="false">L13-MAX(0,L13)*L14/100</f>
        <v>10898.5143621662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-5004.675</v>
      </c>
      <c r="D17" s="4" t="n">
        <f aca="false">-D6*Assumptions!D18/100</f>
        <v>-5178.312</v>
      </c>
      <c r="E17" s="4" t="n">
        <f aca="false">-E6*Assumptions!E18/100</f>
        <v>-4596.72894</v>
      </c>
      <c r="F17" s="4" t="n">
        <f aca="false">-F6*Assumptions!F18/100</f>
        <v>-4734.6308082</v>
      </c>
      <c r="G17" s="4" t="n">
        <f aca="false">-G6*Assumptions!G18/100</f>
        <v>-4876.669732446</v>
      </c>
      <c r="H17" s="4" t="n">
        <f aca="false">-H6*Assumptions!H18/100</f>
        <v>-4183.53945629148</v>
      </c>
      <c r="I17" s="4" t="n">
        <f aca="false">-I6*Assumptions!I18/100</f>
        <v>-4288.12794269877</v>
      </c>
      <c r="J17" s="4" t="n">
        <f aca="false">-J6*Assumptions!J18/100</f>
        <v>-4395.33114126624</v>
      </c>
      <c r="K17" s="4" t="n">
        <f aca="false">-K6*Assumptions!K18/100</f>
        <v>-4505.21441979789</v>
      </c>
      <c r="L17" s="4" t="n">
        <f aca="false">-L6*Assumptions!L18/100</f>
        <v>-4617.84478029284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4624.125</v>
      </c>
      <c r="D19" s="0" t="n">
        <f aca="false">D15+D16+D17+D18</f>
        <v>2344.896</v>
      </c>
      <c r="E19" s="0" t="n">
        <f aca="false">E15+E16+E17+E18</f>
        <v>3411.21303</v>
      </c>
      <c r="F19" s="0" t="n">
        <f aca="false">F15+F16+F17+F18</f>
        <v>3862.1243178</v>
      </c>
      <c r="G19" s="0" t="n">
        <f aca="false">G15+G16+G17+G18</f>
        <v>4341.425493519</v>
      </c>
      <c r="H19" s="0" t="n">
        <f aca="false">H15+H16+H17+H18</f>
        <v>5689.97665747236</v>
      </c>
      <c r="I19" s="0" t="n">
        <f aca="false">I15+I16+I17+I18</f>
        <v>5832.22607390917</v>
      </c>
      <c r="J19" s="0" t="n">
        <f aca="false">J15+J16+J17+J18</f>
        <v>5978.0317257569</v>
      </c>
      <c r="K19" s="0" t="n">
        <f aca="false">K15+K16+K17+K18</f>
        <v>6127.48251890082</v>
      </c>
      <c r="L19" s="0" t="n">
        <f aca="false">L15+L16+L17+L18</f>
        <v>6280.66958187334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4165.87837837838</v>
      </c>
      <c r="D21" s="0" t="n">
        <f aca="false">D19*D20</f>
        <v>1903.17019722425</v>
      </c>
      <c r="E21" s="0" t="n">
        <f aca="false">E19*E20</f>
        <v>2494.2495673175</v>
      </c>
      <c r="F21" s="0" t="n">
        <f aca="false">F19*F20</f>
        <v>2544.10091413349</v>
      </c>
      <c r="G21" s="0" t="n">
        <f aca="false">G19*G20</f>
        <v>2576.42472479614</v>
      </c>
      <c r="H21" s="0" t="n">
        <f aca="false">H19*H20</f>
        <v>3042.09387747673</v>
      </c>
      <c r="I21" s="0" t="n">
        <f aca="false">I19*I20</f>
        <v>2809.140742715</v>
      </c>
      <c r="J21" s="0" t="n">
        <f aca="false">J19*J20</f>
        <v>2594.0263615161</v>
      </c>
      <c r="K21" s="0" t="n">
        <f aca="false">K19*K20</f>
        <v>2395.3847032018</v>
      </c>
      <c r="L21" s="0" t="n">
        <f aca="false">L19*L20</f>
        <v>2211.95434304671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26736.4238098061</v>
      </c>
    </row>
    <row r="31" customFormat="false" ht="15" hidden="false" customHeight="false" outlineLevel="0" collapsed="false">
      <c r="A31" s="0" t="s">
        <v>129</v>
      </c>
      <c r="B31" s="0" t="n">
        <f aca="false">L19</f>
        <v>6280.66958187334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75737.486134355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113052.05247372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75737.486134355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26673.5670779162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53409.9908877223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55243.9908877223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8.16546755006658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-0.513090784134372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8.16546755006658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51501.4905713614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5.44951109559783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-12</v>
      </c>
      <c r="D5" s="4" t="n">
        <f aca="false">Assumptions!D27</f>
        <v>-3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59000</v>
      </c>
      <c r="C6" s="0" t="n">
        <f aca="false">B6*(1+C5/100)</f>
        <v>51920</v>
      </c>
      <c r="D6" s="0" t="n">
        <f aca="false">C6*(1+D5/100)</f>
        <v>50362.4</v>
      </c>
      <c r="E6" s="0" t="n">
        <f aca="false">D6*(1+E5/100)</f>
        <v>52376.896</v>
      </c>
      <c r="F6" s="0" t="n">
        <f aca="false">E6*(1+F5/100)</f>
        <v>54471.97184</v>
      </c>
      <c r="G6" s="0" t="n">
        <f aca="false">F6*(1+G5/100)</f>
        <v>56650.8507136</v>
      </c>
      <c r="H6" s="0" t="n">
        <f aca="false">G6*(1+H5/100)</f>
        <v>58633.630488576</v>
      </c>
      <c r="I6" s="0" t="n">
        <f aca="false">H6*(1+I5/100)</f>
        <v>60685.8075556762</v>
      </c>
      <c r="J6" s="0" t="n">
        <f aca="false">I6*(1+J5/100)</f>
        <v>62506.3817823464</v>
      </c>
      <c r="K6" s="0" t="n">
        <f aca="false">J6*(1+K5/100)</f>
        <v>64381.5732358168</v>
      </c>
      <c r="L6" s="0" t="n">
        <f aca="false">K6*(1+L5/100)</f>
        <v>66313.0204328913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38.5</v>
      </c>
      <c r="D7" s="4" t="n">
        <f aca="false">Assumptions!D28</f>
        <v>37</v>
      </c>
      <c r="E7" s="4" t="n">
        <f aca="false">Assumptions!E28</f>
        <v>37</v>
      </c>
      <c r="F7" s="4" t="n">
        <f aca="false">Assumptions!F28</f>
        <v>37</v>
      </c>
      <c r="G7" s="4" t="n">
        <f aca="false">Assumptions!G28</f>
        <v>37</v>
      </c>
      <c r="H7" s="4" t="n">
        <f aca="false">Assumptions!H28</f>
        <v>37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19989.2</v>
      </c>
      <c r="D8" s="0" t="n">
        <f aca="false">D6*D7/100</f>
        <v>18634.088</v>
      </c>
      <c r="E8" s="0" t="n">
        <f aca="false">E6*E7/100</f>
        <v>19379.45152</v>
      </c>
      <c r="F8" s="0" t="n">
        <f aca="false">F6*F7/100</f>
        <v>20154.6295808</v>
      </c>
      <c r="G8" s="0" t="n">
        <f aca="false">G6*G7/100</f>
        <v>20960.814764032</v>
      </c>
      <c r="H8" s="0" t="n">
        <f aca="false">H6*H7/100</f>
        <v>21694.4432807731</v>
      </c>
      <c r="I8" s="0" t="n">
        <f aca="false">I6*I7/100</f>
        <v>22453.7487956002</v>
      </c>
      <c r="J8" s="0" t="n">
        <f aca="false">J6*J7/100</f>
        <v>23127.3612594682</v>
      </c>
      <c r="K8" s="0" t="n">
        <f aca="false">K6*K7/100</f>
        <v>23821.1820972522</v>
      </c>
      <c r="L8" s="0" t="n">
        <f aca="false">L6*L7/100</f>
        <v>24535.8175601698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19989.2</v>
      </c>
      <c r="D11" s="0" t="n">
        <f aca="false">D8+D10+D24</f>
        <v>18634.088</v>
      </c>
      <c r="E11" s="0" t="n">
        <f aca="false">E8+E10+E24</f>
        <v>19379.45152</v>
      </c>
      <c r="F11" s="0" t="n">
        <f aca="false">F8+F10+F24</f>
        <v>20154.6295808</v>
      </c>
      <c r="G11" s="0" t="n">
        <f aca="false">G8+G10+G24</f>
        <v>20960.814764032</v>
      </c>
      <c r="H11" s="0" t="n">
        <f aca="false">H8+H10+H24</f>
        <v>21694.4432807731</v>
      </c>
      <c r="I11" s="0" t="n">
        <f aca="false">I8+I10+I24</f>
        <v>22453.7487956002</v>
      </c>
      <c r="J11" s="0" t="n">
        <f aca="false">J8+J10+J24</f>
        <v>23127.3612594682</v>
      </c>
      <c r="K11" s="0" t="n">
        <f aca="false">K8+K10+K24</f>
        <v>23821.1820972522</v>
      </c>
      <c r="L11" s="0" t="n">
        <f aca="false">L8+L10+L24</f>
        <v>24535.8175601698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19989.2</v>
      </c>
      <c r="D13" s="0" t="n">
        <f aca="false">D11+D12</f>
        <v>18634.088</v>
      </c>
      <c r="E13" s="0" t="n">
        <f aca="false">E11+E12</f>
        <v>19379.45152</v>
      </c>
      <c r="F13" s="0" t="n">
        <f aca="false">F11+F12</f>
        <v>20154.6295808</v>
      </c>
      <c r="G13" s="0" t="n">
        <f aca="false">G11+G12</f>
        <v>20960.814764032</v>
      </c>
      <c r="H13" s="0" t="n">
        <f aca="false">H11+H12</f>
        <v>21694.4432807731</v>
      </c>
      <c r="I13" s="0" t="n">
        <f aca="false">I11+I12</f>
        <v>22453.7487956002</v>
      </c>
      <c r="J13" s="0" t="n">
        <f aca="false">J11+J12</f>
        <v>23127.3612594682</v>
      </c>
      <c r="K13" s="0" t="n">
        <f aca="false">K11+K12</f>
        <v>23821.1820972522</v>
      </c>
      <c r="L13" s="0" t="n">
        <f aca="false">L11+L12</f>
        <v>24535.8175601698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31</v>
      </c>
      <c r="D14" s="4" t="n">
        <f aca="false">Assumptions!D33</f>
        <v>31.5</v>
      </c>
      <c r="E14" s="4" t="n">
        <f aca="false">Assumptions!E33</f>
        <v>31.2</v>
      </c>
      <c r="F14" s="4" t="n">
        <f aca="false">Assumptions!F33</f>
        <v>31</v>
      </c>
      <c r="G14" s="4" t="n">
        <f aca="false">Assumptions!G33</f>
        <v>30.8</v>
      </c>
      <c r="H14" s="4" t="n">
        <f aca="false">Assumptions!H33</f>
        <v>30.6</v>
      </c>
      <c r="I14" s="4" t="n">
        <f aca="false">Assumptions!I33</f>
        <v>30.4</v>
      </c>
      <c r="J14" s="4" t="n">
        <f aca="false">Assumptions!J33</f>
        <v>30.2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13792.548</v>
      </c>
      <c r="D15" s="0" t="n">
        <f aca="false">D13-MAX(0,D13)*D14/100</f>
        <v>12764.35028</v>
      </c>
      <c r="E15" s="0" t="n">
        <f aca="false">E13-MAX(0,E13)*E14/100</f>
        <v>13333.06264576</v>
      </c>
      <c r="F15" s="0" t="n">
        <f aca="false">F13-MAX(0,F13)*F14/100</f>
        <v>13906.694410752</v>
      </c>
      <c r="G15" s="0" t="n">
        <f aca="false">G13-MAX(0,G13)*G14/100</f>
        <v>14504.8838167101</v>
      </c>
      <c r="H15" s="0" t="n">
        <f aca="false">H13-MAX(0,H13)*H14/100</f>
        <v>15055.9436368565</v>
      </c>
      <c r="I15" s="0" t="n">
        <f aca="false">I13-MAX(0,I13)*I14/100</f>
        <v>15627.8091617377</v>
      </c>
      <c r="J15" s="0" t="n">
        <f aca="false">J13-MAX(0,J13)*J14/100</f>
        <v>16142.8981591088</v>
      </c>
      <c r="K15" s="0" t="n">
        <f aca="false">K13-MAX(0,K13)*K14/100</f>
        <v>16674.8274680766</v>
      </c>
      <c r="L15" s="0" t="n">
        <f aca="false">L13-MAX(0,L13)*L14/100</f>
        <v>17175.0722921189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-5721.584</v>
      </c>
      <c r="D17" s="4" t="n">
        <f aca="false">-D6*Assumptions!D32/100</f>
        <v>-5947.79944</v>
      </c>
      <c r="E17" s="4" t="n">
        <f aca="false">-E6*Assumptions!E32/100</f>
        <v>-6185.7114176</v>
      </c>
      <c r="F17" s="4" t="n">
        <f aca="false">-F6*Assumptions!F32/100</f>
        <v>-6433.139874304</v>
      </c>
      <c r="G17" s="4" t="n">
        <f aca="false">-G6*Assumptions!G32/100</f>
        <v>-5857.69796378624</v>
      </c>
      <c r="H17" s="4" t="n">
        <f aca="false">-H6*Assumptions!H32/100</f>
        <v>-6062.71739251876</v>
      </c>
      <c r="I17" s="4" t="n">
        <f aca="false">-I6*Assumptions!I32/100</f>
        <v>-5376.76254943291</v>
      </c>
      <c r="J17" s="4" t="n">
        <f aca="false">-J6*Assumptions!J32/100</f>
        <v>-5538.06542591589</v>
      </c>
      <c r="K17" s="4" t="n">
        <f aca="false">-K6*Assumptions!K32/100</f>
        <v>-5704.20738869337</v>
      </c>
      <c r="L17" s="4" t="n">
        <f aca="false">-L6*Assumptions!L32/100</f>
        <v>-5875.33361035417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8070.964</v>
      </c>
      <c r="D19" s="0" t="n">
        <f aca="false">D15+D16+D17+D18</f>
        <v>6816.55084</v>
      </c>
      <c r="E19" s="0" t="n">
        <f aca="false">E15+E16+E17+E18</f>
        <v>7147.35122816</v>
      </c>
      <c r="F19" s="0" t="n">
        <f aca="false">F15+F16+F17+F18</f>
        <v>7473.554536448</v>
      </c>
      <c r="G19" s="0" t="n">
        <f aca="false">G15+G16+G17+G18</f>
        <v>8647.18585292391</v>
      </c>
      <c r="H19" s="0" t="n">
        <f aca="false">H15+H16+H17+H18</f>
        <v>8993.22624433779</v>
      </c>
      <c r="I19" s="0" t="n">
        <f aca="false">I15+I16+I17+I18</f>
        <v>10251.0466123048</v>
      </c>
      <c r="J19" s="0" t="n">
        <f aca="false">J15+J16+J17+J18</f>
        <v>10604.8327331929</v>
      </c>
      <c r="K19" s="0" t="n">
        <f aca="false">K15+K16+K17+K18</f>
        <v>10970.6200793832</v>
      </c>
      <c r="L19" s="0" t="n">
        <f aca="false">L15+L16+L17+L18</f>
        <v>11299.7386817647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7271.13873873874</v>
      </c>
      <c r="D21" s="0" t="n">
        <f aca="false">D19*D20</f>
        <v>5532.4655790926</v>
      </c>
      <c r="E21" s="0" t="n">
        <f aca="false">E19*E20</f>
        <v>5226.08161716135</v>
      </c>
      <c r="F21" s="0" t="n">
        <f aca="false">F19*F20</f>
        <v>4923.06186012018</v>
      </c>
      <c r="G21" s="0" t="n">
        <f aca="false">G19*G20</f>
        <v>5131.68392838687</v>
      </c>
      <c r="H21" s="0" t="n">
        <f aca="false">H19*H20</f>
        <v>4808.14599840842</v>
      </c>
      <c r="I21" s="0" t="n">
        <f aca="false">I19*I20</f>
        <v>4937.50282125029</v>
      </c>
      <c r="J21" s="0" t="n">
        <f aca="false">J19*J20</f>
        <v>4601.71791174096</v>
      </c>
      <c r="K21" s="0" t="n">
        <f aca="false">K19*K20</f>
        <v>4288.6871470842</v>
      </c>
      <c r="L21" s="0" t="n">
        <f aca="false">L19*L20</f>
        <v>3979.59257792498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50700.0781799086</v>
      </c>
    </row>
    <row r="31" customFormat="false" ht="15" hidden="false" customHeight="false" outlineLevel="0" collapsed="false">
      <c r="A31" s="0" t="s">
        <v>129</v>
      </c>
      <c r="B31" s="0" t="n">
        <f aca="false">L19</f>
        <v>11299.7386817647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145484.13552772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203395.296271764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145484.13552772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51237.2544407841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101937.332620693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103771.332620693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15.3381650298141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-0.0853807376377993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15.3381650298141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96989.4236851469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10.1059865490875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-3</v>
      </c>
      <c r="D5" s="4" t="n">
        <f aca="false">Assumptions!D41</f>
        <v>2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59000</v>
      </c>
      <c r="C6" s="0" t="n">
        <f aca="false">B6*(1+C5/100)</f>
        <v>57230</v>
      </c>
      <c r="D6" s="0" t="n">
        <f aca="false">C6*(1+D5/100)</f>
        <v>58374.6</v>
      </c>
      <c r="E6" s="0" t="n">
        <f aca="false">D6*(1+E5/100)</f>
        <v>61877.076</v>
      </c>
      <c r="F6" s="0" t="n">
        <f aca="false">E6*(1+F5/100)</f>
        <v>65589.70056</v>
      </c>
      <c r="G6" s="0" t="n">
        <f aca="false">F6*(1+G5/100)</f>
        <v>68869.185588</v>
      </c>
      <c r="H6" s="0" t="n">
        <f aca="false">G6*(1+H5/100)</f>
        <v>72312.6448674</v>
      </c>
      <c r="I6" s="0" t="n">
        <f aca="false">H6*(1+I5/100)</f>
        <v>75566.713886433</v>
      </c>
      <c r="J6" s="0" t="n">
        <f aca="false">I6*(1+J5/100)</f>
        <v>78589.3824418903</v>
      </c>
      <c r="K6" s="0" t="n">
        <f aca="false">J6*(1+K5/100)</f>
        <v>81340.0108273565</v>
      </c>
      <c r="L6" s="0" t="n">
        <f aca="false">K6*(1+L5/100)</f>
        <v>84186.911206314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42</v>
      </c>
      <c r="D7" s="4" t="n">
        <f aca="false">Assumptions!D42</f>
        <v>40</v>
      </c>
      <c r="E7" s="4" t="n">
        <f aca="false">Assumptions!E42</f>
        <v>40</v>
      </c>
      <c r="F7" s="4" t="n">
        <f aca="false">Assumptions!F42</f>
        <v>40</v>
      </c>
      <c r="G7" s="4" t="n">
        <f aca="false">Assumptions!G42</f>
        <v>40</v>
      </c>
      <c r="H7" s="4" t="n">
        <f aca="false">Assumptions!H42</f>
        <v>40</v>
      </c>
      <c r="I7" s="4" t="n">
        <f aca="false">Assumptions!I42</f>
        <v>40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24036.6</v>
      </c>
      <c r="D8" s="0" t="n">
        <f aca="false">D6*D7/100</f>
        <v>23349.84</v>
      </c>
      <c r="E8" s="0" t="n">
        <f aca="false">E6*E7/100</f>
        <v>24750.8304</v>
      </c>
      <c r="F8" s="0" t="n">
        <f aca="false">F6*F7/100</f>
        <v>26235.880224</v>
      </c>
      <c r="G8" s="0" t="n">
        <f aca="false">G6*G7/100</f>
        <v>27547.6742352</v>
      </c>
      <c r="H8" s="0" t="n">
        <f aca="false">H6*H7/100</f>
        <v>28925.05794696</v>
      </c>
      <c r="I8" s="0" t="n">
        <f aca="false">I6*I7/100</f>
        <v>30226.6855545732</v>
      </c>
      <c r="J8" s="0" t="n">
        <f aca="false">J6*J7/100</f>
        <v>31435.7529767561</v>
      </c>
      <c r="K8" s="0" t="n">
        <f aca="false">K6*K7/100</f>
        <v>32536.0043309426</v>
      </c>
      <c r="L8" s="0" t="n">
        <f aca="false">L6*L7/100</f>
        <v>33674.7644825256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24036.6</v>
      </c>
      <c r="D11" s="0" t="n">
        <f aca="false">D8+D10+D24</f>
        <v>23349.84</v>
      </c>
      <c r="E11" s="0" t="n">
        <f aca="false">E8+E10+E24</f>
        <v>24750.8304</v>
      </c>
      <c r="F11" s="0" t="n">
        <f aca="false">F8+F10+F24</f>
        <v>26235.880224</v>
      </c>
      <c r="G11" s="0" t="n">
        <f aca="false">G8+G10+G24</f>
        <v>27547.6742352</v>
      </c>
      <c r="H11" s="0" t="n">
        <f aca="false">H8+H10+H24</f>
        <v>28925.05794696</v>
      </c>
      <c r="I11" s="0" t="n">
        <f aca="false">I8+I10+I24</f>
        <v>30226.6855545732</v>
      </c>
      <c r="J11" s="0" t="n">
        <f aca="false">J8+J10+J24</f>
        <v>31435.7529767561</v>
      </c>
      <c r="K11" s="0" t="n">
        <f aca="false">K8+K10+K24</f>
        <v>32536.0043309426</v>
      </c>
      <c r="L11" s="0" t="n">
        <f aca="false">L8+L10+L24</f>
        <v>33674.7644825256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24036.6</v>
      </c>
      <c r="D13" s="0" t="n">
        <f aca="false">D11+D12</f>
        <v>23349.84</v>
      </c>
      <c r="E13" s="0" t="n">
        <f aca="false">E11+E12</f>
        <v>24750.8304</v>
      </c>
      <c r="F13" s="0" t="n">
        <f aca="false">F11+F12</f>
        <v>26235.880224</v>
      </c>
      <c r="G13" s="0" t="n">
        <f aca="false">G11+G12</f>
        <v>27547.6742352</v>
      </c>
      <c r="H13" s="0" t="n">
        <f aca="false">H11+H12</f>
        <v>28925.05794696</v>
      </c>
      <c r="I13" s="0" t="n">
        <f aca="false">I11+I12</f>
        <v>30226.6855545732</v>
      </c>
      <c r="J13" s="0" t="n">
        <f aca="false">J11+J12</f>
        <v>31435.7529767561</v>
      </c>
      <c r="K13" s="0" t="n">
        <f aca="false">K11+K12</f>
        <v>32536.0043309426</v>
      </c>
      <c r="L13" s="0" t="n">
        <f aca="false">L11+L12</f>
        <v>33674.7644825256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29.5</v>
      </c>
      <c r="D14" s="4" t="n">
        <f aca="false">Assumptions!D47</f>
        <v>29.5</v>
      </c>
      <c r="E14" s="4" t="n">
        <f aca="false">Assumptions!E47</f>
        <v>29.4</v>
      </c>
      <c r="F14" s="4" t="n">
        <f aca="false">Assumptions!F47</f>
        <v>29.3</v>
      </c>
      <c r="G14" s="4" t="n">
        <f aca="false">Assumptions!G47</f>
        <v>29.2</v>
      </c>
      <c r="H14" s="4" t="n">
        <f aca="false">Assumptions!H47</f>
        <v>29.1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16945.803</v>
      </c>
      <c r="D15" s="0" t="n">
        <f aca="false">D13-MAX(0,D13)*D14/100</f>
        <v>16461.6372</v>
      </c>
      <c r="E15" s="0" t="n">
        <f aca="false">E13-MAX(0,E13)*E14/100</f>
        <v>17474.0862624</v>
      </c>
      <c r="F15" s="0" t="n">
        <f aca="false">F13-MAX(0,F13)*F14/100</f>
        <v>18548.767318368</v>
      </c>
      <c r="G15" s="0" t="n">
        <f aca="false">G13-MAX(0,G13)*G14/100</f>
        <v>19503.7533585216</v>
      </c>
      <c r="H15" s="0" t="n">
        <f aca="false">H13-MAX(0,H13)*H14/100</f>
        <v>20507.8660843946</v>
      </c>
      <c r="I15" s="0" t="n">
        <f aca="false">I13-MAX(0,I13)*I14/100</f>
        <v>21460.946743747</v>
      </c>
      <c r="J15" s="0" t="n">
        <f aca="false">J13-MAX(0,J13)*J14/100</f>
        <v>22319.3846134968</v>
      </c>
      <c r="K15" s="0" t="n">
        <f aca="false">K13-MAX(0,K13)*K14/100</f>
        <v>23100.5630749692</v>
      </c>
      <c r="L15" s="0" t="n">
        <f aca="false">L13-MAX(0,L13)*L14/100</f>
        <v>23909.0827825932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-7148.027</v>
      </c>
      <c r="D17" s="4" t="n">
        <f aca="false">-D6*Assumptions!D46/100</f>
        <v>-7506.97356</v>
      </c>
      <c r="E17" s="4" t="n">
        <f aca="false">-E6*Assumptions!E46/100</f>
        <v>-7883.1394824</v>
      </c>
      <c r="F17" s="4" t="n">
        <f aca="false">-F6*Assumptions!F46/100</f>
        <v>-8277.420210672</v>
      </c>
      <c r="G17" s="4" t="n">
        <f aca="false">-G6*Assumptions!G46/100</f>
        <v>-7823.5394827968</v>
      </c>
      <c r="H17" s="4" t="n">
        <f aca="false">-H6*Assumptions!H46/100</f>
        <v>-7267.4208091737</v>
      </c>
      <c r="I17" s="4" t="n">
        <f aca="false">-I6*Assumptions!I46/100</f>
        <v>-7556.6713886433</v>
      </c>
      <c r="J17" s="4" t="n">
        <f aca="false">-J6*Assumptions!J46/100</f>
        <v>-6876.5709636654</v>
      </c>
      <c r="K17" s="4" t="n">
        <f aca="false">-K6*Assumptions!K46/100</f>
        <v>-7117.25094739369</v>
      </c>
      <c r="L17" s="4" t="n">
        <f aca="false">-L6*Assumptions!L46/100</f>
        <v>-7366.35473055247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9797.776</v>
      </c>
      <c r="D19" s="0" t="n">
        <f aca="false">D15+D16+D17+D18</f>
        <v>8954.66364</v>
      </c>
      <c r="E19" s="0" t="n">
        <f aca="false">E15+E16+E17+E18</f>
        <v>9590.94678</v>
      </c>
      <c r="F19" s="0" t="n">
        <f aca="false">F15+F16+F17+F18</f>
        <v>10271.347107696</v>
      </c>
      <c r="G19" s="0" t="n">
        <f aca="false">G15+G16+G17+G18</f>
        <v>11680.2138757248</v>
      </c>
      <c r="H19" s="0" t="n">
        <f aca="false">H15+H16+H17+H18</f>
        <v>13240.4452752209</v>
      </c>
      <c r="I19" s="0" t="n">
        <f aca="false">I15+I16+I17+I18</f>
        <v>13904.2753551037</v>
      </c>
      <c r="J19" s="0" t="n">
        <f aca="false">J15+J16+J17+J18</f>
        <v>15442.8136498314</v>
      </c>
      <c r="K19" s="0" t="n">
        <f aca="false">K15+K16+K17+K18</f>
        <v>15983.3121275756</v>
      </c>
      <c r="L19" s="0" t="n">
        <f aca="false">L15+L16+L17+L18</f>
        <v>16542.7280520407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8826.82522522522</v>
      </c>
      <c r="D21" s="0" t="n">
        <f aca="false">D19*D20</f>
        <v>7267.80589237887</v>
      </c>
      <c r="E21" s="0" t="n">
        <f aca="false">E19*E20</f>
        <v>7012.8176240521</v>
      </c>
      <c r="F21" s="0" t="n">
        <f aca="false">F19*F20</f>
        <v>6766.05448603402</v>
      </c>
      <c r="G21" s="0" t="n">
        <f aca="false">G19*G20</f>
        <v>6931.63843655689</v>
      </c>
      <c r="H21" s="0" t="n">
        <f aca="false">H19*H20</f>
        <v>7078.88273213201</v>
      </c>
      <c r="I21" s="0" t="n">
        <f aca="false">I19*I20</f>
        <v>6697.11117212739</v>
      </c>
      <c r="J21" s="0" t="n">
        <f aca="false">J19*J20</f>
        <v>6701.04602005461</v>
      </c>
      <c r="K21" s="0" t="n">
        <f aca="false">K19*K20</f>
        <v>6248.27264032119</v>
      </c>
      <c r="L21" s="0" t="n">
        <f aca="false">L19*L20</f>
        <v>5826.0920565157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69356.546285398</v>
      </c>
    </row>
    <row r="31" customFormat="false" ht="15" hidden="false" customHeight="false" outlineLevel="0" collapsed="false">
      <c r="A31" s="0" t="s">
        <v>129</v>
      </c>
      <c r="B31" s="0" t="n">
        <f aca="false">L19</f>
        <v>16542.7280520407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228289.647118162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297769.104936732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228289.647118162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80400.0703799167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149756.616665315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151590.616665315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22.4062063834404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0.336088633478857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22.4062063834404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148884.552468366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14.2700601493177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8.16546755006658</v>
      </c>
      <c r="C4" s="0" t="n">
        <f aca="false">B4/Assumptions!$B$2-1</f>
        <v>-0.513090784134372</v>
      </c>
      <c r="D4" s="4" t="n">
        <f aca="false">Assumptions!$B$24</f>
        <v>0.3</v>
      </c>
      <c r="E4" s="4" t="n">
        <f aca="false">DCF_Bear!$B$43</f>
        <v>8.16546755006658</v>
      </c>
      <c r="F4" s="4" t="n">
        <f aca="false">DCF_Bear!$B$47</f>
        <v>5.44951109559783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15.3381650298141</v>
      </c>
      <c r="C5" s="0" t="n">
        <f aca="false">B5/Assumptions!$B$2-1</f>
        <v>-0.0853807376377993</v>
      </c>
      <c r="D5" s="4" t="n">
        <f aca="false">Assumptions!$B$38</f>
        <v>0.45</v>
      </c>
      <c r="E5" s="4" t="n">
        <f aca="false">DCF_Base!$B$43</f>
        <v>15.3381650298141</v>
      </c>
      <c r="F5" s="4" t="n">
        <f aca="false">DCF_Base!$B$47</f>
        <v>10.1059865490875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22.4062063834404</v>
      </c>
      <c r="C6" s="0" t="n">
        <f aca="false">B6/Assumptions!$B$2-1</f>
        <v>0.336088633478857</v>
      </c>
      <c r="D6" s="4" t="n">
        <f aca="false">Assumptions!$B$52</f>
        <v>0.25</v>
      </c>
      <c r="E6" s="4" t="n">
        <f aca="false">DCF_Bull!$B$43</f>
        <v>22.4062063834404</v>
      </c>
      <c r="F6" s="4" t="n">
        <f aca="false">DCF_Bull!$B$47</f>
        <v>14.2700601493177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14.9533661242964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14.9533661242964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-0.121486617835959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9.75006231309816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20.6139256162268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17.5957266905088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15.3381650298141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13.5873340666834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10.1059865490875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18.7829749591546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19.6280291085725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20.6139256162268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21.2018455519839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21.2018455519839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16.3308673886261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16.921135062838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17.5957266905088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18.3741016455135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19.2822057596858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14.431336642382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14.8580794129383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15.3381650298141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15.8822620622734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16.5040872422269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12.9181282627297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13.2351204856551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13.5873340666834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13.9809845395974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14.4238413216257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11.6854786900797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11.9261622581268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12.1909141829787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12.4835347314992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12.8086686742998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2026-10-16T17:46:13Z</dcterms:created>
  <dc:creator>openpyxl</dc:creator>
  <dc:description/>
  <dc:language>en-NZ</dc:language>
  <cp:lastModifiedBy/>
  <dcterms:modified xsi:type="dcterms:W3CDTF">2026-10-16T17:46:13Z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