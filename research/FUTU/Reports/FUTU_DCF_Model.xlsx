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<sst xmlns="http://schemas.openxmlformats.org/spreadsheetml/2006/main" count="360" uniqueCount="167">
  <si>
    <t xml:space="preserve">Ticker</t>
  </si>
  <si>
    <t xml:space="preserve">FUTU</t>
  </si>
  <si>
    <t xml:space="preserve">Company</t>
  </si>
  <si>
    <t xml:space="preserve">Futu Holdings Limited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</si>
  <si>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</si>
  <si>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</si>
  <si>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</si>
  <si>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</si>
  <si>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2026-10-02T20:00:01Z regular close (Yahoo regularMarketTime 1790971201, Friday)</t>
  </si>
  <si>
    <t xml:space="preserve">Balance sheet date</t>
  </si>
  <si>
    <t xml:space="preserve">2026-06-30</t>
  </si>
  <si>
    <t xml:space="preserve">Model</t>
  </si>
  <si>
    <t xml:space="preserve">Online broker FCFE capitalisation at cost of equity (engine route, net debt held at zero, capital retention charged on revenue growth)</t>
  </si>
  <si>
    <t xml:space="preserve">Currency (model)</t>
  </si>
  <si>
    <t xml:space="preserve">HKD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</si>
  <si>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</si>
  <si>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</si>
  <si>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</si>
  <si>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</si>
  <si>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</si>
  <si>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</si>
  <si>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</si>
  <si>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2026-10-03T22:04:36Z</t>
  </si>
  <si>
    <t xml:space="preserve">Drivers file</t>
  </si>
  <si>
    <t xml:space="preserve">FUTU_Drivers.json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</si>
  <si>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</si>
  <si>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</si>
  <si>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</si>
  <si>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Futu is valued as the equity stream of a capital-light, regulated broker: net income after SBC and tax, less the equity it has to retain to grow its margin book and client assets, discounted at an 11.5% cost of equity with no net-debt or excess-cash adjustment. The valuation is in HKD and converted to USD per ADS (1 ADS = 8 ordinary shares) at the pegged rate. The key judgment is that TTM revenue is a cyclical peak, so the base case starts flat-ish and the weights lean bear.
key_risks_to_valuation: Trading-volume cyclicality: TTM revenue reflects a record trading cycle; each 10% drop in revenue moves the base value by more than 10% because costs are partly fixed; CSRC: the RMB1.85bn penalty is provisioned but not final; the eight-agency campaign could widen beyond mainland account closures; Interest-rate cuts compressing the ~43% of revenue that is interest income; Capital retention ratio (wc_capture_pct -150): a stricter capital regime for margin financing would cut distributable FCFE; China-ADR structural risks (HFCAA/PCAOB, Cayman holding structure) that terminal multiples may not fully capture; Currency: the CSV currency label is wrong (USD vs actual HKD); any consumer that trusts it will mis-scale by ~7.85x</t>
  </si>
  <si>
    <t xml:space="preserve">Data sources</t>
  </si>
  <si>
    <t xml:space="preserve">price: Yahoo Finance chart API at inputs.price_as_of (NASDAQ, USD per ADS); 52-week range 80.50-202.53
fx: Yahoo Finance HKD=X close 2026-10-03; cross-checked to the company's HK$7.8420 convenience rate (30-Jun-2026)
financials: FUTU_Metrics.csv (SEC XBRL, 20-F FY2017-FY2025; values are HKD millions despite the CSV's USD label), plus the Q1-2026 (6-K 2026-05-28) and Q2-2026 (6-K 2026-08-20) earnings releases for H1-26 income statement, 30-Jun-2026 balance sheet, SBC and diluted share count, and the 2-Apr-2026 dividend 6-K (US$2.60/ADS, ~US$365m)
currency_bridge: Every flow is HKD millions; per-ADS value = HKD equity value / 140.02m ADS x 0.127448 USD/HKD. HKD-denominated twins are carried in the DCF JSON alongside the USD headline.
qualitative: FUTU_Analysis.json (2026-10-04)</t>
  </si>
  <si>
    <t xml:space="preserve">Scenario narrative: bear</t>
  </si>
  <si>
    <t xml:space="preserve">A retail-sentiment reversal (AI-stock unwind, HK IPO window shut) cuts trading volume and margin balances the way FY2022 did after the 2021 boom: revenue falls 22% then 5%, while Fed/HKMA cuts compress interest income at the same time. The eight-agency mainland campaign forces a faster, fuller exit of mainland clients than the mid-single-digit outflow management guided, the final CSRC penalty and the June-2026 US class action cost more than the provision, and compliance costs rise across eight licensing regimes. Pre-tax margin drops to ~50% before partly recovering to 53%, growth resumes at only 3-7%, and the stock keeps a structural China-ADR discount (10x terminal).</t>
  </si>
  <si>
    <t xml:space="preserve">Scenario narrative: base</t>
  </si>
  <si>
    <t xml:space="preserve">Trading activity normalises from the Q2-2026 record (HK$6.42tn volume, +78.8% YoY) as management already flagged Q3 moderation, so the next twelve months grow only ~3% on a record TTM base. Funded-account growth outside mainland China (Malaysia, Hong Kong, Singapore, Japan, newly licensed Thailand; 800k net adds guided for 2026) then compounds revenue at ~9-11%, fading to 4% by year 10. Mainland China (~13% of funded accounts) winds down over the two-year campaign window and is absorbed in the growth path. Margin fades from 62% to 57% pre-tax as rate cuts compress the client-cash/margin spread and overseas customer acquisition stays expensive. The CSRC penalty settles near the RMB1.85bn provision.</t>
  </si>
  <si>
    <t xml:space="preserve">Scenario narrative: bull</t>
  </si>
  <si>
    <t xml:space="preserve">The international franchise keeps compounding near its current pace: overseas funded accounts and client assets grow 30-40% for another year, wealth management and the PantherTrade virtual-asset/crypto-financing products diversify revenue toward recurring fees, and the HK IPO pipeline stays open. Revenue grows 12% off the record base and 13-16% in years 2-4, scale holds the pre-tax margin at ~62%, the CSRC matter closes at or below the proposed penalty with no further sanctions, and the ADR discount narrows enough to justify a 13x terminal FCFE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</si>
  <si>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</si>
  <si>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</si>
  <si>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</si>
  <si>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</si>
  <si>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</si>
  <si>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</si>
  <si>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</si>
  <si>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</si>
  <si>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</si>
  <si>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</si>
  <si>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</si>
  <si>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</si>
  <si>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</si>
  <si>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</si>
  <si>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</si>
  <si>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</si>
  <si>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</si>
  <si>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</si>
  <si>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</si>
  <si>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</si>
  <si>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</si>
  <si>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</si>
  <si>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</si>
  <si>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</si>
  <si>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</si>
  <si>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</si>
  <si>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</si>
  <si>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</si>
  <si>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</si>
  <si>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</si>
  <si>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</si>
  <si>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</si>
  <si>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</si>
  <si>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</si>
  <si>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</si>
  <si>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</si>
  <si>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</si>
  <si>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</si>
  <si>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</si>
  <si>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</si>
  <si>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</si>
  <si>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</si>
  <si>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</si>
  <si>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</si>
  <si>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</si>
  <si>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</si>
  <si>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</si>
  <si>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</si>
  <si>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</si>
  <si>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</si>
  <si>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</si>
  <si>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</si>
  <si>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</si>
  <si>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</si>
  <si>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</si>
  <si>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</si>
  <si>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</si>
  <si>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</si>
  <si>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</si>
  <si>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</si>
  <si>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</si>
  <si>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</si>
  <si>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</si>
  <si>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</si>
  <si>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</si>
  <si>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</si>
  <si>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</si>
  <si>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</si>
  <si>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</si>
  <si>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</si>
  <si>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</si>
  <si>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</si>
  <si>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</si>
  <si>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</si>
  <si>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</si>
  <si>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FUTU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</si>
  <si>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</si>
  <si>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</si>
  <si>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</si>
  <si>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</si>
  <si>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</si>
  <si>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</si>
  <si>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</si>
  <si>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</si>
  <si>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</si>
  <si>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</si>
  <si>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</si>
  <si>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</si>
  <si>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</si>
  <si>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</si>
  <si>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</si>
  <si>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</si>
  <si>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</si>
  <si>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</si>
  <si>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</si>
  <si>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</si>
  <si>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</si>
  <si>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</si>
  <si>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</si>
  <si>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</si>
  <si>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</si>
  <si>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</si>
  <si>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</si>
  <si>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</si>
  <si>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</si>
  <si>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</si>
  <si>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FUTU owner-FCF component DCF: base case (millions, HKD)</t>
  </si>
  <si>
    <t xml:space="preserve">FUTU owner-FCF component DCF: bull case (millions, HKD)</t>
  </si>
  <si>
    <t xml:space="preserve">FUTU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</si>
  <si>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</si>
  <si>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</si>
  <si>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</si>
  <si>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</si>
  <si>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</si>
  <si>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</si>
  <si>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</si>
  <si>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</si>
  <si>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</si>
  <si>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</si>
  <si>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</si>
  <si>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</si>
  <si>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</si>
  <si>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</si>
  <si>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</si>
  <si>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</si>
  <si>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</si>
  <si>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11.5%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</si>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</sst>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102.17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57.4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O2" s="0" t="n">
        <v>-190.219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B3" s="0" t="n">
        <v>311.663</v>
      </c>
      <c r="C3" s="0" t="n">
        <v>109.102</v>
      </c>
      <c r="D3" s="0" t="n">
        <v>202.561</v>
      </c>
      <c r="E3" s="0" t="n">
        <v>64.9935988551737</v>
      </c>
      <c r="F3" s="0" t="n">
        <v>3.378</v>
      </c>
      <c r="G3" s="0" t="n">
        <v>1.08386301870931</v>
      </c>
      <c r="H3" s="0" t="n">
        <v>7.678</v>
      </c>
      <c r="I3" s="0" t="n">
        <v>-8.102</v>
      </c>
      <c r="J3" s="0" t="n">
        <v>-2.59960277607544</v>
      </c>
      <c r="K3" s="0" t="n">
        <v>-0.14</v>
      </c>
      <c r="L3" s="0" t="n">
        <v>1855.328</v>
      </c>
      <c r="M3" s="0" t="n">
        <v>7.413</v>
      </c>
      <c r="N3" s="0" t="n">
        <v>1847.915</v>
      </c>
      <c r="O3" s="0" t="n">
        <v>-232.901</v>
      </c>
      <c r="S3" s="0" t="n">
        <v>375.263</v>
      </c>
      <c r="T3" s="0" t="n">
        <v>403.75</v>
      </c>
      <c r="U3" s="0" t="n">
        <v>9.769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811.343</v>
      </c>
      <c r="C4" s="0" t="n">
        <v>249.594</v>
      </c>
      <c r="D4" s="0" t="n">
        <v>561.749</v>
      </c>
      <c r="E4" s="0" t="n">
        <v>69.2369318524964</v>
      </c>
      <c r="F4" s="0" t="n">
        <v>200.8</v>
      </c>
      <c r="G4" s="0" t="n">
        <v>24.7490888563776</v>
      </c>
      <c r="H4" s="0" t="n">
        <v>209.127</v>
      </c>
      <c r="I4" s="0" t="n">
        <v>138.512</v>
      </c>
      <c r="J4" s="0" t="n">
        <v>17.0719412135188</v>
      </c>
      <c r="K4" s="0" t="n">
        <v>0.09</v>
      </c>
      <c r="L4" s="0" t="n">
        <v>4470.167</v>
      </c>
      <c r="M4" s="0" t="n">
        <v>18.791</v>
      </c>
      <c r="N4" s="0" t="n">
        <v>4451.376</v>
      </c>
      <c r="O4" s="0" t="n">
        <v>-150.193</v>
      </c>
      <c r="P4" s="0" t="n">
        <v>16062.932</v>
      </c>
      <c r="Q4" s="0" t="n">
        <v>14962.653</v>
      </c>
      <c r="S4" s="0" t="n">
        <v>215.617</v>
      </c>
      <c r="T4" s="0" t="n">
        <v>511.536122</v>
      </c>
      <c r="U4" s="0" t="n">
        <v>10.44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1061.555</v>
      </c>
      <c r="C5" s="0" t="n">
        <v>281.704</v>
      </c>
      <c r="D5" s="0" t="n">
        <v>779.851</v>
      </c>
      <c r="E5" s="0" t="n">
        <v>73.4630801041868</v>
      </c>
      <c r="F5" s="0" t="n">
        <v>178.493</v>
      </c>
      <c r="G5" s="0" t="n">
        <v>16.8142960091564</v>
      </c>
      <c r="H5" s="0" t="n">
        <v>195.04</v>
      </c>
      <c r="I5" s="0" t="n">
        <v>165.664</v>
      </c>
      <c r="J5" s="0" t="n">
        <v>15.6057858518871</v>
      </c>
      <c r="K5" s="0" t="n">
        <v>0.17</v>
      </c>
      <c r="L5" s="0" t="n">
        <v>1969.434</v>
      </c>
      <c r="M5" s="0" t="n">
        <v>118.341</v>
      </c>
      <c r="N5" s="0" t="n">
        <v>1851.093</v>
      </c>
      <c r="O5" s="0" t="n">
        <v>2548.553</v>
      </c>
      <c r="P5" s="0" t="n">
        <v>21399.924</v>
      </c>
      <c r="Q5" s="0" t="n">
        <v>18851.371</v>
      </c>
      <c r="S5" s="0" t="n">
        <v>362.574</v>
      </c>
      <c r="T5" s="0" t="n">
        <v>917.897426</v>
      </c>
      <c r="U5" s="0" t="n">
        <v>15.967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3310.822</v>
      </c>
      <c r="C6" s="0" t="n">
        <v>695.954</v>
      </c>
      <c r="D6" s="0" t="n">
        <v>2614.868</v>
      </c>
      <c r="E6" s="0" t="n">
        <v>78.9794196124105</v>
      </c>
      <c r="F6" s="0" t="n">
        <v>1450.623</v>
      </c>
      <c r="G6" s="0" t="n">
        <v>43.8145874347821</v>
      </c>
      <c r="H6" s="0" t="n">
        <v>1477.854</v>
      </c>
      <c r="I6" s="0" t="n">
        <v>1325.523</v>
      </c>
      <c r="J6" s="0" t="n">
        <v>40.0360695923852</v>
      </c>
      <c r="K6" s="0" t="n">
        <v>1.28</v>
      </c>
      <c r="L6" s="0" t="n">
        <v>20456.717</v>
      </c>
      <c r="M6" s="0" t="n">
        <v>44.649</v>
      </c>
      <c r="N6" s="0" t="n">
        <v>20412.068</v>
      </c>
      <c r="O6" s="0" t="n">
        <v>8307.69</v>
      </c>
      <c r="P6" s="0" t="n">
        <v>71337.767</v>
      </c>
      <c r="Q6" s="0" t="n">
        <v>63030.077</v>
      </c>
      <c r="S6" s="0" t="n">
        <v>1034.668</v>
      </c>
      <c r="T6" s="0" t="n">
        <v>1050.143014</v>
      </c>
      <c r="U6" s="0" t="n">
        <v>32.573</v>
      </c>
      <c r="AA6" s="0" t="s">
        <v>18</v>
      </c>
      <c r="AB6" s="0" t="s">
        <v>16</v>
      </c>
    </row>
    <row r="7" customFormat="false" ht="15" hidden="false" customHeight="false" outlineLevel="0" collapsed="false">
      <c r="A7" s="0" t="s">
        <v>69</v>
      </c>
      <c r="B7" s="0" t="n">
        <v>7115.32</v>
      </c>
      <c r="C7" s="0" t="n">
        <v>1206.064</v>
      </c>
      <c r="D7" s="0" t="n">
        <v>5909.256</v>
      </c>
      <c r="E7" s="0" t="n">
        <v>83.0497574248242</v>
      </c>
      <c r="F7" s="0" t="n">
        <v>3182.813</v>
      </c>
      <c r="G7" s="0" t="n">
        <v>44.7318321593407</v>
      </c>
      <c r="H7" s="0" t="n">
        <v>3219.249</v>
      </c>
      <c r="I7" s="0" t="n">
        <v>2810.21</v>
      </c>
      <c r="J7" s="0" t="n">
        <v>39.495201902374</v>
      </c>
      <c r="K7" s="0" t="n">
        <v>2.34</v>
      </c>
      <c r="L7" s="0" t="n">
        <v>6011.971</v>
      </c>
      <c r="M7" s="0" t="n">
        <v>70.456</v>
      </c>
      <c r="N7" s="0" t="n">
        <v>5941.515</v>
      </c>
      <c r="O7" s="0" t="n">
        <v>20985.559</v>
      </c>
      <c r="P7" s="0" t="n">
        <v>101538.514</v>
      </c>
      <c r="Q7" s="0" t="n">
        <v>80552.955</v>
      </c>
      <c r="S7" s="0" t="n">
        <v>4555.096</v>
      </c>
      <c r="T7" s="0" t="n">
        <v>1219.672508</v>
      </c>
      <c r="U7" s="0" t="n">
        <v>98.913</v>
      </c>
      <c r="AA7" s="0" t="s">
        <v>18</v>
      </c>
      <c r="AB7" s="0" t="s">
        <v>16</v>
      </c>
    </row>
    <row r="8" customFormat="false" ht="15" hidden="false" customHeight="false" outlineLevel="0" collapsed="false">
      <c r="A8" s="0" t="s">
        <v>70</v>
      </c>
      <c r="B8" s="0" t="n">
        <v>7614.027</v>
      </c>
      <c r="C8" s="0" t="n">
        <v>996.132</v>
      </c>
      <c r="D8" s="0" t="n">
        <v>6617.895</v>
      </c>
      <c r="E8" s="0" t="n">
        <v>86.9171464718998</v>
      </c>
      <c r="F8" s="0" t="n">
        <v>3568.902</v>
      </c>
      <c r="G8" s="0" t="n">
        <v>46.8727258256373</v>
      </c>
      <c r="H8" s="0" t="n">
        <v>3623.616</v>
      </c>
      <c r="I8" s="0" t="n">
        <v>2926.944</v>
      </c>
      <c r="J8" s="0" t="n">
        <v>38.4414712477379</v>
      </c>
      <c r="K8" s="0" t="n">
        <v>2.57</v>
      </c>
      <c r="L8" s="0" t="n">
        <v>3474.931</v>
      </c>
      <c r="M8" s="0" t="n">
        <v>90.52</v>
      </c>
      <c r="N8" s="0" t="n">
        <v>3384.411</v>
      </c>
      <c r="O8" s="0" t="n">
        <v>20861.779</v>
      </c>
      <c r="P8" s="0" t="n">
        <v>94502.83</v>
      </c>
      <c r="Q8" s="0" t="n">
        <v>73641.051</v>
      </c>
      <c r="S8" s="0" t="n">
        <v>5028.898</v>
      </c>
      <c r="T8" s="0" t="n">
        <v>1151.021697</v>
      </c>
      <c r="U8" s="0" t="n">
        <v>204.529</v>
      </c>
      <c r="AA8" s="0" t="s">
        <v>18</v>
      </c>
      <c r="AB8" s="0" t="s">
        <v>16</v>
      </c>
    </row>
    <row r="9" customFormat="false" ht="15" hidden="false" customHeight="false" outlineLevel="0" collapsed="false">
      <c r="A9" s="0" t="s">
        <v>71</v>
      </c>
      <c r="B9" s="0" t="n">
        <v>10008.418</v>
      </c>
      <c r="C9" s="0" t="n">
        <v>1536.23</v>
      </c>
      <c r="D9" s="0" t="n">
        <v>8472.188</v>
      </c>
      <c r="E9" s="0" t="n">
        <v>84.650621107152</v>
      </c>
      <c r="F9" s="0" t="n">
        <v>5007.483</v>
      </c>
      <c r="G9" s="0" t="n">
        <v>50.032712462649</v>
      </c>
      <c r="H9" s="0" t="n">
        <v>5068.332</v>
      </c>
      <c r="I9" s="0" t="n">
        <v>4281.474</v>
      </c>
      <c r="J9" s="0" t="n">
        <v>42.7787288660406</v>
      </c>
      <c r="K9" s="0" t="n">
        <v>3.88</v>
      </c>
      <c r="L9" s="0" t="n">
        <v>-6337.396</v>
      </c>
      <c r="M9" s="0" t="n">
        <v>77.763</v>
      </c>
      <c r="N9" s="0" t="n">
        <v>-6415.159</v>
      </c>
      <c r="O9" s="0" t="n">
        <v>24571.731</v>
      </c>
      <c r="P9" s="0" t="n">
        <v>97135.847</v>
      </c>
      <c r="Q9" s="0" t="n">
        <v>72564.116</v>
      </c>
      <c r="S9" s="0" t="n">
        <v>4937.538</v>
      </c>
      <c r="T9" s="0" t="n">
        <v>1119.653571</v>
      </c>
      <c r="U9" s="0" t="n">
        <v>290.831</v>
      </c>
      <c r="AA9" s="0" t="s">
        <v>18</v>
      </c>
      <c r="AB9" s="0" t="s">
        <v>16</v>
      </c>
    </row>
    <row r="10" customFormat="false" ht="15" hidden="false" customHeight="false" outlineLevel="0" collapsed="false">
      <c r="A10" s="0" t="s">
        <v>72</v>
      </c>
      <c r="B10" s="0" t="n">
        <v>13590.125</v>
      </c>
      <c r="C10" s="0" t="n">
        <v>2445.471</v>
      </c>
      <c r="D10" s="0" t="n">
        <v>11144.654</v>
      </c>
      <c r="E10" s="0" t="n">
        <v>82.0055297504622</v>
      </c>
      <c r="F10" s="0" t="n">
        <v>6621.704</v>
      </c>
      <c r="G10" s="0" t="n">
        <v>48.7243789148371</v>
      </c>
      <c r="H10" s="0" t="n">
        <v>6691.621</v>
      </c>
      <c r="I10" s="0" t="n">
        <v>5443.094</v>
      </c>
      <c r="J10" s="0" t="n">
        <v>40.0518317528352</v>
      </c>
      <c r="K10" s="0" t="n">
        <v>4.93</v>
      </c>
      <c r="L10" s="0" t="n">
        <v>30996.323</v>
      </c>
      <c r="M10" s="0" t="n">
        <v>167.521</v>
      </c>
      <c r="N10" s="0" t="n">
        <v>30828.802</v>
      </c>
      <c r="O10" s="0" t="n">
        <v>28011.241</v>
      </c>
      <c r="P10" s="0" t="n">
        <v>158756.933</v>
      </c>
      <c r="Q10" s="0" t="n">
        <v>130752.472</v>
      </c>
      <c r="S10" s="0" t="n">
        <v>11688.383</v>
      </c>
      <c r="T10" s="0" t="n">
        <v>1120.478183</v>
      </c>
      <c r="U10" s="0" t="n">
        <v>334.926</v>
      </c>
      <c r="AA10" s="0" t="s">
        <v>18</v>
      </c>
      <c r="AB10" s="0" t="s">
        <v>16</v>
      </c>
    </row>
    <row r="11" customFormat="false" ht="15" hidden="false" customHeight="false" outlineLevel="0" collapsed="false">
      <c r="A11" s="0" t="s">
        <v>73</v>
      </c>
      <c r="B11" s="0" t="n">
        <v>22846.898</v>
      </c>
      <c r="C11" s="0" t="n">
        <v>2942.355</v>
      </c>
      <c r="D11" s="0" t="n">
        <v>19904.543</v>
      </c>
      <c r="E11" s="0" t="n">
        <v>87.1214245364951</v>
      </c>
      <c r="F11" s="0" t="n">
        <v>14080.607</v>
      </c>
      <c r="G11" s="0" t="n">
        <v>61.630279086465</v>
      </c>
      <c r="H11" s="0" t="n">
        <v>14152.92</v>
      </c>
      <c r="I11" s="0" t="n">
        <v>11337.721</v>
      </c>
      <c r="J11" s="0" t="n">
        <v>49.6247718180385</v>
      </c>
      <c r="K11" s="0" t="n">
        <v>1.31</v>
      </c>
      <c r="L11" s="0" t="n">
        <v>40788.133</v>
      </c>
      <c r="M11" s="0" t="n">
        <v>54.732</v>
      </c>
      <c r="N11" s="0" t="n">
        <v>40733.401</v>
      </c>
      <c r="O11" s="0" t="n">
        <v>40321.122</v>
      </c>
      <c r="P11" s="0" t="n">
        <v>228436.876</v>
      </c>
      <c r="Q11" s="0" t="n">
        <v>188115.754</v>
      </c>
      <c r="S11" s="0" t="n">
        <v>10465.888</v>
      </c>
      <c r="T11" s="0" t="n">
        <v>1130.846701</v>
      </c>
      <c r="U11" s="0" t="n">
        <v>343.024</v>
      </c>
      <c r="AA11" s="0" t="s">
        <v>18</v>
      </c>
      <c r="AB1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102.17</v>
      </c>
    </row>
    <row r="3" customFormat="false" ht="15" hidden="false" customHeight="false" outlineLevel="0" collapsed="false">
      <c r="A3" s="0" t="s">
        <v>77</v>
      </c>
      <c r="B3" s="3" t="n">
        <v>140.02</v>
      </c>
    </row>
    <row r="4" customFormat="false" ht="15" hidden="false" customHeight="false" outlineLevel="0" collapsed="false">
      <c r="A4" s="0" t="s">
        <v>78</v>
      </c>
      <c r="B4" s="3" t="n">
        <v>0</v>
      </c>
    </row>
    <row r="5" customFormat="false" ht="15" hidden="false" customHeight="false" outlineLevel="0" collapsed="false">
      <c r="A5" s="0" t="s">
        <v>79</v>
      </c>
      <c r="B5" s="3" t="n">
        <v>-2091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25897.6</v>
      </c>
    </row>
    <row r="8" customFormat="false" ht="15" hidden="false" customHeight="false" outlineLevel="0" collapsed="false">
      <c r="A8" s="0" t="s">
        <v>82</v>
      </c>
      <c r="B8" s="3" t="s">
        <v>83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0.127448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-22</v>
      </c>
      <c r="D13" s="3" t="n">
        <v>-5</v>
      </c>
      <c r="E13" s="3" t="n">
        <v>6</v>
      </c>
      <c r="F13" s="3" t="n">
        <v>7</v>
      </c>
      <c r="G13" s="3" t="n">
        <v>6</v>
      </c>
      <c r="H13" s="3" t="n">
        <v>5</v>
      </c>
      <c r="I13" s="3" t="n">
        <v>4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99</v>
      </c>
      <c r="C14" s="3" t="n">
        <v>50</v>
      </c>
      <c r="D14" s="3" t="n">
        <v>50</v>
      </c>
      <c r="E14" s="3" t="n">
        <v>52</v>
      </c>
      <c r="F14" s="3" t="n">
        <v>53</v>
      </c>
      <c r="G14" s="3" t="n">
        <v>53</v>
      </c>
      <c r="H14" s="3" t="n">
        <v>53</v>
      </c>
      <c r="I14" s="3" t="n">
        <v>53</v>
      </c>
      <c r="J14" s="3" t="n">
        <v>53</v>
      </c>
      <c r="K14" s="3" t="n">
        <v>53</v>
      </c>
      <c r="L14" s="3" t="n">
        <v>53</v>
      </c>
    </row>
    <row r="15" customFormat="false" ht="15" hidden="false" customHeight="false" outlineLevel="0" collapsed="false">
      <c r="A15" s="0" t="s">
        <v>100</v>
      </c>
      <c r="C15" s="3" t="n">
        <v>1.8</v>
      </c>
      <c r="D15" s="3" t="n">
        <v>1.8</v>
      </c>
      <c r="E15" s="3" t="n">
        <v>1.8</v>
      </c>
      <c r="F15" s="3" t="n">
        <v>1.8</v>
      </c>
      <c r="G15" s="3" t="n">
        <v>1.8</v>
      </c>
      <c r="H15" s="3" t="n">
        <v>1.8</v>
      </c>
      <c r="I15" s="3" t="n">
        <v>1.8</v>
      </c>
      <c r="J15" s="3" t="n">
        <v>1.8</v>
      </c>
      <c r="K15" s="3" t="n">
        <v>1.8</v>
      </c>
      <c r="L15" s="3" t="n">
        <v>1.8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0.35</v>
      </c>
      <c r="D17" s="3" t="n">
        <v>0.35</v>
      </c>
      <c r="E17" s="3" t="n">
        <v>0.35</v>
      </c>
      <c r="F17" s="3" t="n">
        <v>0.35</v>
      </c>
      <c r="G17" s="3" t="n">
        <v>0.35</v>
      </c>
      <c r="H17" s="3" t="n">
        <v>0.35</v>
      </c>
      <c r="I17" s="3" t="n">
        <v>0.35</v>
      </c>
      <c r="J17" s="3" t="n">
        <v>0.35</v>
      </c>
      <c r="K17" s="3" t="n">
        <v>0.35</v>
      </c>
      <c r="L17" s="3" t="n">
        <v>0.35</v>
      </c>
    </row>
    <row r="18" customFormat="false" ht="15" hidden="false" customHeight="false" outlineLevel="0" collapsed="false">
      <c r="A18" s="0" t="s">
        <v>103</v>
      </c>
      <c r="C18" s="3" t="n">
        <v>0.5</v>
      </c>
      <c r="D18" s="3" t="n">
        <v>0.5</v>
      </c>
      <c r="E18" s="3" t="n">
        <v>0.5</v>
      </c>
      <c r="F18" s="3" t="n">
        <v>0.5</v>
      </c>
      <c r="G18" s="3" t="n">
        <v>0.5</v>
      </c>
      <c r="H18" s="3" t="n">
        <v>0.5</v>
      </c>
      <c r="I18" s="3" t="n">
        <v>0.5</v>
      </c>
      <c r="J18" s="3" t="n">
        <v>0.5</v>
      </c>
      <c r="K18" s="3" t="n">
        <v>0.5</v>
      </c>
      <c r="L18" s="3" t="n">
        <v>0.5</v>
      </c>
    </row>
    <row r="19" customFormat="false" ht="15" hidden="false" customHeight="false" outlineLevel="0" collapsed="false">
      <c r="A19" s="0" t="s">
        <v>104</v>
      </c>
      <c r="C19" s="3" t="n">
        <v>18</v>
      </c>
      <c r="D19" s="3" t="n">
        <v>18</v>
      </c>
      <c r="E19" s="3" t="n">
        <v>18</v>
      </c>
      <c r="F19" s="3" t="n">
        <v>18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105</v>
      </c>
      <c r="B20" s="3" t="n">
        <v>11.5</v>
      </c>
    </row>
    <row r="21" customFormat="false" ht="15" hidden="false" customHeight="false" outlineLevel="0" collapsed="false">
      <c r="A21" s="0" t="s">
        <v>106</v>
      </c>
      <c r="B21" s="3" t="n">
        <v>2.5</v>
      </c>
    </row>
    <row r="22" customFormat="false" ht="15" hidden="false" customHeight="false" outlineLevel="0" collapsed="false">
      <c r="A22" s="0" t="s">
        <v>107</v>
      </c>
      <c r="B22" s="3" t="n">
        <v>10</v>
      </c>
    </row>
    <row r="23" customFormat="false" ht="15" hidden="false" customHeight="false" outlineLevel="0" collapsed="false">
      <c r="A23" s="0" t="s">
        <v>108</v>
      </c>
      <c r="B23" s="3" t="n">
        <v>-180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3</v>
      </c>
      <c r="D27" s="3" t="n">
        <v>9</v>
      </c>
      <c r="E27" s="3" t="n">
        <v>11</v>
      </c>
      <c r="F27" s="3" t="n">
        <v>10</v>
      </c>
      <c r="G27" s="3" t="n">
        <v>9</v>
      </c>
      <c r="H27" s="3" t="n">
        <v>8</v>
      </c>
      <c r="I27" s="3" t="n">
        <v>7</v>
      </c>
      <c r="J27" s="3" t="n">
        <v>6</v>
      </c>
      <c r="K27" s="3" t="n">
        <v>5</v>
      </c>
      <c r="L27" s="3" t="n">
        <v>4</v>
      </c>
    </row>
    <row r="28" customFormat="false" ht="15" hidden="false" customHeight="false" outlineLevel="0" collapsed="false">
      <c r="A28" s="0" t="s">
        <v>99</v>
      </c>
      <c r="C28" s="3" t="n">
        <v>60</v>
      </c>
      <c r="D28" s="3" t="n">
        <v>58.5</v>
      </c>
      <c r="E28" s="3" t="n">
        <v>58</v>
      </c>
      <c r="F28" s="3" t="n">
        <v>57.5</v>
      </c>
      <c r="G28" s="3" t="n">
        <v>57</v>
      </c>
      <c r="H28" s="3" t="n">
        <v>57</v>
      </c>
      <c r="I28" s="3" t="n">
        <v>57</v>
      </c>
      <c r="J28" s="3" t="n">
        <v>57</v>
      </c>
      <c r="K28" s="3" t="n">
        <v>57</v>
      </c>
      <c r="L28" s="3" t="n">
        <v>57</v>
      </c>
    </row>
    <row r="29" customFormat="false" ht="15" hidden="false" customHeight="false" outlineLevel="0" collapsed="false">
      <c r="A29" s="0" t="s">
        <v>100</v>
      </c>
      <c r="C29" s="3" t="n">
        <v>1.5</v>
      </c>
      <c r="D29" s="3" t="n">
        <v>1.5</v>
      </c>
      <c r="E29" s="3" t="n">
        <v>1.5</v>
      </c>
      <c r="F29" s="3" t="n">
        <v>1.5</v>
      </c>
      <c r="G29" s="3" t="n">
        <v>1.5</v>
      </c>
      <c r="H29" s="3" t="n">
        <v>1.5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0.3</v>
      </c>
      <c r="D31" s="3" t="n">
        <v>0.3</v>
      </c>
      <c r="E31" s="3" t="n">
        <v>0.3</v>
      </c>
      <c r="F31" s="3" t="n">
        <v>0.3</v>
      </c>
      <c r="G31" s="3" t="n">
        <v>0.3</v>
      </c>
      <c r="H31" s="3" t="n">
        <v>0.3</v>
      </c>
      <c r="I31" s="3" t="n">
        <v>0.3</v>
      </c>
      <c r="J31" s="3" t="n">
        <v>0.3</v>
      </c>
      <c r="K31" s="3" t="n">
        <v>0.3</v>
      </c>
      <c r="L31" s="3" t="n">
        <v>0.3</v>
      </c>
    </row>
    <row r="32" customFormat="false" ht="15" hidden="false" customHeight="false" outlineLevel="0" collapsed="false">
      <c r="A32" s="0" t="s">
        <v>103</v>
      </c>
      <c r="C32" s="3" t="n">
        <v>0.5</v>
      </c>
      <c r="D32" s="3" t="n">
        <v>0.5</v>
      </c>
      <c r="E32" s="3" t="n">
        <v>0.5</v>
      </c>
      <c r="F32" s="3" t="n">
        <v>0.5</v>
      </c>
      <c r="G32" s="3" t="n">
        <v>0.5</v>
      </c>
      <c r="H32" s="3" t="n">
        <v>0.5</v>
      </c>
      <c r="I32" s="3" t="n">
        <v>0.5</v>
      </c>
      <c r="J32" s="3" t="n">
        <v>0.5</v>
      </c>
      <c r="K32" s="3" t="n">
        <v>0.5</v>
      </c>
      <c r="L32" s="3" t="n">
        <v>0.5</v>
      </c>
    </row>
    <row r="33" customFormat="false" ht="15" hidden="false" customHeight="false" outlineLevel="0" collapsed="false">
      <c r="A33" s="0" t="s">
        <v>104</v>
      </c>
      <c r="C33" s="3" t="n">
        <v>17</v>
      </c>
      <c r="D33" s="3" t="n">
        <v>17.5</v>
      </c>
      <c r="E33" s="3" t="n">
        <v>18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105</v>
      </c>
      <c r="B34" s="3" t="n">
        <v>11.5</v>
      </c>
    </row>
    <row r="35" customFormat="false" ht="15" hidden="false" customHeight="false" outlineLevel="0" collapsed="false">
      <c r="A35" s="0" t="s">
        <v>106</v>
      </c>
      <c r="B35" s="3" t="n">
        <v>3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-150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12</v>
      </c>
      <c r="D41" s="3" t="n">
        <v>16</v>
      </c>
      <c r="E41" s="3" t="n">
        <v>15</v>
      </c>
      <c r="F41" s="3" t="n">
        <v>13</v>
      </c>
      <c r="G41" s="3" t="n">
        <v>11</v>
      </c>
      <c r="H41" s="3" t="n">
        <v>10</v>
      </c>
      <c r="I41" s="3" t="n">
        <v>9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99</v>
      </c>
      <c r="C42" s="3" t="n">
        <v>62</v>
      </c>
      <c r="D42" s="3" t="n">
        <v>62</v>
      </c>
      <c r="E42" s="3" t="n">
        <v>62</v>
      </c>
      <c r="F42" s="3" t="n">
        <v>62</v>
      </c>
      <c r="G42" s="3" t="n">
        <v>62</v>
      </c>
      <c r="H42" s="3" t="n">
        <v>62</v>
      </c>
      <c r="I42" s="3" t="n">
        <v>62</v>
      </c>
      <c r="J42" s="3" t="n">
        <v>62</v>
      </c>
      <c r="K42" s="3" t="n">
        <v>62</v>
      </c>
      <c r="L42" s="3" t="n">
        <v>62</v>
      </c>
    </row>
    <row r="43" customFormat="false" ht="15" hidden="false" customHeight="false" outlineLevel="0" collapsed="false">
      <c r="A43" s="0" t="s">
        <v>100</v>
      </c>
      <c r="C43" s="3" t="n">
        <v>1.4</v>
      </c>
      <c r="D43" s="3" t="n">
        <v>1.4</v>
      </c>
      <c r="E43" s="3" t="n">
        <v>1.4</v>
      </c>
      <c r="F43" s="3" t="n">
        <v>1.4</v>
      </c>
      <c r="G43" s="3" t="n">
        <v>1.4</v>
      </c>
      <c r="H43" s="3" t="n">
        <v>1.4</v>
      </c>
      <c r="I43" s="3" t="n">
        <v>1.4</v>
      </c>
      <c r="J43" s="3" t="n">
        <v>1.4</v>
      </c>
      <c r="K43" s="3" t="n">
        <v>1.4</v>
      </c>
      <c r="L43" s="3" t="n">
        <v>1.4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0.3</v>
      </c>
      <c r="D45" s="3" t="n">
        <v>0.3</v>
      </c>
      <c r="E45" s="3" t="n">
        <v>0.3</v>
      </c>
      <c r="F45" s="3" t="n">
        <v>0.3</v>
      </c>
      <c r="G45" s="3" t="n">
        <v>0.3</v>
      </c>
      <c r="H45" s="3" t="n">
        <v>0.3</v>
      </c>
      <c r="I45" s="3" t="n">
        <v>0.3</v>
      </c>
      <c r="J45" s="3" t="n">
        <v>0.3</v>
      </c>
      <c r="K45" s="3" t="n">
        <v>0.3</v>
      </c>
      <c r="L45" s="3" t="n">
        <v>0.3</v>
      </c>
    </row>
    <row r="46" customFormat="false" ht="15" hidden="false" customHeight="false" outlineLevel="0" collapsed="false">
      <c r="A46" s="0" t="s">
        <v>103</v>
      </c>
      <c r="C46" s="3" t="n">
        <v>0.5</v>
      </c>
      <c r="D46" s="3" t="n">
        <v>0.5</v>
      </c>
      <c r="E46" s="3" t="n">
        <v>0.5</v>
      </c>
      <c r="F46" s="3" t="n">
        <v>0.5</v>
      </c>
      <c r="G46" s="3" t="n">
        <v>0.5</v>
      </c>
      <c r="H46" s="3" t="n">
        <v>0.5</v>
      </c>
      <c r="I46" s="3" t="n">
        <v>0.5</v>
      </c>
      <c r="J46" s="3" t="n">
        <v>0.5</v>
      </c>
      <c r="K46" s="3" t="n">
        <v>0.5</v>
      </c>
      <c r="L46" s="3" t="n">
        <v>0.5</v>
      </c>
    </row>
    <row r="47" customFormat="false" ht="15" hidden="false" customHeight="false" outlineLevel="0" collapsed="false">
      <c r="A47" s="0" t="s">
        <v>104</v>
      </c>
      <c r="C47" s="3" t="n">
        <v>17</v>
      </c>
      <c r="D47" s="3" t="n">
        <v>17</v>
      </c>
      <c r="E47" s="3" t="n">
        <v>17</v>
      </c>
      <c r="F47" s="3" t="n">
        <v>17</v>
      </c>
      <c r="G47" s="3" t="n">
        <v>17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105</v>
      </c>
      <c r="B48" s="3" t="n">
        <v>11.5</v>
      </c>
    </row>
    <row r="49" customFormat="false" ht="15" hidden="false" customHeight="false" outlineLevel="0" collapsed="false">
      <c r="A49" s="0" t="s">
        <v>106</v>
      </c>
      <c r="B49" s="3" t="n">
        <v>3.5</v>
      </c>
    </row>
    <row r="50" customFormat="false" ht="15" hidden="false" customHeight="false" outlineLevel="0" collapsed="false">
      <c r="A50" s="0" t="s">
        <v>107</v>
      </c>
      <c r="B50" s="3" t="n">
        <v>13</v>
      </c>
    </row>
    <row r="51" customFormat="false" ht="15" hidden="false" customHeight="false" outlineLevel="0" collapsed="false">
      <c r="A51" s="0" t="s">
        <v>108</v>
      </c>
      <c r="B51" s="3" t="n">
        <v>-130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-22</v>
      </c>
      <c r="D5" s="4" t="n">
        <f aca="false">Assumptions!D13</f>
        <v>-5</v>
      </c>
      <c r="E5" s="4" t="n">
        <f aca="false">Assumptions!E13</f>
        <v>6</v>
      </c>
      <c r="F5" s="4" t="n">
        <f aca="false">Assumptions!F13</f>
        <v>7</v>
      </c>
      <c r="G5" s="4" t="n">
        <f aca="false">Assumptions!G13</f>
        <v>6</v>
      </c>
      <c r="H5" s="4" t="n">
        <f aca="false">Assumptions!H13</f>
        <v>5</v>
      </c>
      <c r="I5" s="4" t="n">
        <f aca="false">Assumptions!I13</f>
        <v>4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25897.6</v>
      </c>
      <c r="C6" s="0" t="n">
        <f aca="false">B6*(1+C5/100)</f>
        <v>20200.128</v>
      </c>
      <c r="D6" s="0" t="n">
        <f aca="false">C6*(1+D5/100)</f>
        <v>19190.1216</v>
      </c>
      <c r="E6" s="0" t="n">
        <f aca="false">D6*(1+E5/100)</f>
        <v>20341.528896</v>
      </c>
      <c r="F6" s="0" t="n">
        <f aca="false">E6*(1+F5/100)</f>
        <v>21765.43591872</v>
      </c>
      <c r="G6" s="0" t="n">
        <f aca="false">F6*(1+G5/100)</f>
        <v>23071.3620738432</v>
      </c>
      <c r="H6" s="0" t="n">
        <f aca="false">G6*(1+H5/100)</f>
        <v>24224.9301775354</v>
      </c>
      <c r="I6" s="0" t="n">
        <f aca="false">H6*(1+I5/100)</f>
        <v>25193.9273846368</v>
      </c>
      <c r="J6" s="0" t="n">
        <f aca="false">I6*(1+J5/100)</f>
        <v>25949.7452061759</v>
      </c>
      <c r="K6" s="0" t="n">
        <f aca="false">J6*(1+K5/100)</f>
        <v>26728.2375623612</v>
      </c>
      <c r="L6" s="0" t="n">
        <f aca="false">K6*(1+L5/100)</f>
        <v>27530.084689232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50</v>
      </c>
      <c r="D7" s="4" t="n">
        <f aca="false">Assumptions!D14</f>
        <v>50</v>
      </c>
      <c r="E7" s="4" t="n">
        <f aca="false">Assumptions!E14</f>
        <v>52</v>
      </c>
      <c r="F7" s="4" t="n">
        <f aca="false">Assumptions!F14</f>
        <v>53</v>
      </c>
      <c r="G7" s="4" t="n">
        <f aca="false">Assumptions!G14</f>
        <v>53</v>
      </c>
      <c r="H7" s="4" t="n">
        <f aca="false">Assumptions!H14</f>
        <v>53</v>
      </c>
      <c r="I7" s="4" t="n">
        <f aca="false">Assumptions!I14</f>
        <v>53</v>
      </c>
      <c r="J7" s="4" t="n">
        <f aca="false">Assumptions!J14</f>
        <v>53</v>
      </c>
      <c r="K7" s="4" t="n">
        <f aca="false">Assumptions!K14</f>
        <v>53</v>
      </c>
      <c r="L7" s="4" t="n">
        <f aca="false">Assumptions!L14</f>
        <v>53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10100.064</v>
      </c>
      <c r="D8" s="0" t="n">
        <f aca="false">D6*D7/100</f>
        <v>9595.0608</v>
      </c>
      <c r="E8" s="0" t="n">
        <f aca="false">E6*E7/100</f>
        <v>10577.59502592</v>
      </c>
      <c r="F8" s="0" t="n">
        <f aca="false">F6*F7/100</f>
        <v>11535.6810369216</v>
      </c>
      <c r="G8" s="0" t="n">
        <f aca="false">G6*G7/100</f>
        <v>12227.8218991369</v>
      </c>
      <c r="H8" s="0" t="n">
        <f aca="false">H6*H7/100</f>
        <v>12839.2129940937</v>
      </c>
      <c r="I8" s="0" t="n">
        <f aca="false">I6*I7/100</f>
        <v>13352.7815138575</v>
      </c>
      <c r="J8" s="0" t="n">
        <f aca="false">J6*J7/100</f>
        <v>13753.3649592732</v>
      </c>
      <c r="K8" s="0" t="n">
        <f aca="false">K6*K7/100</f>
        <v>14165.9659080514</v>
      </c>
      <c r="L8" s="0" t="n">
        <f aca="false">L6*L7/100</f>
        <v>14590.944885293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1.8</v>
      </c>
      <c r="D9" s="4" t="n">
        <f aca="false">Assumptions!D15</f>
        <v>1.8</v>
      </c>
      <c r="E9" s="4" t="n">
        <f aca="false">Assumptions!E15</f>
        <v>1.8</v>
      </c>
      <c r="F9" s="4" t="n">
        <f aca="false">Assumptions!F15</f>
        <v>1.8</v>
      </c>
      <c r="G9" s="4" t="n">
        <f aca="false">Assumptions!G15</f>
        <v>1.8</v>
      </c>
      <c r="H9" s="4" t="n">
        <f aca="false">Assumptions!H15</f>
        <v>1.8</v>
      </c>
      <c r="I9" s="4" t="n">
        <f aca="false">Assumptions!I15</f>
        <v>1.8</v>
      </c>
      <c r="J9" s="4" t="n">
        <f aca="false">Assumptions!J15</f>
        <v>1.8</v>
      </c>
      <c r="K9" s="4" t="n">
        <f aca="false">Assumptions!K15</f>
        <v>1.8</v>
      </c>
      <c r="L9" s="4" t="n">
        <f aca="false">Assumptions!L15</f>
        <v>1.8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-363.602304</v>
      </c>
      <c r="D10" s="0" t="n">
        <f aca="false">-D6*D9/100</f>
        <v>-345.4221888</v>
      </c>
      <c r="E10" s="0" t="n">
        <f aca="false">-E6*E9/100</f>
        <v>-366.147520128</v>
      </c>
      <c r="F10" s="0" t="n">
        <f aca="false">-F6*F9/100</f>
        <v>-391.77784653696</v>
      </c>
      <c r="G10" s="0" t="n">
        <f aca="false">-G6*G9/100</f>
        <v>-415.284517329178</v>
      </c>
      <c r="H10" s="0" t="n">
        <f aca="false">-H6*H9/100</f>
        <v>-436.048743195637</v>
      </c>
      <c r="I10" s="0" t="n">
        <f aca="false">-I6*I9/100</f>
        <v>-453.490692923462</v>
      </c>
      <c r="J10" s="0" t="n">
        <f aca="false">-J6*J9/100</f>
        <v>-467.095413711166</v>
      </c>
      <c r="K10" s="0" t="n">
        <f aca="false">-K6*K9/100</f>
        <v>-481.108276122501</v>
      </c>
      <c r="L10" s="0" t="n">
        <f aca="false">-L6*L9/100</f>
        <v>-495.541524406176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9736.461696</v>
      </c>
      <c r="D11" s="0" t="n">
        <f aca="false">D8+D10+D24</f>
        <v>9249.6386112</v>
      </c>
      <c r="E11" s="0" t="n">
        <f aca="false">E8+E10+E24</f>
        <v>10211.447505792</v>
      </c>
      <c r="F11" s="0" t="n">
        <f aca="false">F8+F10+F24</f>
        <v>11143.9031903846</v>
      </c>
      <c r="G11" s="0" t="n">
        <f aca="false">G8+G10+G24</f>
        <v>11812.5373818077</v>
      </c>
      <c r="H11" s="0" t="n">
        <f aca="false">H8+H10+H24</f>
        <v>12403.1642508981</v>
      </c>
      <c r="I11" s="0" t="n">
        <f aca="false">I8+I10+I24</f>
        <v>12899.290820934</v>
      </c>
      <c r="J11" s="0" t="n">
        <f aca="false">J8+J10+J24</f>
        <v>13286.2695455621</v>
      </c>
      <c r="K11" s="0" t="n">
        <f aca="false">K8+K10+K24</f>
        <v>13684.8576319289</v>
      </c>
      <c r="L11" s="0" t="n">
        <f aca="false">L8+L10+L24</f>
        <v>14095.4033608868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-70.700448</v>
      </c>
      <c r="D12" s="4" t="n">
        <f aca="false">-D6*Assumptions!D17/100</f>
        <v>-67.1654256</v>
      </c>
      <c r="E12" s="4" t="n">
        <f aca="false">-E6*Assumptions!E17/100</f>
        <v>-71.195351136</v>
      </c>
      <c r="F12" s="4" t="n">
        <f aca="false">-F6*Assumptions!F17/100</f>
        <v>-76.17902571552</v>
      </c>
      <c r="G12" s="4" t="n">
        <f aca="false">-G6*Assumptions!G17/100</f>
        <v>-80.7497672584512</v>
      </c>
      <c r="H12" s="4" t="n">
        <f aca="false">-H6*Assumptions!H17/100</f>
        <v>-84.7872556213738</v>
      </c>
      <c r="I12" s="4" t="n">
        <f aca="false">-I6*Assumptions!I17/100</f>
        <v>-88.1787458462287</v>
      </c>
      <c r="J12" s="4" t="n">
        <f aca="false">-J6*Assumptions!J17/100</f>
        <v>-90.8241082216156</v>
      </c>
      <c r="K12" s="4" t="n">
        <f aca="false">-K6*Assumptions!K17/100</f>
        <v>-93.5488314682641</v>
      </c>
      <c r="L12" s="4" t="n">
        <f aca="false">-L6*Assumptions!L17/100</f>
        <v>-96.355296412312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9665.761248</v>
      </c>
      <c r="D13" s="0" t="n">
        <f aca="false">D11+D12</f>
        <v>9182.4731856</v>
      </c>
      <c r="E13" s="0" t="n">
        <f aca="false">E11+E12</f>
        <v>10140.252154656</v>
      </c>
      <c r="F13" s="0" t="n">
        <f aca="false">F11+F12</f>
        <v>11067.7241646691</v>
      </c>
      <c r="G13" s="0" t="n">
        <f aca="false">G11+G12</f>
        <v>11731.7876145493</v>
      </c>
      <c r="H13" s="0" t="n">
        <f aca="false">H11+H12</f>
        <v>12318.3769952767</v>
      </c>
      <c r="I13" s="0" t="n">
        <f aca="false">I11+I12</f>
        <v>12811.1120750878</v>
      </c>
      <c r="J13" s="0" t="n">
        <f aca="false">J11+J12</f>
        <v>13195.4454373404</v>
      </c>
      <c r="K13" s="0" t="n">
        <f aca="false">K11+K12</f>
        <v>13591.3088004607</v>
      </c>
      <c r="L13" s="0" t="n">
        <f aca="false">L11+L12</f>
        <v>13999.0480644745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18</v>
      </c>
      <c r="D14" s="4" t="n">
        <f aca="false">Assumptions!D19</f>
        <v>18</v>
      </c>
      <c r="E14" s="4" t="n">
        <f aca="false">Assumptions!E19</f>
        <v>18</v>
      </c>
      <c r="F14" s="4" t="n">
        <f aca="false">Assumptions!F19</f>
        <v>18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7925.92422336</v>
      </c>
      <c r="D15" s="0" t="n">
        <f aca="false">D13-MAX(0,D13)*D14/100</f>
        <v>7529.628012192</v>
      </c>
      <c r="E15" s="0" t="n">
        <f aca="false">E13-MAX(0,E13)*E14/100</f>
        <v>8315.00676681792</v>
      </c>
      <c r="F15" s="0" t="n">
        <f aca="false">F13-MAX(0,F13)*F14/100</f>
        <v>9075.53381502868</v>
      </c>
      <c r="G15" s="0" t="n">
        <f aca="false">G13-MAX(0,G13)*G14/100</f>
        <v>9620.0658439304</v>
      </c>
      <c r="H15" s="0" t="n">
        <f aca="false">H13-MAX(0,H13)*H14/100</f>
        <v>10101.0691361269</v>
      </c>
      <c r="I15" s="0" t="n">
        <f aca="false">I13-MAX(0,I13)*I14/100</f>
        <v>10505.111901572</v>
      </c>
      <c r="J15" s="0" t="n">
        <f aca="false">J13-MAX(0,J13)*J14/100</f>
        <v>10820.2652586192</v>
      </c>
      <c r="K15" s="0" t="n">
        <f aca="false">K13-MAX(0,K13)*K14/100</f>
        <v>11144.8732163777</v>
      </c>
      <c r="L15" s="0" t="n">
        <f aca="false">L13-MAX(0,L13)*L14/100</f>
        <v>11479.2194128691</v>
      </c>
    </row>
    <row r="16" customFormat="false" ht="15" hidden="false" customHeight="false" outlineLevel="0" collapsed="false">
      <c r="A16" s="0" t="s">
        <v>120</v>
      </c>
      <c r="C16" s="0" t="n">
        <f aca="false">-C12</f>
        <v>70.700448</v>
      </c>
      <c r="D16" s="0" t="n">
        <f aca="false">-D12</f>
        <v>67.1654256</v>
      </c>
      <c r="E16" s="0" t="n">
        <f aca="false">-E12</f>
        <v>71.195351136</v>
      </c>
      <c r="F16" s="0" t="n">
        <f aca="false">-F12</f>
        <v>76.17902571552</v>
      </c>
      <c r="G16" s="0" t="n">
        <f aca="false">-G12</f>
        <v>80.7497672584512</v>
      </c>
      <c r="H16" s="0" t="n">
        <f aca="false">-H12</f>
        <v>84.7872556213738</v>
      </c>
      <c r="I16" s="0" t="n">
        <f aca="false">-I12</f>
        <v>88.1787458462287</v>
      </c>
      <c r="J16" s="0" t="n">
        <f aca="false">-J12</f>
        <v>90.8241082216156</v>
      </c>
      <c r="K16" s="0" t="n">
        <f aca="false">-K12</f>
        <v>93.5488314682641</v>
      </c>
      <c r="L16" s="0" t="n">
        <f aca="false">-L12</f>
        <v>96.355296412312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-101.00064</v>
      </c>
      <c r="D17" s="4" t="n">
        <f aca="false">-D6*Assumptions!D18/100</f>
        <v>-95.950608</v>
      </c>
      <c r="E17" s="4" t="n">
        <f aca="false">-E6*Assumptions!E18/100</f>
        <v>-101.70764448</v>
      </c>
      <c r="F17" s="4" t="n">
        <f aca="false">-F6*Assumptions!F18/100</f>
        <v>-108.8271795936</v>
      </c>
      <c r="G17" s="4" t="n">
        <f aca="false">-G6*Assumptions!G18/100</f>
        <v>-115.356810369216</v>
      </c>
      <c r="H17" s="4" t="n">
        <f aca="false">-H6*Assumptions!H18/100</f>
        <v>-121.124650887677</v>
      </c>
      <c r="I17" s="4" t="n">
        <f aca="false">-I6*Assumptions!I18/100</f>
        <v>-125.969636923184</v>
      </c>
      <c r="J17" s="4" t="n">
        <f aca="false">-J6*Assumptions!J18/100</f>
        <v>-129.748726030879</v>
      </c>
      <c r="K17" s="4" t="n">
        <f aca="false">-K6*Assumptions!K18/100</f>
        <v>-133.641187811806</v>
      </c>
      <c r="L17" s="4" t="n">
        <f aca="false">-L6*Assumptions!L18/100</f>
        <v>-137.65042344616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10255.4496</v>
      </c>
      <c r="D18" s="4" t="n">
        <f aca="false">(D6-C6)*Assumptions!$B$23/100</f>
        <v>1818.01152</v>
      </c>
      <c r="E18" s="4" t="n">
        <f aca="false">(E6-D6)*Assumptions!$B$23/100</f>
        <v>-2072.5331328</v>
      </c>
      <c r="F18" s="4" t="n">
        <f aca="false">(F6-E6)*Assumptions!$B$23/100</f>
        <v>-2563.032640896</v>
      </c>
      <c r="G18" s="4" t="n">
        <f aca="false">(G6-F6)*Assumptions!$B$23/100</f>
        <v>-2350.66707922176</v>
      </c>
      <c r="H18" s="4" t="n">
        <f aca="false">(H6-G6)*Assumptions!$B$23/100</f>
        <v>-2076.42258664589</v>
      </c>
      <c r="I18" s="4" t="n">
        <f aca="false">(I6-H6)*Assumptions!$B$23/100</f>
        <v>-1744.19497278255</v>
      </c>
      <c r="J18" s="4" t="n">
        <f aca="false">(J6-I6)*Assumptions!$B$23/100</f>
        <v>-1360.47207877039</v>
      </c>
      <c r="K18" s="4" t="n">
        <f aca="false">(K6-J6)*Assumptions!$B$23/100</f>
        <v>-1401.2862411335</v>
      </c>
      <c r="L18" s="4" t="n">
        <f aca="false">(L6-K6)*Assumptions!$B$23/100</f>
        <v>-1443.3248283675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18151.07363136</v>
      </c>
      <c r="D19" s="0" t="n">
        <f aca="false">D15+D16+D17+D18</f>
        <v>9318.854349792</v>
      </c>
      <c r="E19" s="0" t="n">
        <f aca="false">E15+E16+E17+E18</f>
        <v>6211.96134067392</v>
      </c>
      <c r="F19" s="0" t="n">
        <f aca="false">F15+F16+F17+F18</f>
        <v>6479.8530202546</v>
      </c>
      <c r="G19" s="0" t="n">
        <f aca="false">G15+G16+G17+G18</f>
        <v>7234.79172159787</v>
      </c>
      <c r="H19" s="0" t="n">
        <f aca="false">H15+H16+H17+H18</f>
        <v>7988.30915421473</v>
      </c>
      <c r="I19" s="0" t="n">
        <f aca="false">I15+I16+I17+I18</f>
        <v>8723.12603771249</v>
      </c>
      <c r="J19" s="0" t="n">
        <f aca="false">J15+J16+J17+J18</f>
        <v>9420.86856203951</v>
      </c>
      <c r="K19" s="0" t="n">
        <f aca="false">K15+K16+K17+K18</f>
        <v>9703.4946189007</v>
      </c>
      <c r="L19" s="0" t="n">
        <f aca="false">L15+L16+L17+L18</f>
        <v>9994.59945746772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16278.9898039103</v>
      </c>
      <c r="D21" s="0" t="n">
        <f aca="false">D19*D20</f>
        <v>7495.71022927628</v>
      </c>
      <c r="E21" s="0" t="n">
        <f aca="false">E19*E20</f>
        <v>4481.3012740165</v>
      </c>
      <c r="F21" s="0" t="n">
        <f aca="false">F19*F20</f>
        <v>4192.42870162606</v>
      </c>
      <c r="G21" s="0" t="n">
        <f aca="false">G19*G20</f>
        <v>4198.08952789798</v>
      </c>
      <c r="H21" s="0" t="n">
        <f aca="false">H19*H20</f>
        <v>4157.24538411065</v>
      </c>
      <c r="I21" s="0" t="n">
        <f aca="false">I19*I20</f>
        <v>4071.44034454313</v>
      </c>
      <c r="J21" s="0" t="n">
        <f aca="false">J19*J20</f>
        <v>3943.59226014246</v>
      </c>
      <c r="K21" s="0" t="n">
        <f aca="false">K19*K20</f>
        <v>3642.95966631994</v>
      </c>
      <c r="L21" s="0" t="n">
        <f aca="false">L19*L20</f>
        <v>3365.24525229555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11.5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55827.0024441389</v>
      </c>
    </row>
    <row r="31" customFormat="false" ht="15" hidden="false" customHeight="false" outlineLevel="0" collapsed="false">
      <c r="A31" s="0" t="s">
        <v>129</v>
      </c>
      <c r="B31" s="0" t="n">
        <f aca="false">L19</f>
        <v>9994.59945746772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113827.382710049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99945.9945746772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99945.9945746772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33652.4525229555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89479.4549670944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87388.4549670944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79.542092619956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-0.2214731073705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2344.12529666229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1900.25872211763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83.4053853954557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81955.7155512353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61.3710172214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3</v>
      </c>
      <c r="D5" s="4" t="n">
        <f aca="false">Assumptions!D27</f>
        <v>9</v>
      </c>
      <c r="E5" s="4" t="n">
        <f aca="false">Assumptions!E27</f>
        <v>11</v>
      </c>
      <c r="F5" s="4" t="n">
        <f aca="false">Assumptions!F27</f>
        <v>10</v>
      </c>
      <c r="G5" s="4" t="n">
        <f aca="false">Assumptions!G27</f>
        <v>9</v>
      </c>
      <c r="H5" s="4" t="n">
        <f aca="false">Assumptions!H27</f>
        <v>8</v>
      </c>
      <c r="I5" s="4" t="n">
        <f aca="false">Assumptions!I27</f>
        <v>7</v>
      </c>
      <c r="J5" s="4" t="n">
        <f aca="false">Assumptions!J27</f>
        <v>6</v>
      </c>
      <c r="K5" s="4" t="n">
        <f aca="false">Assumptions!K27</f>
        <v>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38</v>
      </c>
      <c r="B6" s="3" t="n">
        <v>25897.6</v>
      </c>
      <c r="C6" s="0" t="n">
        <f aca="false">B6*(1+C5/100)</f>
        <v>26674.528</v>
      </c>
      <c r="D6" s="0" t="n">
        <f aca="false">C6*(1+D5/100)</f>
        <v>29075.23552</v>
      </c>
      <c r="E6" s="0" t="n">
        <f aca="false">D6*(1+E5/100)</f>
        <v>32273.5114272</v>
      </c>
      <c r="F6" s="0" t="n">
        <f aca="false">E6*(1+F5/100)</f>
        <v>35500.86256992</v>
      </c>
      <c r="G6" s="0" t="n">
        <f aca="false">F6*(1+G5/100)</f>
        <v>38695.9402012128</v>
      </c>
      <c r="H6" s="0" t="n">
        <f aca="false">G6*(1+H5/100)</f>
        <v>41791.6154173099</v>
      </c>
      <c r="I6" s="0" t="n">
        <f aca="false">H6*(1+I5/100)</f>
        <v>44717.0284965215</v>
      </c>
      <c r="J6" s="0" t="n">
        <f aca="false">I6*(1+J5/100)</f>
        <v>47400.0502063128</v>
      </c>
      <c r="K6" s="0" t="n">
        <f aca="false">J6*(1+K5/100)</f>
        <v>49770.0527166285</v>
      </c>
      <c r="L6" s="0" t="n">
        <f aca="false">K6*(1+L5/100)</f>
        <v>51760.8548252936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60</v>
      </c>
      <c r="D7" s="4" t="n">
        <f aca="false">Assumptions!D28</f>
        <v>58.5</v>
      </c>
      <c r="E7" s="4" t="n">
        <f aca="false">Assumptions!E28</f>
        <v>58</v>
      </c>
      <c r="F7" s="4" t="n">
        <f aca="false">Assumptions!F28</f>
        <v>57.5</v>
      </c>
      <c r="G7" s="4" t="n">
        <f aca="false">Assumptions!G28</f>
        <v>57</v>
      </c>
      <c r="H7" s="4" t="n">
        <f aca="false">Assumptions!H28</f>
        <v>57</v>
      </c>
      <c r="I7" s="4" t="n">
        <f aca="false">Assumptions!I28</f>
        <v>57</v>
      </c>
      <c r="J7" s="4" t="n">
        <f aca="false">Assumptions!J28</f>
        <v>57</v>
      </c>
      <c r="K7" s="4" t="n">
        <f aca="false">Assumptions!K28</f>
        <v>57</v>
      </c>
      <c r="L7" s="4" t="n">
        <f aca="false">Assumptions!L28</f>
        <v>57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16004.7168</v>
      </c>
      <c r="D8" s="0" t="n">
        <f aca="false">D6*D7/100</f>
        <v>17009.0127792</v>
      </c>
      <c r="E8" s="0" t="n">
        <f aca="false">E6*E7/100</f>
        <v>18718.636627776</v>
      </c>
      <c r="F8" s="0" t="n">
        <f aca="false">F6*F7/100</f>
        <v>20412.995977704</v>
      </c>
      <c r="G8" s="0" t="n">
        <f aca="false">G6*G7/100</f>
        <v>22056.6859146913</v>
      </c>
      <c r="H8" s="0" t="n">
        <f aca="false">H6*H7/100</f>
        <v>23821.2207878666</v>
      </c>
      <c r="I8" s="0" t="n">
        <f aca="false">I6*I7/100</f>
        <v>25488.7062430173</v>
      </c>
      <c r="J8" s="0" t="n">
        <f aca="false">J6*J7/100</f>
        <v>27018.0286175983</v>
      </c>
      <c r="K8" s="0" t="n">
        <f aca="false">K6*K7/100</f>
        <v>28368.9300484782</v>
      </c>
      <c r="L8" s="0" t="n">
        <f aca="false">L6*L7/100</f>
        <v>29503.6872504174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1.5</v>
      </c>
      <c r="D9" s="4" t="n">
        <f aca="false">Assumptions!D29</f>
        <v>1.5</v>
      </c>
      <c r="E9" s="4" t="n">
        <f aca="false">Assumptions!E29</f>
        <v>1.5</v>
      </c>
      <c r="F9" s="4" t="n">
        <f aca="false">Assumptions!F29</f>
        <v>1.5</v>
      </c>
      <c r="G9" s="4" t="n">
        <f aca="false">Assumptions!G29</f>
        <v>1.5</v>
      </c>
      <c r="H9" s="4" t="n">
        <f aca="false">Assumptions!H29</f>
        <v>1.5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-400.11792</v>
      </c>
      <c r="D10" s="0" t="n">
        <f aca="false">-D6*D9/100</f>
        <v>-436.1285328</v>
      </c>
      <c r="E10" s="0" t="n">
        <f aca="false">-E6*E9/100</f>
        <v>-484.102671408</v>
      </c>
      <c r="F10" s="0" t="n">
        <f aca="false">-F6*F9/100</f>
        <v>-532.5129385488</v>
      </c>
      <c r="G10" s="0" t="n">
        <f aca="false">-G6*G9/100</f>
        <v>-580.439103018192</v>
      </c>
      <c r="H10" s="0" t="n">
        <f aca="false">-H6*H9/100</f>
        <v>-626.874231259648</v>
      </c>
      <c r="I10" s="0" t="n">
        <f aca="false">-I6*I9/100</f>
        <v>-670.755427447823</v>
      </c>
      <c r="J10" s="0" t="n">
        <f aca="false">-J6*J9/100</f>
        <v>-711.000753094693</v>
      </c>
      <c r="K10" s="0" t="n">
        <f aca="false">-K6*K9/100</f>
        <v>-746.550790749427</v>
      </c>
      <c r="L10" s="0" t="n">
        <f aca="false">-L6*L9/100</f>
        <v>-776.412822379404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15604.59888</v>
      </c>
      <c r="D11" s="0" t="n">
        <f aca="false">D8+D10+D24</f>
        <v>16572.8842464</v>
      </c>
      <c r="E11" s="0" t="n">
        <f aca="false">E8+E10+E24</f>
        <v>18234.533956368</v>
      </c>
      <c r="F11" s="0" t="n">
        <f aca="false">F8+F10+F24</f>
        <v>19880.4830391552</v>
      </c>
      <c r="G11" s="0" t="n">
        <f aca="false">G8+G10+G24</f>
        <v>21476.2468116731</v>
      </c>
      <c r="H11" s="0" t="n">
        <f aca="false">H8+H10+H24</f>
        <v>23194.346556607</v>
      </c>
      <c r="I11" s="0" t="n">
        <f aca="false">I8+I10+I24</f>
        <v>24817.9508155695</v>
      </c>
      <c r="J11" s="0" t="n">
        <f aca="false">J8+J10+J24</f>
        <v>26307.0278645036</v>
      </c>
      <c r="K11" s="0" t="n">
        <f aca="false">K8+K10+K24</f>
        <v>27622.3792577288</v>
      </c>
      <c r="L11" s="0" t="n">
        <f aca="false">L8+L10+L24</f>
        <v>28727.274428038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-80.023584</v>
      </c>
      <c r="D12" s="4" t="n">
        <f aca="false">-D6*Assumptions!D31/100</f>
        <v>-87.22570656</v>
      </c>
      <c r="E12" s="4" t="n">
        <f aca="false">-E6*Assumptions!E31/100</f>
        <v>-96.8205342816</v>
      </c>
      <c r="F12" s="4" t="n">
        <f aca="false">-F6*Assumptions!F31/100</f>
        <v>-106.50258770976</v>
      </c>
      <c r="G12" s="4" t="n">
        <f aca="false">-G6*Assumptions!G31/100</f>
        <v>-116.087820603638</v>
      </c>
      <c r="H12" s="4" t="n">
        <f aca="false">-H6*Assumptions!H31/100</f>
        <v>-125.37484625193</v>
      </c>
      <c r="I12" s="4" t="n">
        <f aca="false">-I6*Assumptions!I31/100</f>
        <v>-134.151085489565</v>
      </c>
      <c r="J12" s="4" t="n">
        <f aca="false">-J6*Assumptions!J31/100</f>
        <v>-142.200150618939</v>
      </c>
      <c r="K12" s="4" t="n">
        <f aca="false">-K6*Assumptions!K31/100</f>
        <v>-149.310158149885</v>
      </c>
      <c r="L12" s="4" t="n">
        <f aca="false">-L6*Assumptions!L31/100</f>
        <v>-155.282564475881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15524.575296</v>
      </c>
      <c r="D13" s="0" t="n">
        <f aca="false">D11+D12</f>
        <v>16485.65853984</v>
      </c>
      <c r="E13" s="0" t="n">
        <f aca="false">E11+E12</f>
        <v>18137.7134220864</v>
      </c>
      <c r="F13" s="0" t="n">
        <f aca="false">F11+F12</f>
        <v>19773.9804514454</v>
      </c>
      <c r="G13" s="0" t="n">
        <f aca="false">G11+G12</f>
        <v>21360.1589910695</v>
      </c>
      <c r="H13" s="0" t="n">
        <f aca="false">H11+H12</f>
        <v>23068.971710355</v>
      </c>
      <c r="I13" s="0" t="n">
        <f aca="false">I11+I12</f>
        <v>24683.7997300799</v>
      </c>
      <c r="J13" s="0" t="n">
        <f aca="false">J11+J12</f>
        <v>26164.8277138847</v>
      </c>
      <c r="K13" s="0" t="n">
        <f aca="false">K11+K12</f>
        <v>27473.0690995789</v>
      </c>
      <c r="L13" s="0" t="n">
        <f aca="false">L11+L12</f>
        <v>28571.9918635621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17</v>
      </c>
      <c r="D14" s="4" t="n">
        <f aca="false">Assumptions!D33</f>
        <v>17.5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12885.39749568</v>
      </c>
      <c r="D15" s="0" t="n">
        <f aca="false">D13-MAX(0,D13)*D14/100</f>
        <v>13600.668295368</v>
      </c>
      <c r="E15" s="0" t="n">
        <f aca="false">E13-MAX(0,E13)*E14/100</f>
        <v>14872.9250061109</v>
      </c>
      <c r="F15" s="0" t="n">
        <f aca="false">F13-MAX(0,F13)*F14/100</f>
        <v>16214.6639701853</v>
      </c>
      <c r="G15" s="0" t="n">
        <f aca="false">G13-MAX(0,G13)*G14/100</f>
        <v>17515.330372677</v>
      </c>
      <c r="H15" s="0" t="n">
        <f aca="false">H13-MAX(0,H13)*H14/100</f>
        <v>18916.5568024911</v>
      </c>
      <c r="I15" s="0" t="n">
        <f aca="false">I13-MAX(0,I13)*I14/100</f>
        <v>20240.7157786655</v>
      </c>
      <c r="J15" s="0" t="n">
        <f aca="false">J13-MAX(0,J13)*J14/100</f>
        <v>21455.1587253854</v>
      </c>
      <c r="K15" s="0" t="n">
        <f aca="false">K13-MAX(0,K13)*K14/100</f>
        <v>22527.9166616547</v>
      </c>
      <c r="L15" s="0" t="n">
        <f aca="false">L13-MAX(0,L13)*L14/100</f>
        <v>23429.0333281209</v>
      </c>
    </row>
    <row r="16" customFormat="false" ht="15" hidden="false" customHeight="false" outlineLevel="0" collapsed="false">
      <c r="A16" s="0" t="s">
        <v>120</v>
      </c>
      <c r="C16" s="0" t="n">
        <f aca="false">-C12</f>
        <v>80.023584</v>
      </c>
      <c r="D16" s="0" t="n">
        <f aca="false">-D12</f>
        <v>87.22570656</v>
      </c>
      <c r="E16" s="0" t="n">
        <f aca="false">-E12</f>
        <v>96.8205342816</v>
      </c>
      <c r="F16" s="0" t="n">
        <f aca="false">-F12</f>
        <v>106.50258770976</v>
      </c>
      <c r="G16" s="0" t="n">
        <f aca="false">-G12</f>
        <v>116.087820603638</v>
      </c>
      <c r="H16" s="0" t="n">
        <f aca="false">-H12</f>
        <v>125.37484625193</v>
      </c>
      <c r="I16" s="0" t="n">
        <f aca="false">-I12</f>
        <v>134.151085489565</v>
      </c>
      <c r="J16" s="0" t="n">
        <f aca="false">-J12</f>
        <v>142.200150618939</v>
      </c>
      <c r="K16" s="0" t="n">
        <f aca="false">-K12</f>
        <v>149.310158149885</v>
      </c>
      <c r="L16" s="0" t="n">
        <f aca="false">-L12</f>
        <v>155.282564475881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-133.37264</v>
      </c>
      <c r="D17" s="4" t="n">
        <f aca="false">-D6*Assumptions!D32/100</f>
        <v>-145.3761776</v>
      </c>
      <c r="E17" s="4" t="n">
        <f aca="false">-E6*Assumptions!E32/100</f>
        <v>-161.367557136</v>
      </c>
      <c r="F17" s="4" t="n">
        <f aca="false">-F6*Assumptions!F32/100</f>
        <v>-177.5043128496</v>
      </c>
      <c r="G17" s="4" t="n">
        <f aca="false">-G6*Assumptions!G32/100</f>
        <v>-193.479701006064</v>
      </c>
      <c r="H17" s="4" t="n">
        <f aca="false">-H6*Assumptions!H32/100</f>
        <v>-208.958077086549</v>
      </c>
      <c r="I17" s="4" t="n">
        <f aca="false">-I6*Assumptions!I32/100</f>
        <v>-223.585142482608</v>
      </c>
      <c r="J17" s="4" t="n">
        <f aca="false">-J6*Assumptions!J32/100</f>
        <v>-237.000251031564</v>
      </c>
      <c r="K17" s="4" t="n">
        <f aca="false">-K6*Assumptions!K32/100</f>
        <v>-248.850263583142</v>
      </c>
      <c r="L17" s="4" t="n">
        <f aca="false">-L6*Assumptions!L32/100</f>
        <v>-258.804274126468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-1165.392</v>
      </c>
      <c r="D18" s="4" t="n">
        <f aca="false">(D6-C6)*Assumptions!$B$37/100</f>
        <v>-3601.06128000001</v>
      </c>
      <c r="E18" s="4" t="n">
        <f aca="false">(E6-D6)*Assumptions!$B$37/100</f>
        <v>-4797.41386080001</v>
      </c>
      <c r="F18" s="4" t="n">
        <f aca="false">(F6-E6)*Assumptions!$B$37/100</f>
        <v>-4841.02671408001</v>
      </c>
      <c r="G18" s="4" t="n">
        <f aca="false">(G6-F6)*Assumptions!$B$37/100</f>
        <v>-4792.61644693921</v>
      </c>
      <c r="H18" s="4" t="n">
        <f aca="false">(H6-G6)*Assumptions!$B$37/100</f>
        <v>-4643.51282414554</v>
      </c>
      <c r="I18" s="4" t="n">
        <f aca="false">(I6-H6)*Assumptions!$B$37/100</f>
        <v>-4388.11961881754</v>
      </c>
      <c r="J18" s="4" t="n">
        <f aca="false">(J6-I6)*Assumptions!$B$37/100</f>
        <v>-4024.53256468695</v>
      </c>
      <c r="K18" s="4" t="n">
        <f aca="false">(K6-J6)*Assumptions!$B$37/100</f>
        <v>-3555.00376547347</v>
      </c>
      <c r="L18" s="4" t="n">
        <f aca="false">(L6-K6)*Assumptions!$B$37/100</f>
        <v>-2986.20316299771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11666.65643968</v>
      </c>
      <c r="D19" s="0" t="n">
        <f aca="false">D15+D16+D17+D18</f>
        <v>9941.456544328</v>
      </c>
      <c r="E19" s="0" t="n">
        <f aca="false">E15+E16+E17+E18</f>
        <v>10010.9641224564</v>
      </c>
      <c r="F19" s="0" t="n">
        <f aca="false">F15+F16+F17+F18</f>
        <v>11302.6355309654</v>
      </c>
      <c r="G19" s="0" t="n">
        <f aca="false">G15+G16+G17+G18</f>
        <v>12645.3220453353</v>
      </c>
      <c r="H19" s="0" t="n">
        <f aca="false">H15+H16+H17+H18</f>
        <v>14189.460747511</v>
      </c>
      <c r="I19" s="0" t="n">
        <f aca="false">I15+I16+I17+I18</f>
        <v>15763.1621028549</v>
      </c>
      <c r="J19" s="0" t="n">
        <f aca="false">J15+J16+J17+J18</f>
        <v>17335.8260602859</v>
      </c>
      <c r="K19" s="0" t="n">
        <f aca="false">K15+K16+K17+K18</f>
        <v>18873.372790748</v>
      </c>
      <c r="L19" s="0" t="n">
        <f aca="false">L15+L16+L17+L18</f>
        <v>20339.3084554726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10463.3690041973</v>
      </c>
      <c r="D21" s="0" t="n">
        <f aca="false">D19*D20</f>
        <v>7996.50629960626</v>
      </c>
      <c r="E21" s="0" t="n">
        <f aca="false">E19*E20</f>
        <v>7221.89721020231</v>
      </c>
      <c r="F21" s="0" t="n">
        <f aca="false">F19*F20</f>
        <v>7312.74204151256</v>
      </c>
      <c r="G21" s="0" t="n">
        <f aca="false">G19*G20</f>
        <v>7337.62575319792</v>
      </c>
      <c r="H21" s="0" t="n">
        <f aca="false">H19*H20</f>
        <v>7384.42504625474</v>
      </c>
      <c r="I21" s="0" t="n">
        <f aca="false">I19*I20</f>
        <v>7357.31363569371</v>
      </c>
      <c r="J21" s="0" t="n">
        <f aca="false">J19*J20</f>
        <v>7256.80748269765</v>
      </c>
      <c r="K21" s="0" t="n">
        <f aca="false">K19*K20</f>
        <v>7085.58499225554</v>
      </c>
      <c r="L21" s="0" t="n">
        <f aca="false">L19*L20</f>
        <v>6848.3746153141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11.5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76264.6460809321</v>
      </c>
    </row>
    <row r="31" customFormat="false" ht="15" hidden="false" customHeight="false" outlineLevel="0" collapsed="false">
      <c r="A31" s="0" t="s">
        <v>129</v>
      </c>
      <c r="B31" s="0" t="n">
        <f aca="false">L19</f>
        <v>20339.3084554726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246464.561283962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244071.701465671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244071.701465671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82180.4953837691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158445.141464701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156354.141464701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142.315545074941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0.392928893754928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3218.85586963507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3167.83333276334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148.12879150736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174579.064242807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96.6428784549079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12</v>
      </c>
      <c r="D5" s="4" t="n">
        <f aca="false">Assumptions!D41</f>
        <v>16</v>
      </c>
      <c r="E5" s="4" t="n">
        <f aca="false">Assumptions!E41</f>
        <v>15</v>
      </c>
      <c r="F5" s="4" t="n">
        <f aca="false">Assumptions!F41</f>
        <v>13</v>
      </c>
      <c r="G5" s="4" t="n">
        <f aca="false">Assumptions!G41</f>
        <v>11</v>
      </c>
      <c r="H5" s="4" t="n">
        <f aca="false">Assumptions!H41</f>
        <v>10</v>
      </c>
      <c r="I5" s="4" t="n">
        <f aca="false">Assumptions!I41</f>
        <v>9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25897.6</v>
      </c>
      <c r="C6" s="0" t="n">
        <f aca="false">B6*(1+C5/100)</f>
        <v>29005.312</v>
      </c>
      <c r="D6" s="0" t="n">
        <f aca="false">C6*(1+D5/100)</f>
        <v>33646.16192</v>
      </c>
      <c r="E6" s="0" t="n">
        <f aca="false">D6*(1+E5/100)</f>
        <v>38693.086208</v>
      </c>
      <c r="F6" s="0" t="n">
        <f aca="false">E6*(1+F5/100)</f>
        <v>43723.18741504</v>
      </c>
      <c r="G6" s="0" t="n">
        <f aca="false">F6*(1+G5/100)</f>
        <v>48532.7380306944</v>
      </c>
      <c r="H6" s="0" t="n">
        <f aca="false">G6*(1+H5/100)</f>
        <v>53386.0118337638</v>
      </c>
      <c r="I6" s="0" t="n">
        <f aca="false">H6*(1+I5/100)</f>
        <v>58190.7528988026</v>
      </c>
      <c r="J6" s="0" t="n">
        <f aca="false">I6*(1+J5/100)</f>
        <v>62264.1056017188</v>
      </c>
      <c r="K6" s="0" t="n">
        <f aca="false">J6*(1+K5/100)</f>
        <v>65999.9519378219</v>
      </c>
      <c r="L6" s="0" t="n">
        <f aca="false">K6*(1+L5/100)</f>
        <v>69299.949534713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62</v>
      </c>
      <c r="D7" s="4" t="n">
        <f aca="false">Assumptions!D42</f>
        <v>62</v>
      </c>
      <c r="E7" s="4" t="n">
        <f aca="false">Assumptions!E42</f>
        <v>62</v>
      </c>
      <c r="F7" s="4" t="n">
        <f aca="false">Assumptions!F42</f>
        <v>62</v>
      </c>
      <c r="G7" s="4" t="n">
        <f aca="false">Assumptions!G42</f>
        <v>62</v>
      </c>
      <c r="H7" s="4" t="n">
        <f aca="false">Assumptions!H42</f>
        <v>62</v>
      </c>
      <c r="I7" s="4" t="n">
        <f aca="false">Assumptions!I42</f>
        <v>62</v>
      </c>
      <c r="J7" s="4" t="n">
        <f aca="false">Assumptions!J42</f>
        <v>62</v>
      </c>
      <c r="K7" s="4" t="n">
        <f aca="false">Assumptions!K42</f>
        <v>62</v>
      </c>
      <c r="L7" s="4" t="n">
        <f aca="false">Assumptions!L42</f>
        <v>62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17983.29344</v>
      </c>
      <c r="D8" s="0" t="n">
        <f aca="false">D6*D7/100</f>
        <v>20860.6203904</v>
      </c>
      <c r="E8" s="0" t="n">
        <f aca="false">E6*E7/100</f>
        <v>23989.71344896</v>
      </c>
      <c r="F8" s="0" t="n">
        <f aca="false">F6*F7/100</f>
        <v>27108.3761973248</v>
      </c>
      <c r="G8" s="0" t="n">
        <f aca="false">G6*G7/100</f>
        <v>30090.2975790305</v>
      </c>
      <c r="H8" s="0" t="n">
        <f aca="false">H6*H7/100</f>
        <v>33099.3273369336</v>
      </c>
      <c r="I8" s="0" t="n">
        <f aca="false">I6*I7/100</f>
        <v>36078.2667972576</v>
      </c>
      <c r="J8" s="0" t="n">
        <f aca="false">J6*J7/100</f>
        <v>38603.7454730656</v>
      </c>
      <c r="K8" s="0" t="n">
        <f aca="false">K6*K7/100</f>
        <v>40919.9702014496</v>
      </c>
      <c r="L8" s="0" t="n">
        <f aca="false">L6*L7/100</f>
        <v>42965.9687115221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1.4</v>
      </c>
      <c r="D9" s="4" t="n">
        <f aca="false">Assumptions!D43</f>
        <v>1.4</v>
      </c>
      <c r="E9" s="4" t="n">
        <f aca="false">Assumptions!E43</f>
        <v>1.4</v>
      </c>
      <c r="F9" s="4" t="n">
        <f aca="false">Assumptions!F43</f>
        <v>1.4</v>
      </c>
      <c r="G9" s="4" t="n">
        <f aca="false">Assumptions!G43</f>
        <v>1.4</v>
      </c>
      <c r="H9" s="4" t="n">
        <f aca="false">Assumptions!H43</f>
        <v>1.4</v>
      </c>
      <c r="I9" s="4" t="n">
        <f aca="false">Assumptions!I43</f>
        <v>1.4</v>
      </c>
      <c r="J9" s="4" t="n">
        <f aca="false">Assumptions!J43</f>
        <v>1.4</v>
      </c>
      <c r="K9" s="4" t="n">
        <f aca="false">Assumptions!K43</f>
        <v>1.4</v>
      </c>
      <c r="L9" s="4" t="n">
        <f aca="false">Assumptions!L43</f>
        <v>1.4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-406.074368</v>
      </c>
      <c r="D10" s="0" t="n">
        <f aca="false">-D6*D9/100</f>
        <v>-471.04626688</v>
      </c>
      <c r="E10" s="0" t="n">
        <f aca="false">-E6*E9/100</f>
        <v>-541.703206912</v>
      </c>
      <c r="F10" s="0" t="n">
        <f aca="false">-F6*F9/100</f>
        <v>-612.12462381056</v>
      </c>
      <c r="G10" s="0" t="n">
        <f aca="false">-G6*G9/100</f>
        <v>-679.458332429721</v>
      </c>
      <c r="H10" s="0" t="n">
        <f aca="false">-H6*H9/100</f>
        <v>-747.404165672694</v>
      </c>
      <c r="I10" s="0" t="n">
        <f aca="false">-I6*I9/100</f>
        <v>-814.670540583236</v>
      </c>
      <c r="J10" s="0" t="n">
        <f aca="false">-J6*J9/100</f>
        <v>-871.697478424063</v>
      </c>
      <c r="K10" s="0" t="n">
        <f aca="false">-K6*K9/100</f>
        <v>-923.999327129507</v>
      </c>
      <c r="L10" s="0" t="n">
        <f aca="false">-L6*L9/100</f>
        <v>-970.199293485982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17577.219072</v>
      </c>
      <c r="D11" s="0" t="n">
        <f aca="false">D8+D10+D24</f>
        <v>20389.57412352</v>
      </c>
      <c r="E11" s="0" t="n">
        <f aca="false">E8+E10+E24</f>
        <v>23448.010242048</v>
      </c>
      <c r="F11" s="0" t="n">
        <f aca="false">F8+F10+F24</f>
        <v>26496.2515735142</v>
      </c>
      <c r="G11" s="0" t="n">
        <f aca="false">G8+G10+G24</f>
        <v>29410.8392466008</v>
      </c>
      <c r="H11" s="0" t="n">
        <f aca="false">H8+H10+H24</f>
        <v>32351.9231712609</v>
      </c>
      <c r="I11" s="0" t="n">
        <f aca="false">I8+I10+I24</f>
        <v>35263.5962566744</v>
      </c>
      <c r="J11" s="0" t="n">
        <f aca="false">J8+J10+J24</f>
        <v>37732.0479946416</v>
      </c>
      <c r="K11" s="0" t="n">
        <f aca="false">K8+K10+K24</f>
        <v>39995.9708743201</v>
      </c>
      <c r="L11" s="0" t="n">
        <f aca="false">L8+L10+L24</f>
        <v>41995.7694180361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-87.015936</v>
      </c>
      <c r="D12" s="4" t="n">
        <f aca="false">-D6*Assumptions!D45/100</f>
        <v>-100.93848576</v>
      </c>
      <c r="E12" s="4" t="n">
        <f aca="false">-E6*Assumptions!E45/100</f>
        <v>-116.079258624</v>
      </c>
      <c r="F12" s="4" t="n">
        <f aca="false">-F6*Assumptions!F45/100</f>
        <v>-131.16956224512</v>
      </c>
      <c r="G12" s="4" t="n">
        <f aca="false">-G6*Assumptions!G45/100</f>
        <v>-145.598214092083</v>
      </c>
      <c r="H12" s="4" t="n">
        <f aca="false">-H6*Assumptions!H45/100</f>
        <v>-160.158035501292</v>
      </c>
      <c r="I12" s="4" t="n">
        <f aca="false">-I6*Assumptions!I45/100</f>
        <v>-174.572258696408</v>
      </c>
      <c r="J12" s="4" t="n">
        <f aca="false">-J6*Assumptions!J45/100</f>
        <v>-186.792316805156</v>
      </c>
      <c r="K12" s="4" t="n">
        <f aca="false">-K6*Assumptions!K45/100</f>
        <v>-197.999855813466</v>
      </c>
      <c r="L12" s="4" t="n">
        <f aca="false">-L6*Assumptions!L45/100</f>
        <v>-207.899848604139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17490.203136</v>
      </c>
      <c r="D13" s="0" t="n">
        <f aca="false">D11+D12</f>
        <v>20288.63563776</v>
      </c>
      <c r="E13" s="0" t="n">
        <f aca="false">E11+E12</f>
        <v>23331.930983424</v>
      </c>
      <c r="F13" s="0" t="n">
        <f aca="false">F11+F12</f>
        <v>26365.0820112691</v>
      </c>
      <c r="G13" s="0" t="n">
        <f aca="false">G11+G12</f>
        <v>29265.2410325087</v>
      </c>
      <c r="H13" s="0" t="n">
        <f aca="false">H11+H12</f>
        <v>32191.7651357596</v>
      </c>
      <c r="I13" s="0" t="n">
        <f aca="false">I11+I12</f>
        <v>35089.023997978</v>
      </c>
      <c r="J13" s="0" t="n">
        <f aca="false">J11+J12</f>
        <v>37545.2556778364</v>
      </c>
      <c r="K13" s="0" t="n">
        <f aca="false">K11+K12</f>
        <v>39797.9710185066</v>
      </c>
      <c r="L13" s="0" t="n">
        <f aca="false">L11+L12</f>
        <v>41787.869569432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17</v>
      </c>
      <c r="F14" s="4" t="n">
        <f aca="false">Assumptions!F47</f>
        <v>17</v>
      </c>
      <c r="G14" s="4" t="n">
        <f aca="false">Assumptions!G47</f>
        <v>17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14516.86860288</v>
      </c>
      <c r="D15" s="0" t="n">
        <f aca="false">D13-MAX(0,D13)*D14/100</f>
        <v>16839.5675793408</v>
      </c>
      <c r="E15" s="0" t="n">
        <f aca="false">E13-MAX(0,E13)*E14/100</f>
        <v>19365.5027162419</v>
      </c>
      <c r="F15" s="0" t="n">
        <f aca="false">F13-MAX(0,F13)*F14/100</f>
        <v>21883.0180693534</v>
      </c>
      <c r="G15" s="0" t="n">
        <f aca="false">G13-MAX(0,G13)*G14/100</f>
        <v>24290.1500569822</v>
      </c>
      <c r="H15" s="0" t="n">
        <f aca="false">H13-MAX(0,H13)*H14/100</f>
        <v>26719.1650626805</v>
      </c>
      <c r="I15" s="0" t="n">
        <f aca="false">I13-MAX(0,I13)*I14/100</f>
        <v>29123.8899183217</v>
      </c>
      <c r="J15" s="0" t="n">
        <f aca="false">J13-MAX(0,J13)*J14/100</f>
        <v>31162.5622126042</v>
      </c>
      <c r="K15" s="0" t="n">
        <f aca="false">K13-MAX(0,K13)*K14/100</f>
        <v>33032.3159453605</v>
      </c>
      <c r="L15" s="0" t="n">
        <f aca="false">L13-MAX(0,L13)*L14/100</f>
        <v>34683.9317426285</v>
      </c>
    </row>
    <row r="16" customFormat="false" ht="15" hidden="false" customHeight="false" outlineLevel="0" collapsed="false">
      <c r="A16" s="0" t="s">
        <v>120</v>
      </c>
      <c r="C16" s="0" t="n">
        <f aca="false">-C12</f>
        <v>87.015936</v>
      </c>
      <c r="D16" s="0" t="n">
        <f aca="false">-D12</f>
        <v>100.93848576</v>
      </c>
      <c r="E16" s="0" t="n">
        <f aca="false">-E12</f>
        <v>116.079258624</v>
      </c>
      <c r="F16" s="0" t="n">
        <f aca="false">-F12</f>
        <v>131.16956224512</v>
      </c>
      <c r="G16" s="0" t="n">
        <f aca="false">-G12</f>
        <v>145.598214092083</v>
      </c>
      <c r="H16" s="0" t="n">
        <f aca="false">-H12</f>
        <v>160.158035501292</v>
      </c>
      <c r="I16" s="0" t="n">
        <f aca="false">-I12</f>
        <v>174.572258696408</v>
      </c>
      <c r="J16" s="0" t="n">
        <f aca="false">-J12</f>
        <v>186.792316805156</v>
      </c>
      <c r="K16" s="0" t="n">
        <f aca="false">-K12</f>
        <v>197.999855813466</v>
      </c>
      <c r="L16" s="0" t="n">
        <f aca="false">-L12</f>
        <v>207.899848604139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-145.02656</v>
      </c>
      <c r="D17" s="4" t="n">
        <f aca="false">-D6*Assumptions!D46/100</f>
        <v>-168.2308096</v>
      </c>
      <c r="E17" s="4" t="n">
        <f aca="false">-E6*Assumptions!E46/100</f>
        <v>-193.46543104</v>
      </c>
      <c r="F17" s="4" t="n">
        <f aca="false">-F6*Assumptions!F46/100</f>
        <v>-218.6159370752</v>
      </c>
      <c r="G17" s="4" t="n">
        <f aca="false">-G6*Assumptions!G46/100</f>
        <v>-242.663690153472</v>
      </c>
      <c r="H17" s="4" t="n">
        <f aca="false">-H6*Assumptions!H46/100</f>
        <v>-266.930059168819</v>
      </c>
      <c r="I17" s="4" t="n">
        <f aca="false">-I6*Assumptions!I46/100</f>
        <v>-290.953764494013</v>
      </c>
      <c r="J17" s="4" t="n">
        <f aca="false">-J6*Assumptions!J46/100</f>
        <v>-311.320528008594</v>
      </c>
      <c r="K17" s="4" t="n">
        <f aca="false">-K6*Assumptions!K46/100</f>
        <v>-329.99975968911</v>
      </c>
      <c r="L17" s="4" t="n">
        <f aca="false">-L6*Assumptions!L46/100</f>
        <v>-346.499747673565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-4040.0256</v>
      </c>
      <c r="D18" s="4" t="n">
        <f aca="false">(D6-C6)*Assumptions!$B$51/100</f>
        <v>-6033.104896</v>
      </c>
      <c r="E18" s="4" t="n">
        <f aca="false">(E6-D6)*Assumptions!$B$51/100</f>
        <v>-6561.00157439999</v>
      </c>
      <c r="F18" s="4" t="n">
        <f aca="false">(F6-E6)*Assumptions!$B$51/100</f>
        <v>-6539.131569152</v>
      </c>
      <c r="G18" s="4" t="n">
        <f aca="false">(G6-F6)*Assumptions!$B$51/100</f>
        <v>-6252.41580035072</v>
      </c>
      <c r="H18" s="4" t="n">
        <f aca="false">(H6-G6)*Assumptions!$B$51/100</f>
        <v>-6309.25594399028</v>
      </c>
      <c r="I18" s="4" t="n">
        <f aca="false">(I6-H6)*Assumptions!$B$51/100</f>
        <v>-6246.16338455037</v>
      </c>
      <c r="J18" s="4" t="n">
        <f aca="false">(J6-I6)*Assumptions!$B$51/100</f>
        <v>-5295.35851379104</v>
      </c>
      <c r="K18" s="4" t="n">
        <f aca="false">(K6-J6)*Assumptions!$B$51/100</f>
        <v>-4856.60023693407</v>
      </c>
      <c r="L18" s="4" t="n">
        <f aca="false">(L6-K6)*Assumptions!$B$51/100</f>
        <v>-4289.99687595843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10418.83237888</v>
      </c>
      <c r="D19" s="0" t="n">
        <f aca="false">D15+D16+D17+D18</f>
        <v>10739.1703595008</v>
      </c>
      <c r="E19" s="0" t="n">
        <f aca="false">E15+E16+E17+E18</f>
        <v>12727.1149694259</v>
      </c>
      <c r="F19" s="0" t="n">
        <f aca="false">F15+F16+F17+F18</f>
        <v>15256.4401253713</v>
      </c>
      <c r="G19" s="0" t="n">
        <f aca="false">G15+G16+G17+G18</f>
        <v>17940.6687805701</v>
      </c>
      <c r="H19" s="0" t="n">
        <f aca="false">H15+H16+H17+H18</f>
        <v>20303.1370950227</v>
      </c>
      <c r="I19" s="0" t="n">
        <f aca="false">I15+I16+I17+I18</f>
        <v>22761.3450279737</v>
      </c>
      <c r="J19" s="0" t="n">
        <f aca="false">J15+J16+J17+J18</f>
        <v>25742.6754876098</v>
      </c>
      <c r="K19" s="0" t="n">
        <f aca="false">K15+K16+K17+K18</f>
        <v>28043.7158045508</v>
      </c>
      <c r="L19" s="0" t="n">
        <f aca="false">L15+L16+L17+L18</f>
        <v>30255.3349676007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9344.24428599103</v>
      </c>
      <c r="D21" s="0" t="n">
        <f aca="false">D19*D20</f>
        <v>8638.15508817857</v>
      </c>
      <c r="E21" s="0" t="n">
        <f aca="false">E19*E20</f>
        <v>9181.32509190011</v>
      </c>
      <c r="F21" s="0" t="n">
        <f aca="false">F19*F20</f>
        <v>9870.83152446766</v>
      </c>
      <c r="G21" s="0" t="n">
        <f aca="false">G19*G20</f>
        <v>10410.3250832165</v>
      </c>
      <c r="H21" s="0" t="n">
        <f aca="false">H19*H20</f>
        <v>10566.0811746019</v>
      </c>
      <c r="I21" s="0" t="n">
        <f aca="false">I19*I20</f>
        <v>10623.6523514981</v>
      </c>
      <c r="J21" s="0" t="n">
        <f aca="false">J19*J20</f>
        <v>10775.9295376815</v>
      </c>
      <c r="K21" s="0" t="n">
        <f aca="false">K19*K20</f>
        <v>10528.3848326894</v>
      </c>
      <c r="L21" s="0" t="n">
        <f aca="false">L19*L20</f>
        <v>10187.1638568022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11.5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100126.092827027</v>
      </c>
    </row>
    <row r="31" customFormat="false" ht="15" hidden="false" customHeight="false" outlineLevel="0" collapsed="false">
      <c r="A31" s="0" t="s">
        <v>129</v>
      </c>
      <c r="B31" s="0" t="n">
        <f aca="false">L19</f>
        <v>30255.3349676007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391428.396143333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393319.354578809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391428.396143333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131796.432397378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231922.525224405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229831.525224405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209.19560224825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1.04752473571743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3731.83591950579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4226.32258849024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216.43922019945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272298.014708406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136.175300263574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79.542092619956</v>
      </c>
      <c r="C4" s="0" t="n">
        <f aca="false">B4/Assumptions!$B$2-1</f>
        <v>-0.2214731073705</v>
      </c>
      <c r="D4" s="4" t="n">
        <f aca="false">Assumptions!$B$24</f>
        <v>0.3</v>
      </c>
      <c r="E4" s="4" t="n">
        <f aca="false">DCF_Bear!$B$43</f>
        <v>83.4053853954557</v>
      </c>
      <c r="F4" s="4" t="n">
        <f aca="false">DCF_Bear!$B$47</f>
        <v>61.3710172214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142.315545074941</v>
      </c>
      <c r="C5" s="0" t="n">
        <f aca="false">B5/Assumptions!$B$2-1</f>
        <v>0.392928893754928</v>
      </c>
      <c r="D5" s="4" t="n">
        <f aca="false">Assumptions!$B$38</f>
        <v>0.5</v>
      </c>
      <c r="E5" s="4" t="n">
        <f aca="false">DCF_Base!$B$43</f>
        <v>148.12879150736</v>
      </c>
      <c r="F5" s="4" t="n">
        <f aca="false">DCF_Base!$B$47</f>
        <v>96.6428784549079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209.19560224825</v>
      </c>
      <c r="C6" s="0" t="n">
        <f aca="false">B6/Assumptions!$B$2-1</f>
        <v>1.04752473571743</v>
      </c>
      <c r="D6" s="4" t="n">
        <f aca="false">Assumptions!$B$52</f>
        <v>0.2</v>
      </c>
      <c r="E6" s="4" t="n">
        <f aca="false">DCF_Bull!$B$43</f>
        <v>216.43922019945</v>
      </c>
      <c r="F6" s="4" t="n">
        <f aca="false">DCF_Bull!$B$47</f>
        <v>136.175300263574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136.859520773107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142.373855412207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0.2534680859406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-629.078992180515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93.9678044465888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170.300551723788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158.337007892202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147.41683343427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142.315545074941</v>
      </c>
      <c r="C18" s="3" t="n">
        <v>11.5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134.126053936788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96.6428784549079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9.5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164.181486812376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164.181486812376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164.181486812376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164.181486812376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164.181486812376</v>
      </c>
    </row>
    <row r="25" customFormat="false" ht="15" hidden="false" customHeight="false" outlineLevel="0" collapsed="false">
      <c r="A25" s="3" t="n">
        <v>10.5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152.753177186639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152.753177186639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152.753177186639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152.753177186639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152.753177186639</v>
      </c>
    </row>
    <row r="26" customFormat="false" ht="15" hidden="false" customHeight="false" outlineLevel="0" collapsed="false">
      <c r="A26" s="3" t="n">
        <v>11.5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134.441677600617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138.506197153335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142.315545074941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142.315545074941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142.315545074941</v>
      </c>
    </row>
    <row r="27" customFormat="false" ht="15" hidden="false" customHeight="false" outlineLevel="0" collapsed="false">
      <c r="A27" s="3" t="n">
        <v>12.5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119.740853687789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122.79498100282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126.170595403644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129.921278071225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132.771796898587</v>
      </c>
    </row>
    <row r="28" customFormat="false" ht="15" hidden="false" customHeight="false" outlineLevel="0" collapsed="false">
      <c r="A28" s="3" t="n">
        <v>13.5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107.70025203915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110.041222097662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112.605141685555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115.425453232238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118.542639678572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2026-10-03T22:04:36Z</dcterms:created>
  <dc:creator>openpyxl</dc:creator>
  <dc:description/>
  <dc:language>en-NZ</dc:language>
  <cp:lastModifiedBy/>
  <dcterms:modified xsi:type="dcterms:W3CDTF">2026-10-03T22:04:36Z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