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<sst xmlns="http://schemas.openxmlformats.org/spreadsheetml/2006/main" count="387" uniqueCount="175">
  <si>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</si>
  <si>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BALL</t>
  </si>
  <si>
    <t xml:space="preserve">Company</t>
  </si>
  <si>
    <t xml:space="preserve">Ball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</si>
  <si>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</si>
  <si>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</si>
  <si>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</si>
  <si>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</si>
  <si>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</si>
  <si>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</si>
  <si>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</si>
  <si>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</si>
  <si>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</si>
  <si>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</si>
  <si>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</si>
  <si>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</si>
  <si>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</si>
  <si>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</si>
  <si>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</si>
  <si>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</si>
  <si>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</si>
  <si>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2026-09-25T23:29:26Z</t>
  </si>
  <si>
    <t xml:space="preserve">Drivers file</t>
  </si>
  <si>
    <t xml:space="preserve">BALL_Drivers.json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</si>
  <si>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</si>
  <si>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</si>
  <si>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</si>
  <si>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Ball is a mature, capital-intensive, pass-through-economics aluminum can manufacturer, now a pure-play following the 2024 Ball Aerospace divestiture to BAE Systems. The valuation is built on continuing-operations (packaging-only) financials from BALL_Metrics.csv, which correctly carries FY2022-2023 restated ex-aerospace and FY2024-2025 as clean continuing-ops prints. Value here is driven by moderate structural volume growth (the plastic/glass-to-aluminum substrate shift), a margin recovery from the current Millersburg start-up-cost trough toward Ball's own mid-cycle target, and capital returned via buybacks that fund a flat share count against fully-expensed SBC. The business is not a growth compounder -- it is a scaled, disciplined industrial with real balance-sheet leverage, which the 15x terminal cap multiple and 8% WACC reflect versus the 20x/lower-WACC treatment appropriate for a software business.
key_risks_to_valuation: North American capacity friction and Millersburg start-up costs (~$35M in 2026) could persist longer than guided, delaying the margin recovery baked into the base case; Customer concentration among large global beverage companies limits pricing power against aluminum/energy cost inflation despite contractual pass-through provisions; Elevated net debt (~$6.7B, ~3.3-3.5x EBITDA) constrains capital-return flexibility if a downturn coincides with higher-for-longer rates; EMEA and South America currency translation exposure can obscure underlying operating performance in reported (as opposed to constant-currency) results; Trailing revenue CAGRs are low/slightly negative (3yr -0.5%, 5yr 2.2%) because FY2022 was an unusually strong capacity-supercycle year -- the base case's forward growth path is anchored to the current TTM run-rate and Millersburg capacity relief rather than trailing history, which is a judgment call worth revisiting if the current volume acceleration proves temporary</t>
  </si>
  <si>
    <t xml:space="preserve">Data sources</t>
  </si>
  <si>
    <t xml:space="preserve">price: Yahoo Finance chart API at inputs.price_as_of; 52-week range 44.83-68.29
financials: research/BALL/Reports/BALL_Metrics.csv and BALL.duckdb core_metrics for revenue, balance-sheet, share-count, SBC and buyback anchors (revenue populated FY2018-2025 following the XBRL parser fallback fix in commit 35a86bba); cross-checked against SEC XBRL companyfacts (CIK 0000009389) to confirm the FY2022/FY2023 continuing-operations restatement (ex-Ball-Aerospace) embedded in the CSV
qualitative: research/BALL/Reports/BALL_Analysis.json (2026-09-26), including Q2 2026 earnings commentary, FY2026 guidance, and bull/bear case points</t>
  </si>
  <si>
    <t xml:space="preserve">Scenario narrative: bear</t>
  </si>
  <si>
    <t xml:space="preserve">North American capacity friction and customer concentration limit pricing power through a demand downturn, regional overcapacity elsewhere in the global industry compresses returns, and elevated net debt combined with slower deleveraging under higher-for-longer rates constrains the capital-return program guided at ~$800M/year.</t>
  </si>
  <si>
    <t xml:space="preserve">Scenario narrative: base</t>
  </si>
  <si>
    <t xml:space="preserve">Structural substrate-shift volume growth (aluminum taking share from plastic/glass) continues at a moderating mid-single-digit pace as Millersburg relieves capacity constraints through 2027; margins recover from the current start-up-cost trough toward Ball's own mid-cycle target as North American operational friction eases, while thin, largely pass-through aluminum economics cap outright margin expansion.</t>
  </si>
  <si>
    <t xml:space="preserve">Scenario narrative: bull</t>
  </si>
  <si>
    <t xml:space="preserve">Capacity discipline across the top-3 global players (Ball, Crown, Ardagh) supports rational industry pricing, South America's outsized regional strength (+64% YoY operating earnings in Q2 2026) proves durable rather than a one-off comp, and the Millersburg ramp unlocks volume and margin upside beyond guidance as premium/specialty can mix improves blended economics.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</si>
  <si>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</si>
  <si>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</si>
  <si>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</si>
  <si>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</si>
  <si>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</si>
  <si>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</si>
  <si>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</si>
  <si>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</si>
  <si>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</si>
  <si>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</si>
  <si>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</si>
  <si>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</si>
  <si>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</si>
  <si>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</si>
  <si>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</si>
  <si>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</si>
  <si>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</si>
  <si>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</si>
  <si>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</si>
  <si>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</si>
  <si>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</si>
  <si>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</si>
  <si>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</si>
  <si>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</si>
  <si>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</si>
  <si>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</si>
  <si>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</si>
  <si>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</si>
  <si>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</si>
  <si>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</si>
  <si>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</si>
  <si>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</si>
  <si>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</si>
  <si>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</si>
  <si>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</si>
  <si>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</si>
  <si>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</si>
  <si>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</si>
  <si>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</si>
  <si>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</si>
  <si>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</si>
  <si>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</si>
  <si>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</si>
  <si>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</si>
  <si>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</si>
  <si>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</si>
  <si>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</si>
  <si>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</si>
  <si>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</si>
  <si>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</si>
  <si>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</si>
  <si>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</si>
  <si>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</si>
  <si>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</si>
  <si>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</si>
  <si>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ended 2026-06-30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</si>
  <si>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</si>
  <si>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</si>
  <si>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</si>
  <si>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</si>
  <si>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ended 2027</t>
  </si>
  <si>
    <t xml:space="preserve">TTM ended 2028</t>
  </si>
  <si>
    <t xml:space="preserve">TTM ended 2029</t>
  </si>
  <si>
    <t xml:space="preserve">TTM ended 2030</t>
  </si>
  <si>
    <t xml:space="preserve">TTM ended 2031</t>
  </si>
  <si>
    <t xml:space="preserve">TTM ended 2032</t>
  </si>
  <si>
    <t xml:space="preserve">TTM ended 2033</t>
  </si>
  <si>
    <t xml:space="preserve">TTM ended 2034</t>
  </si>
  <si>
    <t xml:space="preserve">TTM ended 2035</t>
  </si>
  <si>
    <t xml:space="preserve">TTM ended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</si>
  <si>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</si>
  <si>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</si>
  <si>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</si>
  <si>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</si>
  <si>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</si>
  <si>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</si>
  <si>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</si>
  <si>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</si>
  <si>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</si>
  <si>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</si>
  <si>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</si>
  <si>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</si>
  <si>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</si>
  <si>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</si>
  <si>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BALL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</si>
  <si>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</si>
  <si>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</si>
  <si>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</si>
  <si>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</si>
  <si>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</si>
  <si>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</si>
  <si>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</si>
  <si>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</si>
  <si>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</si>
  <si>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</si>
  <si>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</si>
  <si>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</si>
  <si>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</si>
  <si>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</si>
  <si>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</si>
  <si>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</si>
  <si>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</si>
  <si>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</si>
  <si>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</si>
  <si>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</si>
  <si>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</si>
  <si>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</si>
  <si>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</si>
  <si>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</si>
  <si>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</si>
  <si>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</si>
  <si>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</si>
  <si>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</si>
  <si>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</si>
  <si>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</si>
  <si>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BALL owner-FCF component DCF: base case (millions, USD)</t>
  </si>
  <si>
    <t xml:space="preserve">BALL owner-FCF component DCF: bull case (millions, USD)</t>
  </si>
  <si>
    <t xml:space="preserve">BALL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</si>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</sst>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56.83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1343.6</v>
      </c>
      <c r="S2" s="0" t="n">
        <v>151.6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6826.1</v>
      </c>
      <c r="F3" s="0" t="n">
        <v>580.6</v>
      </c>
      <c r="G3" s="0" t="n">
        <v>8.50558884282387</v>
      </c>
      <c r="I3" s="0" t="n">
        <v>319.9</v>
      </c>
      <c r="J3" s="0" t="n">
        <v>4.68642416606847</v>
      </c>
      <c r="K3" s="0" t="n">
        <v>1.67</v>
      </c>
      <c r="L3" s="0" t="n">
        <v>627.6</v>
      </c>
      <c r="M3" s="0" t="n">
        <v>285</v>
      </c>
      <c r="N3" s="0" t="n">
        <v>342.6</v>
      </c>
      <c r="O3" s="0" t="n">
        <v>1087.3</v>
      </c>
      <c r="S3" s="0" t="n">
        <v>127.4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6710.4</v>
      </c>
      <c r="F4" s="0" t="n">
        <v>653.8</v>
      </c>
      <c r="G4" s="0" t="n">
        <v>9.74308536003815</v>
      </c>
      <c r="I4" s="0" t="n">
        <v>388.4</v>
      </c>
      <c r="J4" s="0" t="n">
        <v>5.78803051979018</v>
      </c>
      <c r="K4" s="0" t="n">
        <v>2.07</v>
      </c>
      <c r="L4" s="0" t="n">
        <v>559.7</v>
      </c>
      <c r="M4" s="0" t="n">
        <v>157.9</v>
      </c>
      <c r="N4" s="0" t="n">
        <v>401.8</v>
      </c>
      <c r="O4" s="0" t="n">
        <v>1583</v>
      </c>
      <c r="P4" s="0" t="n">
        <v>6488.3</v>
      </c>
      <c r="Q4" s="0" t="n">
        <v>4905.3</v>
      </c>
      <c r="R4" s="0" t="n">
        <v>2283.9</v>
      </c>
      <c r="S4" s="0" t="n">
        <v>210.6</v>
      </c>
      <c r="T4" s="0" t="n">
        <v>189.978</v>
      </c>
      <c r="U4" s="0" t="n">
        <v>26.5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7630</v>
      </c>
      <c r="D5" s="0" t="n">
        <v>1132.2</v>
      </c>
      <c r="E5" s="0" t="n">
        <v>14.8387942332897</v>
      </c>
      <c r="F5" s="0" t="n">
        <v>764.6</v>
      </c>
      <c r="G5" s="0" t="n">
        <v>10.0209698558322</v>
      </c>
      <c r="I5" s="0" t="n">
        <v>473.7</v>
      </c>
      <c r="J5" s="0" t="n">
        <v>6.2083879423329</v>
      </c>
      <c r="K5" s="0" t="n">
        <v>2.59</v>
      </c>
      <c r="L5" s="0" t="n">
        <v>515.2</v>
      </c>
      <c r="M5" s="0" t="n">
        <v>250.2</v>
      </c>
      <c r="N5" s="0" t="n">
        <v>265</v>
      </c>
      <c r="O5" s="0" t="n">
        <v>1658.1</v>
      </c>
      <c r="P5" s="0" t="n">
        <v>6927.7</v>
      </c>
      <c r="Q5" s="0" t="n">
        <v>5269.6</v>
      </c>
      <c r="R5" s="0" t="n">
        <v>2770.6</v>
      </c>
      <c r="S5" s="0" t="n">
        <v>152</v>
      </c>
      <c r="T5" s="0" t="n">
        <v>183.538</v>
      </c>
      <c r="U5" s="0" t="n">
        <v>24.4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8630.9</v>
      </c>
      <c r="D6" s="0" t="n">
        <v>1281.1</v>
      </c>
      <c r="E6" s="0" t="n">
        <v>14.8431797379184</v>
      </c>
      <c r="F6" s="0" t="n">
        <v>836.9</v>
      </c>
      <c r="G6" s="0" t="n">
        <v>9.6965553997845</v>
      </c>
      <c r="I6" s="0" t="n">
        <v>466.3</v>
      </c>
      <c r="J6" s="0" t="n">
        <v>5.40268106454715</v>
      </c>
      <c r="K6" s="0" t="n">
        <v>2.69</v>
      </c>
      <c r="L6" s="0" t="n">
        <v>948.4</v>
      </c>
      <c r="M6" s="0" t="n">
        <v>443.8</v>
      </c>
      <c r="N6" s="0" t="n">
        <v>504.6</v>
      </c>
      <c r="O6" s="0" t="n">
        <v>1402.2</v>
      </c>
      <c r="P6" s="0" t="n">
        <v>7284.6</v>
      </c>
      <c r="Q6" s="0" t="n">
        <v>5906.6</v>
      </c>
      <c r="R6" s="0" t="n">
        <v>2832.3</v>
      </c>
      <c r="S6" s="0" t="n">
        <v>165.8</v>
      </c>
      <c r="T6" s="0" t="n">
        <v>168.59</v>
      </c>
      <c r="U6" s="0" t="n">
        <v>24.7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8735.7</v>
      </c>
      <c r="D7" s="0" t="n">
        <v>1318.6</v>
      </c>
      <c r="E7" s="0" t="n">
        <v>15.0943828199228</v>
      </c>
      <c r="F7" s="0" t="n">
        <v>790.5</v>
      </c>
      <c r="G7" s="0" t="n">
        <v>9.04907448744806</v>
      </c>
      <c r="I7" s="0" t="n">
        <v>419.3</v>
      </c>
      <c r="J7" s="0" t="n">
        <v>4.79984431699807</v>
      </c>
      <c r="K7" s="0" t="n">
        <v>2.56</v>
      </c>
      <c r="L7" s="0" t="n">
        <v>853.2</v>
      </c>
      <c r="M7" s="0" t="n">
        <v>305</v>
      </c>
      <c r="N7" s="0" t="n">
        <v>548.2</v>
      </c>
      <c r="O7" s="0" t="n">
        <v>1314.2</v>
      </c>
      <c r="P7" s="0" t="n">
        <v>7520.7</v>
      </c>
      <c r="Q7" s="0" t="n">
        <v>6206.5</v>
      </c>
      <c r="R7" s="0" t="n">
        <v>3293.5</v>
      </c>
      <c r="S7" s="0" t="n">
        <v>174.1</v>
      </c>
      <c r="T7" s="0" t="n">
        <v>158.084</v>
      </c>
      <c r="U7" s="0" t="n">
        <v>26.7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8468.1</v>
      </c>
      <c r="D8" s="0" t="n">
        <v>1338.9</v>
      </c>
      <c r="E8" s="0" t="n">
        <v>15.811102844794</v>
      </c>
      <c r="F8" s="0" t="n">
        <v>795.4</v>
      </c>
      <c r="G8" s="0" t="n">
        <v>9.39289805269187</v>
      </c>
      <c r="I8" s="0" t="n">
        <v>435</v>
      </c>
      <c r="J8" s="0" t="n">
        <v>5.136925638573</v>
      </c>
      <c r="K8" s="0" t="n">
        <v>2.79</v>
      </c>
      <c r="L8" s="0" t="n">
        <v>839</v>
      </c>
      <c r="M8" s="0" t="n">
        <v>378.3</v>
      </c>
      <c r="N8" s="0" t="n">
        <v>460.7</v>
      </c>
      <c r="O8" s="0" t="n">
        <v>1417</v>
      </c>
      <c r="P8" s="0" t="n">
        <v>7820.4</v>
      </c>
      <c r="Q8" s="0" t="n">
        <v>6404.4</v>
      </c>
      <c r="R8" s="0" t="n">
        <v>3913.1</v>
      </c>
      <c r="S8" s="0" t="n">
        <v>416</v>
      </c>
      <c r="T8" s="0" t="n">
        <v>149.223</v>
      </c>
      <c r="U8" s="0" t="n">
        <v>24.5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8570</v>
      </c>
      <c r="D9" s="0" t="n">
        <v>1433.7</v>
      </c>
      <c r="E9" s="0" t="n">
        <v>16.7292882147025</v>
      </c>
      <c r="F9" s="0" t="n">
        <v>839</v>
      </c>
      <c r="G9" s="0" t="n">
        <v>9.78996499416569</v>
      </c>
      <c r="I9" s="0" t="n">
        <v>498</v>
      </c>
      <c r="J9" s="0" t="n">
        <v>5.81096849474912</v>
      </c>
      <c r="K9" s="0" t="n">
        <v>3.39</v>
      </c>
      <c r="L9" s="0" t="n">
        <v>1012</v>
      </c>
      <c r="M9" s="0" t="n">
        <v>391</v>
      </c>
      <c r="N9" s="0" t="n">
        <v>621</v>
      </c>
      <c r="O9" s="0" t="n">
        <v>1240</v>
      </c>
      <c r="P9" s="0" t="n">
        <v>7571</v>
      </c>
      <c r="Q9" s="0" t="n">
        <v>6331.4</v>
      </c>
      <c r="R9" s="0" t="n">
        <v>3103.8</v>
      </c>
      <c r="S9" s="0" t="n">
        <v>191</v>
      </c>
      <c r="T9" s="0" t="n">
        <v>142.43</v>
      </c>
      <c r="U9" s="0" t="n">
        <v>25.1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7997</v>
      </c>
      <c r="D10" s="0" t="n">
        <v>1295</v>
      </c>
      <c r="E10" s="0" t="n">
        <v>16.1935725897212</v>
      </c>
      <c r="F10" s="0" t="n">
        <v>606</v>
      </c>
      <c r="G10" s="0" t="n">
        <v>7.57784169063399</v>
      </c>
      <c r="I10" s="0" t="n">
        <v>303</v>
      </c>
      <c r="J10" s="0" t="n">
        <v>3.78892084531699</v>
      </c>
      <c r="K10" s="0" t="n">
        <v>1.02</v>
      </c>
      <c r="L10" s="0" t="n">
        <v>1007</v>
      </c>
      <c r="M10" s="0" t="n">
        <v>528</v>
      </c>
      <c r="N10" s="0" t="n">
        <v>479</v>
      </c>
      <c r="O10" s="0" t="n">
        <v>1261</v>
      </c>
      <c r="P10" s="0" t="n">
        <v>9697</v>
      </c>
      <c r="Q10" s="0" t="n">
        <v>8436</v>
      </c>
      <c r="R10" s="0" t="n">
        <v>5105</v>
      </c>
      <c r="S10" s="0" t="n">
        <v>224</v>
      </c>
      <c r="T10" s="0" t="n">
        <v>281.968</v>
      </c>
      <c r="U10" s="0" t="n">
        <v>25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9061</v>
      </c>
      <c r="D11" s="0" t="n">
        <v>1420</v>
      </c>
      <c r="E11" s="0" t="n">
        <v>15.6715594305264</v>
      </c>
      <c r="F11" s="0" t="n">
        <v>463</v>
      </c>
      <c r="G11" s="0" t="n">
        <v>5.10981127910827</v>
      </c>
      <c r="I11" s="0" t="n">
        <v>266</v>
      </c>
      <c r="J11" s="0" t="n">
        <v>2.93565831585918</v>
      </c>
      <c r="K11" s="0" t="n">
        <v>0.83</v>
      </c>
      <c r="L11" s="0" t="n">
        <v>193</v>
      </c>
      <c r="M11" s="0" t="n">
        <v>606</v>
      </c>
      <c r="N11" s="0" t="n">
        <v>-413</v>
      </c>
      <c r="O11" s="0" t="n">
        <v>3541</v>
      </c>
      <c r="P11" s="0" t="n">
        <v>16173</v>
      </c>
      <c r="Q11" s="0" t="n">
        <v>12632</v>
      </c>
      <c r="R11" s="0" t="n">
        <v>7611</v>
      </c>
      <c r="S11" s="0" t="n">
        <v>597</v>
      </c>
      <c r="T11" s="0" t="n">
        <v>322.884</v>
      </c>
      <c r="U11" s="0" t="n">
        <v>35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10983</v>
      </c>
      <c r="D12" s="0" t="n">
        <v>1757</v>
      </c>
      <c r="E12" s="0" t="n">
        <v>15.9974506054812</v>
      </c>
      <c r="F12" s="0" t="n">
        <v>802</v>
      </c>
      <c r="G12" s="0" t="n">
        <v>7.30219430028225</v>
      </c>
      <c r="I12" s="0" t="n">
        <v>380</v>
      </c>
      <c r="J12" s="0" t="n">
        <v>3.45989256123099</v>
      </c>
      <c r="K12" s="0" t="n">
        <v>1.07</v>
      </c>
      <c r="L12" s="0" t="n">
        <v>1478</v>
      </c>
      <c r="M12" s="0" t="n">
        <v>556</v>
      </c>
      <c r="N12" s="0" t="n">
        <v>922</v>
      </c>
      <c r="O12" s="0" t="n">
        <v>4046</v>
      </c>
      <c r="P12" s="0" t="n">
        <v>17169</v>
      </c>
      <c r="Q12" s="0" t="n">
        <v>13123</v>
      </c>
      <c r="R12" s="0" t="n">
        <v>7084</v>
      </c>
      <c r="S12" s="0" t="n">
        <v>448</v>
      </c>
      <c r="T12" s="0" t="n">
        <v>356.985</v>
      </c>
      <c r="U12" s="0" t="n">
        <v>46</v>
      </c>
      <c r="V12" s="0" t="n">
        <v>0.365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11635</v>
      </c>
      <c r="D13" s="0" t="n">
        <v>1798</v>
      </c>
      <c r="E13" s="0" t="n">
        <v>15.4533734422003</v>
      </c>
      <c r="F13" s="0" t="n">
        <v>935</v>
      </c>
      <c r="G13" s="0" t="n">
        <v>8.03609798023206</v>
      </c>
      <c r="I13" s="0" t="n">
        <v>453</v>
      </c>
      <c r="J13" s="0" t="n">
        <v>3.89342501074345</v>
      </c>
      <c r="K13" s="0" t="n">
        <v>1.32</v>
      </c>
      <c r="L13" s="0" t="n">
        <v>1566</v>
      </c>
      <c r="M13" s="0" t="n">
        <v>816</v>
      </c>
      <c r="N13" s="0" t="n">
        <v>750</v>
      </c>
      <c r="O13" s="0" t="n">
        <v>3562</v>
      </c>
      <c r="P13" s="0" t="n">
        <v>16554</v>
      </c>
      <c r="Q13" s="0" t="n">
        <v>12992</v>
      </c>
      <c r="R13" s="0" t="n">
        <v>6737</v>
      </c>
      <c r="S13" s="0" t="n">
        <v>721</v>
      </c>
      <c r="T13" s="0" t="n">
        <v>352.321</v>
      </c>
      <c r="U13" s="0" t="n">
        <v>75</v>
      </c>
      <c r="V13" s="0" t="n">
        <v>0.4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11474</v>
      </c>
      <c r="D14" s="0" t="n">
        <v>1775</v>
      </c>
      <c r="E14" s="0" t="n">
        <v>15.4697577130905</v>
      </c>
      <c r="F14" s="0" t="n">
        <v>932</v>
      </c>
      <c r="G14" s="0" t="n">
        <v>8.12271221892975</v>
      </c>
      <c r="I14" s="0" t="n">
        <v>536</v>
      </c>
      <c r="J14" s="0" t="n">
        <v>4.67143106153042</v>
      </c>
      <c r="K14" s="0" t="n">
        <v>1.71</v>
      </c>
      <c r="L14" s="0" t="n">
        <v>1548</v>
      </c>
      <c r="M14" s="0" t="n">
        <v>598</v>
      </c>
      <c r="N14" s="0" t="n">
        <v>950</v>
      </c>
      <c r="O14" s="0" t="n">
        <v>3019</v>
      </c>
      <c r="P14" s="0" t="n">
        <v>17360</v>
      </c>
      <c r="Q14" s="0" t="n">
        <v>14341</v>
      </c>
      <c r="R14" s="0" t="n">
        <v>7817</v>
      </c>
      <c r="S14" s="0" t="n">
        <v>1798</v>
      </c>
      <c r="T14" s="0" t="n">
        <v>340.121</v>
      </c>
      <c r="U14" s="0" t="n">
        <v>37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11781</v>
      </c>
      <c r="F15" s="0" t="n">
        <v>1003</v>
      </c>
      <c r="G15" s="0" t="n">
        <v>8.51370851370851</v>
      </c>
      <c r="I15" s="0" t="n">
        <v>582</v>
      </c>
      <c r="J15" s="0" t="n">
        <v>4.94015788133435</v>
      </c>
      <c r="K15" s="0" t="n">
        <v>1.79</v>
      </c>
      <c r="L15" s="0" t="n">
        <v>1432</v>
      </c>
      <c r="M15" s="0" t="n">
        <v>1113</v>
      </c>
      <c r="N15" s="0" t="n">
        <v>319</v>
      </c>
      <c r="O15" s="0" t="n">
        <v>3337</v>
      </c>
      <c r="P15" s="0" t="n">
        <v>18252</v>
      </c>
      <c r="Q15" s="0" t="n">
        <v>14915</v>
      </c>
      <c r="R15" s="0" t="n">
        <v>7800</v>
      </c>
      <c r="S15" s="0" t="n">
        <v>1366</v>
      </c>
      <c r="T15" s="0" t="n">
        <v>332.815</v>
      </c>
      <c r="U15" s="0" t="n">
        <v>43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13811</v>
      </c>
      <c r="F16" s="0" t="n">
        <v>1291</v>
      </c>
      <c r="G16" s="0" t="n">
        <v>9.34762146115415</v>
      </c>
      <c r="I16" s="0" t="n">
        <v>878</v>
      </c>
      <c r="J16" s="0" t="n">
        <v>6.35725146622258</v>
      </c>
      <c r="K16" s="0" t="n">
        <v>2.69</v>
      </c>
      <c r="L16" s="0" t="n">
        <v>1760</v>
      </c>
      <c r="M16" s="0" t="n">
        <v>1726</v>
      </c>
      <c r="N16" s="0" t="n">
        <v>34</v>
      </c>
      <c r="O16" s="0" t="n">
        <v>3685</v>
      </c>
      <c r="P16" s="0" t="n">
        <v>19714</v>
      </c>
      <c r="Q16" s="0" t="n">
        <v>16029</v>
      </c>
      <c r="R16" s="0" t="n">
        <v>7737</v>
      </c>
      <c r="S16" s="0" t="n">
        <v>563</v>
      </c>
      <c r="T16" s="0" t="n">
        <v>331.615</v>
      </c>
      <c r="U16" s="0" t="n">
        <v>40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13372</v>
      </c>
      <c r="F17" s="0" t="n">
        <v>1214</v>
      </c>
      <c r="G17" s="0" t="n">
        <v>9.07867185163027</v>
      </c>
      <c r="H17" s="0" t="n">
        <v>1808</v>
      </c>
      <c r="I17" s="0" t="n">
        <v>732</v>
      </c>
      <c r="J17" s="0" t="n">
        <v>5.47412503739156</v>
      </c>
      <c r="K17" s="0" t="n">
        <v>2.27</v>
      </c>
      <c r="L17" s="0" t="n">
        <v>301</v>
      </c>
      <c r="M17" s="0" t="n">
        <v>1651</v>
      </c>
      <c r="N17" s="0" t="n">
        <v>-1350</v>
      </c>
      <c r="O17" s="0" t="n">
        <v>3527</v>
      </c>
      <c r="P17" s="0" t="n">
        <v>19909</v>
      </c>
      <c r="Q17" s="0" t="n">
        <v>16382</v>
      </c>
      <c r="R17" s="0" t="n">
        <v>8948</v>
      </c>
      <c r="S17" s="0" t="n">
        <v>548</v>
      </c>
      <c r="T17" s="0" t="n">
        <v>320.008</v>
      </c>
      <c r="U17" s="0" t="n">
        <v>39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12062</v>
      </c>
      <c r="F18" s="0" t="n">
        <v>1273</v>
      </c>
      <c r="G18" s="0" t="n">
        <v>10.5538053390814</v>
      </c>
      <c r="H18" s="0" t="n">
        <v>1878</v>
      </c>
      <c r="I18" s="0" t="n">
        <v>711</v>
      </c>
      <c r="J18" s="0" t="n">
        <v>5.89454485160007</v>
      </c>
      <c r="K18" s="0" t="n">
        <v>2.25</v>
      </c>
      <c r="L18" s="0" t="n">
        <v>1863</v>
      </c>
      <c r="M18" s="0" t="n">
        <v>1045</v>
      </c>
      <c r="N18" s="0" t="n">
        <v>818</v>
      </c>
      <c r="O18" s="0" t="n">
        <v>3837</v>
      </c>
      <c r="P18" s="0" t="n">
        <v>19303</v>
      </c>
      <c r="Q18" s="0" t="n">
        <v>15466</v>
      </c>
      <c r="R18" s="0" t="n">
        <v>8569</v>
      </c>
      <c r="S18" s="0" t="n">
        <v>695</v>
      </c>
      <c r="T18" s="0" t="n">
        <v>317.022</v>
      </c>
      <c r="U18" s="0" t="n">
        <v>33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11795</v>
      </c>
      <c r="I19" s="0" t="n">
        <v>4014</v>
      </c>
      <c r="J19" s="0" t="n">
        <v>34.0313692242476</v>
      </c>
      <c r="K19" s="0" t="n">
        <v>13.12</v>
      </c>
      <c r="L19" s="0" t="n">
        <v>115</v>
      </c>
      <c r="M19" s="0" t="n">
        <v>484</v>
      </c>
      <c r="N19" s="0" t="n">
        <v>-369</v>
      </c>
      <c r="O19" s="0" t="n">
        <v>5930</v>
      </c>
      <c r="P19" s="0" t="n">
        <v>17628</v>
      </c>
      <c r="Q19" s="0" t="n">
        <v>11698</v>
      </c>
      <c r="R19" s="0" t="n">
        <v>5673</v>
      </c>
      <c r="S19" s="0" t="n">
        <v>885</v>
      </c>
      <c r="T19" s="0" t="n">
        <v>308.206</v>
      </c>
      <c r="U19" s="0" t="n">
        <v>63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13161</v>
      </c>
      <c r="I20" s="0" t="n">
        <v>915</v>
      </c>
      <c r="J20" s="0" t="n">
        <v>6.9523592432186</v>
      </c>
      <c r="K20" s="0" t="n">
        <v>3.33</v>
      </c>
      <c r="L20" s="0" t="n">
        <v>1262</v>
      </c>
      <c r="M20" s="0" t="n">
        <v>474</v>
      </c>
      <c r="N20" s="0" t="n">
        <v>788</v>
      </c>
      <c r="O20" s="0" t="n">
        <v>5421</v>
      </c>
      <c r="P20" s="0" t="n">
        <v>19524</v>
      </c>
      <c r="Q20" s="0" t="n">
        <v>14103</v>
      </c>
      <c r="R20" s="0" t="n">
        <v>7012</v>
      </c>
      <c r="S20" s="0" t="n">
        <v>1212</v>
      </c>
      <c r="T20" s="0" t="n">
        <v>275.972</v>
      </c>
      <c r="U20" s="0" t="n">
        <v>28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56.83</v>
      </c>
    </row>
    <row r="3" customFormat="false" ht="15" hidden="false" customHeight="false" outlineLevel="0" collapsed="false">
      <c r="A3" s="0" t="s">
        <v>85</v>
      </c>
      <c r="B3" s="3" t="n">
        <v>267.139</v>
      </c>
    </row>
    <row r="4" customFormat="false" ht="15" hidden="false" customHeight="false" outlineLevel="0" collapsed="false">
      <c r="A4" s="0" t="s">
        <v>86</v>
      </c>
      <c r="B4" s="3" t="n">
        <v>6729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14326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</v>
      </c>
      <c r="D13" s="3" t="n">
        <v>1.5</v>
      </c>
      <c r="E13" s="3" t="n">
        <v>1.5</v>
      </c>
      <c r="F13" s="3" t="n">
        <v>1.5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14</v>
      </c>
      <c r="D14" s="3" t="n">
        <v>13.5</v>
      </c>
      <c r="E14" s="3" t="n">
        <v>13.5</v>
      </c>
      <c r="F14" s="3" t="n">
        <v>14</v>
      </c>
      <c r="G14" s="3" t="n">
        <v>14.5</v>
      </c>
      <c r="H14" s="3" t="n">
        <v>14.8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108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4.5</v>
      </c>
      <c r="D17" s="3" t="n">
        <v>4.5</v>
      </c>
      <c r="E17" s="3" t="n">
        <v>4.4</v>
      </c>
      <c r="F17" s="3" t="n">
        <v>4.3</v>
      </c>
      <c r="G17" s="3" t="n">
        <v>4.2</v>
      </c>
      <c r="H17" s="3" t="n">
        <v>4.2</v>
      </c>
      <c r="I17" s="3" t="n">
        <v>4.1</v>
      </c>
      <c r="J17" s="3" t="n">
        <v>4.1</v>
      </c>
      <c r="K17" s="3" t="n">
        <v>4.1</v>
      </c>
      <c r="L17" s="3" t="n">
        <v>4.1</v>
      </c>
    </row>
    <row r="18" customFormat="false" ht="15" hidden="false" customHeight="false" outlineLevel="0" collapsed="false">
      <c r="A18" s="0" t="s">
        <v>111</v>
      </c>
      <c r="C18" s="3" t="n">
        <v>3.6</v>
      </c>
      <c r="D18" s="3" t="n">
        <v>3.6</v>
      </c>
      <c r="E18" s="3" t="n">
        <v>3.5</v>
      </c>
      <c r="F18" s="3" t="n">
        <v>3.5</v>
      </c>
      <c r="G18" s="3" t="n">
        <v>3.4</v>
      </c>
      <c r="H18" s="3" t="n">
        <v>3.4</v>
      </c>
      <c r="I18" s="3" t="n">
        <v>3.3</v>
      </c>
      <c r="J18" s="3" t="n">
        <v>3.3</v>
      </c>
      <c r="K18" s="3" t="n">
        <v>3.3</v>
      </c>
      <c r="L18" s="3" t="n">
        <v>3.3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24.5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-12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15.5</v>
      </c>
      <c r="D28" s="3" t="n">
        <v>15.7</v>
      </c>
      <c r="E28" s="3" t="n">
        <v>16</v>
      </c>
      <c r="F28" s="3" t="n">
        <v>16.2</v>
      </c>
      <c r="G28" s="3" t="n">
        <v>16.4</v>
      </c>
      <c r="H28" s="3" t="n">
        <v>16.5</v>
      </c>
      <c r="I28" s="3" t="n">
        <v>16.5</v>
      </c>
      <c r="J28" s="3" t="n">
        <v>16.5</v>
      </c>
      <c r="K28" s="3" t="n">
        <v>16.5</v>
      </c>
      <c r="L28" s="3" t="n">
        <v>16.5</v>
      </c>
    </row>
    <row r="29" customFormat="false" ht="15" hidden="false" customHeight="false" outlineLevel="0" collapsed="false">
      <c r="A29" s="0" t="s">
        <v>108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4.3</v>
      </c>
      <c r="D31" s="3" t="n">
        <v>4.2</v>
      </c>
      <c r="E31" s="3" t="n">
        <v>4.1</v>
      </c>
      <c r="F31" s="3" t="n">
        <v>4</v>
      </c>
      <c r="G31" s="3" t="n">
        <v>4</v>
      </c>
      <c r="H31" s="3" t="n">
        <v>3.9</v>
      </c>
      <c r="I31" s="3" t="n">
        <v>3.9</v>
      </c>
      <c r="J31" s="3" t="n">
        <v>3.9</v>
      </c>
      <c r="K31" s="3" t="n">
        <v>3.9</v>
      </c>
      <c r="L31" s="3" t="n">
        <v>3.9</v>
      </c>
    </row>
    <row r="32" customFormat="false" ht="15" hidden="false" customHeight="false" outlineLevel="0" collapsed="false">
      <c r="A32" s="0" t="s">
        <v>111</v>
      </c>
      <c r="C32" s="3" t="n">
        <v>3.4</v>
      </c>
      <c r="D32" s="3" t="n">
        <v>3.3</v>
      </c>
      <c r="E32" s="3" t="n">
        <v>3.2</v>
      </c>
      <c r="F32" s="3" t="n">
        <v>3.2</v>
      </c>
      <c r="G32" s="3" t="n">
        <v>3.1</v>
      </c>
      <c r="H32" s="3" t="n">
        <v>3.1</v>
      </c>
      <c r="I32" s="3" t="n">
        <v>3.1</v>
      </c>
      <c r="J32" s="3" t="n">
        <v>3.1</v>
      </c>
      <c r="K32" s="3" t="n">
        <v>3.1</v>
      </c>
      <c r="L32" s="3" t="n">
        <v>3.1</v>
      </c>
    </row>
    <row r="33" customFormat="false" ht="15" hidden="false" customHeight="false" outlineLevel="0" collapsed="false">
      <c r="A33" s="0" t="s">
        <v>112</v>
      </c>
      <c r="C33" s="3" t="n">
        <v>23</v>
      </c>
      <c r="D33" s="3" t="n">
        <v>23</v>
      </c>
      <c r="E33" s="3" t="n">
        <v>23.5</v>
      </c>
      <c r="F33" s="3" t="n">
        <v>23.5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-8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8</v>
      </c>
      <c r="E41" s="3" t="n">
        <v>7</v>
      </c>
      <c r="F41" s="3" t="n">
        <v>6</v>
      </c>
      <c r="G41" s="3" t="n">
        <v>5.5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15.8</v>
      </c>
      <c r="D42" s="3" t="n">
        <v>16.3</v>
      </c>
      <c r="E42" s="3" t="n">
        <v>16.8</v>
      </c>
      <c r="F42" s="3" t="n">
        <v>17.2</v>
      </c>
      <c r="G42" s="3" t="n">
        <v>17.5</v>
      </c>
      <c r="H42" s="3" t="n">
        <v>17.7</v>
      </c>
      <c r="I42" s="3" t="n">
        <v>17.8</v>
      </c>
      <c r="J42" s="3" t="n">
        <v>17.8</v>
      </c>
      <c r="K42" s="3" t="n">
        <v>17.8</v>
      </c>
      <c r="L42" s="3" t="n">
        <v>17.8</v>
      </c>
    </row>
    <row r="43" customFormat="false" ht="15" hidden="false" customHeight="false" outlineLevel="0" collapsed="false">
      <c r="A43" s="0" t="s">
        <v>108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4.2</v>
      </c>
      <c r="D45" s="3" t="n">
        <v>4</v>
      </c>
      <c r="E45" s="3" t="n">
        <v>3.9</v>
      </c>
      <c r="F45" s="3" t="n">
        <v>3.8</v>
      </c>
      <c r="G45" s="3" t="n">
        <v>3.7</v>
      </c>
      <c r="H45" s="3" t="n">
        <v>3.6</v>
      </c>
      <c r="I45" s="3" t="n">
        <v>3.6</v>
      </c>
      <c r="J45" s="3" t="n">
        <v>3.6</v>
      </c>
      <c r="K45" s="3" t="n">
        <v>3.6</v>
      </c>
      <c r="L45" s="3" t="n">
        <v>3.6</v>
      </c>
    </row>
    <row r="46" customFormat="false" ht="15" hidden="false" customHeight="false" outlineLevel="0" collapsed="false">
      <c r="A46" s="0" t="s">
        <v>111</v>
      </c>
      <c r="C46" s="3" t="n">
        <v>3.5</v>
      </c>
      <c r="D46" s="3" t="n">
        <v>3.4</v>
      </c>
      <c r="E46" s="3" t="n">
        <v>3.3</v>
      </c>
      <c r="F46" s="3" t="n">
        <v>3.2</v>
      </c>
      <c r="G46" s="3" t="n">
        <v>3.1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112</v>
      </c>
      <c r="C47" s="3" t="n">
        <v>22</v>
      </c>
      <c r="D47" s="3" t="n">
        <v>22.5</v>
      </c>
      <c r="E47" s="3" t="n">
        <v>23</v>
      </c>
      <c r="F47" s="3" t="n">
        <v>23</v>
      </c>
      <c r="G47" s="3" t="n">
        <v>23.5</v>
      </c>
      <c r="H47" s="3" t="n">
        <v>23.5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-6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14326</v>
      </c>
      <c r="C6" s="0" t="n">
        <f aca="false">B6*(1+C5/100)</f>
        <v>14612.52</v>
      </c>
      <c r="D6" s="0" t="n">
        <f aca="false">C6*(1+D5/100)</f>
        <v>14831.7078</v>
      </c>
      <c r="E6" s="0" t="n">
        <f aca="false">D6*(1+E5/100)</f>
        <v>15054.183417</v>
      </c>
      <c r="F6" s="0" t="n">
        <f aca="false">E6*(1+F5/100)</f>
        <v>15279.996168255</v>
      </c>
      <c r="G6" s="0" t="n">
        <f aca="false">F6*(1+G5/100)</f>
        <v>15509.1961107788</v>
      </c>
      <c r="H6" s="0" t="n">
        <f aca="false">G6*(1+H5/100)</f>
        <v>15819.3800329944</v>
      </c>
      <c r="I6" s="0" t="n">
        <f aca="false">H6*(1+I5/100)</f>
        <v>16135.7676336543</v>
      </c>
      <c r="J6" s="0" t="n">
        <f aca="false">I6*(1+J5/100)</f>
        <v>16458.4829863274</v>
      </c>
      <c r="K6" s="0" t="n">
        <f aca="false">J6*(1+K5/100)</f>
        <v>16787.6526460539</v>
      </c>
      <c r="L6" s="0" t="n">
        <f aca="false">K6*(1+L5/100)</f>
        <v>17123.405698975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14</v>
      </c>
      <c r="D7" s="4" t="n">
        <f aca="false">Assumptions!D14</f>
        <v>13.5</v>
      </c>
      <c r="E7" s="4" t="n">
        <f aca="false">Assumptions!E14</f>
        <v>13.5</v>
      </c>
      <c r="F7" s="4" t="n">
        <f aca="false">Assumptions!F14</f>
        <v>14</v>
      </c>
      <c r="G7" s="4" t="n">
        <f aca="false">Assumptions!G14</f>
        <v>14.5</v>
      </c>
      <c r="H7" s="4" t="n">
        <f aca="false">Assumptions!H14</f>
        <v>14.8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2045.7528</v>
      </c>
      <c r="D8" s="0" t="n">
        <f aca="false">D6*D7/100</f>
        <v>2002.280553</v>
      </c>
      <c r="E8" s="0" t="n">
        <f aca="false">E6*E7/100</f>
        <v>2032.314761295</v>
      </c>
      <c r="F8" s="0" t="n">
        <f aca="false">F6*F7/100</f>
        <v>2139.1994635557</v>
      </c>
      <c r="G8" s="0" t="n">
        <f aca="false">G6*G7/100</f>
        <v>2248.83343606293</v>
      </c>
      <c r="H8" s="0" t="n">
        <f aca="false">H6*H7/100</f>
        <v>2341.26824488317</v>
      </c>
      <c r="I8" s="0" t="n">
        <f aca="false">I6*I7/100</f>
        <v>2420.36514504814</v>
      </c>
      <c r="J8" s="0" t="n">
        <f aca="false">J6*J7/100</f>
        <v>2468.77244794911</v>
      </c>
      <c r="K8" s="0" t="n">
        <f aca="false">K6*K7/100</f>
        <v>2518.14789690809</v>
      </c>
      <c r="L8" s="0" t="n">
        <f aca="false">L6*L7/100</f>
        <v>2568.51085484625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-29.22504</v>
      </c>
      <c r="D10" s="0" t="n">
        <f aca="false">-D6*D9/100</f>
        <v>-29.6634156</v>
      </c>
      <c r="E10" s="0" t="n">
        <f aca="false">-E6*E9/100</f>
        <v>-30.108366834</v>
      </c>
      <c r="F10" s="0" t="n">
        <f aca="false">-F6*F9/100</f>
        <v>-30.55999233651</v>
      </c>
      <c r="G10" s="0" t="n">
        <f aca="false">-G6*G9/100</f>
        <v>-31.0183922215576</v>
      </c>
      <c r="H10" s="0" t="n">
        <f aca="false">-H6*H9/100</f>
        <v>-31.6387600659888</v>
      </c>
      <c r="I10" s="0" t="n">
        <f aca="false">-I6*I9/100</f>
        <v>-32.2715352673086</v>
      </c>
      <c r="J10" s="0" t="n">
        <f aca="false">-J6*J9/100</f>
        <v>-32.9169659726547</v>
      </c>
      <c r="K10" s="0" t="n">
        <f aca="false">-K6*K9/100</f>
        <v>-33.5753052921078</v>
      </c>
      <c r="L10" s="0" t="n">
        <f aca="false">-L6*L9/100</f>
        <v>-34.24681139795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2016.52776</v>
      </c>
      <c r="D11" s="0" t="n">
        <f aca="false">D8+D10+D24</f>
        <v>1972.6171374</v>
      </c>
      <c r="E11" s="0" t="n">
        <f aca="false">E8+E10+E24</f>
        <v>2002.206394461</v>
      </c>
      <c r="F11" s="0" t="n">
        <f aca="false">F8+F10+F24</f>
        <v>2108.63947121919</v>
      </c>
      <c r="G11" s="0" t="n">
        <f aca="false">G8+G10+G24</f>
        <v>2217.81504384137</v>
      </c>
      <c r="H11" s="0" t="n">
        <f aca="false">H8+H10+H24</f>
        <v>2309.62948481718</v>
      </c>
      <c r="I11" s="0" t="n">
        <f aca="false">I8+I10+I24</f>
        <v>2388.09360978083</v>
      </c>
      <c r="J11" s="0" t="n">
        <f aca="false">J8+J10+J24</f>
        <v>2435.85548197645</v>
      </c>
      <c r="K11" s="0" t="n">
        <f aca="false">K8+K10+K24</f>
        <v>2484.57259161598</v>
      </c>
      <c r="L11" s="0" t="n">
        <f aca="false">L8+L10+L24</f>
        <v>2534.2640434483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-657.5634</v>
      </c>
      <c r="D12" s="4" t="n">
        <f aca="false">-D6*Assumptions!D17/100</f>
        <v>-667.426851</v>
      </c>
      <c r="E12" s="4" t="n">
        <f aca="false">-E6*Assumptions!E17/100</f>
        <v>-662.384070348</v>
      </c>
      <c r="F12" s="4" t="n">
        <f aca="false">-F6*Assumptions!F17/100</f>
        <v>-657.039835234965</v>
      </c>
      <c r="G12" s="4" t="n">
        <f aca="false">-G6*Assumptions!G17/100</f>
        <v>-651.38623665271</v>
      </c>
      <c r="H12" s="4" t="n">
        <f aca="false">-H6*Assumptions!H17/100</f>
        <v>-664.413961385765</v>
      </c>
      <c r="I12" s="4" t="n">
        <f aca="false">-I6*Assumptions!I17/100</f>
        <v>-661.566472979825</v>
      </c>
      <c r="J12" s="4" t="n">
        <f aca="false">-J6*Assumptions!J17/100</f>
        <v>-674.797802439422</v>
      </c>
      <c r="K12" s="4" t="n">
        <f aca="false">-K6*Assumptions!K17/100</f>
        <v>-688.29375848821</v>
      </c>
      <c r="L12" s="4" t="n">
        <f aca="false">-L6*Assumptions!L17/100</f>
        <v>-702.059633657975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1358.96436</v>
      </c>
      <c r="D13" s="0" t="n">
        <f aca="false">D11+D12</f>
        <v>1305.1902864</v>
      </c>
      <c r="E13" s="0" t="n">
        <f aca="false">E11+E12</f>
        <v>1339.822324113</v>
      </c>
      <c r="F13" s="0" t="n">
        <f aca="false">F11+F12</f>
        <v>1451.59963598422</v>
      </c>
      <c r="G13" s="0" t="n">
        <f aca="false">G11+G12</f>
        <v>1566.42880718866</v>
      </c>
      <c r="H13" s="0" t="n">
        <f aca="false">H11+H12</f>
        <v>1645.21552343142</v>
      </c>
      <c r="I13" s="0" t="n">
        <f aca="false">I11+I12</f>
        <v>1726.52713680101</v>
      </c>
      <c r="J13" s="0" t="n">
        <f aca="false">J11+J12</f>
        <v>1761.05767953703</v>
      </c>
      <c r="K13" s="0" t="n">
        <f aca="false">K11+K12</f>
        <v>1796.27883312777</v>
      </c>
      <c r="L13" s="0" t="n">
        <f aca="false">L11+L12</f>
        <v>1832.20440979032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24.5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1032.8129136</v>
      </c>
      <c r="D15" s="0" t="n">
        <f aca="false">D13-MAX(0,D13)*D14/100</f>
        <v>985.418666232</v>
      </c>
      <c r="E15" s="0" t="n">
        <f aca="false">E13-MAX(0,E13)*E14/100</f>
        <v>1004.86674308475</v>
      </c>
      <c r="F15" s="0" t="n">
        <f aca="false">F13-MAX(0,F13)*F14/100</f>
        <v>1088.69972698817</v>
      </c>
      <c r="G15" s="0" t="n">
        <f aca="false">G13-MAX(0,G13)*G14/100</f>
        <v>1174.8216053915</v>
      </c>
      <c r="H15" s="0" t="n">
        <f aca="false">H13-MAX(0,H13)*H14/100</f>
        <v>1233.91164257356</v>
      </c>
      <c r="I15" s="0" t="n">
        <f aca="false">I13-MAX(0,I13)*I14/100</f>
        <v>1294.89535260076</v>
      </c>
      <c r="J15" s="0" t="n">
        <f aca="false">J13-MAX(0,J13)*J14/100</f>
        <v>1320.79325965277</v>
      </c>
      <c r="K15" s="0" t="n">
        <f aca="false">K13-MAX(0,K13)*K14/100</f>
        <v>1347.20912484583</v>
      </c>
      <c r="L15" s="0" t="n">
        <f aca="false">L13-MAX(0,L13)*L14/100</f>
        <v>1374.15330734274</v>
      </c>
    </row>
    <row r="16" customFormat="false" ht="15" hidden="false" customHeight="false" outlineLevel="0" collapsed="false">
      <c r="A16" s="0" t="s">
        <v>128</v>
      </c>
      <c r="C16" s="0" t="n">
        <f aca="false">-C12</f>
        <v>657.5634</v>
      </c>
      <c r="D16" s="0" t="n">
        <f aca="false">-D12</f>
        <v>667.426851</v>
      </c>
      <c r="E16" s="0" t="n">
        <f aca="false">-E12</f>
        <v>662.384070348</v>
      </c>
      <c r="F16" s="0" t="n">
        <f aca="false">-F12</f>
        <v>657.039835234965</v>
      </c>
      <c r="G16" s="0" t="n">
        <f aca="false">-G12</f>
        <v>651.38623665271</v>
      </c>
      <c r="H16" s="0" t="n">
        <f aca="false">-H12</f>
        <v>664.413961385765</v>
      </c>
      <c r="I16" s="0" t="n">
        <f aca="false">-I12</f>
        <v>661.566472979825</v>
      </c>
      <c r="J16" s="0" t="n">
        <f aca="false">-J12</f>
        <v>674.797802439422</v>
      </c>
      <c r="K16" s="0" t="n">
        <f aca="false">-K12</f>
        <v>688.29375848821</v>
      </c>
      <c r="L16" s="0" t="n">
        <f aca="false">-L12</f>
        <v>702.059633657975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-526.05072</v>
      </c>
      <c r="D17" s="4" t="n">
        <f aca="false">-D6*Assumptions!D18/100</f>
        <v>-533.9414808</v>
      </c>
      <c r="E17" s="4" t="n">
        <f aca="false">-E6*Assumptions!E18/100</f>
        <v>-526.896419595</v>
      </c>
      <c r="F17" s="4" t="n">
        <f aca="false">-F6*Assumptions!F18/100</f>
        <v>-534.799865888925</v>
      </c>
      <c r="G17" s="4" t="n">
        <f aca="false">-G6*Assumptions!G18/100</f>
        <v>-527.31266776648</v>
      </c>
      <c r="H17" s="4" t="n">
        <f aca="false">-H6*Assumptions!H18/100</f>
        <v>-537.858921121809</v>
      </c>
      <c r="I17" s="4" t="n">
        <f aca="false">-I6*Assumptions!I18/100</f>
        <v>-532.480331910591</v>
      </c>
      <c r="J17" s="4" t="n">
        <f aca="false">-J6*Assumptions!J18/100</f>
        <v>-543.129938548803</v>
      </c>
      <c r="K17" s="4" t="n">
        <f aca="false">-K6*Assumptions!K18/100</f>
        <v>-553.992537319779</v>
      </c>
      <c r="L17" s="4" t="n">
        <f aca="false">-L6*Assumptions!L18/100</f>
        <v>-565.072388066175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-34.3824000000001</v>
      </c>
      <c r="D18" s="4" t="n">
        <f aca="false">(D6-C6)*Assumptions!$B$23/100</f>
        <v>-26.3025359999997</v>
      </c>
      <c r="E18" s="4" t="n">
        <f aca="false">(E6-D6)*Assumptions!$B$23/100</f>
        <v>-26.6970740399998</v>
      </c>
      <c r="F18" s="4" t="n">
        <f aca="false">(F6-E6)*Assumptions!$B$23/100</f>
        <v>-27.0975301505998</v>
      </c>
      <c r="G18" s="4" t="n">
        <f aca="false">(G6-F6)*Assumptions!$B$23/100</f>
        <v>-27.5039931028587</v>
      </c>
      <c r="H18" s="4" t="n">
        <f aca="false">(H6-G6)*Assumptions!$B$23/100</f>
        <v>-37.2220706658691</v>
      </c>
      <c r="I18" s="4" t="n">
        <f aca="false">(I6-H6)*Assumptions!$B$23/100</f>
        <v>-37.9665120791865</v>
      </c>
      <c r="J18" s="4" t="n">
        <f aca="false">(J6-I6)*Assumptions!$B$23/100</f>
        <v>-38.7258423207702</v>
      </c>
      <c r="K18" s="4" t="n">
        <f aca="false">(K6-J6)*Assumptions!$B$23/100</f>
        <v>-39.5003591671857</v>
      </c>
      <c r="L18" s="4" t="n">
        <f aca="false">(L6-K6)*Assumptions!$B$23/100</f>
        <v>-40.2903663505294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1129.9431936</v>
      </c>
      <c r="D19" s="0" t="n">
        <f aca="false">D15+D16+D17+D18</f>
        <v>1092.601500432</v>
      </c>
      <c r="E19" s="0" t="n">
        <f aca="false">E15+E16+E17+E18</f>
        <v>1113.65731979775</v>
      </c>
      <c r="F19" s="0" t="n">
        <f aca="false">F15+F16+F17+F18</f>
        <v>1183.84216618361</v>
      </c>
      <c r="G19" s="0" t="n">
        <f aca="false">G15+G16+G17+G18</f>
        <v>1271.39118117487</v>
      </c>
      <c r="H19" s="0" t="n">
        <f aca="false">H15+H16+H17+H18</f>
        <v>1323.24461217165</v>
      </c>
      <c r="I19" s="0" t="n">
        <f aca="false">I15+I16+I17+I18</f>
        <v>1386.0149815908</v>
      </c>
      <c r="J19" s="0" t="n">
        <f aca="false">J15+J16+J17+J18</f>
        <v>1413.73528122262</v>
      </c>
      <c r="K19" s="0" t="n">
        <f aca="false">K15+K16+K17+K18</f>
        <v>1442.00998684707</v>
      </c>
      <c r="L19" s="0" t="n">
        <f aca="false">L15+L16+L17+L18</f>
        <v>1470.85018658401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1036.64513174312</v>
      </c>
      <c r="D21" s="0" t="n">
        <f aca="false">D19*D20</f>
        <v>919.620823526639</v>
      </c>
      <c r="E21" s="0" t="n">
        <f aca="false">E19*E20</f>
        <v>859.947784796904</v>
      </c>
      <c r="F21" s="0" t="n">
        <f aca="false">F19*F20</f>
        <v>838.663636446502</v>
      </c>
      <c r="G21" s="0" t="n">
        <f aca="false">G19*G20</f>
        <v>826.317032908472</v>
      </c>
      <c r="H21" s="0" t="n">
        <f aca="false">H19*H20</f>
        <v>789.007527706914</v>
      </c>
      <c r="I21" s="0" t="n">
        <f aca="false">I19*I20</f>
        <v>758.19765879605</v>
      </c>
      <c r="J21" s="0" t="n">
        <f aca="false">J19*J20</f>
        <v>709.506066029331</v>
      </c>
      <c r="K21" s="0" t="n">
        <f aca="false">K19*K20</f>
        <v>663.941456284328</v>
      </c>
      <c r="L21" s="0" t="n">
        <f aca="false">L19*L20</f>
        <v>621.303014137628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8023.15013237589</v>
      </c>
    </row>
    <row r="31" customFormat="false" ht="15" hidden="false" customHeight="false" outlineLevel="0" collapsed="false">
      <c r="A31" s="0" t="s">
        <v>137</v>
      </c>
      <c r="B31" s="0" t="n">
        <f aca="false">L19</f>
        <v>1470.85018658401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21432.3884330813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17650.2022390082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17650.2022390082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7455.63616965153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15478.7863020274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8749.78630202742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32.7536836704016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-0.423655047151124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199.80148146896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210.793538584811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34.2906925685923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11540.5168485823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8.61852729622516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14326</v>
      </c>
      <c r="C6" s="0" t="n">
        <f aca="false">B6*(1+C5/100)</f>
        <v>15185.56</v>
      </c>
      <c r="D6" s="0" t="n">
        <f aca="false">C6*(1+D5/100)</f>
        <v>16020.7658</v>
      </c>
      <c r="E6" s="0" t="n">
        <f aca="false">D6*(1+E5/100)</f>
        <v>16821.80409</v>
      </c>
      <c r="F6" s="0" t="n">
        <f aca="false">E6*(1+F5/100)</f>
        <v>17578.78527405</v>
      </c>
      <c r="G6" s="0" t="n">
        <f aca="false">F6*(1+G5/100)</f>
        <v>18281.936685012</v>
      </c>
      <c r="H6" s="0" t="n">
        <f aca="false">G6*(1+H5/100)</f>
        <v>18921.8044689874</v>
      </c>
      <c r="I6" s="0" t="n">
        <f aca="false">H6*(1+I5/100)</f>
        <v>19489.458603057</v>
      </c>
      <c r="J6" s="0" t="n">
        <f aca="false">I6*(1+J5/100)</f>
        <v>20074.1423611488</v>
      </c>
      <c r="K6" s="0" t="n">
        <f aca="false">J6*(1+K5/100)</f>
        <v>20575.9959201775</v>
      </c>
      <c r="L6" s="0" t="n">
        <f aca="false">K6*(1+L5/100)</f>
        <v>21090.3958181819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15.5</v>
      </c>
      <c r="D7" s="4" t="n">
        <f aca="false">Assumptions!D28</f>
        <v>15.7</v>
      </c>
      <c r="E7" s="4" t="n">
        <f aca="false">Assumptions!E28</f>
        <v>16</v>
      </c>
      <c r="F7" s="4" t="n">
        <f aca="false">Assumptions!F28</f>
        <v>16.2</v>
      </c>
      <c r="G7" s="4" t="n">
        <f aca="false">Assumptions!G28</f>
        <v>16.4</v>
      </c>
      <c r="H7" s="4" t="n">
        <f aca="false">Assumptions!H28</f>
        <v>16.5</v>
      </c>
      <c r="I7" s="4" t="n">
        <f aca="false">Assumptions!I28</f>
        <v>16.5</v>
      </c>
      <c r="J7" s="4" t="n">
        <f aca="false">Assumptions!J28</f>
        <v>16.5</v>
      </c>
      <c r="K7" s="4" t="n">
        <f aca="false">Assumptions!K28</f>
        <v>16.5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2353.7618</v>
      </c>
      <c r="D8" s="0" t="n">
        <f aca="false">D6*D7/100</f>
        <v>2515.2602306</v>
      </c>
      <c r="E8" s="0" t="n">
        <f aca="false">E6*E7/100</f>
        <v>2691.4886544</v>
      </c>
      <c r="F8" s="0" t="n">
        <f aca="false">F6*F7/100</f>
        <v>2847.7632143961</v>
      </c>
      <c r="G8" s="0" t="n">
        <f aca="false">G6*G7/100</f>
        <v>2998.23761634197</v>
      </c>
      <c r="H8" s="0" t="n">
        <f aca="false">H6*H7/100</f>
        <v>3122.09773738292</v>
      </c>
      <c r="I8" s="0" t="n">
        <f aca="false">I6*I7/100</f>
        <v>3215.76066950441</v>
      </c>
      <c r="J8" s="0" t="n">
        <f aca="false">J6*J7/100</f>
        <v>3312.23348958955</v>
      </c>
      <c r="K8" s="0" t="n">
        <f aca="false">K6*K7/100</f>
        <v>3395.03932682928</v>
      </c>
      <c r="L8" s="0" t="n">
        <f aca="false">L6*L7/100</f>
        <v>3479.91531000002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-30.37112</v>
      </c>
      <c r="D10" s="0" t="n">
        <f aca="false">-D6*D9/100</f>
        <v>-32.0415316</v>
      </c>
      <c r="E10" s="0" t="n">
        <f aca="false">-E6*E9/100</f>
        <v>-33.64360818</v>
      </c>
      <c r="F10" s="0" t="n">
        <f aca="false">-F6*F9/100</f>
        <v>-35.1575705481</v>
      </c>
      <c r="G10" s="0" t="n">
        <f aca="false">-G6*G9/100</f>
        <v>-36.563873370024</v>
      </c>
      <c r="H10" s="0" t="n">
        <f aca="false">-H6*H9/100</f>
        <v>-37.8436089379748</v>
      </c>
      <c r="I10" s="0" t="n">
        <f aca="false">-I6*I9/100</f>
        <v>-38.9789172061141</v>
      </c>
      <c r="J10" s="0" t="n">
        <f aca="false">-J6*J9/100</f>
        <v>-40.1482847222975</v>
      </c>
      <c r="K10" s="0" t="n">
        <f aca="false">-K6*K9/100</f>
        <v>-41.151991840355</v>
      </c>
      <c r="L10" s="0" t="n">
        <f aca="false">-L6*L9/100</f>
        <v>-42.1807916363638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2323.39068</v>
      </c>
      <c r="D11" s="0" t="n">
        <f aca="false">D8+D10+D24</f>
        <v>2483.218699</v>
      </c>
      <c r="E11" s="0" t="n">
        <f aca="false">E8+E10+E24</f>
        <v>2657.84504622</v>
      </c>
      <c r="F11" s="0" t="n">
        <f aca="false">F8+F10+F24</f>
        <v>2812.605643848</v>
      </c>
      <c r="G11" s="0" t="n">
        <f aca="false">G8+G10+G24</f>
        <v>2961.67374297194</v>
      </c>
      <c r="H11" s="0" t="n">
        <f aca="false">H8+H10+H24</f>
        <v>3084.25412844495</v>
      </c>
      <c r="I11" s="0" t="n">
        <f aca="false">I8+I10+I24</f>
        <v>3176.7817522983</v>
      </c>
      <c r="J11" s="0" t="n">
        <f aca="false">J8+J10+J24</f>
        <v>3272.08520486725</v>
      </c>
      <c r="K11" s="0" t="n">
        <f aca="false">K8+K10+K24</f>
        <v>3353.88733498893</v>
      </c>
      <c r="L11" s="0" t="n">
        <f aca="false">L8+L10+L24</f>
        <v>3437.73451836365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-652.97908</v>
      </c>
      <c r="D12" s="4" t="n">
        <f aca="false">-D6*Assumptions!D31/100</f>
        <v>-672.8721636</v>
      </c>
      <c r="E12" s="4" t="n">
        <f aca="false">-E6*Assumptions!E31/100</f>
        <v>-689.69396769</v>
      </c>
      <c r="F12" s="4" t="n">
        <f aca="false">-F6*Assumptions!F31/100</f>
        <v>-703.151410962</v>
      </c>
      <c r="G12" s="4" t="n">
        <f aca="false">-G6*Assumptions!G31/100</f>
        <v>-731.27746740048</v>
      </c>
      <c r="H12" s="4" t="n">
        <f aca="false">-H6*Assumptions!H31/100</f>
        <v>-737.950374290509</v>
      </c>
      <c r="I12" s="4" t="n">
        <f aca="false">-I6*Assumptions!I31/100</f>
        <v>-760.088885519225</v>
      </c>
      <c r="J12" s="4" t="n">
        <f aca="false">-J6*Assumptions!J31/100</f>
        <v>-782.891552084802</v>
      </c>
      <c r="K12" s="4" t="n">
        <f aca="false">-K6*Assumptions!K31/100</f>
        <v>-802.463840886922</v>
      </c>
      <c r="L12" s="4" t="n">
        <f aca="false">-L6*Assumptions!L31/100</f>
        <v>-822.525436909095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1670.4116</v>
      </c>
      <c r="D13" s="0" t="n">
        <f aca="false">D11+D12</f>
        <v>1810.3465354</v>
      </c>
      <c r="E13" s="0" t="n">
        <f aca="false">E11+E12</f>
        <v>1968.15107853</v>
      </c>
      <c r="F13" s="0" t="n">
        <f aca="false">F11+F12</f>
        <v>2109.454232886</v>
      </c>
      <c r="G13" s="0" t="n">
        <f aca="false">G11+G12</f>
        <v>2230.39627557146</v>
      </c>
      <c r="H13" s="0" t="n">
        <f aca="false">H11+H12</f>
        <v>2346.30375415444</v>
      </c>
      <c r="I13" s="0" t="n">
        <f aca="false">I11+I12</f>
        <v>2416.69286677907</v>
      </c>
      <c r="J13" s="0" t="n">
        <f aca="false">J11+J12</f>
        <v>2489.19365278245</v>
      </c>
      <c r="K13" s="0" t="n">
        <f aca="false">K11+K12</f>
        <v>2551.42349410201</v>
      </c>
      <c r="L13" s="0" t="n">
        <f aca="false">L11+L12</f>
        <v>2615.20908145456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23.5</v>
      </c>
      <c r="F14" s="4" t="n">
        <f aca="false">Assumptions!F33</f>
        <v>23.5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1286.216932</v>
      </c>
      <c r="D15" s="0" t="n">
        <f aca="false">D13-MAX(0,D13)*D14/100</f>
        <v>1393.966832258</v>
      </c>
      <c r="E15" s="0" t="n">
        <f aca="false">E13-MAX(0,E13)*E14/100</f>
        <v>1505.63557507545</v>
      </c>
      <c r="F15" s="0" t="n">
        <f aca="false">F13-MAX(0,F13)*F14/100</f>
        <v>1613.73248815779</v>
      </c>
      <c r="G15" s="0" t="n">
        <f aca="false">G13-MAX(0,G13)*G14/100</f>
        <v>1695.10116943431</v>
      </c>
      <c r="H15" s="0" t="n">
        <f aca="false">H13-MAX(0,H13)*H14/100</f>
        <v>1783.19085315737</v>
      </c>
      <c r="I15" s="0" t="n">
        <f aca="false">I13-MAX(0,I13)*I14/100</f>
        <v>1836.6865787521</v>
      </c>
      <c r="J15" s="0" t="n">
        <f aca="false">J13-MAX(0,J13)*J14/100</f>
        <v>1891.78717611466</v>
      </c>
      <c r="K15" s="0" t="n">
        <f aca="false">K13-MAX(0,K13)*K14/100</f>
        <v>1939.08185551753</v>
      </c>
      <c r="L15" s="0" t="n">
        <f aca="false">L13-MAX(0,L13)*L14/100</f>
        <v>1987.55890190546</v>
      </c>
    </row>
    <row r="16" customFormat="false" ht="15" hidden="false" customHeight="false" outlineLevel="0" collapsed="false">
      <c r="A16" s="0" t="s">
        <v>128</v>
      </c>
      <c r="C16" s="0" t="n">
        <f aca="false">-C12</f>
        <v>652.97908</v>
      </c>
      <c r="D16" s="0" t="n">
        <f aca="false">-D12</f>
        <v>672.8721636</v>
      </c>
      <c r="E16" s="0" t="n">
        <f aca="false">-E12</f>
        <v>689.69396769</v>
      </c>
      <c r="F16" s="0" t="n">
        <f aca="false">-F12</f>
        <v>703.151410962</v>
      </c>
      <c r="G16" s="0" t="n">
        <f aca="false">-G12</f>
        <v>731.27746740048</v>
      </c>
      <c r="H16" s="0" t="n">
        <f aca="false">-H12</f>
        <v>737.950374290509</v>
      </c>
      <c r="I16" s="0" t="n">
        <f aca="false">-I12</f>
        <v>760.088885519225</v>
      </c>
      <c r="J16" s="0" t="n">
        <f aca="false">-J12</f>
        <v>782.891552084802</v>
      </c>
      <c r="K16" s="0" t="n">
        <f aca="false">-K12</f>
        <v>802.463840886922</v>
      </c>
      <c r="L16" s="0" t="n">
        <f aca="false">-L12</f>
        <v>822.525436909095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-516.30904</v>
      </c>
      <c r="D17" s="4" t="n">
        <f aca="false">-D6*Assumptions!D32/100</f>
        <v>-528.6852714</v>
      </c>
      <c r="E17" s="4" t="n">
        <f aca="false">-E6*Assumptions!E32/100</f>
        <v>-538.29773088</v>
      </c>
      <c r="F17" s="4" t="n">
        <f aca="false">-F6*Assumptions!F32/100</f>
        <v>-562.5211287696</v>
      </c>
      <c r="G17" s="4" t="n">
        <f aca="false">-G6*Assumptions!G32/100</f>
        <v>-566.740037235372</v>
      </c>
      <c r="H17" s="4" t="n">
        <f aca="false">-H6*Assumptions!H32/100</f>
        <v>-586.57593853861</v>
      </c>
      <c r="I17" s="4" t="n">
        <f aca="false">-I6*Assumptions!I32/100</f>
        <v>-604.173216694768</v>
      </c>
      <c r="J17" s="4" t="n">
        <f aca="false">-J6*Assumptions!J32/100</f>
        <v>-622.298413195612</v>
      </c>
      <c r="K17" s="4" t="n">
        <f aca="false">-K6*Assumptions!K32/100</f>
        <v>-637.855873525502</v>
      </c>
      <c r="L17" s="4" t="n">
        <f aca="false">-L6*Assumptions!L32/100</f>
        <v>-653.802270363639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-68.7648000000001</v>
      </c>
      <c r="D18" s="4" t="n">
        <f aca="false">(D6-C6)*Assumptions!$B$37/100</f>
        <v>-66.816464</v>
      </c>
      <c r="E18" s="4" t="n">
        <f aca="false">(E6-D6)*Assumptions!$B$37/100</f>
        <v>-64.0830632</v>
      </c>
      <c r="F18" s="4" t="n">
        <f aca="false">(F6-E6)*Assumptions!$B$37/100</f>
        <v>-60.5584947240001</v>
      </c>
      <c r="G18" s="4" t="n">
        <f aca="false">(G6-F6)*Assumptions!$B$37/100</f>
        <v>-56.25211287696</v>
      </c>
      <c r="H18" s="4" t="n">
        <f aca="false">(H6-G6)*Assumptions!$B$37/100</f>
        <v>-51.1894227180336</v>
      </c>
      <c r="I18" s="4" t="n">
        <f aca="false">(I6-H6)*Assumptions!$B$37/100</f>
        <v>-45.4123307255699</v>
      </c>
      <c r="J18" s="4" t="n">
        <f aca="false">(J6-I6)*Assumptions!$B$37/100</f>
        <v>-46.774700647337</v>
      </c>
      <c r="K18" s="4" t="n">
        <f aca="false">(K6-J6)*Assumptions!$B$37/100</f>
        <v>-40.1482847222974</v>
      </c>
      <c r="L18" s="4" t="n">
        <f aca="false">(L6-K6)*Assumptions!$B$37/100</f>
        <v>-41.1519918403547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1354.122172</v>
      </c>
      <c r="D19" s="0" t="n">
        <f aca="false">D15+D16+D17+D18</f>
        <v>1471.337260458</v>
      </c>
      <c r="E19" s="0" t="n">
        <f aca="false">E15+E16+E17+E18</f>
        <v>1592.94874868545</v>
      </c>
      <c r="F19" s="0" t="n">
        <f aca="false">F15+F16+F17+F18</f>
        <v>1693.80427562619</v>
      </c>
      <c r="G19" s="0" t="n">
        <f aca="false">G15+G16+G17+G18</f>
        <v>1803.38648672246</v>
      </c>
      <c r="H19" s="0" t="n">
        <f aca="false">H15+H16+H17+H18</f>
        <v>1883.37586619124</v>
      </c>
      <c r="I19" s="0" t="n">
        <f aca="false">I15+I16+I17+I18</f>
        <v>1947.18991685098</v>
      </c>
      <c r="J19" s="0" t="n">
        <f aca="false">J15+J16+J17+J18</f>
        <v>2005.60561435651</v>
      </c>
      <c r="K19" s="0" t="n">
        <f aca="false">K15+K16+K17+K18</f>
        <v>2063.54153815665</v>
      </c>
      <c r="L19" s="0" t="n">
        <f aca="false">L15+L16+L17+L18</f>
        <v>2115.13007661056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1253.81682592593</v>
      </c>
      <c r="D21" s="0" t="n">
        <f aca="false">D19*D20</f>
        <v>1261.43455114712</v>
      </c>
      <c r="E21" s="0" t="n">
        <f aca="false">E19*E20</f>
        <v>1264.53407499925</v>
      </c>
      <c r="F21" s="0" t="n">
        <f aca="false">F19*F20</f>
        <v>1244.99670737952</v>
      </c>
      <c r="G21" s="0" t="n">
        <f aca="false">G19*G20</f>
        <v>1227.35454062104</v>
      </c>
      <c r="H21" s="0" t="n">
        <f aca="false">H19*H20</f>
        <v>1186.84626687838</v>
      </c>
      <c r="I21" s="0" t="n">
        <f aca="false">I19*I20</f>
        <v>1136.16661423382</v>
      </c>
      <c r="J21" s="0" t="n">
        <f aca="false">J19*J20</f>
        <v>1083.56630801929</v>
      </c>
      <c r="K21" s="0" t="n">
        <f aca="false">K19*K20</f>
        <v>1032.28452309572</v>
      </c>
      <c r="L21" s="0" t="n">
        <f aca="false">L19*L20</f>
        <v>979.714477938072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11670.7148902381</v>
      </c>
    </row>
    <row r="31" customFormat="false" ht="15" hidden="false" customHeight="false" outlineLevel="0" collapsed="false">
      <c r="A31" s="0" t="s">
        <v>137</v>
      </c>
      <c r="B31" s="0" t="n">
        <f aca="false">L19</f>
        <v>2115.13007661056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39418.3332459241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31726.9511491585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31726.9511491585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14695.7171690711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26366.4320593092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19637.4320593092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73.5101653420475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0.293509859969163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241.43255408149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364.114812880475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75.7769529206563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17344.0666282066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22.7296080736603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14326</v>
      </c>
      <c r="C6" s="0" t="n">
        <f aca="false">B6*(1+C5/100)</f>
        <v>15615.34</v>
      </c>
      <c r="D6" s="0" t="n">
        <f aca="false">C6*(1+D5/100)</f>
        <v>16864.5672</v>
      </c>
      <c r="E6" s="0" t="n">
        <f aca="false">D6*(1+E5/100)</f>
        <v>18045.086904</v>
      </c>
      <c r="F6" s="0" t="n">
        <f aca="false">E6*(1+F5/100)</f>
        <v>19127.79211824</v>
      </c>
      <c r="G6" s="0" t="n">
        <f aca="false">F6*(1+G5/100)</f>
        <v>20179.8206847432</v>
      </c>
      <c r="H6" s="0" t="n">
        <f aca="false">G6*(1+H5/100)</f>
        <v>21188.8117189804</v>
      </c>
      <c r="I6" s="0" t="n">
        <f aca="false">H6*(1+I5/100)</f>
        <v>22036.3641877396</v>
      </c>
      <c r="J6" s="0" t="n">
        <f aca="false">I6*(1+J5/100)</f>
        <v>22807.6369343105</v>
      </c>
      <c r="K6" s="0" t="n">
        <f aca="false">J6*(1+K5/100)</f>
        <v>23491.8660423398</v>
      </c>
      <c r="L6" s="0" t="n">
        <f aca="false">K6*(1+L5/100)</f>
        <v>24196.62202361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15.8</v>
      </c>
      <c r="D7" s="4" t="n">
        <f aca="false">Assumptions!D42</f>
        <v>16.3</v>
      </c>
      <c r="E7" s="4" t="n">
        <f aca="false">Assumptions!E42</f>
        <v>16.8</v>
      </c>
      <c r="F7" s="4" t="n">
        <f aca="false">Assumptions!F42</f>
        <v>17.2</v>
      </c>
      <c r="G7" s="4" t="n">
        <f aca="false">Assumptions!G42</f>
        <v>17.5</v>
      </c>
      <c r="H7" s="4" t="n">
        <f aca="false">Assumptions!H42</f>
        <v>17.7</v>
      </c>
      <c r="I7" s="4" t="n">
        <f aca="false">Assumptions!I42</f>
        <v>17.8</v>
      </c>
      <c r="J7" s="4" t="n">
        <f aca="false">Assumptions!J42</f>
        <v>17.8</v>
      </c>
      <c r="K7" s="4" t="n">
        <f aca="false">Assumptions!K42</f>
        <v>17.8</v>
      </c>
      <c r="L7" s="4" t="n">
        <f aca="false">Assumptions!L42</f>
        <v>17.8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2467.22372</v>
      </c>
      <c r="D8" s="0" t="n">
        <f aca="false">D6*D7/100</f>
        <v>2748.9244536</v>
      </c>
      <c r="E8" s="0" t="n">
        <f aca="false">E6*E7/100</f>
        <v>3031.574599872</v>
      </c>
      <c r="F8" s="0" t="n">
        <f aca="false">F6*F7/100</f>
        <v>3289.98024433728</v>
      </c>
      <c r="G8" s="0" t="n">
        <f aca="false">G6*G7/100</f>
        <v>3531.46861983006</v>
      </c>
      <c r="H8" s="0" t="n">
        <f aca="false">H6*H7/100</f>
        <v>3750.41967425953</v>
      </c>
      <c r="I8" s="0" t="n">
        <f aca="false">I6*I7/100</f>
        <v>3922.47282541765</v>
      </c>
      <c r="J8" s="0" t="n">
        <f aca="false">J6*J7/100</f>
        <v>4059.75937430726</v>
      </c>
      <c r="K8" s="0" t="n">
        <f aca="false">K6*K7/100</f>
        <v>4181.55215553648</v>
      </c>
      <c r="L8" s="0" t="n">
        <f aca="false">L6*L7/100</f>
        <v>4306.99872020258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-31.23068</v>
      </c>
      <c r="D10" s="0" t="n">
        <f aca="false">-D6*D9/100</f>
        <v>-33.7291344</v>
      </c>
      <c r="E10" s="0" t="n">
        <f aca="false">-E6*E9/100</f>
        <v>-36.090173808</v>
      </c>
      <c r="F10" s="0" t="n">
        <f aca="false">-F6*F9/100</f>
        <v>-38.25558423648</v>
      </c>
      <c r="G10" s="0" t="n">
        <f aca="false">-G6*G9/100</f>
        <v>-40.3596413694864</v>
      </c>
      <c r="H10" s="0" t="n">
        <f aca="false">-H6*H9/100</f>
        <v>-42.3776234379608</v>
      </c>
      <c r="I10" s="0" t="n">
        <f aca="false">-I6*I9/100</f>
        <v>-44.0727283754792</v>
      </c>
      <c r="J10" s="0" t="n">
        <f aca="false">-J6*J9/100</f>
        <v>-45.6152738686209</v>
      </c>
      <c r="K10" s="0" t="n">
        <f aca="false">-K6*K9/100</f>
        <v>-46.9837320846796</v>
      </c>
      <c r="L10" s="0" t="n">
        <f aca="false">-L6*L9/100</f>
        <v>-48.39324404722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2435.99304</v>
      </c>
      <c r="D11" s="0" t="n">
        <f aca="false">D8+D10+D24</f>
        <v>2715.1953192</v>
      </c>
      <c r="E11" s="0" t="n">
        <f aca="false">E8+E10+E24</f>
        <v>2995.484426064</v>
      </c>
      <c r="F11" s="0" t="n">
        <f aca="false">F8+F10+F24</f>
        <v>3251.7246601008</v>
      </c>
      <c r="G11" s="0" t="n">
        <f aca="false">G8+G10+G24</f>
        <v>3491.10897846057</v>
      </c>
      <c r="H11" s="0" t="n">
        <f aca="false">H8+H10+H24</f>
        <v>3708.04205082156</v>
      </c>
      <c r="I11" s="0" t="n">
        <f aca="false">I8+I10+I24</f>
        <v>3878.40009704217</v>
      </c>
      <c r="J11" s="0" t="n">
        <f aca="false">J8+J10+J24</f>
        <v>4014.14410043864</v>
      </c>
      <c r="K11" s="0" t="n">
        <f aca="false">K8+K10+K24</f>
        <v>4134.5684234518</v>
      </c>
      <c r="L11" s="0" t="n">
        <f aca="false">L8+L10+L24</f>
        <v>4258.60547615536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-655.84428</v>
      </c>
      <c r="D12" s="4" t="n">
        <f aca="false">-D6*Assumptions!D45/100</f>
        <v>-674.582688</v>
      </c>
      <c r="E12" s="4" t="n">
        <f aca="false">-E6*Assumptions!E45/100</f>
        <v>-703.758389256</v>
      </c>
      <c r="F12" s="4" t="n">
        <f aca="false">-F6*Assumptions!F45/100</f>
        <v>-726.85610049312</v>
      </c>
      <c r="G12" s="4" t="n">
        <f aca="false">-G6*Assumptions!G45/100</f>
        <v>-746.653365335499</v>
      </c>
      <c r="H12" s="4" t="n">
        <f aca="false">-H6*Assumptions!H45/100</f>
        <v>-762.797221883293</v>
      </c>
      <c r="I12" s="4" t="n">
        <f aca="false">-I6*Assumptions!I45/100</f>
        <v>-793.309110758625</v>
      </c>
      <c r="J12" s="4" t="n">
        <f aca="false">-J6*Assumptions!J45/100</f>
        <v>-821.074929635177</v>
      </c>
      <c r="K12" s="4" t="n">
        <f aca="false">-K6*Assumptions!K45/100</f>
        <v>-845.707177524232</v>
      </c>
      <c r="L12" s="4" t="n">
        <f aca="false">-L6*Assumptions!L45/100</f>
        <v>-871.078392849959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1780.14876</v>
      </c>
      <c r="D13" s="0" t="n">
        <f aca="false">D11+D12</f>
        <v>2040.6126312</v>
      </c>
      <c r="E13" s="0" t="n">
        <f aca="false">E11+E12</f>
        <v>2291.726036808</v>
      </c>
      <c r="F13" s="0" t="n">
        <f aca="false">F11+F12</f>
        <v>2524.86855960768</v>
      </c>
      <c r="G13" s="0" t="n">
        <f aca="false">G11+G12</f>
        <v>2744.45561312508</v>
      </c>
      <c r="H13" s="0" t="n">
        <f aca="false">H11+H12</f>
        <v>2945.24482893827</v>
      </c>
      <c r="I13" s="0" t="n">
        <f aca="false">I11+I12</f>
        <v>3085.09098628354</v>
      </c>
      <c r="J13" s="0" t="n">
        <f aca="false">J11+J12</f>
        <v>3193.06917080347</v>
      </c>
      <c r="K13" s="0" t="n">
        <f aca="false">K11+K12</f>
        <v>3288.86124592757</v>
      </c>
      <c r="L13" s="0" t="n">
        <f aca="false">L11+L12</f>
        <v>3387.5270833054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22</v>
      </c>
      <c r="D14" s="4" t="n">
        <f aca="false">Assumptions!D47</f>
        <v>22.5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23.5</v>
      </c>
      <c r="H14" s="4" t="n">
        <f aca="false">Assumptions!H47</f>
        <v>23.5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1388.5160328</v>
      </c>
      <c r="D15" s="0" t="n">
        <f aca="false">D13-MAX(0,D13)*D14/100</f>
        <v>1581.47478918</v>
      </c>
      <c r="E15" s="0" t="n">
        <f aca="false">E13-MAX(0,E13)*E14/100</f>
        <v>1764.62904834216</v>
      </c>
      <c r="F15" s="0" t="n">
        <f aca="false">F13-MAX(0,F13)*F14/100</f>
        <v>1944.14879089791</v>
      </c>
      <c r="G15" s="0" t="n">
        <f aca="false">G13-MAX(0,G13)*G14/100</f>
        <v>2099.50854404068</v>
      </c>
      <c r="H15" s="0" t="n">
        <f aca="false">H13-MAX(0,H13)*H14/100</f>
        <v>2253.11229413778</v>
      </c>
      <c r="I15" s="0" t="n">
        <f aca="false">I13-MAX(0,I13)*I14/100</f>
        <v>2344.66914957549</v>
      </c>
      <c r="J15" s="0" t="n">
        <f aca="false">J13-MAX(0,J13)*J14/100</f>
        <v>2426.73256981063</v>
      </c>
      <c r="K15" s="0" t="n">
        <f aca="false">K13-MAX(0,K13)*K14/100</f>
        <v>2499.53454690495</v>
      </c>
      <c r="L15" s="0" t="n">
        <f aca="false">L13-MAX(0,L13)*L14/100</f>
        <v>2574.5205833121</v>
      </c>
    </row>
    <row r="16" customFormat="false" ht="15" hidden="false" customHeight="false" outlineLevel="0" collapsed="false">
      <c r="A16" s="0" t="s">
        <v>128</v>
      </c>
      <c r="C16" s="0" t="n">
        <f aca="false">-C12</f>
        <v>655.84428</v>
      </c>
      <c r="D16" s="0" t="n">
        <f aca="false">-D12</f>
        <v>674.582688</v>
      </c>
      <c r="E16" s="0" t="n">
        <f aca="false">-E12</f>
        <v>703.758389256</v>
      </c>
      <c r="F16" s="0" t="n">
        <f aca="false">-F12</f>
        <v>726.85610049312</v>
      </c>
      <c r="G16" s="0" t="n">
        <f aca="false">-G12</f>
        <v>746.653365335499</v>
      </c>
      <c r="H16" s="0" t="n">
        <f aca="false">-H12</f>
        <v>762.797221883293</v>
      </c>
      <c r="I16" s="0" t="n">
        <f aca="false">-I12</f>
        <v>793.309110758625</v>
      </c>
      <c r="J16" s="0" t="n">
        <f aca="false">-J12</f>
        <v>821.074929635177</v>
      </c>
      <c r="K16" s="0" t="n">
        <f aca="false">-K12</f>
        <v>845.707177524232</v>
      </c>
      <c r="L16" s="0" t="n">
        <f aca="false">-L12</f>
        <v>871.078392849959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-546.5369</v>
      </c>
      <c r="D17" s="4" t="n">
        <f aca="false">-D6*Assumptions!D46/100</f>
        <v>-573.3952848</v>
      </c>
      <c r="E17" s="4" t="n">
        <f aca="false">-E6*Assumptions!E46/100</f>
        <v>-595.487867832</v>
      </c>
      <c r="F17" s="4" t="n">
        <f aca="false">-F6*Assumptions!F46/100</f>
        <v>-612.08934778368</v>
      </c>
      <c r="G17" s="4" t="n">
        <f aca="false">-G6*Assumptions!G46/100</f>
        <v>-625.57444122704</v>
      </c>
      <c r="H17" s="4" t="n">
        <f aca="false">-H6*Assumptions!H46/100</f>
        <v>-635.664351569411</v>
      </c>
      <c r="I17" s="4" t="n">
        <f aca="false">-I6*Assumptions!I46/100</f>
        <v>-661.090925632188</v>
      </c>
      <c r="J17" s="4" t="n">
        <f aca="false">-J6*Assumptions!J46/100</f>
        <v>-684.229108029314</v>
      </c>
      <c r="K17" s="4" t="n">
        <f aca="false">-K6*Assumptions!K46/100</f>
        <v>-704.755981270194</v>
      </c>
      <c r="L17" s="4" t="n">
        <f aca="false">-L6*Assumptions!L46/100</f>
        <v>-725.898660708299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-77.3604000000001</v>
      </c>
      <c r="D18" s="4" t="n">
        <f aca="false">(D6-C6)*Assumptions!$B$51/100</f>
        <v>-74.9536320000002</v>
      </c>
      <c r="E18" s="4" t="n">
        <f aca="false">(E6-D6)*Assumptions!$B$51/100</f>
        <v>-70.8311822400001</v>
      </c>
      <c r="F18" s="4" t="n">
        <f aca="false">(F6-E6)*Assumptions!$B$51/100</f>
        <v>-64.9623128544002</v>
      </c>
      <c r="G18" s="4" t="n">
        <f aca="false">(G6-F6)*Assumptions!$B$51/100</f>
        <v>-63.1217139901919</v>
      </c>
      <c r="H18" s="4" t="n">
        <f aca="false">(H6-G6)*Assumptions!$B$51/100</f>
        <v>-60.5394620542297</v>
      </c>
      <c r="I18" s="4" t="n">
        <f aca="false">(I6-H6)*Assumptions!$B$51/100</f>
        <v>-50.8531481255529</v>
      </c>
      <c r="J18" s="4" t="n">
        <f aca="false">(J6-I6)*Assumptions!$B$51/100</f>
        <v>-46.2763647942531</v>
      </c>
      <c r="K18" s="4" t="n">
        <f aca="false">(K6-J6)*Assumptions!$B$51/100</f>
        <v>-41.0537464817589</v>
      </c>
      <c r="L18" s="4" t="n">
        <f aca="false">(L6-K6)*Assumptions!$B$51/100</f>
        <v>-42.2853588762117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1420.4630128</v>
      </c>
      <c r="D19" s="0" t="n">
        <f aca="false">D15+D16+D17+D18</f>
        <v>1607.70856038</v>
      </c>
      <c r="E19" s="0" t="n">
        <f aca="false">E15+E16+E17+E18</f>
        <v>1802.06838752616</v>
      </c>
      <c r="F19" s="0" t="n">
        <f aca="false">F15+F16+F17+F18</f>
        <v>1993.95323075295</v>
      </c>
      <c r="G19" s="0" t="n">
        <f aca="false">G15+G16+G17+G18</f>
        <v>2157.46575415895</v>
      </c>
      <c r="H19" s="0" t="n">
        <f aca="false">H15+H16+H17+H18</f>
        <v>2319.70570239743</v>
      </c>
      <c r="I19" s="0" t="n">
        <f aca="false">I15+I16+I17+I18</f>
        <v>2426.03418657638</v>
      </c>
      <c r="J19" s="0" t="n">
        <f aca="false">J15+J16+J17+J18</f>
        <v>2517.30202662224</v>
      </c>
      <c r="K19" s="0" t="n">
        <f aca="false">K15+K16+K17+K18</f>
        <v>2599.43199667723</v>
      </c>
      <c r="L19" s="0" t="n">
        <f aca="false">L15+L16+L17+L18</f>
        <v>2677.41495657755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1321.36094213953</v>
      </c>
      <c r="D21" s="0" t="n">
        <f aca="false">D19*D20</f>
        <v>1391.20264824662</v>
      </c>
      <c r="E21" s="0" t="n">
        <f aca="false">E19*E20</f>
        <v>1450.59399551831</v>
      </c>
      <c r="F21" s="0" t="n">
        <f aca="false">F19*F20</f>
        <v>1493.07323553713</v>
      </c>
      <c r="G21" s="0" t="n">
        <f aca="false">G19*G20</f>
        <v>1502.80139505917</v>
      </c>
      <c r="H21" s="0" t="n">
        <f aca="false">H19*H20</f>
        <v>1503.08002931788</v>
      </c>
      <c r="I21" s="0" t="n">
        <f aca="false">I19*I20</f>
        <v>1462.30399570472</v>
      </c>
      <c r="J21" s="0" t="n">
        <f aca="false">J19*J20</f>
        <v>1411.45686845277</v>
      </c>
      <c r="K21" s="0" t="n">
        <f aca="false">K19*K20</f>
        <v>1355.82076845687</v>
      </c>
      <c r="L21" s="0" t="n">
        <f aca="false">L19*L20</f>
        <v>1299.06548047496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14190.759358908</v>
      </c>
    </row>
    <row r="31" customFormat="false" ht="15" hidden="false" customHeight="false" outlineLevel="0" collapsed="false">
      <c r="A31" s="0" t="s">
        <v>137</v>
      </c>
      <c r="B31" s="0" t="n">
        <f aca="false">L19</f>
        <v>2677.41495657755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61283.0534505528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42838.6393052408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42838.6393052408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20785.0476875993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34975.8070465073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28246.8070465073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105.738237571104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0.860605975208595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271.635295052284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537.43358728884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108.766881394511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22981.1450439573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33.4603630478231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32.7536836704016</v>
      </c>
      <c r="C4" s="0" t="n">
        <f aca="false">B4/Assumptions!$B$2-1</f>
        <v>-0.423655047151124</v>
      </c>
      <c r="D4" s="4" t="n">
        <f aca="false">Assumptions!$B$24</f>
        <v>0.25</v>
      </c>
      <c r="E4" s="4" t="n">
        <f aca="false">DCF_Bear!$B$43</f>
        <v>34.2906925685923</v>
      </c>
      <c r="F4" s="4" t="n">
        <f aca="false">DCF_Bear!$B$47</f>
        <v>8.61852729622516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73.5101653420475</v>
      </c>
      <c r="C5" s="0" t="n">
        <f aca="false">B5/Assumptions!$B$2-1</f>
        <v>0.293509859969163</v>
      </c>
      <c r="D5" s="4" t="n">
        <f aca="false">Assumptions!$B$38</f>
        <v>0.5</v>
      </c>
      <c r="E5" s="4" t="n">
        <f aca="false">DCF_Base!$B$43</f>
        <v>75.7769529206563</v>
      </c>
      <c r="F5" s="4" t="n">
        <f aca="false">DCF_Base!$B$47</f>
        <v>22.7296080736603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105.738237571104</v>
      </c>
      <c r="C6" s="0" t="n">
        <f aca="false">B6/Assumptions!$B$2-1</f>
        <v>0.860605975208595</v>
      </c>
      <c r="D6" s="4" t="n">
        <f aca="false">Assumptions!$B$52</f>
        <v>0.25</v>
      </c>
      <c r="E6" s="4" t="n">
        <f aca="false">DCF_Bull!$B$43</f>
        <v>108.766881394511</v>
      </c>
      <c r="F6" s="4" t="n">
        <f aca="false">DCF_Bull!$B$47</f>
        <v>33.4603630478231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71.3780629814003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73.6528699511041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0.20381700446524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-639.529558997898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21.8845266228422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73.5101653420475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66.6090030544856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56.2435799589545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46.3629249115547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38.5735662011074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22.7296080736603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89.4080029230221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89.4080029230221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89.4080029230221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89.4080029230221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89.4080029230221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81.0845915302751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81.0845915302751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81.0845915302751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81.0845915302751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81.0845915302751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73.5101653420475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73.5101653420475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73.5101653420475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73.5101653420475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73.5101653420475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61.703695667268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65.1756340127661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66.6090030544856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66.6090030544856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66.6090030544856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50.9763117956972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53.4453437472241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56.2435799589545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59.4415642009322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60.3137417214716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2026-09-25T23:29:26Z</dcterms:created>
  <dc:creator>openpyxl</dc:creator>
  <dc:description/>
  <dc:language>en-NZ</dc:language>
  <cp:lastModifiedBy/>
  <dcterms:modified xsi:type="dcterms:W3CDTF">2026-09-25T23:29:26Z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