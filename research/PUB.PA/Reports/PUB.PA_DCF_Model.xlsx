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<sst xmlns="http://schemas.openxmlformats.org/spreadsheetml/2006/main" count="366" uniqueCount="171">
  <si>
    <t xml:space="preserve">Ticker</t>
  </si>
  <si>
    <t xml:space="preserve">PUB.PA</t>
  </si>
  <si>
    <t xml:space="preserve">Company</t>
  </si>
  <si>
    <t xml:space="preserve">Publicis Groupe SA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</si>
  <si>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</si>
  <si>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</si>
  <si>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</si>
  <si>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</si>
  <si>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2026-10-23T15:35:28Z regular close (Euronext Paris, Friday; no later regular-session bar at build time)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</si>
  <si>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</si>
  <si>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</si>
  <si>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</si>
  <si>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</si>
  <si>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</si>
  <si>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</si>
  <si>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</si>
  <si>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</si>
  <si>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</si>
  <si>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</si>
  <si>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</si>
  <si>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</si>
  <si>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2026-10-25T18:07:02Z</t>
  </si>
  <si>
    <t xml:space="preserve">Drivers file</t>
  </si>
  <si>
    <t xml:space="preserve">PUB.PA_Drivers.json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</si>
  <si>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</si>
  <si>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</si>
  <si>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</si>
  <si>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Publicis as what it is: a cyclical, high-cash-conversion services business whose growth is partly bought. The house basis charges SBC (small), the full IFRS 16 lease cash cost, a normalised 25.5% cash tax, and - the judgment that matters most here - the recurring EUR 0.7-0.9bn/yr of bolt-on M&amp;A that funds the acquired component of growth, while crediting that growth in the revenue path. Terminal exits are capped at multiples the market has actually paid for agency holdcos (12-17x FCF) rather than at Gordon values. Risk is carried in the bear path and its 25% weight, not stacked into WACC.
key_risks_to_valuation: AI disintermediation of agency fees (in-housing, self-serve platform tools, AI-native competitors) compressing both growth and margin - the bear axis; US macro / advertising cycle: 57-60% of net revenue is US-sourced and budgets are discretionary with short notice periods; EUR/USD translation: every 5% USD move is ~3pp of reported EUR net revenue and a similar hit to EUR FCF; FY2026 guidance assumes 1.20; M&amp;A execution and price: the model assumes ~3x net revenue paid for bolt-ons keeps buying ~1.5-2pp of growth; overpaying or integration failure (Epsilon-scale deals) would make the capex charge insufficient; Client concentration: top 100 clients = 58% of revenue; a few account losses can remove a year of organic growth; Publicis Sapient (14% of net revenue) stays flat or declines with the IT-consulting cycle; Omnicom-Interpublic scale leading to renewed pricing pressure in US media buying; Balance-sheet anchor is the 31 Dec 2025 report; H1 2026 and Q3 2026 releases are not yet in the corpus</t>
  </si>
  <si>
    <t xml:space="preserve">Data sources</t>
  </si>
  <si>
    <t xml:space="preserve">price: Yahoo Finance chart API (query1.finance.yahoo.com, PUB.PA) at inputs.price_as_of; 52-week range 68.14-105.20 EUR; Euronext Paris regular close.
financials: PUB.PA_Metrics.csv / core_metrics (FY2016-FY2025 + H1s, EUR millions) derived from the Universal Registration Documents; FY2025 AR (PUB.PA_Annual_FY2025.txt) for diluted shares (line 12213), net financial debt table (11951-11960), FCF table (11884-11897), ROU depreciation (13277), acquisitions of subsidiaries (12355), earn-out/NCI commitments (938-940), outlook (12139-12160); FY2025 results presentation for FY2026 guidance (organic +4-5%, operating margin slightly above 18.2%, FCF c. EUR 2.1bn before WCR at EUR/USD 1.20, bolt-on M&amp;A c. EUR 900m).
qualitative: PUB.PA_Analysis.json (2026-10-26): business model (Connected Media 60% / Intelligent Creativity 26% / Technology 14%), competitive position vs WPP and Omnicom-Interpublic, growth drivers, bull and bear cases.</t>
  </si>
  <si>
    <t xml:space="preserve">Scenario narrative: bear</t>
  </si>
  <si>
    <t xml:space="preserve">Generative and agentic AI disintermediates the agency value chain faster than Publicis can monetise it: clients in-house creative production, self-serve platform tools (Google, Meta, Amazon) and AI-native shops compress production and media fees, and Omnicom-Interpublic uses its new scale on pricing. A US consumer/ad slowdown (57-60% of net revenue) and continued stagnation at Publicis Sapient tip net revenue into mild decline in FY2028-29 (cumulative ~-1% over four years) before stabilising at 1.5% growth. Operating margin compresses ~3pp (pre-SBC EBITDA 22% to 19%) as the fixed cost base and the sticky lease footprint (3.0-3.2% of a shrinking revenue base) cannot flex with revenue, while management keeps spending on acquisitions to pivot (fading from 5.3% to 1.6% of net revenue). The balance sheet remains sound - this is a fee-pool deflation case, not a solvency case - but the terminal exit is 12x FCF at 1.5% growth, the kind of multiple the market puts on an ex-growth agency holdco.</t>
  </si>
  <si>
    <t xml:space="preserve">Scenario narrative: base</t>
  </si>
  <si>
    <t xml:space="preserve">Publicis delivers its seventh year of outperformance roughly as guided: organic growth +4-5% in FY2026 led by Connected Media (Epsilon-powered data/media, retail media, CTV, creators), with Publicis Sapient flat and Intelligent Creativity stable; FX at EUR/USD 1.20 takes ~3.5pp off reported EUR growth, so net revenue grows ~3% in 2026 and ~5-5.5% at constant currency in 2027-28 before fading toward 2.5% as the agency fee pool grows below nominal GDP. The operating margin edges from 18.2% toward ~18.7% over five years as AI production tooling and the Re:Sources shared-service platform add leverage at half the 2019-25 pace. The Groupe keeps buying ~EUR 0.7-0.9bn/yr of bolt-ons (data, influencer, commerce, AI) to sustain ~1.5-2pp of acquired growth, and that cash is charged in full. Net cash of EUR 548m and ~64% payout continue. Terminal value capped at 15x FCF (below the 18.6x Gordon implies) because advertising is cyclical and the market has never granted Publicis a 20x free-cash-flow exit.</t>
  </si>
  <si>
    <t xml:space="preserve">Scenario narrative: bull</t>
  </si>
  <si>
    <t xml:space="preserve">The data moat compounds: Epsilon's identity graph plus the Power-of-One structure let Publicis keep taking share while WPP restructures (Elevate28, 9,000+ job cuts) and Omnicom digests Interpublic, so new-business wins keep adding ~2-3pp to organic growth and net revenue compounds 6-7% at constant currency through FY2029 - the top of management's own ambition - before decelerating to 3%. Agentic AI (CoreAI, Bodhi, Slingshot) proves to be a margin lever rather than a fee deflator, taking the operating margin toward 20% (pre-SBC EBITDA 24.5%) by FY2032, Publicis Sapient re-accelerates with the IT-consulting cycle, and the lease footprint keeps shrinking to 2.5% of net revenue. Bolt-on M&amp;A continues at the same cash pace. Terminal cap 17x FCF and 3.0% terminal growth reflect a business the market finally re-rates toward a data/technology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</si>
  <si>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</si>
  <si>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</si>
  <si>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</si>
  <si>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</si>
  <si>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</si>
  <si>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</si>
  <si>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</si>
  <si>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</si>
  <si>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</si>
  <si>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</si>
  <si>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</si>
  <si>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</si>
  <si>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</si>
  <si>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</si>
  <si>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</si>
  <si>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</si>
  <si>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</si>
  <si>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</si>
  <si>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</si>
  <si>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</si>
  <si>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</si>
  <si>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</si>
  <si>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</si>
  <si>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</si>
  <si>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</si>
  <si>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</si>
  <si>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</si>
  <si>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</si>
  <si>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FreeCashFlowAfterLeases</t>
  </si>
  <si>
    <t xml:space="preserve">LeaseInterestPaid</t>
  </si>
  <si>
    <t xml:space="preserve">LeasePrincipalRepaid</t>
  </si>
  <si>
    <t xml:space="preserve">NetRevenue</t>
  </si>
  <si>
    <t xml:space="preserve">RevenueRestated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</si>
  <si>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</si>
  <si>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</si>
  <si>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</si>
  <si>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</si>
  <si>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</si>
  <si>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</si>
  <si>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</si>
  <si>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</si>
  <si>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</si>
  <si>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</si>
  <si>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</si>
  <si>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</si>
  <si>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</si>
  <si>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</si>
  <si>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</si>
  <si>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</si>
  <si>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</si>
  <si>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</si>
  <si>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</si>
  <si>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</si>
  <si>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</si>
  <si>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</si>
  <si>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</si>
  <si>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</si>
  <si>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</si>
  <si>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</si>
  <si>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</si>
  <si>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</si>
  <si>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</si>
  <si>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</si>
  <si>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</si>
  <si>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</si>
  <si>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</si>
  <si>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</si>
  <si>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</si>
  <si>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</si>
  <si>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</si>
  <si>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</si>
  <si>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</si>
  <si>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</si>
  <si>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</si>
  <si>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</si>
  <si>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</si>
  <si>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</si>
  <si>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</si>
  <si>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</si>
  <si>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</si>
  <si>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PUB.PA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</si>
  <si>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</si>
  <si>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</si>
  <si>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</si>
  <si>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</si>
  <si>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</si>
  <si>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</si>
  <si>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</si>
  <si>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</si>
  <si>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</si>
  <si>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</si>
  <si>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</si>
  <si>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</si>
  <si>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</si>
  <si>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</si>
  <si>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</si>
  <si>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</si>
  <si>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</si>
  <si>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</si>
  <si>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</si>
  <si>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</si>
  <si>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</si>
  <si>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</si>
  <si>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</si>
  <si>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</si>
  <si>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</si>
  <si>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</si>
  <si>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</si>
  <si>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</si>
  <si>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</si>
  <si>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</si>
  <si>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PUB.PA owner-FCF component DCF: base case (millions, EUR)</t>
  </si>
  <si>
    <t xml:space="preserve">PUB.PA owner-FCF component DCF: bull case (millions, EUR)</t>
  </si>
  <si>
    <t xml:space="preserve">PUB.PA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</si>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</sst>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100.85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9733</v>
      </c>
      <c r="F2" s="0" t="n">
        <v>9</v>
      </c>
      <c r="G2" s="0" t="n">
        <v>0.1</v>
      </c>
      <c r="H2" s="0" t="n">
        <v>1682</v>
      </c>
      <c r="I2" s="0" t="n">
        <v>-527</v>
      </c>
      <c r="J2" s="0" t="n">
        <v>-5.4</v>
      </c>
      <c r="K2" s="0" t="n">
        <v>-2.36</v>
      </c>
      <c r="L2" s="0" t="n">
        <v>1072</v>
      </c>
      <c r="M2" s="0" t="n">
        <v>173</v>
      </c>
      <c r="N2" s="0" t="n">
        <v>899</v>
      </c>
      <c r="O2" s="0" t="n">
        <v>6055</v>
      </c>
      <c r="P2" s="0" t="n">
        <v>24896</v>
      </c>
      <c r="Q2" s="0" t="n">
        <v>18831</v>
      </c>
      <c r="R2" s="0" t="n">
        <v>3311</v>
      </c>
      <c r="S2" s="0" t="n">
        <v>2228</v>
      </c>
      <c r="T2" s="0" t="n">
        <v>223.499</v>
      </c>
      <c r="U2" s="0" t="n">
        <v>55</v>
      </c>
      <c r="AA2" s="0" t="s">
        <v>17</v>
      </c>
      <c r="AB2" s="0" t="s">
        <v>14</v>
      </c>
      <c r="AC2" s="0" t="n">
        <v>-2.36</v>
      </c>
    </row>
    <row r="3" customFormat="false" ht="15" hidden="false" customHeight="false" outlineLevel="0" collapsed="false">
      <c r="A3" s="0" t="s">
        <v>70</v>
      </c>
      <c r="B3" s="0" t="n">
        <v>9690</v>
      </c>
      <c r="F3" s="0" t="n">
        <v>1316</v>
      </c>
      <c r="G3" s="0" t="n">
        <v>13.6</v>
      </c>
      <c r="H3" s="0" t="n">
        <v>1666</v>
      </c>
      <c r="I3" s="0" t="n">
        <v>862</v>
      </c>
      <c r="J3" s="0" t="n">
        <v>8.9</v>
      </c>
      <c r="K3" s="0" t="n">
        <v>3.74</v>
      </c>
      <c r="L3" s="0" t="n">
        <v>1487</v>
      </c>
      <c r="M3" s="0" t="n">
        <v>136</v>
      </c>
      <c r="N3" s="0" t="n">
        <v>1351</v>
      </c>
      <c r="O3" s="0" t="n">
        <v>5956</v>
      </c>
      <c r="P3" s="0" t="n">
        <v>23780</v>
      </c>
      <c r="Q3" s="0" t="n">
        <v>17822</v>
      </c>
      <c r="R3" s="0" t="n">
        <v>3130</v>
      </c>
      <c r="S3" s="0" t="n">
        <v>2407</v>
      </c>
      <c r="T3" s="0" t="n">
        <v>230.674</v>
      </c>
      <c r="U3" s="0" t="n">
        <v>55</v>
      </c>
      <c r="AA3" s="0" t="s">
        <v>17</v>
      </c>
      <c r="AB3" s="0" t="s">
        <v>14</v>
      </c>
      <c r="AC3" s="0" t="n">
        <v>3.81</v>
      </c>
      <c r="AG3" s="0" t="n">
        <v>9332</v>
      </c>
      <c r="AH3" s="0" t="n">
        <v>10246</v>
      </c>
    </row>
    <row r="4" customFormat="false" ht="15" hidden="false" customHeight="false" outlineLevel="0" collapsed="false">
      <c r="A4" s="0" t="s">
        <v>71</v>
      </c>
      <c r="B4" s="0" t="n">
        <v>9951</v>
      </c>
      <c r="F4" s="0" t="n">
        <v>1303</v>
      </c>
      <c r="G4" s="0" t="n">
        <v>13.1</v>
      </c>
      <c r="H4" s="0" t="n">
        <v>2049</v>
      </c>
      <c r="I4" s="0" t="n">
        <v>919</v>
      </c>
      <c r="J4" s="0" t="n">
        <v>9.2</v>
      </c>
      <c r="K4" s="0" t="n">
        <v>3.92</v>
      </c>
      <c r="L4" s="0" t="n">
        <v>1942</v>
      </c>
      <c r="M4" s="0" t="n">
        <v>207</v>
      </c>
      <c r="N4" s="0" t="n">
        <v>1735</v>
      </c>
      <c r="O4" s="0" t="n">
        <v>6853</v>
      </c>
      <c r="P4" s="0" t="n">
        <v>27080</v>
      </c>
      <c r="Q4" s="0" t="n">
        <v>20227</v>
      </c>
      <c r="R4" s="0" t="n">
        <v>2874</v>
      </c>
      <c r="S4" s="0" t="n">
        <v>3206</v>
      </c>
      <c r="T4" s="0" t="n">
        <v>234.564</v>
      </c>
      <c r="U4" s="0" t="n">
        <v>63</v>
      </c>
      <c r="AA4" s="0" t="s">
        <v>17</v>
      </c>
      <c r="AB4" s="0" t="s">
        <v>14</v>
      </c>
      <c r="AC4" s="0" t="n">
        <v>4.01</v>
      </c>
      <c r="AD4" s="0" t="n">
        <v>1303</v>
      </c>
      <c r="AE4" s="0" t="n">
        <v>58</v>
      </c>
      <c r="AF4" s="0" t="n">
        <v>374</v>
      </c>
      <c r="AG4" s="0" t="n">
        <v>8969</v>
      </c>
    </row>
    <row r="5" customFormat="false" ht="15" hidden="false" customHeight="false" outlineLevel="0" collapsed="false">
      <c r="A5" s="0" t="s">
        <v>72</v>
      </c>
      <c r="B5" s="0" t="n">
        <v>11001</v>
      </c>
      <c r="F5" s="0" t="n">
        <v>1267</v>
      </c>
      <c r="G5" s="0" t="n">
        <v>11.5</v>
      </c>
      <c r="H5" s="0" t="n">
        <v>2245</v>
      </c>
      <c r="I5" s="0" t="n">
        <v>841</v>
      </c>
      <c r="J5" s="0" t="n">
        <v>7.6</v>
      </c>
      <c r="K5" s="0" t="n">
        <v>3.55</v>
      </c>
      <c r="L5" s="0" t="n">
        <v>2342</v>
      </c>
      <c r="M5" s="0" t="n">
        <v>232</v>
      </c>
      <c r="N5" s="0" t="n">
        <v>2110</v>
      </c>
      <c r="O5" s="0" t="n">
        <v>7401</v>
      </c>
      <c r="P5" s="0" t="n">
        <v>32659</v>
      </c>
      <c r="Q5" s="0" t="n">
        <v>25267</v>
      </c>
      <c r="R5" s="0" t="n">
        <v>5888</v>
      </c>
      <c r="S5" s="0" t="n">
        <v>3413</v>
      </c>
      <c r="T5" s="0" t="n">
        <v>236.609</v>
      </c>
      <c r="U5" s="0" t="n">
        <v>49</v>
      </c>
      <c r="AA5" s="0" t="s">
        <v>17</v>
      </c>
      <c r="AB5" s="0" t="s">
        <v>14</v>
      </c>
      <c r="AC5" s="0" t="n">
        <v>3.59</v>
      </c>
      <c r="AD5" s="0" t="n">
        <v>1630</v>
      </c>
      <c r="AE5" s="0" t="n">
        <v>77</v>
      </c>
      <c r="AF5" s="0" t="n">
        <v>403</v>
      </c>
      <c r="AG5" s="0" t="n">
        <v>9800</v>
      </c>
    </row>
    <row r="6" customFormat="false" ht="15" hidden="false" customHeight="false" outlineLevel="0" collapsed="false">
      <c r="A6" s="0" t="s">
        <v>73</v>
      </c>
      <c r="B6" s="0" t="n">
        <v>10788</v>
      </c>
      <c r="F6" s="0" t="n">
        <v>983</v>
      </c>
      <c r="G6" s="0" t="n">
        <v>9.1</v>
      </c>
      <c r="H6" s="0" t="n">
        <v>2158</v>
      </c>
      <c r="I6" s="0" t="n">
        <v>576</v>
      </c>
      <c r="J6" s="0" t="n">
        <v>5.3</v>
      </c>
      <c r="K6" s="0" t="n">
        <v>2.38</v>
      </c>
      <c r="L6" s="0" t="n">
        <v>2966</v>
      </c>
      <c r="M6" s="0" t="n">
        <v>167</v>
      </c>
      <c r="N6" s="0" t="n">
        <v>2799</v>
      </c>
      <c r="O6" s="0" t="n">
        <v>7182</v>
      </c>
      <c r="P6" s="0" t="n">
        <v>30161</v>
      </c>
      <c r="Q6" s="0" t="n">
        <v>23001</v>
      </c>
      <c r="R6" s="0" t="n">
        <v>4509</v>
      </c>
      <c r="S6" s="0" t="n">
        <v>3700</v>
      </c>
      <c r="T6" s="0" t="n">
        <v>241.927</v>
      </c>
      <c r="U6" s="0" t="n">
        <v>55</v>
      </c>
      <c r="AA6" s="0" t="s">
        <v>17</v>
      </c>
      <c r="AB6" s="0" t="s">
        <v>14</v>
      </c>
      <c r="AC6" s="0" t="n">
        <v>2.4</v>
      </c>
      <c r="AD6" s="0" t="n">
        <v>2338</v>
      </c>
      <c r="AE6" s="0" t="n">
        <v>77</v>
      </c>
      <c r="AF6" s="0" t="n">
        <v>384</v>
      </c>
      <c r="AG6" s="0" t="n">
        <v>9712</v>
      </c>
    </row>
    <row r="7" customFormat="false" ht="15" hidden="false" customHeight="false" outlineLevel="0" collapsed="false">
      <c r="A7" s="0" t="s">
        <v>74</v>
      </c>
      <c r="B7" s="0" t="n">
        <v>11738</v>
      </c>
      <c r="F7" s="0" t="n">
        <v>1434</v>
      </c>
      <c r="G7" s="0" t="n">
        <v>12.2</v>
      </c>
      <c r="H7" s="0" t="n">
        <v>2317</v>
      </c>
      <c r="I7" s="0" t="n">
        <v>1027</v>
      </c>
      <c r="J7" s="0" t="n">
        <v>8.7</v>
      </c>
      <c r="K7" s="0" t="n">
        <v>4.08</v>
      </c>
      <c r="L7" s="0" t="n">
        <v>1792</v>
      </c>
      <c r="M7" s="0" t="n">
        <v>139</v>
      </c>
      <c r="N7" s="0" t="n">
        <v>1653</v>
      </c>
      <c r="O7" s="0" t="n">
        <v>8588</v>
      </c>
      <c r="P7" s="0" t="n">
        <v>32846</v>
      </c>
      <c r="Q7" s="0" t="n">
        <v>24291</v>
      </c>
      <c r="R7" s="0" t="n">
        <v>3630</v>
      </c>
      <c r="S7" s="0" t="n">
        <v>3659</v>
      </c>
      <c r="T7" s="0" t="n">
        <v>251.695</v>
      </c>
      <c r="U7" s="0" t="n">
        <v>52</v>
      </c>
      <c r="AA7" s="0" t="s">
        <v>17</v>
      </c>
      <c r="AB7" s="0" t="s">
        <v>14</v>
      </c>
      <c r="AC7" s="0" t="n">
        <v>4.13</v>
      </c>
      <c r="AD7" s="0" t="n">
        <v>1288</v>
      </c>
      <c r="AE7" s="0" t="n">
        <v>70</v>
      </c>
      <c r="AF7" s="0" t="n">
        <v>295</v>
      </c>
      <c r="AG7" s="0" t="n">
        <v>10487</v>
      </c>
    </row>
    <row r="8" customFormat="false" ht="15" hidden="false" customHeight="false" outlineLevel="0" collapsed="false">
      <c r="A8" s="0" t="s">
        <v>75</v>
      </c>
      <c r="B8" s="0" t="n">
        <v>14196</v>
      </c>
      <c r="F8" s="0" t="n">
        <v>1767</v>
      </c>
      <c r="G8" s="0" t="n">
        <v>12.4</v>
      </c>
      <c r="H8" s="0" t="n">
        <v>2801</v>
      </c>
      <c r="I8" s="0" t="n">
        <v>1222</v>
      </c>
      <c r="J8" s="0" t="n">
        <v>8.6</v>
      </c>
      <c r="K8" s="0" t="n">
        <v>4.82</v>
      </c>
      <c r="L8" s="0" t="n">
        <v>2417</v>
      </c>
      <c r="M8" s="0" t="n">
        <v>198</v>
      </c>
      <c r="N8" s="0" t="n">
        <v>2219</v>
      </c>
      <c r="O8" s="0" t="n">
        <v>9635</v>
      </c>
      <c r="P8" s="0" t="n">
        <v>35898</v>
      </c>
      <c r="Q8" s="0" t="n">
        <v>26298</v>
      </c>
      <c r="R8" s="0" t="n">
        <v>3616</v>
      </c>
      <c r="S8" s="0" t="n">
        <v>4616</v>
      </c>
      <c r="T8" s="0" t="n">
        <v>253.605</v>
      </c>
      <c r="U8" s="0" t="n">
        <v>64</v>
      </c>
      <c r="AA8" s="0" t="s">
        <v>17</v>
      </c>
      <c r="AB8" s="0" t="s">
        <v>14</v>
      </c>
      <c r="AC8" s="0" t="n">
        <v>4.87</v>
      </c>
      <c r="AD8" s="0" t="n">
        <v>1815</v>
      </c>
      <c r="AE8" s="0" t="n">
        <v>87</v>
      </c>
      <c r="AF8" s="0" t="n">
        <v>317</v>
      </c>
      <c r="AG8" s="0" t="n">
        <v>12572</v>
      </c>
    </row>
    <row r="9" customFormat="false" ht="15" hidden="false" customHeight="false" outlineLevel="0" collapsed="false">
      <c r="A9" s="0" t="s">
        <v>76</v>
      </c>
      <c r="B9" s="0" t="n">
        <v>14802</v>
      </c>
      <c r="F9" s="0" t="n">
        <v>1740</v>
      </c>
      <c r="G9" s="0" t="n">
        <v>11.8</v>
      </c>
      <c r="H9" s="0" t="n">
        <v>2845</v>
      </c>
      <c r="I9" s="0" t="n">
        <v>1312</v>
      </c>
      <c r="J9" s="0" t="n">
        <v>8.9</v>
      </c>
      <c r="K9" s="0" t="n">
        <v>5.17</v>
      </c>
      <c r="L9" s="0" t="n">
        <v>2048</v>
      </c>
      <c r="M9" s="0" t="n">
        <v>180</v>
      </c>
      <c r="N9" s="0" t="n">
        <v>1868</v>
      </c>
      <c r="O9" s="0" t="n">
        <v>9788</v>
      </c>
      <c r="P9" s="0" t="n">
        <v>36716</v>
      </c>
      <c r="Q9" s="0" t="n">
        <v>26968</v>
      </c>
      <c r="R9" s="0" t="n">
        <v>3188</v>
      </c>
      <c r="S9" s="0" t="n">
        <v>4250</v>
      </c>
      <c r="T9" s="0" t="n">
        <v>253.999</v>
      </c>
      <c r="U9" s="0" t="n">
        <v>85</v>
      </c>
      <c r="AA9" s="0" t="s">
        <v>17</v>
      </c>
      <c r="AB9" s="0" t="s">
        <v>14</v>
      </c>
      <c r="AC9" s="0" t="n">
        <v>5.23</v>
      </c>
      <c r="AD9" s="0" t="n">
        <v>1445</v>
      </c>
      <c r="AE9" s="0" t="n">
        <v>79</v>
      </c>
      <c r="AF9" s="0" t="n">
        <v>344</v>
      </c>
      <c r="AG9" s="0" t="n">
        <v>13099</v>
      </c>
    </row>
    <row r="10" customFormat="false" ht="15" hidden="false" customHeight="false" outlineLevel="0" collapsed="false">
      <c r="A10" s="0" t="s">
        <v>77</v>
      </c>
      <c r="B10" s="0" t="n">
        <v>16030</v>
      </c>
      <c r="F10" s="0" t="n">
        <v>2214</v>
      </c>
      <c r="G10" s="0" t="n">
        <v>13.8</v>
      </c>
      <c r="H10" s="0" t="n">
        <v>3014</v>
      </c>
      <c r="I10" s="0" t="n">
        <v>1660</v>
      </c>
      <c r="J10" s="0" t="n">
        <v>10.4</v>
      </c>
      <c r="K10" s="0" t="n">
        <v>6.55</v>
      </c>
      <c r="L10" s="0" t="n">
        <v>2301</v>
      </c>
      <c r="M10" s="0" t="n">
        <v>238</v>
      </c>
      <c r="N10" s="0" t="n">
        <v>2063</v>
      </c>
      <c r="O10" s="0" t="n">
        <v>11060</v>
      </c>
      <c r="P10" s="0" t="n">
        <v>39854</v>
      </c>
      <c r="Q10" s="0" t="n">
        <v>28818</v>
      </c>
      <c r="R10" s="0" t="n">
        <v>2715</v>
      </c>
      <c r="S10" s="0" t="n">
        <v>3644</v>
      </c>
      <c r="T10" s="0" t="n">
        <v>253.566</v>
      </c>
      <c r="U10" s="0" t="n">
        <v>91</v>
      </c>
      <c r="AA10" s="0" t="s">
        <v>17</v>
      </c>
      <c r="AB10" s="0" t="s">
        <v>14</v>
      </c>
      <c r="AC10" s="0" t="n">
        <v>6.62</v>
      </c>
      <c r="AD10" s="0" t="n">
        <v>1610</v>
      </c>
      <c r="AE10" s="0" t="n">
        <v>84</v>
      </c>
      <c r="AF10" s="0" t="n">
        <v>369</v>
      </c>
      <c r="AG10" s="0" t="n">
        <v>13965</v>
      </c>
    </row>
    <row r="11" customFormat="false" ht="15" hidden="false" customHeight="false" outlineLevel="0" collapsed="false">
      <c r="A11" s="0" t="s">
        <v>78</v>
      </c>
      <c r="B11" s="0" t="n">
        <v>17399</v>
      </c>
      <c r="F11" s="0" t="n">
        <v>2394</v>
      </c>
      <c r="G11" s="0" t="n">
        <v>13.8</v>
      </c>
      <c r="H11" s="0" t="n">
        <v>3168</v>
      </c>
      <c r="I11" s="0" t="n">
        <v>1653</v>
      </c>
      <c r="J11" s="0" t="n">
        <v>9.5</v>
      </c>
      <c r="K11" s="0" t="n">
        <v>6.52</v>
      </c>
      <c r="L11" s="0" t="n">
        <v>2943</v>
      </c>
      <c r="M11" s="0" t="n">
        <v>250</v>
      </c>
      <c r="N11" s="0" t="n">
        <v>2693</v>
      </c>
      <c r="O11" s="0" t="n">
        <v>10447</v>
      </c>
      <c r="P11" s="0" t="n">
        <v>40010</v>
      </c>
      <c r="Q11" s="0" t="n">
        <v>29586</v>
      </c>
      <c r="R11" s="0" t="n">
        <v>3479</v>
      </c>
      <c r="S11" s="0" t="n">
        <v>4031</v>
      </c>
      <c r="T11" s="0" t="n">
        <v>253.343</v>
      </c>
      <c r="U11" s="0" t="n">
        <v>89</v>
      </c>
      <c r="AA11" s="0" t="s">
        <v>17</v>
      </c>
      <c r="AB11" s="0" t="s">
        <v>14</v>
      </c>
      <c r="AC11" s="0" t="n">
        <v>6.58</v>
      </c>
      <c r="AD11" s="0" t="n">
        <v>2240</v>
      </c>
      <c r="AE11" s="0" t="n">
        <v>86</v>
      </c>
      <c r="AF11" s="0" t="n">
        <v>367</v>
      </c>
      <c r="AG11" s="0" t="n">
        <v>14547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100.85</v>
      </c>
    </row>
    <row r="3" customFormat="false" ht="15" hidden="false" customHeight="false" outlineLevel="0" collapsed="false">
      <c r="A3" s="0" t="s">
        <v>82</v>
      </c>
      <c r="B3" s="3" t="n">
        <v>253.343</v>
      </c>
    </row>
    <row r="4" customFormat="false" ht="15" hidden="false" customHeight="false" outlineLevel="0" collapsed="false">
      <c r="A4" s="0" t="s">
        <v>83</v>
      </c>
      <c r="B4" s="3" t="n">
        <v>-548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14547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1.5</v>
      </c>
      <c r="D13" s="3" t="n">
        <v>0.5</v>
      </c>
      <c r="E13" s="3" t="n">
        <v>-1</v>
      </c>
      <c r="F13" s="3" t="n">
        <v>-1</v>
      </c>
      <c r="G13" s="3" t="n">
        <v>0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22</v>
      </c>
      <c r="D14" s="3" t="n">
        <v>21.3</v>
      </c>
      <c r="E14" s="3" t="n">
        <v>20.5</v>
      </c>
      <c r="F14" s="3" t="n">
        <v>19.8</v>
      </c>
      <c r="G14" s="3" t="n">
        <v>19.3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104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105</v>
      </c>
      <c r="C16" s="3" t="n">
        <v>3.1</v>
      </c>
      <c r="D16" s="3" t="n">
        <v>3.2</v>
      </c>
      <c r="E16" s="3" t="n">
        <v>3.2</v>
      </c>
      <c r="F16" s="3" t="n">
        <v>3.2</v>
      </c>
      <c r="G16" s="3" t="n">
        <v>3.1</v>
      </c>
      <c r="H16" s="3" t="n">
        <v>3</v>
      </c>
      <c r="I16" s="3" t="n">
        <v>3</v>
      </c>
      <c r="J16" s="3" t="n">
        <v>3</v>
      </c>
      <c r="K16" s="3" t="n">
        <v>3</v>
      </c>
      <c r="L16" s="3" t="n">
        <v>3</v>
      </c>
    </row>
    <row r="17" customFormat="false" ht="15" hidden="false" customHeight="false" outlineLevel="0" collapsed="false">
      <c r="A17" s="0" t="s">
        <v>106</v>
      </c>
      <c r="C17" s="3" t="n">
        <v>1.4</v>
      </c>
      <c r="D17" s="3" t="n">
        <v>1.4</v>
      </c>
      <c r="E17" s="3" t="n">
        <v>1.4</v>
      </c>
      <c r="F17" s="3" t="n">
        <v>1.4</v>
      </c>
      <c r="G17" s="3" t="n">
        <v>1.4</v>
      </c>
      <c r="H17" s="3" t="n">
        <v>1.4</v>
      </c>
      <c r="I17" s="3" t="n">
        <v>1.4</v>
      </c>
      <c r="J17" s="3" t="n">
        <v>1.4</v>
      </c>
      <c r="K17" s="3" t="n">
        <v>1.4</v>
      </c>
      <c r="L17" s="3" t="n">
        <v>1.4</v>
      </c>
    </row>
    <row r="18" customFormat="false" ht="15" hidden="false" customHeight="false" outlineLevel="0" collapsed="false">
      <c r="A18" s="0" t="s">
        <v>107</v>
      </c>
      <c r="C18" s="3" t="n">
        <v>7</v>
      </c>
      <c r="D18" s="3" t="n">
        <v>6</v>
      </c>
      <c r="E18" s="3" t="n">
        <v>5</v>
      </c>
      <c r="F18" s="3" t="n">
        <v>4.5</v>
      </c>
      <c r="G18" s="3" t="n">
        <v>4</v>
      </c>
      <c r="H18" s="3" t="n">
        <v>3.5</v>
      </c>
      <c r="I18" s="3" t="n">
        <v>3.2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108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109</v>
      </c>
      <c r="B20" s="3" t="n">
        <v>8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3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22.5</v>
      </c>
      <c r="D28" s="3" t="n">
        <v>22.6</v>
      </c>
      <c r="E28" s="3" t="n">
        <v>22.7</v>
      </c>
      <c r="F28" s="3" t="n">
        <v>22.8</v>
      </c>
      <c r="G28" s="3" t="n">
        <v>22.9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104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105</v>
      </c>
      <c r="C30" s="3" t="n">
        <v>3.1</v>
      </c>
      <c r="D30" s="3" t="n">
        <v>3</v>
      </c>
      <c r="E30" s="3" t="n">
        <v>3</v>
      </c>
      <c r="F30" s="3" t="n">
        <v>2.9</v>
      </c>
      <c r="G30" s="3" t="n">
        <v>2.9</v>
      </c>
      <c r="H30" s="3" t="n">
        <v>2.8</v>
      </c>
      <c r="I30" s="3" t="n">
        <v>2.8</v>
      </c>
      <c r="J30" s="3" t="n">
        <v>2.8</v>
      </c>
      <c r="K30" s="3" t="n">
        <v>2.8</v>
      </c>
      <c r="L30" s="3" t="n">
        <v>2.8</v>
      </c>
    </row>
    <row r="31" customFormat="false" ht="15" hidden="false" customHeight="false" outlineLevel="0" collapsed="false">
      <c r="A31" s="0" t="s">
        <v>106</v>
      </c>
      <c r="C31" s="3" t="n">
        <v>1.4</v>
      </c>
      <c r="D31" s="3" t="n">
        <v>1.4</v>
      </c>
      <c r="E31" s="3" t="n">
        <v>1.4</v>
      </c>
      <c r="F31" s="3" t="n">
        <v>1.4</v>
      </c>
      <c r="G31" s="3" t="n">
        <v>1.4</v>
      </c>
      <c r="H31" s="3" t="n">
        <v>1.4</v>
      </c>
      <c r="I31" s="3" t="n">
        <v>1.4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107</v>
      </c>
      <c r="C32" s="3" t="n">
        <v>7.7</v>
      </c>
      <c r="D32" s="3" t="n">
        <v>6.6</v>
      </c>
      <c r="E32" s="3" t="n">
        <v>5.8</v>
      </c>
      <c r="F32" s="3" t="n">
        <v>5.2</v>
      </c>
      <c r="G32" s="3" t="n">
        <v>4.7</v>
      </c>
      <c r="H32" s="3" t="n">
        <v>4.2</v>
      </c>
      <c r="I32" s="3" t="n">
        <v>3.8</v>
      </c>
      <c r="J32" s="3" t="n">
        <v>3.5</v>
      </c>
      <c r="K32" s="3" t="n">
        <v>3.3</v>
      </c>
      <c r="L32" s="3" t="n">
        <v>3.2</v>
      </c>
    </row>
    <row r="33" customFormat="false" ht="15" hidden="false" customHeight="false" outlineLevel="0" collapsed="false">
      <c r="A33" s="0" t="s">
        <v>108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109</v>
      </c>
      <c r="B34" s="3" t="n">
        <v>8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4.5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22.7</v>
      </c>
      <c r="D42" s="3" t="n">
        <v>23</v>
      </c>
      <c r="E42" s="3" t="n">
        <v>23.3</v>
      </c>
      <c r="F42" s="3" t="n">
        <v>23.6</v>
      </c>
      <c r="G42" s="3" t="n">
        <v>23.9</v>
      </c>
      <c r="H42" s="3" t="n">
        <v>24.2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104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105</v>
      </c>
      <c r="C44" s="3" t="n">
        <v>3.1</v>
      </c>
      <c r="D44" s="3" t="n">
        <v>3</v>
      </c>
      <c r="E44" s="3" t="n">
        <v>2.9</v>
      </c>
      <c r="F44" s="3" t="n">
        <v>2.8</v>
      </c>
      <c r="G44" s="3" t="n">
        <v>2.7</v>
      </c>
      <c r="H44" s="3" t="n">
        <v>2.6</v>
      </c>
      <c r="I44" s="3" t="n">
        <v>2.5</v>
      </c>
      <c r="J44" s="3" t="n">
        <v>2.5</v>
      </c>
      <c r="K44" s="3" t="n">
        <v>2.5</v>
      </c>
      <c r="L44" s="3" t="n">
        <v>2.5</v>
      </c>
    </row>
    <row r="45" customFormat="false" ht="15" hidden="false" customHeight="false" outlineLevel="0" collapsed="false">
      <c r="A45" s="0" t="s">
        <v>106</v>
      </c>
      <c r="C45" s="3" t="n">
        <v>1.4</v>
      </c>
      <c r="D45" s="3" t="n">
        <v>1.4</v>
      </c>
      <c r="E45" s="3" t="n">
        <v>1.4</v>
      </c>
      <c r="F45" s="3" t="n">
        <v>1.4</v>
      </c>
      <c r="G45" s="3" t="n">
        <v>1.4</v>
      </c>
      <c r="H45" s="3" t="n">
        <v>1.4</v>
      </c>
      <c r="I45" s="3" t="n">
        <v>1.4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107</v>
      </c>
      <c r="C46" s="3" t="n">
        <v>7.7</v>
      </c>
      <c r="D46" s="3" t="n">
        <v>6.8</v>
      </c>
      <c r="E46" s="3" t="n">
        <v>6.2</v>
      </c>
      <c r="F46" s="3" t="n">
        <v>5.6</v>
      </c>
      <c r="G46" s="3" t="n">
        <v>5</v>
      </c>
      <c r="H46" s="3" t="n">
        <v>4.5</v>
      </c>
      <c r="I46" s="3" t="n">
        <v>4</v>
      </c>
      <c r="J46" s="3" t="n">
        <v>3.7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8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17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1.5</v>
      </c>
      <c r="D5" s="4" t="n">
        <f aca="false">Assumptions!D13</f>
        <v>0.5</v>
      </c>
      <c r="E5" s="4" t="n">
        <f aca="false">Assumptions!E13</f>
        <v>-1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14547</v>
      </c>
      <c r="C6" s="0" t="n">
        <f aca="false">B6*(1+C5/100)</f>
        <v>14765.205</v>
      </c>
      <c r="D6" s="0" t="n">
        <f aca="false">C6*(1+D5/100)</f>
        <v>14839.031025</v>
      </c>
      <c r="E6" s="0" t="n">
        <f aca="false">D6*(1+E5/100)</f>
        <v>14690.64071475</v>
      </c>
      <c r="F6" s="0" t="n">
        <f aca="false">E6*(1+F5/100)</f>
        <v>14543.7343076025</v>
      </c>
      <c r="G6" s="0" t="n">
        <f aca="false">F6*(1+G5/100)</f>
        <v>14543.7343076025</v>
      </c>
      <c r="H6" s="0" t="n">
        <f aca="false">G6*(1+H5/100)</f>
        <v>14689.1716506785</v>
      </c>
      <c r="I6" s="0" t="n">
        <f aca="false">H6*(1+I5/100)</f>
        <v>14909.5092254387</v>
      </c>
      <c r="J6" s="0" t="n">
        <f aca="false">I6*(1+J5/100)</f>
        <v>15133.1518638203</v>
      </c>
      <c r="K6" s="0" t="n">
        <f aca="false">J6*(1+K5/100)</f>
        <v>15360.1491417776</v>
      </c>
      <c r="L6" s="0" t="n">
        <f aca="false">K6*(1+L5/100)</f>
        <v>15590.5513789042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22</v>
      </c>
      <c r="D7" s="4" t="n">
        <f aca="false">Assumptions!D14</f>
        <v>21.3</v>
      </c>
      <c r="E7" s="4" t="n">
        <f aca="false">Assumptions!E14</f>
        <v>20.5</v>
      </c>
      <c r="F7" s="4" t="n">
        <f aca="false">Assumptions!F14</f>
        <v>19.8</v>
      </c>
      <c r="G7" s="4" t="n">
        <f aca="false">Assumptions!G14</f>
        <v>19.3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3248.3451</v>
      </c>
      <c r="D8" s="0" t="n">
        <f aca="false">D6*D7/100</f>
        <v>3160.713608325</v>
      </c>
      <c r="E8" s="0" t="n">
        <f aca="false">E6*E7/100</f>
        <v>3011.58134652375</v>
      </c>
      <c r="F8" s="0" t="n">
        <f aca="false">F6*F7/100</f>
        <v>2879.65939290529</v>
      </c>
      <c r="G8" s="0" t="n">
        <f aca="false">G6*G7/100</f>
        <v>2806.94072136728</v>
      </c>
      <c r="H8" s="0" t="n">
        <f aca="false">H6*H7/100</f>
        <v>2790.94261362892</v>
      </c>
      <c r="I8" s="0" t="n">
        <f aca="false">I6*I7/100</f>
        <v>2832.80675283335</v>
      </c>
      <c r="J8" s="0" t="n">
        <f aca="false">J6*J7/100</f>
        <v>2875.29885412585</v>
      </c>
      <c r="K8" s="0" t="n">
        <f aca="false">K6*K7/100</f>
        <v>2918.42833693774</v>
      </c>
      <c r="L8" s="0" t="n">
        <f aca="false">L6*L7/100</f>
        <v>2962.20476199181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-88.59123</v>
      </c>
      <c r="D10" s="0" t="n">
        <f aca="false">-D6*D9/100</f>
        <v>-89.03418615</v>
      </c>
      <c r="E10" s="0" t="n">
        <f aca="false">-E6*E9/100</f>
        <v>-88.1438442885</v>
      </c>
      <c r="F10" s="0" t="n">
        <f aca="false">-F6*F9/100</f>
        <v>-87.262405845615</v>
      </c>
      <c r="G10" s="0" t="n">
        <f aca="false">-G6*G9/100</f>
        <v>-87.262405845615</v>
      </c>
      <c r="H10" s="0" t="n">
        <f aca="false">-H6*H9/100</f>
        <v>-88.1350299040711</v>
      </c>
      <c r="I10" s="0" t="n">
        <f aca="false">-I6*I9/100</f>
        <v>-89.4570553526322</v>
      </c>
      <c r="J10" s="0" t="n">
        <f aca="false">-J6*J9/100</f>
        <v>-90.7989111829217</v>
      </c>
      <c r="K10" s="0" t="n">
        <f aca="false">-K6*K9/100</f>
        <v>-92.1608948506655</v>
      </c>
      <c r="L10" s="0" t="n">
        <f aca="false">-L6*L9/100</f>
        <v>-93.5433082734254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2702.032515</v>
      </c>
      <c r="D11" s="0" t="n">
        <f aca="false">D8+D10+D24</f>
        <v>2596.830429375</v>
      </c>
      <c r="E11" s="0" t="n">
        <f aca="false">E8+E10+E24</f>
        <v>2453.33699936325</v>
      </c>
      <c r="F11" s="0" t="n">
        <f aca="false">F8+F10+F24</f>
        <v>2326.9974892164</v>
      </c>
      <c r="G11" s="0" t="n">
        <f aca="false">G8+G10+G24</f>
        <v>2268.82255198599</v>
      </c>
      <c r="H11" s="0" t="n">
        <f aca="false">H8+H10+H24</f>
        <v>2262.13243420449</v>
      </c>
      <c r="I11" s="0" t="n">
        <f aca="false">I8+I10+I24</f>
        <v>2296.06442071756</v>
      </c>
      <c r="J11" s="0" t="n">
        <f aca="false">J8+J10+J24</f>
        <v>2330.50538702832</v>
      </c>
      <c r="K11" s="0" t="n">
        <f aca="false">K8+K10+K24</f>
        <v>2365.46296783375</v>
      </c>
      <c r="L11" s="0" t="n">
        <f aca="false">L8+L10+L24</f>
        <v>2400.94491235125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-206.71287</v>
      </c>
      <c r="D12" s="4" t="n">
        <f aca="false">-D6*Assumptions!D17/100</f>
        <v>-207.74643435</v>
      </c>
      <c r="E12" s="4" t="n">
        <f aca="false">-E6*Assumptions!E17/100</f>
        <v>-205.6689700065</v>
      </c>
      <c r="F12" s="4" t="n">
        <f aca="false">-F6*Assumptions!F17/100</f>
        <v>-203.612280306435</v>
      </c>
      <c r="G12" s="4" t="n">
        <f aca="false">-G6*Assumptions!G17/100</f>
        <v>-203.612280306435</v>
      </c>
      <c r="H12" s="4" t="n">
        <f aca="false">-H6*Assumptions!H17/100</f>
        <v>-205.648403109499</v>
      </c>
      <c r="I12" s="4" t="n">
        <f aca="false">-I6*Assumptions!I17/100</f>
        <v>-208.733129156142</v>
      </c>
      <c r="J12" s="4" t="n">
        <f aca="false">-J6*Assumptions!J17/100</f>
        <v>-211.864126093484</v>
      </c>
      <c r="K12" s="4" t="n">
        <f aca="false">-K6*Assumptions!K17/100</f>
        <v>-215.042087984886</v>
      </c>
      <c r="L12" s="4" t="n">
        <f aca="false">-L6*Assumptions!L17/100</f>
        <v>-218.267719304659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2495.319645</v>
      </c>
      <c r="D13" s="0" t="n">
        <f aca="false">D11+D12</f>
        <v>2389.083995025</v>
      </c>
      <c r="E13" s="0" t="n">
        <f aca="false">E11+E12</f>
        <v>2247.66802935675</v>
      </c>
      <c r="F13" s="0" t="n">
        <f aca="false">F11+F12</f>
        <v>2123.38520890996</v>
      </c>
      <c r="G13" s="0" t="n">
        <f aca="false">G11+G12</f>
        <v>2065.21027167955</v>
      </c>
      <c r="H13" s="0" t="n">
        <f aca="false">H11+H12</f>
        <v>2056.48403109499</v>
      </c>
      <c r="I13" s="0" t="n">
        <f aca="false">I11+I12</f>
        <v>2087.33129156142</v>
      </c>
      <c r="J13" s="0" t="n">
        <f aca="false">J11+J12</f>
        <v>2118.64126093484</v>
      </c>
      <c r="K13" s="0" t="n">
        <f aca="false">K11+K12</f>
        <v>2150.42087984886</v>
      </c>
      <c r="L13" s="0" t="n">
        <f aca="false">L11+L12</f>
        <v>2182.67719304659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1846.5365373</v>
      </c>
      <c r="D15" s="0" t="n">
        <f aca="false">D13-MAX(0,D13)*D14/100</f>
        <v>1767.9221563185</v>
      </c>
      <c r="E15" s="0" t="n">
        <f aca="false">E13-MAX(0,E13)*E14/100</f>
        <v>1663.27434172399</v>
      </c>
      <c r="F15" s="0" t="n">
        <f aca="false">F13-MAX(0,F13)*F14/100</f>
        <v>1571.30505459337</v>
      </c>
      <c r="G15" s="0" t="n">
        <f aca="false">G13-MAX(0,G13)*G14/100</f>
        <v>1528.25560104287</v>
      </c>
      <c r="H15" s="0" t="n">
        <f aca="false">H13-MAX(0,H13)*H14/100</f>
        <v>1521.7981830103</v>
      </c>
      <c r="I15" s="0" t="n">
        <f aca="false">I13-MAX(0,I13)*I14/100</f>
        <v>1544.62515575545</v>
      </c>
      <c r="J15" s="0" t="n">
        <f aca="false">J13-MAX(0,J13)*J14/100</f>
        <v>1567.79453309178</v>
      </c>
      <c r="K15" s="0" t="n">
        <f aca="false">K13-MAX(0,K13)*K14/100</f>
        <v>1591.31145108816</v>
      </c>
      <c r="L15" s="0" t="n">
        <f aca="false">L13-MAX(0,L13)*L14/100</f>
        <v>1615.18112285448</v>
      </c>
    </row>
    <row r="16" customFormat="false" ht="15" hidden="false" customHeight="false" outlineLevel="0" collapsed="false">
      <c r="A16" s="0" t="s">
        <v>124</v>
      </c>
      <c r="C16" s="0" t="n">
        <f aca="false">-C12</f>
        <v>206.71287</v>
      </c>
      <c r="D16" s="0" t="n">
        <f aca="false">-D12</f>
        <v>207.74643435</v>
      </c>
      <c r="E16" s="0" t="n">
        <f aca="false">-E12</f>
        <v>205.6689700065</v>
      </c>
      <c r="F16" s="0" t="n">
        <f aca="false">-F12</f>
        <v>203.612280306435</v>
      </c>
      <c r="G16" s="0" t="n">
        <f aca="false">-G12</f>
        <v>203.612280306435</v>
      </c>
      <c r="H16" s="0" t="n">
        <f aca="false">-H12</f>
        <v>205.648403109499</v>
      </c>
      <c r="I16" s="0" t="n">
        <f aca="false">-I12</f>
        <v>208.733129156142</v>
      </c>
      <c r="J16" s="0" t="n">
        <f aca="false">-J12</f>
        <v>211.864126093484</v>
      </c>
      <c r="K16" s="0" t="n">
        <f aca="false">-K12</f>
        <v>215.042087984886</v>
      </c>
      <c r="L16" s="0" t="n">
        <f aca="false">-L12</f>
        <v>218.267719304659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-1033.56435</v>
      </c>
      <c r="D17" s="4" t="n">
        <f aca="false">-D6*Assumptions!D18/100</f>
        <v>-890.3418615</v>
      </c>
      <c r="E17" s="4" t="n">
        <f aca="false">-E6*Assumptions!E18/100</f>
        <v>-734.5320357375</v>
      </c>
      <c r="F17" s="4" t="n">
        <f aca="false">-F6*Assumptions!F18/100</f>
        <v>-654.468043842112</v>
      </c>
      <c r="G17" s="4" t="n">
        <f aca="false">-G6*Assumptions!G18/100</f>
        <v>-581.7493723041</v>
      </c>
      <c r="H17" s="4" t="n">
        <f aca="false">-H6*Assumptions!H18/100</f>
        <v>-514.121007773748</v>
      </c>
      <c r="I17" s="4" t="n">
        <f aca="false">-I6*Assumptions!I18/100</f>
        <v>-477.104295214038</v>
      </c>
      <c r="J17" s="4" t="n">
        <f aca="false">-J6*Assumptions!J18/100</f>
        <v>-453.994555914608</v>
      </c>
      <c r="K17" s="4" t="n">
        <f aca="false">-K6*Assumptions!K18/100</f>
        <v>-460.804474253327</v>
      </c>
      <c r="L17" s="4" t="n">
        <f aca="false">-L6*Assumptions!L18/100</f>
        <v>-467.716541367127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1019.6850573</v>
      </c>
      <c r="D19" s="0" t="n">
        <f aca="false">D15+D16+D17+D18</f>
        <v>1085.3267291685</v>
      </c>
      <c r="E19" s="0" t="n">
        <f aca="false">E15+E16+E17+E18</f>
        <v>1134.41127599299</v>
      </c>
      <c r="F19" s="0" t="n">
        <f aca="false">F15+F16+F17+F18</f>
        <v>1120.4492910577</v>
      </c>
      <c r="G19" s="0" t="n">
        <f aca="false">G15+G16+G17+G18</f>
        <v>1150.11850904521</v>
      </c>
      <c r="H19" s="0" t="n">
        <f aca="false">H15+H16+H17+H18</f>
        <v>1213.32557834605</v>
      </c>
      <c r="I19" s="0" t="n">
        <f aca="false">I15+I16+I17+I18</f>
        <v>1276.25398969755</v>
      </c>
      <c r="J19" s="0" t="n">
        <f aca="false">J15+J16+J17+J18</f>
        <v>1325.66410327066</v>
      </c>
      <c r="K19" s="0" t="n">
        <f aca="false">K15+K16+K17+K18</f>
        <v>1345.54906481972</v>
      </c>
      <c r="L19" s="0" t="n">
        <f aca="false">L15+L16+L17+L18</f>
        <v>1365.73230079201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944.152830833333</v>
      </c>
      <c r="D21" s="0" t="n">
        <f aca="false">D19*D20</f>
        <v>930.492737627314</v>
      </c>
      <c r="E21" s="0" t="n">
        <f aca="false">E19*E20</f>
        <v>900.532245460069</v>
      </c>
      <c r="F21" s="0" t="n">
        <f aca="false">F19*F20</f>
        <v>823.563677472029</v>
      </c>
      <c r="G21" s="0" t="n">
        <f aca="false">G19*G20</f>
        <v>782.751331853679</v>
      </c>
      <c r="H21" s="0" t="n">
        <f aca="false">H19*H20</f>
        <v>764.600926994055</v>
      </c>
      <c r="I21" s="0" t="n">
        <f aca="false">I19*I20</f>
        <v>744.6819449035</v>
      </c>
      <c r="J21" s="0" t="n">
        <f aca="false">J19*J20</f>
        <v>716.21506629835</v>
      </c>
      <c r="K21" s="0" t="n">
        <f aca="false">K19*K20</f>
        <v>673.109529900763</v>
      </c>
      <c r="L21" s="0" t="n">
        <f aca="false">L19*L20</f>
        <v>632.598308193773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3.1</v>
      </c>
      <c r="D23" s="4" t="n">
        <f aca="false">Assumptions!D16</f>
        <v>3.2</v>
      </c>
      <c r="E23" s="4" t="n">
        <f aca="false">Assumptions!E16</f>
        <v>3.2</v>
      </c>
      <c r="F23" s="4" t="n">
        <f aca="false">Assumptions!F16</f>
        <v>3.2</v>
      </c>
      <c r="G23" s="4" t="n">
        <f aca="false">Assumptions!G16</f>
        <v>3.1</v>
      </c>
      <c r="H23" s="4" t="n">
        <f aca="false">Assumptions!H16</f>
        <v>3</v>
      </c>
      <c r="I23" s="4" t="n">
        <f aca="false">Assumptions!I16</f>
        <v>3</v>
      </c>
      <c r="J23" s="4" t="n">
        <f aca="false">Assumptions!J16</f>
        <v>3</v>
      </c>
      <c r="K23" s="4" t="n">
        <f aca="false">Assumptions!K16</f>
        <v>3</v>
      </c>
      <c r="L23" s="4" t="n">
        <f aca="false">Assumptions!L16</f>
        <v>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-457.721355</v>
      </c>
      <c r="D24" s="0" t="n">
        <f aca="false">-D6*D23/100</f>
        <v>-474.8489928</v>
      </c>
      <c r="E24" s="0" t="n">
        <f aca="false">-E6*E23/100</f>
        <v>-470.100502872</v>
      </c>
      <c r="F24" s="0" t="n">
        <f aca="false">-F6*F23/100</f>
        <v>-465.39949784328</v>
      </c>
      <c r="G24" s="0" t="n">
        <f aca="false">-G6*G23/100</f>
        <v>-450.855763535677</v>
      </c>
      <c r="H24" s="0" t="n">
        <f aca="false">-H6*H23/100</f>
        <v>-440.675149520356</v>
      </c>
      <c r="I24" s="0" t="n">
        <f aca="false">-I6*I23/100</f>
        <v>-447.285276763161</v>
      </c>
      <c r="J24" s="0" t="n">
        <f aca="false">-J6*J23/100</f>
        <v>-453.994555914608</v>
      </c>
      <c r="K24" s="0" t="n">
        <f aca="false">-K6*K23/100</f>
        <v>-460.804474253327</v>
      </c>
      <c r="L24" s="0" t="n">
        <f aca="false">-L6*L23/100</f>
        <v>-467.716541367127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7912.69859953686</v>
      </c>
    </row>
    <row r="31" customFormat="false" ht="15" hidden="false" customHeight="false" outlineLevel="0" collapsed="false">
      <c r="A31" s="0" t="s">
        <v>133</v>
      </c>
      <c r="B31" s="0" t="n">
        <f aca="false">L19</f>
        <v>1365.73230079201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21326.4351585214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16388.7876095041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16388.7876095041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7591.17969832527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15503.8782978621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16051.8782978621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63.3602597974372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-0.371737632152333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598.087828365912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676.593554074478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68.3917048440357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10268.2835948436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35.1682073368361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3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14547</v>
      </c>
      <c r="C6" s="0" t="n">
        <f aca="false">B6*(1+C5/100)</f>
        <v>14983.41</v>
      </c>
      <c r="D6" s="0" t="n">
        <f aca="false">C6*(1+D5/100)</f>
        <v>15807.49755</v>
      </c>
      <c r="E6" s="0" t="n">
        <f aca="false">D6*(1+E5/100)</f>
        <v>16597.8724275</v>
      </c>
      <c r="F6" s="0" t="n">
        <f aca="false">E6*(1+F5/100)</f>
        <v>17344.7766867375</v>
      </c>
      <c r="G6" s="0" t="n">
        <f aca="false">F6*(1+G5/100)</f>
        <v>18038.567754207</v>
      </c>
      <c r="H6" s="0" t="n">
        <f aca="false">G6*(1+H5/100)</f>
        <v>18669.9176256042</v>
      </c>
      <c r="I6" s="0" t="n">
        <f aca="false">H6*(1+I5/100)</f>
        <v>19230.0151543724</v>
      </c>
      <c r="J6" s="0" t="n">
        <f aca="false">I6*(1+J5/100)</f>
        <v>19806.9156090035</v>
      </c>
      <c r="K6" s="0" t="n">
        <f aca="false">J6*(1+K5/100)</f>
        <v>20302.0884992286</v>
      </c>
      <c r="L6" s="0" t="n">
        <f aca="false">K6*(1+L5/100)</f>
        <v>20809.6407117093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22.5</v>
      </c>
      <c r="D7" s="4" t="n">
        <f aca="false">Assumptions!D28</f>
        <v>22.6</v>
      </c>
      <c r="E7" s="4" t="n">
        <f aca="false">Assumptions!E28</f>
        <v>22.7</v>
      </c>
      <c r="F7" s="4" t="n">
        <f aca="false">Assumptions!F28</f>
        <v>22.8</v>
      </c>
      <c r="G7" s="4" t="n">
        <f aca="false">Assumptions!G28</f>
        <v>22.9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3371.26725</v>
      </c>
      <c r="D8" s="0" t="n">
        <f aca="false">D6*D7/100</f>
        <v>3572.4944463</v>
      </c>
      <c r="E8" s="0" t="n">
        <f aca="false">E6*E7/100</f>
        <v>3767.7170410425</v>
      </c>
      <c r="F8" s="0" t="n">
        <f aca="false">F6*F7/100</f>
        <v>3954.60908457615</v>
      </c>
      <c r="G8" s="0" t="n">
        <f aca="false">G6*G7/100</f>
        <v>4130.8320157134</v>
      </c>
      <c r="H8" s="0" t="n">
        <f aca="false">H6*H7/100</f>
        <v>4294.08105388898</v>
      </c>
      <c r="I8" s="0" t="n">
        <f aca="false">I6*I7/100</f>
        <v>4422.90348550565</v>
      </c>
      <c r="J8" s="0" t="n">
        <f aca="false">J6*J7/100</f>
        <v>4555.59059007081</v>
      </c>
      <c r="K8" s="0" t="n">
        <f aca="false">K6*K7/100</f>
        <v>4669.48035482259</v>
      </c>
      <c r="L8" s="0" t="n">
        <f aca="false">L6*L7/100</f>
        <v>4786.21736369315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-89.90046</v>
      </c>
      <c r="D10" s="0" t="n">
        <f aca="false">-D6*D9/100</f>
        <v>-94.8449853</v>
      </c>
      <c r="E10" s="0" t="n">
        <f aca="false">-E6*E9/100</f>
        <v>-99.587234565</v>
      </c>
      <c r="F10" s="0" t="n">
        <f aca="false">-F6*F9/100</f>
        <v>-104.068660120425</v>
      </c>
      <c r="G10" s="0" t="n">
        <f aca="false">-G6*G9/100</f>
        <v>-108.231406525242</v>
      </c>
      <c r="H10" s="0" t="n">
        <f aca="false">-H6*H9/100</f>
        <v>-112.019505753625</v>
      </c>
      <c r="I10" s="0" t="n">
        <f aca="false">-I6*I9/100</f>
        <v>-115.380090926234</v>
      </c>
      <c r="J10" s="0" t="n">
        <f aca="false">-J6*J9/100</f>
        <v>-118.841493654021</v>
      </c>
      <c r="K10" s="0" t="n">
        <f aca="false">-K6*K9/100</f>
        <v>-121.812530995372</v>
      </c>
      <c r="L10" s="0" t="n">
        <f aca="false">-L6*L9/100</f>
        <v>-124.857844270256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2816.88108</v>
      </c>
      <c r="D11" s="0" t="n">
        <f aca="false">D8+D10+D24</f>
        <v>3003.4245345</v>
      </c>
      <c r="E11" s="0" t="n">
        <f aca="false">E8+E10+E24</f>
        <v>3170.1936336525</v>
      </c>
      <c r="F11" s="0" t="n">
        <f aca="false">F8+F10+F24</f>
        <v>3347.54190054034</v>
      </c>
      <c r="G11" s="0" t="n">
        <f aca="false">G8+G10+G24</f>
        <v>3499.48214431616</v>
      </c>
      <c r="H11" s="0" t="n">
        <f aca="false">H8+H10+H24</f>
        <v>3659.30385461843</v>
      </c>
      <c r="I11" s="0" t="n">
        <f aca="false">I8+I10+I24</f>
        <v>3769.08297025698</v>
      </c>
      <c r="J11" s="0" t="n">
        <f aca="false">J8+J10+J24</f>
        <v>3882.15545936469</v>
      </c>
      <c r="K11" s="0" t="n">
        <f aca="false">K8+K10+K24</f>
        <v>3979.20934584881</v>
      </c>
      <c r="L11" s="0" t="n">
        <f aca="false">L8+L10+L24</f>
        <v>4078.68957949503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-209.76774</v>
      </c>
      <c r="D12" s="4" t="n">
        <f aca="false">-D6*Assumptions!D31/100</f>
        <v>-221.3049657</v>
      </c>
      <c r="E12" s="4" t="n">
        <f aca="false">-E6*Assumptions!E31/100</f>
        <v>-232.370213985</v>
      </c>
      <c r="F12" s="4" t="n">
        <f aca="false">-F6*Assumptions!F31/100</f>
        <v>-242.826873614325</v>
      </c>
      <c r="G12" s="4" t="n">
        <f aca="false">-G6*Assumptions!G31/100</f>
        <v>-252.539948558898</v>
      </c>
      <c r="H12" s="4" t="n">
        <f aca="false">-H6*Assumptions!H31/100</f>
        <v>-261.378846758459</v>
      </c>
      <c r="I12" s="4" t="n">
        <f aca="false">-I6*Assumptions!I31/100</f>
        <v>-269.220212161213</v>
      </c>
      <c r="J12" s="4" t="n">
        <f aca="false">-J6*Assumptions!J31/100</f>
        <v>-277.29681852605</v>
      </c>
      <c r="K12" s="4" t="n">
        <f aca="false">-K6*Assumptions!K31/100</f>
        <v>-284.229238989201</v>
      </c>
      <c r="L12" s="4" t="n">
        <f aca="false">-L6*Assumptions!L31/100</f>
        <v>-291.334969963931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2607.11334</v>
      </c>
      <c r="D13" s="0" t="n">
        <f aca="false">D11+D12</f>
        <v>2782.1195688</v>
      </c>
      <c r="E13" s="0" t="n">
        <f aca="false">E11+E12</f>
        <v>2937.8234196675</v>
      </c>
      <c r="F13" s="0" t="n">
        <f aca="false">F11+F12</f>
        <v>3104.71502692601</v>
      </c>
      <c r="G13" s="0" t="n">
        <f aca="false">G11+G12</f>
        <v>3246.94219575726</v>
      </c>
      <c r="H13" s="0" t="n">
        <f aca="false">H11+H12</f>
        <v>3397.92500785997</v>
      </c>
      <c r="I13" s="0" t="n">
        <f aca="false">I11+I12</f>
        <v>3499.86275809577</v>
      </c>
      <c r="J13" s="0" t="n">
        <f aca="false">J11+J12</f>
        <v>3604.85864083864</v>
      </c>
      <c r="K13" s="0" t="n">
        <f aca="false">K11+K12</f>
        <v>3694.98010685961</v>
      </c>
      <c r="L13" s="0" t="n">
        <f aca="false">L11+L12</f>
        <v>3787.3546095311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1942.2994383</v>
      </c>
      <c r="D15" s="0" t="n">
        <f aca="false">D13-MAX(0,D13)*D14/100</f>
        <v>2072.679078756</v>
      </c>
      <c r="E15" s="0" t="n">
        <f aca="false">E13-MAX(0,E13)*E14/100</f>
        <v>2188.67844765229</v>
      </c>
      <c r="F15" s="0" t="n">
        <f aca="false">F13-MAX(0,F13)*F14/100</f>
        <v>2313.01269505988</v>
      </c>
      <c r="G15" s="0" t="n">
        <f aca="false">G13-MAX(0,G13)*G14/100</f>
        <v>2418.97193583916</v>
      </c>
      <c r="H15" s="0" t="n">
        <f aca="false">H13-MAX(0,H13)*H14/100</f>
        <v>2531.45413085568</v>
      </c>
      <c r="I15" s="0" t="n">
        <f aca="false">I13-MAX(0,I13)*I14/100</f>
        <v>2607.39775478135</v>
      </c>
      <c r="J15" s="0" t="n">
        <f aca="false">J13-MAX(0,J13)*J14/100</f>
        <v>2685.61968742479</v>
      </c>
      <c r="K15" s="0" t="n">
        <f aca="false">K13-MAX(0,K13)*K14/100</f>
        <v>2752.76017961041</v>
      </c>
      <c r="L15" s="0" t="n">
        <f aca="false">L13-MAX(0,L13)*L14/100</f>
        <v>2821.57918410067</v>
      </c>
    </row>
    <row r="16" customFormat="false" ht="15" hidden="false" customHeight="false" outlineLevel="0" collapsed="false">
      <c r="A16" s="0" t="s">
        <v>124</v>
      </c>
      <c r="C16" s="0" t="n">
        <f aca="false">-C12</f>
        <v>209.76774</v>
      </c>
      <c r="D16" s="0" t="n">
        <f aca="false">-D12</f>
        <v>221.3049657</v>
      </c>
      <c r="E16" s="0" t="n">
        <f aca="false">-E12</f>
        <v>232.370213985</v>
      </c>
      <c r="F16" s="0" t="n">
        <f aca="false">-F12</f>
        <v>242.826873614325</v>
      </c>
      <c r="G16" s="0" t="n">
        <f aca="false">-G12</f>
        <v>252.539948558898</v>
      </c>
      <c r="H16" s="0" t="n">
        <f aca="false">-H12</f>
        <v>261.378846758459</v>
      </c>
      <c r="I16" s="0" t="n">
        <f aca="false">-I12</f>
        <v>269.220212161213</v>
      </c>
      <c r="J16" s="0" t="n">
        <f aca="false">-J12</f>
        <v>277.29681852605</v>
      </c>
      <c r="K16" s="0" t="n">
        <f aca="false">-K12</f>
        <v>284.229238989201</v>
      </c>
      <c r="L16" s="0" t="n">
        <f aca="false">-L12</f>
        <v>291.334969963931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-1153.72257</v>
      </c>
      <c r="D17" s="4" t="n">
        <f aca="false">-D6*Assumptions!D32/100</f>
        <v>-1043.2948383</v>
      </c>
      <c r="E17" s="4" t="n">
        <f aca="false">-E6*Assumptions!E32/100</f>
        <v>-962.676600795</v>
      </c>
      <c r="F17" s="4" t="n">
        <f aca="false">-F6*Assumptions!F32/100</f>
        <v>-901.92838771035</v>
      </c>
      <c r="G17" s="4" t="n">
        <f aca="false">-G6*Assumptions!G32/100</f>
        <v>-847.812684447729</v>
      </c>
      <c r="H17" s="4" t="n">
        <f aca="false">-H6*Assumptions!H32/100</f>
        <v>-784.136540275378</v>
      </c>
      <c r="I17" s="4" t="n">
        <f aca="false">-I6*Assumptions!I32/100</f>
        <v>-730.74057586615</v>
      </c>
      <c r="J17" s="4" t="n">
        <f aca="false">-J6*Assumptions!J32/100</f>
        <v>-693.242046315124</v>
      </c>
      <c r="K17" s="4" t="n">
        <f aca="false">-K6*Assumptions!K32/100</f>
        <v>-669.968920474545</v>
      </c>
      <c r="L17" s="4" t="n">
        <f aca="false">-L6*Assumptions!L32/100</f>
        <v>-665.908502774699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998.3446083</v>
      </c>
      <c r="D19" s="0" t="n">
        <f aca="false">D15+D16+D17+D18</f>
        <v>1250.689206156</v>
      </c>
      <c r="E19" s="0" t="n">
        <f aca="false">E15+E16+E17+E18</f>
        <v>1458.37206084229</v>
      </c>
      <c r="F19" s="0" t="n">
        <f aca="false">F15+F16+F17+F18</f>
        <v>1653.91118096385</v>
      </c>
      <c r="G19" s="0" t="n">
        <f aca="false">G15+G16+G17+G18</f>
        <v>1823.69919995033</v>
      </c>
      <c r="H19" s="0" t="n">
        <f aca="false">H15+H16+H17+H18</f>
        <v>2008.69643733876</v>
      </c>
      <c r="I19" s="0" t="n">
        <f aca="false">I15+I16+I17+I18</f>
        <v>2145.87739107641</v>
      </c>
      <c r="J19" s="0" t="n">
        <f aca="false">J15+J16+J17+J18</f>
        <v>2269.67445963572</v>
      </c>
      <c r="K19" s="0" t="n">
        <f aca="false">K15+K16+K17+K18</f>
        <v>2367.02049812507</v>
      </c>
      <c r="L19" s="0" t="n">
        <f aca="false">L15+L16+L17+L18</f>
        <v>2447.0056512899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924.393155833334</v>
      </c>
      <c r="D21" s="0" t="n">
        <f aca="false">D19*D20</f>
        <v>1072.26440856996</v>
      </c>
      <c r="E21" s="0" t="n">
        <f aca="false">E19*E20</f>
        <v>1157.70276129964</v>
      </c>
      <c r="F21" s="0" t="n">
        <f aca="false">F19*F20</f>
        <v>1215.67409188227</v>
      </c>
      <c r="G21" s="0" t="n">
        <f aca="false">G19*G20</f>
        <v>1241.17903193009</v>
      </c>
      <c r="H21" s="0" t="n">
        <f aca="false">H19*H20</f>
        <v>1265.81948443919</v>
      </c>
      <c r="I21" s="0" t="n">
        <f aca="false">I19*I20</f>
        <v>1252.09884710325</v>
      </c>
      <c r="J21" s="0" t="n">
        <f aca="false">J19*J20</f>
        <v>1226.23448849001</v>
      </c>
      <c r="K21" s="0" t="n">
        <f aca="false">K19*K20</f>
        <v>1184.09955936606</v>
      </c>
      <c r="L21" s="0" t="n">
        <f aca="false">L19*L20</f>
        <v>1133.4370829839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3.1</v>
      </c>
      <c r="D23" s="4" t="n">
        <f aca="false">Assumptions!D30</f>
        <v>3</v>
      </c>
      <c r="E23" s="4" t="n">
        <f aca="false">Assumptions!E30</f>
        <v>3</v>
      </c>
      <c r="F23" s="4" t="n">
        <f aca="false">Assumptions!F30</f>
        <v>2.9</v>
      </c>
      <c r="G23" s="4" t="n">
        <f aca="false">Assumptions!G30</f>
        <v>2.9</v>
      </c>
      <c r="H23" s="4" t="n">
        <f aca="false">Assumptions!H30</f>
        <v>2.8</v>
      </c>
      <c r="I23" s="4" t="n">
        <f aca="false">Assumptions!I30</f>
        <v>2.8</v>
      </c>
      <c r="J23" s="4" t="n">
        <f aca="false">Assumptions!J30</f>
        <v>2.8</v>
      </c>
      <c r="K23" s="4" t="n">
        <f aca="false">Assumptions!K30</f>
        <v>2.8</v>
      </c>
      <c r="L23" s="4" t="n">
        <f aca="false">Assumptions!L30</f>
        <v>2.8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-464.48571</v>
      </c>
      <c r="D24" s="0" t="n">
        <f aca="false">-D6*D23/100</f>
        <v>-474.2249265</v>
      </c>
      <c r="E24" s="0" t="n">
        <f aca="false">-E6*E23/100</f>
        <v>-497.936172825</v>
      </c>
      <c r="F24" s="0" t="n">
        <f aca="false">-F6*F23/100</f>
        <v>-502.998523915387</v>
      </c>
      <c r="G24" s="0" t="n">
        <f aca="false">-G6*G23/100</f>
        <v>-523.118464872003</v>
      </c>
      <c r="H24" s="0" t="n">
        <f aca="false">-H6*H23/100</f>
        <v>-522.757693516919</v>
      </c>
      <c r="I24" s="0" t="n">
        <f aca="false">-I6*I23/100</f>
        <v>-538.440424322426</v>
      </c>
      <c r="J24" s="0" t="n">
        <f aca="false">-J6*J23/100</f>
        <v>-554.593637052099</v>
      </c>
      <c r="K24" s="0" t="n">
        <f aca="false">-K6*K23/100</f>
        <v>-568.458477978401</v>
      </c>
      <c r="L24" s="0" t="n">
        <f aca="false">-L6*L23/100</f>
        <v>-582.669939927862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11672.9029118977</v>
      </c>
    </row>
    <row r="31" customFormat="false" ht="15" hidden="false" customHeight="false" outlineLevel="0" collapsed="false">
      <c r="A31" s="0" t="s">
        <v>133</v>
      </c>
      <c r="B31" s="0" t="n">
        <f aca="false">L19</f>
        <v>2447.0056512899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45603.2871376754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36705.0847693485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36705.0847693485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17001.5562447586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28674.4591566563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29222.4591566563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115.347411046116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0.143752216619895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714.655820098199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1077.80316204238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122.422637052521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20065.4463405772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54.5810966206301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4.5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14547</v>
      </c>
      <c r="C6" s="0" t="n">
        <f aca="false">B6*(1+C5/100)</f>
        <v>15201.615</v>
      </c>
      <c r="D6" s="0" t="n">
        <f aca="false">C6*(1+D5/100)</f>
        <v>16265.72805</v>
      </c>
      <c r="E6" s="0" t="n">
        <f aca="false">D6*(1+E5/100)</f>
        <v>17323.00037325</v>
      </c>
      <c r="F6" s="0" t="n">
        <f aca="false">E6*(1+F5/100)</f>
        <v>18362.380395645</v>
      </c>
      <c r="G6" s="0" t="n">
        <f aca="false">F6*(1+G5/100)</f>
        <v>19372.3113174055</v>
      </c>
      <c r="H6" s="0" t="n">
        <f aca="false">G6*(1+H5/100)</f>
        <v>20244.0653266887</v>
      </c>
      <c r="I6" s="0" t="n">
        <f aca="false">H6*(1+I5/100)</f>
        <v>21053.8279397563</v>
      </c>
      <c r="J6" s="0" t="n">
        <f aca="false">I6*(1+J5/100)</f>
        <v>21790.7119176477</v>
      </c>
      <c r="K6" s="0" t="n">
        <f aca="false">J6*(1+K5/100)</f>
        <v>22444.4332751772</v>
      </c>
      <c r="L6" s="0" t="n">
        <f aca="false">K6*(1+L5/100)</f>
        <v>23117.7662734325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22.7</v>
      </c>
      <c r="D7" s="4" t="n">
        <f aca="false">Assumptions!D42</f>
        <v>23</v>
      </c>
      <c r="E7" s="4" t="n">
        <f aca="false">Assumptions!E42</f>
        <v>23.3</v>
      </c>
      <c r="F7" s="4" t="n">
        <f aca="false">Assumptions!F42</f>
        <v>23.6</v>
      </c>
      <c r="G7" s="4" t="n">
        <f aca="false">Assumptions!G42</f>
        <v>23.9</v>
      </c>
      <c r="H7" s="4" t="n">
        <f aca="false">Assumptions!H42</f>
        <v>24.2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3450.766605</v>
      </c>
      <c r="D8" s="0" t="n">
        <f aca="false">D6*D7/100</f>
        <v>3741.1174515</v>
      </c>
      <c r="E8" s="0" t="n">
        <f aca="false">E6*E7/100</f>
        <v>4036.25908696725</v>
      </c>
      <c r="F8" s="0" t="n">
        <f aca="false">F6*F7/100</f>
        <v>4333.52177337222</v>
      </c>
      <c r="G8" s="0" t="n">
        <f aca="false">G6*G7/100</f>
        <v>4629.98240485991</v>
      </c>
      <c r="H8" s="0" t="n">
        <f aca="false">H6*H7/100</f>
        <v>4899.06380905867</v>
      </c>
      <c r="I8" s="0" t="n">
        <f aca="false">I6*I7/100</f>
        <v>5158.18784524029</v>
      </c>
      <c r="J8" s="0" t="n">
        <f aca="false">J6*J7/100</f>
        <v>5338.7244198237</v>
      </c>
      <c r="K8" s="0" t="n">
        <f aca="false">K6*K7/100</f>
        <v>5498.88615241841</v>
      </c>
      <c r="L8" s="0" t="n">
        <f aca="false">L6*L7/100</f>
        <v>5663.85273699096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-91.20969</v>
      </c>
      <c r="D10" s="0" t="n">
        <f aca="false">-D6*D9/100</f>
        <v>-97.5943683</v>
      </c>
      <c r="E10" s="0" t="n">
        <f aca="false">-E6*E9/100</f>
        <v>-103.9380022395</v>
      </c>
      <c r="F10" s="0" t="n">
        <f aca="false">-F6*F9/100</f>
        <v>-110.17428237387</v>
      </c>
      <c r="G10" s="0" t="n">
        <f aca="false">-G6*G9/100</f>
        <v>-116.233867904433</v>
      </c>
      <c r="H10" s="0" t="n">
        <f aca="false">-H6*H9/100</f>
        <v>-121.464391960132</v>
      </c>
      <c r="I10" s="0" t="n">
        <f aca="false">-I6*I9/100</f>
        <v>-126.322967638538</v>
      </c>
      <c r="J10" s="0" t="n">
        <f aca="false">-J6*J9/100</f>
        <v>-130.744271505886</v>
      </c>
      <c r="K10" s="0" t="n">
        <f aca="false">-K6*K9/100</f>
        <v>-134.666599651063</v>
      </c>
      <c r="L10" s="0" t="n">
        <f aca="false">-L6*L9/100</f>
        <v>-138.706597640595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2888.30685</v>
      </c>
      <c r="D11" s="0" t="n">
        <f aca="false">D8+D10+D24</f>
        <v>3155.5512417</v>
      </c>
      <c r="E11" s="0" t="n">
        <f aca="false">E8+E10+E24</f>
        <v>3429.9540739035</v>
      </c>
      <c r="F11" s="0" t="n">
        <f aca="false">F8+F10+F24</f>
        <v>3709.20083992029</v>
      </c>
      <c r="G11" s="0" t="n">
        <f aca="false">G8+G10+G24</f>
        <v>3990.69613138553</v>
      </c>
      <c r="H11" s="0" t="n">
        <f aca="false">H8+H10+H24</f>
        <v>4251.25371860463</v>
      </c>
      <c r="I11" s="0" t="n">
        <f aca="false">I8+I10+I24</f>
        <v>4505.51917910784</v>
      </c>
      <c r="J11" s="0" t="n">
        <f aca="false">J8+J10+J24</f>
        <v>4663.21235037662</v>
      </c>
      <c r="K11" s="0" t="n">
        <f aca="false">K8+K10+K24</f>
        <v>4803.10872088791</v>
      </c>
      <c r="L11" s="0" t="n">
        <f aca="false">L8+L10+L24</f>
        <v>4947.20198251455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-212.82261</v>
      </c>
      <c r="D12" s="4" t="n">
        <f aca="false">-D6*Assumptions!D45/100</f>
        <v>-227.7201927</v>
      </c>
      <c r="E12" s="4" t="n">
        <f aca="false">-E6*Assumptions!E45/100</f>
        <v>-242.5220052255</v>
      </c>
      <c r="F12" s="4" t="n">
        <f aca="false">-F6*Assumptions!F45/100</f>
        <v>-257.07332553903</v>
      </c>
      <c r="G12" s="4" t="n">
        <f aca="false">-G6*Assumptions!G45/100</f>
        <v>-271.212358443677</v>
      </c>
      <c r="H12" s="4" t="n">
        <f aca="false">-H6*Assumptions!H45/100</f>
        <v>-283.416914573642</v>
      </c>
      <c r="I12" s="4" t="n">
        <f aca="false">-I6*Assumptions!I45/100</f>
        <v>-294.753591156588</v>
      </c>
      <c r="J12" s="4" t="n">
        <f aca="false">-J6*Assumptions!J45/100</f>
        <v>-305.069966847068</v>
      </c>
      <c r="K12" s="4" t="n">
        <f aca="false">-K6*Assumptions!K45/100</f>
        <v>-314.22206585248</v>
      </c>
      <c r="L12" s="4" t="n">
        <f aca="false">-L6*Assumptions!L45/100</f>
        <v>-323.648727828055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2675.48424</v>
      </c>
      <c r="D13" s="0" t="n">
        <f aca="false">D11+D12</f>
        <v>2927.831049</v>
      </c>
      <c r="E13" s="0" t="n">
        <f aca="false">E11+E12</f>
        <v>3187.432068678</v>
      </c>
      <c r="F13" s="0" t="n">
        <f aca="false">F11+F12</f>
        <v>3452.12751438126</v>
      </c>
      <c r="G13" s="0" t="n">
        <f aca="false">G11+G12</f>
        <v>3719.48377294185</v>
      </c>
      <c r="H13" s="0" t="n">
        <f aca="false">H11+H12</f>
        <v>3967.83680403099</v>
      </c>
      <c r="I13" s="0" t="n">
        <f aca="false">I11+I12</f>
        <v>4210.76558795126</v>
      </c>
      <c r="J13" s="0" t="n">
        <f aca="false">J11+J12</f>
        <v>4358.14238352955</v>
      </c>
      <c r="K13" s="0" t="n">
        <f aca="false">K11+K12</f>
        <v>4488.88665503543</v>
      </c>
      <c r="L13" s="0" t="n">
        <f aca="false">L11+L12</f>
        <v>4623.5532546865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2006.61318</v>
      </c>
      <c r="D15" s="0" t="n">
        <f aca="false">D13-MAX(0,D13)*D14/100</f>
        <v>2195.87328675</v>
      </c>
      <c r="E15" s="0" t="n">
        <f aca="false">E13-MAX(0,E13)*E14/100</f>
        <v>2390.5740515085</v>
      </c>
      <c r="F15" s="0" t="n">
        <f aca="false">F13-MAX(0,F13)*F14/100</f>
        <v>2589.09563578595</v>
      </c>
      <c r="G15" s="0" t="n">
        <f aca="false">G13-MAX(0,G13)*G14/100</f>
        <v>2789.61282970639</v>
      </c>
      <c r="H15" s="0" t="n">
        <f aca="false">H13-MAX(0,H13)*H14/100</f>
        <v>2975.87760302324</v>
      </c>
      <c r="I15" s="0" t="n">
        <f aca="false">I13-MAX(0,I13)*I14/100</f>
        <v>3158.07419096344</v>
      </c>
      <c r="J15" s="0" t="n">
        <f aca="false">J13-MAX(0,J13)*J14/100</f>
        <v>3268.60678764716</v>
      </c>
      <c r="K15" s="0" t="n">
        <f aca="false">K13-MAX(0,K13)*K14/100</f>
        <v>3366.66499127658</v>
      </c>
      <c r="L15" s="0" t="n">
        <f aca="false">L13-MAX(0,L13)*L14/100</f>
        <v>3467.66494101487</v>
      </c>
    </row>
    <row r="16" customFormat="false" ht="15" hidden="false" customHeight="false" outlineLevel="0" collapsed="false">
      <c r="A16" s="0" t="s">
        <v>124</v>
      </c>
      <c r="C16" s="0" t="n">
        <f aca="false">-C12</f>
        <v>212.82261</v>
      </c>
      <c r="D16" s="0" t="n">
        <f aca="false">-D12</f>
        <v>227.7201927</v>
      </c>
      <c r="E16" s="0" t="n">
        <f aca="false">-E12</f>
        <v>242.5220052255</v>
      </c>
      <c r="F16" s="0" t="n">
        <f aca="false">-F12</f>
        <v>257.07332553903</v>
      </c>
      <c r="G16" s="0" t="n">
        <f aca="false">-G12</f>
        <v>271.212358443677</v>
      </c>
      <c r="H16" s="0" t="n">
        <f aca="false">-H12</f>
        <v>283.416914573642</v>
      </c>
      <c r="I16" s="0" t="n">
        <f aca="false">-I12</f>
        <v>294.753591156588</v>
      </c>
      <c r="J16" s="0" t="n">
        <f aca="false">-J12</f>
        <v>305.069966847068</v>
      </c>
      <c r="K16" s="0" t="n">
        <f aca="false">-K12</f>
        <v>314.22206585248</v>
      </c>
      <c r="L16" s="0" t="n">
        <f aca="false">-L12</f>
        <v>323.648727828055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-1170.524355</v>
      </c>
      <c r="D17" s="4" t="n">
        <f aca="false">-D6*Assumptions!D46/100</f>
        <v>-1106.0695074</v>
      </c>
      <c r="E17" s="4" t="n">
        <f aca="false">-E6*Assumptions!E46/100</f>
        <v>-1074.0260231415</v>
      </c>
      <c r="F17" s="4" t="n">
        <f aca="false">-F6*Assumptions!F46/100</f>
        <v>-1028.29330215612</v>
      </c>
      <c r="G17" s="4" t="n">
        <f aca="false">-G6*Assumptions!G46/100</f>
        <v>-968.615565870274</v>
      </c>
      <c r="H17" s="4" t="n">
        <f aca="false">-H6*Assumptions!H46/100</f>
        <v>-910.982939700993</v>
      </c>
      <c r="I17" s="4" t="n">
        <f aca="false">-I6*Assumptions!I46/100</f>
        <v>-842.153117590251</v>
      </c>
      <c r="J17" s="4" t="n">
        <f aca="false">-J6*Assumptions!J46/100</f>
        <v>-806.256340952966</v>
      </c>
      <c r="K17" s="4" t="n">
        <f aca="false">-K6*Assumptions!K46/100</f>
        <v>-785.555164631201</v>
      </c>
      <c r="L17" s="4" t="n">
        <f aca="false">-L6*Assumptions!L46/100</f>
        <v>-809.121819570137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1048.911435</v>
      </c>
      <c r="D19" s="0" t="n">
        <f aca="false">D15+D16+D17+D18</f>
        <v>1317.52397205</v>
      </c>
      <c r="E19" s="0" t="n">
        <f aca="false">E15+E16+E17+E18</f>
        <v>1559.0700335925</v>
      </c>
      <c r="F19" s="0" t="n">
        <f aca="false">F15+F16+F17+F18</f>
        <v>1817.87565916886</v>
      </c>
      <c r="G19" s="0" t="n">
        <f aca="false">G15+G16+G17+G18</f>
        <v>2092.20962227979</v>
      </c>
      <c r="H19" s="0" t="n">
        <f aca="false">H15+H16+H17+H18</f>
        <v>2348.31157789589</v>
      </c>
      <c r="I19" s="0" t="n">
        <f aca="false">I15+I16+I17+I18</f>
        <v>2610.67466452978</v>
      </c>
      <c r="J19" s="0" t="n">
        <f aca="false">J15+J16+J17+J18</f>
        <v>2767.42041354126</v>
      </c>
      <c r="K19" s="0" t="n">
        <f aca="false">K15+K16+K17+K18</f>
        <v>2895.33189249786</v>
      </c>
      <c r="L19" s="0" t="n">
        <f aca="false">L15+L16+L17+L18</f>
        <v>2982.19184927279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971.214291666666</v>
      </c>
      <c r="D21" s="0" t="n">
        <f aca="false">D19*D20</f>
        <v>1129.56444791667</v>
      </c>
      <c r="E21" s="0" t="n">
        <f aca="false">E19*E20</f>
        <v>1237.64005867413</v>
      </c>
      <c r="F21" s="0" t="n">
        <f aca="false">F19*F20</f>
        <v>1336.19287816114</v>
      </c>
      <c r="G21" s="0" t="n">
        <f aca="false">G19*G20</f>
        <v>1423.92271359596</v>
      </c>
      <c r="H21" s="0" t="n">
        <f aca="false">H19*H20</f>
        <v>1479.83463084793</v>
      </c>
      <c r="I21" s="0" t="n">
        <f aca="false">I19*I20</f>
        <v>1523.30359190732</v>
      </c>
      <c r="J21" s="0" t="n">
        <f aca="false">J19*J20</f>
        <v>1495.15113977194</v>
      </c>
      <c r="K21" s="0" t="n">
        <f aca="false">K19*K20</f>
        <v>1448.38678872482</v>
      </c>
      <c r="L21" s="0" t="n">
        <f aca="false">L19*L20</f>
        <v>1381.33184480238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3.1</v>
      </c>
      <c r="D23" s="4" t="n">
        <f aca="false">Assumptions!D44</f>
        <v>3</v>
      </c>
      <c r="E23" s="4" t="n">
        <f aca="false">Assumptions!E44</f>
        <v>2.9</v>
      </c>
      <c r="F23" s="4" t="n">
        <f aca="false">Assumptions!F44</f>
        <v>2.8</v>
      </c>
      <c r="G23" s="4" t="n">
        <f aca="false">Assumptions!G44</f>
        <v>2.7</v>
      </c>
      <c r="H23" s="4" t="n">
        <f aca="false">Assumptions!H44</f>
        <v>2.6</v>
      </c>
      <c r="I23" s="4" t="n">
        <f aca="false">Assumptions!I44</f>
        <v>2.5</v>
      </c>
      <c r="J23" s="4" t="n">
        <f aca="false">Assumptions!J44</f>
        <v>2.5</v>
      </c>
      <c r="K23" s="4" t="n">
        <f aca="false">Assumptions!K44</f>
        <v>2.5</v>
      </c>
      <c r="L23" s="4" t="n">
        <f aca="false">Assumptions!L44</f>
        <v>2.5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-471.250065</v>
      </c>
      <c r="D24" s="0" t="n">
        <f aca="false">-D6*D23/100</f>
        <v>-487.9718415</v>
      </c>
      <c r="E24" s="0" t="n">
        <f aca="false">-E6*E23/100</f>
        <v>-502.36701082425</v>
      </c>
      <c r="F24" s="0" t="n">
        <f aca="false">-F6*F23/100</f>
        <v>-514.14665107806</v>
      </c>
      <c r="G24" s="0" t="n">
        <f aca="false">-G6*G23/100</f>
        <v>-523.052405569948</v>
      </c>
      <c r="H24" s="0" t="n">
        <f aca="false">-H6*H23/100</f>
        <v>-526.345698493907</v>
      </c>
      <c r="I24" s="0" t="n">
        <f aca="false">-I6*I23/100</f>
        <v>-526.345698493907</v>
      </c>
      <c r="J24" s="0" t="n">
        <f aca="false">-J6*J23/100</f>
        <v>-544.767797941194</v>
      </c>
      <c r="K24" s="0" t="n">
        <f aca="false">-K6*K23/100</f>
        <v>-561.110831879429</v>
      </c>
      <c r="L24" s="0" t="n">
        <f aca="false">-L6*L23/100</f>
        <v>-577.944156835812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13426.5423860689</v>
      </c>
    </row>
    <row r="31" customFormat="false" ht="15" hidden="false" customHeight="false" outlineLevel="0" collapsed="false">
      <c r="A31" s="0" t="s">
        <v>133</v>
      </c>
      <c r="B31" s="0" t="n">
        <f aca="false">L19</f>
        <v>2982.19184927279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61433.1520950195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50697.2614376375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50697.2614376375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23482.6413616404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36909.1837477094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37457.1837477094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147.851662559097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0.466055156758525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763.225689240007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1323.50865129902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156.088457499313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25597.1467062581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64.5362046570834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63.3602597974372</v>
      </c>
      <c r="C4" s="0" t="n">
        <f aca="false">B4/Assumptions!$B$2-1</f>
        <v>-0.371737632152333</v>
      </c>
      <c r="D4" s="4" t="n">
        <f aca="false">Assumptions!$B$24</f>
        <v>0.25</v>
      </c>
      <c r="E4" s="4" t="n">
        <f aca="false">DCF_Bear!$B$43</f>
        <v>68.3917048440357</v>
      </c>
      <c r="F4" s="4" t="n">
        <f aca="false">DCF_Bear!$B$47</f>
        <v>35.1682073368361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115.347411046116</v>
      </c>
      <c r="C5" s="0" t="n">
        <f aca="false">B5/Assumptions!$B$2-1</f>
        <v>0.143752216619895</v>
      </c>
      <c r="D5" s="4" t="n">
        <f aca="false">Assumptions!$B$38</f>
        <v>0.5</v>
      </c>
      <c r="E5" s="4" t="n">
        <f aca="false">DCF_Base!$B$43</f>
        <v>122.422637052521</v>
      </c>
      <c r="F5" s="4" t="n">
        <f aca="false">DCF_Base!$B$47</f>
        <v>54.5810966206301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147.851662559097</v>
      </c>
      <c r="C6" s="0" t="n">
        <f aca="false">B6/Assumptions!$B$2-1</f>
        <v>0.466055156758525</v>
      </c>
      <c r="D6" s="4" t="n">
        <f aca="false">Assumptions!$B$52</f>
        <v>0.25</v>
      </c>
      <c r="E6" s="4" t="n">
        <f aca="false">DCF_Bull!$B$43</f>
        <v>156.088457499313</v>
      </c>
      <c r="F6" s="4" t="n">
        <f aca="false">DCF_Bull!$B$47</f>
        <v>64.5362046570834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110.476686112192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117.331359112098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0.0871377161188168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-140.439757116409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52.2166513087949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115.347411046116</v>
      </c>
      <c r="C15" s="3" t="n">
        <v>8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107.121352300524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94.6603998484932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82.7825337762558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73.4480646566091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54.5810966206301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134.327021691223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134.327021691223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134.327021691223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134.327021691223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134.327021691223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124.38538585505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124.38538585505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124.38538585505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124.38538585505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124.38538585505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115.347411046116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115.347411046116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115.347411046116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115.347411046116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115.347411046116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101.137339612568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105.372777164433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107.121352300524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107.121352300524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107.121352300524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88.2348291285149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91.2468154035047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94.6603998484932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98.5616392141943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99.6256135866582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2026-10-25T18:07:02Z</dcterms:created>
  <dc:creator>openpyxl</dc:creator>
  <dc:description/>
  <dc:language>en-NZ</dc:language>
  <cp:lastModifiedBy/>
  <dcterms:modified xsi:type="dcterms:W3CDTF">2026-10-25T18:07:02Z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