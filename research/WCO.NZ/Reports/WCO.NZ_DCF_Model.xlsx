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"/>
    <numFmt numFmtId="166" formatCode="0.00000"/>
    <numFmt numFmtId="167" formatCode="#,##0.0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3" fontId="2" fillId="0" borderId="0" pivotButton="0" quotePrefix="0" xfId="0"/>
    <xf numFmtId="3" fontId="0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3" fillId="0" borderId="0" pivotButton="0" quotePrefix="0" xfId="0"/>
    <xf numFmtId="2" fontId="0" fillId="0" borderId="0" pivotButton="0" quotePrefix="0" xfId="0"/>
    <xf numFmtId="3" fontId="3" fillId="0" borderId="0" pivotButton="0" quotePrefix="0" xfId="0"/>
    <xf numFmtId="166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WasteCo Group Limited (NZX: WCO) -- owner-FCF DCF model</t>
        </is>
      </c>
      <c r="B1" s="2" t="inlineStr"/>
    </row>
    <row r="2">
      <c r="A2" s="1" t="inlineStr">
        <is>
          <t>Version</t>
        </is>
      </c>
      <c r="B2" s="2" t="inlineStr">
        <is>
          <t>1.0 -- fresh build 2026-09-20 (no prior DCF for this ticker). Supersedes nothing.</t>
        </is>
      </c>
    </row>
    <row r="3">
      <c r="A3" s="1" t="inlineStr">
        <is>
          <t>Built by</t>
        </is>
      </c>
      <c r="B3" s="2" t="inlineStr">
        <is>
          <t>dcf-analyst agent (Claude Fable 5.1), 2026-09-20, at the request of the research-stock orchestrator for Stephen Williams.</t>
        </is>
      </c>
    </row>
    <row r="4">
      <c r="A4" s="1" t="inlineStr">
        <is>
          <t>Model</t>
        </is>
      </c>
      <c r="B4" s="2" t="inlineStr">
        <is>
          <t>Owner-FCF DCF on the enterprise, component build, 10-year horizon, leases as operating cost (treatment B), convertible notes at face in net debt, equity as the residual. Distress bear (terminal value on the zero floor) weighted 45%.</t>
        </is>
      </c>
    </row>
    <row r="5">
      <c r="A5" s="1" t="inlineStr">
        <is>
          <t>Why this model</t>
        </is>
      </c>
      <c r="B5" s="2" t="inlineStr">
        <is>
          <t>Operating going concern with $70m revenue and positive OCF, so forward flows are the right thing to discount; but going-concern material uncertainty, second covenant breach, all core bank facilities maturing 30-May-2027 and net assets of $3.2m against $58m of debt+leases make the equity a subordinated residual. Neither a pure asset waterfall (AFC.NZ) nor a vanilla three-growth DCF fits; the hybrid is deliberate. See WCO.NZ_DCF.json model_note.</t>
        </is>
      </c>
    </row>
    <row r="6">
      <c r="A6" s="1" t="inlineStr">
        <is>
          <t>Units</t>
        </is>
      </c>
      <c r="B6" s="2" t="inlineStr">
        <is>
          <t>NZ$000 throughout; shares in thousands; per-share values in NZD. Currency of flows NZD; quote currency NZD.</t>
        </is>
      </c>
    </row>
    <row r="7">
      <c r="A7" s="1" t="inlineStr">
        <is>
          <t>Price</t>
        </is>
      </c>
      <c r="B7" s="2" t="inlineStr">
        <is>
          <t>NZ$0.007 -- Yahoo regularMarketPrice 2026-09-18T01:48:47Z (Friday regular session). Equals the live placement/SPP issue price; anchored by the raise until allotment 30-Sep / 7-Oct-2026. Goes stale.</t>
        </is>
      </c>
    </row>
    <row r="8">
      <c r="A8" s="1" t="inlineStr">
        <is>
          <t>Balance sheet</t>
        </is>
      </c>
      <c r="B8" s="2" t="inlineStr">
        <is>
          <t>31-Mar-2026 audited (FY2026 annual report, released 29-May-2026) PLUS announced pro-forma items: $700k convertible notes 17-Aug-2026 (convert on the raise), $2.0m placement (2-Sep-2026, minimum, not underwritten, closes 25-Sep), $0.75m SPP (11-Sep-2026, closes 30-Sep), and $8m of the $10-12m asset-sale target. Six months stale in the wrong direction; refresh at allotment and at the H1 FY2027 result.</t>
        </is>
      </c>
    </row>
    <row r="9">
      <c r="A9" s="1" t="inlineStr">
        <is>
          <t>Share count</t>
        </is>
      </c>
      <c r="B9" s="2" t="inlineStr">
        <is>
          <t>1,098,372.765k on issue + 285,714k placement + 107,143k SPP + 12,001k note conversion = 1,503,231k pro-forma. Held flat (SBC expensed in flows). Out of the money and excluded: 24.4m options at $0.030; $2m notes convertible at $0.007 (285,714k); $15m Empire notes at $0.02 (750,000k).</t>
        </is>
      </c>
    </row>
    <row r="10">
      <c r="A10" s="1" t="inlineStr">
        <is>
          <t>Guidance</t>
        </is>
      </c>
      <c r="B10" s="2" t="inlineStr">
        <is>
          <t>2-Sep-2026 fact sheet: FY27 operating EBITDA 'the same or similar' to FY26 ($5.85m); loss reduced by $2.5-4m; ~$5m annualised cost-out; FY28 full-year $5-6m cost reduction, revenue and EBITDA 'to grow significantly'.</t>
        </is>
      </c>
    </row>
    <row r="11">
      <c r="A11" s="1" t="inlineStr">
        <is>
          <t>Lease treatment</t>
        </is>
      </c>
      <c r="B11" s="2" t="inlineStr">
        <is>
          <t>B: principal (3,090) + interest (1,334) = 6.3% of revenue charged in the flows; lease liabilities (17,988) excluded from net debt; tax EBIT uses D&amp;A ex right-of-use depreciation (9.55% of FY26 revenue, gliding to 6.5%).</t>
        </is>
      </c>
    </row>
    <row r="12">
      <c r="A12" s="1" t="inlineStr">
        <is>
          <t>WACC</t>
        </is>
      </c>
      <c r="B12" s="2" t="inlineStr">
        <is>
          <t>11% NZD-built (rf 4.4% + 5.5% ERP x 1.1 + ~3% small-cap = ~13.5% CoE; Kd ~9% pre-tax, no shield while loss-making; 50/50). Same in all scenarios -- going-concern risk is charged once, in the bear weight.</t>
        </is>
      </c>
    </row>
    <row r="13">
      <c r="A13" s="1" t="inlineStr">
        <is>
          <t>Terminal value</t>
        </is>
      </c>
      <c r="B13" s="2" t="inlineStr">
        <is>
          <t>max(0, min(Gordon, cap x FCF_10)). Caps: bear 10x, base 12x, bull 14x (fleet-heavy sub-scale service business, below the house 20x).</t>
        </is>
      </c>
    </row>
    <row r="14">
      <c r="A14" s="1" t="inlineStr">
        <is>
          <t>Scenario drivers</t>
        </is>
      </c>
      <c r="B14" s="2" t="inlineStr">
        <is>
          <t>Agent judgment, set 2026-09-20 from the FY26 annual report, the 5-Aug-2026 turnaround update and the 2-Sep-2026 fact sheet. Bear/base/bull weights 45/35/20 -- see Assumptions.</t>
        </is>
      </c>
    </row>
    <row r="15">
      <c r="A15" s="1" t="inlineStr">
        <is>
          <t>Row map (DCF tabs)</t>
        </is>
      </c>
      <c r="B15" s="2" t="inlineStr">
        <is>
          <t>5 growth | 6 revenue | 7 EBITDA margin | 8 EBITDA | 9 SBC % | 10 SBC $ | 11 lease % | 12 lease $ | 13 owner EBITDA | 14 D&amp;A % | 15 D&amp;A $ | 16 EBIT | 17 cash tax rate | 18 tax $ | 19 NOPAT | 20 add D&amp;A | 21 capex % | 22 capex $ | 23 WC | 24 owner FCF | 25 discount factor | 26 PV | 28-29 memos | 31-46 valuation block | 48-50 street memo. Hardcoded drivers: rows 5, 7, 9, 11, 14, 17, 21 (blue, yellow).</t>
        </is>
      </c>
    </row>
    <row r="16">
      <c r="A16" s="1" t="inlineStr">
        <is>
          <t>Refresh after next print</t>
        </is>
      </c>
      <c r="B16" s="2" t="inlineStr">
        <is>
          <t>Actual placement/SPP allotment (shares, cash); H1 FY2027 (30-Sep-2026) net debt, EBITDA run-rate, cost-out evidence; asset-sale proceeds realised; Kiwibank refinancing outcome before 30-May-2027; WorkSafe outcome.</t>
        </is>
      </c>
    </row>
    <row r="17">
      <c r="A17" s="1" t="inlineStr">
        <is>
          <t>Colour legend</t>
        </is>
      </c>
      <c r="B17" s="2" t="inlineStr">
        <is>
          <t>Blue font = hardcoded input; yellow fill = key lever; black = formula; green font = cross-sheet link.</t>
        </is>
      </c>
    </row>
    <row r="18">
      <c r="A18" s="1" t="inlineStr">
        <is>
          <t>Warning</t>
        </is>
      </c>
      <c r="B18" s="2" t="inlineStr">
        <is>
          <t>Figures go stale. The JSON and this workbook were built from one engine; if they disagree after edits, the workbook formulas are live and the JSON is a snapshot.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8" customWidth="1" min="1" max="1"/>
    <col width="90" customWidth="1" min="6" max="6"/>
  </cols>
  <sheetData>
    <row r="1">
      <c r="A1" s="1" t="inlineStr">
        <is>
          <t>NZ$000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  <c r="E1" s="1" t="inlineStr">
        <is>
          <t>FY2026</t>
        </is>
      </c>
      <c r="F1" s="1" t="inlineStr">
        <is>
          <t>Source</t>
        </is>
      </c>
    </row>
    <row r="2">
      <c r="A2" t="inlineStr">
        <is>
          <t>Revenue</t>
        </is>
      </c>
      <c r="B2" s="3" t="n">
        <v>34392</v>
      </c>
      <c r="C2" s="3" t="n">
        <v>48233</v>
      </c>
      <c r="D2" s="3" t="n">
        <v>56409</v>
      </c>
      <c r="E2" s="3" t="n">
        <v>70217</v>
      </c>
      <c r="F2" t="inlineStr">
        <is>
          <t>Annual reports, statement of profit or loss</t>
        </is>
      </c>
    </row>
    <row r="3">
      <c r="A3" t="inlineStr">
        <is>
          <t>Operating EBITDA (segment total, post-IFRS-16)</t>
        </is>
      </c>
      <c r="B3" s="3" t="n">
        <v>5586</v>
      </c>
      <c r="C3" s="3" t="n">
        <v>3369</v>
      </c>
      <c r="D3" s="3" t="n">
        <v>4640</v>
      </c>
      <c r="E3" s="3" t="n">
        <v>5851</v>
      </c>
      <c r="F3" t="inlineStr">
        <is>
          <t>Segment note; FY26 note 5 (before H&amp;S reset 1,750, restructuring 1,345, acquisition 27)</t>
        </is>
      </c>
    </row>
    <row r="4">
      <c r="A4" t="inlineStr">
        <is>
          <t>Net loss</t>
        </is>
      </c>
      <c r="B4" s="3" t="n">
        <v>-1991</v>
      </c>
      <c r="C4" s="3" t="n">
        <v>-4135</v>
      </c>
      <c r="D4" s="3" t="n">
        <v>-9854</v>
      </c>
      <c r="E4" s="3" t="n">
        <v>-12354</v>
      </c>
      <c r="F4" t="inlineStr">
        <is>
          <t>Statement of profit or loss</t>
        </is>
      </c>
    </row>
    <row r="5">
      <c r="A5" t="inlineStr">
        <is>
          <t>Net cash from operating activities (pre debt interest)</t>
        </is>
      </c>
      <c r="B5" s="3" t="n">
        <v>3587</v>
      </c>
      <c r="C5" s="3" t="n">
        <v>1197</v>
      </c>
      <c r="D5" s="3" t="n">
        <v>4469</v>
      </c>
      <c r="E5" s="3" t="n">
        <v>5557</v>
      </c>
      <c r="F5" t="inlineStr">
        <is>
          <t>Cash flow statement (interest on borrowings sits in financing)</t>
        </is>
      </c>
    </row>
    <row r="6">
      <c r="A6" t="inlineStr">
        <is>
          <t>Payments for PP&amp;E + intangibles</t>
        </is>
      </c>
      <c r="B6" s="3" t="n">
        <v>8548</v>
      </c>
      <c r="C6" s="3" t="n">
        <v>3595</v>
      </c>
      <c r="D6" s="3" t="n">
        <v>1050</v>
      </c>
      <c r="E6" s="3" t="n">
        <v>1878</v>
      </c>
      <c r="F6" t="inlineStr">
        <is>
          <t>Cash flow statement</t>
        </is>
      </c>
    </row>
    <row r="7">
      <c r="A7" t="inlineStr">
        <is>
          <t>Principal repayment of lease liabilities</t>
        </is>
      </c>
      <c r="B7" s="3" t="n">
        <v>725</v>
      </c>
      <c r="C7" s="3" t="n">
        <v>1323</v>
      </c>
      <c r="D7" s="3" t="n">
        <v>1700</v>
      </c>
      <c r="E7" s="3" t="n">
        <v>3090</v>
      </c>
      <c r="F7" t="inlineStr">
        <is>
          <t>Cash flow statement, financing</t>
        </is>
      </c>
    </row>
    <row r="8">
      <c r="A8" t="inlineStr">
        <is>
          <t>Interest paid on lease liabilities</t>
        </is>
      </c>
      <c r="B8" s="3" t="n">
        <v>413</v>
      </c>
      <c r="C8" s="3" t="n">
        <v>799</v>
      </c>
      <c r="D8" s="3" t="n">
        <v>1037</v>
      </c>
      <c r="E8" s="3" t="n">
        <v>1334</v>
      </c>
      <c r="F8" t="inlineStr">
        <is>
          <t>Cash flow statement, financing</t>
        </is>
      </c>
    </row>
    <row r="9">
      <c r="A9" t="inlineStr">
        <is>
          <t>Interest paid on borrowings + convertible notes</t>
        </is>
      </c>
      <c r="B9" s="3" t="n">
        <v>1573</v>
      </c>
      <c r="C9" s="3" t="n">
        <v>2264</v>
      </c>
      <c r="D9" s="3" t="n">
        <v>3160</v>
      </c>
      <c r="E9" s="3" t="n">
        <v>3088</v>
      </c>
      <c r="F9" t="inlineStr">
        <is>
          <t>Cash flow statement, financing (FY26: 1,938 + 1,150)</t>
        </is>
      </c>
    </row>
    <row r="10">
      <c r="A10" t="inlineStr">
        <is>
          <t>Share-based payment expense</t>
        </is>
      </c>
      <c r="B10" s="3" t="n">
        <v>405</v>
      </c>
      <c r="C10" s="3" t="n">
        <v>275</v>
      </c>
      <c r="D10" s="3" t="n">
        <v>0</v>
      </c>
      <c r="E10" s="3" t="n">
        <v>76</v>
      </c>
      <c r="F10" t="inlineStr">
        <is>
          <t>Non-cash reconciliation / note 20 (FY25 net reversal -60 shown as 0)</t>
        </is>
      </c>
    </row>
    <row r="11">
      <c r="A11" t="inlineStr">
        <is>
          <t>Depreciation &amp; amortisation (total)</t>
        </is>
      </c>
      <c r="B11" s="3" t="n">
        <v>4054</v>
      </c>
      <c r="C11" s="3" t="n">
        <v>6192</v>
      </c>
      <c r="D11" s="3" t="n">
        <v>8169</v>
      </c>
      <c r="E11" s="3" t="n">
        <v>9749</v>
      </c>
      <c r="F11" t="inlineStr">
        <is>
          <t>Note 7</t>
        </is>
      </c>
    </row>
    <row r="12">
      <c r="A12" t="inlineStr">
        <is>
          <t xml:space="preserve">  of which right-of-use depreciation</t>
        </is>
      </c>
      <c r="B12" s="3" t="n">
        <v>837</v>
      </c>
      <c r="C12" s="3" t="n">
        <v>1550</v>
      </c>
      <c r="D12" s="3" t="n">
        <v>2019</v>
      </c>
      <c r="E12" s="3" t="n">
        <v>3040</v>
      </c>
      <c r="F12" t="inlineStr">
        <is>
          <t>Note 15.1</t>
        </is>
      </c>
    </row>
    <row r="13">
      <c r="A13" t="inlineStr">
        <is>
          <t>Shareholders' equity</t>
        </is>
      </c>
      <c r="B13" s="3" t="n">
        <v>9889</v>
      </c>
      <c r="C13" s="3" t="n">
        <v>16387</v>
      </c>
      <c r="D13" s="3" t="n">
        <v>15298</v>
      </c>
      <c r="E13" s="3" t="n">
        <v>3201</v>
      </c>
      <c r="F13" t="inlineStr">
        <is>
          <t>Statement of financial position</t>
        </is>
      </c>
    </row>
    <row r="14">
      <c r="A14" t="inlineStr">
        <is>
          <t>Borrowings (carrying, ex-lease)</t>
        </is>
      </c>
      <c r="B14" s="3" t="n">
        <v>27851</v>
      </c>
      <c r="C14" s="3" t="n">
        <v>45413</v>
      </c>
      <c r="D14" s="3" t="n">
        <v>40950</v>
      </c>
      <c r="E14" s="3" t="n">
        <v>40096</v>
      </c>
      <c r="F14" t="inlineStr">
        <is>
          <t>FY25/FY26 note 24.3; FY23/FY24 total debt per Metrics.csv incl. leases</t>
        </is>
      </c>
    </row>
    <row r="15">
      <c r="A15" t="inlineStr">
        <is>
          <t>Lease liabilities</t>
        </is>
      </c>
      <c r="D15" s="3" t="n">
        <v>15980</v>
      </c>
      <c r="E15" s="3" t="n">
        <v>17988</v>
      </c>
      <c r="F15" t="inlineStr">
        <is>
          <t>Note 15.2</t>
        </is>
      </c>
    </row>
    <row r="16">
      <c r="A16" t="inlineStr">
        <is>
          <t>Cash at bank</t>
        </is>
      </c>
      <c r="B16" s="3" t="n">
        <v>873</v>
      </c>
      <c r="C16" s="3" t="n">
        <v>1751</v>
      </c>
      <c r="D16" s="3" t="n">
        <v>5854</v>
      </c>
      <c r="E16" s="3" t="n">
        <v>1159</v>
      </c>
      <c r="F16" t="inlineStr">
        <is>
          <t>Statement of financial position</t>
        </is>
      </c>
    </row>
    <row r="17">
      <c r="A17" t="inlineStr">
        <is>
          <t>Shares on issue (000)</t>
        </is>
      </c>
      <c r="B17" s="3" t="n">
        <v>504000</v>
      </c>
      <c r="C17" s="3" t="n">
        <v>800946</v>
      </c>
      <c r="D17" s="3" t="n">
        <v>1098373</v>
      </c>
      <c r="E17" s="3" t="n">
        <v>1098373</v>
      </c>
      <c r="F17" t="inlineStr">
        <is>
          <t>Note 19 (FY25 250,000k placement at $0.02)</t>
        </is>
      </c>
    </row>
    <row r="19">
      <c r="A19" s="1" t="inlineStr">
        <is>
          <t>Balance sheet snapshot 31-Mar-2026 and pro-forma bridge (NZ$000)</t>
        </is>
      </c>
    </row>
    <row r="20">
      <c r="A20" t="inlineStr">
        <is>
          <t>Borrowings at carrying value</t>
        </is>
      </c>
      <c r="B20" s="3" t="n">
        <v>40096</v>
      </c>
    </row>
    <row r="21">
      <c r="A21" t="inlineStr">
        <is>
          <t>Convertible notes: uplift to face ($17m - 13,046)</t>
        </is>
      </c>
      <c r="B21" s="3" t="n">
        <v>3954</v>
      </c>
    </row>
    <row r="22">
      <c r="A22" t="inlineStr">
        <is>
          <t>less cash</t>
        </is>
      </c>
      <c r="B22" s="3" t="n">
        <v>-1159</v>
      </c>
    </row>
    <row r="23">
      <c r="A23" t="inlineStr">
        <is>
          <t>less $700k notes cash (17-Aug-2026; note converts)</t>
        </is>
      </c>
      <c r="B23" s="3" t="n">
        <v>-700</v>
      </c>
    </row>
    <row r="24">
      <c r="A24" t="inlineStr">
        <is>
          <t>less placement $2.0m minimum (2-Sep-2026)</t>
        </is>
      </c>
      <c r="B24" s="3" t="n">
        <v>-2000</v>
      </c>
    </row>
    <row r="25">
      <c r="A25" t="inlineStr">
        <is>
          <t>less SPP $0.75m (11-Sep-2026)</t>
        </is>
      </c>
      <c r="B25" s="3" t="n">
        <v>-750</v>
      </c>
    </row>
    <row r="26">
      <c r="A26" t="inlineStr">
        <is>
          <t>less asset-sale proceeds credited ($10-12m target, haircut)</t>
        </is>
      </c>
      <c r="B26" s="3" t="n">
        <v>-8000</v>
      </c>
    </row>
    <row r="27">
      <c r="A27" s="1" t="inlineStr">
        <is>
          <t>Total: net debt used in bridge</t>
        </is>
      </c>
      <c r="B27" s="4">
        <f>SUM(B20:B26)</f>
        <v/>
      </c>
    </row>
    <row r="29">
      <c r="A29" s="1" t="inlineStr">
        <is>
          <t>Guidance (2-Sep-2026 fact sheet)</t>
        </is>
      </c>
    </row>
    <row r="30">
      <c r="A30" t="inlineStr">
        <is>
          <t>FY27 operating EBITDA 'the same or similar to FY2026'; net loss reduced $2.5-4m; ~$5m annualised cost-out; $10-12m asset sales; FY28 full-year $5-6m cost reduction, revenue/EBITDA 'grow significantly'.</t>
        </is>
      </c>
    </row>
    <row r="31">
      <c r="A31" t="inlineStr">
        <is>
          <t>Buybacks: none in any period. Dividends: none.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  <col width="60" customWidth="1" min="3" max="3"/>
  </cols>
  <sheetData>
    <row r="1">
      <c r="A1" s="1" t="inlineStr">
        <is>
          <t>Globals</t>
        </is>
      </c>
    </row>
    <row r="2">
      <c r="A2" t="inlineStr">
        <is>
          <t>Current price (NZD)</t>
        </is>
      </c>
      <c r="B2" s="5" t="n">
        <v>0.007</v>
      </c>
      <c r="C2" t="inlineStr">
        <is>
          <t>Yahoo 2026-09-18T01:48:47Z; equals placement price</t>
        </is>
      </c>
    </row>
    <row r="3">
      <c r="A3" t="inlineStr">
        <is>
          <t>Diluted shares (000), pro-forma</t>
        </is>
      </c>
      <c r="B3" s="6" t="n">
        <v>1503230.594</v>
      </c>
      <c r="C3" t="inlineStr">
        <is>
          <t>1,098,373 + 285,714 + 107,143 + 12,001; see Model_Info</t>
        </is>
      </c>
    </row>
    <row r="4">
      <c r="A4" t="inlineStr">
        <is>
          <t>Net debt used in bridge (NZ$000)</t>
        </is>
      </c>
      <c r="B4" s="7">
        <f>Actuals!$B$27</f>
        <v/>
      </c>
      <c r="C4" t="inlineStr">
        <is>
          <t>Actuals bridge: pro-forma net borrowings less $8m asset sales; leases excluded (treatment B)</t>
        </is>
      </c>
    </row>
    <row r="5">
      <c r="A5" t="inlineStr">
        <is>
          <t>Lease cost % of revenue</t>
        </is>
      </c>
      <c r="B5" s="6" t="n">
        <v>6.3</v>
      </c>
      <c r="C5" t="inlineStr">
        <is>
          <t>FY26 lease cash 4,424 / 70,217</t>
        </is>
      </c>
    </row>
    <row r="6">
      <c r="A6" t="inlineStr">
        <is>
          <t>SBC % of revenue</t>
        </is>
      </c>
      <c r="B6" s="6" t="n">
        <v>0.1</v>
      </c>
      <c r="C6" t="inlineStr">
        <is>
          <t>FY26 expense 76 / 70,217 = 0.11%</t>
        </is>
      </c>
    </row>
    <row r="7">
      <c r="A7" t="inlineStr">
        <is>
          <t>WC capture % of revenue change</t>
        </is>
      </c>
      <c r="B7" s="6" t="n">
        <v>-5</v>
      </c>
      <c r="C7" t="inlineStr">
        <is>
          <t>receivables-led growth consumes cash</t>
        </is>
      </c>
    </row>
    <row r="8">
      <c r="A8" t="inlineStr">
        <is>
          <t>Hurdle rate</t>
        </is>
      </c>
      <c r="B8" s="6" t="n">
        <v>0.15</v>
      </c>
      <c r="C8" t="inlineStr">
        <is>
          <t>entry-price IRR; TV rebuilt at the hurdle</t>
        </is>
      </c>
    </row>
    <row r="9">
      <c r="A9" t="inlineStr">
        <is>
          <t>FY0 revenue (NZ$000)</t>
        </is>
      </c>
      <c r="B9" s="6" t="n">
        <v>70217</v>
      </c>
      <c r="C9" t="inlineStr">
        <is>
          <t>FY2026</t>
        </is>
      </c>
    </row>
    <row r="12">
      <c r="A12" s="1" t="inlineStr">
        <is>
          <t>Scenario parameters</t>
        </is>
      </c>
    </row>
    <row r="13">
      <c r="A13" s="1" t="inlineStr"/>
      <c r="B13" s="1" t="inlineStr">
        <is>
          <t>Bear</t>
        </is>
      </c>
      <c r="C13" s="1" t="inlineStr">
        <is>
          <t>Base</t>
        </is>
      </c>
      <c r="D13" s="1" t="inlineStr">
        <is>
          <t>Bull</t>
        </is>
      </c>
    </row>
    <row r="14">
      <c r="A14" t="inlineStr">
        <is>
          <t>WACC %</t>
        </is>
      </c>
      <c r="B14" s="5" t="n">
        <v>11</v>
      </c>
      <c r="C14" s="5" t="n">
        <v>11</v>
      </c>
      <c r="D14" s="5" t="n">
        <v>11</v>
      </c>
    </row>
    <row r="15">
      <c r="A15" t="inlineStr">
        <is>
          <t>Terminal growth %</t>
        </is>
      </c>
      <c r="B15" s="5" t="n">
        <v>2</v>
      </c>
      <c r="C15" s="5" t="n">
        <v>2.5</v>
      </c>
      <c r="D15" s="5" t="n">
        <v>2.5</v>
      </c>
    </row>
    <row r="16">
      <c r="A16" t="inlineStr">
        <is>
          <t>Terminal cap (x FCF_10)</t>
        </is>
      </c>
      <c r="B16" s="5" t="n">
        <v>10</v>
      </c>
      <c r="C16" s="5" t="n">
        <v>12</v>
      </c>
      <c r="D16" s="5" t="n">
        <v>14</v>
      </c>
    </row>
    <row r="17">
      <c r="A17" t="inlineStr">
        <is>
          <t>Probability weight</t>
        </is>
      </c>
      <c r="B17" s="5" t="n">
        <v>0.45</v>
      </c>
      <c r="C17" s="5" t="n">
        <v>0.35</v>
      </c>
      <c r="D17" s="5" t="n">
        <v>0.2</v>
      </c>
    </row>
    <row r="18">
      <c r="A18" t="inlineStr">
        <is>
          <t>Weights sum (must be 1.0)</t>
        </is>
      </c>
      <c r="B18">
        <f>SUM(B17:D17)</f>
        <v/>
      </c>
    </row>
    <row r="20">
      <c r="A20" s="1" t="inlineStr">
        <is>
          <t>Scenario narratives</t>
        </is>
      </c>
    </row>
    <row r="21" ht="120" customHeight="1">
      <c r="A21" s="1" t="inlineStr">
        <is>
          <t>BEAR</t>
        </is>
      </c>
      <c r="B21" s="2" t="inlineStr">
        <is>
          <t>Turnaround stalls and the balance sheet resolves against equity. The $5m cost-out slips, the divested divisions take revenue with them (-3% FY27, flat FY28), operating EBITDA margin drifts 7.5-10% and never covers the 6.3% lease charge plus 3.5-4.5% fleet capex, so owner FCF is negative every year and the terminal value sits on the zero floor. In May 2027 the $21.8m of Kiwibank core facilities are not rolled on acceptable terms; the outcome is either enforcement under the first-ranking GSA or a rescue recapitalisation (Empire converting its $15m secured notes / a debt-for-equity swap at or below $0.007) that leaves existing holders with a sliver. The WorkSafe prosecution and the second fatality weigh on council re-tenders. Asset sales realise less than $8m in a forced process (not varied in the bridge; worth ~-$0.003/share on top).</t>
        </is>
      </c>
    </row>
    <row r="22" ht="120" customHeight="1">
      <c r="A22" s="1" t="inlineStr">
        <is>
          <t>BASE</t>
        </is>
      </c>
      <c r="B22" s="2" t="inlineStr">
        <is>
          <t>Turnaround partly delivers and the lender keeps rolling. FY27 operating EBITDA flat on FY26 (8.3%) per the fact-sheet guidance, then roughly $3m of the targeted $5m annualised cost-out sticks from FY28 (11%), rising to a 14% mature margin by FY32 -- below WasteCo's own FY23 16.2% and well below the landfill-owning majors. Revenue grows 1.5% FY27 (divestments net of the Ashburton start), 3.5% FY28 (full Ashburton year), fading to 2.5%. Fleet renewal keeps costing 6.3% of revenue in leases plus capex ramping 4% -&gt; 4.5%, so owner FCF matures at only ~2.7% of revenue. The placement and SPP complete at the announced minimums, the $700k note converts, $8m of the $10-12m asset-sale target is realised and applied to debt, and Kiwibank refinances in May 2027. Even so, EV of ~$18.5m does not cover $31.4m of pro-forma net borrowings: the equity is a residual claim below zero on a DCF basis.</t>
        </is>
      </c>
    </row>
    <row r="23" ht="120" customHeight="1">
      <c r="A23" s="1" t="inlineStr">
        <is>
          <t>BULL</t>
        </is>
      </c>
      <c r="B23" s="2" t="inlineStr">
        <is>
          <t>Management's plan lands close to its own numbers. Full $5-6m cost reduction from FY28, 5% revenue growth FY28-FY30 (Ashburton, M&amp;Q expansion, national tenders unlocked by Civic), EBITDA margin 13% FY28 rising to 17% by FY31 and held (above the FY23 16.2% peak). Fleet cost unchanged (6.3% leases + 4-4.5% capex), 28% tax once losses are used. Terminal value binds on Gordon at 2.5% (12.1x FCF), inside the 14x cap. EV of ~$39.7m clears pro-forma net borrowings by ~$8m -- about $0.0055/share, i.e. the placement price. The $2m note (conversion price $0.007) would convert at this value; the $15m Empire notes ($0.02) would not. A trade sale at 8x FY28E EBITDA (memo) is the only path materially above the current price.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BEAR scenario -- owner FCF, NZ$000</t>
        </is>
      </c>
    </row>
    <row r="3">
      <c r="A3" t="inlineStr">
        <is>
          <t>Year</t>
        </is>
      </c>
      <c r="B3" t="inlineStr">
        <is>
          <t>2026A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  <c r="G3" t="inlineStr">
        <is>
          <t>2031E</t>
        </is>
      </c>
      <c r="H3" t="inlineStr">
        <is>
          <t>2032E</t>
        </is>
      </c>
      <c r="I3" t="inlineStr">
        <is>
          <t>2033E</t>
        </is>
      </c>
      <c r="J3" t="inlineStr">
        <is>
          <t>2034E</t>
        </is>
      </c>
      <c r="K3" t="inlineStr">
        <is>
          <t>2035E</t>
        </is>
      </c>
      <c r="L3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5" t="n">
        <v>-3</v>
      </c>
      <c r="D5" s="5" t="n">
        <v>0</v>
      </c>
      <c r="E5" s="5" t="n">
        <v>1</v>
      </c>
      <c r="F5" s="5" t="n">
        <v>1.5</v>
      </c>
      <c r="G5" s="5" t="n">
        <v>2</v>
      </c>
      <c r="H5" s="5" t="n">
        <v>2</v>
      </c>
      <c r="I5" s="5" t="n">
        <v>2</v>
      </c>
      <c r="J5" s="5" t="n">
        <v>2</v>
      </c>
      <c r="K5" s="5" t="n">
        <v>2</v>
      </c>
      <c r="L5" s="5" t="n">
        <v>2</v>
      </c>
    </row>
    <row r="6">
      <c r="A6" t="inlineStr">
        <is>
          <t>Revenue</t>
        </is>
      </c>
      <c r="B6" s="8">
        <f>Assumptions!$B$9</f>
        <v/>
      </c>
      <c r="C6" s="4">
        <f>B6*(1+C5/100)</f>
        <v/>
      </c>
      <c r="D6" s="4">
        <f>C6*(1+D5/100)</f>
        <v/>
      </c>
      <c r="E6" s="4">
        <f>D6*(1+E5/100)</f>
        <v/>
      </c>
      <c r="F6" s="4">
        <f>E6*(1+F5/100)</f>
        <v/>
      </c>
      <c r="G6" s="4">
        <f>F6*(1+G5/100)</f>
        <v/>
      </c>
      <c r="H6" s="4">
        <f>G6*(1+H5/100)</f>
        <v/>
      </c>
      <c r="I6" s="4">
        <f>H6*(1+I5/100)</f>
        <v/>
      </c>
      <c r="J6" s="4">
        <f>I6*(1+J5/100)</f>
        <v/>
      </c>
      <c r="K6" s="4">
        <f>J6*(1+K5/100)</f>
        <v/>
      </c>
      <c r="L6" s="4">
        <f>K6*(1+L5/100)</f>
        <v/>
      </c>
    </row>
    <row r="7">
      <c r="A7" t="inlineStr">
        <is>
          <t>Adj EBITDA margin %</t>
        </is>
      </c>
      <c r="C7" s="5" t="n">
        <v>7.5</v>
      </c>
      <c r="D7" s="5" t="n">
        <v>8.5</v>
      </c>
      <c r="E7" s="5" t="n">
        <v>9</v>
      </c>
      <c r="F7" s="5" t="n">
        <v>9.5</v>
      </c>
      <c r="G7" s="5" t="n">
        <v>10</v>
      </c>
      <c r="H7" s="5" t="n">
        <v>10</v>
      </c>
      <c r="I7" s="5" t="n">
        <v>10</v>
      </c>
      <c r="J7" s="5" t="n">
        <v>10</v>
      </c>
      <c r="K7" s="5" t="n">
        <v>10</v>
      </c>
      <c r="L7" s="5" t="n">
        <v>10</v>
      </c>
    </row>
    <row r="8">
      <c r="A8" t="inlineStr">
        <is>
          <t>Adjusted EBITDA (post-IFRS-16)</t>
        </is>
      </c>
      <c r="C8" s="4">
        <f>C6*C7/100</f>
        <v/>
      </c>
      <c r="D8" s="4">
        <f>D6*D7/100</f>
        <v/>
      </c>
      <c r="E8" s="4">
        <f>E6*E7/100</f>
        <v/>
      </c>
      <c r="F8" s="4">
        <f>F6*F7/100</f>
        <v/>
      </c>
      <c r="G8" s="4">
        <f>G6*G7/100</f>
        <v/>
      </c>
      <c r="H8" s="4">
        <f>H6*H7/100</f>
        <v/>
      </c>
      <c r="I8" s="4">
        <f>I6*I7/100</f>
        <v/>
      </c>
      <c r="J8" s="4">
        <f>J6*J7/100</f>
        <v/>
      </c>
      <c r="K8" s="4">
        <f>K6*K7/100</f>
        <v/>
      </c>
      <c r="L8" s="4">
        <f>L6*L7/100</f>
        <v/>
      </c>
    </row>
    <row r="9">
      <c r="A9" t="inlineStr">
        <is>
          <t>SBC % of revenue</t>
        </is>
      </c>
      <c r="C9" s="5" t="n">
        <v>0.1</v>
      </c>
      <c r="D9" s="5" t="n">
        <v>0.1</v>
      </c>
      <c r="E9" s="5" t="n">
        <v>0.1</v>
      </c>
      <c r="F9" s="5" t="n">
        <v>0.1</v>
      </c>
      <c r="G9" s="5" t="n">
        <v>0.1</v>
      </c>
      <c r="H9" s="5" t="n">
        <v>0.1</v>
      </c>
      <c r="I9" s="5" t="n">
        <v>0.1</v>
      </c>
      <c r="J9" s="5" t="n">
        <v>0.1</v>
      </c>
      <c r="K9" s="5" t="n">
        <v>0.1</v>
      </c>
      <c r="L9" s="5" t="n">
        <v>0.1</v>
      </c>
    </row>
    <row r="10">
      <c r="A10" t="inlineStr">
        <is>
          <t>SBC $ (neg)</t>
        </is>
      </c>
      <c r="C10" s="4">
        <f>-C6*C9/100</f>
        <v/>
      </c>
      <c r="D10" s="4">
        <f>-D6*D9/100</f>
        <v/>
      </c>
      <c r="E10" s="4">
        <f>-E6*E9/100</f>
        <v/>
      </c>
      <c r="F10" s="4">
        <f>-F6*F9/100</f>
        <v/>
      </c>
      <c r="G10" s="4">
        <f>-G6*G9/100</f>
        <v/>
      </c>
      <c r="H10" s="4">
        <f>-H6*H9/100</f>
        <v/>
      </c>
      <c r="I10" s="4">
        <f>-I6*I9/100</f>
        <v/>
      </c>
      <c r="J10" s="4">
        <f>-J6*J9/100</f>
        <v/>
      </c>
      <c r="K10" s="4">
        <f>-K6*K9/100</f>
        <v/>
      </c>
      <c r="L10" s="4">
        <f>-L6*L9/100</f>
        <v/>
      </c>
    </row>
    <row r="11">
      <c r="A11" t="inlineStr">
        <is>
          <t>Lease cost % of revenue</t>
        </is>
      </c>
      <c r="C11" s="8">
        <f>Assumptions!$B$5</f>
        <v/>
      </c>
      <c r="D11" s="8">
        <f>Assumptions!$B$5</f>
        <v/>
      </c>
      <c r="E11" s="8">
        <f>Assumptions!$B$5</f>
        <v/>
      </c>
      <c r="F11" s="8">
        <f>Assumptions!$B$5</f>
        <v/>
      </c>
      <c r="G11" s="8">
        <f>Assumptions!$B$5</f>
        <v/>
      </c>
      <c r="H11" s="8">
        <f>Assumptions!$B$5</f>
        <v/>
      </c>
      <c r="I11" s="8">
        <f>Assumptions!$B$5</f>
        <v/>
      </c>
      <c r="J11" s="8">
        <f>Assumptions!$B$5</f>
        <v/>
      </c>
      <c r="K11" s="8">
        <f>Assumptions!$B$5</f>
        <v/>
      </c>
      <c r="L11" s="8">
        <f>Assumptions!$B$5</f>
        <v/>
      </c>
    </row>
    <row r="12">
      <c r="A12" t="inlineStr">
        <is>
          <t>Lease cash $ (neg)</t>
        </is>
      </c>
      <c r="C12" s="4">
        <f>-C6*C11/100</f>
        <v/>
      </c>
      <c r="D12" s="4">
        <f>-D6*D11/100</f>
        <v/>
      </c>
      <c r="E12" s="4">
        <f>-E6*E11/100</f>
        <v/>
      </c>
      <c r="F12" s="4">
        <f>-F6*F11/100</f>
        <v/>
      </c>
      <c r="G12" s="4">
        <f>-G6*G11/100</f>
        <v/>
      </c>
      <c r="H12" s="4">
        <f>-H6*H11/100</f>
        <v/>
      </c>
      <c r="I12" s="4">
        <f>-I6*I11/100</f>
        <v/>
      </c>
      <c r="J12" s="4">
        <f>-J6*J11/100</f>
        <v/>
      </c>
      <c r="K12" s="4">
        <f>-K6*K11/100</f>
        <v/>
      </c>
      <c r="L12" s="4">
        <f>-L6*L11/100</f>
        <v/>
      </c>
    </row>
    <row r="13">
      <c r="A13" t="inlineStr">
        <is>
          <t>Owner EBITDA (after SBC and leases)</t>
        </is>
      </c>
      <c r="C13" s="4">
        <f>C8+C10+C12</f>
        <v/>
      </c>
      <c r="D13" s="4">
        <f>D8+D10+D12</f>
        <v/>
      </c>
      <c r="E13" s="4">
        <f>E8+E10+E12</f>
        <v/>
      </c>
      <c r="F13" s="4">
        <f>F8+F10+F12</f>
        <v/>
      </c>
      <c r="G13" s="4">
        <f>G8+G10+G12</f>
        <v/>
      </c>
      <c r="H13" s="4">
        <f>H8+H10+H12</f>
        <v/>
      </c>
      <c r="I13" s="4">
        <f>I8+I10+I12</f>
        <v/>
      </c>
      <c r="J13" s="4">
        <f>J8+J10+J12</f>
        <v/>
      </c>
      <c r="K13" s="4">
        <f>K8+K10+K12</f>
        <v/>
      </c>
      <c r="L13" s="4">
        <f>L8+L10+L12</f>
        <v/>
      </c>
    </row>
    <row r="14">
      <c r="A14" t="inlineStr">
        <is>
          <t>D&amp;A ex-ROU % of revenue</t>
        </is>
      </c>
      <c r="C14" s="5" t="n">
        <v>9.5</v>
      </c>
      <c r="D14" s="5" t="n">
        <v>9</v>
      </c>
      <c r="E14" s="5" t="n">
        <v>8.5</v>
      </c>
      <c r="F14" s="5" t="n">
        <v>8</v>
      </c>
      <c r="G14" s="5" t="n">
        <v>7.5</v>
      </c>
      <c r="H14" s="5" t="n">
        <v>7</v>
      </c>
      <c r="I14" s="5" t="n">
        <v>6.5</v>
      </c>
      <c r="J14" s="5" t="n">
        <v>6.5</v>
      </c>
      <c r="K14" s="5" t="n">
        <v>6.5</v>
      </c>
      <c r="L14" s="5" t="n">
        <v>6.5</v>
      </c>
    </row>
    <row r="15">
      <c r="A15" t="inlineStr">
        <is>
          <t>D&amp;A $ (neg)</t>
        </is>
      </c>
      <c r="C15" s="4">
        <f>-C6*C14/100</f>
        <v/>
      </c>
      <c r="D15" s="4">
        <f>-D6*D14/100</f>
        <v/>
      </c>
      <c r="E15" s="4">
        <f>-E6*E14/100</f>
        <v/>
      </c>
      <c r="F15" s="4">
        <f>-F6*F14/100</f>
        <v/>
      </c>
      <c r="G15" s="4">
        <f>-G6*G14/100</f>
        <v/>
      </c>
      <c r="H15" s="4">
        <f>-H6*H14/100</f>
        <v/>
      </c>
      <c r="I15" s="4">
        <f>-I6*I14/100</f>
        <v/>
      </c>
      <c r="J15" s="4">
        <f>-J6*J14/100</f>
        <v/>
      </c>
      <c r="K15" s="4">
        <f>-K6*K14/100</f>
        <v/>
      </c>
      <c r="L15" s="4">
        <f>-L6*L14/100</f>
        <v/>
      </c>
    </row>
    <row r="16">
      <c r="A16" t="inlineStr">
        <is>
          <t>EBIT (SBC and leases expensed)</t>
        </is>
      </c>
      <c r="C16" s="4">
        <f>C13+C15</f>
        <v/>
      </c>
      <c r="D16" s="4">
        <f>D13+D15</f>
        <v/>
      </c>
      <c r="E16" s="4">
        <f>E13+E15</f>
        <v/>
      </c>
      <c r="F16" s="4">
        <f>F13+F15</f>
        <v/>
      </c>
      <c r="G16" s="4">
        <f>G13+G15</f>
        <v/>
      </c>
      <c r="H16" s="4">
        <f>H13+H15</f>
        <v/>
      </c>
      <c r="I16" s="4">
        <f>I13+I15</f>
        <v/>
      </c>
      <c r="J16" s="4">
        <f>J13+J15</f>
        <v/>
      </c>
      <c r="K16" s="4">
        <f>K13+K15</f>
        <v/>
      </c>
      <c r="L16" s="4">
        <f>L13+L15</f>
        <v/>
      </c>
    </row>
    <row r="17">
      <c r="A17" t="inlineStr">
        <is>
          <t>Cash tax rate %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14</v>
      </c>
      <c r="J17" s="5" t="n">
        <v>28</v>
      </c>
      <c r="K17" s="5" t="n">
        <v>28</v>
      </c>
      <c r="L17" s="5" t="n">
        <v>28</v>
      </c>
    </row>
    <row r="18">
      <c r="A18" t="inlineStr">
        <is>
          <t>Cash tax $ (neg; on max(0,EBIT))</t>
        </is>
      </c>
      <c r="C18" s="4">
        <f>-MAX(0,C16)*C17/100</f>
        <v/>
      </c>
      <c r="D18" s="4">
        <f>-MAX(0,D16)*D17/100</f>
        <v/>
      </c>
      <c r="E18" s="4">
        <f>-MAX(0,E16)*E17/100</f>
        <v/>
      </c>
      <c r="F18" s="4">
        <f>-MAX(0,F16)*F17/100</f>
        <v/>
      </c>
      <c r="G18" s="4">
        <f>-MAX(0,G16)*G17/100</f>
        <v/>
      </c>
      <c r="H18" s="4">
        <f>-MAX(0,H16)*H17/100</f>
        <v/>
      </c>
      <c r="I18" s="4">
        <f>-MAX(0,I16)*I17/100</f>
        <v/>
      </c>
      <c r="J18" s="4">
        <f>-MAX(0,J16)*J17/100</f>
        <v/>
      </c>
      <c r="K18" s="4">
        <f>-MAX(0,K16)*K17/100</f>
        <v/>
      </c>
      <c r="L18" s="4">
        <f>-MAX(0,L16)*L17/100</f>
        <v/>
      </c>
    </row>
    <row r="19">
      <c r="A19" t="inlineStr">
        <is>
          <t>NOPAT</t>
        </is>
      </c>
      <c r="C19" s="4">
        <f>C16+C18</f>
        <v/>
      </c>
      <c r="D19" s="4">
        <f>D16+D18</f>
        <v/>
      </c>
      <c r="E19" s="4">
        <f>E16+E18</f>
        <v/>
      </c>
      <c r="F19" s="4">
        <f>F16+F18</f>
        <v/>
      </c>
      <c r="G19" s="4">
        <f>G16+G18</f>
        <v/>
      </c>
      <c r="H19" s="4">
        <f>H16+H18</f>
        <v/>
      </c>
      <c r="I19" s="4">
        <f>I16+I18</f>
        <v/>
      </c>
      <c r="J19" s="4">
        <f>J16+J18</f>
        <v/>
      </c>
      <c r="K19" s="4">
        <f>K16+K18</f>
        <v/>
      </c>
      <c r="L19" s="4">
        <f>L16+L18</f>
        <v/>
      </c>
    </row>
    <row r="20">
      <c r="A20" t="inlineStr">
        <is>
          <t>add back D&amp;A</t>
        </is>
      </c>
      <c r="C20" s="4">
        <f>-C15</f>
        <v/>
      </c>
      <c r="D20" s="4">
        <f>-D15</f>
        <v/>
      </c>
      <c r="E20" s="4">
        <f>-E15</f>
        <v/>
      </c>
      <c r="F20" s="4">
        <f>-F15</f>
        <v/>
      </c>
      <c r="G20" s="4">
        <f>-G15</f>
        <v/>
      </c>
      <c r="H20" s="4">
        <f>-H15</f>
        <v/>
      </c>
      <c r="I20" s="4">
        <f>-I15</f>
        <v/>
      </c>
      <c r="J20" s="4">
        <f>-J15</f>
        <v/>
      </c>
      <c r="K20" s="4">
        <f>-K15</f>
        <v/>
      </c>
      <c r="L20" s="4">
        <f>-L15</f>
        <v/>
      </c>
    </row>
    <row r="21">
      <c r="A21" t="inlineStr">
        <is>
          <t>Capex % of revenue</t>
        </is>
      </c>
      <c r="C21" s="5" t="n">
        <v>3.5</v>
      </c>
      <c r="D21" s="5" t="n">
        <v>3.5</v>
      </c>
      <c r="E21" s="5" t="n">
        <v>4</v>
      </c>
      <c r="F21" s="5" t="n">
        <v>4.5</v>
      </c>
      <c r="G21" s="5" t="n">
        <v>4.5</v>
      </c>
      <c r="H21" s="5" t="n">
        <v>4.5</v>
      </c>
      <c r="I21" s="5" t="n">
        <v>4.5</v>
      </c>
      <c r="J21" s="5" t="n">
        <v>4.5</v>
      </c>
      <c r="K21" s="5" t="n">
        <v>4.5</v>
      </c>
      <c r="L21" s="5" t="n">
        <v>4.5</v>
      </c>
    </row>
    <row r="22">
      <c r="A22" t="inlineStr">
        <is>
          <t>Capex $ (neg)</t>
        </is>
      </c>
      <c r="C22" s="4">
        <f>-C6*C21/100</f>
        <v/>
      </c>
      <c r="D22" s="4">
        <f>-D6*D21/100</f>
        <v/>
      </c>
      <c r="E22" s="4">
        <f>-E6*E21/100</f>
        <v/>
      </c>
      <c r="F22" s="4">
        <f>-F6*F21/100</f>
        <v/>
      </c>
      <c r="G22" s="4">
        <f>-G6*G21/100</f>
        <v/>
      </c>
      <c r="H22" s="4">
        <f>-H6*H21/100</f>
        <v/>
      </c>
      <c r="I22" s="4">
        <f>-I6*I21/100</f>
        <v/>
      </c>
      <c r="J22" s="4">
        <f>-J6*J21/100</f>
        <v/>
      </c>
      <c r="K22" s="4">
        <f>-K6*K21/100</f>
        <v/>
      </c>
      <c r="L22" s="4">
        <f>-L6*L21/100</f>
        <v/>
      </c>
    </row>
    <row r="23">
      <c r="A23" t="inlineStr">
        <is>
          <t>Working capital (capture x revenue change)</t>
        </is>
      </c>
      <c r="C23" s="4">
        <f>Assumptions!$B$7/100*(C6-B6)</f>
        <v/>
      </c>
      <c r="D23" s="4">
        <f>Assumptions!$B$7/100*(D6-C6)</f>
        <v/>
      </c>
      <c r="E23" s="4">
        <f>Assumptions!$B$7/100*(E6-D6)</f>
        <v/>
      </c>
      <c r="F23" s="4">
        <f>Assumptions!$B$7/100*(F6-E6)</f>
        <v/>
      </c>
      <c r="G23" s="4">
        <f>Assumptions!$B$7/100*(G6-F6)</f>
        <v/>
      </c>
      <c r="H23" s="4">
        <f>Assumptions!$B$7/100*(H6-G6)</f>
        <v/>
      </c>
      <c r="I23" s="4">
        <f>Assumptions!$B$7/100*(I6-H6)</f>
        <v/>
      </c>
      <c r="J23" s="4">
        <f>Assumptions!$B$7/100*(J6-I6)</f>
        <v/>
      </c>
      <c r="K23" s="4">
        <f>Assumptions!$B$7/100*(K6-J6)</f>
        <v/>
      </c>
      <c r="L23" s="4">
        <f>Assumptions!$B$7/100*(L6-K6)</f>
        <v/>
      </c>
    </row>
    <row r="24">
      <c r="A24" s="1" t="inlineStr">
        <is>
          <t>Unlevered owner FCF</t>
        </is>
      </c>
      <c r="C24" s="4">
        <f>C19+C20+C22+C23</f>
        <v/>
      </c>
      <c r="D24" s="4">
        <f>D19+D20+D22+D23</f>
        <v/>
      </c>
      <c r="E24" s="4">
        <f>E19+E20+E22+E23</f>
        <v/>
      </c>
      <c r="F24" s="4">
        <f>F19+F20+F22+F23</f>
        <v/>
      </c>
      <c r="G24" s="4">
        <f>G19+G20+G22+G23</f>
        <v/>
      </c>
      <c r="H24" s="4">
        <f>H19+H20+H22+H23</f>
        <v/>
      </c>
      <c r="I24" s="4">
        <f>I19+I20+I22+I23</f>
        <v/>
      </c>
      <c r="J24" s="4">
        <f>J19+J20+J22+J23</f>
        <v/>
      </c>
      <c r="K24" s="4">
        <f>K19+K20+K22+K23</f>
        <v/>
      </c>
      <c r="L24" s="4">
        <f>L19+L20+L22+L23</f>
        <v/>
      </c>
    </row>
    <row r="25">
      <c r="A25" t="inlineStr">
        <is>
          <t>Discount factor</t>
        </is>
      </c>
      <c r="C25" s="9">
        <f>1/(1+$B$32/100)^C4</f>
        <v/>
      </c>
      <c r="D25" s="9">
        <f>1/(1+$B$32/100)^D4</f>
        <v/>
      </c>
      <c r="E25" s="9">
        <f>1/(1+$B$32/100)^E4</f>
        <v/>
      </c>
      <c r="F25" s="9">
        <f>1/(1+$B$32/100)^F4</f>
        <v/>
      </c>
      <c r="G25" s="9">
        <f>1/(1+$B$32/100)^G4</f>
        <v/>
      </c>
      <c r="H25" s="9">
        <f>1/(1+$B$32/100)^H4</f>
        <v/>
      </c>
      <c r="I25" s="9">
        <f>1/(1+$B$32/100)^I4</f>
        <v/>
      </c>
      <c r="J25" s="9">
        <f>1/(1+$B$32/100)^J4</f>
        <v/>
      </c>
      <c r="K25" s="9">
        <f>1/(1+$B$32/100)^K4</f>
        <v/>
      </c>
      <c r="L25" s="9">
        <f>1/(1+$B$32/100)^L4</f>
        <v/>
      </c>
    </row>
    <row r="26">
      <c r="A26" t="inlineStr">
        <is>
          <t>PV of FCF</t>
        </is>
      </c>
      <c r="C26" s="4">
        <f>C24*C25</f>
        <v/>
      </c>
      <c r="D26" s="4">
        <f>D24*D25</f>
        <v/>
      </c>
      <c r="E26" s="4">
        <f>E24*E25</f>
        <v/>
      </c>
      <c r="F26" s="4">
        <f>F24*F25</f>
        <v/>
      </c>
      <c r="G26" s="4">
        <f>G24*G25</f>
        <v/>
      </c>
      <c r="H26" s="4">
        <f>H24*H25</f>
        <v/>
      </c>
      <c r="I26" s="4">
        <f>I24*I25</f>
        <v/>
      </c>
      <c r="J26" s="4">
        <f>J24*J25</f>
        <v/>
      </c>
      <c r="K26" s="4">
        <f>K24*K25</f>
        <v/>
      </c>
      <c r="L26" s="4">
        <f>L24*L25</f>
        <v/>
      </c>
    </row>
    <row r="28">
      <c r="A28" t="inlineStr">
        <is>
          <t>Memo: FCF before SBC (company-style)</t>
        </is>
      </c>
      <c r="C28" s="4">
        <f>C24-C10</f>
        <v/>
      </c>
      <c r="D28" s="4">
        <f>D24-D10</f>
        <v/>
      </c>
      <c r="E28" s="4">
        <f>E24-E10</f>
        <v/>
      </c>
      <c r="F28" s="4">
        <f>F24-F10</f>
        <v/>
      </c>
      <c r="G28" s="4">
        <f>G24-G10</f>
        <v/>
      </c>
      <c r="H28" s="4">
        <f>H24-H10</f>
        <v/>
      </c>
      <c r="I28" s="4">
        <f>I24-I10</f>
        <v/>
      </c>
      <c r="J28" s="4">
        <f>J24-J10</f>
        <v/>
      </c>
      <c r="K28" s="4">
        <f>K24-K10</f>
        <v/>
      </c>
      <c r="L28" s="4">
        <f>L24-L10</f>
        <v/>
      </c>
    </row>
    <row r="29">
      <c r="A29" t="inlineStr">
        <is>
          <t>Memo: owner FCF margin %</t>
        </is>
      </c>
      <c r="C29" s="10">
        <f>C24/C6*100</f>
        <v/>
      </c>
      <c r="D29" s="10">
        <f>D24/D6*100</f>
        <v/>
      </c>
      <c r="E29" s="10">
        <f>E24/E6*100</f>
        <v/>
      </c>
      <c r="F29" s="10">
        <f>F24/F6*100</f>
        <v/>
      </c>
      <c r="G29" s="10">
        <f>G24/G6*100</f>
        <v/>
      </c>
      <c r="H29" s="10">
        <f>H24/H6*100</f>
        <v/>
      </c>
      <c r="I29" s="10">
        <f>I24/I6*100</f>
        <v/>
      </c>
      <c r="J29" s="10">
        <f>J24/J6*100</f>
        <v/>
      </c>
      <c r="K29" s="10">
        <f>K24/K6*100</f>
        <v/>
      </c>
      <c r="L29" s="10">
        <f>L24/L6*100</f>
        <v/>
      </c>
    </row>
    <row r="31">
      <c r="A31" t="inlineStr">
        <is>
          <t>Sum of PV of FCF</t>
        </is>
      </c>
      <c r="B31" s="4">
        <f>SUM(C26:L26)</f>
        <v/>
      </c>
    </row>
    <row r="32">
      <c r="A32" t="inlineStr">
        <is>
          <t>WACC %</t>
        </is>
      </c>
      <c r="B32" s="11">
        <f>Assumptions!B14</f>
        <v/>
      </c>
    </row>
    <row r="33">
      <c r="A33" t="inlineStr">
        <is>
          <t>Terminal growth %</t>
        </is>
      </c>
      <c r="B33" s="11">
        <f>Assumptions!B15</f>
        <v/>
      </c>
    </row>
    <row r="34">
      <c r="A34" t="inlineStr">
        <is>
          <t>Terminal-year FCF x (1+g)</t>
        </is>
      </c>
      <c r="B34" s="4">
        <f>L24*(1+B33/100)</f>
        <v/>
      </c>
    </row>
    <row r="35">
      <c r="A35" t="inlineStr">
        <is>
          <t>Gordon TV</t>
        </is>
      </c>
      <c r="B35" s="4">
        <f>IF(B32&gt;B33,B34/((B32-B33)/100),0)</f>
        <v/>
      </c>
    </row>
    <row r="36">
      <c r="A36" t="inlineStr">
        <is>
          <t>Cap multiple (x FCF_10)</t>
        </is>
      </c>
      <c r="B36" s="11">
        <f>Assumptions!B16</f>
        <v/>
      </c>
    </row>
    <row r="37">
      <c r="A37" t="inlineStr">
        <is>
          <t>Cap TV</t>
        </is>
      </c>
      <c r="B37" s="4">
        <f>B36*L24</f>
        <v/>
      </c>
    </row>
    <row r="38">
      <c r="A38" t="inlineStr">
        <is>
          <t>TV used = MAX(0, MIN(Gordon, cap))</t>
        </is>
      </c>
      <c r="B38" s="4">
        <f>MAX(0,MIN(B35,B37))</f>
        <v/>
      </c>
    </row>
    <row r="39">
      <c r="A39" t="inlineStr">
        <is>
          <t>Implied exit multiple (TV / FCF_10)</t>
        </is>
      </c>
      <c r="B39" s="12">
        <f>IF(L24&gt;0,B38/L24,"n/a")</f>
        <v/>
      </c>
    </row>
    <row r="40">
      <c r="A40" t="inlineStr">
        <is>
          <t>PV of TV</t>
        </is>
      </c>
      <c r="B40" s="4">
        <f>B38*L25</f>
        <v/>
      </c>
    </row>
    <row r="41">
      <c r="A41" t="inlineStr">
        <is>
          <t>Enterprise value</t>
        </is>
      </c>
      <c r="B41" s="4">
        <f>B31+B40</f>
        <v/>
      </c>
    </row>
    <row r="42">
      <c r="A42" t="inlineStr">
        <is>
          <t>less net debt (bridge)</t>
        </is>
      </c>
      <c r="B42" s="13">
        <f>-Assumptions!$B$4</f>
        <v/>
      </c>
    </row>
    <row r="43">
      <c r="A43" t="inlineStr">
        <is>
          <t>Equity value</t>
        </is>
      </c>
      <c r="B43" s="4">
        <f>B41+B42</f>
        <v/>
      </c>
    </row>
    <row r="44">
      <c r="A44" t="inlineStr">
        <is>
          <t>Diluted shares (000)</t>
        </is>
      </c>
      <c r="B44" s="13">
        <f>Assumptions!$B$3</f>
        <v/>
      </c>
    </row>
    <row r="45">
      <c r="A45" s="1" t="inlineStr">
        <is>
          <t>Value per share (NZD)</t>
        </is>
      </c>
      <c r="B45" s="14">
        <f>B43/B44</f>
        <v/>
      </c>
    </row>
    <row r="46">
      <c r="A46" t="inlineStr">
        <is>
          <t>Upside vs price %</t>
        </is>
      </c>
      <c r="B46" s="12">
        <f>(B45/Assumptions!$B$2-1)*100</f>
        <v/>
      </c>
    </row>
    <row r="48">
      <c r="A48" t="inlineStr">
        <is>
          <t>Street memo: PV of explicit SBC</t>
        </is>
      </c>
      <c r="B48" s="4">
        <f>SUMPRODUCT(-C10:L10/(1+B32/100)^C4:L4)</f>
        <v/>
      </c>
    </row>
    <row r="49">
      <c r="A49" t="inlineStr">
        <is>
          <t>Street memo: PV of terminal SBC</t>
        </is>
      </c>
      <c r="B49" s="4">
        <f>IF(B32&gt;B33,-L10*(1+B33/100)/((B32-B33)/100)*L25,0)</f>
        <v/>
      </c>
    </row>
    <row r="50">
      <c r="A50" t="inlineStr">
        <is>
          <t>Street value per share (NZD)</t>
        </is>
      </c>
      <c r="B50" s="15">
        <f>(B43+B48+B49)/B44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BASE scenario -- owner FCF, NZ$000</t>
        </is>
      </c>
    </row>
    <row r="3">
      <c r="A3" t="inlineStr">
        <is>
          <t>Year</t>
        </is>
      </c>
      <c r="B3" t="inlineStr">
        <is>
          <t>2026A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  <c r="G3" t="inlineStr">
        <is>
          <t>2031E</t>
        </is>
      </c>
      <c r="H3" t="inlineStr">
        <is>
          <t>2032E</t>
        </is>
      </c>
      <c r="I3" t="inlineStr">
        <is>
          <t>2033E</t>
        </is>
      </c>
      <c r="J3" t="inlineStr">
        <is>
          <t>2034E</t>
        </is>
      </c>
      <c r="K3" t="inlineStr">
        <is>
          <t>2035E</t>
        </is>
      </c>
      <c r="L3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5" t="n">
        <v>1.5</v>
      </c>
      <c r="D5" s="5" t="n">
        <v>3.5</v>
      </c>
      <c r="E5" s="5" t="n">
        <v>3</v>
      </c>
      <c r="F5" s="5" t="n">
        <v>3</v>
      </c>
      <c r="G5" s="5" t="n">
        <v>3</v>
      </c>
      <c r="H5" s="5" t="n">
        <v>2.5</v>
      </c>
      <c r="I5" s="5" t="n">
        <v>2.5</v>
      </c>
      <c r="J5" s="5" t="n">
        <v>2.5</v>
      </c>
      <c r="K5" s="5" t="n">
        <v>2.5</v>
      </c>
      <c r="L5" s="5" t="n">
        <v>2.5</v>
      </c>
    </row>
    <row r="6">
      <c r="A6" t="inlineStr">
        <is>
          <t>Revenue</t>
        </is>
      </c>
      <c r="B6" s="8">
        <f>Assumptions!$B$9</f>
        <v/>
      </c>
      <c r="C6" s="4">
        <f>B6*(1+C5/100)</f>
        <v/>
      </c>
      <c r="D6" s="4">
        <f>C6*(1+D5/100)</f>
        <v/>
      </c>
      <c r="E6" s="4">
        <f>D6*(1+E5/100)</f>
        <v/>
      </c>
      <c r="F6" s="4">
        <f>E6*(1+F5/100)</f>
        <v/>
      </c>
      <c r="G6" s="4">
        <f>F6*(1+G5/100)</f>
        <v/>
      </c>
      <c r="H6" s="4">
        <f>G6*(1+H5/100)</f>
        <v/>
      </c>
      <c r="I6" s="4">
        <f>H6*(1+I5/100)</f>
        <v/>
      </c>
      <c r="J6" s="4">
        <f>I6*(1+J5/100)</f>
        <v/>
      </c>
      <c r="K6" s="4">
        <f>J6*(1+K5/100)</f>
        <v/>
      </c>
      <c r="L6" s="4">
        <f>K6*(1+L5/100)</f>
        <v/>
      </c>
    </row>
    <row r="7">
      <c r="A7" t="inlineStr">
        <is>
          <t>Adj EBITDA margin %</t>
        </is>
      </c>
      <c r="C7" s="5" t="n">
        <v>8.300000000000001</v>
      </c>
      <c r="D7" s="5" t="n">
        <v>11</v>
      </c>
      <c r="E7" s="5" t="n">
        <v>12.5</v>
      </c>
      <c r="F7" s="5" t="n">
        <v>13</v>
      </c>
      <c r="G7" s="5" t="n">
        <v>13.5</v>
      </c>
      <c r="H7" s="5" t="n">
        <v>14</v>
      </c>
      <c r="I7" s="5" t="n">
        <v>14</v>
      </c>
      <c r="J7" s="5" t="n">
        <v>14</v>
      </c>
      <c r="K7" s="5" t="n">
        <v>14</v>
      </c>
      <c r="L7" s="5" t="n">
        <v>14</v>
      </c>
    </row>
    <row r="8">
      <c r="A8" t="inlineStr">
        <is>
          <t>Adjusted EBITDA (post-IFRS-16)</t>
        </is>
      </c>
      <c r="C8" s="4">
        <f>C6*C7/100</f>
        <v/>
      </c>
      <c r="D8" s="4">
        <f>D6*D7/100</f>
        <v/>
      </c>
      <c r="E8" s="4">
        <f>E6*E7/100</f>
        <v/>
      </c>
      <c r="F8" s="4">
        <f>F6*F7/100</f>
        <v/>
      </c>
      <c r="G8" s="4">
        <f>G6*G7/100</f>
        <v/>
      </c>
      <c r="H8" s="4">
        <f>H6*H7/100</f>
        <v/>
      </c>
      <c r="I8" s="4">
        <f>I6*I7/100</f>
        <v/>
      </c>
      <c r="J8" s="4">
        <f>J6*J7/100</f>
        <v/>
      </c>
      <c r="K8" s="4">
        <f>K6*K7/100</f>
        <v/>
      </c>
      <c r="L8" s="4">
        <f>L6*L7/100</f>
        <v/>
      </c>
    </row>
    <row r="9">
      <c r="A9" t="inlineStr">
        <is>
          <t>SBC % of revenue</t>
        </is>
      </c>
      <c r="C9" s="5" t="n">
        <v>0.1</v>
      </c>
      <c r="D9" s="5" t="n">
        <v>0.1</v>
      </c>
      <c r="E9" s="5" t="n">
        <v>0.1</v>
      </c>
      <c r="F9" s="5" t="n">
        <v>0.1</v>
      </c>
      <c r="G9" s="5" t="n">
        <v>0.1</v>
      </c>
      <c r="H9" s="5" t="n">
        <v>0.1</v>
      </c>
      <c r="I9" s="5" t="n">
        <v>0.1</v>
      </c>
      <c r="J9" s="5" t="n">
        <v>0.1</v>
      </c>
      <c r="K9" s="5" t="n">
        <v>0.1</v>
      </c>
      <c r="L9" s="5" t="n">
        <v>0.1</v>
      </c>
    </row>
    <row r="10">
      <c r="A10" t="inlineStr">
        <is>
          <t>SBC $ (neg)</t>
        </is>
      </c>
      <c r="C10" s="4">
        <f>-C6*C9/100</f>
        <v/>
      </c>
      <c r="D10" s="4">
        <f>-D6*D9/100</f>
        <v/>
      </c>
      <c r="E10" s="4">
        <f>-E6*E9/100</f>
        <v/>
      </c>
      <c r="F10" s="4">
        <f>-F6*F9/100</f>
        <v/>
      </c>
      <c r="G10" s="4">
        <f>-G6*G9/100</f>
        <v/>
      </c>
      <c r="H10" s="4">
        <f>-H6*H9/100</f>
        <v/>
      </c>
      <c r="I10" s="4">
        <f>-I6*I9/100</f>
        <v/>
      </c>
      <c r="J10" s="4">
        <f>-J6*J9/100</f>
        <v/>
      </c>
      <c r="K10" s="4">
        <f>-K6*K9/100</f>
        <v/>
      </c>
      <c r="L10" s="4">
        <f>-L6*L9/100</f>
        <v/>
      </c>
    </row>
    <row r="11">
      <c r="A11" t="inlineStr">
        <is>
          <t>Lease cost % of revenue</t>
        </is>
      </c>
      <c r="C11" s="8">
        <f>Assumptions!$B$5</f>
        <v/>
      </c>
      <c r="D11" s="8">
        <f>Assumptions!$B$5</f>
        <v/>
      </c>
      <c r="E11" s="8">
        <f>Assumptions!$B$5</f>
        <v/>
      </c>
      <c r="F11" s="8">
        <f>Assumptions!$B$5</f>
        <v/>
      </c>
      <c r="G11" s="8">
        <f>Assumptions!$B$5</f>
        <v/>
      </c>
      <c r="H11" s="8">
        <f>Assumptions!$B$5</f>
        <v/>
      </c>
      <c r="I11" s="8">
        <f>Assumptions!$B$5</f>
        <v/>
      </c>
      <c r="J11" s="8">
        <f>Assumptions!$B$5</f>
        <v/>
      </c>
      <c r="K11" s="8">
        <f>Assumptions!$B$5</f>
        <v/>
      </c>
      <c r="L11" s="8">
        <f>Assumptions!$B$5</f>
        <v/>
      </c>
    </row>
    <row r="12">
      <c r="A12" t="inlineStr">
        <is>
          <t>Lease cash $ (neg)</t>
        </is>
      </c>
      <c r="C12" s="4">
        <f>-C6*C11/100</f>
        <v/>
      </c>
      <c r="D12" s="4">
        <f>-D6*D11/100</f>
        <v/>
      </c>
      <c r="E12" s="4">
        <f>-E6*E11/100</f>
        <v/>
      </c>
      <c r="F12" s="4">
        <f>-F6*F11/100</f>
        <v/>
      </c>
      <c r="G12" s="4">
        <f>-G6*G11/100</f>
        <v/>
      </c>
      <c r="H12" s="4">
        <f>-H6*H11/100</f>
        <v/>
      </c>
      <c r="I12" s="4">
        <f>-I6*I11/100</f>
        <v/>
      </c>
      <c r="J12" s="4">
        <f>-J6*J11/100</f>
        <v/>
      </c>
      <c r="K12" s="4">
        <f>-K6*K11/100</f>
        <v/>
      </c>
      <c r="L12" s="4">
        <f>-L6*L11/100</f>
        <v/>
      </c>
    </row>
    <row r="13">
      <c r="A13" t="inlineStr">
        <is>
          <t>Owner EBITDA (after SBC and leases)</t>
        </is>
      </c>
      <c r="C13" s="4">
        <f>C8+C10+C12</f>
        <v/>
      </c>
      <c r="D13" s="4">
        <f>D8+D10+D12</f>
        <v/>
      </c>
      <c r="E13" s="4">
        <f>E8+E10+E12</f>
        <v/>
      </c>
      <c r="F13" s="4">
        <f>F8+F10+F12</f>
        <v/>
      </c>
      <c r="G13" s="4">
        <f>G8+G10+G12</f>
        <v/>
      </c>
      <c r="H13" s="4">
        <f>H8+H10+H12</f>
        <v/>
      </c>
      <c r="I13" s="4">
        <f>I8+I10+I12</f>
        <v/>
      </c>
      <c r="J13" s="4">
        <f>J8+J10+J12</f>
        <v/>
      </c>
      <c r="K13" s="4">
        <f>K8+K10+K12</f>
        <v/>
      </c>
      <c r="L13" s="4">
        <f>L8+L10+L12</f>
        <v/>
      </c>
    </row>
    <row r="14">
      <c r="A14" t="inlineStr">
        <is>
          <t>D&amp;A ex-ROU % of revenue</t>
        </is>
      </c>
      <c r="C14" s="5" t="n">
        <v>9.5</v>
      </c>
      <c r="D14" s="5" t="n">
        <v>9</v>
      </c>
      <c r="E14" s="5" t="n">
        <v>8.5</v>
      </c>
      <c r="F14" s="5" t="n">
        <v>8</v>
      </c>
      <c r="G14" s="5" t="n">
        <v>7.5</v>
      </c>
      <c r="H14" s="5" t="n">
        <v>7</v>
      </c>
      <c r="I14" s="5" t="n">
        <v>6.5</v>
      </c>
      <c r="J14" s="5" t="n">
        <v>6.5</v>
      </c>
      <c r="K14" s="5" t="n">
        <v>6.5</v>
      </c>
      <c r="L14" s="5" t="n">
        <v>6.5</v>
      </c>
    </row>
    <row r="15">
      <c r="A15" t="inlineStr">
        <is>
          <t>D&amp;A $ (neg)</t>
        </is>
      </c>
      <c r="C15" s="4">
        <f>-C6*C14/100</f>
        <v/>
      </c>
      <c r="D15" s="4">
        <f>-D6*D14/100</f>
        <v/>
      </c>
      <c r="E15" s="4">
        <f>-E6*E14/100</f>
        <v/>
      </c>
      <c r="F15" s="4">
        <f>-F6*F14/100</f>
        <v/>
      </c>
      <c r="G15" s="4">
        <f>-G6*G14/100</f>
        <v/>
      </c>
      <c r="H15" s="4">
        <f>-H6*H14/100</f>
        <v/>
      </c>
      <c r="I15" s="4">
        <f>-I6*I14/100</f>
        <v/>
      </c>
      <c r="J15" s="4">
        <f>-J6*J14/100</f>
        <v/>
      </c>
      <c r="K15" s="4">
        <f>-K6*K14/100</f>
        <v/>
      </c>
      <c r="L15" s="4">
        <f>-L6*L14/100</f>
        <v/>
      </c>
    </row>
    <row r="16">
      <c r="A16" t="inlineStr">
        <is>
          <t>EBIT (SBC and leases expensed)</t>
        </is>
      </c>
      <c r="C16" s="4">
        <f>C13+C15</f>
        <v/>
      </c>
      <c r="D16" s="4">
        <f>D13+D15</f>
        <v/>
      </c>
      <c r="E16" s="4">
        <f>E13+E15</f>
        <v/>
      </c>
      <c r="F16" s="4">
        <f>F13+F15</f>
        <v/>
      </c>
      <c r="G16" s="4">
        <f>G13+G15</f>
        <v/>
      </c>
      <c r="H16" s="4">
        <f>H13+H15</f>
        <v/>
      </c>
      <c r="I16" s="4">
        <f>I13+I15</f>
        <v/>
      </c>
      <c r="J16" s="4">
        <f>J13+J15</f>
        <v/>
      </c>
      <c r="K16" s="4">
        <f>K13+K15</f>
        <v/>
      </c>
      <c r="L16" s="4">
        <f>L13+L15</f>
        <v/>
      </c>
    </row>
    <row r="17">
      <c r="A17" t="inlineStr">
        <is>
          <t>Cash tax rate %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14</v>
      </c>
      <c r="J17" s="5" t="n">
        <v>28</v>
      </c>
      <c r="K17" s="5" t="n">
        <v>28</v>
      </c>
      <c r="L17" s="5" t="n">
        <v>28</v>
      </c>
    </row>
    <row r="18">
      <c r="A18" t="inlineStr">
        <is>
          <t>Cash tax $ (neg; on max(0,EBIT))</t>
        </is>
      </c>
      <c r="C18" s="4">
        <f>-MAX(0,C16)*C17/100</f>
        <v/>
      </c>
      <c r="D18" s="4">
        <f>-MAX(0,D16)*D17/100</f>
        <v/>
      </c>
      <c r="E18" s="4">
        <f>-MAX(0,E16)*E17/100</f>
        <v/>
      </c>
      <c r="F18" s="4">
        <f>-MAX(0,F16)*F17/100</f>
        <v/>
      </c>
      <c r="G18" s="4">
        <f>-MAX(0,G16)*G17/100</f>
        <v/>
      </c>
      <c r="H18" s="4">
        <f>-MAX(0,H16)*H17/100</f>
        <v/>
      </c>
      <c r="I18" s="4">
        <f>-MAX(0,I16)*I17/100</f>
        <v/>
      </c>
      <c r="J18" s="4">
        <f>-MAX(0,J16)*J17/100</f>
        <v/>
      </c>
      <c r="K18" s="4">
        <f>-MAX(0,K16)*K17/100</f>
        <v/>
      </c>
      <c r="L18" s="4">
        <f>-MAX(0,L16)*L17/100</f>
        <v/>
      </c>
    </row>
    <row r="19">
      <c r="A19" t="inlineStr">
        <is>
          <t>NOPAT</t>
        </is>
      </c>
      <c r="C19" s="4">
        <f>C16+C18</f>
        <v/>
      </c>
      <c r="D19" s="4">
        <f>D16+D18</f>
        <v/>
      </c>
      <c r="E19" s="4">
        <f>E16+E18</f>
        <v/>
      </c>
      <c r="F19" s="4">
        <f>F16+F18</f>
        <v/>
      </c>
      <c r="G19" s="4">
        <f>G16+G18</f>
        <v/>
      </c>
      <c r="H19" s="4">
        <f>H16+H18</f>
        <v/>
      </c>
      <c r="I19" s="4">
        <f>I16+I18</f>
        <v/>
      </c>
      <c r="J19" s="4">
        <f>J16+J18</f>
        <v/>
      </c>
      <c r="K19" s="4">
        <f>K16+K18</f>
        <v/>
      </c>
      <c r="L19" s="4">
        <f>L16+L18</f>
        <v/>
      </c>
    </row>
    <row r="20">
      <c r="A20" t="inlineStr">
        <is>
          <t>add back D&amp;A</t>
        </is>
      </c>
      <c r="C20" s="4">
        <f>-C15</f>
        <v/>
      </c>
      <c r="D20" s="4">
        <f>-D15</f>
        <v/>
      </c>
      <c r="E20" s="4">
        <f>-E15</f>
        <v/>
      </c>
      <c r="F20" s="4">
        <f>-F15</f>
        <v/>
      </c>
      <c r="G20" s="4">
        <f>-G15</f>
        <v/>
      </c>
      <c r="H20" s="4">
        <f>-H15</f>
        <v/>
      </c>
      <c r="I20" s="4">
        <f>-I15</f>
        <v/>
      </c>
      <c r="J20" s="4">
        <f>-J15</f>
        <v/>
      </c>
      <c r="K20" s="4">
        <f>-K15</f>
        <v/>
      </c>
      <c r="L20" s="4">
        <f>-L15</f>
        <v/>
      </c>
    </row>
    <row r="21">
      <c r="A21" t="inlineStr">
        <is>
          <t>Capex % of revenue</t>
        </is>
      </c>
      <c r="C21" s="5" t="n">
        <v>4</v>
      </c>
      <c r="D21" s="5" t="n">
        <v>3.5</v>
      </c>
      <c r="E21" s="5" t="n">
        <v>3.5</v>
      </c>
      <c r="F21" s="5" t="n">
        <v>4</v>
      </c>
      <c r="G21" s="5" t="n">
        <v>4.5</v>
      </c>
      <c r="H21" s="5" t="n">
        <v>4.5</v>
      </c>
      <c r="I21" s="5" t="n">
        <v>4.5</v>
      </c>
      <c r="J21" s="5" t="n">
        <v>4.5</v>
      </c>
      <c r="K21" s="5" t="n">
        <v>4.5</v>
      </c>
      <c r="L21" s="5" t="n">
        <v>4.5</v>
      </c>
    </row>
    <row r="22">
      <c r="A22" t="inlineStr">
        <is>
          <t>Capex $ (neg)</t>
        </is>
      </c>
      <c r="C22" s="4">
        <f>-C6*C21/100</f>
        <v/>
      </c>
      <c r="D22" s="4">
        <f>-D6*D21/100</f>
        <v/>
      </c>
      <c r="E22" s="4">
        <f>-E6*E21/100</f>
        <v/>
      </c>
      <c r="F22" s="4">
        <f>-F6*F21/100</f>
        <v/>
      </c>
      <c r="G22" s="4">
        <f>-G6*G21/100</f>
        <v/>
      </c>
      <c r="H22" s="4">
        <f>-H6*H21/100</f>
        <v/>
      </c>
      <c r="I22" s="4">
        <f>-I6*I21/100</f>
        <v/>
      </c>
      <c r="J22" s="4">
        <f>-J6*J21/100</f>
        <v/>
      </c>
      <c r="K22" s="4">
        <f>-K6*K21/100</f>
        <v/>
      </c>
      <c r="L22" s="4">
        <f>-L6*L21/100</f>
        <v/>
      </c>
    </row>
    <row r="23">
      <c r="A23" t="inlineStr">
        <is>
          <t>Working capital (capture x revenue change)</t>
        </is>
      </c>
      <c r="C23" s="4">
        <f>Assumptions!$B$7/100*(C6-B6)</f>
        <v/>
      </c>
      <c r="D23" s="4">
        <f>Assumptions!$B$7/100*(D6-C6)</f>
        <v/>
      </c>
      <c r="E23" s="4">
        <f>Assumptions!$B$7/100*(E6-D6)</f>
        <v/>
      </c>
      <c r="F23" s="4">
        <f>Assumptions!$B$7/100*(F6-E6)</f>
        <v/>
      </c>
      <c r="G23" s="4">
        <f>Assumptions!$B$7/100*(G6-F6)</f>
        <v/>
      </c>
      <c r="H23" s="4">
        <f>Assumptions!$B$7/100*(H6-G6)</f>
        <v/>
      </c>
      <c r="I23" s="4">
        <f>Assumptions!$B$7/100*(I6-H6)</f>
        <v/>
      </c>
      <c r="J23" s="4">
        <f>Assumptions!$B$7/100*(J6-I6)</f>
        <v/>
      </c>
      <c r="K23" s="4">
        <f>Assumptions!$B$7/100*(K6-J6)</f>
        <v/>
      </c>
      <c r="L23" s="4">
        <f>Assumptions!$B$7/100*(L6-K6)</f>
        <v/>
      </c>
    </row>
    <row r="24">
      <c r="A24" s="1" t="inlineStr">
        <is>
          <t>Unlevered owner FCF</t>
        </is>
      </c>
      <c r="C24" s="4">
        <f>C19+C20+C22+C23</f>
        <v/>
      </c>
      <c r="D24" s="4">
        <f>D19+D20+D22+D23</f>
        <v/>
      </c>
      <c r="E24" s="4">
        <f>E19+E20+E22+E23</f>
        <v/>
      </c>
      <c r="F24" s="4">
        <f>F19+F20+F22+F23</f>
        <v/>
      </c>
      <c r="G24" s="4">
        <f>G19+G20+G22+G23</f>
        <v/>
      </c>
      <c r="H24" s="4">
        <f>H19+H20+H22+H23</f>
        <v/>
      </c>
      <c r="I24" s="4">
        <f>I19+I20+I22+I23</f>
        <v/>
      </c>
      <c r="J24" s="4">
        <f>J19+J20+J22+J23</f>
        <v/>
      </c>
      <c r="K24" s="4">
        <f>K19+K20+K22+K23</f>
        <v/>
      </c>
      <c r="L24" s="4">
        <f>L19+L20+L22+L23</f>
        <v/>
      </c>
    </row>
    <row r="25">
      <c r="A25" t="inlineStr">
        <is>
          <t>Discount factor</t>
        </is>
      </c>
      <c r="C25" s="9">
        <f>1/(1+$B$32/100)^C4</f>
        <v/>
      </c>
      <c r="D25" s="9">
        <f>1/(1+$B$32/100)^D4</f>
        <v/>
      </c>
      <c r="E25" s="9">
        <f>1/(1+$B$32/100)^E4</f>
        <v/>
      </c>
      <c r="F25" s="9">
        <f>1/(1+$B$32/100)^F4</f>
        <v/>
      </c>
      <c r="G25" s="9">
        <f>1/(1+$B$32/100)^G4</f>
        <v/>
      </c>
      <c r="H25" s="9">
        <f>1/(1+$B$32/100)^H4</f>
        <v/>
      </c>
      <c r="I25" s="9">
        <f>1/(1+$B$32/100)^I4</f>
        <v/>
      </c>
      <c r="J25" s="9">
        <f>1/(1+$B$32/100)^J4</f>
        <v/>
      </c>
      <c r="K25" s="9">
        <f>1/(1+$B$32/100)^K4</f>
        <v/>
      </c>
      <c r="L25" s="9">
        <f>1/(1+$B$32/100)^L4</f>
        <v/>
      </c>
    </row>
    <row r="26">
      <c r="A26" t="inlineStr">
        <is>
          <t>PV of FCF</t>
        </is>
      </c>
      <c r="C26" s="4">
        <f>C24*C25</f>
        <v/>
      </c>
      <c r="D26" s="4">
        <f>D24*D25</f>
        <v/>
      </c>
      <c r="E26" s="4">
        <f>E24*E25</f>
        <v/>
      </c>
      <c r="F26" s="4">
        <f>F24*F25</f>
        <v/>
      </c>
      <c r="G26" s="4">
        <f>G24*G25</f>
        <v/>
      </c>
      <c r="H26" s="4">
        <f>H24*H25</f>
        <v/>
      </c>
      <c r="I26" s="4">
        <f>I24*I25</f>
        <v/>
      </c>
      <c r="J26" s="4">
        <f>J24*J25</f>
        <v/>
      </c>
      <c r="K26" s="4">
        <f>K24*K25</f>
        <v/>
      </c>
      <c r="L26" s="4">
        <f>L24*L25</f>
        <v/>
      </c>
    </row>
    <row r="28">
      <c r="A28" t="inlineStr">
        <is>
          <t>Memo: FCF before SBC (company-style)</t>
        </is>
      </c>
      <c r="C28" s="4">
        <f>C24-C10</f>
        <v/>
      </c>
      <c r="D28" s="4">
        <f>D24-D10</f>
        <v/>
      </c>
      <c r="E28" s="4">
        <f>E24-E10</f>
        <v/>
      </c>
      <c r="F28" s="4">
        <f>F24-F10</f>
        <v/>
      </c>
      <c r="G28" s="4">
        <f>G24-G10</f>
        <v/>
      </c>
      <c r="H28" s="4">
        <f>H24-H10</f>
        <v/>
      </c>
      <c r="I28" s="4">
        <f>I24-I10</f>
        <v/>
      </c>
      <c r="J28" s="4">
        <f>J24-J10</f>
        <v/>
      </c>
      <c r="K28" s="4">
        <f>K24-K10</f>
        <v/>
      </c>
      <c r="L28" s="4">
        <f>L24-L10</f>
        <v/>
      </c>
    </row>
    <row r="29">
      <c r="A29" t="inlineStr">
        <is>
          <t>Memo: owner FCF margin %</t>
        </is>
      </c>
      <c r="C29" s="10">
        <f>C24/C6*100</f>
        <v/>
      </c>
      <c r="D29" s="10">
        <f>D24/D6*100</f>
        <v/>
      </c>
      <c r="E29" s="10">
        <f>E24/E6*100</f>
        <v/>
      </c>
      <c r="F29" s="10">
        <f>F24/F6*100</f>
        <v/>
      </c>
      <c r="G29" s="10">
        <f>G24/G6*100</f>
        <v/>
      </c>
      <c r="H29" s="10">
        <f>H24/H6*100</f>
        <v/>
      </c>
      <c r="I29" s="10">
        <f>I24/I6*100</f>
        <v/>
      </c>
      <c r="J29" s="10">
        <f>J24/J6*100</f>
        <v/>
      </c>
      <c r="K29" s="10">
        <f>K24/K6*100</f>
        <v/>
      </c>
      <c r="L29" s="10">
        <f>L24/L6*100</f>
        <v/>
      </c>
    </row>
    <row r="31">
      <c r="A31" t="inlineStr">
        <is>
          <t>Sum of PV of FCF</t>
        </is>
      </c>
      <c r="B31" s="4">
        <f>SUM(C26:L26)</f>
        <v/>
      </c>
    </row>
    <row r="32">
      <c r="A32" t="inlineStr">
        <is>
          <t>WACC %</t>
        </is>
      </c>
      <c r="B32" s="11">
        <f>Assumptions!C14</f>
        <v/>
      </c>
    </row>
    <row r="33">
      <c r="A33" t="inlineStr">
        <is>
          <t>Terminal growth %</t>
        </is>
      </c>
      <c r="B33" s="11">
        <f>Assumptions!C15</f>
        <v/>
      </c>
    </row>
    <row r="34">
      <c r="A34" t="inlineStr">
        <is>
          <t>Terminal-year FCF x (1+g)</t>
        </is>
      </c>
      <c r="B34" s="4">
        <f>L24*(1+B33/100)</f>
        <v/>
      </c>
    </row>
    <row r="35">
      <c r="A35" t="inlineStr">
        <is>
          <t>Gordon TV</t>
        </is>
      </c>
      <c r="B35" s="4">
        <f>IF(B32&gt;B33,B34/((B32-B33)/100),0)</f>
        <v/>
      </c>
    </row>
    <row r="36">
      <c r="A36" t="inlineStr">
        <is>
          <t>Cap multiple (x FCF_10)</t>
        </is>
      </c>
      <c r="B36" s="11">
        <f>Assumptions!C16</f>
        <v/>
      </c>
    </row>
    <row r="37">
      <c r="A37" t="inlineStr">
        <is>
          <t>Cap TV</t>
        </is>
      </c>
      <c r="B37" s="4">
        <f>B36*L24</f>
        <v/>
      </c>
    </row>
    <row r="38">
      <c r="A38" t="inlineStr">
        <is>
          <t>TV used = MAX(0, MIN(Gordon, cap))</t>
        </is>
      </c>
      <c r="B38" s="4">
        <f>MAX(0,MIN(B35,B37))</f>
        <v/>
      </c>
    </row>
    <row r="39">
      <c r="A39" t="inlineStr">
        <is>
          <t>Implied exit multiple (TV / FCF_10)</t>
        </is>
      </c>
      <c r="B39" s="12">
        <f>IF(L24&gt;0,B38/L24,"n/a")</f>
        <v/>
      </c>
    </row>
    <row r="40">
      <c r="A40" t="inlineStr">
        <is>
          <t>PV of TV</t>
        </is>
      </c>
      <c r="B40" s="4">
        <f>B38*L25</f>
        <v/>
      </c>
    </row>
    <row r="41">
      <c r="A41" t="inlineStr">
        <is>
          <t>Enterprise value</t>
        </is>
      </c>
      <c r="B41" s="4">
        <f>B31+B40</f>
        <v/>
      </c>
    </row>
    <row r="42">
      <c r="A42" t="inlineStr">
        <is>
          <t>less net debt (bridge)</t>
        </is>
      </c>
      <c r="B42" s="13">
        <f>-Assumptions!$B$4</f>
        <v/>
      </c>
    </row>
    <row r="43">
      <c r="A43" t="inlineStr">
        <is>
          <t>Equity value</t>
        </is>
      </c>
      <c r="B43" s="4">
        <f>B41+B42</f>
        <v/>
      </c>
    </row>
    <row r="44">
      <c r="A44" t="inlineStr">
        <is>
          <t>Diluted shares (000)</t>
        </is>
      </c>
      <c r="B44" s="13">
        <f>Assumptions!$B$3</f>
        <v/>
      </c>
    </row>
    <row r="45">
      <c r="A45" s="1" t="inlineStr">
        <is>
          <t>Value per share (NZD)</t>
        </is>
      </c>
      <c r="B45" s="14">
        <f>B43/B44</f>
        <v/>
      </c>
    </row>
    <row r="46">
      <c r="A46" t="inlineStr">
        <is>
          <t>Upside vs price %</t>
        </is>
      </c>
      <c r="B46" s="12">
        <f>(B45/Assumptions!$B$2-1)*100</f>
        <v/>
      </c>
    </row>
    <row r="48">
      <c r="A48" t="inlineStr">
        <is>
          <t>Street memo: PV of explicit SBC</t>
        </is>
      </c>
      <c r="B48" s="4">
        <f>SUMPRODUCT(-C10:L10/(1+B32/100)^C4:L4)</f>
        <v/>
      </c>
    </row>
    <row r="49">
      <c r="A49" t="inlineStr">
        <is>
          <t>Street memo: PV of terminal SBC</t>
        </is>
      </c>
      <c r="B49" s="4">
        <f>IF(B32&gt;B33,-L10*(1+B33/100)/((B32-B33)/100)*L25,0)</f>
        <v/>
      </c>
    </row>
    <row r="50">
      <c r="A50" t="inlineStr">
        <is>
          <t>Street value per share (NZD)</t>
        </is>
      </c>
      <c r="B50" s="15">
        <f>(B43+B48+B49)/B44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BULL scenario -- owner FCF, NZ$000</t>
        </is>
      </c>
    </row>
    <row r="3">
      <c r="A3" t="inlineStr">
        <is>
          <t>Year</t>
        </is>
      </c>
      <c r="B3" t="inlineStr">
        <is>
          <t>2026A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  <c r="G3" t="inlineStr">
        <is>
          <t>2031E</t>
        </is>
      </c>
      <c r="H3" t="inlineStr">
        <is>
          <t>2032E</t>
        </is>
      </c>
      <c r="I3" t="inlineStr">
        <is>
          <t>2033E</t>
        </is>
      </c>
      <c r="J3" t="inlineStr">
        <is>
          <t>2034E</t>
        </is>
      </c>
      <c r="K3" t="inlineStr">
        <is>
          <t>2035E</t>
        </is>
      </c>
      <c r="L3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5" t="n">
        <v>1.5</v>
      </c>
      <c r="D5" s="5" t="n">
        <v>5</v>
      </c>
      <c r="E5" s="5" t="n">
        <v>5</v>
      </c>
      <c r="F5" s="5" t="n">
        <v>5</v>
      </c>
      <c r="G5" s="5" t="n">
        <v>4</v>
      </c>
      <c r="H5" s="5" t="n">
        <v>4</v>
      </c>
      <c r="I5" s="5" t="n">
        <v>3</v>
      </c>
      <c r="J5" s="5" t="n">
        <v>3</v>
      </c>
      <c r="K5" s="5" t="n">
        <v>3</v>
      </c>
      <c r="L5" s="5" t="n">
        <v>3</v>
      </c>
    </row>
    <row r="6">
      <c r="A6" t="inlineStr">
        <is>
          <t>Revenue</t>
        </is>
      </c>
      <c r="B6" s="8">
        <f>Assumptions!$B$9</f>
        <v/>
      </c>
      <c r="C6" s="4">
        <f>B6*(1+C5/100)</f>
        <v/>
      </c>
      <c r="D6" s="4">
        <f>C6*(1+D5/100)</f>
        <v/>
      </c>
      <c r="E6" s="4">
        <f>D6*(1+E5/100)</f>
        <v/>
      </c>
      <c r="F6" s="4">
        <f>E6*(1+F5/100)</f>
        <v/>
      </c>
      <c r="G6" s="4">
        <f>F6*(1+G5/100)</f>
        <v/>
      </c>
      <c r="H6" s="4">
        <f>G6*(1+H5/100)</f>
        <v/>
      </c>
      <c r="I6" s="4">
        <f>H6*(1+I5/100)</f>
        <v/>
      </c>
      <c r="J6" s="4">
        <f>I6*(1+J5/100)</f>
        <v/>
      </c>
      <c r="K6" s="4">
        <f>J6*(1+K5/100)</f>
        <v/>
      </c>
      <c r="L6" s="4">
        <f>K6*(1+L5/100)</f>
        <v/>
      </c>
    </row>
    <row r="7">
      <c r="A7" t="inlineStr">
        <is>
          <t>Adj EBITDA margin %</t>
        </is>
      </c>
      <c r="C7" s="5" t="n">
        <v>8.800000000000001</v>
      </c>
      <c r="D7" s="5" t="n">
        <v>13</v>
      </c>
      <c r="E7" s="5" t="n">
        <v>15</v>
      </c>
      <c r="F7" s="5" t="n">
        <v>16</v>
      </c>
      <c r="G7" s="5" t="n">
        <v>17</v>
      </c>
      <c r="H7" s="5" t="n">
        <v>17</v>
      </c>
      <c r="I7" s="5" t="n">
        <v>17</v>
      </c>
      <c r="J7" s="5" t="n">
        <v>17</v>
      </c>
      <c r="K7" s="5" t="n">
        <v>17</v>
      </c>
      <c r="L7" s="5" t="n">
        <v>17</v>
      </c>
    </row>
    <row r="8">
      <c r="A8" t="inlineStr">
        <is>
          <t>Adjusted EBITDA (post-IFRS-16)</t>
        </is>
      </c>
      <c r="C8" s="4">
        <f>C6*C7/100</f>
        <v/>
      </c>
      <c r="D8" s="4">
        <f>D6*D7/100</f>
        <v/>
      </c>
      <c r="E8" s="4">
        <f>E6*E7/100</f>
        <v/>
      </c>
      <c r="F8" s="4">
        <f>F6*F7/100</f>
        <v/>
      </c>
      <c r="G8" s="4">
        <f>G6*G7/100</f>
        <v/>
      </c>
      <c r="H8" s="4">
        <f>H6*H7/100</f>
        <v/>
      </c>
      <c r="I8" s="4">
        <f>I6*I7/100</f>
        <v/>
      </c>
      <c r="J8" s="4">
        <f>J6*J7/100</f>
        <v/>
      </c>
      <c r="K8" s="4">
        <f>K6*K7/100</f>
        <v/>
      </c>
      <c r="L8" s="4">
        <f>L6*L7/100</f>
        <v/>
      </c>
    </row>
    <row r="9">
      <c r="A9" t="inlineStr">
        <is>
          <t>SBC % of revenue</t>
        </is>
      </c>
      <c r="C9" s="5" t="n">
        <v>0.1</v>
      </c>
      <c r="D9" s="5" t="n">
        <v>0.1</v>
      </c>
      <c r="E9" s="5" t="n">
        <v>0.1</v>
      </c>
      <c r="F9" s="5" t="n">
        <v>0.1</v>
      </c>
      <c r="G9" s="5" t="n">
        <v>0.1</v>
      </c>
      <c r="H9" s="5" t="n">
        <v>0.1</v>
      </c>
      <c r="I9" s="5" t="n">
        <v>0.1</v>
      </c>
      <c r="J9" s="5" t="n">
        <v>0.1</v>
      </c>
      <c r="K9" s="5" t="n">
        <v>0.1</v>
      </c>
      <c r="L9" s="5" t="n">
        <v>0.1</v>
      </c>
    </row>
    <row r="10">
      <c r="A10" t="inlineStr">
        <is>
          <t>SBC $ (neg)</t>
        </is>
      </c>
      <c r="C10" s="4">
        <f>-C6*C9/100</f>
        <v/>
      </c>
      <c r="D10" s="4">
        <f>-D6*D9/100</f>
        <v/>
      </c>
      <c r="E10" s="4">
        <f>-E6*E9/100</f>
        <v/>
      </c>
      <c r="F10" s="4">
        <f>-F6*F9/100</f>
        <v/>
      </c>
      <c r="G10" s="4">
        <f>-G6*G9/100</f>
        <v/>
      </c>
      <c r="H10" s="4">
        <f>-H6*H9/100</f>
        <v/>
      </c>
      <c r="I10" s="4">
        <f>-I6*I9/100</f>
        <v/>
      </c>
      <c r="J10" s="4">
        <f>-J6*J9/100</f>
        <v/>
      </c>
      <c r="K10" s="4">
        <f>-K6*K9/100</f>
        <v/>
      </c>
      <c r="L10" s="4">
        <f>-L6*L9/100</f>
        <v/>
      </c>
    </row>
    <row r="11">
      <c r="A11" t="inlineStr">
        <is>
          <t>Lease cost % of revenue</t>
        </is>
      </c>
      <c r="C11" s="8">
        <f>Assumptions!$B$5</f>
        <v/>
      </c>
      <c r="D11" s="8">
        <f>Assumptions!$B$5</f>
        <v/>
      </c>
      <c r="E11" s="8">
        <f>Assumptions!$B$5</f>
        <v/>
      </c>
      <c r="F11" s="8">
        <f>Assumptions!$B$5</f>
        <v/>
      </c>
      <c r="G11" s="8">
        <f>Assumptions!$B$5</f>
        <v/>
      </c>
      <c r="H11" s="8">
        <f>Assumptions!$B$5</f>
        <v/>
      </c>
      <c r="I11" s="8">
        <f>Assumptions!$B$5</f>
        <v/>
      </c>
      <c r="J11" s="8">
        <f>Assumptions!$B$5</f>
        <v/>
      </c>
      <c r="K11" s="8">
        <f>Assumptions!$B$5</f>
        <v/>
      </c>
      <c r="L11" s="8">
        <f>Assumptions!$B$5</f>
        <v/>
      </c>
    </row>
    <row r="12">
      <c r="A12" t="inlineStr">
        <is>
          <t>Lease cash $ (neg)</t>
        </is>
      </c>
      <c r="C12" s="4">
        <f>-C6*C11/100</f>
        <v/>
      </c>
      <c r="D12" s="4">
        <f>-D6*D11/100</f>
        <v/>
      </c>
      <c r="E12" s="4">
        <f>-E6*E11/100</f>
        <v/>
      </c>
      <c r="F12" s="4">
        <f>-F6*F11/100</f>
        <v/>
      </c>
      <c r="G12" s="4">
        <f>-G6*G11/100</f>
        <v/>
      </c>
      <c r="H12" s="4">
        <f>-H6*H11/100</f>
        <v/>
      </c>
      <c r="I12" s="4">
        <f>-I6*I11/100</f>
        <v/>
      </c>
      <c r="J12" s="4">
        <f>-J6*J11/100</f>
        <v/>
      </c>
      <c r="K12" s="4">
        <f>-K6*K11/100</f>
        <v/>
      </c>
      <c r="L12" s="4">
        <f>-L6*L11/100</f>
        <v/>
      </c>
    </row>
    <row r="13">
      <c r="A13" t="inlineStr">
        <is>
          <t>Owner EBITDA (after SBC and leases)</t>
        </is>
      </c>
      <c r="C13" s="4">
        <f>C8+C10+C12</f>
        <v/>
      </c>
      <c r="D13" s="4">
        <f>D8+D10+D12</f>
        <v/>
      </c>
      <c r="E13" s="4">
        <f>E8+E10+E12</f>
        <v/>
      </c>
      <c r="F13" s="4">
        <f>F8+F10+F12</f>
        <v/>
      </c>
      <c r="G13" s="4">
        <f>G8+G10+G12</f>
        <v/>
      </c>
      <c r="H13" s="4">
        <f>H8+H10+H12</f>
        <v/>
      </c>
      <c r="I13" s="4">
        <f>I8+I10+I12</f>
        <v/>
      </c>
      <c r="J13" s="4">
        <f>J8+J10+J12</f>
        <v/>
      </c>
      <c r="K13" s="4">
        <f>K8+K10+K12</f>
        <v/>
      </c>
      <c r="L13" s="4">
        <f>L8+L10+L12</f>
        <v/>
      </c>
    </row>
    <row r="14">
      <c r="A14" t="inlineStr">
        <is>
          <t>D&amp;A ex-ROU % of revenue</t>
        </is>
      </c>
      <c r="C14" s="5" t="n">
        <v>9.5</v>
      </c>
      <c r="D14" s="5" t="n">
        <v>9</v>
      </c>
      <c r="E14" s="5" t="n">
        <v>8.5</v>
      </c>
      <c r="F14" s="5" t="n">
        <v>8</v>
      </c>
      <c r="G14" s="5" t="n">
        <v>7.5</v>
      </c>
      <c r="H14" s="5" t="n">
        <v>7</v>
      </c>
      <c r="I14" s="5" t="n">
        <v>6.5</v>
      </c>
      <c r="J14" s="5" t="n">
        <v>6.5</v>
      </c>
      <c r="K14" s="5" t="n">
        <v>6.5</v>
      </c>
      <c r="L14" s="5" t="n">
        <v>6.5</v>
      </c>
    </row>
    <row r="15">
      <c r="A15" t="inlineStr">
        <is>
          <t>D&amp;A $ (neg)</t>
        </is>
      </c>
      <c r="C15" s="4">
        <f>-C6*C14/100</f>
        <v/>
      </c>
      <c r="D15" s="4">
        <f>-D6*D14/100</f>
        <v/>
      </c>
      <c r="E15" s="4">
        <f>-E6*E14/100</f>
        <v/>
      </c>
      <c r="F15" s="4">
        <f>-F6*F14/100</f>
        <v/>
      </c>
      <c r="G15" s="4">
        <f>-G6*G14/100</f>
        <v/>
      </c>
      <c r="H15" s="4">
        <f>-H6*H14/100</f>
        <v/>
      </c>
      <c r="I15" s="4">
        <f>-I6*I14/100</f>
        <v/>
      </c>
      <c r="J15" s="4">
        <f>-J6*J14/100</f>
        <v/>
      </c>
      <c r="K15" s="4">
        <f>-K6*K14/100</f>
        <v/>
      </c>
      <c r="L15" s="4">
        <f>-L6*L14/100</f>
        <v/>
      </c>
    </row>
    <row r="16">
      <c r="A16" t="inlineStr">
        <is>
          <t>EBIT (SBC and leases expensed)</t>
        </is>
      </c>
      <c r="C16" s="4">
        <f>C13+C15</f>
        <v/>
      </c>
      <c r="D16" s="4">
        <f>D13+D15</f>
        <v/>
      </c>
      <c r="E16" s="4">
        <f>E13+E15</f>
        <v/>
      </c>
      <c r="F16" s="4">
        <f>F13+F15</f>
        <v/>
      </c>
      <c r="G16" s="4">
        <f>G13+G15</f>
        <v/>
      </c>
      <c r="H16" s="4">
        <f>H13+H15</f>
        <v/>
      </c>
      <c r="I16" s="4">
        <f>I13+I15</f>
        <v/>
      </c>
      <c r="J16" s="4">
        <f>J13+J15</f>
        <v/>
      </c>
      <c r="K16" s="4">
        <f>K13+K15</f>
        <v/>
      </c>
      <c r="L16" s="4">
        <f>L13+L15</f>
        <v/>
      </c>
    </row>
    <row r="17">
      <c r="A17" t="inlineStr">
        <is>
          <t>Cash tax rate %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14</v>
      </c>
      <c r="J17" s="5" t="n">
        <v>28</v>
      </c>
      <c r="K17" s="5" t="n">
        <v>28</v>
      </c>
      <c r="L17" s="5" t="n">
        <v>28</v>
      </c>
    </row>
    <row r="18">
      <c r="A18" t="inlineStr">
        <is>
          <t>Cash tax $ (neg; on max(0,EBIT))</t>
        </is>
      </c>
      <c r="C18" s="4">
        <f>-MAX(0,C16)*C17/100</f>
        <v/>
      </c>
      <c r="D18" s="4">
        <f>-MAX(0,D16)*D17/100</f>
        <v/>
      </c>
      <c r="E18" s="4">
        <f>-MAX(0,E16)*E17/100</f>
        <v/>
      </c>
      <c r="F18" s="4">
        <f>-MAX(0,F16)*F17/100</f>
        <v/>
      </c>
      <c r="G18" s="4">
        <f>-MAX(0,G16)*G17/100</f>
        <v/>
      </c>
      <c r="H18" s="4">
        <f>-MAX(0,H16)*H17/100</f>
        <v/>
      </c>
      <c r="I18" s="4">
        <f>-MAX(0,I16)*I17/100</f>
        <v/>
      </c>
      <c r="J18" s="4">
        <f>-MAX(0,J16)*J17/100</f>
        <v/>
      </c>
      <c r="K18" s="4">
        <f>-MAX(0,K16)*K17/100</f>
        <v/>
      </c>
      <c r="L18" s="4">
        <f>-MAX(0,L16)*L17/100</f>
        <v/>
      </c>
    </row>
    <row r="19">
      <c r="A19" t="inlineStr">
        <is>
          <t>NOPAT</t>
        </is>
      </c>
      <c r="C19" s="4">
        <f>C16+C18</f>
        <v/>
      </c>
      <c r="D19" s="4">
        <f>D16+D18</f>
        <v/>
      </c>
      <c r="E19" s="4">
        <f>E16+E18</f>
        <v/>
      </c>
      <c r="F19" s="4">
        <f>F16+F18</f>
        <v/>
      </c>
      <c r="G19" s="4">
        <f>G16+G18</f>
        <v/>
      </c>
      <c r="H19" s="4">
        <f>H16+H18</f>
        <v/>
      </c>
      <c r="I19" s="4">
        <f>I16+I18</f>
        <v/>
      </c>
      <c r="J19" s="4">
        <f>J16+J18</f>
        <v/>
      </c>
      <c r="K19" s="4">
        <f>K16+K18</f>
        <v/>
      </c>
      <c r="L19" s="4">
        <f>L16+L18</f>
        <v/>
      </c>
    </row>
    <row r="20">
      <c r="A20" t="inlineStr">
        <is>
          <t>add back D&amp;A</t>
        </is>
      </c>
      <c r="C20" s="4">
        <f>-C15</f>
        <v/>
      </c>
      <c r="D20" s="4">
        <f>-D15</f>
        <v/>
      </c>
      <c r="E20" s="4">
        <f>-E15</f>
        <v/>
      </c>
      <c r="F20" s="4">
        <f>-F15</f>
        <v/>
      </c>
      <c r="G20" s="4">
        <f>-G15</f>
        <v/>
      </c>
      <c r="H20" s="4">
        <f>-H15</f>
        <v/>
      </c>
      <c r="I20" s="4">
        <f>-I15</f>
        <v/>
      </c>
      <c r="J20" s="4">
        <f>-J15</f>
        <v/>
      </c>
      <c r="K20" s="4">
        <f>-K15</f>
        <v/>
      </c>
      <c r="L20" s="4">
        <f>-L15</f>
        <v/>
      </c>
    </row>
    <row r="21">
      <c r="A21" t="inlineStr">
        <is>
          <t>Capex % of revenue</t>
        </is>
      </c>
      <c r="C21" s="5" t="n">
        <v>4</v>
      </c>
      <c r="D21" s="5" t="n">
        <v>4</v>
      </c>
      <c r="E21" s="5" t="n">
        <v>4</v>
      </c>
      <c r="F21" s="5" t="n">
        <v>4.5</v>
      </c>
      <c r="G21" s="5" t="n">
        <v>4.5</v>
      </c>
      <c r="H21" s="5" t="n">
        <v>4.5</v>
      </c>
      <c r="I21" s="5" t="n">
        <v>4.5</v>
      </c>
      <c r="J21" s="5" t="n">
        <v>4.5</v>
      </c>
      <c r="K21" s="5" t="n">
        <v>4.5</v>
      </c>
      <c r="L21" s="5" t="n">
        <v>4.5</v>
      </c>
    </row>
    <row r="22">
      <c r="A22" t="inlineStr">
        <is>
          <t>Capex $ (neg)</t>
        </is>
      </c>
      <c r="C22" s="4">
        <f>-C6*C21/100</f>
        <v/>
      </c>
      <c r="D22" s="4">
        <f>-D6*D21/100</f>
        <v/>
      </c>
      <c r="E22" s="4">
        <f>-E6*E21/100</f>
        <v/>
      </c>
      <c r="F22" s="4">
        <f>-F6*F21/100</f>
        <v/>
      </c>
      <c r="G22" s="4">
        <f>-G6*G21/100</f>
        <v/>
      </c>
      <c r="H22" s="4">
        <f>-H6*H21/100</f>
        <v/>
      </c>
      <c r="I22" s="4">
        <f>-I6*I21/100</f>
        <v/>
      </c>
      <c r="J22" s="4">
        <f>-J6*J21/100</f>
        <v/>
      </c>
      <c r="K22" s="4">
        <f>-K6*K21/100</f>
        <v/>
      </c>
      <c r="L22" s="4">
        <f>-L6*L21/100</f>
        <v/>
      </c>
    </row>
    <row r="23">
      <c r="A23" t="inlineStr">
        <is>
          <t>Working capital (capture x revenue change)</t>
        </is>
      </c>
      <c r="C23" s="4">
        <f>Assumptions!$B$7/100*(C6-B6)</f>
        <v/>
      </c>
      <c r="D23" s="4">
        <f>Assumptions!$B$7/100*(D6-C6)</f>
        <v/>
      </c>
      <c r="E23" s="4">
        <f>Assumptions!$B$7/100*(E6-D6)</f>
        <v/>
      </c>
      <c r="F23" s="4">
        <f>Assumptions!$B$7/100*(F6-E6)</f>
        <v/>
      </c>
      <c r="G23" s="4">
        <f>Assumptions!$B$7/100*(G6-F6)</f>
        <v/>
      </c>
      <c r="H23" s="4">
        <f>Assumptions!$B$7/100*(H6-G6)</f>
        <v/>
      </c>
      <c r="I23" s="4">
        <f>Assumptions!$B$7/100*(I6-H6)</f>
        <v/>
      </c>
      <c r="J23" s="4">
        <f>Assumptions!$B$7/100*(J6-I6)</f>
        <v/>
      </c>
      <c r="K23" s="4">
        <f>Assumptions!$B$7/100*(K6-J6)</f>
        <v/>
      </c>
      <c r="L23" s="4">
        <f>Assumptions!$B$7/100*(L6-K6)</f>
        <v/>
      </c>
    </row>
    <row r="24">
      <c r="A24" s="1" t="inlineStr">
        <is>
          <t>Unlevered owner FCF</t>
        </is>
      </c>
      <c r="C24" s="4">
        <f>C19+C20+C22+C23</f>
        <v/>
      </c>
      <c r="D24" s="4">
        <f>D19+D20+D22+D23</f>
        <v/>
      </c>
      <c r="E24" s="4">
        <f>E19+E20+E22+E23</f>
        <v/>
      </c>
      <c r="F24" s="4">
        <f>F19+F20+F22+F23</f>
        <v/>
      </c>
      <c r="G24" s="4">
        <f>G19+G20+G22+G23</f>
        <v/>
      </c>
      <c r="H24" s="4">
        <f>H19+H20+H22+H23</f>
        <v/>
      </c>
      <c r="I24" s="4">
        <f>I19+I20+I22+I23</f>
        <v/>
      </c>
      <c r="J24" s="4">
        <f>J19+J20+J22+J23</f>
        <v/>
      </c>
      <c r="K24" s="4">
        <f>K19+K20+K22+K23</f>
        <v/>
      </c>
      <c r="L24" s="4">
        <f>L19+L20+L22+L23</f>
        <v/>
      </c>
    </row>
    <row r="25">
      <c r="A25" t="inlineStr">
        <is>
          <t>Discount factor</t>
        </is>
      </c>
      <c r="C25" s="9">
        <f>1/(1+$B$32/100)^C4</f>
        <v/>
      </c>
      <c r="D25" s="9">
        <f>1/(1+$B$32/100)^D4</f>
        <v/>
      </c>
      <c r="E25" s="9">
        <f>1/(1+$B$32/100)^E4</f>
        <v/>
      </c>
      <c r="F25" s="9">
        <f>1/(1+$B$32/100)^F4</f>
        <v/>
      </c>
      <c r="G25" s="9">
        <f>1/(1+$B$32/100)^G4</f>
        <v/>
      </c>
      <c r="H25" s="9">
        <f>1/(1+$B$32/100)^H4</f>
        <v/>
      </c>
      <c r="I25" s="9">
        <f>1/(1+$B$32/100)^I4</f>
        <v/>
      </c>
      <c r="J25" s="9">
        <f>1/(1+$B$32/100)^J4</f>
        <v/>
      </c>
      <c r="K25" s="9">
        <f>1/(1+$B$32/100)^K4</f>
        <v/>
      </c>
      <c r="L25" s="9">
        <f>1/(1+$B$32/100)^L4</f>
        <v/>
      </c>
    </row>
    <row r="26">
      <c r="A26" t="inlineStr">
        <is>
          <t>PV of FCF</t>
        </is>
      </c>
      <c r="C26" s="4">
        <f>C24*C25</f>
        <v/>
      </c>
      <c r="D26" s="4">
        <f>D24*D25</f>
        <v/>
      </c>
      <c r="E26" s="4">
        <f>E24*E25</f>
        <v/>
      </c>
      <c r="F26" s="4">
        <f>F24*F25</f>
        <v/>
      </c>
      <c r="G26" s="4">
        <f>G24*G25</f>
        <v/>
      </c>
      <c r="H26" s="4">
        <f>H24*H25</f>
        <v/>
      </c>
      <c r="I26" s="4">
        <f>I24*I25</f>
        <v/>
      </c>
      <c r="J26" s="4">
        <f>J24*J25</f>
        <v/>
      </c>
      <c r="K26" s="4">
        <f>K24*K25</f>
        <v/>
      </c>
      <c r="L26" s="4">
        <f>L24*L25</f>
        <v/>
      </c>
    </row>
    <row r="28">
      <c r="A28" t="inlineStr">
        <is>
          <t>Memo: FCF before SBC (company-style)</t>
        </is>
      </c>
      <c r="C28" s="4">
        <f>C24-C10</f>
        <v/>
      </c>
      <c r="D28" s="4">
        <f>D24-D10</f>
        <v/>
      </c>
      <c r="E28" s="4">
        <f>E24-E10</f>
        <v/>
      </c>
      <c r="F28" s="4">
        <f>F24-F10</f>
        <v/>
      </c>
      <c r="G28" s="4">
        <f>G24-G10</f>
        <v/>
      </c>
      <c r="H28" s="4">
        <f>H24-H10</f>
        <v/>
      </c>
      <c r="I28" s="4">
        <f>I24-I10</f>
        <v/>
      </c>
      <c r="J28" s="4">
        <f>J24-J10</f>
        <v/>
      </c>
      <c r="K28" s="4">
        <f>K24-K10</f>
        <v/>
      </c>
      <c r="L28" s="4">
        <f>L24-L10</f>
        <v/>
      </c>
    </row>
    <row r="29">
      <c r="A29" t="inlineStr">
        <is>
          <t>Memo: owner FCF margin %</t>
        </is>
      </c>
      <c r="C29" s="10">
        <f>C24/C6*100</f>
        <v/>
      </c>
      <c r="D29" s="10">
        <f>D24/D6*100</f>
        <v/>
      </c>
      <c r="E29" s="10">
        <f>E24/E6*100</f>
        <v/>
      </c>
      <c r="F29" s="10">
        <f>F24/F6*100</f>
        <v/>
      </c>
      <c r="G29" s="10">
        <f>G24/G6*100</f>
        <v/>
      </c>
      <c r="H29" s="10">
        <f>H24/H6*100</f>
        <v/>
      </c>
      <c r="I29" s="10">
        <f>I24/I6*100</f>
        <v/>
      </c>
      <c r="J29" s="10">
        <f>J24/J6*100</f>
        <v/>
      </c>
      <c r="K29" s="10">
        <f>K24/K6*100</f>
        <v/>
      </c>
      <c r="L29" s="10">
        <f>L24/L6*100</f>
        <v/>
      </c>
    </row>
    <row r="31">
      <c r="A31" t="inlineStr">
        <is>
          <t>Sum of PV of FCF</t>
        </is>
      </c>
      <c r="B31" s="4">
        <f>SUM(C26:L26)</f>
        <v/>
      </c>
    </row>
    <row r="32">
      <c r="A32" t="inlineStr">
        <is>
          <t>WACC %</t>
        </is>
      </c>
      <c r="B32" s="11">
        <f>Assumptions!D14</f>
        <v/>
      </c>
    </row>
    <row r="33">
      <c r="A33" t="inlineStr">
        <is>
          <t>Terminal growth %</t>
        </is>
      </c>
      <c r="B33" s="11">
        <f>Assumptions!D15</f>
        <v/>
      </c>
    </row>
    <row r="34">
      <c r="A34" t="inlineStr">
        <is>
          <t>Terminal-year FCF x (1+g)</t>
        </is>
      </c>
      <c r="B34" s="4">
        <f>L24*(1+B33/100)</f>
        <v/>
      </c>
    </row>
    <row r="35">
      <c r="A35" t="inlineStr">
        <is>
          <t>Gordon TV</t>
        </is>
      </c>
      <c r="B35" s="4">
        <f>IF(B32&gt;B33,B34/((B32-B33)/100),0)</f>
        <v/>
      </c>
    </row>
    <row r="36">
      <c r="A36" t="inlineStr">
        <is>
          <t>Cap multiple (x FCF_10)</t>
        </is>
      </c>
      <c r="B36" s="11">
        <f>Assumptions!D16</f>
        <v/>
      </c>
    </row>
    <row r="37">
      <c r="A37" t="inlineStr">
        <is>
          <t>Cap TV</t>
        </is>
      </c>
      <c r="B37" s="4">
        <f>B36*L24</f>
        <v/>
      </c>
    </row>
    <row r="38">
      <c r="A38" t="inlineStr">
        <is>
          <t>TV used = MAX(0, MIN(Gordon, cap))</t>
        </is>
      </c>
      <c r="B38" s="4">
        <f>MAX(0,MIN(B35,B37))</f>
        <v/>
      </c>
    </row>
    <row r="39">
      <c r="A39" t="inlineStr">
        <is>
          <t>Implied exit multiple (TV / FCF_10)</t>
        </is>
      </c>
      <c r="B39" s="12">
        <f>IF(L24&gt;0,B38/L24,"n/a")</f>
        <v/>
      </c>
    </row>
    <row r="40">
      <c r="A40" t="inlineStr">
        <is>
          <t>PV of TV</t>
        </is>
      </c>
      <c r="B40" s="4">
        <f>B38*L25</f>
        <v/>
      </c>
    </row>
    <row r="41">
      <c r="A41" t="inlineStr">
        <is>
          <t>Enterprise value</t>
        </is>
      </c>
      <c r="B41" s="4">
        <f>B31+B40</f>
        <v/>
      </c>
    </row>
    <row r="42">
      <c r="A42" t="inlineStr">
        <is>
          <t>less net debt (bridge)</t>
        </is>
      </c>
      <c r="B42" s="13">
        <f>-Assumptions!$B$4</f>
        <v/>
      </c>
    </row>
    <row r="43">
      <c r="A43" t="inlineStr">
        <is>
          <t>Equity value</t>
        </is>
      </c>
      <c r="B43" s="4">
        <f>B41+B42</f>
        <v/>
      </c>
    </row>
    <row r="44">
      <c r="A44" t="inlineStr">
        <is>
          <t>Diluted shares (000)</t>
        </is>
      </c>
      <c r="B44" s="13">
        <f>Assumptions!$B$3</f>
        <v/>
      </c>
    </row>
    <row r="45">
      <c r="A45" s="1" t="inlineStr">
        <is>
          <t>Value per share (NZD)</t>
        </is>
      </c>
      <c r="B45" s="14">
        <f>B43/B44</f>
        <v/>
      </c>
    </row>
    <row r="46">
      <c r="A46" t="inlineStr">
        <is>
          <t>Upside vs price %</t>
        </is>
      </c>
      <c r="B46" s="12">
        <f>(B45/Assumptions!$B$2-1)*100</f>
        <v/>
      </c>
    </row>
    <row r="48">
      <c r="A48" t="inlineStr">
        <is>
          <t>Street memo: PV of explicit SBC</t>
        </is>
      </c>
      <c r="B48" s="4">
        <f>SUMPRODUCT(-C10:L10/(1+B32/100)^C4:L4)</f>
        <v/>
      </c>
    </row>
    <row r="49">
      <c r="A49" t="inlineStr">
        <is>
          <t>Street memo: PV of terminal SBC</t>
        </is>
      </c>
      <c r="B49" s="4">
        <f>IF(B32&gt;B33,-L10*(1+B33/100)/((B32-B33)/100)*L25,0)</f>
        <v/>
      </c>
    </row>
    <row r="50">
      <c r="A50" t="inlineStr">
        <is>
          <t>Street value per share (NZD)</t>
        </is>
      </c>
      <c r="B50" s="15">
        <f>(B43+B48+B49)/B44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Reported FCF reconciled to owner FCF (NZ$000)</t>
        </is>
      </c>
    </row>
    <row r="2">
      <c r="A2" s="1" t="inlineStr"/>
      <c r="B2" s="1" t="inlineStr">
        <is>
          <t>FY2023</t>
        </is>
      </c>
      <c r="C2" s="1" t="inlineStr">
        <is>
          <t>FY2024</t>
        </is>
      </c>
      <c r="D2" s="1" t="inlineStr">
        <is>
          <t>FY2025</t>
        </is>
      </c>
      <c r="E2" s="1" t="inlineStr">
        <is>
          <t>FY2026</t>
        </is>
      </c>
    </row>
    <row r="3">
      <c r="A3" t="inlineStr">
        <is>
          <t>Revenue</t>
        </is>
      </c>
      <c r="B3" s="13">
        <f>Actuals!B2</f>
        <v/>
      </c>
      <c r="C3" s="13">
        <f>Actuals!C2</f>
        <v/>
      </c>
      <c r="D3" s="13">
        <f>Actuals!D2</f>
        <v/>
      </c>
      <c r="E3" s="13">
        <f>Actuals!E2</f>
        <v/>
      </c>
    </row>
    <row r="4">
      <c r="A4" t="inlineStr">
        <is>
          <t>Net cash from operating activities</t>
        </is>
      </c>
      <c r="B4" s="13">
        <f>Actuals!B5</f>
        <v/>
      </c>
      <c r="C4" s="13">
        <f>Actuals!C5</f>
        <v/>
      </c>
      <c r="D4" s="13">
        <f>Actuals!D5</f>
        <v/>
      </c>
      <c r="E4" s="13">
        <f>Actuals!E5</f>
        <v/>
      </c>
    </row>
    <row r="5">
      <c r="A5" t="inlineStr">
        <is>
          <t>less capex (PP&amp;E + intangibles)</t>
        </is>
      </c>
      <c r="B5" s="4">
        <f>-Actuals!B6</f>
        <v/>
      </c>
      <c r="C5" s="4">
        <f>-Actuals!C6</f>
        <v/>
      </c>
      <c r="D5" s="4">
        <f>-Actuals!D6</f>
        <v/>
      </c>
      <c r="E5" s="4">
        <f>-Actuals!E6</f>
        <v/>
      </c>
    </row>
    <row r="6">
      <c r="A6" t="inlineStr">
        <is>
          <t>Equals: free cash flow (company-style, post-IFRS-16)</t>
        </is>
      </c>
      <c r="B6" s="4">
        <f>B4+B5</f>
        <v/>
      </c>
      <c r="C6" s="4">
        <f>C4+C5</f>
        <v/>
      </c>
      <c r="D6" s="4">
        <f>D4+D5</f>
        <v/>
      </c>
      <c r="E6" s="4">
        <f>E4+E5</f>
        <v/>
      </c>
    </row>
    <row r="7">
      <c r="A7" t="inlineStr">
        <is>
          <t>less lease principal</t>
        </is>
      </c>
      <c r="B7" s="4">
        <f>-Actuals!B7</f>
        <v/>
      </c>
      <c r="C7" s="4">
        <f>-Actuals!C7</f>
        <v/>
      </c>
      <c r="D7" s="4">
        <f>-Actuals!D7</f>
        <v/>
      </c>
      <c r="E7" s="4">
        <f>-Actuals!E7</f>
        <v/>
      </c>
    </row>
    <row r="8">
      <c r="A8" t="inlineStr">
        <is>
          <t>less lease interest</t>
        </is>
      </c>
      <c r="B8" s="4">
        <f>-Actuals!B8</f>
        <v/>
      </c>
      <c r="C8" s="4">
        <f>-Actuals!C8</f>
        <v/>
      </c>
      <c r="D8" s="4">
        <f>-Actuals!D8</f>
        <v/>
      </c>
      <c r="E8" s="4">
        <f>-Actuals!E8</f>
        <v/>
      </c>
    </row>
    <row r="9">
      <c r="A9" t="inlineStr">
        <is>
          <t>less SBC expense</t>
        </is>
      </c>
      <c r="B9" s="4">
        <f>-Actuals!B10</f>
        <v/>
      </c>
      <c r="C9" s="4">
        <f>-Actuals!C10</f>
        <v/>
      </c>
      <c r="D9" s="4">
        <f>-Actuals!D10</f>
        <v/>
      </c>
      <c r="E9" s="4">
        <f>-Actuals!E10</f>
        <v/>
      </c>
    </row>
    <row r="10">
      <c r="A10" t="inlineStr">
        <is>
          <t>less interest income (nil -- not net cash)</t>
        </is>
      </c>
      <c r="B10" s="4" t="n">
        <v>0</v>
      </c>
      <c r="C10" s="4" t="n">
        <v>0</v>
      </c>
      <c r="D10" s="4" t="n">
        <v>0</v>
      </c>
      <c r="E10" s="4" t="n">
        <v>0</v>
      </c>
    </row>
    <row r="11">
      <c r="A11" s="1" t="inlineStr">
        <is>
          <t>Equals: owner FCF (pre debt interest)</t>
        </is>
      </c>
      <c r="B11" s="4">
        <f>SUM(B6:B10)</f>
        <v/>
      </c>
      <c r="C11" s="4">
        <f>SUM(C6:C10)</f>
        <v/>
      </c>
      <c r="D11" s="4">
        <f>SUM(D6:D10)</f>
        <v/>
      </c>
      <c r="E11" s="4">
        <f>SUM(E6:E10)</f>
        <v/>
      </c>
    </row>
    <row r="12">
      <c r="A12" t="inlineStr">
        <is>
          <t>Reported FCF margin %</t>
        </is>
      </c>
      <c r="B12" s="16">
        <f>B6/B3*100</f>
        <v/>
      </c>
      <c r="C12" s="16">
        <f>C6/C3*100</f>
        <v/>
      </c>
      <c r="D12" s="16">
        <f>D6/D3*100</f>
        <v/>
      </c>
      <c r="E12" s="16">
        <f>E6/E3*100</f>
        <v/>
      </c>
    </row>
    <row r="13">
      <c r="A13" t="inlineStr">
        <is>
          <t>Owner FCF margin %</t>
        </is>
      </c>
      <c r="B13" s="16">
        <f>B11/B3*100</f>
        <v/>
      </c>
      <c r="C13" s="16">
        <f>C11/C3*100</f>
        <v/>
      </c>
      <c r="D13" s="16">
        <f>D11/D3*100</f>
        <v/>
      </c>
      <c r="E13" s="16">
        <f>E11/E3*100</f>
        <v/>
      </c>
    </row>
    <row r="14">
      <c r="A14" t="inlineStr">
        <is>
          <t>Memo: interest paid on borrowings + notes</t>
        </is>
      </c>
      <c r="B14" s="13">
        <f>Actuals!B9</f>
        <v/>
      </c>
      <c r="C14" s="13">
        <f>Actuals!C9</f>
        <v/>
      </c>
      <c r="D14" s="13">
        <f>Actuals!D9</f>
        <v/>
      </c>
      <c r="E14" s="13">
        <f>Actuals!E9</f>
        <v/>
      </c>
    </row>
    <row r="15">
      <c r="A15" t="inlineStr">
        <is>
          <t>Memo: owner FCF after debt interest (equity FCF)</t>
        </is>
      </c>
      <c r="B15" s="4">
        <f>B11-B14</f>
        <v/>
      </c>
      <c r="C15" s="4">
        <f>C11-C14</f>
        <v/>
      </c>
      <c r="D15" s="4">
        <f>D11-D14</f>
        <v/>
      </c>
      <c r="E15" s="4">
        <f>E11-E14</f>
        <v/>
      </c>
    </row>
    <row r="16">
      <c r="A16" t="inlineStr">
        <is>
          <t>Memo: lease cash % of revenue</t>
        </is>
      </c>
      <c r="B16" s="16">
        <f>(Actuals!B7+Actuals!B8)/B3*100</f>
        <v/>
      </c>
      <c r="C16" s="16">
        <f>(Actuals!C7+Actuals!C8)/C3*100</f>
        <v/>
      </c>
      <c r="D16" s="16">
        <f>(Actuals!D7+Actuals!D8)/D3*100</f>
        <v/>
      </c>
      <c r="E16" s="16">
        <f>(Actuals!E7+Actuals!E8)/E3*100</f>
        <v/>
      </c>
    </row>
    <row r="17">
      <c r="A17" t="inlineStr">
        <is>
          <t>Memo: capex % of revenue vs D&amp;A ex-ROU %</t>
        </is>
      </c>
      <c r="B17" s="17">
        <f>Actuals!B6/B3*100</f>
        <v/>
      </c>
      <c r="C17" s="17">
        <f>Actuals!C6/C3*100</f>
        <v/>
      </c>
      <c r="D17" s="17">
        <f>Actuals!D6/D3*100</f>
        <v/>
      </c>
      <c r="E17" s="17">
        <f>Actuals!E6/E3*100</f>
        <v/>
      </c>
    </row>
    <row r="18">
      <c r="A18" t="inlineStr">
        <is>
          <t>Memo: D&amp;A ex-ROU % of revenue</t>
        </is>
      </c>
      <c r="B18" s="16">
        <f>(Actuals!B11-Actuals!B12)/B3*100</f>
        <v/>
      </c>
      <c r="C18" s="16">
        <f>(Actuals!C11-Actuals!C12)/C3*100</f>
        <v/>
      </c>
      <c r="D18" s="16">
        <f>(Actuals!D11-Actuals!D12)/D3*100</f>
        <v/>
      </c>
      <c r="E18" s="16">
        <f>(Actuals!E11-Actuals!E12)/E3*100</f>
        <v/>
      </c>
    </row>
    <row r="19">
      <c r="A19" t="inlineStr">
        <is>
          <t>Memo: cash tax</t>
        </is>
      </c>
      <c r="B19" s="4" t="inlineStr">
        <is>
          <t>139 paid</t>
        </is>
      </c>
      <c r="C19" s="4" t="inlineStr">
        <is>
          <t>n/a</t>
        </is>
      </c>
      <c r="D19" s="4" t="inlineStr">
        <is>
          <t>21 refund</t>
        </is>
      </c>
      <c r="E19" s="4" t="inlineStr">
        <is>
          <t>13 paid -- abnormal (losses); model ramps 0% -&gt; 28% from FY33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Valuation summary (NZD per share)</t>
        </is>
      </c>
    </row>
    <row r="2">
      <c r="A2" s="1" t="inlineStr">
        <is>
          <t>Scenario</t>
        </is>
      </c>
      <c r="B2" s="1" t="inlineStr">
        <is>
          <t>Value/share</t>
        </is>
      </c>
      <c r="C2" s="1" t="inlineStr">
        <is>
          <t>Upside %</t>
        </is>
      </c>
      <c r="D2" s="1" t="inlineStr">
        <is>
          <t>Weight</t>
        </is>
      </c>
      <c r="E2" s="1" t="inlineStr">
        <is>
          <t>Street value/share</t>
        </is>
      </c>
      <c r="F2" s="1" t="inlineStr">
        <is>
          <t>TV bound</t>
        </is>
      </c>
      <c r="G2" s="1" t="inlineStr">
        <is>
          <t>Entry price @ hurdle</t>
        </is>
      </c>
    </row>
    <row r="3">
      <c r="A3" t="inlineStr">
        <is>
          <t>Bear</t>
        </is>
      </c>
      <c r="B3" s="18">
        <f>DCF_Bear!$B$45</f>
        <v/>
      </c>
      <c r="C3" s="10">
        <f>(B3/Assumptions!$B$2-1)*100</f>
        <v/>
      </c>
      <c r="D3" s="8">
        <f>Assumptions!B17</f>
        <v/>
      </c>
      <c r="E3" s="18">
        <f>DCF_Bear!$B$50</f>
        <v/>
      </c>
      <c r="F3">
        <f>IF(DCF_Bear!$B$38=0,"floor",IF(DCF_Bear!$B$35&lt;=DCF_Bear!$B$37,"gordon","cap"))</f>
        <v/>
      </c>
      <c r="G3" s="15">
        <f>IF((Assumptions!$B$8*100)&gt;Assumptions!B15,(SUMPRODUCT(DCF_Bear!$C$24:$L$24/(1+(Assumptions!$B$8*100)/100)^DCF_Bear!$C$4:$L$4)+MAX(0,MIN(DCF_Bear!$L$24*(1+Assumptions!B15/100)/(((Assumptions!$B$8*100)-Assumptions!B15)/100),Assumptions!B16*DCF_Bear!$L$24))/(1+(Assumptions!$B$8*100)/100)^10-Assumptions!$B$4)/Assumptions!$B$3,"n/a")</f>
        <v/>
      </c>
    </row>
    <row r="4">
      <c r="A4" t="inlineStr">
        <is>
          <t>Base</t>
        </is>
      </c>
      <c r="B4" s="18">
        <f>DCF_Base!$B$45</f>
        <v/>
      </c>
      <c r="C4" s="10">
        <f>(B4/Assumptions!$B$2-1)*100</f>
        <v/>
      </c>
      <c r="D4" s="8">
        <f>Assumptions!C17</f>
        <v/>
      </c>
      <c r="E4" s="18">
        <f>DCF_Base!$B$50</f>
        <v/>
      </c>
      <c r="F4">
        <f>IF(DCF_Base!$B$38=0,"floor",IF(DCF_Base!$B$35&lt;=DCF_Base!$B$37,"gordon","cap"))</f>
        <v/>
      </c>
      <c r="G4" s="15">
        <f>IF((Assumptions!$B$8*100)&gt;Assumptions!C15,(SUMPRODUCT(DCF_Base!$C$24:$L$24/(1+(Assumptions!$B$8*100)/100)^DCF_Base!$C$4:$L$4)+MAX(0,MIN(DCF_Base!$L$24*(1+Assumptions!C15/100)/(((Assumptions!$B$8*100)-Assumptions!C15)/100),Assumptions!C16*DCF_Base!$L$24))/(1+(Assumptions!$B$8*100)/100)^10-Assumptions!$B$4)/Assumptions!$B$3,"n/a")</f>
        <v/>
      </c>
    </row>
    <row r="5">
      <c r="A5" t="inlineStr">
        <is>
          <t>Bull</t>
        </is>
      </c>
      <c r="B5" s="18">
        <f>DCF_Bull!$B$45</f>
        <v/>
      </c>
      <c r="C5" s="10">
        <f>(B5/Assumptions!$B$2-1)*100</f>
        <v/>
      </c>
      <c r="D5" s="8">
        <f>Assumptions!D17</f>
        <v/>
      </c>
      <c r="E5" s="18">
        <f>DCF_Bull!$B$50</f>
        <v/>
      </c>
      <c r="F5">
        <f>IF(DCF_Bull!$B$38=0,"floor",IF(DCF_Bull!$B$35&lt;=DCF_Bull!$B$37,"gordon","cap"))</f>
        <v/>
      </c>
      <c r="G5" s="15">
        <f>IF((Assumptions!$B$8*100)&gt;Assumptions!D15,(SUMPRODUCT(DCF_Bull!$C$24:$L$24/(1+(Assumptions!$B$8*100)/100)^DCF_Bull!$C$4:$L$4)+MAX(0,MIN(DCF_Bull!$L$24*(1+Assumptions!D15/100)/(((Assumptions!$B$8*100)-Assumptions!D15)/100),Assumptions!D16*DCF_Bull!$L$24))/(1+(Assumptions!$B$8*100)/100)^10-Assumptions!$B$4)/Assumptions!$B$3,"n/a")</f>
        <v/>
      </c>
    </row>
    <row r="7">
      <c r="A7" s="1" t="inlineStr">
        <is>
          <t>Probability-weighted value/share</t>
        </is>
      </c>
      <c r="B7" s="14">
        <f>SUMPRODUCT(B3:B5,D3:D5)</f>
        <v/>
      </c>
    </row>
    <row r="8">
      <c r="A8" t="inlineStr">
        <is>
          <t>Probability-weighted, floored at 0 per scenario</t>
        </is>
      </c>
      <c r="B8" s="15">
        <f t="array" ref="B8">SUMPRODUCT(IF(B3:B5&gt;0,B3:B5,0),D3:D5)</f>
        <v/>
      </c>
    </row>
    <row r="9">
      <c r="A9" t="inlineStr">
        <is>
          <t>Margin of safety (1 - price/weighted)</t>
        </is>
      </c>
      <c r="B9">
        <f>IF(B7&gt;0,1-Assumptions!$B$2/B7,"n/a (weighted &lt;= 0)")</f>
        <v/>
      </c>
    </row>
    <row r="10">
      <c r="A10" t="inlineStr">
        <is>
          <t>Street weighted value/share</t>
        </is>
      </c>
      <c r="B10" s="15">
        <f>SUMPRODUCT(E3:E5,D3:D5)</f>
        <v/>
      </c>
    </row>
    <row r="11">
      <c r="A11" t="inlineStr">
        <is>
          <t>Band position (price - house)/(street - house)</t>
        </is>
      </c>
      <c r="B11" t="inlineStr">
        <is>
          <t>n/a -- SBC ~0.1% of revenue, band collapsed</t>
        </is>
      </c>
    </row>
    <row r="12">
      <c r="A12" t="inlineStr">
        <is>
          <t>Weighted 15%-hurdle entry price</t>
        </is>
      </c>
      <c r="B12" s="15">
        <f>SUMPRODUCT(G3:G5,D3:D5)</f>
        <v/>
      </c>
    </row>
    <row r="13">
      <c r="A13" t="inlineStr">
        <is>
          <t>Current price</t>
        </is>
      </c>
      <c r="B13" s="8">
        <f>Assumptions!$B$2</f>
        <v/>
      </c>
    </row>
    <row r="15">
      <c r="A15" s="1" t="inlineStr">
        <is>
          <t>Required-return table (base case; TV rebuilt at each rate)</t>
        </is>
      </c>
    </row>
    <row r="16">
      <c r="A16" t="inlineStr">
        <is>
          <t>Required return %</t>
        </is>
      </c>
      <c r="B16" s="6" t="n">
        <v>9</v>
      </c>
      <c r="C16" s="6" t="n">
        <v>10</v>
      </c>
      <c r="D16" s="6" t="n">
        <v>11</v>
      </c>
      <c r="E16" s="6" t="n">
        <v>12</v>
      </c>
      <c r="F16" s="6" t="n">
        <v>15</v>
      </c>
      <c r="G16" s="8">
        <f>Assumptions!C14</f>
        <v/>
      </c>
      <c r="H16" t="inlineStr">
        <is>
          <t>&lt;- model WACC</t>
        </is>
      </c>
    </row>
    <row r="17">
      <c r="A17" t="inlineStr">
        <is>
          <t>Value/share</t>
        </is>
      </c>
      <c r="B17" s="15">
        <f>IF(B16&gt;Assumptions!C15,(SUMPRODUCT(DCF_Base!$C$24:$L$24/(1+B16/100)^DCF_Base!$C$4:$L$4)+MAX(0,MIN(DCF_Base!$L$24*(1+Assumptions!C15/100)/((B16-Assumptions!C15)/100),Assumptions!C16*DCF_Base!$L$24))/(1+B16/100)^10-Assumptions!$B$4)/Assumptions!$B$3,"n/a")</f>
        <v/>
      </c>
      <c r="C17" s="15">
        <f>IF(C16&gt;Assumptions!C15,(SUMPRODUCT(DCF_Base!$C$24:$L$24/(1+C16/100)^DCF_Base!$C$4:$L$4)+MAX(0,MIN(DCF_Base!$L$24*(1+Assumptions!C15/100)/((C16-Assumptions!C15)/100),Assumptions!C16*DCF_Base!$L$24))/(1+C16/100)^10-Assumptions!$B$4)/Assumptions!$B$3,"n/a")</f>
        <v/>
      </c>
      <c r="D17" s="15">
        <f>IF(D16&gt;Assumptions!C15,(SUMPRODUCT(DCF_Base!$C$24:$L$24/(1+D16/100)^DCF_Base!$C$4:$L$4)+MAX(0,MIN(DCF_Base!$L$24*(1+Assumptions!C15/100)/((D16-Assumptions!C15)/100),Assumptions!C16*DCF_Base!$L$24))/(1+D16/100)^10-Assumptions!$B$4)/Assumptions!$B$3,"n/a")</f>
        <v/>
      </c>
      <c r="E17" s="15">
        <f>IF(E16&gt;Assumptions!C15,(SUMPRODUCT(DCF_Base!$C$24:$L$24/(1+E16/100)^DCF_Base!$C$4:$L$4)+MAX(0,MIN(DCF_Base!$L$24*(1+Assumptions!C15/100)/((E16-Assumptions!C15)/100),Assumptions!C16*DCF_Base!$L$24))/(1+E16/100)^10-Assumptions!$B$4)/Assumptions!$B$3,"n/a")</f>
        <v/>
      </c>
      <c r="F17" s="15">
        <f>IF(F16&gt;Assumptions!C15,(SUMPRODUCT(DCF_Base!$C$24:$L$24/(1+F16/100)^DCF_Base!$C$4:$L$4)+MAX(0,MIN(DCF_Base!$L$24*(1+Assumptions!C15/100)/((F16-Assumptions!C15)/100),Assumptions!C16*DCF_Base!$L$24))/(1+F16/100)^10-Assumptions!$B$4)/Assumptions!$B$3,"n/a")</f>
        <v/>
      </c>
      <c r="G17" s="15">
        <f>IF(G16&gt;Assumptions!C15,(SUMPRODUCT(DCF_Base!$C$24:$L$24/(1+G16/100)^DCF_Base!$C$4:$L$4)+MAX(0,MIN(DCF_Base!$L$24*(1+Assumptions!C15/100)/((G16-Assumptions!C15)/100),Assumptions!C16*DCF_Base!$L$24))/(1+G16/100)^10-Assumptions!$B$4)/Assumptions!$B$3,"n/a")</f>
        <v/>
      </c>
    </row>
    <row r="19">
      <c r="A19" s="1" t="inlineStr">
        <is>
          <t>Sensitivity: WACC (rows) x terminal growth (cols), base case, NZD/share</t>
        </is>
      </c>
    </row>
    <row r="20">
      <c r="B20" s="6" t="n">
        <v>1.5</v>
      </c>
      <c r="C20" s="6" t="n">
        <v>2</v>
      </c>
      <c r="D20" s="6" t="n">
        <v>2.5</v>
      </c>
      <c r="E20" s="6" t="n">
        <v>3</v>
      </c>
      <c r="F20" s="6" t="n">
        <v>3.5</v>
      </c>
    </row>
    <row r="21">
      <c r="A21" s="6" t="n">
        <v>9</v>
      </c>
      <c r="B21" s="15">
        <f>IF($A21&gt;B$20,(SUMPRODUCT(DCF_Base!$C$24:$L$24/(1+$A21/100)^DCF_Base!$C$4:$L$4)+MAX(0,MIN(DCF_Base!$L$24*(1+B$20/100)/(($A21-B$20)/100),Assumptions!$C$16*DCF_Base!$L$24))/(1+$A21/100)^10-Assumptions!$B$4)/Assumptions!$B$3,"n/a")</f>
        <v/>
      </c>
      <c r="C21" s="15">
        <f>IF($A21&gt;C$20,(SUMPRODUCT(DCF_Base!$C$24:$L$24/(1+$A21/100)^DCF_Base!$C$4:$L$4)+MAX(0,MIN(DCF_Base!$L$24*(1+C$20/100)/(($A21-C$20)/100),Assumptions!$C$16*DCF_Base!$L$24))/(1+$A21/100)^10-Assumptions!$B$4)/Assumptions!$B$3,"n/a")</f>
        <v/>
      </c>
      <c r="D21" s="15">
        <f>IF($A21&gt;D$20,(SUMPRODUCT(DCF_Base!$C$24:$L$24/(1+$A21/100)^DCF_Base!$C$4:$L$4)+MAX(0,MIN(DCF_Base!$L$24*(1+D$20/100)/(($A21-D$20)/100),Assumptions!$C$16*DCF_Base!$L$24))/(1+$A21/100)^10-Assumptions!$B$4)/Assumptions!$B$3,"n/a")</f>
        <v/>
      </c>
      <c r="E21" s="15">
        <f>IF($A21&gt;E$20,(SUMPRODUCT(DCF_Base!$C$24:$L$24/(1+$A21/100)^DCF_Base!$C$4:$L$4)+MAX(0,MIN(DCF_Base!$L$24*(1+E$20/100)/(($A21-E$20)/100),Assumptions!$C$16*DCF_Base!$L$24))/(1+$A21/100)^10-Assumptions!$B$4)/Assumptions!$B$3,"n/a")</f>
        <v/>
      </c>
      <c r="F21" s="15">
        <f>IF($A21&gt;F$20,(SUMPRODUCT(DCF_Base!$C$24:$L$24/(1+$A21/100)^DCF_Base!$C$4:$L$4)+MAX(0,MIN(DCF_Base!$L$24*(1+F$20/100)/(($A21-F$20)/100),Assumptions!$C$16*DCF_Base!$L$24))/(1+$A21/100)^10-Assumptions!$B$4)/Assumptions!$B$3,"n/a")</f>
        <v/>
      </c>
    </row>
    <row r="22">
      <c r="A22" s="6" t="n">
        <v>10</v>
      </c>
      <c r="B22" s="15">
        <f>IF($A22&gt;B$20,(SUMPRODUCT(DCF_Base!$C$24:$L$24/(1+$A22/100)^DCF_Base!$C$4:$L$4)+MAX(0,MIN(DCF_Base!$L$24*(1+B$20/100)/(($A22-B$20)/100),Assumptions!$C$16*DCF_Base!$L$24))/(1+$A22/100)^10-Assumptions!$B$4)/Assumptions!$B$3,"n/a")</f>
        <v/>
      </c>
      <c r="C22" s="15">
        <f>IF($A22&gt;C$20,(SUMPRODUCT(DCF_Base!$C$24:$L$24/(1+$A22/100)^DCF_Base!$C$4:$L$4)+MAX(0,MIN(DCF_Base!$L$24*(1+C$20/100)/(($A22-C$20)/100),Assumptions!$C$16*DCF_Base!$L$24))/(1+$A22/100)^10-Assumptions!$B$4)/Assumptions!$B$3,"n/a")</f>
        <v/>
      </c>
      <c r="D22" s="15">
        <f>IF($A22&gt;D$20,(SUMPRODUCT(DCF_Base!$C$24:$L$24/(1+$A22/100)^DCF_Base!$C$4:$L$4)+MAX(0,MIN(DCF_Base!$L$24*(1+D$20/100)/(($A22-D$20)/100),Assumptions!$C$16*DCF_Base!$L$24))/(1+$A22/100)^10-Assumptions!$B$4)/Assumptions!$B$3,"n/a")</f>
        <v/>
      </c>
      <c r="E22" s="15">
        <f>IF($A22&gt;E$20,(SUMPRODUCT(DCF_Base!$C$24:$L$24/(1+$A22/100)^DCF_Base!$C$4:$L$4)+MAX(0,MIN(DCF_Base!$L$24*(1+E$20/100)/(($A22-E$20)/100),Assumptions!$C$16*DCF_Base!$L$24))/(1+$A22/100)^10-Assumptions!$B$4)/Assumptions!$B$3,"n/a")</f>
        <v/>
      </c>
      <c r="F22" s="15">
        <f>IF($A22&gt;F$20,(SUMPRODUCT(DCF_Base!$C$24:$L$24/(1+$A22/100)^DCF_Base!$C$4:$L$4)+MAX(0,MIN(DCF_Base!$L$24*(1+F$20/100)/(($A22-F$20)/100),Assumptions!$C$16*DCF_Base!$L$24))/(1+$A22/100)^10-Assumptions!$B$4)/Assumptions!$B$3,"n/a")</f>
        <v/>
      </c>
    </row>
    <row r="23">
      <c r="A23" s="6" t="n">
        <v>11</v>
      </c>
      <c r="B23" s="15">
        <f>IF($A23&gt;B$20,(SUMPRODUCT(DCF_Base!$C$24:$L$24/(1+$A23/100)^DCF_Base!$C$4:$L$4)+MAX(0,MIN(DCF_Base!$L$24*(1+B$20/100)/(($A23-B$20)/100),Assumptions!$C$16*DCF_Base!$L$24))/(1+$A23/100)^10-Assumptions!$B$4)/Assumptions!$B$3,"n/a")</f>
        <v/>
      </c>
      <c r="C23" s="15">
        <f>IF($A23&gt;C$20,(SUMPRODUCT(DCF_Base!$C$24:$L$24/(1+$A23/100)^DCF_Base!$C$4:$L$4)+MAX(0,MIN(DCF_Base!$L$24*(1+C$20/100)/(($A23-C$20)/100),Assumptions!$C$16*DCF_Base!$L$24))/(1+$A23/100)^10-Assumptions!$B$4)/Assumptions!$B$3,"n/a")</f>
        <v/>
      </c>
      <c r="D23" s="14">
        <f>IF($A23&gt;D$20,(SUMPRODUCT(DCF_Base!$C$24:$L$24/(1+$A23/100)^DCF_Base!$C$4:$L$4)+MAX(0,MIN(DCF_Base!$L$24*(1+D$20/100)/(($A23-D$20)/100),Assumptions!$C$16*DCF_Base!$L$24))/(1+$A23/100)^10-Assumptions!$B$4)/Assumptions!$B$3,"n/a")</f>
        <v/>
      </c>
      <c r="E23" s="15">
        <f>IF($A23&gt;E$20,(SUMPRODUCT(DCF_Base!$C$24:$L$24/(1+$A23/100)^DCF_Base!$C$4:$L$4)+MAX(0,MIN(DCF_Base!$L$24*(1+E$20/100)/(($A23-E$20)/100),Assumptions!$C$16*DCF_Base!$L$24))/(1+$A23/100)^10-Assumptions!$B$4)/Assumptions!$B$3,"n/a")</f>
        <v/>
      </c>
      <c r="F23" s="15">
        <f>IF($A23&gt;F$20,(SUMPRODUCT(DCF_Base!$C$24:$L$24/(1+$A23/100)^DCF_Base!$C$4:$L$4)+MAX(0,MIN(DCF_Base!$L$24*(1+F$20/100)/(($A23-F$20)/100),Assumptions!$C$16*DCF_Base!$L$24))/(1+$A23/100)^10-Assumptions!$B$4)/Assumptions!$B$3,"n/a")</f>
        <v/>
      </c>
    </row>
    <row r="24">
      <c r="A24" s="6" t="n">
        <v>12</v>
      </c>
      <c r="B24" s="15">
        <f>IF($A24&gt;B$20,(SUMPRODUCT(DCF_Base!$C$24:$L$24/(1+$A24/100)^DCF_Base!$C$4:$L$4)+MAX(0,MIN(DCF_Base!$L$24*(1+B$20/100)/(($A24-B$20)/100),Assumptions!$C$16*DCF_Base!$L$24))/(1+$A24/100)^10-Assumptions!$B$4)/Assumptions!$B$3,"n/a")</f>
        <v/>
      </c>
      <c r="C24" s="15">
        <f>IF($A24&gt;C$20,(SUMPRODUCT(DCF_Base!$C$24:$L$24/(1+$A24/100)^DCF_Base!$C$4:$L$4)+MAX(0,MIN(DCF_Base!$L$24*(1+C$20/100)/(($A24-C$20)/100),Assumptions!$C$16*DCF_Base!$L$24))/(1+$A24/100)^10-Assumptions!$B$4)/Assumptions!$B$3,"n/a")</f>
        <v/>
      </c>
      <c r="D24" s="15">
        <f>IF($A24&gt;D$20,(SUMPRODUCT(DCF_Base!$C$24:$L$24/(1+$A24/100)^DCF_Base!$C$4:$L$4)+MAX(0,MIN(DCF_Base!$L$24*(1+D$20/100)/(($A24-D$20)/100),Assumptions!$C$16*DCF_Base!$L$24))/(1+$A24/100)^10-Assumptions!$B$4)/Assumptions!$B$3,"n/a")</f>
        <v/>
      </c>
      <c r="E24" s="15">
        <f>IF($A24&gt;E$20,(SUMPRODUCT(DCF_Base!$C$24:$L$24/(1+$A24/100)^DCF_Base!$C$4:$L$4)+MAX(0,MIN(DCF_Base!$L$24*(1+E$20/100)/(($A24-E$20)/100),Assumptions!$C$16*DCF_Base!$L$24))/(1+$A24/100)^10-Assumptions!$B$4)/Assumptions!$B$3,"n/a")</f>
        <v/>
      </c>
      <c r="F24" s="15">
        <f>IF($A24&gt;F$20,(SUMPRODUCT(DCF_Base!$C$24:$L$24/(1+$A24/100)^DCF_Base!$C$4:$L$4)+MAX(0,MIN(DCF_Base!$L$24*(1+F$20/100)/(($A24-F$20)/100),Assumptions!$C$16*DCF_Base!$L$24))/(1+$A24/100)^10-Assumptions!$B$4)/Assumptions!$B$3,"n/a")</f>
        <v/>
      </c>
    </row>
    <row r="25">
      <c r="A25" s="6" t="n">
        <v>13</v>
      </c>
      <c r="B25" s="15">
        <f>IF($A25&gt;B$20,(SUMPRODUCT(DCF_Base!$C$24:$L$24/(1+$A25/100)^DCF_Base!$C$4:$L$4)+MAX(0,MIN(DCF_Base!$L$24*(1+B$20/100)/(($A25-B$20)/100),Assumptions!$C$16*DCF_Base!$L$24))/(1+$A25/100)^10-Assumptions!$B$4)/Assumptions!$B$3,"n/a")</f>
        <v/>
      </c>
      <c r="C25" s="15">
        <f>IF($A25&gt;C$20,(SUMPRODUCT(DCF_Base!$C$24:$L$24/(1+$A25/100)^DCF_Base!$C$4:$L$4)+MAX(0,MIN(DCF_Base!$L$24*(1+C$20/100)/(($A25-C$20)/100),Assumptions!$C$16*DCF_Base!$L$24))/(1+$A25/100)^10-Assumptions!$B$4)/Assumptions!$B$3,"n/a")</f>
        <v/>
      </c>
      <c r="D25" s="15">
        <f>IF($A25&gt;D$20,(SUMPRODUCT(DCF_Base!$C$24:$L$24/(1+$A25/100)^DCF_Base!$C$4:$L$4)+MAX(0,MIN(DCF_Base!$L$24*(1+D$20/100)/(($A25-D$20)/100),Assumptions!$C$16*DCF_Base!$L$24))/(1+$A25/100)^10-Assumptions!$B$4)/Assumptions!$B$3,"n/a")</f>
        <v/>
      </c>
      <c r="E25" s="15">
        <f>IF($A25&gt;E$20,(SUMPRODUCT(DCF_Base!$C$24:$L$24/(1+$A25/100)^DCF_Base!$C$4:$L$4)+MAX(0,MIN(DCF_Base!$L$24*(1+E$20/100)/(($A25-E$20)/100),Assumptions!$C$16*DCF_Base!$L$24))/(1+$A25/100)^10-Assumptions!$B$4)/Assumptions!$B$3,"n/a")</f>
        <v/>
      </c>
      <c r="F25" s="15">
        <f>IF($A25&gt;F$20,(SUMPRODUCT(DCF_Base!$C$24:$L$24/(1+$A25/100)^DCF_Base!$C$4:$L$4)+MAX(0,MIN(DCF_Base!$L$24*(1+F$20/100)/(($A25-F$20)/100),Assumptions!$C$16*DCF_Base!$L$24))/(1+$A25/100)^10-Assumptions!$B$4)/Assumptions!$B$3,"n/a")</f>
        <v/>
      </c>
    </row>
    <row r="27">
      <c r="A27" s="1" t="inlineStr">
        <is>
          <t>Memo: trade-sale reference -- 8x FY28E operating EBITDA (lease-inclusive) less lease liabilities scaled with revenue, less net debt bridge</t>
        </is>
      </c>
    </row>
    <row r="28">
      <c r="A28" t="inlineStr">
        <is>
          <t>Bear</t>
        </is>
      </c>
      <c r="B28" s="15">
        <f>(8*DCF_Bear!$D$8-17988*DCF_Bear!$D$6/Assumptions!$B$9-Assumptions!$B$4)/Assumptions!$B$3</f>
        <v/>
      </c>
    </row>
    <row r="29">
      <c r="A29" t="inlineStr">
        <is>
          <t>Base</t>
        </is>
      </c>
      <c r="B29" s="15">
        <f>(8*DCF_Base!$D$8-17988*DCF_Base!$D$6/Assumptions!$B$9-Assumptions!$B$4)/Assumptions!$B$3</f>
        <v/>
      </c>
    </row>
    <row r="30">
      <c r="A30" t="inlineStr">
        <is>
          <t>Bull</t>
        </is>
      </c>
      <c r="B30" s="15">
        <f>(8*DCF_Bull!$D$8-17988*DCF_Bull!$D$6/Assumptions!$B$9-Assumptions!$B$4)/Assumptions!$B$3</f>
        <v/>
      </c>
    </row>
    <row r="31">
      <c r="A31" t="inlineStr">
        <is>
          <t>Weighted (floored)</t>
        </is>
      </c>
      <c r="B31" s="15">
        <f t="array" ref="B31">SUMPRODUCT(IF(B28:B30&gt;0,B28:B30,0),D3:D5)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2026-09-20T09:52:06Z</dcterms:created>
  <dcterms:modified xsi:type="dcterms:W3CDTF">2026-09-20T09:52:06Z</dcterms:modified>
</cp:coreProperties>
</file>