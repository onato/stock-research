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<sst xmlns="http://schemas.openxmlformats.org/spreadsheetml/2006/main" count="388" uniqueCount="177">
  <si>
    <t xml:space="preserve">Ticker</t>
  </si>
  <si>
    <t xml:space="preserve">3099.T</t>
  </si>
  <si>
    <t xml:space="preserve">Company</t>
  </si>
  <si>
    <t xml:space="preserve">Isetan Mitsukoshi Holdings Ltd.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</si>
  <si>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</si>
  <si>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</si>
  <si>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</si>
  <si>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</si>
  <si>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2026-10-26T06:09:20Z regular session (TSE), post 2-for-1 split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</si>
  <si>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</si>
  <si>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</si>
  <si>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</si>
  <si>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</si>
  <si>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</si>
  <si>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JPY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</si>
  <si>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</si>
  <si>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</si>
  <si>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</si>
  <si>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</si>
  <si>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</si>
  <si>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</si>
  <si>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2026-10-26T06:30:48Z</t>
  </si>
  <si>
    <t xml:space="preserve">Drivers file</t>
  </si>
  <si>
    <t xml:space="preserve">3099.T_Drivers.json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</si>
  <si>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</si>
  <si>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</si>
  <si>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</si>
  <si>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Isetan Mitsukoshi is valued as a mature, cyclical operating company on fully-taxed owner free cash flow: operating profit less normalised cash tax, less the elevated remodel capex the mid-term plan commits to, with the investment-securities portfolio and the pension deficit handled in the bridge rather than in the flows. The FY2026 base year flatters twice -- an 18% cash tax rate on NOLs that are almost used up, and a one-off affiliate gain in net income -- so the model rebuilds FCF from components rather than carrying FY2026 forward, and it deliberately gives management only partial credit for the 100-110bn Phase II operating-profit target in the base case. Risk is charged once, in the scenario flows and the 25/50/25 weights, at a single 8% JPY WACC. The terminal multiple is capped at 14x FCF for a business that grows at ~1% in perpetuity; the market is currently paying ~21x trailing owner FCF and ~19x guided earnings, so the gap between model and price is largely the price of the inbound/luxury boom persisting and the machi-ka option.
key_risks_to_valuation: Inbound tourism / yen: overseas-customer sales are the swing factor in the margin path; FY2026 already showed a decline from the FY2025 record, and the bear case is a repeat with a harder landing; Cash tax normalisation is assumed fast (statutory by FY2029); if the group finds further shelter the base case is ~JPY40-60/share too low, if deferred-tax recoveries reverse it is slightly too high; Capex intensity: the ~100bn mid-term pool is modelled at 6.5-7% of revenue, but machi-ka redevelopment of the Shinjuku/Nihombashi blocks after FY2030 is excluded along with its returns -- a large real-estate build would make FCF negative for several years before paying back; Terminal multiple: the 14x FCF cap binds in base and bull; the market's current ~21x owner FCF implies either faster growth than modelled or a lower discount rate, and the model does not assume the re-rating persists; Equity-bridge assets: the securities portfolio (JPY45bn after haircut, ~JPY65/share) is carried at book for unlisted/equity-method stakes; its realisable value could differ materially either way; Revenue basis: FY2022's gross-to-net change means any external comparison of revenue growth or margins against pre-FY2022 figures is invalid; GMV (guided JPY1.36tn) is the like-for-like volume metric</t>
  </si>
  <si>
    <t xml:space="preserve">Data sources</t>
  </si>
  <si>
    <t xml:space="preserve">price: Yahoo Finance chart API at inputs.price_as_of (TSE regular session, post 2-for-1 split effective 2026-10-01); 52-week range 1127.75-2096.0 split-adjusted
financials: 3099.T_Metrics.csv (core_metrics, JPY millions) for FY2009-Q1 FY2027 history; Q1 FY2027 tanshin (3099.T_Quarterly_Q1-2027.txt) for the 2026-06-30 balance sheet, share count and split/buyback terms; FY2026 yuho (3099.T_Annual_FY2026.txt) for the tax-effect note, securities fair-value note, capex plan and remuneration table; FY2026 tanshin for the cash-flow statement component lines
qualitative: 3099.T_Analysis.json (2026-10-26): business model, FY2022 revenue-recognition break, FY2027 guidance, mid-term plan targets, bull/bear axes</t>
  </si>
  <si>
    <t xml:space="preserve">Scenario narrative: bear</t>
  </si>
  <si>
    <t xml:space="preserve">The FY2026 inbound dip was the warning, not the trough: a sustained yen rally or a Chinese travel-policy shock cuts duty-free and luxury volumes in FY2028-29 (revenue -1%/-2%), pricing power on the flagship floors fades and the EBITDA margin reverts to the FY2025 level of ~16.5% and stays there as regional-store decline and wage inflation offset the transformation gains. Growth settles at 0.5% and terminal growth at 0.5%. No solvency question -- net debt is ~0.3x EBITDA -- so this is an earnings-power bear, not a balance-sheet one.</t>
  </si>
  <si>
    <t xml:space="preserve">Scenario narrative: base</t>
  </si>
  <si>
    <t xml:space="preserve">Management delivers FY2027 guidance (revenue +3%, OP 84bn, capex ~39bn) and most but not all of the FY2025-2030 plan: the shift from mass store retailing to identified-customer / gaisho selling lifts the EBITDA margin from 19.1% to a 21% plateau by FY2032 (OP ~97bn in FY2030 against the 100-110bn Phase II target), while revenue growth decays from 3% to 1% as Japan's population shrinks and inbound spending stops compounding. Cash tax normalises from 18% to the 30.6% statutory rate by FY2029 as the post-COVID NOLs are used up, and capex runs at 6.5-7% of revenue through FY2029 for the Shinjuku remodels and DX before easing to 5.5%. The result is owner FCF dipping from JPY59bn (FY2026) to ~JPY48bn in FY2027-28 on the tax and capex step-ups, then rebuilding to ~JPY70bn by FY2036. Terminal value capped at 14x FCF (Gordon at 8%/1% would be 14.4x).</t>
  </si>
  <si>
    <t xml:space="preserve">Scenario narrative: bull</t>
  </si>
  <si>
    <t xml:space="preserve">The three axes all turn favourable: (1) inbound and HNW gaisho spending keep compounding (Q1 FY2027 identified-customer sales +6%, &gt;JPY3m customers +16%, overseas app members ~1.1m) so revenue grows 4-4.5% through FY2029; (2) the kokyakugyo mix shift and cost programme take the EBITDA margin to 22.5%, delivering the 100-110bn Phase II operating-profit target on time (OP ~115bn by FY2030 in this path); (3) the machi-ka real-estate stream starts contributing by FY2030 and supports 1.5% terminal growth. Same WACC, same 14x cap -- the upside is in the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</si>
  <si>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</si>
  <si>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</si>
  <si>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</si>
  <si>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</si>
  <si>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</si>
  <si>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</si>
  <si>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</si>
  <si>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</si>
  <si>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</si>
  <si>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</si>
  <si>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</si>
  <si>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</si>
  <si>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</si>
  <si>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</si>
  <si>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</si>
  <si>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</si>
  <si>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</si>
  <si>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</si>
  <si>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</si>
  <si>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</si>
  <si>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</si>
  <si>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</si>
  <si>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</si>
  <si>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</si>
  <si>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</si>
  <si>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</si>
  <si>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</si>
  <si>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BookValuePerShare</t>
  </si>
  <si>
    <t xml:space="preserve">EPSDiluted</t>
  </si>
  <si>
    <t xml:space="preserve">NetAssets</t>
  </si>
  <si>
    <t xml:space="preserve">OrdinaryIncome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</si>
  <si>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</si>
  <si>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</si>
  <si>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</si>
  <si>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</si>
  <si>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</si>
  <si>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</si>
  <si>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</si>
  <si>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</si>
  <si>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</si>
  <si>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</si>
  <si>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</si>
  <si>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</si>
  <si>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</si>
  <si>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</si>
  <si>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</si>
  <si>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</si>
  <si>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</si>
  <si>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</si>
  <si>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</si>
  <si>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</si>
  <si>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</si>
  <si>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</si>
  <si>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</si>
  <si>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</si>
  <si>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</si>
  <si>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</si>
  <si>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</si>
  <si>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</si>
  <si>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JPY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</si>
  <si>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</si>
  <si>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</si>
  <si>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</si>
  <si>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</si>
  <si>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</si>
  <si>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</si>
  <si>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</si>
  <si>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</si>
  <si>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</si>
  <si>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</si>
  <si>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</si>
  <si>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</si>
  <si>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</si>
  <si>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</si>
  <si>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</si>
  <si>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</si>
  <si>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</si>
  <si>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</si>
  <si>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</si>
  <si>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</si>
  <si>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</si>
  <si>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</si>
  <si>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</si>
  <si>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</si>
  <si>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</si>
  <si>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</si>
  <si>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3099.T owner-FCF component DCF: bear case (millions, JPY)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</si>
  <si>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</si>
  <si>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</si>
  <si>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</si>
  <si>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</si>
  <si>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</si>
  <si>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</si>
  <si>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</si>
  <si>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</si>
  <si>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</si>
  <si>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</si>
  <si>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</si>
  <si>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</si>
  <si>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</si>
  <si>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</si>
  <si>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</si>
  <si>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</si>
  <si>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</si>
  <si>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</si>
  <si>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</si>
  <si>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</si>
  <si>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</si>
  <si>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</si>
  <si>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</si>
  <si>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</si>
  <si>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</si>
  <si>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</si>
  <si>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</si>
  <si>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</si>
  <si>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</si>
  <si>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</si>
  <si>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3099.T owner-FCF component DCF: base case (millions, JPY)</t>
  </si>
  <si>
    <t xml:space="preserve">3099.T owner-FCF component DCF: bull case (millions, JPY)</t>
  </si>
  <si>
    <t xml:space="preserve">3099.T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</si>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</sst>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1794.5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1426684</v>
      </c>
      <c r="C2" s="0" t="n">
        <v>1029238</v>
      </c>
      <c r="D2" s="0" t="n">
        <v>397446</v>
      </c>
      <c r="E2" s="0" t="n">
        <v>27.9</v>
      </c>
      <c r="F2" s="0" t="n">
        <v>19582</v>
      </c>
      <c r="G2" s="0" t="n">
        <v>1.4</v>
      </c>
      <c r="H2" s="0" t="n">
        <v>44599</v>
      </c>
      <c r="I2" s="0" t="n">
        <v>4683</v>
      </c>
      <c r="J2" s="0" t="n">
        <v>0.3</v>
      </c>
      <c r="K2" s="0" t="n">
        <v>12.08</v>
      </c>
      <c r="L2" s="0" t="n">
        <v>18162</v>
      </c>
      <c r="M2" s="0" t="n">
        <v>31891</v>
      </c>
      <c r="N2" s="0" t="n">
        <v>-13729</v>
      </c>
      <c r="O2" s="0" t="n">
        <v>475369</v>
      </c>
      <c r="P2" s="0" t="n">
        <v>1351633</v>
      </c>
      <c r="Q2" s="0" t="n">
        <v>861892</v>
      </c>
      <c r="R2" s="0" t="n">
        <v>232842</v>
      </c>
      <c r="S2" s="0" t="n">
        <v>34749</v>
      </c>
      <c r="T2" s="0" t="n">
        <v>387.67</v>
      </c>
      <c r="U2" s="0" t="n">
        <v>329</v>
      </c>
      <c r="AA2" s="0" t="s">
        <v>17</v>
      </c>
      <c r="AB2" s="0" t="s">
        <v>14</v>
      </c>
      <c r="AC2" s="0" t="n">
        <v>1225.85</v>
      </c>
      <c r="AD2" s="0" t="n">
        <v>12.07</v>
      </c>
      <c r="AE2" s="0" t="n">
        <v>489740</v>
      </c>
      <c r="AF2" s="0" t="n">
        <v>35052</v>
      </c>
    </row>
    <row r="3" customFormat="false" ht="15" hidden="false" customHeight="false" outlineLevel="0" collapsed="false">
      <c r="A3" s="0" t="s">
        <v>68</v>
      </c>
      <c r="B3" s="0" t="n">
        <v>1291617</v>
      </c>
      <c r="C3" s="0" t="n">
        <v>930931</v>
      </c>
      <c r="D3" s="0" t="n">
        <v>360685</v>
      </c>
      <c r="E3" s="0" t="n">
        <v>27.9</v>
      </c>
      <c r="F3" s="0" t="n">
        <v>4177</v>
      </c>
      <c r="G3" s="0" t="n">
        <v>0.3</v>
      </c>
      <c r="H3" s="0" t="n">
        <v>29493</v>
      </c>
      <c r="I3" s="0" t="n">
        <v>-63521</v>
      </c>
      <c r="J3" s="0" t="n">
        <v>-4.9</v>
      </c>
      <c r="K3" s="0" t="n">
        <v>-162.51</v>
      </c>
      <c r="L3" s="0" t="n">
        <v>-3604</v>
      </c>
      <c r="M3" s="0" t="n">
        <v>26653</v>
      </c>
      <c r="N3" s="0" t="n">
        <v>-30257</v>
      </c>
      <c r="O3" s="0" t="n">
        <v>413861</v>
      </c>
      <c r="P3" s="0" t="n">
        <v>1238006</v>
      </c>
      <c r="Q3" s="0" t="n">
        <v>812885</v>
      </c>
      <c r="R3" s="0" t="n">
        <v>197283</v>
      </c>
      <c r="S3" s="0" t="n">
        <v>37366</v>
      </c>
      <c r="T3" s="0" t="n">
        <v>390.87</v>
      </c>
      <c r="U3" s="0" t="n">
        <v>299</v>
      </c>
      <c r="AA3" s="0" t="s">
        <v>17</v>
      </c>
      <c r="AB3" s="0" t="s">
        <v>14</v>
      </c>
      <c r="AC3" s="0" t="n">
        <v>1049.09</v>
      </c>
      <c r="AE3" s="0" t="n">
        <v>425120</v>
      </c>
      <c r="AF3" s="0" t="n">
        <v>19730</v>
      </c>
    </row>
    <row r="4" customFormat="false" ht="15" hidden="false" customHeight="false" outlineLevel="0" collapsed="false">
      <c r="A4" s="0" t="s">
        <v>69</v>
      </c>
      <c r="B4" s="0" t="n">
        <v>1220772</v>
      </c>
      <c r="C4" s="0" t="n">
        <v>878767</v>
      </c>
      <c r="D4" s="0" t="n">
        <v>342005</v>
      </c>
      <c r="E4" s="0" t="n">
        <v>28</v>
      </c>
      <c r="F4" s="0" t="n">
        <v>10993</v>
      </c>
      <c r="G4" s="0" t="n">
        <v>0.9</v>
      </c>
      <c r="H4" s="0" t="n">
        <v>35182</v>
      </c>
      <c r="I4" s="0" t="n">
        <v>2640</v>
      </c>
      <c r="J4" s="0" t="n">
        <v>0.2</v>
      </c>
      <c r="K4" s="0" t="n">
        <v>6.69</v>
      </c>
      <c r="L4" s="0" t="n">
        <v>33211</v>
      </c>
      <c r="M4" s="0" t="n">
        <v>32601</v>
      </c>
      <c r="N4" s="0" t="n">
        <v>610</v>
      </c>
      <c r="O4" s="0" t="n">
        <v>406501</v>
      </c>
      <c r="P4" s="0" t="n">
        <v>1237775</v>
      </c>
      <c r="Q4" s="0" t="n">
        <v>819622</v>
      </c>
      <c r="R4" s="0" t="n">
        <v>213925</v>
      </c>
      <c r="S4" s="0" t="n">
        <v>56649</v>
      </c>
      <c r="T4" s="0" t="n">
        <v>394.5</v>
      </c>
      <c r="U4" s="0" t="n">
        <v>299</v>
      </c>
      <c r="AA4" s="0" t="s">
        <v>17</v>
      </c>
      <c r="AB4" s="0" t="s">
        <v>14</v>
      </c>
      <c r="AC4" s="0" t="n">
        <v>1030.6</v>
      </c>
      <c r="AD4" s="0" t="n">
        <v>6.69</v>
      </c>
      <c r="AE4" s="0" t="n">
        <v>418152</v>
      </c>
      <c r="AF4" s="0" t="n">
        <v>27093</v>
      </c>
    </row>
    <row r="5" customFormat="false" ht="15" hidden="false" customHeight="false" outlineLevel="0" collapsed="false">
      <c r="A5" s="0" t="s">
        <v>70</v>
      </c>
      <c r="B5" s="0" t="n">
        <v>1239921</v>
      </c>
      <c r="C5" s="0" t="n">
        <v>892133</v>
      </c>
      <c r="D5" s="0" t="n">
        <v>347788</v>
      </c>
      <c r="E5" s="0" t="n">
        <v>28</v>
      </c>
      <c r="F5" s="0" t="n">
        <v>23834</v>
      </c>
      <c r="G5" s="0" t="n">
        <v>1.9</v>
      </c>
      <c r="H5" s="0" t="n">
        <v>47852</v>
      </c>
      <c r="I5" s="0" t="n">
        <v>58891</v>
      </c>
      <c r="J5" s="0" t="n">
        <v>4.7</v>
      </c>
      <c r="K5" s="0" t="n">
        <v>149.28</v>
      </c>
      <c r="L5" s="0" t="n">
        <v>57843</v>
      </c>
      <c r="M5" s="0" t="n">
        <v>19563</v>
      </c>
      <c r="N5" s="0" t="n">
        <v>38280</v>
      </c>
      <c r="O5" s="0" t="n">
        <v>456583</v>
      </c>
      <c r="P5" s="0" t="n">
        <v>1227947</v>
      </c>
      <c r="Q5" s="0" t="n">
        <v>759467</v>
      </c>
      <c r="R5" s="0" t="n">
        <v>173264</v>
      </c>
      <c r="S5" s="0" t="n">
        <v>53017</v>
      </c>
      <c r="T5" s="0" t="n">
        <v>394.5</v>
      </c>
      <c r="U5" s="0" t="n">
        <v>280</v>
      </c>
      <c r="AA5" s="0" t="s">
        <v>17</v>
      </c>
      <c r="AB5" s="0" t="s">
        <v>14</v>
      </c>
      <c r="AC5" s="0" t="n">
        <v>1157.37</v>
      </c>
      <c r="AD5" s="0" t="n">
        <v>149.03</v>
      </c>
      <c r="AE5" s="0" t="n">
        <v>468479</v>
      </c>
      <c r="AF5" s="0" t="n">
        <v>38452</v>
      </c>
    </row>
    <row r="6" customFormat="false" ht="15" hidden="false" customHeight="false" outlineLevel="0" collapsed="false">
      <c r="A6" s="0" t="s">
        <v>71</v>
      </c>
      <c r="B6" s="0" t="n">
        <v>1236333</v>
      </c>
      <c r="C6" s="0" t="n">
        <v>888923</v>
      </c>
      <c r="D6" s="0" t="n">
        <v>347410</v>
      </c>
      <c r="E6" s="0" t="n">
        <v>28.1</v>
      </c>
      <c r="F6" s="0" t="n">
        <v>26639</v>
      </c>
      <c r="G6" s="0" t="n">
        <v>2.2</v>
      </c>
      <c r="H6" s="0" t="n">
        <v>49999</v>
      </c>
      <c r="I6" s="0" t="n">
        <v>25292</v>
      </c>
      <c r="J6" s="0" t="n">
        <v>2</v>
      </c>
      <c r="K6" s="0" t="n">
        <v>64.11</v>
      </c>
      <c r="L6" s="0" t="n">
        <v>4438</v>
      </c>
      <c r="M6" s="0" t="n">
        <v>30751</v>
      </c>
      <c r="N6" s="0" t="n">
        <v>-26313</v>
      </c>
      <c r="O6" s="0" t="n">
        <v>491001</v>
      </c>
      <c r="P6" s="0" t="n">
        <v>1223677</v>
      </c>
      <c r="Q6" s="0" t="n">
        <v>718550</v>
      </c>
      <c r="R6" s="0" t="n">
        <v>181263</v>
      </c>
      <c r="S6" s="0" t="n">
        <v>35781</v>
      </c>
      <c r="T6" s="0" t="n">
        <v>394.51</v>
      </c>
      <c r="U6" s="0" t="n">
        <v>333</v>
      </c>
      <c r="AA6" s="0" t="s">
        <v>17</v>
      </c>
      <c r="AB6" s="0" t="s">
        <v>14</v>
      </c>
      <c r="AC6" s="0" t="n">
        <v>1244.54</v>
      </c>
      <c r="AD6" s="0" t="n">
        <v>63.95</v>
      </c>
      <c r="AE6" s="0" t="n">
        <v>505127</v>
      </c>
      <c r="AF6" s="0" t="n">
        <v>34217</v>
      </c>
    </row>
    <row r="7" customFormat="false" ht="15" hidden="false" customHeight="false" outlineLevel="0" collapsed="false">
      <c r="A7" s="0" t="s">
        <v>72</v>
      </c>
      <c r="B7" s="0" t="n">
        <v>1321512</v>
      </c>
      <c r="C7" s="0" t="n">
        <v>951489</v>
      </c>
      <c r="D7" s="0" t="n">
        <v>370022</v>
      </c>
      <c r="E7" s="0" t="n">
        <v>28</v>
      </c>
      <c r="F7" s="0" t="n">
        <v>34646</v>
      </c>
      <c r="G7" s="0" t="n">
        <v>2.6</v>
      </c>
      <c r="H7" s="0" t="n">
        <v>58384</v>
      </c>
      <c r="I7" s="0" t="n">
        <v>21166</v>
      </c>
      <c r="J7" s="0" t="n">
        <v>1.6</v>
      </c>
      <c r="K7" s="0" t="n">
        <v>53.65</v>
      </c>
      <c r="L7" s="0" t="n">
        <v>46022</v>
      </c>
      <c r="M7" s="0" t="n">
        <v>23598</v>
      </c>
      <c r="N7" s="0" t="n">
        <v>22424</v>
      </c>
      <c r="O7" s="0" t="n">
        <v>524591</v>
      </c>
      <c r="P7" s="0" t="n">
        <v>1284658</v>
      </c>
      <c r="Q7" s="0" t="n">
        <v>743588</v>
      </c>
      <c r="R7" s="0" t="n">
        <v>183285</v>
      </c>
      <c r="S7" s="0" t="n">
        <v>50601</v>
      </c>
      <c r="T7" s="0" t="n">
        <v>394.55</v>
      </c>
      <c r="U7" s="0" t="n">
        <v>276</v>
      </c>
      <c r="AA7" s="0" t="s">
        <v>17</v>
      </c>
      <c r="AB7" s="0" t="s">
        <v>14</v>
      </c>
      <c r="AC7" s="0" t="n">
        <v>1329.45</v>
      </c>
      <c r="AD7" s="0" t="n">
        <v>53.47</v>
      </c>
      <c r="AE7" s="0" t="n">
        <v>541069</v>
      </c>
      <c r="AF7" s="0" t="n">
        <v>38440</v>
      </c>
    </row>
    <row r="8" customFormat="false" ht="15" hidden="false" customHeight="false" outlineLevel="0" collapsed="false">
      <c r="A8" s="0" t="s">
        <v>73</v>
      </c>
      <c r="B8" s="0" t="n">
        <v>1272130</v>
      </c>
      <c r="C8" s="0" t="n">
        <v>916673</v>
      </c>
      <c r="D8" s="0" t="n">
        <v>355456</v>
      </c>
      <c r="E8" s="0" t="n">
        <v>27.9</v>
      </c>
      <c r="F8" s="0" t="n">
        <v>33083</v>
      </c>
      <c r="G8" s="0" t="n">
        <v>2.6</v>
      </c>
      <c r="H8" s="0" t="n">
        <v>57708</v>
      </c>
      <c r="I8" s="0" t="n">
        <v>29886</v>
      </c>
      <c r="J8" s="0" t="n">
        <v>2.3</v>
      </c>
      <c r="K8" s="0" t="n">
        <v>75.74</v>
      </c>
      <c r="L8" s="0" t="n">
        <v>49448</v>
      </c>
      <c r="M8" s="0" t="n">
        <v>34024</v>
      </c>
      <c r="N8" s="0" t="n">
        <v>15424</v>
      </c>
      <c r="O8" s="0" t="n">
        <v>560362</v>
      </c>
      <c r="P8" s="0" t="n">
        <v>1291560</v>
      </c>
      <c r="Q8" s="0" t="n">
        <v>713905</v>
      </c>
      <c r="R8" s="0" t="n">
        <v>160601</v>
      </c>
      <c r="S8" s="0" t="n">
        <v>50299</v>
      </c>
      <c r="T8" s="0" t="n">
        <v>394.57</v>
      </c>
      <c r="U8" s="0" t="n">
        <v>343</v>
      </c>
      <c r="AA8" s="0" t="s">
        <v>17</v>
      </c>
      <c r="AB8" s="0" t="s">
        <v>14</v>
      </c>
      <c r="AC8" s="0" t="n">
        <v>1421.72</v>
      </c>
      <c r="AD8" s="0" t="n">
        <v>75.47</v>
      </c>
      <c r="AE8" s="0" t="n">
        <v>577655</v>
      </c>
      <c r="AF8" s="0" t="n">
        <v>34563</v>
      </c>
    </row>
    <row r="9" customFormat="false" ht="15" hidden="false" customHeight="false" outlineLevel="0" collapsed="false">
      <c r="A9" s="0" t="s">
        <v>74</v>
      </c>
      <c r="B9" s="0" t="n">
        <v>1287253</v>
      </c>
      <c r="C9" s="0" t="n">
        <v>925484</v>
      </c>
      <c r="D9" s="0" t="n">
        <v>361768</v>
      </c>
      <c r="E9" s="0" t="n">
        <v>28.1</v>
      </c>
      <c r="F9" s="0" t="n">
        <v>33107</v>
      </c>
      <c r="G9" s="0" t="n">
        <v>2.6</v>
      </c>
      <c r="H9" s="0" t="n">
        <v>58201</v>
      </c>
      <c r="I9" s="0" t="n">
        <v>26506</v>
      </c>
      <c r="J9" s="0" t="n">
        <v>2.1</v>
      </c>
      <c r="K9" s="0" t="n">
        <v>67.41</v>
      </c>
      <c r="L9" s="0" t="n">
        <v>43099</v>
      </c>
      <c r="M9" s="0" t="n">
        <v>37561</v>
      </c>
      <c r="N9" s="0" t="n">
        <v>5538</v>
      </c>
      <c r="O9" s="0" t="n">
        <v>563264</v>
      </c>
      <c r="P9" s="0" t="n">
        <v>1293043</v>
      </c>
      <c r="Q9" s="0" t="n">
        <v>718727</v>
      </c>
      <c r="R9" s="0" t="n">
        <v>187871</v>
      </c>
      <c r="S9" s="0" t="n">
        <v>64238</v>
      </c>
      <c r="T9" s="0" t="n">
        <v>393.18</v>
      </c>
      <c r="U9" s="0" t="n">
        <v>238</v>
      </c>
      <c r="AA9" s="0" t="s">
        <v>17</v>
      </c>
      <c r="AB9" s="0" t="s">
        <v>14</v>
      </c>
      <c r="AC9" s="0" t="n">
        <v>1438.17</v>
      </c>
      <c r="AD9" s="0" t="n">
        <v>67.15</v>
      </c>
      <c r="AE9" s="0" t="n">
        <v>574316</v>
      </c>
      <c r="AF9" s="0" t="n">
        <v>36704</v>
      </c>
    </row>
    <row r="10" customFormat="false" ht="15" hidden="false" customHeight="false" outlineLevel="0" collapsed="false">
      <c r="A10" s="0" t="s">
        <v>75</v>
      </c>
      <c r="B10" s="0" t="n">
        <v>1253457</v>
      </c>
      <c r="C10" s="0" t="n">
        <v>887848</v>
      </c>
      <c r="D10" s="0" t="n">
        <v>365609</v>
      </c>
      <c r="E10" s="0" t="n">
        <v>29.2</v>
      </c>
      <c r="F10" s="0" t="n">
        <v>23935</v>
      </c>
      <c r="G10" s="0" t="n">
        <v>1.9</v>
      </c>
      <c r="H10" s="0" t="n">
        <v>50593</v>
      </c>
      <c r="I10" s="0" t="n">
        <v>14976</v>
      </c>
      <c r="J10" s="0" t="n">
        <v>1.2</v>
      </c>
      <c r="K10" s="0" t="n">
        <v>38.27</v>
      </c>
      <c r="L10" s="0" t="n">
        <v>35373</v>
      </c>
      <c r="M10" s="0" t="n">
        <v>31771</v>
      </c>
      <c r="N10" s="0" t="n">
        <v>3602</v>
      </c>
      <c r="O10" s="0" t="n">
        <v>568858</v>
      </c>
      <c r="P10" s="0" t="n">
        <v>1309777</v>
      </c>
      <c r="Q10" s="0" t="n">
        <v>729994</v>
      </c>
      <c r="R10" s="0" t="n">
        <v>186751</v>
      </c>
      <c r="S10" s="0" t="n">
        <v>60024</v>
      </c>
      <c r="T10" s="0" t="n">
        <v>391.36</v>
      </c>
      <c r="U10" s="0" t="n">
        <v>369</v>
      </c>
      <c r="AA10" s="0" t="s">
        <v>17</v>
      </c>
      <c r="AB10" s="0" t="s">
        <v>14</v>
      </c>
      <c r="AC10" s="0" t="n">
        <v>1460.32</v>
      </c>
      <c r="AD10" s="0" t="n">
        <v>38.11</v>
      </c>
      <c r="AE10" s="0" t="n">
        <v>579782</v>
      </c>
      <c r="AF10" s="0" t="n">
        <v>27418</v>
      </c>
    </row>
    <row r="11" customFormat="false" ht="15" hidden="false" customHeight="false" outlineLevel="0" collapsed="false">
      <c r="A11" s="0" t="s">
        <v>76</v>
      </c>
      <c r="B11" s="0" t="n">
        <v>1268865</v>
      </c>
      <c r="C11" s="0" t="n">
        <v>901583</v>
      </c>
      <c r="D11" s="0" t="n">
        <v>367282</v>
      </c>
      <c r="E11" s="0" t="n">
        <v>28.9</v>
      </c>
      <c r="F11" s="0" t="n">
        <v>24413</v>
      </c>
      <c r="G11" s="0" t="n">
        <v>1.9</v>
      </c>
      <c r="H11" s="0" t="n">
        <v>52728</v>
      </c>
      <c r="I11" s="0" t="n">
        <v>-960</v>
      </c>
      <c r="J11" s="0" t="n">
        <v>-0.1</v>
      </c>
      <c r="K11" s="0" t="n">
        <v>-2.47</v>
      </c>
      <c r="L11" s="0" t="n">
        <v>72972</v>
      </c>
      <c r="M11" s="0" t="n">
        <v>30296</v>
      </c>
      <c r="N11" s="0" t="n">
        <v>42676</v>
      </c>
      <c r="O11" s="0" t="n">
        <v>576396</v>
      </c>
      <c r="P11" s="0" t="n">
        <v>1284208</v>
      </c>
      <c r="Q11" s="0" t="n">
        <v>696116</v>
      </c>
      <c r="R11" s="0" t="n">
        <v>176972</v>
      </c>
      <c r="S11" s="0" t="n">
        <v>53969</v>
      </c>
      <c r="T11" s="0" t="n">
        <v>389.64</v>
      </c>
      <c r="U11" s="0" t="n">
        <v>346</v>
      </c>
      <c r="AA11" s="0" t="s">
        <v>17</v>
      </c>
      <c r="AB11" s="0" t="s">
        <v>14</v>
      </c>
      <c r="AC11" s="0" t="n">
        <v>1478.74</v>
      </c>
      <c r="AE11" s="0" t="n">
        <v>588091</v>
      </c>
      <c r="AF11" s="0" t="n">
        <v>27325</v>
      </c>
    </row>
    <row r="12" customFormat="false" ht="15" hidden="false" customHeight="false" outlineLevel="0" collapsed="false">
      <c r="A12" s="0" t="s">
        <v>77</v>
      </c>
      <c r="B12" s="0" t="n">
        <v>1196803</v>
      </c>
      <c r="C12" s="0" t="n">
        <v>848521</v>
      </c>
      <c r="D12" s="0" t="n">
        <v>348282</v>
      </c>
      <c r="E12" s="0" t="n">
        <v>29.1</v>
      </c>
      <c r="F12" s="0" t="n">
        <v>29229</v>
      </c>
      <c r="G12" s="0" t="n">
        <v>2.4</v>
      </c>
      <c r="H12" s="0" t="n">
        <v>57122</v>
      </c>
      <c r="I12" s="0" t="n">
        <v>13480</v>
      </c>
      <c r="J12" s="0" t="n">
        <v>1.1</v>
      </c>
      <c r="K12" s="0" t="n">
        <v>34.58</v>
      </c>
      <c r="L12" s="0" t="n">
        <v>28286</v>
      </c>
      <c r="M12" s="0" t="n">
        <v>58041</v>
      </c>
      <c r="N12" s="0" t="n">
        <v>-29755</v>
      </c>
      <c r="O12" s="0" t="n">
        <v>575531</v>
      </c>
      <c r="P12" s="0" t="n">
        <v>1247427</v>
      </c>
      <c r="Q12" s="0" t="n">
        <v>661711</v>
      </c>
      <c r="R12" s="0" t="n">
        <v>146746</v>
      </c>
      <c r="S12" s="0" t="n">
        <v>50147</v>
      </c>
      <c r="T12" s="0" t="n">
        <v>389.88</v>
      </c>
      <c r="U12" s="0" t="n">
        <v>273</v>
      </c>
      <c r="AA12" s="0" t="s">
        <v>17</v>
      </c>
      <c r="AB12" s="0" t="s">
        <v>14</v>
      </c>
      <c r="AC12" s="0" t="n">
        <v>1475.74</v>
      </c>
      <c r="AD12" s="0" t="n">
        <v>34.41</v>
      </c>
      <c r="AE12" s="0" t="n">
        <v>585715</v>
      </c>
      <c r="AF12" s="0" t="n">
        <v>31995</v>
      </c>
    </row>
    <row r="13" customFormat="false" ht="15" hidden="false" customHeight="false" outlineLevel="0" collapsed="false">
      <c r="A13" s="0" t="s">
        <v>78</v>
      </c>
      <c r="B13" s="0" t="n">
        <v>1119191</v>
      </c>
      <c r="C13" s="0" t="n">
        <v>796489</v>
      </c>
      <c r="D13" s="0" t="n">
        <v>322702</v>
      </c>
      <c r="E13" s="0" t="n">
        <v>28.8</v>
      </c>
      <c r="F13" s="0" t="n">
        <v>15679</v>
      </c>
      <c r="G13" s="0" t="n">
        <v>1.4</v>
      </c>
      <c r="H13" s="0" t="n">
        <v>45314</v>
      </c>
      <c r="I13" s="0" t="n">
        <v>-11187</v>
      </c>
      <c r="J13" s="0" t="n">
        <v>-1</v>
      </c>
      <c r="K13" s="0" t="n">
        <v>-28.9</v>
      </c>
      <c r="L13" s="0" t="n">
        <v>16281</v>
      </c>
      <c r="M13" s="0" t="n">
        <v>35010</v>
      </c>
      <c r="N13" s="0" t="n">
        <v>-18729</v>
      </c>
      <c r="O13" s="0" t="n">
        <v>542345</v>
      </c>
      <c r="P13" s="0" t="n">
        <v>1223800</v>
      </c>
      <c r="Q13" s="0" t="n">
        <v>673639</v>
      </c>
      <c r="R13" s="0" t="n">
        <v>175547</v>
      </c>
      <c r="S13" s="0" t="n">
        <v>76659</v>
      </c>
      <c r="T13" s="0" t="n">
        <v>387.16</v>
      </c>
      <c r="U13" s="0" t="n">
        <v>214</v>
      </c>
      <c r="AA13" s="0" t="s">
        <v>17</v>
      </c>
      <c r="AB13" s="0" t="s">
        <v>14</v>
      </c>
      <c r="AC13" s="0" t="n">
        <v>1426.61</v>
      </c>
      <c r="AE13" s="0" t="n">
        <v>550161</v>
      </c>
      <c r="AF13" s="0" t="n">
        <v>19771</v>
      </c>
    </row>
    <row r="14" customFormat="false" ht="15" hidden="false" customHeight="false" outlineLevel="0" collapsed="false">
      <c r="A14" s="0" t="s">
        <v>79</v>
      </c>
      <c r="B14" s="0" t="n">
        <v>816009</v>
      </c>
      <c r="C14" s="0" t="n">
        <v>588443</v>
      </c>
      <c r="D14" s="0" t="n">
        <v>227565</v>
      </c>
      <c r="E14" s="0" t="n">
        <v>27.9</v>
      </c>
      <c r="F14" s="0" t="n">
        <v>-20976</v>
      </c>
      <c r="G14" s="0" t="n">
        <v>-2.6</v>
      </c>
      <c r="H14" s="0" t="n">
        <v>6492</v>
      </c>
      <c r="I14" s="0" t="n">
        <v>-41078</v>
      </c>
      <c r="J14" s="0" t="n">
        <v>-5</v>
      </c>
      <c r="K14" s="0" t="n">
        <v>-107.96</v>
      </c>
      <c r="L14" s="0" t="n">
        <v>1197</v>
      </c>
      <c r="M14" s="0" t="n">
        <v>31121</v>
      </c>
      <c r="N14" s="0" t="n">
        <v>-29924</v>
      </c>
      <c r="O14" s="0" t="n">
        <v>501936</v>
      </c>
      <c r="P14" s="0" t="n">
        <v>1198303</v>
      </c>
      <c r="Q14" s="0" t="n">
        <v>690027</v>
      </c>
      <c r="R14" s="0" t="n">
        <v>208884</v>
      </c>
      <c r="S14" s="0" t="n">
        <v>102797</v>
      </c>
      <c r="T14" s="0" t="n">
        <v>380.51</v>
      </c>
      <c r="U14" s="0" t="n">
        <v>0</v>
      </c>
      <c r="AA14" s="0" t="s">
        <v>17</v>
      </c>
      <c r="AB14" s="0" t="s">
        <v>14</v>
      </c>
      <c r="AC14" s="0" t="n">
        <v>1317.23</v>
      </c>
      <c r="AE14" s="0" t="n">
        <v>508275</v>
      </c>
      <c r="AF14" s="0" t="n">
        <v>-17171</v>
      </c>
    </row>
    <row r="15" customFormat="false" ht="15" hidden="false" customHeight="false" outlineLevel="0" collapsed="false">
      <c r="A15" s="0" t="s">
        <v>80</v>
      </c>
      <c r="B15" s="0" t="n">
        <v>418338</v>
      </c>
      <c r="C15" s="0" t="n">
        <v>174653</v>
      </c>
      <c r="D15" s="0" t="n">
        <v>243685</v>
      </c>
      <c r="E15" s="0" t="n">
        <v>58.3</v>
      </c>
      <c r="F15" s="0" t="n">
        <v>5940</v>
      </c>
      <c r="G15" s="0" t="n">
        <v>1.4</v>
      </c>
      <c r="H15" s="0" t="n">
        <v>30794</v>
      </c>
      <c r="I15" s="0" t="n">
        <v>12338</v>
      </c>
      <c r="J15" s="0" t="n">
        <v>2.9</v>
      </c>
      <c r="K15" s="0" t="n">
        <v>32.36</v>
      </c>
      <c r="L15" s="0" t="n">
        <v>37914</v>
      </c>
      <c r="M15" s="0" t="n">
        <v>26811</v>
      </c>
      <c r="N15" s="0" t="n">
        <v>11103</v>
      </c>
      <c r="O15" s="0" t="n">
        <v>511796</v>
      </c>
      <c r="P15" s="0" t="n">
        <v>1168574</v>
      </c>
      <c r="Q15" s="0" t="n">
        <v>650914</v>
      </c>
      <c r="R15" s="0" t="n">
        <v>175145</v>
      </c>
      <c r="S15" s="0" t="n">
        <v>84472</v>
      </c>
      <c r="T15" s="0" t="n">
        <v>381.32</v>
      </c>
      <c r="U15" s="0" t="n">
        <v>0</v>
      </c>
      <c r="AA15" s="0" t="s">
        <v>17</v>
      </c>
      <c r="AB15" s="0" t="s">
        <v>14</v>
      </c>
      <c r="AC15" s="0" t="n">
        <v>1341.41</v>
      </c>
      <c r="AD15" s="0" t="n">
        <v>32.26</v>
      </c>
      <c r="AE15" s="0" t="n">
        <v>517660</v>
      </c>
      <c r="AF15" s="0" t="n">
        <v>9520</v>
      </c>
    </row>
    <row r="16" customFormat="false" ht="15" hidden="false" customHeight="false" outlineLevel="0" collapsed="false">
      <c r="A16" s="0" t="s">
        <v>81</v>
      </c>
      <c r="B16" s="0" t="n">
        <v>487407</v>
      </c>
      <c r="C16" s="0" t="n">
        <v>200857</v>
      </c>
      <c r="D16" s="0" t="n">
        <v>286550</v>
      </c>
      <c r="E16" s="0" t="n">
        <v>58.8</v>
      </c>
      <c r="F16" s="0" t="n">
        <v>29606</v>
      </c>
      <c r="G16" s="0" t="n">
        <v>6.1</v>
      </c>
      <c r="H16" s="0" t="n">
        <v>54595</v>
      </c>
      <c r="I16" s="0" t="n">
        <v>32377</v>
      </c>
      <c r="J16" s="0" t="n">
        <v>6.6</v>
      </c>
      <c r="K16" s="0" t="n">
        <v>84.82</v>
      </c>
      <c r="L16" s="0" t="n">
        <v>66301</v>
      </c>
      <c r="M16" s="0" t="n">
        <v>18289</v>
      </c>
      <c r="N16" s="0" t="n">
        <v>48012</v>
      </c>
      <c r="O16" s="0" t="n">
        <v>546120</v>
      </c>
      <c r="P16" s="0" t="n">
        <v>1217308</v>
      </c>
      <c r="Q16" s="0" t="n">
        <v>664788</v>
      </c>
      <c r="R16" s="0" t="n">
        <v>164868</v>
      </c>
      <c r="S16" s="0" t="n">
        <v>109039</v>
      </c>
      <c r="T16" s="0" t="n">
        <v>381.71</v>
      </c>
      <c r="U16" s="0" t="n">
        <v>0</v>
      </c>
      <c r="AA16" s="0" t="s">
        <v>17</v>
      </c>
      <c r="AB16" s="0" t="s">
        <v>14</v>
      </c>
      <c r="AC16" s="0" t="n">
        <v>1430.07</v>
      </c>
      <c r="AD16" s="0" t="n">
        <v>84.62</v>
      </c>
      <c r="AE16" s="0" t="n">
        <v>552519</v>
      </c>
      <c r="AF16" s="0" t="n">
        <v>30017</v>
      </c>
    </row>
    <row r="17" customFormat="false" ht="15" hidden="false" customHeight="false" outlineLevel="0" collapsed="false">
      <c r="A17" s="0" t="s">
        <v>82</v>
      </c>
      <c r="B17" s="0" t="n">
        <v>536441</v>
      </c>
      <c r="C17" s="0" t="n">
        <v>217504</v>
      </c>
      <c r="D17" s="0" t="n">
        <v>318937</v>
      </c>
      <c r="E17" s="0" t="n">
        <v>59.5</v>
      </c>
      <c r="F17" s="0" t="n">
        <v>54369</v>
      </c>
      <c r="G17" s="0" t="n">
        <v>10.1</v>
      </c>
      <c r="H17" s="0" t="n">
        <v>78678</v>
      </c>
      <c r="I17" s="0" t="n">
        <v>55580</v>
      </c>
      <c r="J17" s="0" t="n">
        <v>10.4</v>
      </c>
      <c r="K17" s="0" t="n">
        <v>145.79</v>
      </c>
      <c r="L17" s="0" t="n">
        <v>56895</v>
      </c>
      <c r="M17" s="0" t="n">
        <v>27475</v>
      </c>
      <c r="N17" s="0" t="n">
        <v>29420</v>
      </c>
      <c r="O17" s="0" t="n">
        <v>593918</v>
      </c>
      <c r="P17" s="0" t="n">
        <v>1225103</v>
      </c>
      <c r="Q17" s="0" t="n">
        <v>624278</v>
      </c>
      <c r="R17" s="0" t="n">
        <v>130754</v>
      </c>
      <c r="S17" s="0" t="n">
        <v>72390</v>
      </c>
      <c r="T17" s="0" t="n">
        <v>381.24</v>
      </c>
      <c r="U17" s="0" t="n">
        <v>0</v>
      </c>
      <c r="AA17" s="0" t="s">
        <v>17</v>
      </c>
      <c r="AB17" s="0" t="s">
        <v>14</v>
      </c>
      <c r="AC17" s="0" t="n">
        <v>1582.36</v>
      </c>
      <c r="AD17" s="0" t="n">
        <v>145.53</v>
      </c>
      <c r="AE17" s="0" t="n">
        <v>600824</v>
      </c>
      <c r="AF17" s="0" t="n">
        <v>59877</v>
      </c>
    </row>
    <row r="18" customFormat="false" ht="15" hidden="false" customHeight="false" outlineLevel="0" collapsed="false">
      <c r="A18" s="0" t="s">
        <v>83</v>
      </c>
      <c r="B18" s="0" t="n">
        <v>555517</v>
      </c>
      <c r="C18" s="0" t="n">
        <v>217841</v>
      </c>
      <c r="D18" s="0" t="n">
        <v>337675</v>
      </c>
      <c r="E18" s="0" t="n">
        <v>60.8</v>
      </c>
      <c r="F18" s="0" t="n">
        <v>76313</v>
      </c>
      <c r="G18" s="0" t="n">
        <v>13.7</v>
      </c>
      <c r="H18" s="0" t="n">
        <v>100526</v>
      </c>
      <c r="I18" s="0" t="n">
        <v>52814</v>
      </c>
      <c r="J18" s="0" t="n">
        <v>9.5</v>
      </c>
      <c r="K18" s="0" t="n">
        <v>142.42</v>
      </c>
      <c r="L18" s="0" t="n">
        <v>89564</v>
      </c>
      <c r="M18" s="0" t="n">
        <v>27161</v>
      </c>
      <c r="N18" s="0" t="n">
        <v>62403</v>
      </c>
      <c r="O18" s="0" t="n">
        <v>601547</v>
      </c>
      <c r="P18" s="0" t="n">
        <v>1205726</v>
      </c>
      <c r="Q18" s="0" t="n">
        <v>602847</v>
      </c>
      <c r="R18" s="0" t="n">
        <v>111329</v>
      </c>
      <c r="S18" s="0" t="n">
        <v>41834</v>
      </c>
      <c r="T18" s="0" t="n">
        <v>370.84</v>
      </c>
      <c r="U18" s="0" t="n">
        <v>0</v>
      </c>
      <c r="AA18" s="0" t="s">
        <v>17</v>
      </c>
      <c r="AB18" s="0" t="s">
        <v>14</v>
      </c>
      <c r="AC18" s="0" t="n">
        <v>1646.23</v>
      </c>
      <c r="AD18" s="0" t="n">
        <v>142.27</v>
      </c>
      <c r="AE18" s="0" t="n">
        <v>602878</v>
      </c>
      <c r="AF18" s="0" t="n">
        <v>88123</v>
      </c>
    </row>
    <row r="19" customFormat="false" ht="15" hidden="false" customHeight="false" outlineLevel="0" collapsed="false">
      <c r="A19" s="0" t="s">
        <v>84</v>
      </c>
      <c r="B19" s="0" t="n">
        <v>545626</v>
      </c>
      <c r="C19" s="0" t="n">
        <v>208904</v>
      </c>
      <c r="D19" s="0" t="n">
        <v>336722</v>
      </c>
      <c r="E19" s="0" t="n">
        <v>61.7</v>
      </c>
      <c r="F19" s="0" t="n">
        <v>80020</v>
      </c>
      <c r="G19" s="0" t="n">
        <v>14.7</v>
      </c>
      <c r="H19" s="0" t="n">
        <v>104450</v>
      </c>
      <c r="I19" s="0" t="n">
        <v>76096</v>
      </c>
      <c r="J19" s="0" t="n">
        <v>13.9</v>
      </c>
      <c r="K19" s="0" t="n">
        <v>213.96</v>
      </c>
      <c r="L19" s="0" t="n">
        <v>90655</v>
      </c>
      <c r="M19" s="0" t="n">
        <v>30689</v>
      </c>
      <c r="N19" s="0" t="n">
        <v>59966</v>
      </c>
      <c r="O19" s="0" t="n">
        <v>618932</v>
      </c>
      <c r="P19" s="0" t="n">
        <v>1217975</v>
      </c>
      <c r="Q19" s="0" t="n">
        <v>597818</v>
      </c>
      <c r="R19" s="0" t="n">
        <v>68233</v>
      </c>
      <c r="S19" s="0" t="n">
        <v>77343</v>
      </c>
      <c r="T19" s="0" t="n">
        <v>355.65</v>
      </c>
      <c r="U19" s="0" t="n">
        <v>0</v>
      </c>
      <c r="AA19" s="0" t="s">
        <v>17</v>
      </c>
      <c r="AB19" s="0" t="s">
        <v>14</v>
      </c>
      <c r="AC19" s="0" t="n">
        <v>1764.68</v>
      </c>
      <c r="AD19" s="0" t="n">
        <v>213.79</v>
      </c>
      <c r="AE19" s="0" t="n">
        <v>620156</v>
      </c>
      <c r="AF19" s="0" t="n">
        <v>86587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85</v>
      </c>
      <c r="B1" s="2" t="s">
        <v>86</v>
      </c>
    </row>
    <row r="2" customFormat="false" ht="15" hidden="false" customHeight="false" outlineLevel="0" collapsed="false">
      <c r="A2" s="0" t="s">
        <v>87</v>
      </c>
      <c r="B2" s="3" t="n">
        <v>1794.5</v>
      </c>
    </row>
    <row r="3" customFormat="false" ht="15" hidden="false" customHeight="false" outlineLevel="0" collapsed="false">
      <c r="A3" s="0" t="s">
        <v>88</v>
      </c>
      <c r="B3" s="3" t="n">
        <v>698</v>
      </c>
    </row>
    <row r="4" customFormat="false" ht="15" hidden="false" customHeight="false" outlineLevel="0" collapsed="false">
      <c r="A4" s="0" t="s">
        <v>89</v>
      </c>
      <c r="B4" s="3" t="n">
        <v>28919</v>
      </c>
    </row>
    <row r="5" customFormat="false" ht="15" hidden="false" customHeight="false" outlineLevel="0" collapsed="false">
      <c r="A5" s="0" t="s">
        <v>90</v>
      </c>
      <c r="B5" s="3" t="n">
        <v>26089</v>
      </c>
    </row>
    <row r="6" customFormat="false" ht="15" hidden="false" customHeight="false" outlineLevel="0" collapsed="false">
      <c r="A6" s="0" t="s">
        <v>91</v>
      </c>
      <c r="B6" s="3" t="n">
        <v>15</v>
      </c>
    </row>
    <row r="7" customFormat="false" ht="15" hidden="false" customHeight="false" outlineLevel="0" collapsed="false">
      <c r="A7" s="0" t="s">
        <v>92</v>
      </c>
      <c r="B7" s="3" t="n">
        <v>545626</v>
      </c>
    </row>
    <row r="8" customFormat="false" ht="15" hidden="false" customHeight="false" outlineLevel="0" collapsed="false">
      <c r="A8" s="0" t="s">
        <v>93</v>
      </c>
      <c r="B8" s="3" t="s">
        <v>84</v>
      </c>
    </row>
    <row r="9" customFormat="false" ht="15" hidden="false" customHeight="false" outlineLevel="0" collapsed="false">
      <c r="A9" s="0" t="s">
        <v>94</v>
      </c>
      <c r="B9" s="3" t="s">
        <v>95</v>
      </c>
    </row>
    <row r="10" customFormat="false" ht="15" hidden="false" customHeight="false" outlineLevel="0" collapsed="false">
      <c r="A10" s="0" t="s">
        <v>96</v>
      </c>
      <c r="B10" s="3" t="n">
        <v>1</v>
      </c>
    </row>
    <row r="12" customFormat="false" ht="15" hidden="false" customHeight="false" outlineLevel="0" collapsed="false">
      <c r="A12" s="2" t="s">
        <v>97</v>
      </c>
      <c r="C12" s="2" t="s">
        <v>98</v>
      </c>
      <c r="D12" s="2" t="s">
        <v>99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  <c r="L12" s="2" t="s">
        <v>107</v>
      </c>
    </row>
    <row r="13" customFormat="false" ht="15" hidden="false" customHeight="false" outlineLevel="0" collapsed="false">
      <c r="A13" s="0" t="s">
        <v>108</v>
      </c>
      <c r="C13" s="3" t="n">
        <v>1.5</v>
      </c>
      <c r="D13" s="3" t="n">
        <v>-1</v>
      </c>
      <c r="E13" s="3" t="n">
        <v>-2</v>
      </c>
      <c r="F13" s="3" t="n">
        <v>0</v>
      </c>
      <c r="G13" s="3" t="n">
        <v>0.5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109</v>
      </c>
      <c r="C14" s="3" t="n">
        <v>18.8</v>
      </c>
      <c r="D14" s="3" t="n">
        <v>17.5</v>
      </c>
      <c r="E14" s="3" t="n">
        <v>16.5</v>
      </c>
      <c r="F14" s="3" t="n">
        <v>16.5</v>
      </c>
      <c r="G14" s="3" t="n">
        <v>16.5</v>
      </c>
      <c r="H14" s="3" t="n">
        <v>16.5</v>
      </c>
      <c r="I14" s="3" t="n">
        <v>16.5</v>
      </c>
      <c r="J14" s="3" t="n">
        <v>16.5</v>
      </c>
      <c r="K14" s="3" t="n">
        <v>16.5</v>
      </c>
      <c r="L14" s="3" t="n">
        <v>16.5</v>
      </c>
    </row>
    <row r="15" customFormat="false" ht="15" hidden="false" customHeight="false" outlineLevel="0" collapsed="false">
      <c r="A15" s="0" t="s">
        <v>110</v>
      </c>
      <c r="C15" s="3" t="n">
        <v>0.065</v>
      </c>
      <c r="D15" s="3" t="n">
        <v>0.065</v>
      </c>
      <c r="E15" s="3" t="n">
        <v>0.065</v>
      </c>
      <c r="F15" s="3" t="n">
        <v>0.065</v>
      </c>
      <c r="G15" s="3" t="n">
        <v>0.065</v>
      </c>
      <c r="H15" s="3" t="n">
        <v>0.065</v>
      </c>
      <c r="I15" s="3" t="n">
        <v>0.065</v>
      </c>
      <c r="J15" s="3" t="n">
        <v>0.065</v>
      </c>
      <c r="K15" s="3" t="n">
        <v>0.065</v>
      </c>
      <c r="L15" s="3" t="n">
        <v>0.065</v>
      </c>
    </row>
    <row r="16" customFormat="false" ht="15" hidden="false" customHeight="false" outlineLevel="0" collapsed="false">
      <c r="A16" s="0" t="s">
        <v>111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112</v>
      </c>
      <c r="C17" s="3" t="n">
        <v>4.5</v>
      </c>
      <c r="D17" s="3" t="n">
        <v>4.6</v>
      </c>
      <c r="E17" s="3" t="n">
        <v>4.7</v>
      </c>
      <c r="F17" s="3" t="n">
        <v>4.8</v>
      </c>
      <c r="G17" s="3" t="n">
        <v>4.9</v>
      </c>
      <c r="H17" s="3" t="n">
        <v>5</v>
      </c>
      <c r="I17" s="3" t="n">
        <v>5</v>
      </c>
      <c r="J17" s="3" t="n">
        <v>5</v>
      </c>
      <c r="K17" s="3" t="n">
        <v>5</v>
      </c>
      <c r="L17" s="3" t="n">
        <v>5</v>
      </c>
    </row>
    <row r="18" customFormat="false" ht="15" hidden="false" customHeight="false" outlineLevel="0" collapsed="false">
      <c r="A18" s="0" t="s">
        <v>113</v>
      </c>
      <c r="C18" s="3" t="n">
        <v>6.9</v>
      </c>
      <c r="D18" s="3" t="n">
        <v>6.5</v>
      </c>
      <c r="E18" s="3" t="n">
        <v>6</v>
      </c>
      <c r="F18" s="3" t="n">
        <v>5.5</v>
      </c>
      <c r="G18" s="3" t="n">
        <v>5.5</v>
      </c>
      <c r="H18" s="3" t="n">
        <v>5.5</v>
      </c>
      <c r="I18" s="3" t="n">
        <v>5.5</v>
      </c>
      <c r="J18" s="3" t="n">
        <v>5.5</v>
      </c>
      <c r="K18" s="3" t="n">
        <v>5.5</v>
      </c>
      <c r="L18" s="3" t="n">
        <v>5.5</v>
      </c>
    </row>
    <row r="19" customFormat="false" ht="15" hidden="false" customHeight="false" outlineLevel="0" collapsed="false">
      <c r="A19" s="0" t="s">
        <v>114</v>
      </c>
      <c r="C19" s="3" t="n">
        <v>26</v>
      </c>
      <c r="D19" s="3" t="n">
        <v>29</v>
      </c>
      <c r="E19" s="3" t="n">
        <v>30.6</v>
      </c>
      <c r="F19" s="3" t="n">
        <v>30.6</v>
      </c>
      <c r="G19" s="3" t="n">
        <v>30.6</v>
      </c>
      <c r="H19" s="3" t="n">
        <v>30.6</v>
      </c>
      <c r="I19" s="3" t="n">
        <v>30.6</v>
      </c>
      <c r="J19" s="3" t="n">
        <v>30.6</v>
      </c>
      <c r="K19" s="3" t="n">
        <v>30.6</v>
      </c>
      <c r="L19" s="3" t="n">
        <v>30.6</v>
      </c>
    </row>
    <row r="20" customFormat="false" ht="15" hidden="false" customHeight="false" outlineLevel="0" collapsed="false">
      <c r="A20" s="0" t="s">
        <v>115</v>
      </c>
      <c r="B20" s="3" t="n">
        <v>8</v>
      </c>
    </row>
    <row r="21" customFormat="false" ht="15" hidden="false" customHeight="false" outlineLevel="0" collapsed="false">
      <c r="A21" s="0" t="s">
        <v>116</v>
      </c>
      <c r="B21" s="3" t="n">
        <v>0.5</v>
      </c>
    </row>
    <row r="22" customFormat="false" ht="15" hidden="false" customHeight="false" outlineLevel="0" collapsed="false">
      <c r="A22" s="0" t="s">
        <v>117</v>
      </c>
      <c r="B22" s="3" t="n">
        <v>14</v>
      </c>
    </row>
    <row r="23" customFormat="false" ht="15" hidden="false" customHeight="false" outlineLevel="0" collapsed="false">
      <c r="A23" s="0" t="s">
        <v>118</v>
      </c>
      <c r="B23" s="3" t="n">
        <v>0</v>
      </c>
    </row>
    <row r="24" customFormat="false" ht="15" hidden="false" customHeight="false" outlineLevel="0" collapsed="false">
      <c r="A24" s="0" t="s">
        <v>119</v>
      </c>
      <c r="B24" s="3" t="n">
        <v>0.25</v>
      </c>
    </row>
    <row r="26" customFormat="false" ht="15" hidden="false" customHeight="false" outlineLevel="0" collapsed="false">
      <c r="A26" s="2" t="s">
        <v>120</v>
      </c>
      <c r="C26" s="2" t="s">
        <v>98</v>
      </c>
      <c r="D26" s="2" t="s">
        <v>99</v>
      </c>
      <c r="E26" s="2" t="s">
        <v>100</v>
      </c>
      <c r="F26" s="2" t="s">
        <v>101</v>
      </c>
      <c r="G26" s="2" t="s">
        <v>102</v>
      </c>
      <c r="H26" s="2" t="s">
        <v>103</v>
      </c>
      <c r="I26" s="2" t="s">
        <v>104</v>
      </c>
      <c r="J26" s="2" t="s">
        <v>105</v>
      </c>
      <c r="K26" s="2" t="s">
        <v>106</v>
      </c>
      <c r="L26" s="2" t="s">
        <v>107</v>
      </c>
    </row>
    <row r="27" customFormat="false" ht="15" hidden="false" customHeight="false" outlineLevel="0" collapsed="false">
      <c r="A27" s="0" t="s">
        <v>108</v>
      </c>
      <c r="C27" s="3" t="n">
        <v>3</v>
      </c>
      <c r="D27" s="3" t="n">
        <v>3</v>
      </c>
      <c r="E27" s="3" t="n">
        <v>2.5</v>
      </c>
      <c r="F27" s="3" t="n">
        <v>2.5</v>
      </c>
      <c r="G27" s="3" t="n">
        <v>2</v>
      </c>
      <c r="H27" s="3" t="n">
        <v>2</v>
      </c>
      <c r="I27" s="3" t="n">
        <v>1.5</v>
      </c>
      <c r="J27" s="3" t="n">
        <v>1.5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109</v>
      </c>
      <c r="C28" s="3" t="n">
        <v>19.4</v>
      </c>
      <c r="D28" s="3" t="n">
        <v>19.8</v>
      </c>
      <c r="E28" s="3" t="n">
        <v>20.2</v>
      </c>
      <c r="F28" s="3" t="n">
        <v>20.5</v>
      </c>
      <c r="G28" s="3" t="n">
        <v>20.8</v>
      </c>
      <c r="H28" s="3" t="n">
        <v>21</v>
      </c>
      <c r="I28" s="3" t="n">
        <v>21</v>
      </c>
      <c r="J28" s="3" t="n">
        <v>21</v>
      </c>
      <c r="K28" s="3" t="n">
        <v>21</v>
      </c>
      <c r="L28" s="3" t="n">
        <v>21</v>
      </c>
    </row>
    <row r="29" customFormat="false" ht="15" hidden="false" customHeight="false" outlineLevel="0" collapsed="false">
      <c r="A29" s="0" t="s">
        <v>110</v>
      </c>
      <c r="C29" s="3" t="n">
        <v>0.065</v>
      </c>
      <c r="D29" s="3" t="n">
        <v>0.065</v>
      </c>
      <c r="E29" s="3" t="n">
        <v>0.065</v>
      </c>
      <c r="F29" s="3" t="n">
        <v>0.065</v>
      </c>
      <c r="G29" s="3" t="n">
        <v>0.065</v>
      </c>
      <c r="H29" s="3" t="n">
        <v>0.065</v>
      </c>
      <c r="I29" s="3" t="n">
        <v>0.065</v>
      </c>
      <c r="J29" s="3" t="n">
        <v>0.065</v>
      </c>
      <c r="K29" s="3" t="n">
        <v>0.065</v>
      </c>
      <c r="L29" s="3" t="n">
        <v>0.065</v>
      </c>
    </row>
    <row r="30" customFormat="false" ht="15" hidden="false" customHeight="false" outlineLevel="0" collapsed="false">
      <c r="A30" s="0" t="s">
        <v>111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112</v>
      </c>
      <c r="C31" s="3" t="n">
        <v>4.5</v>
      </c>
      <c r="D31" s="3" t="n">
        <v>4.6</v>
      </c>
      <c r="E31" s="3" t="n">
        <v>4.7</v>
      </c>
      <c r="F31" s="3" t="n">
        <v>4.8</v>
      </c>
      <c r="G31" s="3" t="n">
        <v>4.9</v>
      </c>
      <c r="H31" s="3" t="n">
        <v>5</v>
      </c>
      <c r="I31" s="3" t="n">
        <v>5</v>
      </c>
      <c r="J31" s="3" t="n">
        <v>5</v>
      </c>
      <c r="K31" s="3" t="n">
        <v>5</v>
      </c>
      <c r="L31" s="3" t="n">
        <v>5</v>
      </c>
    </row>
    <row r="32" customFormat="false" ht="15" hidden="false" customHeight="false" outlineLevel="0" collapsed="false">
      <c r="A32" s="0" t="s">
        <v>113</v>
      </c>
      <c r="C32" s="3" t="n">
        <v>6.9</v>
      </c>
      <c r="D32" s="3" t="n">
        <v>6.8</v>
      </c>
      <c r="E32" s="3" t="n">
        <v>6.5</v>
      </c>
      <c r="F32" s="3" t="n">
        <v>6</v>
      </c>
      <c r="G32" s="3" t="n">
        <v>5.75</v>
      </c>
      <c r="H32" s="3" t="n">
        <v>5.5</v>
      </c>
      <c r="I32" s="3" t="n">
        <v>5.5</v>
      </c>
      <c r="J32" s="3" t="n">
        <v>5.5</v>
      </c>
      <c r="K32" s="3" t="n">
        <v>5.5</v>
      </c>
      <c r="L32" s="3" t="n">
        <v>5.5</v>
      </c>
    </row>
    <row r="33" customFormat="false" ht="15" hidden="false" customHeight="false" outlineLevel="0" collapsed="false">
      <c r="A33" s="0" t="s">
        <v>114</v>
      </c>
      <c r="C33" s="3" t="n">
        <v>26</v>
      </c>
      <c r="D33" s="3" t="n">
        <v>29</v>
      </c>
      <c r="E33" s="3" t="n">
        <v>30.6</v>
      </c>
      <c r="F33" s="3" t="n">
        <v>30.6</v>
      </c>
      <c r="G33" s="3" t="n">
        <v>30.6</v>
      </c>
      <c r="H33" s="3" t="n">
        <v>30.6</v>
      </c>
      <c r="I33" s="3" t="n">
        <v>30.6</v>
      </c>
      <c r="J33" s="3" t="n">
        <v>30.6</v>
      </c>
      <c r="K33" s="3" t="n">
        <v>30.6</v>
      </c>
      <c r="L33" s="3" t="n">
        <v>30.6</v>
      </c>
    </row>
    <row r="34" customFormat="false" ht="15" hidden="false" customHeight="false" outlineLevel="0" collapsed="false">
      <c r="A34" s="0" t="s">
        <v>115</v>
      </c>
      <c r="B34" s="3" t="n">
        <v>8</v>
      </c>
    </row>
    <row r="35" customFormat="false" ht="15" hidden="false" customHeight="false" outlineLevel="0" collapsed="false">
      <c r="A35" s="0" t="s">
        <v>116</v>
      </c>
      <c r="B35" s="3" t="n">
        <v>1</v>
      </c>
    </row>
    <row r="36" customFormat="false" ht="15" hidden="false" customHeight="false" outlineLevel="0" collapsed="false">
      <c r="A36" s="0" t="s">
        <v>117</v>
      </c>
      <c r="B36" s="3" t="n">
        <v>14</v>
      </c>
    </row>
    <row r="37" customFormat="false" ht="15" hidden="false" customHeight="false" outlineLevel="0" collapsed="false">
      <c r="A37" s="0" t="s">
        <v>118</v>
      </c>
      <c r="B37" s="3" t="n">
        <v>0</v>
      </c>
    </row>
    <row r="38" customFormat="false" ht="15" hidden="false" customHeight="false" outlineLevel="0" collapsed="false">
      <c r="A38" s="0" t="s">
        <v>119</v>
      </c>
      <c r="B38" s="3" t="n">
        <v>0.5</v>
      </c>
    </row>
    <row r="40" customFormat="false" ht="15" hidden="false" customHeight="false" outlineLevel="0" collapsed="false">
      <c r="A40" s="2" t="s">
        <v>121</v>
      </c>
      <c r="C40" s="2" t="s">
        <v>98</v>
      </c>
      <c r="D40" s="2" t="s">
        <v>99</v>
      </c>
      <c r="E40" s="2" t="s">
        <v>100</v>
      </c>
      <c r="F40" s="2" t="s">
        <v>101</v>
      </c>
      <c r="G40" s="2" t="s">
        <v>102</v>
      </c>
      <c r="H40" s="2" t="s">
        <v>103</v>
      </c>
      <c r="I40" s="2" t="s">
        <v>104</v>
      </c>
      <c r="J40" s="2" t="s">
        <v>105</v>
      </c>
      <c r="K40" s="2" t="s">
        <v>106</v>
      </c>
      <c r="L40" s="2" t="s">
        <v>107</v>
      </c>
    </row>
    <row r="41" customFormat="false" ht="15" hidden="false" customHeight="false" outlineLevel="0" collapsed="false">
      <c r="A41" s="0" t="s">
        <v>108</v>
      </c>
      <c r="C41" s="3" t="n">
        <v>4.5</v>
      </c>
      <c r="D41" s="3" t="n">
        <v>4.5</v>
      </c>
      <c r="E41" s="3" t="n">
        <v>4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109</v>
      </c>
      <c r="C42" s="3" t="n">
        <v>19.7</v>
      </c>
      <c r="D42" s="3" t="n">
        <v>20.4</v>
      </c>
      <c r="E42" s="3" t="n">
        <v>21</v>
      </c>
      <c r="F42" s="3" t="n">
        <v>21.6</v>
      </c>
      <c r="G42" s="3" t="n">
        <v>22</v>
      </c>
      <c r="H42" s="3" t="n">
        <v>22.3</v>
      </c>
      <c r="I42" s="3" t="n">
        <v>22.5</v>
      </c>
      <c r="J42" s="3" t="n">
        <v>22.5</v>
      </c>
      <c r="K42" s="3" t="n">
        <v>22.5</v>
      </c>
      <c r="L42" s="3" t="n">
        <v>22.5</v>
      </c>
    </row>
    <row r="43" customFormat="false" ht="15" hidden="false" customHeight="false" outlineLevel="0" collapsed="false">
      <c r="A43" s="0" t="s">
        <v>110</v>
      </c>
      <c r="C43" s="3" t="n">
        <v>0.065</v>
      </c>
      <c r="D43" s="3" t="n">
        <v>0.065</v>
      </c>
      <c r="E43" s="3" t="n">
        <v>0.065</v>
      </c>
      <c r="F43" s="3" t="n">
        <v>0.065</v>
      </c>
      <c r="G43" s="3" t="n">
        <v>0.065</v>
      </c>
      <c r="H43" s="3" t="n">
        <v>0.065</v>
      </c>
      <c r="I43" s="3" t="n">
        <v>0.065</v>
      </c>
      <c r="J43" s="3" t="n">
        <v>0.065</v>
      </c>
      <c r="K43" s="3" t="n">
        <v>0.065</v>
      </c>
      <c r="L43" s="3" t="n">
        <v>0.065</v>
      </c>
    </row>
    <row r="44" customFormat="false" ht="15" hidden="false" customHeight="false" outlineLevel="0" collapsed="false">
      <c r="A44" s="0" t="s">
        <v>111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112</v>
      </c>
      <c r="C45" s="3" t="n">
        <v>4.5</v>
      </c>
      <c r="D45" s="3" t="n">
        <v>4.6</v>
      </c>
      <c r="E45" s="3" t="n">
        <v>4.7</v>
      </c>
      <c r="F45" s="3" t="n">
        <v>4.8</v>
      </c>
      <c r="G45" s="3" t="n">
        <v>4.9</v>
      </c>
      <c r="H45" s="3" t="n">
        <v>5</v>
      </c>
      <c r="I45" s="3" t="n">
        <v>5</v>
      </c>
      <c r="J45" s="3" t="n">
        <v>5</v>
      </c>
      <c r="K45" s="3" t="n">
        <v>5</v>
      </c>
      <c r="L45" s="3" t="n">
        <v>5</v>
      </c>
    </row>
    <row r="46" customFormat="false" ht="15" hidden="false" customHeight="false" outlineLevel="0" collapsed="false">
      <c r="A46" s="0" t="s">
        <v>113</v>
      </c>
      <c r="C46" s="3" t="n">
        <v>6.9</v>
      </c>
      <c r="D46" s="3" t="n">
        <v>6.8</v>
      </c>
      <c r="E46" s="3" t="n">
        <v>6.5</v>
      </c>
      <c r="F46" s="3" t="n">
        <v>6</v>
      </c>
      <c r="G46" s="3" t="n">
        <v>5.75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114</v>
      </c>
      <c r="C47" s="3" t="n">
        <v>26</v>
      </c>
      <c r="D47" s="3" t="n">
        <v>29</v>
      </c>
      <c r="E47" s="3" t="n">
        <v>30.6</v>
      </c>
      <c r="F47" s="3" t="n">
        <v>30.6</v>
      </c>
      <c r="G47" s="3" t="n">
        <v>30.6</v>
      </c>
      <c r="H47" s="3" t="n">
        <v>30.6</v>
      </c>
      <c r="I47" s="3" t="n">
        <v>30.6</v>
      </c>
      <c r="J47" s="3" t="n">
        <v>30.6</v>
      </c>
      <c r="K47" s="3" t="n">
        <v>30.6</v>
      </c>
      <c r="L47" s="3" t="n">
        <v>30.6</v>
      </c>
    </row>
    <row r="48" customFormat="false" ht="15" hidden="false" customHeight="false" outlineLevel="0" collapsed="false">
      <c r="A48" s="0" t="s">
        <v>115</v>
      </c>
      <c r="B48" s="3" t="n">
        <v>8</v>
      </c>
    </row>
    <row r="49" customFormat="false" ht="15" hidden="false" customHeight="false" outlineLevel="0" collapsed="false">
      <c r="A49" s="0" t="s">
        <v>116</v>
      </c>
      <c r="B49" s="3" t="n">
        <v>1.5</v>
      </c>
    </row>
    <row r="50" customFormat="false" ht="15" hidden="false" customHeight="false" outlineLevel="0" collapsed="false">
      <c r="A50" s="0" t="s">
        <v>117</v>
      </c>
      <c r="B50" s="3" t="n">
        <v>14</v>
      </c>
    </row>
    <row r="51" customFormat="false" ht="15" hidden="false" customHeight="false" outlineLevel="0" collapsed="false">
      <c r="A51" s="0" t="s">
        <v>118</v>
      </c>
      <c r="B51" s="3" t="n">
        <v>0</v>
      </c>
    </row>
    <row r="52" customFormat="false" ht="15" hidden="false" customHeight="false" outlineLevel="0" collapsed="false">
      <c r="A52" s="0" t="s">
        <v>119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122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Assumptions!C13</f>
        <v>1.5</v>
      </c>
      <c r="D5" s="4" t="n">
        <f aca="false">Assumptions!D13</f>
        <v>-1</v>
      </c>
      <c r="E5" s="4" t="n">
        <f aca="false">Assumptions!E13</f>
        <v>-2</v>
      </c>
      <c r="F5" s="4" t="n">
        <f aca="false">Assumptions!F13</f>
        <v>0</v>
      </c>
      <c r="G5" s="4" t="n">
        <f aca="false">Assumptions!G13</f>
        <v>0.5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545626</v>
      </c>
      <c r="C6" s="0" t="n">
        <f aca="false">B6*(1+C5/100)</f>
        <v>553810.39</v>
      </c>
      <c r="D6" s="0" t="n">
        <f aca="false">C6*(1+D5/100)</f>
        <v>548272.2861</v>
      </c>
      <c r="E6" s="0" t="n">
        <f aca="false">D6*(1+E5/100)</f>
        <v>537306.840378</v>
      </c>
      <c r="F6" s="0" t="n">
        <f aca="false">E6*(1+F5/100)</f>
        <v>537306.840378</v>
      </c>
      <c r="G6" s="0" t="n">
        <f aca="false">F6*(1+G5/100)</f>
        <v>539993.37457989</v>
      </c>
      <c r="H6" s="0" t="n">
        <f aca="false">G6*(1+H5/100)</f>
        <v>542693.341452789</v>
      </c>
      <c r="I6" s="0" t="n">
        <f aca="false">H6*(1+I5/100)</f>
        <v>545406.808160053</v>
      </c>
      <c r="J6" s="0" t="n">
        <f aca="false">I6*(1+J5/100)</f>
        <v>548133.842200853</v>
      </c>
      <c r="K6" s="0" t="n">
        <f aca="false">J6*(1+K5/100)</f>
        <v>550874.511411858</v>
      </c>
      <c r="L6" s="0" t="n">
        <f aca="false">K6*(1+L5/100)</f>
        <v>553628.883968917</v>
      </c>
    </row>
    <row r="7" customFormat="false" ht="15" hidden="false" customHeight="false" outlineLevel="0" collapsed="false">
      <c r="A7" s="0" t="s">
        <v>109</v>
      </c>
      <c r="C7" s="4" t="n">
        <f aca="false">Assumptions!C14</f>
        <v>18.8</v>
      </c>
      <c r="D7" s="4" t="n">
        <f aca="false">Assumptions!D14</f>
        <v>17.5</v>
      </c>
      <c r="E7" s="4" t="n">
        <f aca="false">Assumptions!E14</f>
        <v>16.5</v>
      </c>
      <c r="F7" s="4" t="n">
        <f aca="false">Assumptions!F14</f>
        <v>16.5</v>
      </c>
      <c r="G7" s="4" t="n">
        <f aca="false">Assumptions!G14</f>
        <v>16.5</v>
      </c>
      <c r="H7" s="4" t="n">
        <f aca="false">Assumptions!H14</f>
        <v>16.5</v>
      </c>
      <c r="I7" s="4" t="n">
        <f aca="false">Assumptions!I14</f>
        <v>16.5</v>
      </c>
      <c r="J7" s="4" t="n">
        <f aca="false">Assumptions!J14</f>
        <v>16.5</v>
      </c>
      <c r="K7" s="4" t="n">
        <f aca="false">Assumptions!K14</f>
        <v>16.5</v>
      </c>
      <c r="L7" s="4" t="n">
        <f aca="false">Assumptions!L14</f>
        <v>16.5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104116.35332</v>
      </c>
      <c r="D8" s="0" t="n">
        <f aca="false">D6*D7/100</f>
        <v>95947.6500675</v>
      </c>
      <c r="E8" s="0" t="n">
        <f aca="false">E6*E7/100</f>
        <v>88655.62866237</v>
      </c>
      <c r="F8" s="0" t="n">
        <f aca="false">F6*F7/100</f>
        <v>88655.62866237</v>
      </c>
      <c r="G8" s="0" t="n">
        <f aca="false">G6*G7/100</f>
        <v>89098.9068056819</v>
      </c>
      <c r="H8" s="0" t="n">
        <f aca="false">H6*H7/100</f>
        <v>89544.4013397102</v>
      </c>
      <c r="I8" s="0" t="n">
        <f aca="false">I6*I7/100</f>
        <v>89992.1233464088</v>
      </c>
      <c r="J8" s="0" t="n">
        <f aca="false">J6*J7/100</f>
        <v>90442.0839631408</v>
      </c>
      <c r="K8" s="0" t="n">
        <f aca="false">K6*K7/100</f>
        <v>90894.2943829565</v>
      </c>
      <c r="L8" s="0" t="n">
        <f aca="false">L6*L7/100</f>
        <v>91348.7658548713</v>
      </c>
    </row>
    <row r="9" customFormat="false" ht="15" hidden="false" customHeight="false" outlineLevel="0" collapsed="false">
      <c r="A9" s="0" t="s">
        <v>110</v>
      </c>
      <c r="C9" s="4" t="n">
        <f aca="false">Assumptions!C15</f>
        <v>0.065</v>
      </c>
      <c r="D9" s="4" t="n">
        <f aca="false">Assumptions!D15</f>
        <v>0.065</v>
      </c>
      <c r="E9" s="4" t="n">
        <f aca="false">Assumptions!E15</f>
        <v>0.065</v>
      </c>
      <c r="F9" s="4" t="n">
        <f aca="false">Assumptions!F15</f>
        <v>0.065</v>
      </c>
      <c r="G9" s="4" t="n">
        <f aca="false">Assumptions!G15</f>
        <v>0.065</v>
      </c>
      <c r="H9" s="4" t="n">
        <f aca="false">Assumptions!H15</f>
        <v>0.065</v>
      </c>
      <c r="I9" s="4" t="n">
        <f aca="false">Assumptions!I15</f>
        <v>0.065</v>
      </c>
      <c r="J9" s="4" t="n">
        <f aca="false">Assumptions!J15</f>
        <v>0.065</v>
      </c>
      <c r="K9" s="4" t="n">
        <f aca="false">Assumptions!K15</f>
        <v>0.065</v>
      </c>
      <c r="L9" s="4" t="n">
        <f aca="false">Assumptions!L15</f>
        <v>0.065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-359.9767535</v>
      </c>
      <c r="D10" s="0" t="n">
        <f aca="false">-D6*D9/100</f>
        <v>-356.376985965</v>
      </c>
      <c r="E10" s="0" t="n">
        <f aca="false">-E6*E9/100</f>
        <v>-349.2494462457</v>
      </c>
      <c r="F10" s="0" t="n">
        <f aca="false">-F6*F9/100</f>
        <v>-349.2494462457</v>
      </c>
      <c r="G10" s="0" t="n">
        <f aca="false">-G6*G9/100</f>
        <v>-350.995693476929</v>
      </c>
      <c r="H10" s="0" t="n">
        <f aca="false">-H6*H9/100</f>
        <v>-352.750671944313</v>
      </c>
      <c r="I10" s="0" t="n">
        <f aca="false">-I6*I9/100</f>
        <v>-354.514425304035</v>
      </c>
      <c r="J10" s="0" t="n">
        <f aca="false">-J6*J9/100</f>
        <v>-356.286997430555</v>
      </c>
      <c r="K10" s="0" t="n">
        <f aca="false">-K6*K9/100</f>
        <v>-358.068432417707</v>
      </c>
      <c r="L10" s="0" t="n">
        <f aca="false">-L6*L9/100</f>
        <v>-359.858774579796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103756.3765665</v>
      </c>
      <c r="D11" s="0" t="n">
        <f aca="false">D8+D10+D24</f>
        <v>95591.273081535</v>
      </c>
      <c r="E11" s="0" t="n">
        <f aca="false">E8+E10+E24</f>
        <v>88306.3792161243</v>
      </c>
      <c r="F11" s="0" t="n">
        <f aca="false">F8+F10+F24</f>
        <v>88306.3792161243</v>
      </c>
      <c r="G11" s="0" t="n">
        <f aca="false">G8+G10+G24</f>
        <v>88747.9111122049</v>
      </c>
      <c r="H11" s="0" t="n">
        <f aca="false">H8+H10+H24</f>
        <v>89191.6506677659</v>
      </c>
      <c r="I11" s="0" t="n">
        <f aca="false">I8+I10+I24</f>
        <v>89637.6089211047</v>
      </c>
      <c r="J11" s="0" t="n">
        <f aca="false">J8+J10+J24</f>
        <v>90085.7969657103</v>
      </c>
      <c r="K11" s="0" t="n">
        <f aca="false">K8+K10+K24</f>
        <v>90536.2259505388</v>
      </c>
      <c r="L11" s="0" t="n">
        <f aca="false">L8+L10+L24</f>
        <v>90988.9070802915</v>
      </c>
    </row>
    <row r="12" customFormat="false" ht="15" hidden="false" customHeight="false" outlineLevel="0" collapsed="false">
      <c r="A12" s="0" t="s">
        <v>127</v>
      </c>
      <c r="C12" s="4" t="n">
        <f aca="false">-C6*Assumptions!C17/100</f>
        <v>-24921.46755</v>
      </c>
      <c r="D12" s="4" t="n">
        <f aca="false">-D6*Assumptions!D17/100</f>
        <v>-25220.5251606</v>
      </c>
      <c r="E12" s="4" t="n">
        <f aca="false">-E6*Assumptions!E17/100</f>
        <v>-25253.421497766</v>
      </c>
      <c r="F12" s="4" t="n">
        <f aca="false">-F6*Assumptions!F17/100</f>
        <v>-25790.728338144</v>
      </c>
      <c r="G12" s="4" t="n">
        <f aca="false">-G6*Assumptions!G17/100</f>
        <v>-26459.6753544146</v>
      </c>
      <c r="H12" s="4" t="n">
        <f aca="false">-H6*Assumptions!H17/100</f>
        <v>-27134.6670726395</v>
      </c>
      <c r="I12" s="4" t="n">
        <f aca="false">-I6*Assumptions!I17/100</f>
        <v>-27270.3404080027</v>
      </c>
      <c r="J12" s="4" t="n">
        <f aca="false">-J6*Assumptions!J17/100</f>
        <v>-27406.6921100427</v>
      </c>
      <c r="K12" s="4" t="n">
        <f aca="false">-K6*Assumptions!K17/100</f>
        <v>-27543.7255705929</v>
      </c>
      <c r="L12" s="4" t="n">
        <f aca="false">-L6*Assumptions!L17/100</f>
        <v>-27681.4441984458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78834.9090165</v>
      </c>
      <c r="D13" s="0" t="n">
        <f aca="false">D11+D12</f>
        <v>70370.747920935</v>
      </c>
      <c r="E13" s="0" t="n">
        <f aca="false">E11+E12</f>
        <v>63052.9577183583</v>
      </c>
      <c r="F13" s="0" t="n">
        <f aca="false">F11+F12</f>
        <v>62515.6508779803</v>
      </c>
      <c r="G13" s="0" t="n">
        <f aca="false">G11+G12</f>
        <v>62288.2357577903</v>
      </c>
      <c r="H13" s="0" t="n">
        <f aca="false">H11+H12</f>
        <v>62056.9835951265</v>
      </c>
      <c r="I13" s="0" t="n">
        <f aca="false">I11+I12</f>
        <v>62367.2685131021</v>
      </c>
      <c r="J13" s="0" t="n">
        <f aca="false">J11+J12</f>
        <v>62679.1048556676</v>
      </c>
      <c r="K13" s="0" t="n">
        <f aca="false">K11+K12</f>
        <v>62992.5003799459</v>
      </c>
      <c r="L13" s="0" t="n">
        <f aca="false">L11+L12</f>
        <v>63307.4628818456</v>
      </c>
    </row>
    <row r="14" customFormat="false" ht="15" hidden="false" customHeight="false" outlineLevel="0" collapsed="false">
      <c r="A14" s="0" t="s">
        <v>114</v>
      </c>
      <c r="C14" s="4" t="n">
        <f aca="false">Assumptions!C19</f>
        <v>26</v>
      </c>
      <c r="D14" s="4" t="n">
        <f aca="false">Assumptions!D19</f>
        <v>29</v>
      </c>
      <c r="E14" s="4" t="n">
        <f aca="false">Assumptions!E19</f>
        <v>30.6</v>
      </c>
      <c r="F14" s="4" t="n">
        <f aca="false">Assumptions!F19</f>
        <v>30.6</v>
      </c>
      <c r="G14" s="4" t="n">
        <f aca="false">Assumptions!G19</f>
        <v>30.6</v>
      </c>
      <c r="H14" s="4" t="n">
        <f aca="false">Assumptions!H19</f>
        <v>30.6</v>
      </c>
      <c r="I14" s="4" t="n">
        <f aca="false">Assumptions!I19</f>
        <v>30.6</v>
      </c>
      <c r="J14" s="4" t="n">
        <f aca="false">Assumptions!J19</f>
        <v>30.6</v>
      </c>
      <c r="K14" s="4" t="n">
        <f aca="false">Assumptions!K19</f>
        <v>30.6</v>
      </c>
      <c r="L14" s="4" t="n">
        <f aca="false">Assumptions!L19</f>
        <v>30.6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58337.83267221</v>
      </c>
      <c r="D15" s="0" t="n">
        <f aca="false">D13-MAX(0,D13)*D14/100</f>
        <v>49963.2310238638</v>
      </c>
      <c r="E15" s="0" t="n">
        <f aca="false">E13-MAX(0,E13)*E14/100</f>
        <v>43758.7526565407</v>
      </c>
      <c r="F15" s="0" t="n">
        <f aca="false">F13-MAX(0,F13)*F14/100</f>
        <v>43385.8617093183</v>
      </c>
      <c r="G15" s="0" t="n">
        <f aca="false">G13-MAX(0,G13)*G14/100</f>
        <v>43228.0356159065</v>
      </c>
      <c r="H15" s="0" t="n">
        <f aca="false">H13-MAX(0,H13)*H14/100</f>
        <v>43067.5466150178</v>
      </c>
      <c r="I15" s="0" t="n">
        <f aca="false">I13-MAX(0,I13)*I14/100</f>
        <v>43282.8843480928</v>
      </c>
      <c r="J15" s="0" t="n">
        <f aca="false">J13-MAX(0,J13)*J14/100</f>
        <v>43499.2987698333</v>
      </c>
      <c r="K15" s="0" t="n">
        <f aca="false">K13-MAX(0,K13)*K14/100</f>
        <v>43716.7952636825</v>
      </c>
      <c r="L15" s="0" t="n">
        <f aca="false">L13-MAX(0,L13)*L14/100</f>
        <v>43935.3792400009</v>
      </c>
    </row>
    <row r="16" customFormat="false" ht="15" hidden="false" customHeight="false" outlineLevel="0" collapsed="false">
      <c r="A16" s="0" t="s">
        <v>130</v>
      </c>
      <c r="C16" s="0" t="n">
        <f aca="false">-C12</f>
        <v>24921.46755</v>
      </c>
      <c r="D16" s="0" t="n">
        <f aca="false">-D12</f>
        <v>25220.5251606</v>
      </c>
      <c r="E16" s="0" t="n">
        <f aca="false">-E12</f>
        <v>25253.421497766</v>
      </c>
      <c r="F16" s="0" t="n">
        <f aca="false">-F12</f>
        <v>25790.728338144</v>
      </c>
      <c r="G16" s="0" t="n">
        <f aca="false">-G12</f>
        <v>26459.6753544146</v>
      </c>
      <c r="H16" s="0" t="n">
        <f aca="false">-H12</f>
        <v>27134.6670726395</v>
      </c>
      <c r="I16" s="0" t="n">
        <f aca="false">-I12</f>
        <v>27270.3404080027</v>
      </c>
      <c r="J16" s="0" t="n">
        <f aca="false">-J12</f>
        <v>27406.6921100427</v>
      </c>
      <c r="K16" s="0" t="n">
        <f aca="false">-K12</f>
        <v>27543.7255705929</v>
      </c>
      <c r="L16" s="0" t="n">
        <f aca="false">-L12</f>
        <v>27681.4441984458</v>
      </c>
    </row>
    <row r="17" customFormat="false" ht="15" hidden="false" customHeight="false" outlineLevel="0" collapsed="false">
      <c r="A17" s="0" t="s">
        <v>131</v>
      </c>
      <c r="C17" s="4" t="n">
        <f aca="false">-C6*Assumptions!C18/100</f>
        <v>-38212.91691</v>
      </c>
      <c r="D17" s="4" t="n">
        <f aca="false">-D6*Assumptions!D18/100</f>
        <v>-35637.6985965</v>
      </c>
      <c r="E17" s="4" t="n">
        <f aca="false">-E6*Assumptions!E18/100</f>
        <v>-32238.41042268</v>
      </c>
      <c r="F17" s="4" t="n">
        <f aca="false">-F6*Assumptions!F18/100</f>
        <v>-29551.87622079</v>
      </c>
      <c r="G17" s="4" t="n">
        <f aca="false">-G6*Assumptions!G18/100</f>
        <v>-29699.6356018939</v>
      </c>
      <c r="H17" s="4" t="n">
        <f aca="false">-H6*Assumptions!H18/100</f>
        <v>-29848.1337799034</v>
      </c>
      <c r="I17" s="4" t="n">
        <f aca="false">-I6*Assumptions!I18/100</f>
        <v>-29997.3744488029</v>
      </c>
      <c r="J17" s="4" t="n">
        <f aca="false">-J6*Assumptions!J18/100</f>
        <v>-30147.3613210469</v>
      </c>
      <c r="K17" s="4" t="n">
        <f aca="false">-K6*Assumptions!K18/100</f>
        <v>-30298.0981276522</v>
      </c>
      <c r="L17" s="4" t="n">
        <f aca="false">-L6*Assumptions!L18/100</f>
        <v>-30449.5886182904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45046.38331221</v>
      </c>
      <c r="D19" s="0" t="n">
        <f aca="false">D15+D16+D17+D18</f>
        <v>39546.0575879638</v>
      </c>
      <c r="E19" s="0" t="n">
        <f aca="false">E15+E16+E17+E18</f>
        <v>36773.7637316267</v>
      </c>
      <c r="F19" s="0" t="n">
        <f aca="false">F15+F16+F17+F18</f>
        <v>39624.7138266723</v>
      </c>
      <c r="G19" s="0" t="n">
        <f aca="false">G15+G16+G17+G18</f>
        <v>39988.0753684271</v>
      </c>
      <c r="H19" s="0" t="n">
        <f aca="false">H15+H16+H17+H18</f>
        <v>40354.0799077538</v>
      </c>
      <c r="I19" s="0" t="n">
        <f aca="false">I15+I16+I17+I18</f>
        <v>40555.8503072926</v>
      </c>
      <c r="J19" s="0" t="n">
        <f aca="false">J15+J16+J17+J18</f>
        <v>40758.629558829</v>
      </c>
      <c r="K19" s="0" t="n">
        <f aca="false">K15+K16+K17+K18</f>
        <v>40962.4227066232</v>
      </c>
      <c r="L19" s="0" t="n">
        <f aca="false">L15+L16+L17+L18</f>
        <v>41167.2348201563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41709.6141779722</v>
      </c>
      <c r="D21" s="0" t="n">
        <f aca="false">D19*D20</f>
        <v>33904.3703600513</v>
      </c>
      <c r="E21" s="0" t="n">
        <f aca="false">E19*E20</f>
        <v>29192.1992738234</v>
      </c>
      <c r="F21" s="0" t="n">
        <f aca="false">F19*F20</f>
        <v>29125.3475711205</v>
      </c>
      <c r="G21" s="0" t="n">
        <f aca="false">G19*G20</f>
        <v>27215.2121774708</v>
      </c>
      <c r="H21" s="0" t="n">
        <f aca="false">H19*H20</f>
        <v>25429.9154786802</v>
      </c>
      <c r="I21" s="0" t="n">
        <f aca="false">I19*I20</f>
        <v>23663.9491259941</v>
      </c>
      <c r="J21" s="0" t="n">
        <f aca="false">J19*J20</f>
        <v>22020.6193255778</v>
      </c>
      <c r="K21" s="0" t="n">
        <f aca="false">K19*K20</f>
        <v>20491.4096501905</v>
      </c>
      <c r="L21" s="0" t="n">
        <f aca="false">L19*L20</f>
        <v>19068.3950911495</v>
      </c>
    </row>
    <row r="23" customFormat="false" ht="15" hidden="false" customHeight="false" outlineLevel="0" collapsed="false">
      <c r="A23" s="0" t="s">
        <v>111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116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117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271821.03223203</v>
      </c>
    </row>
    <row r="31" customFormat="false" ht="15" hidden="false" customHeight="false" outlineLevel="0" collapsed="false">
      <c r="A31" s="0" t="s">
        <v>139</v>
      </c>
      <c r="B31" s="0" t="n">
        <f aca="false">L19</f>
        <v>41167.2348201563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551640.946590094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576341.287482188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551640.946590094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255516.494221403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527337.526453433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524507.526453433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751.443447641021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-0.581251909924201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2379.13054901723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2233.56882960764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758.051899472862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285331.524098325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388.718608901465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Assumptions!C27</f>
        <v>3</v>
      </c>
      <c r="D5" s="4" t="n">
        <f aca="false">Assumptions!D27</f>
        <v>3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37</v>
      </c>
      <c r="B6" s="3" t="n">
        <v>545626</v>
      </c>
      <c r="C6" s="0" t="n">
        <f aca="false">B6*(1+C5/100)</f>
        <v>561994.78</v>
      </c>
      <c r="D6" s="0" t="n">
        <f aca="false">C6*(1+D5/100)</f>
        <v>578854.6234</v>
      </c>
      <c r="E6" s="0" t="n">
        <f aca="false">D6*(1+E5/100)</f>
        <v>593325.988985</v>
      </c>
      <c r="F6" s="0" t="n">
        <f aca="false">E6*(1+F5/100)</f>
        <v>608159.138709625</v>
      </c>
      <c r="G6" s="0" t="n">
        <f aca="false">F6*(1+G5/100)</f>
        <v>620322.321483817</v>
      </c>
      <c r="H6" s="0" t="n">
        <f aca="false">G6*(1+H5/100)</f>
        <v>632728.767913494</v>
      </c>
      <c r="I6" s="0" t="n">
        <f aca="false">H6*(1+I5/100)</f>
        <v>642219.699432196</v>
      </c>
      <c r="J6" s="0" t="n">
        <f aca="false">I6*(1+J5/100)</f>
        <v>651852.994923679</v>
      </c>
      <c r="K6" s="0" t="n">
        <f aca="false">J6*(1+K5/100)</f>
        <v>658371.524872916</v>
      </c>
      <c r="L6" s="0" t="n">
        <f aca="false">K6*(1+L5/100)</f>
        <v>664955.240121645</v>
      </c>
    </row>
    <row r="7" customFormat="false" ht="15" hidden="false" customHeight="false" outlineLevel="0" collapsed="false">
      <c r="A7" s="0" t="s">
        <v>109</v>
      </c>
      <c r="C7" s="4" t="n">
        <f aca="false">Assumptions!C28</f>
        <v>19.4</v>
      </c>
      <c r="D7" s="4" t="n">
        <f aca="false">Assumptions!D28</f>
        <v>19.8</v>
      </c>
      <c r="E7" s="4" t="n">
        <f aca="false">Assumptions!E28</f>
        <v>20.2</v>
      </c>
      <c r="F7" s="4" t="n">
        <f aca="false">Assumptions!F28</f>
        <v>20.5</v>
      </c>
      <c r="G7" s="4" t="n">
        <f aca="false">Assumptions!G28</f>
        <v>20.8</v>
      </c>
      <c r="H7" s="4" t="n">
        <f aca="false">Assumptions!H28</f>
        <v>21</v>
      </c>
      <c r="I7" s="4" t="n">
        <f aca="false">Assumptions!I28</f>
        <v>21</v>
      </c>
      <c r="J7" s="4" t="n">
        <f aca="false">Assumptions!J28</f>
        <v>21</v>
      </c>
      <c r="K7" s="4" t="n">
        <f aca="false">Assumptions!K28</f>
        <v>21</v>
      </c>
      <c r="L7" s="4" t="n">
        <f aca="false">Assumptions!L28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109026.98732</v>
      </c>
      <c r="D8" s="0" t="n">
        <f aca="false">D6*D7/100</f>
        <v>114613.2154332</v>
      </c>
      <c r="E8" s="0" t="n">
        <f aca="false">E6*E7/100</f>
        <v>119851.84977497</v>
      </c>
      <c r="F8" s="0" t="n">
        <f aca="false">F6*F7/100</f>
        <v>124672.623435473</v>
      </c>
      <c r="G8" s="0" t="n">
        <f aca="false">G6*G7/100</f>
        <v>129027.042868634</v>
      </c>
      <c r="H8" s="0" t="n">
        <f aca="false">H6*H7/100</f>
        <v>132873.041261834</v>
      </c>
      <c r="I8" s="0" t="n">
        <f aca="false">I6*I7/100</f>
        <v>134866.136880761</v>
      </c>
      <c r="J8" s="0" t="n">
        <f aca="false">J6*J7/100</f>
        <v>136889.128933973</v>
      </c>
      <c r="K8" s="0" t="n">
        <f aca="false">K6*K7/100</f>
        <v>138258.020223312</v>
      </c>
      <c r="L8" s="0" t="n">
        <f aca="false">L6*L7/100</f>
        <v>139640.600425545</v>
      </c>
    </row>
    <row r="9" customFormat="false" ht="15" hidden="false" customHeight="false" outlineLevel="0" collapsed="false">
      <c r="A9" s="0" t="s">
        <v>110</v>
      </c>
      <c r="C9" s="4" t="n">
        <f aca="false">Assumptions!C29</f>
        <v>0.065</v>
      </c>
      <c r="D9" s="4" t="n">
        <f aca="false">Assumptions!D29</f>
        <v>0.065</v>
      </c>
      <c r="E9" s="4" t="n">
        <f aca="false">Assumptions!E29</f>
        <v>0.065</v>
      </c>
      <c r="F9" s="4" t="n">
        <f aca="false">Assumptions!F29</f>
        <v>0.065</v>
      </c>
      <c r="G9" s="4" t="n">
        <f aca="false">Assumptions!G29</f>
        <v>0.065</v>
      </c>
      <c r="H9" s="4" t="n">
        <f aca="false">Assumptions!H29</f>
        <v>0.065</v>
      </c>
      <c r="I9" s="4" t="n">
        <f aca="false">Assumptions!I29</f>
        <v>0.065</v>
      </c>
      <c r="J9" s="4" t="n">
        <f aca="false">Assumptions!J29</f>
        <v>0.065</v>
      </c>
      <c r="K9" s="4" t="n">
        <f aca="false">Assumptions!K29</f>
        <v>0.065</v>
      </c>
      <c r="L9" s="4" t="n">
        <f aca="false">Assumptions!L29</f>
        <v>0.065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-365.296607</v>
      </c>
      <c r="D10" s="0" t="n">
        <f aca="false">-D6*D9/100</f>
        <v>-376.25550521</v>
      </c>
      <c r="E10" s="0" t="n">
        <f aca="false">-E6*E9/100</f>
        <v>-385.66189284025</v>
      </c>
      <c r="F10" s="0" t="n">
        <f aca="false">-F6*F9/100</f>
        <v>-395.303440161256</v>
      </c>
      <c r="G10" s="0" t="n">
        <f aca="false">-G6*G9/100</f>
        <v>-403.209508964481</v>
      </c>
      <c r="H10" s="0" t="n">
        <f aca="false">-H6*H9/100</f>
        <v>-411.273699143771</v>
      </c>
      <c r="I10" s="0" t="n">
        <f aca="false">-I6*I9/100</f>
        <v>-417.442804630927</v>
      </c>
      <c r="J10" s="0" t="n">
        <f aca="false">-J6*J9/100</f>
        <v>-423.704446700391</v>
      </c>
      <c r="K10" s="0" t="n">
        <f aca="false">-K6*K9/100</f>
        <v>-427.941491167395</v>
      </c>
      <c r="L10" s="0" t="n">
        <f aca="false">-L6*L9/100</f>
        <v>-432.220906079069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108661.690713</v>
      </c>
      <c r="D11" s="0" t="n">
        <f aca="false">D8+D10+D24</f>
        <v>114236.95992799</v>
      </c>
      <c r="E11" s="0" t="n">
        <f aca="false">E8+E10+E24</f>
        <v>119466.18788213</v>
      </c>
      <c r="F11" s="0" t="n">
        <f aca="false">F8+F10+F24</f>
        <v>124277.319995312</v>
      </c>
      <c r="G11" s="0" t="n">
        <f aca="false">G8+G10+G24</f>
        <v>128623.83335967</v>
      </c>
      <c r="H11" s="0" t="n">
        <f aca="false">H8+H10+H24</f>
        <v>132461.76756269</v>
      </c>
      <c r="I11" s="0" t="n">
        <f aca="false">I8+I10+I24</f>
        <v>134448.69407613</v>
      </c>
      <c r="J11" s="0" t="n">
        <f aca="false">J8+J10+J24</f>
        <v>136465.424487272</v>
      </c>
      <c r="K11" s="0" t="n">
        <f aca="false">K8+K10+K24</f>
        <v>137830.078732145</v>
      </c>
      <c r="L11" s="0" t="n">
        <f aca="false">L8+L10+L24</f>
        <v>139208.379519466</v>
      </c>
    </row>
    <row r="12" customFormat="false" ht="15" hidden="false" customHeight="false" outlineLevel="0" collapsed="false">
      <c r="A12" s="0" t="s">
        <v>127</v>
      </c>
      <c r="C12" s="4" t="n">
        <f aca="false">-C6*Assumptions!C31/100</f>
        <v>-25289.7651</v>
      </c>
      <c r="D12" s="4" t="n">
        <f aca="false">-D6*Assumptions!D31/100</f>
        <v>-26627.3126764</v>
      </c>
      <c r="E12" s="4" t="n">
        <f aca="false">-E6*Assumptions!E31/100</f>
        <v>-27886.321482295</v>
      </c>
      <c r="F12" s="4" t="n">
        <f aca="false">-F6*Assumptions!F31/100</f>
        <v>-29191.638658062</v>
      </c>
      <c r="G12" s="4" t="n">
        <f aca="false">-G6*Assumptions!G31/100</f>
        <v>-30395.7937527071</v>
      </c>
      <c r="H12" s="4" t="n">
        <f aca="false">-H6*Assumptions!H31/100</f>
        <v>-31636.4383956747</v>
      </c>
      <c r="I12" s="4" t="n">
        <f aca="false">-I6*Assumptions!I31/100</f>
        <v>-32110.9849716098</v>
      </c>
      <c r="J12" s="4" t="n">
        <f aca="false">-J6*Assumptions!J31/100</f>
        <v>-32592.649746184</v>
      </c>
      <c r="K12" s="4" t="n">
        <f aca="false">-K6*Assumptions!K31/100</f>
        <v>-32918.5762436458</v>
      </c>
      <c r="L12" s="4" t="n">
        <f aca="false">-L6*Assumptions!L31/100</f>
        <v>-33247.7620060822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83371.925613</v>
      </c>
      <c r="D13" s="0" t="n">
        <f aca="false">D11+D12</f>
        <v>87609.64725159</v>
      </c>
      <c r="E13" s="0" t="n">
        <f aca="false">E11+E12</f>
        <v>91579.8663998348</v>
      </c>
      <c r="F13" s="0" t="n">
        <f aca="false">F11+F12</f>
        <v>95085.6813372499</v>
      </c>
      <c r="G13" s="0" t="n">
        <f aca="false">G11+G12</f>
        <v>98228.0396069625</v>
      </c>
      <c r="H13" s="0" t="n">
        <f aca="false">H11+H12</f>
        <v>100825.329167015</v>
      </c>
      <c r="I13" s="0" t="n">
        <f aca="false">I11+I12</f>
        <v>102337.70910452</v>
      </c>
      <c r="J13" s="0" t="n">
        <f aca="false">J11+J12</f>
        <v>103872.774741088</v>
      </c>
      <c r="K13" s="0" t="n">
        <f aca="false">K11+K12</f>
        <v>104911.502488499</v>
      </c>
      <c r="L13" s="0" t="n">
        <f aca="false">L11+L12</f>
        <v>105960.617513384</v>
      </c>
    </row>
    <row r="14" customFormat="false" ht="15" hidden="false" customHeight="false" outlineLevel="0" collapsed="false">
      <c r="A14" s="0" t="s">
        <v>114</v>
      </c>
      <c r="C14" s="4" t="n">
        <f aca="false">Assumptions!C33</f>
        <v>26</v>
      </c>
      <c r="D14" s="4" t="n">
        <f aca="false">Assumptions!D33</f>
        <v>29</v>
      </c>
      <c r="E14" s="4" t="n">
        <f aca="false">Assumptions!E33</f>
        <v>30.6</v>
      </c>
      <c r="F14" s="4" t="n">
        <f aca="false">Assumptions!F33</f>
        <v>30.6</v>
      </c>
      <c r="G14" s="4" t="n">
        <f aca="false">Assumptions!G33</f>
        <v>30.6</v>
      </c>
      <c r="H14" s="4" t="n">
        <f aca="false">Assumptions!H33</f>
        <v>30.6</v>
      </c>
      <c r="I14" s="4" t="n">
        <f aca="false">Assumptions!I33</f>
        <v>30.6</v>
      </c>
      <c r="J14" s="4" t="n">
        <f aca="false">Assumptions!J33</f>
        <v>30.6</v>
      </c>
      <c r="K14" s="4" t="n">
        <f aca="false">Assumptions!K33</f>
        <v>30.6</v>
      </c>
      <c r="L14" s="4" t="n">
        <f aca="false">Assumptions!L33</f>
        <v>30.6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61695.22495362</v>
      </c>
      <c r="D15" s="0" t="n">
        <f aca="false">D13-MAX(0,D13)*D14/100</f>
        <v>62202.8495486289</v>
      </c>
      <c r="E15" s="0" t="n">
        <f aca="false">E13-MAX(0,E13)*E14/100</f>
        <v>63556.4272814853</v>
      </c>
      <c r="F15" s="0" t="n">
        <f aca="false">F13-MAX(0,F13)*F14/100</f>
        <v>65989.4628480514</v>
      </c>
      <c r="G15" s="0" t="n">
        <f aca="false">G13-MAX(0,G13)*G14/100</f>
        <v>68170.259487232</v>
      </c>
      <c r="H15" s="0" t="n">
        <f aca="false">H13-MAX(0,H13)*H14/100</f>
        <v>69972.7784419086</v>
      </c>
      <c r="I15" s="0" t="n">
        <f aca="false">I13-MAX(0,I13)*I14/100</f>
        <v>71022.3701185372</v>
      </c>
      <c r="J15" s="0" t="n">
        <f aca="false">J13-MAX(0,J13)*J14/100</f>
        <v>72087.7056703152</v>
      </c>
      <c r="K15" s="0" t="n">
        <f aca="false">K13-MAX(0,K13)*K14/100</f>
        <v>72808.5827270184</v>
      </c>
      <c r="L15" s="0" t="n">
        <f aca="false">L13-MAX(0,L13)*L14/100</f>
        <v>73536.6685542886</v>
      </c>
    </row>
    <row r="16" customFormat="false" ht="15" hidden="false" customHeight="false" outlineLevel="0" collapsed="false">
      <c r="A16" s="0" t="s">
        <v>130</v>
      </c>
      <c r="C16" s="0" t="n">
        <f aca="false">-C12</f>
        <v>25289.7651</v>
      </c>
      <c r="D16" s="0" t="n">
        <f aca="false">-D12</f>
        <v>26627.3126764</v>
      </c>
      <c r="E16" s="0" t="n">
        <f aca="false">-E12</f>
        <v>27886.321482295</v>
      </c>
      <c r="F16" s="0" t="n">
        <f aca="false">-F12</f>
        <v>29191.638658062</v>
      </c>
      <c r="G16" s="0" t="n">
        <f aca="false">-G12</f>
        <v>30395.7937527071</v>
      </c>
      <c r="H16" s="0" t="n">
        <f aca="false">-H12</f>
        <v>31636.4383956747</v>
      </c>
      <c r="I16" s="0" t="n">
        <f aca="false">-I12</f>
        <v>32110.9849716098</v>
      </c>
      <c r="J16" s="0" t="n">
        <f aca="false">-J12</f>
        <v>32592.649746184</v>
      </c>
      <c r="K16" s="0" t="n">
        <f aca="false">-K12</f>
        <v>32918.5762436458</v>
      </c>
      <c r="L16" s="0" t="n">
        <f aca="false">-L12</f>
        <v>33247.7620060822</v>
      </c>
    </row>
    <row r="17" customFormat="false" ht="15" hidden="false" customHeight="false" outlineLevel="0" collapsed="false">
      <c r="A17" s="0" t="s">
        <v>131</v>
      </c>
      <c r="C17" s="4" t="n">
        <f aca="false">-C6*Assumptions!C32/100</f>
        <v>-38777.63982</v>
      </c>
      <c r="D17" s="4" t="n">
        <f aca="false">-D6*Assumptions!D32/100</f>
        <v>-39362.1143912</v>
      </c>
      <c r="E17" s="4" t="n">
        <f aca="false">-E6*Assumptions!E32/100</f>
        <v>-38566.189284025</v>
      </c>
      <c r="F17" s="4" t="n">
        <f aca="false">-F6*Assumptions!F32/100</f>
        <v>-36489.5483225775</v>
      </c>
      <c r="G17" s="4" t="n">
        <f aca="false">-G6*Assumptions!G32/100</f>
        <v>-35668.5334853195</v>
      </c>
      <c r="H17" s="4" t="n">
        <f aca="false">-H6*Assumptions!H32/100</f>
        <v>-34800.0822352422</v>
      </c>
      <c r="I17" s="4" t="n">
        <f aca="false">-I6*Assumptions!I32/100</f>
        <v>-35322.0834687708</v>
      </c>
      <c r="J17" s="4" t="n">
        <f aca="false">-J6*Assumptions!J32/100</f>
        <v>-35851.9147208023</v>
      </c>
      <c r="K17" s="4" t="n">
        <f aca="false">-K6*Assumptions!K32/100</f>
        <v>-36210.4338680104</v>
      </c>
      <c r="L17" s="4" t="n">
        <f aca="false">-L6*Assumptions!L32/100</f>
        <v>-36572.5382066905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48207.35023362</v>
      </c>
      <c r="D19" s="0" t="n">
        <f aca="false">D15+D16+D17+D18</f>
        <v>49468.0478338289</v>
      </c>
      <c r="E19" s="0" t="n">
        <f aca="false">E15+E16+E17+E18</f>
        <v>52876.5594797553</v>
      </c>
      <c r="F19" s="0" t="n">
        <f aca="false">F15+F16+F17+F18</f>
        <v>58691.5531835359</v>
      </c>
      <c r="G19" s="0" t="n">
        <f aca="false">G15+G16+G17+G18</f>
        <v>62897.5197546195</v>
      </c>
      <c r="H19" s="0" t="n">
        <f aca="false">H15+H16+H17+H18</f>
        <v>66809.1346023411</v>
      </c>
      <c r="I19" s="0" t="n">
        <f aca="false">I15+I16+I17+I18</f>
        <v>67811.2716213762</v>
      </c>
      <c r="J19" s="0" t="n">
        <f aca="false">J15+J16+J17+J18</f>
        <v>68828.4406956968</v>
      </c>
      <c r="K19" s="0" t="n">
        <f aca="false">K15+K16+K17+K18</f>
        <v>69516.7251026538</v>
      </c>
      <c r="L19" s="0" t="n">
        <f aca="false">L15+L16+L17+L18</f>
        <v>70211.8923536803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44636.4354015</v>
      </c>
      <c r="D21" s="0" t="n">
        <f aca="false">D19*D20</f>
        <v>42410.8777724871</v>
      </c>
      <c r="E21" s="0" t="n">
        <f aca="false">E19*E20</f>
        <v>41975.1177092505</v>
      </c>
      <c r="F21" s="0" t="n">
        <f aca="false">F19*F20</f>
        <v>43140.0436968896</v>
      </c>
      <c r="G21" s="0" t="n">
        <f aca="false">G19*G20</f>
        <v>42806.9950800926</v>
      </c>
      <c r="H21" s="0" t="n">
        <f aca="false">H19*H20</f>
        <v>42101.0874247404</v>
      </c>
      <c r="I21" s="0" t="n">
        <f aca="false">I19*I20</f>
        <v>39567.2256815847</v>
      </c>
      <c r="J21" s="0" t="n">
        <f aca="false">J19*J20</f>
        <v>37185.8648766745</v>
      </c>
      <c r="K21" s="0" t="n">
        <f aca="false">K19*K20</f>
        <v>34775.6699309641</v>
      </c>
      <c r="L21" s="0" t="n">
        <f aca="false">L19*L20</f>
        <v>32521.6913243276</v>
      </c>
    </row>
    <row r="23" customFormat="false" ht="15" hidden="false" customHeight="false" outlineLevel="0" collapsed="false">
      <c r="A23" s="0" t="s">
        <v>111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116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117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401121.008898511</v>
      </c>
    </row>
    <row r="31" customFormat="false" ht="15" hidden="false" customHeight="false" outlineLevel="0" collapsed="false">
      <c r="A31" s="0" t="s">
        <v>139</v>
      </c>
      <c r="B31" s="0" t="n">
        <f aca="false">L19</f>
        <v>70211.8923536803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1013057.30396024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982966.492951524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982966.492951524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455303.678540586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856424.687439097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853594.687439097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1222.91502498438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-0.318520465319376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2677.88392827556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2888.62754572837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1230.88996978954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506528.651980122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594.969378734698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0" t="s">
        <v>123</v>
      </c>
      <c r="B3" s="0" t="s">
        <v>84</v>
      </c>
      <c r="C3" s="2" t="s">
        <v>98</v>
      </c>
      <c r="D3" s="2" t="s">
        <v>99</v>
      </c>
      <c r="E3" s="2" t="s">
        <v>100</v>
      </c>
      <c r="F3" s="2" t="s">
        <v>101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107</v>
      </c>
    </row>
    <row r="4" customFormat="false" ht="15" hidden="false" customHeight="false" outlineLevel="0" collapsed="false">
      <c r="A4" s="0" t="s">
        <v>124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108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545626</v>
      </c>
      <c r="C6" s="0" t="n">
        <f aca="false">B6*(1+C5/100)</f>
        <v>570179.17</v>
      </c>
      <c r="D6" s="0" t="n">
        <f aca="false">C6*(1+D5/100)</f>
        <v>595837.23265</v>
      </c>
      <c r="E6" s="0" t="n">
        <f aca="false">D6*(1+E5/100)</f>
        <v>619670.721956</v>
      </c>
      <c r="F6" s="0" t="n">
        <f aca="false">E6*(1+F5/100)</f>
        <v>641359.19722446</v>
      </c>
      <c r="G6" s="0" t="n">
        <f aca="false">F6*(1+G5/100)</f>
        <v>660599.973141194</v>
      </c>
      <c r="H6" s="0" t="n">
        <f aca="false">G6*(1+H5/100)</f>
        <v>680417.97233543</v>
      </c>
      <c r="I6" s="0" t="n">
        <f aca="false">H6*(1+I5/100)</f>
        <v>697428.421643815</v>
      </c>
      <c r="J6" s="0" t="n">
        <f aca="false">I6*(1+J5/100)</f>
        <v>714864.132184911</v>
      </c>
      <c r="K6" s="0" t="n">
        <f aca="false">J6*(1+K5/100)</f>
        <v>729161.414828609</v>
      </c>
      <c r="L6" s="0" t="n">
        <f aca="false">K6*(1+L5/100)</f>
        <v>743744.643125181</v>
      </c>
    </row>
    <row r="7" customFormat="false" ht="15" hidden="false" customHeight="false" outlineLevel="0" collapsed="false">
      <c r="A7" s="0" t="s">
        <v>109</v>
      </c>
      <c r="C7" s="4" t="n">
        <f aca="false">Assumptions!C42</f>
        <v>19.7</v>
      </c>
      <c r="D7" s="4" t="n">
        <f aca="false">Assumptions!D42</f>
        <v>20.4</v>
      </c>
      <c r="E7" s="4" t="n">
        <f aca="false">Assumptions!E42</f>
        <v>21</v>
      </c>
      <c r="F7" s="4" t="n">
        <f aca="false">Assumptions!F42</f>
        <v>21.6</v>
      </c>
      <c r="G7" s="4" t="n">
        <f aca="false">Assumptions!G42</f>
        <v>22</v>
      </c>
      <c r="H7" s="4" t="n">
        <f aca="false">Assumptions!H42</f>
        <v>22.3</v>
      </c>
      <c r="I7" s="4" t="n">
        <f aca="false">Assumptions!I42</f>
        <v>22.5</v>
      </c>
      <c r="J7" s="4" t="n">
        <f aca="false">Assumptions!J42</f>
        <v>22.5</v>
      </c>
      <c r="K7" s="4" t="n">
        <f aca="false">Assumptions!K42</f>
        <v>22.5</v>
      </c>
      <c r="L7" s="4" t="n">
        <f aca="false">Assumptions!L42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112325.29649</v>
      </c>
      <c r="D8" s="0" t="n">
        <f aca="false">D6*D7/100</f>
        <v>121550.7954606</v>
      </c>
      <c r="E8" s="0" t="n">
        <f aca="false">E6*E7/100</f>
        <v>130130.85161076</v>
      </c>
      <c r="F8" s="0" t="n">
        <f aca="false">F6*F7/100</f>
        <v>138533.586600483</v>
      </c>
      <c r="G8" s="0" t="n">
        <f aca="false">G6*G7/100</f>
        <v>145331.994091063</v>
      </c>
      <c r="H8" s="0" t="n">
        <f aca="false">H6*H7/100</f>
        <v>151733.207830801</v>
      </c>
      <c r="I8" s="0" t="n">
        <f aca="false">I6*I7/100</f>
        <v>156921.394869858</v>
      </c>
      <c r="J8" s="0" t="n">
        <f aca="false">J6*J7/100</f>
        <v>160844.429741605</v>
      </c>
      <c r="K8" s="0" t="n">
        <f aca="false">K6*K7/100</f>
        <v>164061.318336437</v>
      </c>
      <c r="L8" s="0" t="n">
        <f aca="false">L6*L7/100</f>
        <v>167342.544703166</v>
      </c>
    </row>
    <row r="9" customFormat="false" ht="15" hidden="false" customHeight="false" outlineLevel="0" collapsed="false">
      <c r="A9" s="0" t="s">
        <v>110</v>
      </c>
      <c r="C9" s="4" t="n">
        <f aca="false">Assumptions!C43</f>
        <v>0.065</v>
      </c>
      <c r="D9" s="4" t="n">
        <f aca="false">Assumptions!D43</f>
        <v>0.065</v>
      </c>
      <c r="E9" s="4" t="n">
        <f aca="false">Assumptions!E43</f>
        <v>0.065</v>
      </c>
      <c r="F9" s="4" t="n">
        <f aca="false">Assumptions!F43</f>
        <v>0.065</v>
      </c>
      <c r="G9" s="4" t="n">
        <f aca="false">Assumptions!G43</f>
        <v>0.065</v>
      </c>
      <c r="H9" s="4" t="n">
        <f aca="false">Assumptions!H43</f>
        <v>0.065</v>
      </c>
      <c r="I9" s="4" t="n">
        <f aca="false">Assumptions!I43</f>
        <v>0.065</v>
      </c>
      <c r="J9" s="4" t="n">
        <f aca="false">Assumptions!J43</f>
        <v>0.065</v>
      </c>
      <c r="K9" s="4" t="n">
        <f aca="false">Assumptions!K43</f>
        <v>0.065</v>
      </c>
      <c r="L9" s="4" t="n">
        <f aca="false">Assumptions!L43</f>
        <v>0.065</v>
      </c>
    </row>
    <row r="10" customFormat="false" ht="15" hidden="false" customHeight="false" outlineLevel="0" collapsed="false">
      <c r="A10" s="0" t="s">
        <v>125</v>
      </c>
      <c r="C10" s="0" t="n">
        <f aca="false">-C6*C9/100</f>
        <v>-370.6164605</v>
      </c>
      <c r="D10" s="0" t="n">
        <f aca="false">-D6*D9/100</f>
        <v>-387.2942012225</v>
      </c>
      <c r="E10" s="0" t="n">
        <f aca="false">-E6*E9/100</f>
        <v>-402.7859692714</v>
      </c>
      <c r="F10" s="0" t="n">
        <f aca="false">-F6*F9/100</f>
        <v>-416.883478195899</v>
      </c>
      <c r="G10" s="0" t="n">
        <f aca="false">-G6*G9/100</f>
        <v>-429.389982541776</v>
      </c>
      <c r="H10" s="0" t="n">
        <f aca="false">-H6*H9/100</f>
        <v>-442.271682018029</v>
      </c>
      <c r="I10" s="0" t="n">
        <f aca="false">-I6*I9/100</f>
        <v>-453.32847406848</v>
      </c>
      <c r="J10" s="0" t="n">
        <f aca="false">-J6*J9/100</f>
        <v>-464.661685920192</v>
      </c>
      <c r="K10" s="0" t="n">
        <f aca="false">-K6*K9/100</f>
        <v>-473.954919638596</v>
      </c>
      <c r="L10" s="0" t="n">
        <f aca="false">-L6*L9/100</f>
        <v>-483.434018031368</v>
      </c>
    </row>
    <row r="11" customFormat="false" ht="15" hidden="false" customHeight="false" outlineLevel="0" collapsed="false">
      <c r="A11" s="0" t="s">
        <v>126</v>
      </c>
      <c r="C11" s="0" t="n">
        <f aca="false">C8+C10+C24</f>
        <v>111954.6800295</v>
      </c>
      <c r="D11" s="0" t="n">
        <f aca="false">D8+D10+D24</f>
        <v>121163.501259377</v>
      </c>
      <c r="E11" s="0" t="n">
        <f aca="false">E8+E10+E24</f>
        <v>129728.065641489</v>
      </c>
      <c r="F11" s="0" t="n">
        <f aca="false">F8+F10+F24</f>
        <v>138116.703122287</v>
      </c>
      <c r="G11" s="0" t="n">
        <f aca="false">G8+G10+G24</f>
        <v>144902.604108521</v>
      </c>
      <c r="H11" s="0" t="n">
        <f aca="false">H8+H10+H24</f>
        <v>151290.936148783</v>
      </c>
      <c r="I11" s="0" t="n">
        <f aca="false">I8+I10+I24</f>
        <v>156468.06639579</v>
      </c>
      <c r="J11" s="0" t="n">
        <f aca="false">J8+J10+J24</f>
        <v>160379.768055685</v>
      </c>
      <c r="K11" s="0" t="n">
        <f aca="false">K8+K10+K24</f>
        <v>163587.363416798</v>
      </c>
      <c r="L11" s="0" t="n">
        <f aca="false">L8+L10+L24</f>
        <v>166859.110685134</v>
      </c>
    </row>
    <row r="12" customFormat="false" ht="15" hidden="false" customHeight="false" outlineLevel="0" collapsed="false">
      <c r="A12" s="0" t="s">
        <v>127</v>
      </c>
      <c r="C12" s="4" t="n">
        <f aca="false">-C6*Assumptions!C45/100</f>
        <v>-25658.06265</v>
      </c>
      <c r="D12" s="4" t="n">
        <f aca="false">-D6*Assumptions!D45/100</f>
        <v>-27408.5127019</v>
      </c>
      <c r="E12" s="4" t="n">
        <f aca="false">-E6*Assumptions!E45/100</f>
        <v>-29124.523931932</v>
      </c>
      <c r="F12" s="4" t="n">
        <f aca="false">-F6*Assumptions!F45/100</f>
        <v>-30785.2414667741</v>
      </c>
      <c r="G12" s="4" t="n">
        <f aca="false">-G6*Assumptions!G45/100</f>
        <v>-32369.3986839185</v>
      </c>
      <c r="H12" s="4" t="n">
        <f aca="false">-H6*Assumptions!H45/100</f>
        <v>-34020.8986167715</v>
      </c>
      <c r="I12" s="4" t="n">
        <f aca="false">-I6*Assumptions!I45/100</f>
        <v>-34871.4210821908</v>
      </c>
      <c r="J12" s="4" t="n">
        <f aca="false">-J6*Assumptions!J45/100</f>
        <v>-35743.2066092455</v>
      </c>
      <c r="K12" s="4" t="n">
        <f aca="false">-K6*Assumptions!K45/100</f>
        <v>-36458.0707414304</v>
      </c>
      <c r="L12" s="4" t="n">
        <f aca="false">-L6*Assumptions!L45/100</f>
        <v>-37187.2321562591</v>
      </c>
    </row>
    <row r="13" customFormat="false" ht="15" hidden="false" customHeight="false" outlineLevel="0" collapsed="false">
      <c r="A13" s="0" t="s">
        <v>128</v>
      </c>
      <c r="C13" s="0" t="n">
        <f aca="false">C11+C12</f>
        <v>86296.6173795</v>
      </c>
      <c r="D13" s="0" t="n">
        <f aca="false">D11+D12</f>
        <v>93754.9885574775</v>
      </c>
      <c r="E13" s="0" t="n">
        <f aca="false">E11+E12</f>
        <v>100603.541709557</v>
      </c>
      <c r="F13" s="0" t="n">
        <f aca="false">F11+F12</f>
        <v>107331.461655513</v>
      </c>
      <c r="G13" s="0" t="n">
        <f aca="false">G11+G12</f>
        <v>112533.205424602</v>
      </c>
      <c r="H13" s="0" t="n">
        <f aca="false">H11+H12</f>
        <v>117270.037532011</v>
      </c>
      <c r="I13" s="0" t="n">
        <f aca="false">I11+I12</f>
        <v>121596.645313599</v>
      </c>
      <c r="J13" s="0" t="n">
        <f aca="false">J11+J12</f>
        <v>124636.561446439</v>
      </c>
      <c r="K13" s="0" t="n">
        <f aca="false">K11+K12</f>
        <v>127129.292675368</v>
      </c>
      <c r="L13" s="0" t="n">
        <f aca="false">L11+L12</f>
        <v>129671.878528875</v>
      </c>
    </row>
    <row r="14" customFormat="false" ht="15" hidden="false" customHeight="false" outlineLevel="0" collapsed="false">
      <c r="A14" s="0" t="s">
        <v>114</v>
      </c>
      <c r="C14" s="4" t="n">
        <f aca="false">Assumptions!C47</f>
        <v>26</v>
      </c>
      <c r="D14" s="4" t="n">
        <f aca="false">Assumptions!D47</f>
        <v>29</v>
      </c>
      <c r="E14" s="4" t="n">
        <f aca="false">Assumptions!E47</f>
        <v>30.6</v>
      </c>
      <c r="F14" s="4" t="n">
        <f aca="false">Assumptions!F47</f>
        <v>30.6</v>
      </c>
      <c r="G14" s="4" t="n">
        <f aca="false">Assumptions!G47</f>
        <v>30.6</v>
      </c>
      <c r="H14" s="4" t="n">
        <f aca="false">Assumptions!H47</f>
        <v>30.6</v>
      </c>
      <c r="I14" s="4" t="n">
        <f aca="false">Assumptions!I47</f>
        <v>30.6</v>
      </c>
      <c r="J14" s="4" t="n">
        <f aca="false">Assumptions!J47</f>
        <v>30.6</v>
      </c>
      <c r="K14" s="4" t="n">
        <f aca="false">Assumptions!K47</f>
        <v>30.6</v>
      </c>
      <c r="L14" s="4" t="n">
        <f aca="false">Assumptions!L47</f>
        <v>30.6</v>
      </c>
    </row>
    <row r="15" customFormat="false" ht="15" hidden="false" customHeight="false" outlineLevel="0" collapsed="false">
      <c r="A15" s="0" t="s">
        <v>129</v>
      </c>
      <c r="C15" s="0" t="n">
        <f aca="false">C13-MAX(0,C13)*C14/100</f>
        <v>63859.49686083</v>
      </c>
      <c r="D15" s="0" t="n">
        <f aca="false">D13-MAX(0,D13)*D14/100</f>
        <v>66566.041875809</v>
      </c>
      <c r="E15" s="0" t="n">
        <f aca="false">E13-MAX(0,E13)*E14/100</f>
        <v>69818.8579464323</v>
      </c>
      <c r="F15" s="0" t="n">
        <f aca="false">F13-MAX(0,F13)*F14/100</f>
        <v>74488.0343889263</v>
      </c>
      <c r="G15" s="0" t="n">
        <f aca="false">G13-MAX(0,G13)*G14/100</f>
        <v>78098.044564674</v>
      </c>
      <c r="H15" s="0" t="n">
        <f aca="false">H13-MAX(0,H13)*H14/100</f>
        <v>81385.4060472158</v>
      </c>
      <c r="I15" s="0" t="n">
        <f aca="false">I13-MAX(0,I13)*I14/100</f>
        <v>84388.0718476378</v>
      </c>
      <c r="J15" s="0" t="n">
        <f aca="false">J13-MAX(0,J13)*J14/100</f>
        <v>86497.7736438288</v>
      </c>
      <c r="K15" s="0" t="n">
        <f aca="false">K13-MAX(0,K13)*K14/100</f>
        <v>88227.7291167054</v>
      </c>
      <c r="L15" s="0" t="n">
        <f aca="false">L13-MAX(0,L13)*L14/100</f>
        <v>89992.2836990395</v>
      </c>
    </row>
    <row r="16" customFormat="false" ht="15" hidden="false" customHeight="false" outlineLevel="0" collapsed="false">
      <c r="A16" s="0" t="s">
        <v>130</v>
      </c>
      <c r="C16" s="0" t="n">
        <f aca="false">-C12</f>
        <v>25658.06265</v>
      </c>
      <c r="D16" s="0" t="n">
        <f aca="false">-D12</f>
        <v>27408.5127019</v>
      </c>
      <c r="E16" s="0" t="n">
        <f aca="false">-E12</f>
        <v>29124.523931932</v>
      </c>
      <c r="F16" s="0" t="n">
        <f aca="false">-F12</f>
        <v>30785.2414667741</v>
      </c>
      <c r="G16" s="0" t="n">
        <f aca="false">-G12</f>
        <v>32369.3986839185</v>
      </c>
      <c r="H16" s="0" t="n">
        <f aca="false">-H12</f>
        <v>34020.8986167715</v>
      </c>
      <c r="I16" s="0" t="n">
        <f aca="false">-I12</f>
        <v>34871.4210821908</v>
      </c>
      <c r="J16" s="0" t="n">
        <f aca="false">-J12</f>
        <v>35743.2066092455</v>
      </c>
      <c r="K16" s="0" t="n">
        <f aca="false">-K12</f>
        <v>36458.0707414304</v>
      </c>
      <c r="L16" s="0" t="n">
        <f aca="false">-L12</f>
        <v>37187.2321562591</v>
      </c>
    </row>
    <row r="17" customFormat="false" ht="15" hidden="false" customHeight="false" outlineLevel="0" collapsed="false">
      <c r="A17" s="0" t="s">
        <v>131</v>
      </c>
      <c r="C17" s="4" t="n">
        <f aca="false">-C6*Assumptions!C46/100</f>
        <v>-39342.36273</v>
      </c>
      <c r="D17" s="4" t="n">
        <f aca="false">-D6*Assumptions!D46/100</f>
        <v>-40516.9318202</v>
      </c>
      <c r="E17" s="4" t="n">
        <f aca="false">-E6*Assumptions!E46/100</f>
        <v>-40278.59692714</v>
      </c>
      <c r="F17" s="4" t="n">
        <f aca="false">-F6*Assumptions!F46/100</f>
        <v>-38481.5518334676</v>
      </c>
      <c r="G17" s="4" t="n">
        <f aca="false">-G6*Assumptions!G46/100</f>
        <v>-37984.4984556186</v>
      </c>
      <c r="H17" s="4" t="n">
        <f aca="false">-H6*Assumptions!H46/100</f>
        <v>-37422.9884784486</v>
      </c>
      <c r="I17" s="4" t="n">
        <f aca="false">-I6*Assumptions!I46/100</f>
        <v>-38358.5631904098</v>
      </c>
      <c r="J17" s="4" t="n">
        <f aca="false">-J6*Assumptions!J46/100</f>
        <v>-39317.5272701701</v>
      </c>
      <c r="K17" s="4" t="n">
        <f aca="false">-K6*Assumptions!K46/100</f>
        <v>-40103.8778155735</v>
      </c>
      <c r="L17" s="4" t="n">
        <f aca="false">-L6*Assumptions!L46/100</f>
        <v>-40905.955371885</v>
      </c>
    </row>
    <row r="18" customFormat="false" ht="15" hidden="false" customHeight="false" outlineLevel="0" collapsed="false">
      <c r="A18" s="0" t="s">
        <v>132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133</v>
      </c>
      <c r="C19" s="0" t="n">
        <f aca="false">C15+C16+C17+C18</f>
        <v>50175.19678083</v>
      </c>
      <c r="D19" s="0" t="n">
        <f aca="false">D15+D16+D17+D18</f>
        <v>53457.622757509</v>
      </c>
      <c r="E19" s="0" t="n">
        <f aca="false">E15+E16+E17+E18</f>
        <v>58664.7849512243</v>
      </c>
      <c r="F19" s="0" t="n">
        <f aca="false">F15+F16+F17+F18</f>
        <v>66791.7240222328</v>
      </c>
      <c r="G19" s="0" t="n">
        <f aca="false">G15+G16+G17+G18</f>
        <v>72482.9447929739</v>
      </c>
      <c r="H19" s="0" t="n">
        <f aca="false">H15+H16+H17+H18</f>
        <v>77983.3161855387</v>
      </c>
      <c r="I19" s="0" t="n">
        <f aca="false">I15+I16+I17+I18</f>
        <v>80900.9297394188</v>
      </c>
      <c r="J19" s="0" t="n">
        <f aca="false">J15+J16+J17+J18</f>
        <v>82923.4529829042</v>
      </c>
      <c r="K19" s="0" t="n">
        <f aca="false">K15+K16+K17+K18</f>
        <v>84581.9220425623</v>
      </c>
      <c r="L19" s="0" t="n">
        <f aca="false">L15+L16+L17+L18</f>
        <v>86273.5604834135</v>
      </c>
    </row>
    <row r="20" customFormat="false" ht="15" hidden="false" customHeight="false" outlineLevel="0" collapsed="false">
      <c r="A20" s="0" t="s">
        <v>134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135</v>
      </c>
      <c r="C21" s="0" t="n">
        <f aca="false">C19*C20</f>
        <v>46458.5155378056</v>
      </c>
      <c r="D21" s="0" t="n">
        <f aca="false">D19*D20</f>
        <v>45831.2952310606</v>
      </c>
      <c r="E21" s="0" t="n">
        <f aca="false">E19*E20</f>
        <v>46569.9977067967</v>
      </c>
      <c r="F21" s="0" t="n">
        <f aca="false">F19*F20</f>
        <v>49093.9110760831</v>
      </c>
      <c r="G21" s="0" t="n">
        <f aca="false">G19*G20</f>
        <v>49330.6742976232</v>
      </c>
      <c r="H21" s="0" t="n">
        <f aca="false">H19*H20</f>
        <v>49142.7172637481</v>
      </c>
      <c r="I21" s="0" t="n">
        <f aca="false">I19*I20</f>
        <v>47204.9154707276</v>
      </c>
      <c r="J21" s="0" t="n">
        <f aca="false">J19*J20</f>
        <v>44800.9614421257</v>
      </c>
      <c r="K21" s="0" t="n">
        <f aca="false">K19*K20</f>
        <v>42312.0191397854</v>
      </c>
      <c r="L21" s="0" t="n">
        <f aca="false">L19*L20</f>
        <v>39961.3514097973</v>
      </c>
    </row>
    <row r="23" customFormat="false" ht="15" hidden="false" customHeight="false" outlineLevel="0" collapsed="false">
      <c r="A23" s="0" t="s">
        <v>111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136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137</v>
      </c>
    </row>
    <row r="27" customFormat="false" ht="15" hidden="false" customHeight="false" outlineLevel="0" collapsed="false">
      <c r="A27" s="0" t="s">
        <v>115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116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117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138</v>
      </c>
      <c r="B30" s="0" t="n">
        <f aca="false">SUM(C21:L21)</f>
        <v>460706.358575553</v>
      </c>
    </row>
    <row r="31" customFormat="false" ht="15" hidden="false" customHeight="false" outlineLevel="0" collapsed="false">
      <c r="A31" s="0" t="s">
        <v>139</v>
      </c>
      <c r="B31" s="0" t="n">
        <f aca="false">L19</f>
        <v>86273.5604834135</v>
      </c>
    </row>
    <row r="32" customFormat="false" ht="15" hidden="false" customHeight="false" outlineLevel="0" collapsed="false">
      <c r="A32" s="0" t="s">
        <v>140</v>
      </c>
      <c r="B32" s="0" t="n">
        <f aca="false">IF(B27&gt;B28,B31*(1+B28/100)/((B27-B28)/100),B31*B29)</f>
        <v>1347194.82908715</v>
      </c>
    </row>
    <row r="33" customFormat="false" ht="15" hidden="false" customHeight="false" outlineLevel="0" collapsed="false">
      <c r="A33" s="0" t="s">
        <v>141</v>
      </c>
      <c r="B33" s="0" t="n">
        <f aca="false">B31*B29</f>
        <v>1207829.84676779</v>
      </c>
    </row>
    <row r="34" customFormat="false" ht="15" hidden="false" customHeight="false" outlineLevel="0" collapsed="false">
      <c r="A34" s="0" t="s">
        <v>142</v>
      </c>
      <c r="B34" s="0" t="n">
        <f aca="false">MAX(0,MIN(B32,B33))</f>
        <v>1207829.84676779</v>
      </c>
    </row>
    <row r="35" customFormat="false" ht="15" hidden="false" customHeight="false" outlineLevel="0" collapsed="false">
      <c r="A35" s="0" t="s">
        <v>143</v>
      </c>
      <c r="B35" s="0" t="n">
        <f aca="false">B34/(1+B27/100)^L4</f>
        <v>559458.919737162</v>
      </c>
    </row>
    <row r="36" customFormat="false" ht="15" hidden="false" customHeight="false" outlineLevel="0" collapsed="false">
      <c r="A36" s="0" t="s">
        <v>144</v>
      </c>
      <c r="B36" s="0" t="n">
        <f aca="false">B30+B35</f>
        <v>1020165.27831272</v>
      </c>
    </row>
    <row r="37" customFormat="false" ht="15" hidden="false" customHeight="false" outlineLevel="0" collapsed="false">
      <c r="A37" s="0" t="s">
        <v>145</v>
      </c>
      <c r="B37" s="0" t="n">
        <f aca="false">B36+Assumptions!$B$5-Assumptions!$B$4</f>
        <v>1017335.27831272</v>
      </c>
    </row>
    <row r="38" customFormat="false" ht="15" hidden="false" customHeight="false" outlineLevel="0" collapsed="false">
      <c r="A38" s="0" t="s">
        <v>146</v>
      </c>
      <c r="B38" s="0" t="n">
        <f aca="false">B37/Assumptions!$B$3*Assumptions!$B$10</f>
        <v>1457.50039872882</v>
      </c>
    </row>
    <row r="39" customFormat="false" ht="15" hidden="false" customHeight="false" outlineLevel="0" collapsed="false">
      <c r="A39" s="0" t="s">
        <v>147</v>
      </c>
      <c r="B39" s="4" t="n">
        <f aca="false">B38/Assumptions!$B$2-1</f>
        <v>-0.187795821271207</v>
      </c>
    </row>
    <row r="41" customFormat="false" ht="15" hidden="false" customHeight="false" outlineLevel="0" collapsed="false">
      <c r="A41" s="0" t="s">
        <v>148</v>
      </c>
      <c r="B41" s="0" t="n">
        <f aca="false">SUMPRODUCT(-C10:L10/(1+$B$27/100)^C4:L4)</f>
        <v>2848.88783044582</v>
      </c>
    </row>
    <row r="42" customFormat="false" ht="15" hidden="false" customHeight="false" outlineLevel="0" collapsed="false">
      <c r="A42" s="0" t="s">
        <v>149</v>
      </c>
      <c r="B42" s="0" t="n">
        <f aca="false">IF(B27&gt;B28,-L10*(1+B28/100)/((B27-B28)/100),-L10*20)/(1+B27/100)^L4</f>
        <v>3496.65140625853</v>
      </c>
    </row>
    <row r="43" customFormat="false" ht="15" hidden="false" customHeight="false" outlineLevel="0" collapsed="false">
      <c r="A43" s="0" t="s">
        <v>150</v>
      </c>
      <c r="B43" s="0" t="n">
        <f aca="false">(B37+B41+B42)/Assumptions!$B$3*Assumptions!$B$10</f>
        <v>1466.5914291539</v>
      </c>
    </row>
    <row r="45" customFormat="false" ht="15" hidden="false" customHeight="false" outlineLevel="0" collapsed="false">
      <c r="A45" s="0" t="s">
        <v>91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151</v>
      </c>
      <c r="B46" s="0" t="n">
        <f aca="false">MAX(0,MIN(IF(B45&gt;B28,B31*(1+B28/100)/((B45-B28)/100),B31*B29),B31*B29))</f>
        <v>648649.362153072</v>
      </c>
    </row>
    <row r="47" customFormat="false" ht="15" hidden="false" customHeight="false" outlineLevel="0" collapsed="false">
      <c r="A47" s="0" t="s">
        <v>152</v>
      </c>
      <c r="B47" s="0" t="n">
        <f aca="false">(SUMPRODUCT(C19:L19/(1+B45/100)^C4:L4)+B46/(1+B45/100)^L4+Assumptions!$B$5-Assumptions!$B$4)/Assumptions!$B$3*Assumptions!$B$10</f>
        <v>703.383242692938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155</v>
      </c>
    </row>
    <row r="3" customFormat="false" ht="15" hidden="false" customHeight="false" outlineLevel="0" collapsed="false">
      <c r="A3" s="2" t="s">
        <v>156</v>
      </c>
      <c r="B3" s="2" t="s">
        <v>157</v>
      </c>
      <c r="C3" s="2" t="s">
        <v>147</v>
      </c>
      <c r="D3" s="2" t="s">
        <v>158</v>
      </c>
      <c r="E3" s="2" t="s">
        <v>150</v>
      </c>
      <c r="F3" s="2" t="s">
        <v>159</v>
      </c>
    </row>
    <row r="4" customFormat="false" ht="15" hidden="false" customHeight="false" outlineLevel="0" collapsed="false">
      <c r="A4" s="0" t="s">
        <v>160</v>
      </c>
      <c r="B4" s="4" t="n">
        <f aca="false">DCF_Bear!$B$38</f>
        <v>751.443447641021</v>
      </c>
      <c r="C4" s="0" t="n">
        <f aca="false">B4/Assumptions!$B$2-1</f>
        <v>-0.581251909924201</v>
      </c>
      <c r="D4" s="4" t="n">
        <f aca="false">Assumptions!$B$24</f>
        <v>0.25</v>
      </c>
      <c r="E4" s="4" t="n">
        <f aca="false">DCF_Bear!$B$43</f>
        <v>758.051899472862</v>
      </c>
      <c r="F4" s="4" t="n">
        <f aca="false">DCF_Bear!$B$47</f>
        <v>388.718608901465</v>
      </c>
    </row>
    <row r="5" customFormat="false" ht="15" hidden="false" customHeight="false" outlineLevel="0" collapsed="false">
      <c r="A5" s="0" t="s">
        <v>161</v>
      </c>
      <c r="B5" s="4" t="n">
        <f aca="false">DCF_Base!$B$38</f>
        <v>1222.91502498438</v>
      </c>
      <c r="C5" s="0" t="n">
        <f aca="false">B5/Assumptions!$B$2-1</f>
        <v>-0.318520465319376</v>
      </c>
      <c r="D5" s="4" t="n">
        <f aca="false">Assumptions!$B$38</f>
        <v>0.5</v>
      </c>
      <c r="E5" s="4" t="n">
        <f aca="false">DCF_Base!$B$43</f>
        <v>1230.88996978954</v>
      </c>
      <c r="F5" s="4" t="n">
        <f aca="false">DCF_Base!$B$47</f>
        <v>594.969378734698</v>
      </c>
    </row>
    <row r="6" customFormat="false" ht="15" hidden="false" customHeight="false" outlineLevel="0" collapsed="false">
      <c r="A6" s="0" t="s">
        <v>162</v>
      </c>
      <c r="B6" s="4" t="n">
        <f aca="false">DCF_Bull!$B$38</f>
        <v>1457.50039872882</v>
      </c>
      <c r="C6" s="0" t="n">
        <f aca="false">B6/Assumptions!$B$2-1</f>
        <v>-0.187795821271207</v>
      </c>
      <c r="D6" s="4" t="n">
        <f aca="false">Assumptions!$B$52</f>
        <v>0.25</v>
      </c>
      <c r="E6" s="4" t="n">
        <f aca="false">DCF_Bull!$B$43</f>
        <v>1466.5914291539</v>
      </c>
      <c r="F6" s="4" t="n">
        <f aca="false">DCF_Bull!$B$47</f>
        <v>703.383242692938</v>
      </c>
    </row>
    <row r="8" customFormat="false" ht="15" hidden="false" customHeight="false" outlineLevel="0" collapsed="false">
      <c r="A8" s="0" t="s">
        <v>163</v>
      </c>
      <c r="B8" s="0" t="n">
        <f aca="false">SUMPRODUCT(B4:B6,D4:D6)</f>
        <v>1163.69347408465</v>
      </c>
    </row>
    <row r="9" customFormat="false" ht="15" hidden="false" customHeight="false" outlineLevel="0" collapsed="false">
      <c r="A9" s="0" t="s">
        <v>164</v>
      </c>
      <c r="B9" s="0" t="n">
        <f aca="false">SUMPRODUCT(E4:E6,D4:D6)</f>
        <v>1171.60581705146</v>
      </c>
    </row>
    <row r="10" customFormat="false" ht="15" hidden="false" customHeight="false" outlineLevel="0" collapsed="false">
      <c r="A10" s="0" t="s">
        <v>165</v>
      </c>
      <c r="B10" s="0" t="n">
        <f aca="false">1-Assumptions!$B$2/B8</f>
        <v>-0.542072753661816</v>
      </c>
    </row>
    <row r="11" customFormat="false" ht="15" hidden="false" customHeight="false" outlineLevel="0" collapsed="false">
      <c r="A11" s="0" t="s">
        <v>166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167</v>
      </c>
      <c r="B12" s="0" t="n">
        <f aca="false">SUMPRODUCT(F4:F6,D4:D6)</f>
        <v>570.51015226595</v>
      </c>
    </row>
    <row r="14" customFormat="false" ht="15" hidden="false" customHeight="false" outlineLevel="0" collapsed="false">
      <c r="A14" s="2" t="s">
        <v>168</v>
      </c>
      <c r="C14" s="0" t="s">
        <v>169</v>
      </c>
    </row>
    <row r="15" customFormat="false" ht="15" hidden="false" customHeight="false" outlineLevel="0" collapsed="false">
      <c r="A15" s="0" t="s">
        <v>170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1222.91502498438</v>
      </c>
      <c r="C15" s="3" t="n">
        <v>8</v>
      </c>
    </row>
    <row r="16" customFormat="false" ht="15" hidden="false" customHeight="false" outlineLevel="0" collapsed="false">
      <c r="A16" s="0" t="s">
        <v>171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1080.08075174933</v>
      </c>
      <c r="C16" s="3" t="n">
        <v>9</v>
      </c>
    </row>
    <row r="17" customFormat="false" ht="15" hidden="false" customHeight="false" outlineLevel="0" collapsed="false">
      <c r="A17" s="0" t="s">
        <v>172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953.723460369987</v>
      </c>
      <c r="C17" s="3" t="n">
        <v>10</v>
      </c>
    </row>
    <row r="18" customFormat="false" ht="15" hidden="false" customHeight="false" outlineLevel="0" collapsed="false">
      <c r="A18" s="0" t="s">
        <v>173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852.864759901058</v>
      </c>
      <c r="C18" s="3" t="n">
        <v>11</v>
      </c>
    </row>
    <row r="19" customFormat="false" ht="15" hidden="false" customHeight="false" outlineLevel="0" collapsed="false">
      <c r="A19" s="0" t="s">
        <v>174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770.539352827433</v>
      </c>
      <c r="C19" s="3" t="n">
        <v>12</v>
      </c>
    </row>
    <row r="20" customFormat="false" ht="15" hidden="false" customHeight="false" outlineLevel="0" collapsed="false">
      <c r="A20" s="0" t="s">
        <v>175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594.969378734698</v>
      </c>
      <c r="C20" s="3" t="n">
        <v>15</v>
      </c>
    </row>
    <row r="22" customFormat="false" ht="15" hidden="false" customHeight="false" outlineLevel="0" collapsed="false">
      <c r="A22" s="2" t="s">
        <v>176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1417.15935597417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1417.15935597417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1417.15935597417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1417.15935597417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1417.15935597417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1315.49492131528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1315.49492131528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1315.49492131528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1315.49492131528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1315.49492131528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1153.02600351376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1194.95941639613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1222.91502498438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1222.91502498438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1222.91502498438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1015.75508776484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1046.02598846342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1080.08075174933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1118.67615014002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1138.50497867101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906.323434377275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928.77607826856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953.723460369987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981.605828600993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1012.97349286088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2026-10-26T06:30:48Z</dcterms:created>
  <dc:creator>openpyxl</dc:creator>
  <dc:description/>
  <dc:language>en-NZ</dc:language>
  <cp:lastModifiedBy/>
  <dcterms:modified xsi:type="dcterms:W3CDTF">2026-10-26T06:30:48Z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