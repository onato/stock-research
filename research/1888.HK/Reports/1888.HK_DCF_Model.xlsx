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<sst xmlns="http://schemas.openxmlformats.org/spreadsheetml/2006/main" count="354" uniqueCount="164">
  <si>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</si>
  <si>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1888.HK</t>
  </si>
  <si>
    <t xml:space="preserve">Company</t>
  </si>
  <si>
    <t xml:space="preserve">Kingboard Laminates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</si>
  <si>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</si>
  <si>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</si>
  <si>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</si>
  <si>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</si>
  <si>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(HKEX);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</si>
  <si>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</si>
  <si>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</si>
  <si>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</si>
  <si>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</si>
  <si>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</si>
  <si>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</si>
  <si>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</si>
  <si>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</si>
  <si>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</si>
  <si>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</si>
  <si>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</si>
  <si>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</si>
  <si>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2026-10-16T22:13:37Z</t>
  </si>
  <si>
    <t xml:space="preserve">Drivers file</t>
  </si>
  <si>
    <t xml:space="preserve">1888.HK_Drivers.json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</si>
  <si>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</si>
  <si>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</si>
  <si>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</si>
  <si>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AI upcycle as a cash windfall, not a perpetuity. The base case capitalises a mid-cycle margin (~22%) on a larger, richer-mix revenue base after banking two boom years of cash; the market price, which sits above even the bull case, is capitalising something close to peak earnings.
key_risks_to_valuation: Duration of the e-glass yarn/fabric and copper-foil shortage: each extra boom year at ~38% rather than ~22% EBITDA margin adds roughly HK$1.5/share; Normalised margin: every 1pp of terminal EBITDA margin is worth ~HK$0.8/share in the base case; Working capital: at ~45% of revenue, the WC drag on the way up (and release on the way down) dominates year-1 and year-3 FCF; US-China export controls/tariffs on AI hardware content made in the PRC; Related-party sales to Kingboard Holdings subsidiaries (~17% of H1 FY26 revenue) and family-controlled governance; KBCF minority litigation appeal; Short-term-heavy bank debt (84% due within a year) funding the capex programme</t>
  </si>
  <si>
    <t xml:space="preserve">Data sources</t>
  </si>
  <si>
    <t xml:space="preserve">price: Yahoo Finance chart API at inputs.price_as_of; 52-week range 10.50-107.20 HKD
financials: 1888.HK_Metrics.csv and DuckDB core_metrics/kpis (FY2018-FY2025, H1 FY2023-H1 FY2026); FY2025 annual report segment note (line 6506) and MD&amp;A; H1 FY2026 interim report: income statement, balance sheet, cash-flow summary, segment note, note 14 share options, Investments, Liquidity and Prospects sections
qualitative: 1888.HK_Analysis.json (2026-10-17)</t>
  </si>
  <si>
    <t xml:space="preserve">Scenario narrative: bear</t>
  </si>
  <si>
    <t xml:space="preserve">The shortage is a classic double-ordering bubble: PCB makers built inventory ahead of an AI-capex pause, competitors' e-glass and copper-foil capacity lands in 2027, and copper prices roll over. Year-1 revenue grows only 25% before falling 20% and 10%; EBITDA margins return to the FY2023-24 trough band (14-16%) and settle at 17%, leaving the group over-built after HK$5bn+ of expansion capex, with US-China export-control and tariff escalation hitting PRC-made AI content and related-party Kingboard Holdings demand softening. Exit at 10x FCF.</t>
  </si>
  <si>
    <t xml:space="preserve">Scenario narrative: base</t>
  </si>
  <si>
    <t xml:space="preserve">The AI-server upcycle is real but cyclical. Kingboard's vertically integrated e-glass yarn/fabric and copper-foil chain lets it raise prices on both upstream materials and finished laminates while the shortage lasts, so the twelve months to June 2027 run at ~38% EBITDA margin on ~45% higher revenue, but below the July-2026 monthly peak. From 2027-28 the group's own new kilns, the Shaoguan yarn/fabric plant, its 2027 copper-foil plant and competitors' capacity (Taiwan, Japan and mainland e-glass makers) close the gap; laminate and yarn prices fall back and revenue drops ~22% over two years. The business then settles on a structurally larger, higher-mix base (AI servers, 800G switches, IC substrates, auto electronics) at a 22% mid-cycle EBITDA margin - slightly above its FY2018-25 average because of the high-end mix - growing 3-4%. Working capital consumes cash on the way up and releases it on the way down.</t>
  </si>
  <si>
    <t xml:space="preserve">Scenario narrative: bull</t>
  </si>
  <si>
    <t xml:space="preserve">Hyperscaler and sovereign AI capex keeps compounding, and low-Dk/low-CTE glass yarn and HVLP3 foil prove to be a genuine bottleneck that only a handful of certified suppliers can fill. Kingboard's early kiln investment and Tier-1 certifications let it hold ~42% EBITDA margins for two years and normalise only to ~30% (versus a historic 32% cycle peak) as the product mix permanently shifts up the value chain; revenue keeps growing with capacity additions. Exit at 14x FCF.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</si>
  <si>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</si>
  <si>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</si>
  <si>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</si>
  <si>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</si>
  <si>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</si>
  <si>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</si>
  <si>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</si>
  <si>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</si>
  <si>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</si>
  <si>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</si>
  <si>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</si>
  <si>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</si>
  <si>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</si>
  <si>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</si>
  <si>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</si>
  <si>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</si>
  <si>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</si>
  <si>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</si>
  <si>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</si>
  <si>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</si>
  <si>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</si>
  <si>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</si>
  <si>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</si>
  <si>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</si>
  <si>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</si>
  <si>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</si>
  <si>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</si>
  <si>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</si>
  <si>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</si>
  <si>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</si>
  <si>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</si>
  <si>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</si>
  <si>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</si>
  <si>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</si>
  <si>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</si>
  <si>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</si>
  <si>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</si>
  <si>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</si>
  <si>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</si>
  <si>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</si>
  <si>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</si>
  <si>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</si>
  <si>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</si>
  <si>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</si>
  <si>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30 June 2026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</si>
  <si>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</si>
  <si>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</si>
  <si>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</si>
  <si>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</si>
  <si>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TTM to 30 June 2027</t>
  </si>
  <si>
    <t xml:space="preserve">TTM to 30 June 2028</t>
  </si>
  <si>
    <t xml:space="preserve">TTM to 30 June 2029</t>
  </si>
  <si>
    <t xml:space="preserve">TTM to 30 June 2030</t>
  </si>
  <si>
    <t xml:space="preserve">TTM to 30 June 2031</t>
  </si>
  <si>
    <t xml:space="preserve">TTM to 30 June 2032</t>
  </si>
  <si>
    <t xml:space="preserve">TTM to 30 June 2033</t>
  </si>
  <si>
    <t xml:space="preserve">TTM to 30 June 2034</t>
  </si>
  <si>
    <t xml:space="preserve">TTM to 30 June 2035</t>
  </si>
  <si>
    <t xml:space="preserve">TTM to 30 June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</si>
  <si>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</si>
  <si>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</si>
  <si>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</si>
  <si>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</si>
  <si>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</si>
  <si>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</si>
  <si>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</si>
  <si>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</si>
  <si>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</si>
  <si>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</si>
  <si>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</si>
  <si>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</si>
  <si>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</si>
  <si>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</si>
  <si>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1888.HK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</si>
  <si>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</si>
  <si>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</si>
  <si>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</si>
  <si>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</si>
  <si>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</si>
  <si>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</si>
  <si>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</si>
  <si>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</si>
  <si>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</si>
  <si>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</si>
  <si>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</si>
  <si>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</si>
  <si>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</si>
  <si>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</si>
  <si>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</si>
  <si>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</si>
  <si>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</si>
  <si>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</si>
  <si>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</si>
  <si>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</si>
  <si>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</si>
  <si>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</si>
  <si>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</si>
  <si>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</si>
  <si>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</si>
  <si>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</si>
  <si>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</si>
  <si>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</si>
  <si>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</si>
  <si>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</si>
  <si>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1888.HK owner-FCF component DCF: base case (millions, HKD)</t>
  </si>
  <si>
    <t xml:space="preserve">1888.HK owner-FCF component DCF: bull case (millions, HKD)</t>
  </si>
  <si>
    <t xml:space="preserve">1888.HK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</si>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</sst>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39.48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20645.776</v>
      </c>
      <c r="C2" s="0" t="n">
        <v>15113.926</v>
      </c>
      <c r="D2" s="0" t="n">
        <v>5531.85</v>
      </c>
      <c r="E2" s="0" t="n">
        <v>26.8</v>
      </c>
      <c r="F2" s="0" t="n">
        <v>4579.056</v>
      </c>
      <c r="G2" s="0" t="n">
        <v>22.2</v>
      </c>
      <c r="H2" s="0" t="n">
        <v>5180.272</v>
      </c>
      <c r="I2" s="0" t="n">
        <v>3250.381</v>
      </c>
      <c r="J2" s="0" t="n">
        <v>15.7</v>
      </c>
      <c r="K2" s="0" t="n">
        <v>1.055</v>
      </c>
      <c r="L2" s="0" t="n">
        <v>3528.128</v>
      </c>
      <c r="M2" s="0" t="n">
        <v>886.232</v>
      </c>
      <c r="N2" s="0" t="n">
        <v>2641.896</v>
      </c>
      <c r="O2" s="0" t="n">
        <v>17499.572</v>
      </c>
      <c r="P2" s="0" t="n">
        <v>28721.741</v>
      </c>
      <c r="Q2" s="0" t="n">
        <v>10878.739</v>
      </c>
      <c r="R2" s="0" t="n">
        <v>5842.5</v>
      </c>
      <c r="S2" s="0" t="n">
        <v>3803.125</v>
      </c>
      <c r="T2" s="0" t="n">
        <v>3081</v>
      </c>
      <c r="U2" s="0" t="n">
        <v>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18383.952</v>
      </c>
      <c r="C3" s="0" t="n">
        <v>13970.306</v>
      </c>
      <c r="D3" s="0" t="n">
        <v>4413.646</v>
      </c>
      <c r="E3" s="0" t="n">
        <v>24</v>
      </c>
      <c r="F3" s="0" t="n">
        <v>3449.167</v>
      </c>
      <c r="G3" s="0" t="n">
        <v>18.8</v>
      </c>
      <c r="H3" s="0" t="n">
        <v>4051.839</v>
      </c>
      <c r="I3" s="0" t="n">
        <v>2402.247</v>
      </c>
      <c r="J3" s="0" t="n">
        <v>13.1</v>
      </c>
      <c r="K3" s="0" t="n">
        <v>0.78</v>
      </c>
      <c r="L3" s="0" t="n">
        <v>2668.339</v>
      </c>
      <c r="M3" s="0" t="n">
        <v>1051.557</v>
      </c>
      <c r="N3" s="0" t="n">
        <v>1616.782</v>
      </c>
      <c r="O3" s="0" t="n">
        <v>18701.422</v>
      </c>
      <c r="P3" s="0" t="n">
        <v>25803.171</v>
      </c>
      <c r="Q3" s="0" t="n">
        <v>7054.092</v>
      </c>
      <c r="R3" s="0" t="n">
        <v>2945.264</v>
      </c>
      <c r="S3" s="0" t="n">
        <v>2908.117</v>
      </c>
      <c r="T3" s="0" t="n">
        <v>3081</v>
      </c>
      <c r="U3" s="0" t="n">
        <v>96.609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17301.186</v>
      </c>
      <c r="C4" s="0" t="n">
        <v>12594.178</v>
      </c>
      <c r="D4" s="0" t="n">
        <v>4707.008</v>
      </c>
      <c r="E4" s="0" t="n">
        <v>27.2</v>
      </c>
      <c r="F4" s="0" t="n">
        <v>3739.299</v>
      </c>
      <c r="G4" s="0" t="n">
        <v>21.6</v>
      </c>
      <c r="H4" s="0" t="n">
        <v>4334.137</v>
      </c>
      <c r="I4" s="0" t="n">
        <v>2802.885</v>
      </c>
      <c r="J4" s="0" t="n">
        <v>16.2</v>
      </c>
      <c r="K4" s="0" t="n">
        <v>0.906</v>
      </c>
      <c r="L4" s="0" t="n">
        <v>2278.167</v>
      </c>
      <c r="M4" s="0" t="n">
        <v>694.697</v>
      </c>
      <c r="N4" s="0" t="n">
        <v>1583.47</v>
      </c>
      <c r="O4" s="0" t="n">
        <v>14333.065</v>
      </c>
      <c r="P4" s="0" t="n">
        <v>26375.915</v>
      </c>
      <c r="Q4" s="0" t="n">
        <v>11987.904</v>
      </c>
      <c r="R4" s="0" t="n">
        <v>1153.846</v>
      </c>
      <c r="S4" s="0" t="n">
        <v>4909.965</v>
      </c>
      <c r="T4" s="0" t="n">
        <v>3120</v>
      </c>
      <c r="U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28799.81</v>
      </c>
      <c r="C5" s="0" t="n">
        <v>19004.119</v>
      </c>
      <c r="D5" s="0" t="n">
        <v>9795.691</v>
      </c>
      <c r="E5" s="0" t="n">
        <v>34</v>
      </c>
      <c r="F5" s="0" t="n">
        <v>8467.58</v>
      </c>
      <c r="G5" s="0" t="n">
        <v>29.4</v>
      </c>
      <c r="H5" s="0" t="n">
        <v>9200.292</v>
      </c>
      <c r="I5" s="0" t="n">
        <v>6781.656</v>
      </c>
      <c r="J5" s="0" t="n">
        <v>23.5</v>
      </c>
      <c r="K5" s="0" t="n">
        <v>2.174</v>
      </c>
      <c r="L5" s="0" t="n">
        <v>6384.268</v>
      </c>
      <c r="M5" s="0" t="n">
        <v>1990.03</v>
      </c>
      <c r="N5" s="0" t="n">
        <v>4394.238</v>
      </c>
      <c r="O5" s="0" t="n">
        <v>19038.483</v>
      </c>
      <c r="P5" s="0" t="n">
        <v>29821.785</v>
      </c>
      <c r="Q5" s="0" t="n">
        <v>10756.661</v>
      </c>
      <c r="R5" s="0" t="n">
        <v>2714.902</v>
      </c>
      <c r="S5" s="0" t="n">
        <v>2864.889</v>
      </c>
      <c r="T5" s="0" t="n">
        <v>3120</v>
      </c>
      <c r="U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22363.68</v>
      </c>
      <c r="C6" s="0" t="n">
        <v>17274.238</v>
      </c>
      <c r="D6" s="0" t="n">
        <v>5089.442</v>
      </c>
      <c r="E6" s="0" t="n">
        <v>22.8</v>
      </c>
      <c r="F6" s="0" t="n">
        <v>3488.158</v>
      </c>
      <c r="G6" s="0" t="n">
        <v>15.6</v>
      </c>
      <c r="H6" s="0" t="n">
        <v>4285.016</v>
      </c>
      <c r="I6" s="0" t="n">
        <v>1909.169</v>
      </c>
      <c r="J6" s="0" t="n">
        <v>8.5</v>
      </c>
      <c r="K6" s="0" t="n">
        <v>0.612</v>
      </c>
      <c r="L6" s="0" t="n">
        <v>5992.106</v>
      </c>
      <c r="M6" s="0" t="n">
        <v>2107.332</v>
      </c>
      <c r="N6" s="0" t="n">
        <v>3884.774</v>
      </c>
      <c r="O6" s="0" t="n">
        <v>15048.892</v>
      </c>
      <c r="P6" s="0" t="n">
        <v>24299.812</v>
      </c>
      <c r="Q6" s="0" t="n">
        <v>9227.821</v>
      </c>
      <c r="R6" s="0" t="n">
        <v>4400</v>
      </c>
      <c r="S6" s="0" t="n">
        <v>3289.953</v>
      </c>
      <c r="T6" s="0" t="n">
        <v>3120</v>
      </c>
      <c r="U6" s="0" t="n">
        <v>48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16750.248</v>
      </c>
      <c r="C7" s="0" t="n">
        <v>14073.125</v>
      </c>
      <c r="D7" s="0" t="n">
        <v>2677.123</v>
      </c>
      <c r="E7" s="0" t="n">
        <v>16</v>
      </c>
      <c r="F7" s="0" t="n">
        <v>1466.62</v>
      </c>
      <c r="G7" s="0" t="n">
        <v>8.8</v>
      </c>
      <c r="H7" s="0" t="n">
        <v>2366.726</v>
      </c>
      <c r="I7" s="0" t="n">
        <v>907.402</v>
      </c>
      <c r="J7" s="0" t="n">
        <v>5.4</v>
      </c>
      <c r="K7" s="0" t="n">
        <v>0.291</v>
      </c>
      <c r="L7" s="0" t="n">
        <v>823.721</v>
      </c>
      <c r="M7" s="0" t="n">
        <v>600.782</v>
      </c>
      <c r="N7" s="0" t="n">
        <v>222.939</v>
      </c>
      <c r="O7" s="0" t="n">
        <v>14951.235</v>
      </c>
      <c r="P7" s="0" t="n">
        <v>23562.884</v>
      </c>
      <c r="Q7" s="0" t="n">
        <v>8587.647</v>
      </c>
      <c r="R7" s="0" t="n">
        <v>4451.394</v>
      </c>
      <c r="S7" s="0" t="n">
        <v>2027.179</v>
      </c>
      <c r="T7" s="0" t="n">
        <v>3120</v>
      </c>
      <c r="U7" s="0" t="n">
        <v>48.75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18541.025</v>
      </c>
      <c r="C8" s="0" t="n">
        <v>15262.584</v>
      </c>
      <c r="D8" s="0" t="n">
        <v>3278.441</v>
      </c>
      <c r="E8" s="0" t="n">
        <v>17.7</v>
      </c>
      <c r="F8" s="0" t="n">
        <v>1990.539</v>
      </c>
      <c r="G8" s="0" t="n">
        <v>10.7</v>
      </c>
      <c r="H8" s="0" t="n">
        <v>2939.706</v>
      </c>
      <c r="I8" s="0" t="n">
        <v>1326.096</v>
      </c>
      <c r="J8" s="0" t="n">
        <v>7.2</v>
      </c>
      <c r="K8" s="0" t="n">
        <v>0.425</v>
      </c>
      <c r="L8" s="0" t="n">
        <v>2708.088</v>
      </c>
      <c r="M8" s="0" t="n">
        <v>774.193</v>
      </c>
      <c r="N8" s="0" t="n">
        <v>1933.895</v>
      </c>
      <c r="O8" s="0" t="n">
        <v>15342.427</v>
      </c>
      <c r="P8" s="0" t="n">
        <v>23110.13</v>
      </c>
      <c r="Q8" s="0" t="n">
        <v>7740.241</v>
      </c>
      <c r="R8" s="0" t="n">
        <v>3278.282</v>
      </c>
      <c r="S8" s="0" t="n">
        <v>1924.271</v>
      </c>
      <c r="T8" s="0" t="n">
        <v>3120</v>
      </c>
      <c r="U8" s="0" t="n">
        <v>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20400.19</v>
      </c>
      <c r="C9" s="0" t="n">
        <v>16409.344</v>
      </c>
      <c r="D9" s="0" t="n">
        <v>3990.846</v>
      </c>
      <c r="E9" s="0" t="n">
        <v>19.6</v>
      </c>
      <c r="F9" s="0" t="n">
        <v>3220.915</v>
      </c>
      <c r="G9" s="0" t="n">
        <v>15.8</v>
      </c>
      <c r="H9" s="0" t="n">
        <v>4152.473</v>
      </c>
      <c r="I9" s="0" t="n">
        <v>2442.174</v>
      </c>
      <c r="J9" s="0" t="n">
        <v>12</v>
      </c>
      <c r="K9" s="0" t="n">
        <v>0.78</v>
      </c>
      <c r="L9" s="0" t="n">
        <v>2160.158</v>
      </c>
      <c r="M9" s="0" t="n">
        <v>1276.987</v>
      </c>
      <c r="N9" s="0" t="n">
        <v>883.171</v>
      </c>
      <c r="O9" s="0" t="n">
        <v>16341.745</v>
      </c>
      <c r="P9" s="0" t="n">
        <v>25475.408</v>
      </c>
      <c r="Q9" s="0" t="n">
        <v>9108.24</v>
      </c>
      <c r="R9" s="0" t="n">
        <v>4189.556</v>
      </c>
      <c r="S9" s="0" t="n">
        <v>1627.899</v>
      </c>
      <c r="T9" s="0" t="n">
        <v>3135.33</v>
      </c>
      <c r="U9" s="0" t="n">
        <v>0</v>
      </c>
      <c r="AA9" s="0" t="s">
        <v>17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39.48</v>
      </c>
    </row>
    <row r="3" customFormat="false" ht="15" hidden="false" customHeight="false" outlineLevel="0" collapsed="false">
      <c r="A3" s="0" t="s">
        <v>74</v>
      </c>
      <c r="B3" s="3" t="n">
        <v>3192.8</v>
      </c>
    </row>
    <row r="4" customFormat="false" ht="15" hidden="false" customHeight="false" outlineLevel="0" collapsed="false">
      <c r="A4" s="0" t="s">
        <v>75</v>
      </c>
      <c r="B4" s="3" t="n">
        <v>5519.6</v>
      </c>
    </row>
    <row r="5" customFormat="false" ht="15" hidden="false" customHeight="false" outlineLevel="0" collapsed="false">
      <c r="A5" s="0" t="s">
        <v>76</v>
      </c>
      <c r="B5" s="3" t="n">
        <v>1903.7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25585.5</v>
      </c>
    </row>
    <row r="8" customFormat="false" ht="15" hidden="false" customHeight="false" outlineLevel="0" collapsed="false">
      <c r="A8" s="0" t="s">
        <v>79</v>
      </c>
      <c r="B8" s="3" t="s">
        <v>80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25</v>
      </c>
      <c r="D13" s="3" t="n">
        <v>-20</v>
      </c>
      <c r="E13" s="3" t="n">
        <v>-10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30</v>
      </c>
      <c r="D14" s="3" t="n">
        <v>20</v>
      </c>
      <c r="E14" s="3" t="n">
        <v>15</v>
      </c>
      <c r="F14" s="3" t="n">
        <v>16</v>
      </c>
      <c r="G14" s="3" t="n">
        <v>17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97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4</v>
      </c>
      <c r="D17" s="3" t="n">
        <v>5</v>
      </c>
      <c r="E17" s="3" t="n">
        <v>5.8</v>
      </c>
      <c r="F17" s="3" t="n">
        <v>5.8</v>
      </c>
      <c r="G17" s="3" t="n">
        <v>5.6</v>
      </c>
      <c r="H17" s="3" t="n">
        <v>5.5</v>
      </c>
      <c r="I17" s="3" t="n">
        <v>5.5</v>
      </c>
      <c r="J17" s="3" t="n">
        <v>5.5</v>
      </c>
      <c r="K17" s="3" t="n">
        <v>5.5</v>
      </c>
      <c r="L17" s="3" t="n">
        <v>5.5</v>
      </c>
    </row>
    <row r="18" customFormat="false" ht="15" hidden="false" customHeight="false" outlineLevel="0" collapsed="false">
      <c r="A18" s="0" t="s">
        <v>100</v>
      </c>
      <c r="C18" s="3" t="n">
        <v>10</v>
      </c>
      <c r="D18" s="3" t="n">
        <v>6</v>
      </c>
      <c r="E18" s="3" t="n">
        <v>5</v>
      </c>
      <c r="F18" s="3" t="n">
        <v>5</v>
      </c>
      <c r="G18" s="3" t="n">
        <v>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101</v>
      </c>
      <c r="C19" s="3" t="n">
        <v>20</v>
      </c>
      <c r="D19" s="3" t="n">
        <v>21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102</v>
      </c>
      <c r="B20" s="3" t="n">
        <v>10.5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10</v>
      </c>
    </row>
    <row r="23" customFormat="false" ht="15" hidden="false" customHeight="false" outlineLevel="0" collapsed="false">
      <c r="A23" s="0" t="s">
        <v>105</v>
      </c>
      <c r="B23" s="3" t="n">
        <v>-35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45</v>
      </c>
      <c r="D27" s="3" t="n">
        <v>5</v>
      </c>
      <c r="E27" s="3" t="n">
        <v>-15</v>
      </c>
      <c r="F27" s="3" t="n">
        <v>-8</v>
      </c>
      <c r="G27" s="3" t="n">
        <v>4</v>
      </c>
      <c r="H27" s="3" t="n">
        <v>4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38</v>
      </c>
      <c r="D28" s="3" t="n">
        <v>33</v>
      </c>
      <c r="E28" s="3" t="n">
        <v>25</v>
      </c>
      <c r="F28" s="3" t="n">
        <v>21.5</v>
      </c>
      <c r="G28" s="3" t="n">
        <v>22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97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3.5</v>
      </c>
      <c r="D31" s="3" t="n">
        <v>4</v>
      </c>
      <c r="E31" s="3" t="n">
        <v>4.8</v>
      </c>
      <c r="F31" s="3" t="n">
        <v>5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100</v>
      </c>
      <c r="C32" s="3" t="n">
        <v>10.2</v>
      </c>
      <c r="D32" s="3" t="n">
        <v>7</v>
      </c>
      <c r="E32" s="3" t="n">
        <v>6</v>
      </c>
      <c r="F32" s="3" t="n">
        <v>5.5</v>
      </c>
      <c r="G32" s="3" t="n">
        <v>5.5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101</v>
      </c>
      <c r="C33" s="3" t="n">
        <v>20</v>
      </c>
      <c r="D33" s="3" t="n">
        <v>20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102</v>
      </c>
      <c r="B34" s="3" t="n">
        <v>10.5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-35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55</v>
      </c>
      <c r="D41" s="3" t="n">
        <v>15</v>
      </c>
      <c r="E41" s="3" t="n">
        <v>8</v>
      </c>
      <c r="F41" s="3" t="n">
        <v>3</v>
      </c>
      <c r="G41" s="3" t="n">
        <v>3</v>
      </c>
      <c r="H41" s="3" t="n">
        <v>6</v>
      </c>
      <c r="I41" s="3" t="n">
        <v>5</v>
      </c>
      <c r="J41" s="3" t="n">
        <v>4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42</v>
      </c>
      <c r="D42" s="3" t="n">
        <v>42</v>
      </c>
      <c r="E42" s="3" t="n">
        <v>38</v>
      </c>
      <c r="F42" s="3" t="n">
        <v>34</v>
      </c>
      <c r="G42" s="3" t="n">
        <v>31</v>
      </c>
      <c r="H42" s="3" t="n">
        <v>30</v>
      </c>
      <c r="I42" s="3" t="n">
        <v>30</v>
      </c>
      <c r="J42" s="3" t="n">
        <v>30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97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3.5</v>
      </c>
      <c r="D45" s="3" t="n">
        <v>3.8</v>
      </c>
      <c r="E45" s="3" t="n">
        <v>4.2</v>
      </c>
      <c r="F45" s="3" t="n">
        <v>4.5</v>
      </c>
      <c r="G45" s="3" t="n">
        <v>4.8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100</v>
      </c>
      <c r="C46" s="3" t="n">
        <v>10</v>
      </c>
      <c r="D46" s="3" t="n">
        <v>8</v>
      </c>
      <c r="E46" s="3" t="n">
        <v>7</v>
      </c>
      <c r="F46" s="3" t="n">
        <v>6</v>
      </c>
      <c r="G46" s="3" t="n">
        <v>6</v>
      </c>
      <c r="H46" s="3" t="n">
        <v>6</v>
      </c>
      <c r="I46" s="3" t="n">
        <v>6</v>
      </c>
      <c r="J46" s="3" t="n">
        <v>6</v>
      </c>
      <c r="K46" s="3" t="n">
        <v>6</v>
      </c>
      <c r="L46" s="3" t="n">
        <v>6</v>
      </c>
    </row>
    <row r="47" customFormat="false" ht="15" hidden="false" customHeight="false" outlineLevel="0" collapsed="false">
      <c r="A47" s="0" t="s">
        <v>101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102</v>
      </c>
      <c r="B48" s="3" t="n">
        <v>10.5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14</v>
      </c>
    </row>
    <row r="51" customFormat="false" ht="15" hidden="false" customHeight="false" outlineLevel="0" collapsed="false">
      <c r="A51" s="0" t="s">
        <v>105</v>
      </c>
      <c r="B51" s="3" t="n">
        <v>-35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80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25</v>
      </c>
      <c r="D5" s="4" t="n">
        <f aca="false">Assumptions!D13</f>
        <v>-20</v>
      </c>
      <c r="E5" s="4" t="n">
        <f aca="false">Assumptions!E13</f>
        <v>-10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25585.5</v>
      </c>
      <c r="C6" s="0" t="n">
        <f aca="false">B6*(1+C5/100)</f>
        <v>31981.875</v>
      </c>
      <c r="D6" s="0" t="n">
        <f aca="false">C6*(1+D5/100)</f>
        <v>25585.5</v>
      </c>
      <c r="E6" s="0" t="n">
        <f aca="false">D6*(1+E5/100)</f>
        <v>23026.95</v>
      </c>
      <c r="F6" s="0" t="n">
        <f aca="false">E6*(1+F5/100)</f>
        <v>23487.489</v>
      </c>
      <c r="G6" s="0" t="n">
        <f aca="false">F6*(1+G5/100)</f>
        <v>24192.11367</v>
      </c>
      <c r="H6" s="0" t="n">
        <f aca="false">G6*(1+H5/100)</f>
        <v>24917.8770801</v>
      </c>
      <c r="I6" s="0" t="n">
        <f aca="false">H6*(1+I5/100)</f>
        <v>25665.413392503</v>
      </c>
      <c r="J6" s="0" t="n">
        <f aca="false">I6*(1+J5/100)</f>
        <v>26307.0487273156</v>
      </c>
      <c r="K6" s="0" t="n">
        <f aca="false">J6*(1+K5/100)</f>
        <v>26833.1897018619</v>
      </c>
      <c r="L6" s="0" t="n">
        <f aca="false">K6*(1+L5/100)</f>
        <v>27369.8534958991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30</v>
      </c>
      <c r="D7" s="4" t="n">
        <f aca="false">Assumptions!D14</f>
        <v>20</v>
      </c>
      <c r="E7" s="4" t="n">
        <f aca="false">Assumptions!E14</f>
        <v>15</v>
      </c>
      <c r="F7" s="4" t="n">
        <f aca="false">Assumptions!F14</f>
        <v>16</v>
      </c>
      <c r="G7" s="4" t="n">
        <f aca="false">Assumptions!G14</f>
        <v>17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9594.5625</v>
      </c>
      <c r="D8" s="0" t="n">
        <f aca="false">D6*D7/100</f>
        <v>5117.1</v>
      </c>
      <c r="E8" s="0" t="n">
        <f aca="false">E6*E7/100</f>
        <v>3454.0425</v>
      </c>
      <c r="F8" s="0" t="n">
        <f aca="false">F6*F7/100</f>
        <v>3757.99824</v>
      </c>
      <c r="G8" s="0" t="n">
        <f aca="false">G6*G7/100</f>
        <v>4112.6593239</v>
      </c>
      <c r="H8" s="0" t="n">
        <f aca="false">H6*H7/100</f>
        <v>4236.039103617</v>
      </c>
      <c r="I8" s="0" t="n">
        <f aca="false">I6*I7/100</f>
        <v>4363.12027672551</v>
      </c>
      <c r="J8" s="0" t="n">
        <f aca="false">J6*J7/100</f>
        <v>4472.19828364365</v>
      </c>
      <c r="K8" s="0" t="n">
        <f aca="false">K6*K7/100</f>
        <v>4561.64224931652</v>
      </c>
      <c r="L8" s="0" t="n">
        <f aca="false">L6*L7/100</f>
        <v>4652.87509430285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-31.981875</v>
      </c>
      <c r="D10" s="0" t="n">
        <f aca="false">-D6*D9/100</f>
        <v>-25.5855</v>
      </c>
      <c r="E10" s="0" t="n">
        <f aca="false">-E6*E9/100</f>
        <v>-23.02695</v>
      </c>
      <c r="F10" s="0" t="n">
        <f aca="false">-F6*F9/100</f>
        <v>-23.487489</v>
      </c>
      <c r="G10" s="0" t="n">
        <f aca="false">-G6*G9/100</f>
        <v>-24.19211367</v>
      </c>
      <c r="H10" s="0" t="n">
        <f aca="false">-H6*H9/100</f>
        <v>-24.9178770801</v>
      </c>
      <c r="I10" s="0" t="n">
        <f aca="false">-I6*I9/100</f>
        <v>-25.665413392503</v>
      </c>
      <c r="J10" s="0" t="n">
        <f aca="false">-J6*J9/100</f>
        <v>-26.3070487273156</v>
      </c>
      <c r="K10" s="0" t="n">
        <f aca="false">-K6*K9/100</f>
        <v>-26.8331897018619</v>
      </c>
      <c r="L10" s="0" t="n">
        <f aca="false">-L6*L9/100</f>
        <v>-27.3698534958991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9562.580625</v>
      </c>
      <c r="D11" s="0" t="n">
        <f aca="false">D8+D10+D24</f>
        <v>5091.5145</v>
      </c>
      <c r="E11" s="0" t="n">
        <f aca="false">E8+E10+E24</f>
        <v>3431.01555</v>
      </c>
      <c r="F11" s="0" t="n">
        <f aca="false">F8+F10+F24</f>
        <v>3734.510751</v>
      </c>
      <c r="G11" s="0" t="n">
        <f aca="false">G8+G10+G24</f>
        <v>4088.46721023</v>
      </c>
      <c r="H11" s="0" t="n">
        <f aca="false">H8+H10+H24</f>
        <v>4211.1212265369</v>
      </c>
      <c r="I11" s="0" t="n">
        <f aca="false">I8+I10+I24</f>
        <v>4337.45486333301</v>
      </c>
      <c r="J11" s="0" t="n">
        <f aca="false">J8+J10+J24</f>
        <v>4445.89123491633</v>
      </c>
      <c r="K11" s="0" t="n">
        <f aca="false">K8+K10+K24</f>
        <v>4534.80905961466</v>
      </c>
      <c r="L11" s="0" t="n">
        <f aca="false">L8+L10+L24</f>
        <v>4625.50524080695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-1279.275</v>
      </c>
      <c r="D12" s="4" t="n">
        <f aca="false">-D6*Assumptions!D17/100</f>
        <v>-1279.275</v>
      </c>
      <c r="E12" s="4" t="n">
        <f aca="false">-E6*Assumptions!E17/100</f>
        <v>-1335.5631</v>
      </c>
      <c r="F12" s="4" t="n">
        <f aca="false">-F6*Assumptions!F17/100</f>
        <v>-1362.274362</v>
      </c>
      <c r="G12" s="4" t="n">
        <f aca="false">-G6*Assumptions!G17/100</f>
        <v>-1354.75836552</v>
      </c>
      <c r="H12" s="4" t="n">
        <f aca="false">-H6*Assumptions!H17/100</f>
        <v>-1370.4832394055</v>
      </c>
      <c r="I12" s="4" t="n">
        <f aca="false">-I6*Assumptions!I17/100</f>
        <v>-1411.59773658767</v>
      </c>
      <c r="J12" s="4" t="n">
        <f aca="false">-J6*Assumptions!J17/100</f>
        <v>-1446.88768000236</v>
      </c>
      <c r="K12" s="4" t="n">
        <f aca="false">-K6*Assumptions!K17/100</f>
        <v>-1475.8254336024</v>
      </c>
      <c r="L12" s="4" t="n">
        <f aca="false">-L6*Assumptions!L17/100</f>
        <v>-1505.34194227445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8283.305625</v>
      </c>
      <c r="D13" s="0" t="n">
        <f aca="false">D11+D12</f>
        <v>3812.2395</v>
      </c>
      <c r="E13" s="0" t="n">
        <f aca="false">E11+E12</f>
        <v>2095.45245</v>
      </c>
      <c r="F13" s="0" t="n">
        <f aca="false">F11+F12</f>
        <v>2372.236389</v>
      </c>
      <c r="G13" s="0" t="n">
        <f aca="false">G11+G12</f>
        <v>2733.70884471</v>
      </c>
      <c r="H13" s="0" t="n">
        <f aca="false">H11+H12</f>
        <v>2840.6379871314</v>
      </c>
      <c r="I13" s="0" t="n">
        <f aca="false">I11+I12</f>
        <v>2925.85712674534</v>
      </c>
      <c r="J13" s="0" t="n">
        <f aca="false">J11+J12</f>
        <v>2999.00355491398</v>
      </c>
      <c r="K13" s="0" t="n">
        <f aca="false">K11+K12</f>
        <v>3058.98362601226</v>
      </c>
      <c r="L13" s="0" t="n">
        <f aca="false">L11+L12</f>
        <v>3120.1632985325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20</v>
      </c>
      <c r="D14" s="4" t="n">
        <f aca="false">Assumptions!D19</f>
        <v>21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6626.6445</v>
      </c>
      <c r="D15" s="0" t="n">
        <f aca="false">D13-MAX(0,D13)*D14/100</f>
        <v>3011.669205</v>
      </c>
      <c r="E15" s="0" t="n">
        <f aca="false">E13-MAX(0,E13)*E14/100</f>
        <v>1634.452911</v>
      </c>
      <c r="F15" s="0" t="n">
        <f aca="false">F13-MAX(0,F13)*F14/100</f>
        <v>1850.34438342</v>
      </c>
      <c r="G15" s="0" t="n">
        <f aca="false">G13-MAX(0,G13)*G14/100</f>
        <v>2132.2928988738</v>
      </c>
      <c r="H15" s="0" t="n">
        <f aca="false">H13-MAX(0,H13)*H14/100</f>
        <v>2215.69762996249</v>
      </c>
      <c r="I15" s="0" t="n">
        <f aca="false">I13-MAX(0,I13)*I14/100</f>
        <v>2282.16855886137</v>
      </c>
      <c r="J15" s="0" t="n">
        <f aca="false">J13-MAX(0,J13)*J14/100</f>
        <v>2339.2227728329</v>
      </c>
      <c r="K15" s="0" t="n">
        <f aca="false">K13-MAX(0,K13)*K14/100</f>
        <v>2386.00722828956</v>
      </c>
      <c r="L15" s="0" t="n">
        <f aca="false">L13-MAX(0,L13)*L14/100</f>
        <v>2433.72737285535</v>
      </c>
    </row>
    <row r="16" customFormat="false" ht="15" hidden="false" customHeight="false" outlineLevel="0" collapsed="false">
      <c r="A16" s="0" t="s">
        <v>117</v>
      </c>
      <c r="C16" s="0" t="n">
        <f aca="false">-C12</f>
        <v>1279.275</v>
      </c>
      <c r="D16" s="0" t="n">
        <f aca="false">-D12</f>
        <v>1279.275</v>
      </c>
      <c r="E16" s="0" t="n">
        <f aca="false">-E12</f>
        <v>1335.5631</v>
      </c>
      <c r="F16" s="0" t="n">
        <f aca="false">-F12</f>
        <v>1362.274362</v>
      </c>
      <c r="G16" s="0" t="n">
        <f aca="false">-G12</f>
        <v>1354.75836552</v>
      </c>
      <c r="H16" s="0" t="n">
        <f aca="false">-H12</f>
        <v>1370.4832394055</v>
      </c>
      <c r="I16" s="0" t="n">
        <f aca="false">-I12</f>
        <v>1411.59773658767</v>
      </c>
      <c r="J16" s="0" t="n">
        <f aca="false">-J12</f>
        <v>1446.88768000236</v>
      </c>
      <c r="K16" s="0" t="n">
        <f aca="false">-K12</f>
        <v>1475.8254336024</v>
      </c>
      <c r="L16" s="0" t="n">
        <f aca="false">-L12</f>
        <v>1505.34194227445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-3198.1875</v>
      </c>
      <c r="D17" s="4" t="n">
        <f aca="false">-D6*Assumptions!D18/100</f>
        <v>-1535.13</v>
      </c>
      <c r="E17" s="4" t="n">
        <f aca="false">-E6*Assumptions!E18/100</f>
        <v>-1151.3475</v>
      </c>
      <c r="F17" s="4" t="n">
        <f aca="false">-F6*Assumptions!F18/100</f>
        <v>-1174.37445</v>
      </c>
      <c r="G17" s="4" t="n">
        <f aca="false">-G6*Assumptions!G18/100</f>
        <v>-1209.6056835</v>
      </c>
      <c r="H17" s="4" t="n">
        <f aca="false">-H6*Assumptions!H18/100</f>
        <v>-1245.893854005</v>
      </c>
      <c r="I17" s="4" t="n">
        <f aca="false">-I6*Assumptions!I18/100</f>
        <v>-1283.27066962515</v>
      </c>
      <c r="J17" s="4" t="n">
        <f aca="false">-J6*Assumptions!J18/100</f>
        <v>-1315.35243636578</v>
      </c>
      <c r="K17" s="4" t="n">
        <f aca="false">-K6*Assumptions!K18/100</f>
        <v>-1341.65948509309</v>
      </c>
      <c r="L17" s="4" t="n">
        <f aca="false">-L6*Assumptions!L18/100</f>
        <v>-1368.49267479496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-2238.73125</v>
      </c>
      <c r="D18" s="4" t="n">
        <f aca="false">(D6-C6)*Assumptions!$B$23/100</f>
        <v>2238.73125</v>
      </c>
      <c r="E18" s="4" t="n">
        <f aca="false">(E6-D6)*Assumptions!$B$23/100</f>
        <v>895.4925</v>
      </c>
      <c r="F18" s="4" t="n">
        <f aca="false">(F6-E6)*Assumptions!$B$23/100</f>
        <v>-161.18865</v>
      </c>
      <c r="G18" s="4" t="n">
        <f aca="false">(G6-F6)*Assumptions!$B$23/100</f>
        <v>-246.6186345</v>
      </c>
      <c r="H18" s="4" t="n">
        <f aca="false">(H6-G6)*Assumptions!$B$23/100</f>
        <v>-254.017193535</v>
      </c>
      <c r="I18" s="4" t="n">
        <f aca="false">(I6-H6)*Assumptions!$B$23/100</f>
        <v>-261.63770934105</v>
      </c>
      <c r="J18" s="4" t="n">
        <f aca="false">(J6-I6)*Assumptions!$B$23/100</f>
        <v>-224.572367184401</v>
      </c>
      <c r="K18" s="4" t="n">
        <f aca="false">(K6-J6)*Assumptions!$B$23/100</f>
        <v>-184.14934109121</v>
      </c>
      <c r="L18" s="4" t="n">
        <f aca="false">(L6-K6)*Assumptions!$B$23/100</f>
        <v>-187.832327913033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2469.00075</v>
      </c>
      <c r="D19" s="0" t="n">
        <f aca="false">D15+D16+D17+D18</f>
        <v>4994.545455</v>
      </c>
      <c r="E19" s="0" t="n">
        <f aca="false">E15+E16+E17+E18</f>
        <v>2714.161011</v>
      </c>
      <c r="F19" s="0" t="n">
        <f aca="false">F15+F16+F17+F18</f>
        <v>1877.05564542</v>
      </c>
      <c r="G19" s="0" t="n">
        <f aca="false">G15+G16+G17+G18</f>
        <v>2030.8269463938</v>
      </c>
      <c r="H19" s="0" t="n">
        <f aca="false">H15+H16+H17+H18</f>
        <v>2086.26982182799</v>
      </c>
      <c r="I19" s="0" t="n">
        <f aca="false">I15+I16+I17+I18</f>
        <v>2148.85791648283</v>
      </c>
      <c r="J19" s="0" t="n">
        <f aca="false">J15+J16+J17+J18</f>
        <v>2246.18564928508</v>
      </c>
      <c r="K19" s="0" t="n">
        <f aca="false">K15+K16+K17+K18</f>
        <v>2336.02383570766</v>
      </c>
      <c r="L19" s="0" t="n">
        <f aca="false">L15+L16+L17+L18</f>
        <v>2382.74431242181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2234.38981900453</v>
      </c>
      <c r="D21" s="0" t="n">
        <f aca="false">D19*D20</f>
        <v>4090.45306607154</v>
      </c>
      <c r="E21" s="0" t="n">
        <f aca="false">E19*E20</f>
        <v>2011.63310218651</v>
      </c>
      <c r="F21" s="0" t="n">
        <f aca="false">F19*F20</f>
        <v>1259.00668298975</v>
      </c>
      <c r="G21" s="0" t="n">
        <f aca="false">G19*G20</f>
        <v>1232.71172603521</v>
      </c>
      <c r="H21" s="0" t="n">
        <f aca="false">H19*H20</f>
        <v>1146.03216754117</v>
      </c>
      <c r="I21" s="0" t="n">
        <f aca="false">I19*I20</f>
        <v>1068.24717879404</v>
      </c>
      <c r="J21" s="0" t="n">
        <f aca="false">J19*J20</f>
        <v>1010.52584186863</v>
      </c>
      <c r="K21" s="0" t="n">
        <f aca="false">K19*K20</f>
        <v>951.079383535244</v>
      </c>
      <c r="L21" s="0" t="n">
        <f aca="false">L19*L20</f>
        <v>877.91943095561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15881.9983989822</v>
      </c>
    </row>
    <row r="31" customFormat="false" ht="15" hidden="false" customHeight="false" outlineLevel="0" collapsed="false">
      <c r="A31" s="0" t="s">
        <v>126</v>
      </c>
      <c r="B31" s="0" t="n">
        <f aca="false">L19</f>
        <v>2382.74431242181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28592.9317490618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23827.4431242181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23827.4431242181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8779.1943095561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24661.1927085383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21045.2927085383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6.59148481224579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-0.833042431300765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156.693271943466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121.012696567693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6.6784636297449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18695.3784513096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4.53941722204367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80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45</v>
      </c>
      <c r="D5" s="4" t="n">
        <f aca="false">Assumptions!D27</f>
        <v>5</v>
      </c>
      <c r="E5" s="4" t="n">
        <f aca="false">Assumptions!E27</f>
        <v>-15</v>
      </c>
      <c r="F5" s="4" t="n">
        <f aca="false">Assumptions!F27</f>
        <v>-8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25585.5</v>
      </c>
      <c r="C6" s="0" t="n">
        <f aca="false">B6*(1+C5/100)</f>
        <v>37098.975</v>
      </c>
      <c r="D6" s="0" t="n">
        <f aca="false">C6*(1+D5/100)</f>
        <v>38953.92375</v>
      </c>
      <c r="E6" s="0" t="n">
        <f aca="false">D6*(1+E5/100)</f>
        <v>33110.8351875</v>
      </c>
      <c r="F6" s="0" t="n">
        <f aca="false">E6*(1+F5/100)</f>
        <v>30461.9683725</v>
      </c>
      <c r="G6" s="0" t="n">
        <f aca="false">F6*(1+G5/100)</f>
        <v>31680.4471074</v>
      </c>
      <c r="H6" s="0" t="n">
        <f aca="false">G6*(1+H5/100)</f>
        <v>32947.664991696</v>
      </c>
      <c r="I6" s="0" t="n">
        <f aca="false">H6*(1+I5/100)</f>
        <v>34265.5715913638</v>
      </c>
      <c r="J6" s="0" t="n">
        <f aca="false">I6*(1+J5/100)</f>
        <v>35464.8665970616</v>
      </c>
      <c r="K6" s="0" t="n">
        <f aca="false">J6*(1+K5/100)</f>
        <v>36528.8125949734</v>
      </c>
      <c r="L6" s="0" t="n">
        <f aca="false">K6*(1+L5/100)</f>
        <v>37624.6769728226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38</v>
      </c>
      <c r="D7" s="4" t="n">
        <f aca="false">Assumptions!D28</f>
        <v>33</v>
      </c>
      <c r="E7" s="4" t="n">
        <f aca="false">Assumptions!E28</f>
        <v>25</v>
      </c>
      <c r="F7" s="4" t="n">
        <f aca="false">Assumptions!F28</f>
        <v>21.5</v>
      </c>
      <c r="G7" s="4" t="n">
        <f aca="false">Assumptions!G28</f>
        <v>22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14097.6105</v>
      </c>
      <c r="D8" s="0" t="n">
        <f aca="false">D6*D7/100</f>
        <v>12854.7948375</v>
      </c>
      <c r="E8" s="0" t="n">
        <f aca="false">E6*E7/100</f>
        <v>8277.708796875</v>
      </c>
      <c r="F8" s="0" t="n">
        <f aca="false">F6*F7/100</f>
        <v>6549.3232000875</v>
      </c>
      <c r="G8" s="0" t="n">
        <f aca="false">G6*G7/100</f>
        <v>6969.698363628</v>
      </c>
      <c r="H8" s="0" t="n">
        <f aca="false">H6*H7/100</f>
        <v>7248.48629817312</v>
      </c>
      <c r="I8" s="0" t="n">
        <f aca="false">I6*I7/100</f>
        <v>7538.42575010005</v>
      </c>
      <c r="J8" s="0" t="n">
        <f aca="false">J6*J7/100</f>
        <v>7802.27065135355</v>
      </c>
      <c r="K8" s="0" t="n">
        <f aca="false">K6*K7/100</f>
        <v>8036.33877089415</v>
      </c>
      <c r="L8" s="0" t="n">
        <f aca="false">L6*L7/100</f>
        <v>8277.42893402098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-37.098975</v>
      </c>
      <c r="D10" s="0" t="n">
        <f aca="false">-D6*D9/100</f>
        <v>-38.95392375</v>
      </c>
      <c r="E10" s="0" t="n">
        <f aca="false">-E6*E9/100</f>
        <v>-33.1108351875</v>
      </c>
      <c r="F10" s="0" t="n">
        <f aca="false">-F6*F9/100</f>
        <v>-30.4619683725</v>
      </c>
      <c r="G10" s="0" t="n">
        <f aca="false">-G6*G9/100</f>
        <v>-31.6804471074</v>
      </c>
      <c r="H10" s="0" t="n">
        <f aca="false">-H6*H9/100</f>
        <v>-32.947664991696</v>
      </c>
      <c r="I10" s="0" t="n">
        <f aca="false">-I6*I9/100</f>
        <v>-34.2655715913638</v>
      </c>
      <c r="J10" s="0" t="n">
        <f aca="false">-J6*J9/100</f>
        <v>-35.4648665970616</v>
      </c>
      <c r="K10" s="0" t="n">
        <f aca="false">-K6*K9/100</f>
        <v>-36.5288125949734</v>
      </c>
      <c r="L10" s="0" t="n">
        <f aca="false">-L6*L9/100</f>
        <v>-37.6246769728226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14060.511525</v>
      </c>
      <c r="D11" s="0" t="n">
        <f aca="false">D8+D10+D24</f>
        <v>12815.84091375</v>
      </c>
      <c r="E11" s="0" t="n">
        <f aca="false">E8+E10+E24</f>
        <v>8244.5979616875</v>
      </c>
      <c r="F11" s="0" t="n">
        <f aca="false">F8+F10+F24</f>
        <v>6518.861231715</v>
      </c>
      <c r="G11" s="0" t="n">
        <f aca="false">G8+G10+G24</f>
        <v>6938.0179165206</v>
      </c>
      <c r="H11" s="0" t="n">
        <f aca="false">H8+H10+H24</f>
        <v>7215.53863318142</v>
      </c>
      <c r="I11" s="0" t="n">
        <f aca="false">I8+I10+I24</f>
        <v>7504.16017850868</v>
      </c>
      <c r="J11" s="0" t="n">
        <f aca="false">J8+J10+J24</f>
        <v>7766.80578475649</v>
      </c>
      <c r="K11" s="0" t="n">
        <f aca="false">K8+K10+K24</f>
        <v>7999.80995829918</v>
      </c>
      <c r="L11" s="0" t="n">
        <f aca="false">L8+L10+L24</f>
        <v>8239.80425704816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-1298.464125</v>
      </c>
      <c r="D12" s="4" t="n">
        <f aca="false">-D6*Assumptions!D31/100</f>
        <v>-1558.15695</v>
      </c>
      <c r="E12" s="4" t="n">
        <f aca="false">-E6*Assumptions!E31/100</f>
        <v>-1589.320089</v>
      </c>
      <c r="F12" s="4" t="n">
        <f aca="false">-F6*Assumptions!F31/100</f>
        <v>-1523.098418625</v>
      </c>
      <c r="G12" s="4" t="n">
        <f aca="false">-G6*Assumptions!G31/100</f>
        <v>-1584.02235537</v>
      </c>
      <c r="H12" s="4" t="n">
        <f aca="false">-H6*Assumptions!H31/100</f>
        <v>-1647.3832495848</v>
      </c>
      <c r="I12" s="4" t="n">
        <f aca="false">-I6*Assumptions!I31/100</f>
        <v>-1713.27857956819</v>
      </c>
      <c r="J12" s="4" t="n">
        <f aca="false">-J6*Assumptions!J31/100</f>
        <v>-1773.24332985308</v>
      </c>
      <c r="K12" s="4" t="n">
        <f aca="false">-K6*Assumptions!K31/100</f>
        <v>-1826.44062974867</v>
      </c>
      <c r="L12" s="4" t="n">
        <f aca="false">-L6*Assumptions!L31/100</f>
        <v>-1881.23384864113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12762.0474</v>
      </c>
      <c r="D13" s="0" t="n">
        <f aca="false">D11+D12</f>
        <v>11257.68396375</v>
      </c>
      <c r="E13" s="0" t="n">
        <f aca="false">E11+E12</f>
        <v>6655.2778726875</v>
      </c>
      <c r="F13" s="0" t="n">
        <f aca="false">F11+F12</f>
        <v>4995.76281309</v>
      </c>
      <c r="G13" s="0" t="n">
        <f aca="false">G11+G12</f>
        <v>5353.9955611506</v>
      </c>
      <c r="H13" s="0" t="n">
        <f aca="false">H11+H12</f>
        <v>5568.15538359662</v>
      </c>
      <c r="I13" s="0" t="n">
        <f aca="false">I11+I12</f>
        <v>5790.88159894049</v>
      </c>
      <c r="J13" s="0" t="n">
        <f aca="false">J11+J12</f>
        <v>5993.56245490341</v>
      </c>
      <c r="K13" s="0" t="n">
        <f aca="false">K11+K12</f>
        <v>6173.36932855051</v>
      </c>
      <c r="L13" s="0" t="n">
        <f aca="false">L11+L12</f>
        <v>6358.57040840702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10209.63792</v>
      </c>
      <c r="D15" s="0" t="n">
        <f aca="false">D13-MAX(0,D13)*D14/100</f>
        <v>9006.147171</v>
      </c>
      <c r="E15" s="0" t="n">
        <f aca="false">E13-MAX(0,E13)*E14/100</f>
        <v>5257.66951942313</v>
      </c>
      <c r="F15" s="0" t="n">
        <f aca="false">F13-MAX(0,F13)*F14/100</f>
        <v>3946.6526223411</v>
      </c>
      <c r="G15" s="0" t="n">
        <f aca="false">G13-MAX(0,G13)*G14/100</f>
        <v>4229.65649330898</v>
      </c>
      <c r="H15" s="0" t="n">
        <f aca="false">H13-MAX(0,H13)*H14/100</f>
        <v>4398.84275304133</v>
      </c>
      <c r="I15" s="0" t="n">
        <f aca="false">I13-MAX(0,I13)*I14/100</f>
        <v>4574.79646316299</v>
      </c>
      <c r="J15" s="0" t="n">
        <f aca="false">J13-MAX(0,J13)*J14/100</f>
        <v>4734.91433937369</v>
      </c>
      <c r="K15" s="0" t="n">
        <f aca="false">K13-MAX(0,K13)*K14/100</f>
        <v>4876.9617695549</v>
      </c>
      <c r="L15" s="0" t="n">
        <f aca="false">L13-MAX(0,L13)*L14/100</f>
        <v>5023.27062264155</v>
      </c>
    </row>
    <row r="16" customFormat="false" ht="15" hidden="false" customHeight="false" outlineLevel="0" collapsed="false">
      <c r="A16" s="0" t="s">
        <v>117</v>
      </c>
      <c r="C16" s="0" t="n">
        <f aca="false">-C12</f>
        <v>1298.464125</v>
      </c>
      <c r="D16" s="0" t="n">
        <f aca="false">-D12</f>
        <v>1558.15695</v>
      </c>
      <c r="E16" s="0" t="n">
        <f aca="false">-E12</f>
        <v>1589.320089</v>
      </c>
      <c r="F16" s="0" t="n">
        <f aca="false">-F12</f>
        <v>1523.098418625</v>
      </c>
      <c r="G16" s="0" t="n">
        <f aca="false">-G12</f>
        <v>1584.02235537</v>
      </c>
      <c r="H16" s="0" t="n">
        <f aca="false">-H12</f>
        <v>1647.3832495848</v>
      </c>
      <c r="I16" s="0" t="n">
        <f aca="false">-I12</f>
        <v>1713.27857956819</v>
      </c>
      <c r="J16" s="0" t="n">
        <f aca="false">-J12</f>
        <v>1773.24332985308</v>
      </c>
      <c r="K16" s="0" t="n">
        <f aca="false">-K12</f>
        <v>1826.44062974867</v>
      </c>
      <c r="L16" s="0" t="n">
        <f aca="false">-L12</f>
        <v>1881.23384864113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-3784.09545</v>
      </c>
      <c r="D17" s="4" t="n">
        <f aca="false">-D6*Assumptions!D32/100</f>
        <v>-2726.7746625</v>
      </c>
      <c r="E17" s="4" t="n">
        <f aca="false">-E6*Assumptions!E32/100</f>
        <v>-1986.65011125</v>
      </c>
      <c r="F17" s="4" t="n">
        <f aca="false">-F6*Assumptions!F32/100</f>
        <v>-1675.4082604875</v>
      </c>
      <c r="G17" s="4" t="n">
        <f aca="false">-G6*Assumptions!G32/100</f>
        <v>-1742.424590907</v>
      </c>
      <c r="H17" s="4" t="n">
        <f aca="false">-H6*Assumptions!H32/100</f>
        <v>-1812.12157454328</v>
      </c>
      <c r="I17" s="4" t="n">
        <f aca="false">-I6*Assumptions!I32/100</f>
        <v>-1884.60643752501</v>
      </c>
      <c r="J17" s="4" t="n">
        <f aca="false">-J6*Assumptions!J32/100</f>
        <v>-1950.56766283839</v>
      </c>
      <c r="K17" s="4" t="n">
        <f aca="false">-K6*Assumptions!K32/100</f>
        <v>-2009.08469272354</v>
      </c>
      <c r="L17" s="4" t="n">
        <f aca="false">-L6*Assumptions!L32/100</f>
        <v>-2069.35723350524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-4029.71625</v>
      </c>
      <c r="D18" s="4" t="n">
        <f aca="false">(D6-C6)*Assumptions!$B$37/100</f>
        <v>-649.232062500001</v>
      </c>
      <c r="E18" s="4" t="n">
        <f aca="false">(E6-D6)*Assumptions!$B$37/100</f>
        <v>2045.080996875</v>
      </c>
      <c r="F18" s="4" t="n">
        <f aca="false">(F6-E6)*Assumptions!$B$37/100</f>
        <v>927.103385249999</v>
      </c>
      <c r="G18" s="4" t="n">
        <f aca="false">(G6-F6)*Assumptions!$B$37/100</f>
        <v>-426.467557215</v>
      </c>
      <c r="H18" s="4" t="n">
        <f aca="false">(H6-G6)*Assumptions!$B$37/100</f>
        <v>-443.526259503599</v>
      </c>
      <c r="I18" s="4" t="n">
        <f aca="false">(I6-H6)*Assumptions!$B$37/100</f>
        <v>-461.267309883744</v>
      </c>
      <c r="J18" s="4" t="n">
        <f aca="false">(J6-I6)*Assumptions!$B$37/100</f>
        <v>-419.753251994207</v>
      </c>
      <c r="K18" s="4" t="n">
        <f aca="false">(K6-J6)*Assumptions!$B$37/100</f>
        <v>-372.381099269147</v>
      </c>
      <c r="L18" s="4" t="n">
        <f aca="false">(L6-K6)*Assumptions!$B$37/100</f>
        <v>-383.552532247221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3694.290345</v>
      </c>
      <c r="D19" s="0" t="n">
        <f aca="false">D15+D16+D17+D18</f>
        <v>7188.297396</v>
      </c>
      <c r="E19" s="0" t="n">
        <f aca="false">E15+E16+E17+E18</f>
        <v>6905.42049404813</v>
      </c>
      <c r="F19" s="0" t="n">
        <f aca="false">F15+F16+F17+F18</f>
        <v>4721.4461657286</v>
      </c>
      <c r="G19" s="0" t="n">
        <f aca="false">G15+G16+G17+G18</f>
        <v>3644.78670055697</v>
      </c>
      <c r="H19" s="0" t="n">
        <f aca="false">H15+H16+H17+H18</f>
        <v>3790.57816857925</v>
      </c>
      <c r="I19" s="0" t="n">
        <f aca="false">I15+I16+I17+I18</f>
        <v>3942.20129532242</v>
      </c>
      <c r="J19" s="0" t="n">
        <f aca="false">J15+J16+J17+J18</f>
        <v>4137.83675439418</v>
      </c>
      <c r="K19" s="0" t="n">
        <f aca="false">K15+K16+K17+K18</f>
        <v>4321.93660731089</v>
      </c>
      <c r="L19" s="0" t="n">
        <f aca="false">L15+L16+L17+L18</f>
        <v>4451.59470553021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3343.24918099548</v>
      </c>
      <c r="D21" s="0" t="n">
        <f aca="false">D19*D20</f>
        <v>5887.10091603366</v>
      </c>
      <c r="E21" s="0" t="n">
        <f aca="false">E19*E20</f>
        <v>5118.03551596459</v>
      </c>
      <c r="F21" s="0" t="n">
        <f aca="false">F19*F20</f>
        <v>3166.83860200563</v>
      </c>
      <c r="G21" s="0" t="n">
        <f aca="false">G19*G20</f>
        <v>2212.38511368587</v>
      </c>
      <c r="H21" s="0" t="n">
        <f aca="false">H19*H20</f>
        <v>2082.24481288082</v>
      </c>
      <c r="I21" s="0" t="n">
        <f aca="false">I19*I20</f>
        <v>1959.75982388783</v>
      </c>
      <c r="J21" s="0" t="n">
        <f aca="false">J19*J20</f>
        <v>1861.55181388503</v>
      </c>
      <c r="K21" s="0" t="n">
        <f aca="false">K19*K20</f>
        <v>1759.61595139907</v>
      </c>
      <c r="L21" s="0" t="n">
        <f aca="false">L19*L20</f>
        <v>1640.18500447153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29030.9667352095</v>
      </c>
    </row>
    <row r="31" customFormat="false" ht="15" hidden="false" customHeight="false" outlineLevel="0" collapsed="false">
      <c r="A31" s="0" t="s">
        <v>126</v>
      </c>
      <c r="B31" s="0" t="n">
        <f aca="false">L19</f>
        <v>4451.59470553021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57036.0571646059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53419.1364663626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53419.1364663626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19682.2200536584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48713.1867888679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45097.2867888679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14.1246826575006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-0.642231948898161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209.501947783594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177.616733236494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14.2459300519569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36503.0765853478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9.36774400193978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80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55</v>
      </c>
      <c r="D5" s="4" t="n">
        <f aca="false">Assumptions!D41</f>
        <v>15</v>
      </c>
      <c r="E5" s="4" t="n">
        <f aca="false">Assumptions!E41</f>
        <v>8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25585.5</v>
      </c>
      <c r="C6" s="0" t="n">
        <f aca="false">B6*(1+C5/100)</f>
        <v>39657.525</v>
      </c>
      <c r="D6" s="0" t="n">
        <f aca="false">C6*(1+D5/100)</f>
        <v>45606.15375</v>
      </c>
      <c r="E6" s="0" t="n">
        <f aca="false">D6*(1+E5/100)</f>
        <v>49254.64605</v>
      </c>
      <c r="F6" s="0" t="n">
        <f aca="false">E6*(1+F5/100)</f>
        <v>50732.2854315</v>
      </c>
      <c r="G6" s="0" t="n">
        <f aca="false">F6*(1+G5/100)</f>
        <v>52254.253994445</v>
      </c>
      <c r="H6" s="0" t="n">
        <f aca="false">G6*(1+H5/100)</f>
        <v>55389.5092341117</v>
      </c>
      <c r="I6" s="0" t="n">
        <f aca="false">H6*(1+I5/100)</f>
        <v>58158.9846958173</v>
      </c>
      <c r="J6" s="0" t="n">
        <f aca="false">I6*(1+J5/100)</f>
        <v>60485.34408365</v>
      </c>
      <c r="K6" s="0" t="n">
        <f aca="false">J6*(1+K5/100)</f>
        <v>62904.757846996</v>
      </c>
      <c r="L6" s="0" t="n">
        <f aca="false">K6*(1+L5/100)</f>
        <v>64791.9005824059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42</v>
      </c>
      <c r="D7" s="4" t="n">
        <f aca="false">Assumptions!D42</f>
        <v>42</v>
      </c>
      <c r="E7" s="4" t="n">
        <f aca="false">Assumptions!E42</f>
        <v>38</v>
      </c>
      <c r="F7" s="4" t="n">
        <f aca="false">Assumptions!F42</f>
        <v>34</v>
      </c>
      <c r="G7" s="4" t="n">
        <f aca="false">Assumptions!G42</f>
        <v>31</v>
      </c>
      <c r="H7" s="4" t="n">
        <f aca="false">Assumptions!H42</f>
        <v>30</v>
      </c>
      <c r="I7" s="4" t="n">
        <f aca="false">Assumptions!I42</f>
        <v>30</v>
      </c>
      <c r="J7" s="4" t="n">
        <f aca="false">Assumptions!J42</f>
        <v>30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16656.1605</v>
      </c>
      <c r="D8" s="0" t="n">
        <f aca="false">D6*D7/100</f>
        <v>19154.584575</v>
      </c>
      <c r="E8" s="0" t="n">
        <f aca="false">E6*E7/100</f>
        <v>18716.765499</v>
      </c>
      <c r="F8" s="0" t="n">
        <f aca="false">F6*F7/100</f>
        <v>17248.97704671</v>
      </c>
      <c r="G8" s="0" t="n">
        <f aca="false">G6*G7/100</f>
        <v>16198.818738278</v>
      </c>
      <c r="H8" s="0" t="n">
        <f aca="false">H6*H7/100</f>
        <v>16616.8527702335</v>
      </c>
      <c r="I8" s="0" t="n">
        <f aca="false">I6*I7/100</f>
        <v>17447.6954087452</v>
      </c>
      <c r="J8" s="0" t="n">
        <f aca="false">J6*J7/100</f>
        <v>18145.603225095</v>
      </c>
      <c r="K8" s="0" t="n">
        <f aca="false">K6*K7/100</f>
        <v>18871.4273540988</v>
      </c>
      <c r="L8" s="0" t="n">
        <f aca="false">L6*L7/100</f>
        <v>19437.5701747218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-39.657525</v>
      </c>
      <c r="D10" s="0" t="n">
        <f aca="false">-D6*D9/100</f>
        <v>-45.60615375</v>
      </c>
      <c r="E10" s="0" t="n">
        <f aca="false">-E6*E9/100</f>
        <v>-49.25464605</v>
      </c>
      <c r="F10" s="0" t="n">
        <f aca="false">-F6*F9/100</f>
        <v>-50.7322854315</v>
      </c>
      <c r="G10" s="0" t="n">
        <f aca="false">-G6*G9/100</f>
        <v>-52.254253994445</v>
      </c>
      <c r="H10" s="0" t="n">
        <f aca="false">-H6*H9/100</f>
        <v>-55.3895092341117</v>
      </c>
      <c r="I10" s="0" t="n">
        <f aca="false">-I6*I9/100</f>
        <v>-58.1589846958173</v>
      </c>
      <c r="J10" s="0" t="n">
        <f aca="false">-J6*J9/100</f>
        <v>-60.48534408365</v>
      </c>
      <c r="K10" s="0" t="n">
        <f aca="false">-K6*K9/100</f>
        <v>-62.904757846996</v>
      </c>
      <c r="L10" s="0" t="n">
        <f aca="false">-L6*L9/100</f>
        <v>-64.7919005824059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16616.502975</v>
      </c>
      <c r="D11" s="0" t="n">
        <f aca="false">D8+D10+D24</f>
        <v>19108.97842125</v>
      </c>
      <c r="E11" s="0" t="n">
        <f aca="false">E8+E10+E24</f>
        <v>18667.51085295</v>
      </c>
      <c r="F11" s="0" t="n">
        <f aca="false">F8+F10+F24</f>
        <v>17198.2447612785</v>
      </c>
      <c r="G11" s="0" t="n">
        <f aca="false">G8+G10+G24</f>
        <v>16146.5644842835</v>
      </c>
      <c r="H11" s="0" t="n">
        <f aca="false">H8+H10+H24</f>
        <v>16561.4632609994</v>
      </c>
      <c r="I11" s="0" t="n">
        <f aca="false">I8+I10+I24</f>
        <v>17389.5364240494</v>
      </c>
      <c r="J11" s="0" t="n">
        <f aca="false">J8+J10+J24</f>
        <v>18085.1178810114</v>
      </c>
      <c r="K11" s="0" t="n">
        <f aca="false">K8+K10+K24</f>
        <v>18808.5225962518</v>
      </c>
      <c r="L11" s="0" t="n">
        <f aca="false">L8+L10+L24</f>
        <v>19372.7782741394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-1388.013375</v>
      </c>
      <c r="D12" s="4" t="n">
        <f aca="false">-D6*Assumptions!D45/100</f>
        <v>-1733.0338425</v>
      </c>
      <c r="E12" s="4" t="n">
        <f aca="false">-E6*Assumptions!E45/100</f>
        <v>-2068.6951341</v>
      </c>
      <c r="F12" s="4" t="n">
        <f aca="false">-F6*Assumptions!F45/100</f>
        <v>-2282.9528444175</v>
      </c>
      <c r="G12" s="4" t="n">
        <f aca="false">-G6*Assumptions!G45/100</f>
        <v>-2508.20419173336</v>
      </c>
      <c r="H12" s="4" t="n">
        <f aca="false">-H6*Assumptions!H45/100</f>
        <v>-2769.47546170559</v>
      </c>
      <c r="I12" s="4" t="n">
        <f aca="false">-I6*Assumptions!I45/100</f>
        <v>-2907.94923479087</v>
      </c>
      <c r="J12" s="4" t="n">
        <f aca="false">-J6*Assumptions!J45/100</f>
        <v>-3024.2672041825</v>
      </c>
      <c r="K12" s="4" t="n">
        <f aca="false">-K6*Assumptions!K45/100</f>
        <v>-3145.2378923498</v>
      </c>
      <c r="L12" s="4" t="n">
        <f aca="false">-L6*Assumptions!L45/100</f>
        <v>-3239.59502912029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15228.4896</v>
      </c>
      <c r="D13" s="0" t="n">
        <f aca="false">D11+D12</f>
        <v>17375.94457875</v>
      </c>
      <c r="E13" s="0" t="n">
        <f aca="false">E11+E12</f>
        <v>16598.81571885</v>
      </c>
      <c r="F13" s="0" t="n">
        <f aca="false">F11+F12</f>
        <v>14915.291916861</v>
      </c>
      <c r="G13" s="0" t="n">
        <f aca="false">G11+G12</f>
        <v>13638.3602925501</v>
      </c>
      <c r="H13" s="0" t="n">
        <f aca="false">H11+H12</f>
        <v>13791.9877992938</v>
      </c>
      <c r="I13" s="0" t="n">
        <f aca="false">I11+I12</f>
        <v>14481.5871892585</v>
      </c>
      <c r="J13" s="0" t="n">
        <f aca="false">J11+J12</f>
        <v>15060.8506768289</v>
      </c>
      <c r="K13" s="0" t="n">
        <f aca="false">K11+K12</f>
        <v>15663.284703902</v>
      </c>
      <c r="L13" s="0" t="n">
        <f aca="false">L11+L12</f>
        <v>16133.1832450191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12182.79168</v>
      </c>
      <c r="D15" s="0" t="n">
        <f aca="false">D13-MAX(0,D13)*D14/100</f>
        <v>13900.755663</v>
      </c>
      <c r="E15" s="0" t="n">
        <f aca="false">E13-MAX(0,E13)*E14/100</f>
        <v>13279.05257508</v>
      </c>
      <c r="F15" s="0" t="n">
        <f aca="false">F13-MAX(0,F13)*F14/100</f>
        <v>11932.2335334888</v>
      </c>
      <c r="G15" s="0" t="n">
        <f aca="false">G13-MAX(0,G13)*G14/100</f>
        <v>10910.6882340401</v>
      </c>
      <c r="H15" s="0" t="n">
        <f aca="false">H13-MAX(0,H13)*H14/100</f>
        <v>11033.5902394351</v>
      </c>
      <c r="I15" s="0" t="n">
        <f aca="false">I13-MAX(0,I13)*I14/100</f>
        <v>11585.2697514068</v>
      </c>
      <c r="J15" s="0" t="n">
        <f aca="false">J13-MAX(0,J13)*J14/100</f>
        <v>12048.6805414631</v>
      </c>
      <c r="K15" s="0" t="n">
        <f aca="false">K13-MAX(0,K13)*K14/100</f>
        <v>12530.6277631216</v>
      </c>
      <c r="L15" s="0" t="n">
        <f aca="false">L13-MAX(0,L13)*L14/100</f>
        <v>12906.5465960153</v>
      </c>
    </row>
    <row r="16" customFormat="false" ht="15" hidden="false" customHeight="false" outlineLevel="0" collapsed="false">
      <c r="A16" s="0" t="s">
        <v>117</v>
      </c>
      <c r="C16" s="0" t="n">
        <f aca="false">-C12</f>
        <v>1388.013375</v>
      </c>
      <c r="D16" s="0" t="n">
        <f aca="false">-D12</f>
        <v>1733.0338425</v>
      </c>
      <c r="E16" s="0" t="n">
        <f aca="false">-E12</f>
        <v>2068.6951341</v>
      </c>
      <c r="F16" s="0" t="n">
        <f aca="false">-F12</f>
        <v>2282.9528444175</v>
      </c>
      <c r="G16" s="0" t="n">
        <f aca="false">-G12</f>
        <v>2508.20419173336</v>
      </c>
      <c r="H16" s="0" t="n">
        <f aca="false">-H12</f>
        <v>2769.47546170559</v>
      </c>
      <c r="I16" s="0" t="n">
        <f aca="false">-I12</f>
        <v>2907.94923479087</v>
      </c>
      <c r="J16" s="0" t="n">
        <f aca="false">-J12</f>
        <v>3024.2672041825</v>
      </c>
      <c r="K16" s="0" t="n">
        <f aca="false">-K12</f>
        <v>3145.2378923498</v>
      </c>
      <c r="L16" s="0" t="n">
        <f aca="false">-L12</f>
        <v>3239.59502912029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-3965.7525</v>
      </c>
      <c r="D17" s="4" t="n">
        <f aca="false">-D6*Assumptions!D46/100</f>
        <v>-3648.4923</v>
      </c>
      <c r="E17" s="4" t="n">
        <f aca="false">-E6*Assumptions!E46/100</f>
        <v>-3447.8252235</v>
      </c>
      <c r="F17" s="4" t="n">
        <f aca="false">-F6*Assumptions!F46/100</f>
        <v>-3043.93712589</v>
      </c>
      <c r="G17" s="4" t="n">
        <f aca="false">-G6*Assumptions!G46/100</f>
        <v>-3135.2552396667</v>
      </c>
      <c r="H17" s="4" t="n">
        <f aca="false">-H6*Assumptions!H46/100</f>
        <v>-3323.3705540467</v>
      </c>
      <c r="I17" s="4" t="n">
        <f aca="false">-I6*Assumptions!I46/100</f>
        <v>-3489.53908174904</v>
      </c>
      <c r="J17" s="4" t="n">
        <f aca="false">-J6*Assumptions!J46/100</f>
        <v>-3629.120645019</v>
      </c>
      <c r="K17" s="4" t="n">
        <f aca="false">-K6*Assumptions!K46/100</f>
        <v>-3774.28547081976</v>
      </c>
      <c r="L17" s="4" t="n">
        <f aca="false">-L6*Assumptions!L46/100</f>
        <v>-3887.51403494435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-4925.20875</v>
      </c>
      <c r="D18" s="4" t="n">
        <f aca="false">(D6-C6)*Assumptions!$B$51/100</f>
        <v>-2082.0200625</v>
      </c>
      <c r="E18" s="4" t="n">
        <f aca="false">(E6-D6)*Assumptions!$B$51/100</f>
        <v>-1276.972305</v>
      </c>
      <c r="F18" s="4" t="n">
        <f aca="false">(F6-E6)*Assumptions!$B$51/100</f>
        <v>-517.173783525002</v>
      </c>
      <c r="G18" s="4" t="n">
        <f aca="false">(G6-F6)*Assumptions!$B$51/100</f>
        <v>-532.688997030751</v>
      </c>
      <c r="H18" s="4" t="n">
        <f aca="false">(H6-G6)*Assumptions!$B$51/100</f>
        <v>-1097.33933388335</v>
      </c>
      <c r="I18" s="4" t="n">
        <f aca="false">(I6-H6)*Assumptions!$B$51/100</f>
        <v>-969.316411596956</v>
      </c>
      <c r="J18" s="4" t="n">
        <f aca="false">(J6-I6)*Assumptions!$B$51/100</f>
        <v>-814.225785741443</v>
      </c>
      <c r="K18" s="4" t="n">
        <f aca="false">(K6-J6)*Assumptions!$B$51/100</f>
        <v>-846.794817171102</v>
      </c>
      <c r="L18" s="4" t="n">
        <f aca="false">(L6-K6)*Assumptions!$B$51/100</f>
        <v>-660.49995739346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4679.843805</v>
      </c>
      <c r="D19" s="0" t="n">
        <f aca="false">D15+D16+D17+D18</f>
        <v>9903.277143</v>
      </c>
      <c r="E19" s="0" t="n">
        <f aca="false">E15+E16+E17+E18</f>
        <v>10622.95018068</v>
      </c>
      <c r="F19" s="0" t="n">
        <f aca="false">F15+F16+F17+F18</f>
        <v>10654.0754684913</v>
      </c>
      <c r="G19" s="0" t="n">
        <f aca="false">G15+G16+G17+G18</f>
        <v>9750.94818907603</v>
      </c>
      <c r="H19" s="0" t="n">
        <f aca="false">H15+H16+H17+H18</f>
        <v>9382.35581321059</v>
      </c>
      <c r="I19" s="0" t="n">
        <f aca="false">I15+I16+I17+I18</f>
        <v>10034.3634928517</v>
      </c>
      <c r="J19" s="0" t="n">
        <f aca="false">J15+J16+J17+J18</f>
        <v>10629.6013148851</v>
      </c>
      <c r="K19" s="0" t="n">
        <f aca="false">K15+K16+K17+K18</f>
        <v>11054.7853674805</v>
      </c>
      <c r="L19" s="0" t="n">
        <f aca="false">L15+L16+L17+L18</f>
        <v>11598.1276327977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4235.15276470588</v>
      </c>
      <c r="D21" s="0" t="n">
        <f aca="false">D19*D20</f>
        <v>8110.62602567515</v>
      </c>
      <c r="E21" s="0" t="n">
        <f aca="false">E19*E20</f>
        <v>7873.32738910015</v>
      </c>
      <c r="F21" s="0" t="n">
        <f aca="false">F19*F20</f>
        <v>7146.0599735744</v>
      </c>
      <c r="G21" s="0" t="n">
        <f aca="false">G19*G20</f>
        <v>5918.82444438721</v>
      </c>
      <c r="H21" s="0" t="n">
        <f aca="false">H19*H20</f>
        <v>5153.9266190578</v>
      </c>
      <c r="I21" s="0" t="n">
        <f aca="false">I19*I20</f>
        <v>4988.3151463906</v>
      </c>
      <c r="J21" s="0" t="n">
        <f aca="false">J19*J20</f>
        <v>4782.10107916551</v>
      </c>
      <c r="K21" s="0" t="n">
        <f aca="false">K19*K20</f>
        <v>4500.80101568518</v>
      </c>
      <c r="L21" s="0" t="n">
        <f aca="false">L19*L20</f>
        <v>4273.31693058881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56982.4513883307</v>
      </c>
    </row>
    <row r="31" customFormat="false" ht="15" hidden="false" customHeight="false" outlineLevel="0" collapsed="false">
      <c r="A31" s="0" t="s">
        <v>126</v>
      </c>
      <c r="B31" s="0" t="n">
        <f aca="false">L19</f>
        <v>11598.1276327977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159280.952823756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162373.786859168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159280.952823756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58686.885846753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115669.337235084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112053.437235084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35.0956643808205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-0.111052067355104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311.525358875939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327.849028193233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35.2959194506868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99550.5955148472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21.230938008832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6.59148481224579</v>
      </c>
      <c r="C4" s="0" t="n">
        <f aca="false">B4/Assumptions!$B$2-1</f>
        <v>-0.833042431300765</v>
      </c>
      <c r="D4" s="4" t="n">
        <f aca="false">Assumptions!$B$24</f>
        <v>0.25</v>
      </c>
      <c r="E4" s="4" t="n">
        <f aca="false">DCF_Bear!$B$43</f>
        <v>6.6784636297449</v>
      </c>
      <c r="F4" s="4" t="n">
        <f aca="false">DCF_Bear!$B$47</f>
        <v>4.53941722204367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14.1246826575006</v>
      </c>
      <c r="C5" s="0" t="n">
        <f aca="false">B5/Assumptions!$B$2-1</f>
        <v>-0.642231948898161</v>
      </c>
      <c r="D5" s="4" t="n">
        <f aca="false">Assumptions!$B$38</f>
        <v>0.5</v>
      </c>
      <c r="E5" s="4" t="n">
        <f aca="false">DCF_Base!$B$43</f>
        <v>14.2459300519569</v>
      </c>
      <c r="F5" s="4" t="n">
        <f aca="false">DCF_Base!$B$47</f>
        <v>9.36774400193978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35.0956643808205</v>
      </c>
      <c r="C6" s="0" t="n">
        <f aca="false">B6/Assumptions!$B$2-1</f>
        <v>-0.111052067355104</v>
      </c>
      <c r="D6" s="4" t="n">
        <f aca="false">Assumptions!$B$52</f>
        <v>0.25</v>
      </c>
      <c r="E6" s="4" t="n">
        <f aca="false">DCF_Bull!$B$43</f>
        <v>35.2959194506868</v>
      </c>
      <c r="F6" s="4" t="n">
        <f aca="false">DCF_Bull!$B$47</f>
        <v>21.230938008832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17.4841286270169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17.6165607960864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-1.25804790402849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11.1264608086888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15.5969767547747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14.5943844587153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14.1246826575006</v>
      </c>
      <c r="C17" s="3" t="n">
        <v>10.5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13.6746610765356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12.2864243002585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9.36774400193978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16.1320941928204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16.1320941928204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16.1320941928204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16.1320941928204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16.1320941928204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15.0847885780247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15.0847885780247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15.0847885780247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15.0847885780247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15.0847885780247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13.7536672294171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14.1246826575006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14.1246826575006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14.1246826575006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14.1246826575006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12.3748594149534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12.6503561745501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12.956463685213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13.2433536839958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13.2433536839958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11.2427875907949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11.4518900885364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11.681902836052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11.9361274517272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12.2185992469219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2026-10-16T22:13:37Z</dcterms:created>
  <dc:creator>openpyxl</dc:creator>
  <dc:description/>
  <dc:language>en-NZ</dc:language>
  <cp:lastModifiedBy/>
  <dcterms:modified xsi:type="dcterms:W3CDTF">2026-10-16T22:13:37Z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