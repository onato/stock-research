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<sst xmlns="http://schemas.openxmlformats.org/spreadsheetml/2006/main" count="364" uniqueCount="167">
  <si>
    <t xml:space="preserve">Ticker</t>
  </si>
  <si>
    <t xml:space="preserve">4063.T</t>
  </si>
  <si>
    <t xml:space="preserve">Company</t>
  </si>
  <si>
    <t xml:space="preserve">Shin-Etsu Chemical Co., Ltd.</t>
  </si>
  <si>
    <t xml:space="preserve">Valuation date</t>
  </si>
  <si>
    <t xml:space="preserve">2026-10-31</t>
  </si>
  <si>
    <t xml:space="preserve">Current price</t>
  </si>
  <si>
    <t xml:space="preserve">Price as of</t>
  </si>
  <si>
    <t xml:space="preserve">2026-10-30T06:30:00Z (TSE regular close 15:30 JST; Yahoo chart API)</t>
  </si>
  <si>
    <t xml:space="preserve">Balance sheet date</t>
  </si>
  <si>
    <t xml:space="preserve">2026-09-30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</si>
  <si>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</si>
  <si>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</si>
  <si>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</si>
  <si>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</si>
  <si>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</si>
  <si>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</si>
  <si>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</si>
  <si>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</si>
  <si>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</si>
  <si>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</si>
  <si>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2026-10-31T00:51:15Z</t>
  </si>
  <si>
    <t xml:space="preserve">Drivers file</t>
  </si>
  <si>
    <t xml:space="preserve">4063.T_Drivers.json</t>
  </si>
  <si>
    <t xml:space="preserve">Convention</t>
  </si>
  <si>
    <t xml:space="preserve">Percents stored as percents; formulas divide by 100. Blue = input, green = link, black = formula.</t>
  </si>
  <si>
    <t xml:space="preserve">Methodology</t>
  </si>
  <si>
    <t xml:space="preserve">summary: Mid-cycle owner-FCF valuation of a two-engine cyclical. Neither engine's current state is extrapolated: margins anchor on the 10-year average, capex is charged at the guided JPY380bn and tapers only after the Louisiana programme, the JPY1.35tn net cash is added once (interest income stripped), NCI is charged once through a leakage rate, and the terminal multiple is capped at 15x owner FCF as the house cyclical haircut. The result is a value that the market will look through in an AI up-cycle and that the stock has traded well below in PVC/semi troughs (52-week range JPY4,366-7,930).
key_risks_to_valuation: Semiconductor cycle: Electronics Materials is 54% of operating income at an AI-driven high; a capex digestion in 2027-29 is the bear axis.; PVC pricing: Infrastructure Materials profit fell 43% in FYE Mar-2026; recovery timing is unguided and the base case assumes only partial normalisation.; USD/JPY: ~79% of sales overseas (28% US); each JPY10 of yen appreciation is roughly a mid-single-digit hit to yen operating income.; Capex intensity: JPY380bn FY2027 and Shintech's USD3.4bn Louisiana expansion to 2030 mean owner FCF stays well below NOPAT until Y5; if the programme overruns or extends, the capex taper is too optimistic.; Terminal cap: the 15x cap binds in base and bull; using Gordon at 8%/2.5% (18.6x) instead adds roughly JPY600/share to the base case.; Rare-earth supply: China's heavy rare-earth export controls (Jan-2026) affect the magnet business within Electronics Materials.</t>
  </si>
  <si>
    <t xml:space="preserve">Data sources</t>
  </si>
  <si>
    <t xml:space="preserve">price: Yahoo Finance chart API at inputs.price_as_of; 52-week range 4,366-7,930.
financials: 4063.T_Metrics.csv (FY2016-FY2026 annual plus Q1/H1 FY2027, JPY millions, post-split share basis); H1 FY2027 tanshin (six months to 2026-09-30) for the balance sheet, share count, cash flow, capex/D&amp;A forecast; FYE Mar-2026 tanshin for investments in securities, NCI profit share and tax; FY2026 integrated report ten-year summary for diluted EPS and interest-bearing debt history.
qualitative: 4063.T_Analysis.json (2026-10-31): segment mix, cycle positioning, guidance, bull/bear axes.</t>
  </si>
  <si>
    <t xml:space="preserve">Scenario narrative: bear</t>
  </si>
  <si>
    <t xml:space="preserve">An AI-capex digestion phase in FYE Mar-2028/29 compounds with a PVC market that does not clear, and the yen strengthens toward 130 against ~79% overseas sales. Revenue falls ~11% over two years, EBITDA margin troughs at 29%, and the mature margin settles at 32.5%. China's heavy rare-earth export controls disrupt the magnet business. The balance sheet (JPY1.75tn cash, Aa3) is never at risk, so this is an earnings and multiple bear case, not a solvency one - which is why the bear value stays well above half the base value.</t>
  </si>
  <si>
    <t xml:space="preserve">Scenario narrative: base</t>
  </si>
  <si>
    <t xml:space="preserve">Shin-Etsu's two profit engines are at opposite points of their cycles: Electronics Materials (silicon wafers, photoresists, photomask blanks) is at an AI-driven high and carried 54% of FYE Mar-2026 operating income, while Shintech's PVC/chlor-alkali business is in a price trough (segment profit -43% YoY) on Asian export oversupply and soft US housing. The base case has the two partially offset: semiconductor materials growth moderates from the current pace while PVC pricing normalises slowly, so revenue compounds at ~4% and the EBITDA margin settles at the 10-year average of ~35-36% rather than either the FYE Mar-2023 peak (43%) or the FYE Mar-2018 trough (31%). FY2027 guidance (sales JPY2,700bn, OI JPY700bn, EPS JPY286) is treated as a conservative floor given H1 ran +15.6% in operating income. Capex stays elevated (JPY380bn FY2027, plus Shintech Louisiana to 2030) and is charged in full; the JPY1.35tn of net cash and JPY152bn of investment securities are added once in the bridge with their income stripped from the flows.</t>
  </si>
  <si>
    <t xml:space="preserve">Scenario narrative: bull</t>
  </si>
  <si>
    <t xml:space="preserve">The AI data-centre build-out proves multi-year rather than a two-year spike, keeping 300mm wafer and lithography-material volumes and pricing firm while new product lines (TIM, immersion-cooling silicone fluids, QST GaN substrates, optoelectronic substrates) add incremental revenue; Shintech's integrated cost position earns outsized margins once PVC prices recover from 2028; the yen stays weak. Margins return to the 38-39% of the last up-cycle and the company keeps returning &gt;100% of earnings through buybacks, which the flat share count already credits as value-neutral.</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</si>
  <si>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</si>
  <si>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</si>
  <si>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</si>
  <si>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</si>
  <si>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</si>
  <si>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</si>
  <si>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</si>
  <si>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</si>
  <si>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</si>
  <si>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</si>
  <si>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</si>
  <si>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</si>
  <si>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</si>
  <si>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</si>
  <si>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</si>
  <si>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</si>
  <si>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</si>
  <si>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</si>
  <si>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</si>
  <si>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</si>
  <si>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</si>
  <si>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</si>
  <si>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</si>
  <si>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</si>
  <si>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</si>
  <si>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</si>
  <si>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</si>
  <si>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OrdinaryIncome</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</si>
  <si>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</si>
  <si>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</si>
  <si>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</si>
  <si>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</si>
  <si>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</si>
  <si>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</si>
  <si>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</si>
  <si>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</si>
  <si>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</si>
  <si>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</si>
  <si>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</si>
  <si>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</si>
  <si>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</si>
  <si>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</si>
  <si>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</si>
  <si>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</si>
  <si>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</si>
  <si>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</si>
  <si>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</si>
  <si>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</si>
  <si>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</si>
  <si>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</si>
  <si>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</si>
  <si>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</si>
  <si>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</si>
  <si>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</si>
  <si>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</si>
  <si>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</si>
  <si>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</si>
  <si>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</si>
  <si>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</si>
  <si>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</si>
  <si>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</si>
  <si>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</si>
  <si>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</si>
  <si>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</si>
  <si>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</si>
  <si>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</si>
  <si>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</si>
  <si>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</si>
  <si>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</si>
  <si>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</si>
  <si>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</si>
  <si>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</si>
  <si>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</si>
  <si>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</si>
  <si>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</si>
  <si>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</si>
  <si>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4063.T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</si>
  <si>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</si>
  <si>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</si>
  <si>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</si>
  <si>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</si>
  <si>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</si>
  <si>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</si>
  <si>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</si>
  <si>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</si>
  <si>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</si>
  <si>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</si>
  <si>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</si>
  <si>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</si>
  <si>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</si>
  <si>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</si>
  <si>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</si>
  <si>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</si>
  <si>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</si>
  <si>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</si>
  <si>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</si>
  <si>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</si>
  <si>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</si>
  <si>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</si>
  <si>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</si>
  <si>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</si>
  <si>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</si>
  <si>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</si>
  <si>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</si>
  <si>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</si>
  <si>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</si>
  <si>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</si>
  <si>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4063.T owner-FCF component DCF: base case (millions, JPY)</t>
  </si>
  <si>
    <t xml:space="preserve">4063.T owner-FCF component DCF: bull case (millions, JPY)</t>
  </si>
  <si>
    <t xml:space="preserve">4063.T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</si>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</sst>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5966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1279807</v>
      </c>
      <c r="C2" s="0" t="n">
        <v>930019</v>
      </c>
      <c r="D2" s="0" t="n">
        <v>349787</v>
      </c>
      <c r="E2" s="0" t="n">
        <v>27.3312</v>
      </c>
      <c r="F2" s="0" t="n">
        <v>208525</v>
      </c>
      <c r="G2" s="0" t="n">
        <v>16.2935</v>
      </c>
      <c r="H2" s="0" t="n">
        <v>308991</v>
      </c>
      <c r="I2" s="0" t="n">
        <v>148840</v>
      </c>
      <c r="J2" s="0" t="n">
        <v>11.6299</v>
      </c>
      <c r="K2" s="0" t="n">
        <v>69.884</v>
      </c>
      <c r="L2" s="0" t="n">
        <v>281643</v>
      </c>
      <c r="M2" s="0" t="n">
        <v>148045</v>
      </c>
      <c r="N2" s="0" t="n">
        <v>133598</v>
      </c>
      <c r="O2" s="0" t="n">
        <v>2028291</v>
      </c>
      <c r="P2" s="0" t="n">
        <v>2510085</v>
      </c>
      <c r="Q2" s="0" t="n">
        <v>429619</v>
      </c>
      <c r="R2" s="0" t="n">
        <v>13161</v>
      </c>
      <c r="S2" s="0" t="n">
        <v>833534</v>
      </c>
      <c r="T2" s="0" t="n">
        <v>2129.895</v>
      </c>
      <c r="V2" s="0" t="n">
        <v>22</v>
      </c>
      <c r="AA2" s="0" t="s">
        <v>17</v>
      </c>
      <c r="AB2" s="0" t="s">
        <v>14</v>
      </c>
      <c r="AC2" s="0" t="n">
        <v>220005</v>
      </c>
    </row>
    <row r="3" customFormat="false" ht="15" hidden="false" customHeight="false" outlineLevel="0" collapsed="false">
      <c r="A3" s="0" t="s">
        <v>65</v>
      </c>
      <c r="B3" s="0" t="n">
        <v>1237405</v>
      </c>
      <c r="C3" s="0" t="n">
        <v>868404</v>
      </c>
      <c r="D3" s="0" t="n">
        <v>369001</v>
      </c>
      <c r="E3" s="0" t="n">
        <v>29.8206</v>
      </c>
      <c r="F3" s="0" t="n">
        <v>238617</v>
      </c>
      <c r="G3" s="0" t="n">
        <v>19.2837</v>
      </c>
      <c r="H3" s="0" t="n">
        <v>331704</v>
      </c>
      <c r="I3" s="0" t="n">
        <v>175912</v>
      </c>
      <c r="J3" s="0" t="n">
        <v>14.2162</v>
      </c>
      <c r="K3" s="0" t="n">
        <v>82.566</v>
      </c>
      <c r="L3" s="0" t="n">
        <v>290872</v>
      </c>
      <c r="M3" s="0" t="n">
        <v>136274</v>
      </c>
      <c r="N3" s="0" t="n">
        <v>154598</v>
      </c>
      <c r="O3" s="0" t="n">
        <v>2132832</v>
      </c>
      <c r="P3" s="0" t="n">
        <v>2655636</v>
      </c>
      <c r="Q3" s="0" t="n">
        <v>465553</v>
      </c>
      <c r="R3" s="0" t="n">
        <v>14366</v>
      </c>
      <c r="S3" s="0" t="n">
        <v>939266</v>
      </c>
      <c r="T3" s="0" t="n">
        <v>2131.9133</v>
      </c>
      <c r="V3" s="0" t="n">
        <v>24</v>
      </c>
      <c r="AA3" s="0" t="s">
        <v>17</v>
      </c>
      <c r="AB3" s="0" t="s">
        <v>14</v>
      </c>
      <c r="AC3" s="0" t="n">
        <v>242133</v>
      </c>
    </row>
    <row r="4" customFormat="false" ht="15" hidden="false" customHeight="false" outlineLevel="0" collapsed="false">
      <c r="A4" s="0" t="s">
        <v>66</v>
      </c>
      <c r="B4" s="0" t="n">
        <v>1441432</v>
      </c>
      <c r="C4" s="0" t="n">
        <v>963008</v>
      </c>
      <c r="D4" s="0" t="n">
        <v>478424</v>
      </c>
      <c r="E4" s="0" t="n">
        <v>33.1909</v>
      </c>
      <c r="F4" s="0" t="n">
        <v>336822</v>
      </c>
      <c r="G4" s="0" t="n">
        <v>23.3672</v>
      </c>
      <c r="H4" s="0" t="n">
        <v>448838</v>
      </c>
      <c r="I4" s="0" t="n">
        <v>266235</v>
      </c>
      <c r="J4" s="0" t="n">
        <v>18.4702</v>
      </c>
      <c r="K4" s="0" t="n">
        <v>124.82</v>
      </c>
      <c r="L4" s="0" t="n">
        <v>332776</v>
      </c>
      <c r="M4" s="0" t="n">
        <v>163718</v>
      </c>
      <c r="N4" s="0" t="n">
        <v>169058</v>
      </c>
      <c r="O4" s="0" t="n">
        <v>2351242</v>
      </c>
      <c r="P4" s="0" t="n">
        <v>2908328</v>
      </c>
      <c r="Q4" s="0" t="n">
        <v>495302</v>
      </c>
      <c r="R4" s="0" t="n">
        <v>15524</v>
      </c>
      <c r="S4" s="0" t="n">
        <v>1051845</v>
      </c>
      <c r="T4" s="0" t="n">
        <v>2132.8494</v>
      </c>
      <c r="V4" s="0" t="n">
        <v>28</v>
      </c>
      <c r="AA4" s="0" t="s">
        <v>17</v>
      </c>
      <c r="AB4" s="0" t="s">
        <v>14</v>
      </c>
      <c r="AC4" s="0" t="n">
        <v>340308</v>
      </c>
    </row>
    <row r="5" customFormat="false" ht="15" hidden="false" customHeight="false" outlineLevel="0" collapsed="false">
      <c r="A5" s="0" t="s">
        <v>67</v>
      </c>
      <c r="B5" s="0" t="n">
        <v>1594036</v>
      </c>
      <c r="C5" s="0" t="n">
        <v>1039979</v>
      </c>
      <c r="D5" s="0" t="n">
        <v>554057</v>
      </c>
      <c r="E5" s="0" t="n">
        <v>34.7581</v>
      </c>
      <c r="F5" s="0" t="n">
        <v>403705</v>
      </c>
      <c r="G5" s="0" t="n">
        <v>25.326</v>
      </c>
      <c r="H5" s="0" t="n">
        <v>541275</v>
      </c>
      <c r="I5" s="0" t="n">
        <v>309125</v>
      </c>
      <c r="J5" s="0" t="n">
        <v>19.3926</v>
      </c>
      <c r="K5" s="0" t="n">
        <v>145.184</v>
      </c>
      <c r="L5" s="0" t="n">
        <v>400687</v>
      </c>
      <c r="M5" s="0" t="n">
        <v>228102</v>
      </c>
      <c r="N5" s="0" t="n">
        <v>172585</v>
      </c>
      <c r="O5" s="0" t="n">
        <v>2465597</v>
      </c>
      <c r="P5" s="0" t="n">
        <v>3038717</v>
      </c>
      <c r="Q5" s="0" t="n">
        <v>506161</v>
      </c>
      <c r="R5" s="0" t="n">
        <v>14632</v>
      </c>
      <c r="S5" s="0" t="n">
        <v>1042124</v>
      </c>
      <c r="T5" s="0" t="n">
        <v>2084.0237</v>
      </c>
      <c r="V5" s="0" t="n">
        <v>40</v>
      </c>
      <c r="AA5" s="0" t="s">
        <v>17</v>
      </c>
      <c r="AB5" s="0" t="s">
        <v>14</v>
      </c>
      <c r="AC5" s="0" t="n">
        <v>415311</v>
      </c>
    </row>
    <row r="6" customFormat="false" ht="15" hidden="false" customHeight="false" outlineLevel="0" collapsed="false">
      <c r="A6" s="0" t="s">
        <v>68</v>
      </c>
      <c r="B6" s="0" t="n">
        <v>1543525</v>
      </c>
      <c r="C6" s="0" t="n">
        <v>987782</v>
      </c>
      <c r="D6" s="0" t="n">
        <v>555743</v>
      </c>
      <c r="E6" s="0" t="n">
        <v>36.0048</v>
      </c>
      <c r="F6" s="0" t="n">
        <v>406041</v>
      </c>
      <c r="G6" s="0" t="n">
        <v>26.3061</v>
      </c>
      <c r="H6" s="0" t="n">
        <v>537213</v>
      </c>
      <c r="I6" s="0" t="n">
        <v>314027</v>
      </c>
      <c r="J6" s="0" t="n">
        <v>20.3448</v>
      </c>
      <c r="K6" s="0" t="n">
        <v>151.002</v>
      </c>
      <c r="L6" s="0" t="n">
        <v>412384</v>
      </c>
      <c r="M6" s="0" t="n">
        <v>269428</v>
      </c>
      <c r="N6" s="0" t="n">
        <v>142956</v>
      </c>
      <c r="O6" s="0" t="n">
        <v>2652309</v>
      </c>
      <c r="P6" s="0" t="n">
        <v>3230485</v>
      </c>
      <c r="Q6" s="0" t="n">
        <v>507343</v>
      </c>
      <c r="R6" s="0" t="n">
        <v>23419</v>
      </c>
      <c r="S6" s="0" t="n">
        <v>1087825</v>
      </c>
      <c r="T6" s="0" t="n">
        <v>2079.287</v>
      </c>
      <c r="V6" s="0" t="n">
        <v>44</v>
      </c>
      <c r="AA6" s="0" t="s">
        <v>17</v>
      </c>
      <c r="AB6" s="0" t="s">
        <v>14</v>
      </c>
      <c r="AC6" s="0" t="n">
        <v>418242</v>
      </c>
    </row>
    <row r="7" customFormat="false" ht="15" hidden="false" customHeight="false" outlineLevel="0" collapsed="false">
      <c r="A7" s="0" t="s">
        <v>69</v>
      </c>
      <c r="B7" s="0" t="n">
        <v>1496906</v>
      </c>
      <c r="C7" s="0" t="n">
        <v>953203</v>
      </c>
      <c r="D7" s="0" t="n">
        <v>543702</v>
      </c>
      <c r="E7" s="0" t="n">
        <v>36.3217</v>
      </c>
      <c r="F7" s="0" t="n">
        <v>392213</v>
      </c>
      <c r="G7" s="0" t="n">
        <v>26.2016</v>
      </c>
      <c r="H7" s="0" t="n">
        <v>536020</v>
      </c>
      <c r="I7" s="0" t="n">
        <v>293732</v>
      </c>
      <c r="J7" s="0" t="n">
        <v>19.6226</v>
      </c>
      <c r="K7" s="0" t="n">
        <v>141.252</v>
      </c>
      <c r="L7" s="0" t="n">
        <v>401176</v>
      </c>
      <c r="M7" s="0" t="n">
        <v>237372</v>
      </c>
      <c r="N7" s="0" t="n">
        <v>163804</v>
      </c>
      <c r="O7" s="0" t="n">
        <v>2813137</v>
      </c>
      <c r="P7" s="0" t="n">
        <v>3380615</v>
      </c>
      <c r="Q7" s="0" t="n">
        <v>493990</v>
      </c>
      <c r="R7" s="0" t="n">
        <v>27754</v>
      </c>
      <c r="S7" s="0" t="n">
        <v>1152921</v>
      </c>
      <c r="T7" s="0" t="n">
        <v>2077.7361</v>
      </c>
      <c r="V7" s="0" t="n">
        <v>50</v>
      </c>
      <c r="AA7" s="0" t="s">
        <v>17</v>
      </c>
      <c r="AB7" s="0" t="s">
        <v>14</v>
      </c>
      <c r="AC7" s="0" t="n">
        <v>405101</v>
      </c>
    </row>
    <row r="8" customFormat="false" ht="15" hidden="false" customHeight="false" outlineLevel="0" collapsed="false">
      <c r="A8" s="0" t="s">
        <v>70</v>
      </c>
      <c r="B8" s="0" t="n">
        <v>2074428</v>
      </c>
      <c r="C8" s="0" t="n">
        <v>1206425</v>
      </c>
      <c r="D8" s="0" t="n">
        <v>868002</v>
      </c>
      <c r="E8" s="0" t="n">
        <v>41.843</v>
      </c>
      <c r="F8" s="0" t="n">
        <v>676322</v>
      </c>
      <c r="G8" s="0" t="n">
        <v>32.6028</v>
      </c>
      <c r="H8" s="0" t="n">
        <v>845110</v>
      </c>
      <c r="I8" s="0" t="n">
        <v>500117</v>
      </c>
      <c r="J8" s="0" t="n">
        <v>24.1087</v>
      </c>
      <c r="K8" s="0" t="n">
        <v>240.55</v>
      </c>
      <c r="L8" s="0" t="n">
        <v>553528</v>
      </c>
      <c r="M8" s="0" t="n">
        <v>197556</v>
      </c>
      <c r="N8" s="0" t="n">
        <v>355972</v>
      </c>
      <c r="O8" s="0" t="n">
        <v>3326564</v>
      </c>
      <c r="P8" s="0" t="n">
        <v>4053412</v>
      </c>
      <c r="Q8" s="0" t="n">
        <v>624204</v>
      </c>
      <c r="R8" s="0" t="n">
        <v>30401</v>
      </c>
      <c r="S8" s="0" t="n">
        <v>1436080</v>
      </c>
      <c r="T8" s="0" t="n">
        <v>2077.2239</v>
      </c>
      <c r="V8" s="0" t="n">
        <v>80</v>
      </c>
      <c r="AA8" s="0" t="s">
        <v>17</v>
      </c>
      <c r="AB8" s="0" t="s">
        <v>14</v>
      </c>
      <c r="AC8" s="0" t="n">
        <v>694434</v>
      </c>
    </row>
    <row r="9" customFormat="false" ht="15" hidden="false" customHeight="false" outlineLevel="0" collapsed="false">
      <c r="A9" s="0" t="s">
        <v>71</v>
      </c>
      <c r="B9" s="0" t="n">
        <v>2808824</v>
      </c>
      <c r="C9" s="0" t="n">
        <v>1594717</v>
      </c>
      <c r="D9" s="0" t="n">
        <v>1214107</v>
      </c>
      <c r="E9" s="0" t="n">
        <v>43.2247</v>
      </c>
      <c r="F9" s="0" t="n">
        <v>998202</v>
      </c>
      <c r="G9" s="0" t="n">
        <v>35.5381</v>
      </c>
      <c r="H9" s="0" t="n">
        <v>1211834</v>
      </c>
      <c r="I9" s="0" t="n">
        <v>708238</v>
      </c>
      <c r="J9" s="0" t="n">
        <v>25.2148</v>
      </c>
      <c r="K9" s="0" t="n">
        <v>347.61</v>
      </c>
      <c r="L9" s="0" t="n">
        <v>788013</v>
      </c>
      <c r="M9" s="0" t="n">
        <v>299367</v>
      </c>
      <c r="N9" s="0" t="n">
        <v>488646</v>
      </c>
      <c r="O9" s="0" t="n">
        <v>3870394</v>
      </c>
      <c r="P9" s="0" t="n">
        <v>4730394</v>
      </c>
      <c r="Q9" s="0" t="n">
        <v>704185</v>
      </c>
      <c r="R9" s="0" t="n">
        <v>29810</v>
      </c>
      <c r="S9" s="0" t="n">
        <v>1600648</v>
      </c>
      <c r="T9" s="0" t="n">
        <v>2017.5468</v>
      </c>
      <c r="V9" s="0" t="n">
        <v>100</v>
      </c>
      <c r="AA9" s="0" t="s">
        <v>17</v>
      </c>
      <c r="AB9" s="0" t="s">
        <v>14</v>
      </c>
      <c r="AC9" s="0" t="n">
        <v>1020211</v>
      </c>
    </row>
    <row r="10" customFormat="false" ht="15" hidden="false" customHeight="false" outlineLevel="0" collapsed="false">
      <c r="A10" s="0" t="s">
        <v>72</v>
      </c>
      <c r="B10" s="0" t="n">
        <v>2414937</v>
      </c>
      <c r="C10" s="0" t="n">
        <v>1503728</v>
      </c>
      <c r="D10" s="0" t="n">
        <v>911209</v>
      </c>
      <c r="E10" s="0" t="n">
        <v>37.7322</v>
      </c>
      <c r="F10" s="0" t="n">
        <v>701038</v>
      </c>
      <c r="G10" s="0" t="n">
        <v>29.0292</v>
      </c>
      <c r="H10" s="0" t="n">
        <v>928657</v>
      </c>
      <c r="I10" s="0" t="n">
        <v>520140</v>
      </c>
      <c r="J10" s="0" t="n">
        <v>21.5385</v>
      </c>
      <c r="K10" s="0" t="n">
        <v>259.13</v>
      </c>
      <c r="L10" s="0" t="n">
        <v>755183</v>
      </c>
      <c r="M10" s="0" t="n">
        <v>377478</v>
      </c>
      <c r="N10" s="0" t="n">
        <v>377705</v>
      </c>
      <c r="O10" s="0" t="n">
        <v>4257922</v>
      </c>
      <c r="P10" s="0" t="n">
        <v>5147974</v>
      </c>
      <c r="Q10" s="0" t="n">
        <v>723901</v>
      </c>
      <c r="R10" s="0" t="n">
        <v>24299</v>
      </c>
      <c r="S10" s="0" t="n">
        <v>1719709</v>
      </c>
      <c r="T10" s="0" t="n">
        <v>1996.0542</v>
      </c>
      <c r="V10" s="0" t="n">
        <v>100</v>
      </c>
      <c r="AA10" s="0" t="s">
        <v>17</v>
      </c>
      <c r="AB10" s="0" t="s">
        <v>14</v>
      </c>
      <c r="AC10" s="0" t="n">
        <v>787228</v>
      </c>
    </row>
    <row r="11" customFormat="false" ht="15" hidden="false" customHeight="false" outlineLevel="0" collapsed="false">
      <c r="A11" s="0" t="s">
        <v>73</v>
      </c>
      <c r="B11" s="0" t="n">
        <v>2561249</v>
      </c>
      <c r="C11" s="0" t="n">
        <v>1577127</v>
      </c>
      <c r="D11" s="0" t="n">
        <v>984121</v>
      </c>
      <c r="E11" s="0" t="n">
        <v>38.4235</v>
      </c>
      <c r="F11" s="0" t="n">
        <v>742105</v>
      </c>
      <c r="G11" s="0" t="n">
        <v>28.9743</v>
      </c>
      <c r="H11" s="0" t="n">
        <v>980462</v>
      </c>
      <c r="I11" s="0" t="n">
        <v>534021</v>
      </c>
      <c r="J11" s="0" t="n">
        <v>20.85</v>
      </c>
      <c r="K11" s="0" t="n">
        <v>269.28</v>
      </c>
      <c r="L11" s="0" t="n">
        <v>881934</v>
      </c>
      <c r="M11" s="0" t="n">
        <v>442837</v>
      </c>
      <c r="N11" s="0" t="n">
        <v>439097</v>
      </c>
      <c r="O11" s="0" t="n">
        <v>4656236</v>
      </c>
      <c r="P11" s="0" t="n">
        <v>5636601</v>
      </c>
      <c r="Q11" s="0" t="n">
        <v>799016</v>
      </c>
      <c r="R11" s="0" t="n">
        <v>16841</v>
      </c>
      <c r="S11" s="0" t="n">
        <v>1811678</v>
      </c>
      <c r="T11" s="0" t="n">
        <v>1960.1264</v>
      </c>
      <c r="V11" s="0" t="n">
        <v>106</v>
      </c>
      <c r="AA11" s="0" t="s">
        <v>17</v>
      </c>
      <c r="AB11" s="0" t="s">
        <v>14</v>
      </c>
      <c r="AC11" s="0" t="n">
        <v>820543</v>
      </c>
    </row>
    <row r="12" customFormat="false" ht="15" hidden="false" customHeight="false" outlineLevel="0" collapsed="false">
      <c r="A12" s="0" t="s">
        <v>74</v>
      </c>
      <c r="B12" s="0" t="n">
        <v>2573969</v>
      </c>
      <c r="C12" s="0" t="n">
        <v>1693175</v>
      </c>
      <c r="D12" s="0" t="n">
        <v>880793</v>
      </c>
      <c r="E12" s="0" t="n">
        <v>34.2193</v>
      </c>
      <c r="F12" s="0" t="n">
        <v>635204</v>
      </c>
      <c r="G12" s="0" t="n">
        <v>24.678</v>
      </c>
      <c r="H12" s="0" t="n">
        <v>878177</v>
      </c>
      <c r="I12" s="0" t="n">
        <v>474459</v>
      </c>
      <c r="J12" s="0" t="n">
        <v>18.433</v>
      </c>
      <c r="K12" s="0" t="n">
        <v>252.49</v>
      </c>
      <c r="L12" s="0" t="n">
        <v>712651</v>
      </c>
      <c r="M12" s="0" t="n">
        <v>355950</v>
      </c>
      <c r="N12" s="0" t="n">
        <v>356701</v>
      </c>
      <c r="O12" s="0" t="n">
        <v>4456833</v>
      </c>
      <c r="P12" s="0" t="n">
        <v>5661907</v>
      </c>
      <c r="Q12" s="0" t="n">
        <v>1018600</v>
      </c>
      <c r="R12" s="0" t="n">
        <v>243295</v>
      </c>
      <c r="S12" s="0" t="n">
        <v>1667095</v>
      </c>
      <c r="T12" s="0" t="n">
        <v>1856.7124</v>
      </c>
      <c r="V12" s="0" t="n">
        <v>106</v>
      </c>
      <c r="AA12" s="0" t="s">
        <v>17</v>
      </c>
      <c r="AB12" s="0" t="s">
        <v>14</v>
      </c>
      <c r="AC12" s="0" t="n">
        <v>708281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5966</v>
      </c>
    </row>
    <row r="3" customFormat="false" ht="15" hidden="false" customHeight="false" outlineLevel="0" collapsed="false">
      <c r="A3" s="0" t="s">
        <v>78</v>
      </c>
      <c r="B3" s="3" t="n">
        <v>1817.2</v>
      </c>
    </row>
    <row r="4" customFormat="false" ht="15" hidden="false" customHeight="false" outlineLevel="0" collapsed="false">
      <c r="A4" s="0" t="s">
        <v>79</v>
      </c>
      <c r="B4" s="3" t="n">
        <v>-1351364</v>
      </c>
    </row>
    <row r="5" customFormat="false" ht="15" hidden="false" customHeight="false" outlineLevel="0" collapsed="false">
      <c r="A5" s="0" t="s">
        <v>80</v>
      </c>
      <c r="B5" s="3" t="n">
        <v>151829</v>
      </c>
    </row>
    <row r="6" customFormat="false" ht="15" hidden="false" customHeight="false" outlineLevel="0" collapsed="false">
      <c r="A6" s="0" t="s">
        <v>81</v>
      </c>
      <c r="B6" s="3" t="n">
        <v>15</v>
      </c>
    </row>
    <row r="7" customFormat="false" ht="15" hidden="false" customHeight="false" outlineLevel="0" collapsed="false">
      <c r="A7" s="0" t="s">
        <v>82</v>
      </c>
      <c r="B7" s="3" t="n">
        <v>2573969</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3</v>
      </c>
      <c r="D13" s="3" t="n">
        <v>-8</v>
      </c>
      <c r="E13" s="3" t="n">
        <v>-3</v>
      </c>
      <c r="F13" s="3" t="n">
        <v>4</v>
      </c>
      <c r="G13" s="3" t="n">
        <v>4</v>
      </c>
      <c r="H13" s="3" t="n">
        <v>3</v>
      </c>
      <c r="I13" s="3" t="n">
        <v>2.5</v>
      </c>
      <c r="J13" s="3" t="n">
        <v>2.5</v>
      </c>
      <c r="K13" s="3" t="n">
        <v>2</v>
      </c>
      <c r="L13" s="3" t="n">
        <v>2</v>
      </c>
    </row>
    <row r="14" customFormat="false" ht="15" hidden="false" customHeight="false" outlineLevel="0" collapsed="false">
      <c r="A14" s="0" t="s">
        <v>99</v>
      </c>
      <c r="C14" s="3" t="n">
        <v>33.5</v>
      </c>
      <c r="D14" s="3" t="n">
        <v>29</v>
      </c>
      <c r="E14" s="3" t="n">
        <v>29</v>
      </c>
      <c r="F14" s="3" t="n">
        <v>31</v>
      </c>
      <c r="G14" s="3" t="n">
        <v>32</v>
      </c>
      <c r="H14" s="3" t="n">
        <v>32.5</v>
      </c>
      <c r="I14" s="3" t="n">
        <v>32.5</v>
      </c>
      <c r="J14" s="3" t="n">
        <v>32.5</v>
      </c>
      <c r="K14" s="3" t="n">
        <v>32.5</v>
      </c>
      <c r="L14" s="3" t="n">
        <v>32.5</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8.9</v>
      </c>
      <c r="D17" s="3" t="n">
        <v>9.8</v>
      </c>
      <c r="E17" s="3" t="n">
        <v>10.5</v>
      </c>
      <c r="F17" s="3" t="n">
        <v>10.5</v>
      </c>
      <c r="G17" s="3" t="n">
        <v>10.5</v>
      </c>
      <c r="H17" s="3" t="n">
        <v>10.5</v>
      </c>
      <c r="I17" s="3" t="n">
        <v>10.5</v>
      </c>
      <c r="J17" s="3" t="n">
        <v>10.5</v>
      </c>
      <c r="K17" s="3" t="n">
        <v>10.5</v>
      </c>
      <c r="L17" s="3" t="n">
        <v>10.5</v>
      </c>
    </row>
    <row r="18" customFormat="false" ht="15" hidden="false" customHeight="false" outlineLevel="0" collapsed="false">
      <c r="A18" s="0" t="s">
        <v>103</v>
      </c>
      <c r="C18" s="3" t="n">
        <v>14</v>
      </c>
      <c r="D18" s="3" t="n">
        <v>13</v>
      </c>
      <c r="E18" s="3" t="n">
        <v>12</v>
      </c>
      <c r="F18" s="3" t="n">
        <v>11.5</v>
      </c>
      <c r="G18" s="3" t="n">
        <v>11</v>
      </c>
      <c r="H18" s="3" t="n">
        <v>11</v>
      </c>
      <c r="I18" s="3" t="n">
        <v>11</v>
      </c>
      <c r="J18" s="3" t="n">
        <v>11</v>
      </c>
      <c r="K18" s="3" t="n">
        <v>11</v>
      </c>
      <c r="L18" s="3" t="n">
        <v>11</v>
      </c>
    </row>
    <row r="19" customFormat="false" ht="15" hidden="false" customHeight="false" outlineLevel="0" collapsed="false">
      <c r="A19" s="0" t="s">
        <v>104</v>
      </c>
      <c r="C19" s="3" t="n">
        <v>33.5</v>
      </c>
      <c r="D19" s="3" t="n">
        <v>33.5</v>
      </c>
      <c r="E19" s="3" t="n">
        <v>33.5</v>
      </c>
      <c r="F19" s="3" t="n">
        <v>33.5</v>
      </c>
      <c r="G19" s="3" t="n">
        <v>33.5</v>
      </c>
      <c r="H19" s="3" t="n">
        <v>33.5</v>
      </c>
      <c r="I19" s="3" t="n">
        <v>33.5</v>
      </c>
      <c r="J19" s="3" t="n">
        <v>33.5</v>
      </c>
      <c r="K19" s="3" t="n">
        <v>33.5</v>
      </c>
      <c r="L19" s="3" t="n">
        <v>33.5</v>
      </c>
    </row>
    <row r="20" customFormat="false" ht="15" hidden="false" customHeight="false" outlineLevel="0" collapsed="false">
      <c r="A20" s="0" t="s">
        <v>105</v>
      </c>
      <c r="B20" s="3" t="n">
        <v>8</v>
      </c>
    </row>
    <row r="21" customFormat="false" ht="15" hidden="false" customHeight="false" outlineLevel="0" collapsed="false">
      <c r="A21" s="0" t="s">
        <v>106</v>
      </c>
      <c r="B21" s="3" t="n">
        <v>2</v>
      </c>
    </row>
    <row r="22" customFormat="false" ht="15" hidden="false" customHeight="false" outlineLevel="0" collapsed="false">
      <c r="A22" s="0" t="s">
        <v>107</v>
      </c>
      <c r="B22" s="3" t="n">
        <v>13</v>
      </c>
    </row>
    <row r="23" customFormat="false" ht="15" hidden="false" customHeight="false" outlineLevel="0" collapsed="false">
      <c r="A23" s="0" t="s">
        <v>108</v>
      </c>
      <c r="B23" s="3" t="n">
        <v>-35</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6</v>
      </c>
      <c r="D27" s="3" t="n">
        <v>5.5</v>
      </c>
      <c r="E27" s="3" t="n">
        <v>5</v>
      </c>
      <c r="F27" s="3" t="n">
        <v>4.5</v>
      </c>
      <c r="G27" s="3" t="n">
        <v>4</v>
      </c>
      <c r="H27" s="3" t="n">
        <v>3.5</v>
      </c>
      <c r="I27" s="3" t="n">
        <v>3</v>
      </c>
      <c r="J27" s="3" t="n">
        <v>3</v>
      </c>
      <c r="K27" s="3" t="n">
        <v>2.5</v>
      </c>
      <c r="L27" s="3" t="n">
        <v>2.5</v>
      </c>
    </row>
    <row r="28" customFormat="false" ht="15" hidden="false" customHeight="false" outlineLevel="0" collapsed="false">
      <c r="A28" s="0" t="s">
        <v>99</v>
      </c>
      <c r="C28" s="3" t="n">
        <v>35</v>
      </c>
      <c r="D28" s="3" t="n">
        <v>35.5</v>
      </c>
      <c r="E28" s="3" t="n">
        <v>36</v>
      </c>
      <c r="F28" s="3" t="n">
        <v>36</v>
      </c>
      <c r="G28" s="3" t="n">
        <v>36</v>
      </c>
      <c r="H28" s="3" t="n">
        <v>35.5</v>
      </c>
      <c r="I28" s="3" t="n">
        <v>35.5</v>
      </c>
      <c r="J28" s="3" t="n">
        <v>35</v>
      </c>
      <c r="K28" s="3" t="n">
        <v>35</v>
      </c>
      <c r="L28" s="3" t="n">
        <v>35</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8.9</v>
      </c>
      <c r="D31" s="3" t="n">
        <v>9.2</v>
      </c>
      <c r="E31" s="3" t="n">
        <v>9.5</v>
      </c>
      <c r="F31" s="3" t="n">
        <v>9.8</v>
      </c>
      <c r="G31" s="3" t="n">
        <v>10</v>
      </c>
      <c r="H31" s="3" t="n">
        <v>10</v>
      </c>
      <c r="I31" s="3" t="n">
        <v>10</v>
      </c>
      <c r="J31" s="3" t="n">
        <v>10</v>
      </c>
      <c r="K31" s="3" t="n">
        <v>10</v>
      </c>
      <c r="L31" s="3" t="n">
        <v>10</v>
      </c>
    </row>
    <row r="32" customFormat="false" ht="15" hidden="false" customHeight="false" outlineLevel="0" collapsed="false">
      <c r="A32" s="0" t="s">
        <v>103</v>
      </c>
      <c r="C32" s="3" t="n">
        <v>14</v>
      </c>
      <c r="D32" s="3" t="n">
        <v>14</v>
      </c>
      <c r="E32" s="3" t="n">
        <v>13.5</v>
      </c>
      <c r="F32" s="3" t="n">
        <v>13</v>
      </c>
      <c r="G32" s="3" t="n">
        <v>12.5</v>
      </c>
      <c r="H32" s="3" t="n">
        <v>12</v>
      </c>
      <c r="I32" s="3" t="n">
        <v>11.5</v>
      </c>
      <c r="J32" s="3" t="n">
        <v>11</v>
      </c>
      <c r="K32" s="3" t="n">
        <v>11</v>
      </c>
      <c r="L32" s="3" t="n">
        <v>11</v>
      </c>
    </row>
    <row r="33" customFormat="false" ht="15" hidden="false" customHeight="false" outlineLevel="0" collapsed="false">
      <c r="A33" s="0" t="s">
        <v>104</v>
      </c>
      <c r="C33" s="3" t="n">
        <v>33.5</v>
      </c>
      <c r="D33" s="3" t="n">
        <v>33.5</v>
      </c>
      <c r="E33" s="3" t="n">
        <v>33.5</v>
      </c>
      <c r="F33" s="3" t="n">
        <v>33.5</v>
      </c>
      <c r="G33" s="3" t="n">
        <v>33.5</v>
      </c>
      <c r="H33" s="3" t="n">
        <v>33.5</v>
      </c>
      <c r="I33" s="3" t="n">
        <v>33.5</v>
      </c>
      <c r="J33" s="3" t="n">
        <v>33.5</v>
      </c>
      <c r="K33" s="3" t="n">
        <v>33.5</v>
      </c>
      <c r="L33" s="3" t="n">
        <v>33.5</v>
      </c>
    </row>
    <row r="34" customFormat="false" ht="15" hidden="false" customHeight="false" outlineLevel="0" collapsed="false">
      <c r="A34" s="0" t="s">
        <v>105</v>
      </c>
      <c r="B34" s="3" t="n">
        <v>8</v>
      </c>
    </row>
    <row r="35" customFormat="false" ht="15" hidden="false" customHeight="false" outlineLevel="0" collapsed="false">
      <c r="A35" s="0" t="s">
        <v>106</v>
      </c>
      <c r="B35" s="3" t="n">
        <v>2.5</v>
      </c>
    </row>
    <row r="36" customFormat="false" ht="15" hidden="false" customHeight="false" outlineLevel="0" collapsed="false">
      <c r="A36" s="0" t="s">
        <v>107</v>
      </c>
      <c r="B36" s="3" t="n">
        <v>15</v>
      </c>
    </row>
    <row r="37" customFormat="false" ht="15" hidden="false" customHeight="false" outlineLevel="0" collapsed="false">
      <c r="A37" s="0" t="s">
        <v>108</v>
      </c>
      <c r="B37" s="3" t="n">
        <v>-35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9</v>
      </c>
      <c r="D41" s="3" t="n">
        <v>8</v>
      </c>
      <c r="E41" s="3" t="n">
        <v>7</v>
      </c>
      <c r="F41" s="3" t="n">
        <v>6</v>
      </c>
      <c r="G41" s="3" t="n">
        <v>5</v>
      </c>
      <c r="H41" s="3" t="n">
        <v>4.5</v>
      </c>
      <c r="I41" s="3" t="n">
        <v>4</v>
      </c>
      <c r="J41" s="3" t="n">
        <v>3.5</v>
      </c>
      <c r="K41" s="3" t="n">
        <v>3</v>
      </c>
      <c r="L41" s="3" t="n">
        <v>3</v>
      </c>
    </row>
    <row r="42" customFormat="false" ht="15" hidden="false" customHeight="false" outlineLevel="0" collapsed="false">
      <c r="A42" s="0" t="s">
        <v>99</v>
      </c>
      <c r="C42" s="3" t="n">
        <v>36</v>
      </c>
      <c r="D42" s="3" t="n">
        <v>37.5</v>
      </c>
      <c r="E42" s="3" t="n">
        <v>38.5</v>
      </c>
      <c r="F42" s="3" t="n">
        <v>39</v>
      </c>
      <c r="G42" s="3" t="n">
        <v>39</v>
      </c>
      <c r="H42" s="3" t="n">
        <v>38.5</v>
      </c>
      <c r="I42" s="3" t="n">
        <v>38</v>
      </c>
      <c r="J42" s="3" t="n">
        <v>38</v>
      </c>
      <c r="K42" s="3" t="n">
        <v>37.5</v>
      </c>
      <c r="L42" s="3" t="n">
        <v>37.5</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8.9</v>
      </c>
      <c r="D45" s="3" t="n">
        <v>9.2</v>
      </c>
      <c r="E45" s="3" t="n">
        <v>9.5</v>
      </c>
      <c r="F45" s="3" t="n">
        <v>9.8</v>
      </c>
      <c r="G45" s="3" t="n">
        <v>10</v>
      </c>
      <c r="H45" s="3" t="n">
        <v>10</v>
      </c>
      <c r="I45" s="3" t="n">
        <v>10</v>
      </c>
      <c r="J45" s="3" t="n">
        <v>10</v>
      </c>
      <c r="K45" s="3" t="n">
        <v>10</v>
      </c>
      <c r="L45" s="3" t="n">
        <v>10</v>
      </c>
    </row>
    <row r="46" customFormat="false" ht="15" hidden="false" customHeight="false" outlineLevel="0" collapsed="false">
      <c r="A46" s="0" t="s">
        <v>103</v>
      </c>
      <c r="C46" s="3" t="n">
        <v>14</v>
      </c>
      <c r="D46" s="3" t="n">
        <v>14</v>
      </c>
      <c r="E46" s="3" t="n">
        <v>14</v>
      </c>
      <c r="F46" s="3" t="n">
        <v>13.5</v>
      </c>
      <c r="G46" s="3" t="n">
        <v>13</v>
      </c>
      <c r="H46" s="3" t="n">
        <v>12.5</v>
      </c>
      <c r="I46" s="3" t="n">
        <v>12</v>
      </c>
      <c r="J46" s="3" t="n">
        <v>11.5</v>
      </c>
      <c r="K46" s="3" t="n">
        <v>11.5</v>
      </c>
      <c r="L46" s="3" t="n">
        <v>11.5</v>
      </c>
    </row>
    <row r="47" customFormat="false" ht="15" hidden="false" customHeight="false" outlineLevel="0" collapsed="false">
      <c r="A47" s="0" t="s">
        <v>104</v>
      </c>
      <c r="C47" s="3" t="n">
        <v>33.5</v>
      </c>
      <c r="D47" s="3" t="n">
        <v>33.5</v>
      </c>
      <c r="E47" s="3" t="n">
        <v>33.5</v>
      </c>
      <c r="F47" s="3" t="n">
        <v>33.5</v>
      </c>
      <c r="G47" s="3" t="n">
        <v>33.5</v>
      </c>
      <c r="H47" s="3" t="n">
        <v>33.5</v>
      </c>
      <c r="I47" s="3" t="n">
        <v>33.5</v>
      </c>
      <c r="J47" s="3" t="n">
        <v>33.5</v>
      </c>
      <c r="K47" s="3" t="n">
        <v>33.5</v>
      </c>
      <c r="L47" s="3" t="n">
        <v>33.5</v>
      </c>
    </row>
    <row r="48" customFormat="false" ht="15" hidden="false" customHeight="false" outlineLevel="0" collapsed="false">
      <c r="A48" s="0" t="s">
        <v>105</v>
      </c>
      <c r="B48" s="3" t="n">
        <v>8</v>
      </c>
    </row>
    <row r="49" customFormat="false" ht="15" hidden="false" customHeight="false" outlineLevel="0" collapsed="false">
      <c r="A49" s="0" t="s">
        <v>106</v>
      </c>
      <c r="B49" s="3" t="n">
        <v>3</v>
      </c>
    </row>
    <row r="50" customFormat="false" ht="15" hidden="false" customHeight="false" outlineLevel="0" collapsed="false">
      <c r="A50" s="0" t="s">
        <v>107</v>
      </c>
      <c r="B50" s="3" t="n">
        <v>15</v>
      </c>
    </row>
    <row r="51" customFormat="false" ht="15" hidden="false" customHeight="false" outlineLevel="0" collapsed="false">
      <c r="A51" s="0" t="s">
        <v>108</v>
      </c>
      <c r="B51" s="3" t="n">
        <v>-35</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3</v>
      </c>
      <c r="D5" s="4" t="n">
        <f aca="false">Assumptions!D13</f>
        <v>-8</v>
      </c>
      <c r="E5" s="4" t="n">
        <f aca="false">Assumptions!E13</f>
        <v>-3</v>
      </c>
      <c r="F5" s="4" t="n">
        <f aca="false">Assumptions!F13</f>
        <v>4</v>
      </c>
      <c r="G5" s="4" t="n">
        <f aca="false">Assumptions!G13</f>
        <v>4</v>
      </c>
      <c r="H5" s="4" t="n">
        <f aca="false">Assumptions!H13</f>
        <v>3</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37</v>
      </c>
      <c r="B6" s="3" t="n">
        <v>2573969</v>
      </c>
      <c r="C6" s="0" t="n">
        <f aca="false">B6*(1+C5/100)</f>
        <v>2651188.07</v>
      </c>
      <c r="D6" s="0" t="n">
        <f aca="false">C6*(1+D5/100)</f>
        <v>2439093.0244</v>
      </c>
      <c r="E6" s="0" t="n">
        <f aca="false">D6*(1+E5/100)</f>
        <v>2365920.233668</v>
      </c>
      <c r="F6" s="0" t="n">
        <f aca="false">E6*(1+F5/100)</f>
        <v>2460557.04301472</v>
      </c>
      <c r="G6" s="0" t="n">
        <f aca="false">F6*(1+G5/100)</f>
        <v>2558979.32473531</v>
      </c>
      <c r="H6" s="0" t="n">
        <f aca="false">G6*(1+H5/100)</f>
        <v>2635748.70447737</v>
      </c>
      <c r="I6" s="0" t="n">
        <f aca="false">H6*(1+I5/100)</f>
        <v>2701642.4220893</v>
      </c>
      <c r="J6" s="0" t="n">
        <f aca="false">I6*(1+J5/100)</f>
        <v>2769183.48264154</v>
      </c>
      <c r="K6" s="0" t="n">
        <f aca="false">J6*(1+K5/100)</f>
        <v>2824567.15229437</v>
      </c>
      <c r="L6" s="0" t="n">
        <f aca="false">K6*(1+L5/100)</f>
        <v>2881058.49534025</v>
      </c>
    </row>
    <row r="7" customFormat="false" ht="15" hidden="false" customHeight="false" outlineLevel="0" collapsed="false">
      <c r="A7" s="0" t="s">
        <v>99</v>
      </c>
      <c r="C7" s="4" t="n">
        <f aca="false">Assumptions!C14</f>
        <v>33.5</v>
      </c>
      <c r="D7" s="4" t="n">
        <f aca="false">Assumptions!D14</f>
        <v>29</v>
      </c>
      <c r="E7" s="4" t="n">
        <f aca="false">Assumptions!E14</f>
        <v>29</v>
      </c>
      <c r="F7" s="4" t="n">
        <f aca="false">Assumptions!F14</f>
        <v>31</v>
      </c>
      <c r="G7" s="4" t="n">
        <f aca="false">Assumptions!G14</f>
        <v>32</v>
      </c>
      <c r="H7" s="4" t="n">
        <f aca="false">Assumptions!H14</f>
        <v>32.5</v>
      </c>
      <c r="I7" s="4" t="n">
        <f aca="false">Assumptions!I14</f>
        <v>32.5</v>
      </c>
      <c r="J7" s="4" t="n">
        <f aca="false">Assumptions!J14</f>
        <v>32.5</v>
      </c>
      <c r="K7" s="4" t="n">
        <f aca="false">Assumptions!K14</f>
        <v>32.5</v>
      </c>
      <c r="L7" s="4" t="n">
        <f aca="false">Assumptions!L14</f>
        <v>32.5</v>
      </c>
    </row>
    <row r="8" customFormat="false" ht="15" hidden="false" customHeight="false" outlineLevel="0" collapsed="false">
      <c r="A8" s="0" t="s">
        <v>43</v>
      </c>
      <c r="C8" s="0" t="n">
        <f aca="false">C6*C7/100</f>
        <v>888148.00345</v>
      </c>
      <c r="D8" s="0" t="n">
        <f aca="false">D6*D7/100</f>
        <v>707336.977076</v>
      </c>
      <c r="E8" s="0" t="n">
        <f aca="false">E6*E7/100</f>
        <v>686116.86776372</v>
      </c>
      <c r="F8" s="0" t="n">
        <f aca="false">F6*F7/100</f>
        <v>762772.683334563</v>
      </c>
      <c r="G8" s="0" t="n">
        <f aca="false">G6*G7/100</f>
        <v>818873.383915299</v>
      </c>
      <c r="H8" s="0" t="n">
        <f aca="false">H6*H7/100</f>
        <v>856618.328955145</v>
      </c>
      <c r="I8" s="0" t="n">
        <f aca="false">I6*I7/100</f>
        <v>878033.787179024</v>
      </c>
      <c r="J8" s="0" t="n">
        <f aca="false">J6*J7/100</f>
        <v>899984.631858499</v>
      </c>
      <c r="K8" s="0" t="n">
        <f aca="false">K6*K7/100</f>
        <v>917984.324495669</v>
      </c>
      <c r="L8" s="0" t="n">
        <f aca="false">L6*L7/100</f>
        <v>936344.010985583</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888148.00345</v>
      </c>
      <c r="D11" s="0" t="n">
        <f aca="false">D8+D10+D24</f>
        <v>707336.977076</v>
      </c>
      <c r="E11" s="0" t="n">
        <f aca="false">E8+E10+E24</f>
        <v>686116.86776372</v>
      </c>
      <c r="F11" s="0" t="n">
        <f aca="false">F8+F10+F24</f>
        <v>762772.683334563</v>
      </c>
      <c r="G11" s="0" t="n">
        <f aca="false">G8+G10+G24</f>
        <v>818873.383915299</v>
      </c>
      <c r="H11" s="0" t="n">
        <f aca="false">H8+H10+H24</f>
        <v>856618.328955145</v>
      </c>
      <c r="I11" s="0" t="n">
        <f aca="false">I8+I10+I24</f>
        <v>878033.787179024</v>
      </c>
      <c r="J11" s="0" t="n">
        <f aca="false">J8+J10+J24</f>
        <v>899984.631858499</v>
      </c>
      <c r="K11" s="0" t="n">
        <f aca="false">K8+K10+K24</f>
        <v>917984.324495669</v>
      </c>
      <c r="L11" s="0" t="n">
        <f aca="false">L8+L10+L24</f>
        <v>936344.010985583</v>
      </c>
    </row>
    <row r="12" customFormat="false" ht="15" hidden="false" customHeight="false" outlineLevel="0" collapsed="false">
      <c r="A12" s="0" t="s">
        <v>117</v>
      </c>
      <c r="C12" s="4" t="n">
        <f aca="false">-C6*Assumptions!C17/100</f>
        <v>-235955.73823</v>
      </c>
      <c r="D12" s="4" t="n">
        <f aca="false">-D6*Assumptions!D17/100</f>
        <v>-239031.1163912</v>
      </c>
      <c r="E12" s="4" t="n">
        <f aca="false">-E6*Assumptions!E17/100</f>
        <v>-248421.62453514</v>
      </c>
      <c r="F12" s="4" t="n">
        <f aca="false">-F6*Assumptions!F17/100</f>
        <v>-258358.489516546</v>
      </c>
      <c r="G12" s="4" t="n">
        <f aca="false">-G6*Assumptions!G17/100</f>
        <v>-268692.829097207</v>
      </c>
      <c r="H12" s="4" t="n">
        <f aca="false">-H6*Assumptions!H17/100</f>
        <v>-276753.613970124</v>
      </c>
      <c r="I12" s="4" t="n">
        <f aca="false">-I6*Assumptions!I17/100</f>
        <v>-283672.454319377</v>
      </c>
      <c r="J12" s="4" t="n">
        <f aca="false">-J6*Assumptions!J17/100</f>
        <v>-290764.265677361</v>
      </c>
      <c r="K12" s="4" t="n">
        <f aca="false">-K6*Assumptions!K17/100</f>
        <v>-296579.550990908</v>
      </c>
      <c r="L12" s="4" t="n">
        <f aca="false">-L6*Assumptions!L17/100</f>
        <v>-302511.142010727</v>
      </c>
    </row>
    <row r="13" customFormat="false" ht="15" hidden="false" customHeight="false" outlineLevel="0" collapsed="false">
      <c r="A13" s="0" t="s">
        <v>118</v>
      </c>
      <c r="C13" s="0" t="n">
        <f aca="false">C11+C12</f>
        <v>652192.26522</v>
      </c>
      <c r="D13" s="0" t="n">
        <f aca="false">D11+D12</f>
        <v>468305.8606848</v>
      </c>
      <c r="E13" s="0" t="n">
        <f aca="false">E11+E12</f>
        <v>437695.24322858</v>
      </c>
      <c r="F13" s="0" t="n">
        <f aca="false">F11+F12</f>
        <v>504414.193818018</v>
      </c>
      <c r="G13" s="0" t="n">
        <f aca="false">G11+G12</f>
        <v>550180.554818092</v>
      </c>
      <c r="H13" s="0" t="n">
        <f aca="false">H11+H12</f>
        <v>579864.714985021</v>
      </c>
      <c r="I13" s="0" t="n">
        <f aca="false">I11+I12</f>
        <v>594361.332859647</v>
      </c>
      <c r="J13" s="0" t="n">
        <f aca="false">J11+J12</f>
        <v>609220.366181138</v>
      </c>
      <c r="K13" s="0" t="n">
        <f aca="false">K11+K12</f>
        <v>621404.773504761</v>
      </c>
      <c r="L13" s="0" t="n">
        <f aca="false">L11+L12</f>
        <v>633832.868974856</v>
      </c>
    </row>
    <row r="14" customFormat="false" ht="15" hidden="false" customHeight="false" outlineLevel="0" collapsed="false">
      <c r="A14" s="0" t="s">
        <v>104</v>
      </c>
      <c r="C14" s="4" t="n">
        <f aca="false">Assumptions!C19</f>
        <v>33.5</v>
      </c>
      <c r="D14" s="4" t="n">
        <f aca="false">Assumptions!D19</f>
        <v>33.5</v>
      </c>
      <c r="E14" s="4" t="n">
        <f aca="false">Assumptions!E19</f>
        <v>33.5</v>
      </c>
      <c r="F14" s="4" t="n">
        <f aca="false">Assumptions!F19</f>
        <v>33.5</v>
      </c>
      <c r="G14" s="4" t="n">
        <f aca="false">Assumptions!G19</f>
        <v>33.5</v>
      </c>
      <c r="H14" s="4" t="n">
        <f aca="false">Assumptions!H19</f>
        <v>33.5</v>
      </c>
      <c r="I14" s="4" t="n">
        <f aca="false">Assumptions!I19</f>
        <v>33.5</v>
      </c>
      <c r="J14" s="4" t="n">
        <f aca="false">Assumptions!J19</f>
        <v>33.5</v>
      </c>
      <c r="K14" s="4" t="n">
        <f aca="false">Assumptions!K19</f>
        <v>33.5</v>
      </c>
      <c r="L14" s="4" t="n">
        <f aca="false">Assumptions!L19</f>
        <v>33.5</v>
      </c>
    </row>
    <row r="15" customFormat="false" ht="15" hidden="false" customHeight="false" outlineLevel="0" collapsed="false">
      <c r="A15" s="0" t="s">
        <v>119</v>
      </c>
      <c r="C15" s="0" t="n">
        <f aca="false">C13-MAX(0,C13)*C14/100</f>
        <v>433707.8563713</v>
      </c>
      <c r="D15" s="0" t="n">
        <f aca="false">D13-MAX(0,D13)*D14/100</f>
        <v>311423.397355392</v>
      </c>
      <c r="E15" s="0" t="n">
        <f aca="false">E13-MAX(0,E13)*E14/100</f>
        <v>291067.336747006</v>
      </c>
      <c r="F15" s="0" t="n">
        <f aca="false">F13-MAX(0,F13)*F14/100</f>
        <v>335435.438888982</v>
      </c>
      <c r="G15" s="0" t="n">
        <f aca="false">G13-MAX(0,G13)*G14/100</f>
        <v>365870.068954031</v>
      </c>
      <c r="H15" s="0" t="n">
        <f aca="false">H13-MAX(0,H13)*H14/100</f>
        <v>385610.035465039</v>
      </c>
      <c r="I15" s="0" t="n">
        <f aca="false">I13-MAX(0,I13)*I14/100</f>
        <v>395250.286351665</v>
      </c>
      <c r="J15" s="0" t="n">
        <f aca="false">J13-MAX(0,J13)*J14/100</f>
        <v>405131.543510457</v>
      </c>
      <c r="K15" s="0" t="n">
        <f aca="false">K13-MAX(0,K13)*K14/100</f>
        <v>413234.174380666</v>
      </c>
      <c r="L15" s="0" t="n">
        <f aca="false">L13-MAX(0,L13)*L14/100</f>
        <v>421498.857868279</v>
      </c>
    </row>
    <row r="16" customFormat="false" ht="15" hidden="false" customHeight="false" outlineLevel="0" collapsed="false">
      <c r="A16" s="0" t="s">
        <v>120</v>
      </c>
      <c r="C16" s="0" t="n">
        <f aca="false">-C12</f>
        <v>235955.73823</v>
      </c>
      <c r="D16" s="0" t="n">
        <f aca="false">-D12</f>
        <v>239031.1163912</v>
      </c>
      <c r="E16" s="0" t="n">
        <f aca="false">-E12</f>
        <v>248421.62453514</v>
      </c>
      <c r="F16" s="0" t="n">
        <f aca="false">-F12</f>
        <v>258358.489516546</v>
      </c>
      <c r="G16" s="0" t="n">
        <f aca="false">-G12</f>
        <v>268692.829097207</v>
      </c>
      <c r="H16" s="0" t="n">
        <f aca="false">-H12</f>
        <v>276753.613970124</v>
      </c>
      <c r="I16" s="0" t="n">
        <f aca="false">-I12</f>
        <v>283672.454319377</v>
      </c>
      <c r="J16" s="0" t="n">
        <f aca="false">-J12</f>
        <v>290764.265677361</v>
      </c>
      <c r="K16" s="0" t="n">
        <f aca="false">-K12</f>
        <v>296579.550990908</v>
      </c>
      <c r="L16" s="0" t="n">
        <f aca="false">-L12</f>
        <v>302511.142010727</v>
      </c>
    </row>
    <row r="17" customFormat="false" ht="15" hidden="false" customHeight="false" outlineLevel="0" collapsed="false">
      <c r="A17" s="0" t="s">
        <v>121</v>
      </c>
      <c r="C17" s="4" t="n">
        <f aca="false">-C6*Assumptions!C18/100</f>
        <v>-371166.3298</v>
      </c>
      <c r="D17" s="4" t="n">
        <f aca="false">-D6*Assumptions!D18/100</f>
        <v>-317082.093172</v>
      </c>
      <c r="E17" s="4" t="n">
        <f aca="false">-E6*Assumptions!E18/100</f>
        <v>-283910.42804016</v>
      </c>
      <c r="F17" s="4" t="n">
        <f aca="false">-F6*Assumptions!F18/100</f>
        <v>-282964.059946693</v>
      </c>
      <c r="G17" s="4" t="n">
        <f aca="false">-G6*Assumptions!G18/100</f>
        <v>-281487.725720884</v>
      </c>
      <c r="H17" s="4" t="n">
        <f aca="false">-H6*Assumptions!H18/100</f>
        <v>-289932.357492511</v>
      </c>
      <c r="I17" s="4" t="n">
        <f aca="false">-I6*Assumptions!I18/100</f>
        <v>-297180.666429823</v>
      </c>
      <c r="J17" s="4" t="n">
        <f aca="false">-J6*Assumptions!J18/100</f>
        <v>-304610.183090569</v>
      </c>
      <c r="K17" s="4" t="n">
        <f aca="false">-K6*Assumptions!K18/100</f>
        <v>-310702.38675238</v>
      </c>
      <c r="L17" s="4" t="n">
        <f aca="false">-L6*Assumptions!L18/100</f>
        <v>-316916.434487428</v>
      </c>
    </row>
    <row r="18" customFormat="false" ht="15" hidden="false" customHeight="false" outlineLevel="0" collapsed="false">
      <c r="A18" s="0" t="s">
        <v>122</v>
      </c>
      <c r="C18" s="4" t="n">
        <f aca="false">(C6-B6)*Assumptions!$B$23/100</f>
        <v>-27026.6745000001</v>
      </c>
      <c r="D18" s="4" t="n">
        <f aca="false">(D6-C6)*Assumptions!$B$23/100</f>
        <v>74233.26596</v>
      </c>
      <c r="E18" s="4" t="n">
        <f aca="false">(E6-D6)*Assumptions!$B$23/100</f>
        <v>25610.4767562</v>
      </c>
      <c r="F18" s="4" t="n">
        <f aca="false">(F6-E6)*Assumptions!$B$23/100</f>
        <v>-33122.883271352</v>
      </c>
      <c r="G18" s="4" t="n">
        <f aca="false">(G6-F6)*Assumptions!$B$23/100</f>
        <v>-34447.7986022061</v>
      </c>
      <c r="H18" s="4" t="n">
        <f aca="false">(H6-G6)*Assumptions!$B$23/100</f>
        <v>-26869.2829097208</v>
      </c>
      <c r="I18" s="4" t="n">
        <f aca="false">(I6-H6)*Assumptions!$B$23/100</f>
        <v>-23062.8011641769</v>
      </c>
      <c r="J18" s="4" t="n">
        <f aca="false">(J6-I6)*Assumptions!$B$23/100</f>
        <v>-23639.3711932814</v>
      </c>
      <c r="K18" s="4" t="n">
        <f aca="false">(K6-J6)*Assumptions!$B$23/100</f>
        <v>-19384.2843784908</v>
      </c>
      <c r="L18" s="4" t="n">
        <f aca="false">(L6-K6)*Assumptions!$B$23/100</f>
        <v>-19771.9700660606</v>
      </c>
    </row>
    <row r="19" customFormat="false" ht="15" hidden="false" customHeight="false" outlineLevel="0" collapsed="false">
      <c r="A19" s="0" t="s">
        <v>123</v>
      </c>
      <c r="C19" s="0" t="n">
        <f aca="false">C15+C16+C17+C18</f>
        <v>271470.5903013</v>
      </c>
      <c r="D19" s="0" t="n">
        <f aca="false">D15+D16+D17+D18</f>
        <v>307605.686534592</v>
      </c>
      <c r="E19" s="0" t="n">
        <f aca="false">E15+E16+E17+E18</f>
        <v>281189.009998186</v>
      </c>
      <c r="F19" s="0" t="n">
        <f aca="false">F15+F16+F17+F18</f>
        <v>277706.985187483</v>
      </c>
      <c r="G19" s="0" t="n">
        <f aca="false">G15+G16+G17+G18</f>
        <v>318627.373728148</v>
      </c>
      <c r="H19" s="0" t="n">
        <f aca="false">H15+H16+H17+H18</f>
        <v>345562.009032931</v>
      </c>
      <c r="I19" s="0" t="n">
        <f aca="false">I15+I16+I17+I18</f>
        <v>358679.273077042</v>
      </c>
      <c r="J19" s="0" t="n">
        <f aca="false">J15+J16+J17+J18</f>
        <v>367646.254903968</v>
      </c>
      <c r="K19" s="0" t="n">
        <f aca="false">K15+K16+K17+K18</f>
        <v>379727.054240703</v>
      </c>
      <c r="L19" s="0" t="n">
        <f aca="false">L15+L16+L17+L18</f>
        <v>387321.595325517</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251361.657686389</v>
      </c>
      <c r="D21" s="0" t="n">
        <f aca="false">D19*D20</f>
        <v>263722.296411687</v>
      </c>
      <c r="E21" s="0" t="n">
        <f aca="false">E19*E20</f>
        <v>223216.901957103</v>
      </c>
      <c r="F21" s="0" t="n">
        <f aca="false">F19*F20</f>
        <v>204122.924442902</v>
      </c>
      <c r="G21" s="0" t="n">
        <f aca="false">G19*G20</f>
        <v>216852.436674372</v>
      </c>
      <c r="H21" s="0" t="n">
        <f aca="false">H19*H20</f>
        <v>217762.682297258</v>
      </c>
      <c r="I21" s="0" t="n">
        <f aca="false">I19*I20</f>
        <v>209285.910820058</v>
      </c>
      <c r="J21" s="0" t="n">
        <f aca="false">J19*J20</f>
        <v>198627.832028296</v>
      </c>
      <c r="K21" s="0" t="n">
        <f aca="false">K19*K20</f>
        <v>189958.066675783</v>
      </c>
      <c r="L21" s="0" t="n">
        <f aca="false">L19*L20</f>
        <v>179404.840749351</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8</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13</v>
      </c>
    </row>
    <row r="30" customFormat="false" ht="15" hidden="false" customHeight="false" outlineLevel="0" collapsed="false">
      <c r="A30" s="0" t="s">
        <v>128</v>
      </c>
      <c r="B30" s="0" t="n">
        <f aca="false">SUM(C21:L21)</f>
        <v>2154315.5497432</v>
      </c>
    </row>
    <row r="31" customFormat="false" ht="15" hidden="false" customHeight="false" outlineLevel="0" collapsed="false">
      <c r="A31" s="0" t="s">
        <v>129</v>
      </c>
      <c r="B31" s="0" t="n">
        <f aca="false">L19</f>
        <v>387321.595325517</v>
      </c>
    </row>
    <row r="32" customFormat="false" ht="15" hidden="false" customHeight="false" outlineLevel="0" collapsed="false">
      <c r="A32" s="0" t="s">
        <v>130</v>
      </c>
      <c r="B32" s="0" t="n">
        <f aca="false">IF(B27&gt;B28,B31*(1+B28/100)/((B27-B28)/100),B31*B29)</f>
        <v>6584467.12053379</v>
      </c>
    </row>
    <row r="33" customFormat="false" ht="15" hidden="false" customHeight="false" outlineLevel="0" collapsed="false">
      <c r="A33" s="0" t="s">
        <v>131</v>
      </c>
      <c r="B33" s="0" t="n">
        <f aca="false">B31*B29</f>
        <v>5035180.73923172</v>
      </c>
    </row>
    <row r="34" customFormat="false" ht="15" hidden="false" customHeight="false" outlineLevel="0" collapsed="false">
      <c r="A34" s="0" t="s">
        <v>132</v>
      </c>
      <c r="B34" s="0" t="n">
        <f aca="false">MAX(0,MIN(B32,B33))</f>
        <v>5035180.73923172</v>
      </c>
    </row>
    <row r="35" customFormat="false" ht="15" hidden="false" customHeight="false" outlineLevel="0" collapsed="false">
      <c r="A35" s="0" t="s">
        <v>133</v>
      </c>
      <c r="B35" s="0" t="n">
        <f aca="false">B34/(1+B27/100)^L4</f>
        <v>2332262.92974156</v>
      </c>
    </row>
    <row r="36" customFormat="false" ht="15" hidden="false" customHeight="false" outlineLevel="0" collapsed="false">
      <c r="A36" s="0" t="s">
        <v>134</v>
      </c>
      <c r="B36" s="0" t="n">
        <f aca="false">B30+B35</f>
        <v>4486578.47948476</v>
      </c>
    </row>
    <row r="37" customFormat="false" ht="15" hidden="false" customHeight="false" outlineLevel="0" collapsed="false">
      <c r="A37" s="0" t="s">
        <v>135</v>
      </c>
      <c r="B37" s="0" t="n">
        <f aca="false">B36+Assumptions!$B$5-Assumptions!$B$4</f>
        <v>5989771.47948476</v>
      </c>
    </row>
    <row r="38" customFormat="false" ht="15" hidden="false" customHeight="false" outlineLevel="0" collapsed="false">
      <c r="A38" s="0" t="s">
        <v>136</v>
      </c>
      <c r="B38" s="0" t="n">
        <f aca="false">B37/Assumptions!$B$3*Assumptions!$B$10</f>
        <v>3296.1542370046</v>
      </c>
    </row>
    <row r="39" customFormat="false" ht="15" hidden="false" customHeight="false" outlineLevel="0" collapsed="false">
      <c r="A39" s="0" t="s">
        <v>137</v>
      </c>
      <c r="B39" s="4" t="n">
        <f aca="false">B38/Assumptions!$B$2-1</f>
        <v>-0.447510184880221</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3296.1542370046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3038984.82486175</v>
      </c>
    </row>
    <row r="47" customFormat="false" ht="15" hidden="false" customHeight="false" outlineLevel="0" collapsed="false">
      <c r="A47" s="0" t="s">
        <v>142</v>
      </c>
      <c r="B47" s="0" t="n">
        <f aca="false">(SUMPRODUCT(C19:L19/(1+B45/100)^C4:L4)+B46/(1+B45/100)^L4+Assumptions!$B$5-Assumptions!$B$4)/Assumptions!$B$3*Assumptions!$B$10</f>
        <v>2109.41145959166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6</v>
      </c>
      <c r="D5" s="4" t="n">
        <f aca="false">Assumptions!D27</f>
        <v>5.5</v>
      </c>
      <c r="E5" s="4" t="n">
        <f aca="false">Assumptions!E27</f>
        <v>5</v>
      </c>
      <c r="F5" s="4" t="n">
        <f aca="false">Assumptions!F27</f>
        <v>4.5</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2573969</v>
      </c>
      <c r="C6" s="0" t="n">
        <f aca="false">B6*(1+C5/100)</f>
        <v>2728407.14</v>
      </c>
      <c r="D6" s="0" t="n">
        <f aca="false">C6*(1+D5/100)</f>
        <v>2878469.5327</v>
      </c>
      <c r="E6" s="0" t="n">
        <f aca="false">D6*(1+E5/100)</f>
        <v>3022393.009335</v>
      </c>
      <c r="F6" s="0" t="n">
        <f aca="false">E6*(1+F5/100)</f>
        <v>3158400.69475508</v>
      </c>
      <c r="G6" s="0" t="n">
        <f aca="false">F6*(1+G5/100)</f>
        <v>3284736.72254528</v>
      </c>
      <c r="H6" s="0" t="n">
        <f aca="false">G6*(1+H5/100)</f>
        <v>3399702.50783436</v>
      </c>
      <c r="I6" s="0" t="n">
        <f aca="false">H6*(1+I5/100)</f>
        <v>3501693.58306939</v>
      </c>
      <c r="J6" s="0" t="n">
        <f aca="false">I6*(1+J5/100)</f>
        <v>3606744.39056148</v>
      </c>
      <c r="K6" s="0" t="n">
        <f aca="false">J6*(1+K5/100)</f>
        <v>3696913.00032551</v>
      </c>
      <c r="L6" s="0" t="n">
        <f aca="false">K6*(1+L5/100)</f>
        <v>3789335.82533365</v>
      </c>
    </row>
    <row r="7" customFormat="false" ht="15" hidden="false" customHeight="false" outlineLevel="0" collapsed="false">
      <c r="A7" s="0" t="s">
        <v>99</v>
      </c>
      <c r="C7" s="4" t="n">
        <f aca="false">Assumptions!C28</f>
        <v>35</v>
      </c>
      <c r="D7" s="4" t="n">
        <f aca="false">Assumptions!D28</f>
        <v>35.5</v>
      </c>
      <c r="E7" s="4" t="n">
        <f aca="false">Assumptions!E28</f>
        <v>36</v>
      </c>
      <c r="F7" s="4" t="n">
        <f aca="false">Assumptions!F28</f>
        <v>36</v>
      </c>
      <c r="G7" s="4" t="n">
        <f aca="false">Assumptions!G28</f>
        <v>36</v>
      </c>
      <c r="H7" s="4" t="n">
        <f aca="false">Assumptions!H28</f>
        <v>35.5</v>
      </c>
      <c r="I7" s="4" t="n">
        <f aca="false">Assumptions!I28</f>
        <v>35.5</v>
      </c>
      <c r="J7" s="4" t="n">
        <f aca="false">Assumptions!J28</f>
        <v>35</v>
      </c>
      <c r="K7" s="4" t="n">
        <f aca="false">Assumptions!K28</f>
        <v>35</v>
      </c>
      <c r="L7" s="4" t="n">
        <f aca="false">Assumptions!L28</f>
        <v>35</v>
      </c>
    </row>
    <row r="8" customFormat="false" ht="15" hidden="false" customHeight="false" outlineLevel="0" collapsed="false">
      <c r="A8" s="0" t="s">
        <v>43</v>
      </c>
      <c r="C8" s="0" t="n">
        <f aca="false">C6*C7/100</f>
        <v>954942.499</v>
      </c>
      <c r="D8" s="0" t="n">
        <f aca="false">D6*D7/100</f>
        <v>1021856.6841085</v>
      </c>
      <c r="E8" s="0" t="n">
        <f aca="false">E6*E7/100</f>
        <v>1088061.4833606</v>
      </c>
      <c r="F8" s="0" t="n">
        <f aca="false">F6*F7/100</f>
        <v>1137024.25011183</v>
      </c>
      <c r="G8" s="0" t="n">
        <f aca="false">G6*G7/100</f>
        <v>1182505.2201163</v>
      </c>
      <c r="H8" s="0" t="n">
        <f aca="false">H6*H7/100</f>
        <v>1206894.3902812</v>
      </c>
      <c r="I8" s="0" t="n">
        <f aca="false">I6*I7/100</f>
        <v>1243101.22198963</v>
      </c>
      <c r="J8" s="0" t="n">
        <f aca="false">J6*J7/100</f>
        <v>1262360.53669652</v>
      </c>
      <c r="K8" s="0" t="n">
        <f aca="false">K6*K7/100</f>
        <v>1293919.55011393</v>
      </c>
      <c r="L8" s="0" t="n">
        <f aca="false">L6*L7/100</f>
        <v>1326267.53886678</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954942.499</v>
      </c>
      <c r="D11" s="0" t="n">
        <f aca="false">D8+D10+D24</f>
        <v>1021856.6841085</v>
      </c>
      <c r="E11" s="0" t="n">
        <f aca="false">E8+E10+E24</f>
        <v>1088061.4833606</v>
      </c>
      <c r="F11" s="0" t="n">
        <f aca="false">F8+F10+F24</f>
        <v>1137024.25011183</v>
      </c>
      <c r="G11" s="0" t="n">
        <f aca="false">G8+G10+G24</f>
        <v>1182505.2201163</v>
      </c>
      <c r="H11" s="0" t="n">
        <f aca="false">H8+H10+H24</f>
        <v>1206894.3902812</v>
      </c>
      <c r="I11" s="0" t="n">
        <f aca="false">I8+I10+I24</f>
        <v>1243101.22198963</v>
      </c>
      <c r="J11" s="0" t="n">
        <f aca="false">J8+J10+J24</f>
        <v>1262360.53669652</v>
      </c>
      <c r="K11" s="0" t="n">
        <f aca="false">K8+K10+K24</f>
        <v>1293919.55011393</v>
      </c>
      <c r="L11" s="0" t="n">
        <f aca="false">L8+L10+L24</f>
        <v>1326267.53886678</v>
      </c>
    </row>
    <row r="12" customFormat="false" ht="15" hidden="false" customHeight="false" outlineLevel="0" collapsed="false">
      <c r="A12" s="0" t="s">
        <v>117</v>
      </c>
      <c r="C12" s="4" t="n">
        <f aca="false">-C6*Assumptions!C31/100</f>
        <v>-242828.23546</v>
      </c>
      <c r="D12" s="4" t="n">
        <f aca="false">-D6*Assumptions!D31/100</f>
        <v>-264819.1970084</v>
      </c>
      <c r="E12" s="4" t="n">
        <f aca="false">-E6*Assumptions!E31/100</f>
        <v>-287127.335886825</v>
      </c>
      <c r="F12" s="4" t="n">
        <f aca="false">-F6*Assumptions!F31/100</f>
        <v>-309523.268085997</v>
      </c>
      <c r="G12" s="4" t="n">
        <f aca="false">-G6*Assumptions!G31/100</f>
        <v>-328473.672254528</v>
      </c>
      <c r="H12" s="4" t="n">
        <f aca="false">-H6*Assumptions!H31/100</f>
        <v>-339970.250783436</v>
      </c>
      <c r="I12" s="4" t="n">
        <f aca="false">-I6*Assumptions!I31/100</f>
        <v>-350169.358306939</v>
      </c>
      <c r="J12" s="4" t="n">
        <f aca="false">-J6*Assumptions!J31/100</f>
        <v>-360674.439056148</v>
      </c>
      <c r="K12" s="4" t="n">
        <f aca="false">-K6*Assumptions!K31/100</f>
        <v>-369691.300032551</v>
      </c>
      <c r="L12" s="4" t="n">
        <f aca="false">-L6*Assumptions!L31/100</f>
        <v>-378933.582533365</v>
      </c>
    </row>
    <row r="13" customFormat="false" ht="15" hidden="false" customHeight="false" outlineLevel="0" collapsed="false">
      <c r="A13" s="0" t="s">
        <v>118</v>
      </c>
      <c r="C13" s="0" t="n">
        <f aca="false">C11+C12</f>
        <v>712114.26354</v>
      </c>
      <c r="D13" s="0" t="n">
        <f aca="false">D11+D12</f>
        <v>757037.4871001</v>
      </c>
      <c r="E13" s="0" t="n">
        <f aca="false">E11+E12</f>
        <v>800934.147473775</v>
      </c>
      <c r="F13" s="0" t="n">
        <f aca="false">F11+F12</f>
        <v>827500.98202583</v>
      </c>
      <c r="G13" s="0" t="n">
        <f aca="false">G11+G12</f>
        <v>854031.547861772</v>
      </c>
      <c r="H13" s="0" t="n">
        <f aca="false">H11+H12</f>
        <v>866924.139497763</v>
      </c>
      <c r="I13" s="0" t="n">
        <f aca="false">I11+I12</f>
        <v>892931.863682695</v>
      </c>
      <c r="J13" s="0" t="n">
        <f aca="false">J11+J12</f>
        <v>901686.097640369</v>
      </c>
      <c r="K13" s="0" t="n">
        <f aca="false">K11+K12</f>
        <v>924228.250081378</v>
      </c>
      <c r="L13" s="0" t="n">
        <f aca="false">L11+L12</f>
        <v>947333.956333413</v>
      </c>
    </row>
    <row r="14" customFormat="false" ht="15" hidden="false" customHeight="false" outlineLevel="0" collapsed="false">
      <c r="A14" s="0" t="s">
        <v>104</v>
      </c>
      <c r="C14" s="4" t="n">
        <f aca="false">Assumptions!C33</f>
        <v>33.5</v>
      </c>
      <c r="D14" s="4" t="n">
        <f aca="false">Assumptions!D33</f>
        <v>33.5</v>
      </c>
      <c r="E14" s="4" t="n">
        <f aca="false">Assumptions!E33</f>
        <v>33.5</v>
      </c>
      <c r="F14" s="4" t="n">
        <f aca="false">Assumptions!F33</f>
        <v>33.5</v>
      </c>
      <c r="G14" s="4" t="n">
        <f aca="false">Assumptions!G33</f>
        <v>33.5</v>
      </c>
      <c r="H14" s="4" t="n">
        <f aca="false">Assumptions!H33</f>
        <v>33.5</v>
      </c>
      <c r="I14" s="4" t="n">
        <f aca="false">Assumptions!I33</f>
        <v>33.5</v>
      </c>
      <c r="J14" s="4" t="n">
        <f aca="false">Assumptions!J33</f>
        <v>33.5</v>
      </c>
      <c r="K14" s="4" t="n">
        <f aca="false">Assumptions!K33</f>
        <v>33.5</v>
      </c>
      <c r="L14" s="4" t="n">
        <f aca="false">Assumptions!L33</f>
        <v>33.5</v>
      </c>
    </row>
    <row r="15" customFormat="false" ht="15" hidden="false" customHeight="false" outlineLevel="0" collapsed="false">
      <c r="A15" s="0" t="s">
        <v>119</v>
      </c>
      <c r="C15" s="0" t="n">
        <f aca="false">C13-MAX(0,C13)*C14/100</f>
        <v>473555.9852541</v>
      </c>
      <c r="D15" s="0" t="n">
        <f aca="false">D13-MAX(0,D13)*D14/100</f>
        <v>503429.928921566</v>
      </c>
      <c r="E15" s="0" t="n">
        <f aca="false">E13-MAX(0,E13)*E14/100</f>
        <v>532621.20807006</v>
      </c>
      <c r="F15" s="0" t="n">
        <f aca="false">F13-MAX(0,F13)*F14/100</f>
        <v>550288.153047177</v>
      </c>
      <c r="G15" s="0" t="n">
        <f aca="false">G13-MAX(0,G13)*G14/100</f>
        <v>567930.979328079</v>
      </c>
      <c r="H15" s="0" t="n">
        <f aca="false">H13-MAX(0,H13)*H14/100</f>
        <v>576504.552766012</v>
      </c>
      <c r="I15" s="0" t="n">
        <f aca="false">I13-MAX(0,I13)*I14/100</f>
        <v>593799.689348992</v>
      </c>
      <c r="J15" s="0" t="n">
        <f aca="false">J13-MAX(0,J13)*J14/100</f>
        <v>599621.254930846</v>
      </c>
      <c r="K15" s="0" t="n">
        <f aca="false">K13-MAX(0,K13)*K14/100</f>
        <v>614611.786304117</v>
      </c>
      <c r="L15" s="0" t="n">
        <f aca="false">L13-MAX(0,L13)*L14/100</f>
        <v>629977.080961719</v>
      </c>
    </row>
    <row r="16" customFormat="false" ht="15" hidden="false" customHeight="false" outlineLevel="0" collapsed="false">
      <c r="A16" s="0" t="s">
        <v>120</v>
      </c>
      <c r="C16" s="0" t="n">
        <f aca="false">-C12</f>
        <v>242828.23546</v>
      </c>
      <c r="D16" s="0" t="n">
        <f aca="false">-D12</f>
        <v>264819.1970084</v>
      </c>
      <c r="E16" s="0" t="n">
        <f aca="false">-E12</f>
        <v>287127.335886825</v>
      </c>
      <c r="F16" s="0" t="n">
        <f aca="false">-F12</f>
        <v>309523.268085997</v>
      </c>
      <c r="G16" s="0" t="n">
        <f aca="false">-G12</f>
        <v>328473.672254528</v>
      </c>
      <c r="H16" s="0" t="n">
        <f aca="false">-H12</f>
        <v>339970.250783436</v>
      </c>
      <c r="I16" s="0" t="n">
        <f aca="false">-I12</f>
        <v>350169.358306939</v>
      </c>
      <c r="J16" s="0" t="n">
        <f aca="false">-J12</f>
        <v>360674.439056148</v>
      </c>
      <c r="K16" s="0" t="n">
        <f aca="false">-K12</f>
        <v>369691.300032551</v>
      </c>
      <c r="L16" s="0" t="n">
        <f aca="false">-L12</f>
        <v>378933.582533365</v>
      </c>
    </row>
    <row r="17" customFormat="false" ht="15" hidden="false" customHeight="false" outlineLevel="0" collapsed="false">
      <c r="A17" s="0" t="s">
        <v>121</v>
      </c>
      <c r="C17" s="4" t="n">
        <f aca="false">-C6*Assumptions!C32/100</f>
        <v>-381976.9996</v>
      </c>
      <c r="D17" s="4" t="n">
        <f aca="false">-D6*Assumptions!D32/100</f>
        <v>-402985.734578</v>
      </c>
      <c r="E17" s="4" t="n">
        <f aca="false">-E6*Assumptions!E32/100</f>
        <v>-408023.056260225</v>
      </c>
      <c r="F17" s="4" t="n">
        <f aca="false">-F6*Assumptions!F32/100</f>
        <v>-410592.09031816</v>
      </c>
      <c r="G17" s="4" t="n">
        <f aca="false">-G6*Assumptions!G32/100</f>
        <v>-410592.09031816</v>
      </c>
      <c r="H17" s="4" t="n">
        <f aca="false">-H6*Assumptions!H32/100</f>
        <v>-407964.300940124</v>
      </c>
      <c r="I17" s="4" t="n">
        <f aca="false">-I6*Assumptions!I32/100</f>
        <v>-402694.76205298</v>
      </c>
      <c r="J17" s="4" t="n">
        <f aca="false">-J6*Assumptions!J32/100</f>
        <v>-396741.882961762</v>
      </c>
      <c r="K17" s="4" t="n">
        <f aca="false">-K6*Assumptions!K32/100</f>
        <v>-406660.430035806</v>
      </c>
      <c r="L17" s="4" t="n">
        <f aca="false">-L6*Assumptions!L32/100</f>
        <v>-416826.940786702</v>
      </c>
    </row>
    <row r="18" customFormat="false" ht="15" hidden="false" customHeight="false" outlineLevel="0" collapsed="false">
      <c r="A18" s="0" t="s">
        <v>122</v>
      </c>
      <c r="C18" s="4" t="n">
        <f aca="false">(C6-B6)*Assumptions!$B$37/100</f>
        <v>-54053.349</v>
      </c>
      <c r="D18" s="4" t="n">
        <f aca="false">(D6-C6)*Assumptions!$B$37/100</f>
        <v>-52521.8374449999</v>
      </c>
      <c r="E18" s="4" t="n">
        <f aca="false">(E6-D6)*Assumptions!$B$37/100</f>
        <v>-50373.2168222501</v>
      </c>
      <c r="F18" s="4" t="n">
        <f aca="false">(F6-E6)*Assumptions!$B$37/100</f>
        <v>-47602.6898970262</v>
      </c>
      <c r="G18" s="4" t="n">
        <f aca="false">(G6-F6)*Assumptions!$B$37/100</f>
        <v>-44217.6097265711</v>
      </c>
      <c r="H18" s="4" t="n">
        <f aca="false">(H6-G6)*Assumptions!$B$37/100</f>
        <v>-40238.0248511796</v>
      </c>
      <c r="I18" s="4" t="n">
        <f aca="false">(I6-H6)*Assumptions!$B$37/100</f>
        <v>-35696.8763322609</v>
      </c>
      <c r="J18" s="4" t="n">
        <f aca="false">(J6-I6)*Assumptions!$B$37/100</f>
        <v>-36767.7826222287</v>
      </c>
      <c r="K18" s="4" t="n">
        <f aca="false">(K6-J6)*Assumptions!$B$37/100</f>
        <v>-31559.0134174129</v>
      </c>
      <c r="L18" s="4" t="n">
        <f aca="false">(L6-K6)*Assumptions!$B$37/100</f>
        <v>-32347.9887528482</v>
      </c>
    </row>
    <row r="19" customFormat="false" ht="15" hidden="false" customHeight="false" outlineLevel="0" collapsed="false">
      <c r="A19" s="0" t="s">
        <v>123</v>
      </c>
      <c r="C19" s="0" t="n">
        <f aca="false">C15+C16+C17+C18</f>
        <v>280353.8721141</v>
      </c>
      <c r="D19" s="0" t="n">
        <f aca="false">D15+D16+D17+D18</f>
        <v>312741.553906967</v>
      </c>
      <c r="E19" s="0" t="n">
        <f aca="false">E15+E16+E17+E18</f>
        <v>361352.27087441</v>
      </c>
      <c r="F19" s="0" t="n">
        <f aca="false">F15+F16+F17+F18</f>
        <v>401616.640917988</v>
      </c>
      <c r="G19" s="0" t="n">
        <f aca="false">G15+G16+G17+G18</f>
        <v>441594.951537875</v>
      </c>
      <c r="H19" s="0" t="n">
        <f aca="false">H15+H16+H17+H18</f>
        <v>468272.477758145</v>
      </c>
      <c r="I19" s="0" t="n">
        <f aca="false">I15+I16+I17+I18</f>
        <v>505577.409270691</v>
      </c>
      <c r="J19" s="0" t="n">
        <f aca="false">J15+J16+J17+J18</f>
        <v>526786.028403002</v>
      </c>
      <c r="K19" s="0" t="n">
        <f aca="false">K15+K16+K17+K18</f>
        <v>546083.642883449</v>
      </c>
      <c r="L19" s="0" t="n">
        <f aca="false">L15+L16+L17+L18</f>
        <v>559735.733955535</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259586.918624167</v>
      </c>
      <c r="D21" s="0" t="n">
        <f aca="false">D19*D20</f>
        <v>268125.474885945</v>
      </c>
      <c r="E21" s="0" t="n">
        <f aca="false">E19*E20</f>
        <v>286853.082985961</v>
      </c>
      <c r="F21" s="0" t="n">
        <f aca="false">F19*F20</f>
        <v>295200.220454555</v>
      </c>
      <c r="G21" s="0" t="n">
        <f aca="false">G19*G20</f>
        <v>300542.103911613</v>
      </c>
      <c r="H21" s="0" t="n">
        <f aca="false">H19*H20</f>
        <v>295091.092588477</v>
      </c>
      <c r="I21" s="0" t="n">
        <f aca="false">I19*I20</f>
        <v>294999.562370961</v>
      </c>
      <c r="J21" s="0" t="n">
        <f aca="false">J19*J20</f>
        <v>284606.099936516</v>
      </c>
      <c r="K21" s="0" t="n">
        <f aca="false">K19*K20</f>
        <v>273177.77831983</v>
      </c>
      <c r="L21" s="0" t="n">
        <f aca="false">L19*L20</f>
        <v>259265.947016505</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8</v>
      </c>
    </row>
    <row r="28" customFormat="false" ht="15" hidden="false" customHeight="false" outlineLevel="0" collapsed="false">
      <c r="A28" s="0" t="s">
        <v>106</v>
      </c>
      <c r="B28" s="4" t="n">
        <f aca="false">Assumptions!$B$35</f>
        <v>2.5</v>
      </c>
    </row>
    <row r="29" customFormat="false" ht="15" hidden="false" customHeight="false" outlineLevel="0" collapsed="false">
      <c r="A29" s="0" t="s">
        <v>107</v>
      </c>
      <c r="B29" s="4" t="n">
        <f aca="false">Assumptions!$B$36</f>
        <v>15</v>
      </c>
    </row>
    <row r="30" customFormat="false" ht="15" hidden="false" customHeight="false" outlineLevel="0" collapsed="false">
      <c r="A30" s="0" t="s">
        <v>128</v>
      </c>
      <c r="B30" s="0" t="n">
        <f aca="false">SUM(C21:L21)</f>
        <v>2817448.28109453</v>
      </c>
    </row>
    <row r="31" customFormat="false" ht="15" hidden="false" customHeight="false" outlineLevel="0" collapsed="false">
      <c r="A31" s="0" t="s">
        <v>129</v>
      </c>
      <c r="B31" s="0" t="n">
        <f aca="false">L19</f>
        <v>559735.733955535</v>
      </c>
    </row>
    <row r="32" customFormat="false" ht="15" hidden="false" customHeight="false" outlineLevel="0" collapsed="false">
      <c r="A32" s="0" t="s">
        <v>130</v>
      </c>
      <c r="B32" s="0" t="n">
        <f aca="false">IF(B27&gt;B28,B31*(1+B28/100)/((B27-B28)/100),B31*B29)</f>
        <v>10431438.6782622</v>
      </c>
    </row>
    <row r="33" customFormat="false" ht="15" hidden="false" customHeight="false" outlineLevel="0" collapsed="false">
      <c r="A33" s="0" t="s">
        <v>131</v>
      </c>
      <c r="B33" s="0" t="n">
        <f aca="false">B31*B29</f>
        <v>8396036.00933302</v>
      </c>
    </row>
    <row r="34" customFormat="false" ht="15" hidden="false" customHeight="false" outlineLevel="0" collapsed="false">
      <c r="A34" s="0" t="s">
        <v>132</v>
      </c>
      <c r="B34" s="0" t="n">
        <f aca="false">MAX(0,MIN(B32,B33))</f>
        <v>8396036.00933302</v>
      </c>
    </row>
    <row r="35" customFormat="false" ht="15" hidden="false" customHeight="false" outlineLevel="0" collapsed="false">
      <c r="A35" s="0" t="s">
        <v>133</v>
      </c>
      <c r="B35" s="0" t="n">
        <f aca="false">B34/(1+B27/100)^L4</f>
        <v>3888989.20524758</v>
      </c>
    </row>
    <row r="36" customFormat="false" ht="15" hidden="false" customHeight="false" outlineLevel="0" collapsed="false">
      <c r="A36" s="0" t="s">
        <v>134</v>
      </c>
      <c r="B36" s="0" t="n">
        <f aca="false">B30+B35</f>
        <v>6706437.4863421</v>
      </c>
    </row>
    <row r="37" customFormat="false" ht="15" hidden="false" customHeight="false" outlineLevel="0" collapsed="false">
      <c r="A37" s="0" t="s">
        <v>135</v>
      </c>
      <c r="B37" s="0" t="n">
        <f aca="false">B36+Assumptions!$B$5-Assumptions!$B$4</f>
        <v>8209630.4863421</v>
      </c>
    </row>
    <row r="38" customFormat="false" ht="15" hidden="false" customHeight="false" outlineLevel="0" collapsed="false">
      <c r="A38" s="0" t="s">
        <v>136</v>
      </c>
      <c r="B38" s="0" t="n">
        <f aca="false">B37/Assumptions!$B$3*Assumptions!$B$10</f>
        <v>4517.73634511452</v>
      </c>
    </row>
    <row r="39" customFormat="false" ht="15" hidden="false" customHeight="false" outlineLevel="0" collapsed="false">
      <c r="A39" s="0" t="s">
        <v>137</v>
      </c>
      <c r="B39" s="4" t="n">
        <f aca="false">B38/Assumptions!$B$2-1</f>
        <v>-0.24275287544175</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4517.73634511452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4589833.01843539</v>
      </c>
    </row>
    <row r="47" customFormat="false" ht="15" hidden="false" customHeight="false" outlineLevel="0" collapsed="false">
      <c r="A47" s="0" t="s">
        <v>142</v>
      </c>
      <c r="B47" s="0" t="n">
        <f aca="false">(SUMPRODUCT(C19:L19/(1+B45/100)^C4:L4)+B46/(1+B45/100)^L4+Assumptions!$B$5-Assumptions!$B$4)/Assumptions!$B$3*Assumptions!$B$10</f>
        <v>2566.07595630403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9</v>
      </c>
      <c r="D5" s="4" t="n">
        <f aca="false">Assumptions!D41</f>
        <v>8</v>
      </c>
      <c r="E5" s="4" t="n">
        <f aca="false">Assumptions!E41</f>
        <v>7</v>
      </c>
      <c r="F5" s="4" t="n">
        <f aca="false">Assumptions!F41</f>
        <v>6</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2573969</v>
      </c>
      <c r="C6" s="0" t="n">
        <f aca="false">B6*(1+C5/100)</f>
        <v>2805626.21</v>
      </c>
      <c r="D6" s="0" t="n">
        <f aca="false">C6*(1+D5/100)</f>
        <v>3030076.3068</v>
      </c>
      <c r="E6" s="0" t="n">
        <f aca="false">D6*(1+E5/100)</f>
        <v>3242181.648276</v>
      </c>
      <c r="F6" s="0" t="n">
        <f aca="false">E6*(1+F5/100)</f>
        <v>3436712.54717256</v>
      </c>
      <c r="G6" s="0" t="n">
        <f aca="false">F6*(1+G5/100)</f>
        <v>3608548.17453119</v>
      </c>
      <c r="H6" s="0" t="n">
        <f aca="false">G6*(1+H5/100)</f>
        <v>3770932.84238509</v>
      </c>
      <c r="I6" s="0" t="n">
        <f aca="false">H6*(1+I5/100)</f>
        <v>3921770.1560805</v>
      </c>
      <c r="J6" s="0" t="n">
        <f aca="false">I6*(1+J5/100)</f>
        <v>4059032.11154331</v>
      </c>
      <c r="K6" s="0" t="n">
        <f aca="false">J6*(1+K5/100)</f>
        <v>4180803.07488961</v>
      </c>
      <c r="L6" s="0" t="n">
        <f aca="false">K6*(1+L5/100)</f>
        <v>4306227.1671363</v>
      </c>
    </row>
    <row r="7" customFormat="false" ht="15" hidden="false" customHeight="false" outlineLevel="0" collapsed="false">
      <c r="A7" s="0" t="s">
        <v>99</v>
      </c>
      <c r="C7" s="4" t="n">
        <f aca="false">Assumptions!C42</f>
        <v>36</v>
      </c>
      <c r="D7" s="4" t="n">
        <f aca="false">Assumptions!D42</f>
        <v>37.5</v>
      </c>
      <c r="E7" s="4" t="n">
        <f aca="false">Assumptions!E42</f>
        <v>38.5</v>
      </c>
      <c r="F7" s="4" t="n">
        <f aca="false">Assumptions!F42</f>
        <v>39</v>
      </c>
      <c r="G7" s="4" t="n">
        <f aca="false">Assumptions!G42</f>
        <v>39</v>
      </c>
      <c r="H7" s="4" t="n">
        <f aca="false">Assumptions!H42</f>
        <v>38.5</v>
      </c>
      <c r="I7" s="4" t="n">
        <f aca="false">Assumptions!I42</f>
        <v>38</v>
      </c>
      <c r="J7" s="4" t="n">
        <f aca="false">Assumptions!J42</f>
        <v>38</v>
      </c>
      <c r="K7" s="4" t="n">
        <f aca="false">Assumptions!K42</f>
        <v>37.5</v>
      </c>
      <c r="L7" s="4" t="n">
        <f aca="false">Assumptions!L42</f>
        <v>37.5</v>
      </c>
    </row>
    <row r="8" customFormat="false" ht="15" hidden="false" customHeight="false" outlineLevel="0" collapsed="false">
      <c r="A8" s="0" t="s">
        <v>43</v>
      </c>
      <c r="C8" s="0" t="n">
        <f aca="false">C6*C7/100</f>
        <v>1010025.4356</v>
      </c>
      <c r="D8" s="0" t="n">
        <f aca="false">D6*D7/100</f>
        <v>1136278.61505</v>
      </c>
      <c r="E8" s="0" t="n">
        <f aca="false">E6*E7/100</f>
        <v>1248239.93458626</v>
      </c>
      <c r="F8" s="0" t="n">
        <f aca="false">F6*F7/100</f>
        <v>1340317.8933973</v>
      </c>
      <c r="G8" s="0" t="n">
        <f aca="false">G6*G7/100</f>
        <v>1407333.78806716</v>
      </c>
      <c r="H8" s="0" t="n">
        <f aca="false">H6*H7/100</f>
        <v>1451809.14431826</v>
      </c>
      <c r="I8" s="0" t="n">
        <f aca="false">I6*I7/100</f>
        <v>1490272.65931059</v>
      </c>
      <c r="J8" s="0" t="n">
        <f aca="false">J6*J7/100</f>
        <v>1542432.20238646</v>
      </c>
      <c r="K8" s="0" t="n">
        <f aca="false">K6*K7/100</f>
        <v>1567801.15308361</v>
      </c>
      <c r="L8" s="0" t="n">
        <f aca="false">L6*L7/100</f>
        <v>1614835.18767611</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1010025.4356</v>
      </c>
      <c r="D11" s="0" t="n">
        <f aca="false">D8+D10+D24</f>
        <v>1136278.61505</v>
      </c>
      <c r="E11" s="0" t="n">
        <f aca="false">E8+E10+E24</f>
        <v>1248239.93458626</v>
      </c>
      <c r="F11" s="0" t="n">
        <f aca="false">F8+F10+F24</f>
        <v>1340317.8933973</v>
      </c>
      <c r="G11" s="0" t="n">
        <f aca="false">G8+G10+G24</f>
        <v>1407333.78806716</v>
      </c>
      <c r="H11" s="0" t="n">
        <f aca="false">H8+H10+H24</f>
        <v>1451809.14431826</v>
      </c>
      <c r="I11" s="0" t="n">
        <f aca="false">I8+I10+I24</f>
        <v>1490272.65931059</v>
      </c>
      <c r="J11" s="0" t="n">
        <f aca="false">J8+J10+J24</f>
        <v>1542432.20238646</v>
      </c>
      <c r="K11" s="0" t="n">
        <f aca="false">K8+K10+K24</f>
        <v>1567801.15308361</v>
      </c>
      <c r="L11" s="0" t="n">
        <f aca="false">L8+L10+L24</f>
        <v>1614835.18767611</v>
      </c>
    </row>
    <row r="12" customFormat="false" ht="15" hidden="false" customHeight="false" outlineLevel="0" collapsed="false">
      <c r="A12" s="0" t="s">
        <v>117</v>
      </c>
      <c r="C12" s="4" t="n">
        <f aca="false">-C6*Assumptions!C45/100</f>
        <v>-249700.73269</v>
      </c>
      <c r="D12" s="4" t="n">
        <f aca="false">-D6*Assumptions!D45/100</f>
        <v>-278767.0202256</v>
      </c>
      <c r="E12" s="4" t="n">
        <f aca="false">-E6*Assumptions!E45/100</f>
        <v>-308007.25658622</v>
      </c>
      <c r="F12" s="4" t="n">
        <f aca="false">-F6*Assumptions!F45/100</f>
        <v>-336797.829622911</v>
      </c>
      <c r="G12" s="4" t="n">
        <f aca="false">-G6*Assumptions!G45/100</f>
        <v>-360854.817453119</v>
      </c>
      <c r="H12" s="4" t="n">
        <f aca="false">-H6*Assumptions!H45/100</f>
        <v>-377093.284238509</v>
      </c>
      <c r="I12" s="4" t="n">
        <f aca="false">-I6*Assumptions!I45/100</f>
        <v>-392177.01560805</v>
      </c>
      <c r="J12" s="4" t="n">
        <f aca="false">-J6*Assumptions!J45/100</f>
        <v>-405903.211154331</v>
      </c>
      <c r="K12" s="4" t="n">
        <f aca="false">-K6*Assumptions!K45/100</f>
        <v>-418080.307488961</v>
      </c>
      <c r="L12" s="4" t="n">
        <f aca="false">-L6*Assumptions!L45/100</f>
        <v>-430622.71671363</v>
      </c>
    </row>
    <row r="13" customFormat="false" ht="15" hidden="false" customHeight="false" outlineLevel="0" collapsed="false">
      <c r="A13" s="0" t="s">
        <v>118</v>
      </c>
      <c r="C13" s="0" t="n">
        <f aca="false">C11+C12</f>
        <v>760324.70291</v>
      </c>
      <c r="D13" s="0" t="n">
        <f aca="false">D11+D12</f>
        <v>857511.5948244</v>
      </c>
      <c r="E13" s="0" t="n">
        <f aca="false">E11+E12</f>
        <v>940232.67800004</v>
      </c>
      <c r="F13" s="0" t="n">
        <f aca="false">F11+F12</f>
        <v>1003520.06377439</v>
      </c>
      <c r="G13" s="0" t="n">
        <f aca="false">G11+G12</f>
        <v>1046478.97061405</v>
      </c>
      <c r="H13" s="0" t="n">
        <f aca="false">H11+H12</f>
        <v>1074715.86007975</v>
      </c>
      <c r="I13" s="0" t="n">
        <f aca="false">I11+I12</f>
        <v>1098095.64370254</v>
      </c>
      <c r="J13" s="0" t="n">
        <f aca="false">J11+J12</f>
        <v>1136528.99123213</v>
      </c>
      <c r="K13" s="0" t="n">
        <f aca="false">K11+K12</f>
        <v>1149720.84559464</v>
      </c>
      <c r="L13" s="0" t="n">
        <f aca="false">L11+L12</f>
        <v>1184212.47096248</v>
      </c>
    </row>
    <row r="14" customFormat="false" ht="15" hidden="false" customHeight="false" outlineLevel="0" collapsed="false">
      <c r="A14" s="0" t="s">
        <v>104</v>
      </c>
      <c r="C14" s="4" t="n">
        <f aca="false">Assumptions!C47</f>
        <v>33.5</v>
      </c>
      <c r="D14" s="4" t="n">
        <f aca="false">Assumptions!D47</f>
        <v>33.5</v>
      </c>
      <c r="E14" s="4" t="n">
        <f aca="false">Assumptions!E47</f>
        <v>33.5</v>
      </c>
      <c r="F14" s="4" t="n">
        <f aca="false">Assumptions!F47</f>
        <v>33.5</v>
      </c>
      <c r="G14" s="4" t="n">
        <f aca="false">Assumptions!G47</f>
        <v>33.5</v>
      </c>
      <c r="H14" s="4" t="n">
        <f aca="false">Assumptions!H47</f>
        <v>33.5</v>
      </c>
      <c r="I14" s="4" t="n">
        <f aca="false">Assumptions!I47</f>
        <v>33.5</v>
      </c>
      <c r="J14" s="4" t="n">
        <f aca="false">Assumptions!J47</f>
        <v>33.5</v>
      </c>
      <c r="K14" s="4" t="n">
        <f aca="false">Assumptions!K47</f>
        <v>33.5</v>
      </c>
      <c r="L14" s="4" t="n">
        <f aca="false">Assumptions!L47</f>
        <v>33.5</v>
      </c>
    </row>
    <row r="15" customFormat="false" ht="15" hidden="false" customHeight="false" outlineLevel="0" collapsed="false">
      <c r="A15" s="0" t="s">
        <v>119</v>
      </c>
      <c r="C15" s="0" t="n">
        <f aca="false">C13-MAX(0,C13)*C14/100</f>
        <v>505615.92743515</v>
      </c>
      <c r="D15" s="0" t="n">
        <f aca="false">D13-MAX(0,D13)*D14/100</f>
        <v>570245.210558226</v>
      </c>
      <c r="E15" s="0" t="n">
        <f aca="false">E13-MAX(0,E13)*E14/100</f>
        <v>625254.730870027</v>
      </c>
      <c r="F15" s="0" t="n">
        <f aca="false">F13-MAX(0,F13)*F14/100</f>
        <v>667340.842409968</v>
      </c>
      <c r="G15" s="0" t="n">
        <f aca="false">G13-MAX(0,G13)*G14/100</f>
        <v>695908.51545834</v>
      </c>
      <c r="H15" s="0" t="n">
        <f aca="false">H13-MAX(0,H13)*H14/100</f>
        <v>714686.046953035</v>
      </c>
      <c r="I15" s="0" t="n">
        <f aca="false">I13-MAX(0,I13)*I14/100</f>
        <v>730233.603062189</v>
      </c>
      <c r="J15" s="0" t="n">
        <f aca="false">J13-MAX(0,J13)*J14/100</f>
        <v>755791.779169365</v>
      </c>
      <c r="K15" s="0" t="n">
        <f aca="false">K13-MAX(0,K13)*K14/100</f>
        <v>764564.362320438</v>
      </c>
      <c r="L15" s="0" t="n">
        <f aca="false">L13-MAX(0,L13)*L14/100</f>
        <v>787501.293190051</v>
      </c>
    </row>
    <row r="16" customFormat="false" ht="15" hidden="false" customHeight="false" outlineLevel="0" collapsed="false">
      <c r="A16" s="0" t="s">
        <v>120</v>
      </c>
      <c r="C16" s="0" t="n">
        <f aca="false">-C12</f>
        <v>249700.73269</v>
      </c>
      <c r="D16" s="0" t="n">
        <f aca="false">-D12</f>
        <v>278767.0202256</v>
      </c>
      <c r="E16" s="0" t="n">
        <f aca="false">-E12</f>
        <v>308007.25658622</v>
      </c>
      <c r="F16" s="0" t="n">
        <f aca="false">-F12</f>
        <v>336797.829622911</v>
      </c>
      <c r="G16" s="0" t="n">
        <f aca="false">-G12</f>
        <v>360854.817453119</v>
      </c>
      <c r="H16" s="0" t="n">
        <f aca="false">-H12</f>
        <v>377093.284238509</v>
      </c>
      <c r="I16" s="0" t="n">
        <f aca="false">-I12</f>
        <v>392177.01560805</v>
      </c>
      <c r="J16" s="0" t="n">
        <f aca="false">-J12</f>
        <v>405903.211154331</v>
      </c>
      <c r="K16" s="0" t="n">
        <f aca="false">-K12</f>
        <v>418080.307488961</v>
      </c>
      <c r="L16" s="0" t="n">
        <f aca="false">-L12</f>
        <v>430622.71671363</v>
      </c>
    </row>
    <row r="17" customFormat="false" ht="15" hidden="false" customHeight="false" outlineLevel="0" collapsed="false">
      <c r="A17" s="0" t="s">
        <v>121</v>
      </c>
      <c r="C17" s="4" t="n">
        <f aca="false">-C6*Assumptions!C46/100</f>
        <v>-392787.6694</v>
      </c>
      <c r="D17" s="4" t="n">
        <f aca="false">-D6*Assumptions!D46/100</f>
        <v>-424210.682952</v>
      </c>
      <c r="E17" s="4" t="n">
        <f aca="false">-E6*Assumptions!E46/100</f>
        <v>-453905.43075864</v>
      </c>
      <c r="F17" s="4" t="n">
        <f aca="false">-F6*Assumptions!F46/100</f>
        <v>-463956.193868296</v>
      </c>
      <c r="G17" s="4" t="n">
        <f aca="false">-G6*Assumptions!G46/100</f>
        <v>-469111.262689055</v>
      </c>
      <c r="H17" s="4" t="n">
        <f aca="false">-H6*Assumptions!H46/100</f>
        <v>-471366.605298137</v>
      </c>
      <c r="I17" s="4" t="n">
        <f aca="false">-I6*Assumptions!I46/100</f>
        <v>-470612.41872966</v>
      </c>
      <c r="J17" s="4" t="n">
        <f aca="false">-J6*Assumptions!J46/100</f>
        <v>-466788.692827481</v>
      </c>
      <c r="K17" s="4" t="n">
        <f aca="false">-K6*Assumptions!K46/100</f>
        <v>-480792.353612306</v>
      </c>
      <c r="L17" s="4" t="n">
        <f aca="false">-L6*Assumptions!L46/100</f>
        <v>-495216.124220675</v>
      </c>
    </row>
    <row r="18" customFormat="false" ht="15" hidden="false" customHeight="false" outlineLevel="0" collapsed="false">
      <c r="A18" s="0" t="s">
        <v>122</v>
      </c>
      <c r="C18" s="4" t="n">
        <f aca="false">(C6-B6)*Assumptions!$B$51/100</f>
        <v>-81080.0235000001</v>
      </c>
      <c r="D18" s="4" t="n">
        <f aca="false">(D6-C6)*Assumptions!$B$51/100</f>
        <v>-78557.5338800002</v>
      </c>
      <c r="E18" s="4" t="n">
        <f aca="false">(E6-D6)*Assumptions!$B$51/100</f>
        <v>-74236.8695166001</v>
      </c>
      <c r="F18" s="4" t="n">
        <f aca="false">(F6-E6)*Assumptions!$B$51/100</f>
        <v>-68085.814613796</v>
      </c>
      <c r="G18" s="4" t="n">
        <f aca="false">(G6-F6)*Assumptions!$B$51/100</f>
        <v>-60142.46957552</v>
      </c>
      <c r="H18" s="4" t="n">
        <f aca="false">(H6-G6)*Assumptions!$B$51/100</f>
        <v>-56834.6337488662</v>
      </c>
      <c r="I18" s="4" t="n">
        <f aca="false">(I6-H6)*Assumptions!$B$51/100</f>
        <v>-52793.0597933913</v>
      </c>
      <c r="J18" s="4" t="n">
        <f aca="false">(J6-I6)*Assumptions!$B$51/100</f>
        <v>-48041.684411986</v>
      </c>
      <c r="K18" s="4" t="n">
        <f aca="false">(K6-J6)*Assumptions!$B$51/100</f>
        <v>-42619.8371712049</v>
      </c>
      <c r="L18" s="4" t="n">
        <f aca="false">(L6-K6)*Assumptions!$B$51/100</f>
        <v>-43898.432286341</v>
      </c>
    </row>
    <row r="19" customFormat="false" ht="15" hidden="false" customHeight="false" outlineLevel="0" collapsed="false">
      <c r="A19" s="0" t="s">
        <v>123</v>
      </c>
      <c r="C19" s="0" t="n">
        <f aca="false">C15+C16+C17+C18</f>
        <v>281448.96722515</v>
      </c>
      <c r="D19" s="0" t="n">
        <f aca="false">D15+D16+D17+D18</f>
        <v>346244.013951826</v>
      </c>
      <c r="E19" s="0" t="n">
        <f aca="false">E15+E16+E17+E18</f>
        <v>405119.687181007</v>
      </c>
      <c r="F19" s="0" t="n">
        <f aca="false">F15+F16+F17+F18</f>
        <v>472096.663550787</v>
      </c>
      <c r="G19" s="0" t="n">
        <f aca="false">G15+G16+G17+G18</f>
        <v>527509.600646884</v>
      </c>
      <c r="H19" s="0" t="n">
        <f aca="false">H15+H16+H17+H18</f>
        <v>563578.092144541</v>
      </c>
      <c r="I19" s="0" t="n">
        <f aca="false">I15+I16+I17+I18</f>
        <v>599005.140147187</v>
      </c>
      <c r="J19" s="0" t="n">
        <f aca="false">J15+J16+J17+J18</f>
        <v>646864.613084229</v>
      </c>
      <c r="K19" s="0" t="n">
        <f aca="false">K15+K16+K17+K18</f>
        <v>659232.479025889</v>
      </c>
      <c r="L19" s="0" t="n">
        <f aca="false">L15+L16+L17+L18</f>
        <v>679009.453396666</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260600.895578843</v>
      </c>
      <c r="D21" s="0" t="n">
        <f aca="false">D19*D20</f>
        <v>296848.434458012</v>
      </c>
      <c r="E21" s="0" t="n">
        <f aca="false">E19*E20</f>
        <v>321597.069156289</v>
      </c>
      <c r="F21" s="0" t="n">
        <f aca="false">F19*F20</f>
        <v>347005.141115432</v>
      </c>
      <c r="G21" s="0" t="n">
        <f aca="false">G19*G20</f>
        <v>359014.170474255</v>
      </c>
      <c r="H21" s="0" t="n">
        <f aca="false">H19*H20</f>
        <v>355149.796046218</v>
      </c>
      <c r="I21" s="0" t="n">
        <f aca="false">I19*I20</f>
        <v>349513.745988532</v>
      </c>
      <c r="J21" s="0" t="n">
        <f aca="false">J19*J20</f>
        <v>349480.822934819</v>
      </c>
      <c r="K21" s="0" t="n">
        <f aca="false">K19*K20</f>
        <v>329780.366732212</v>
      </c>
      <c r="L21" s="0" t="n">
        <f aca="false">L19*L20</f>
        <v>314512.757161276</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8</v>
      </c>
    </row>
    <row r="28" customFormat="false" ht="15" hidden="false" customHeight="false" outlineLevel="0" collapsed="false">
      <c r="A28" s="0" t="s">
        <v>106</v>
      </c>
      <c r="B28" s="4" t="n">
        <f aca="false">Assumptions!$B$49</f>
        <v>3</v>
      </c>
    </row>
    <row r="29" customFormat="false" ht="15" hidden="false" customHeight="false" outlineLevel="0" collapsed="false">
      <c r="A29" s="0" t="s">
        <v>107</v>
      </c>
      <c r="B29" s="4" t="n">
        <f aca="false">Assumptions!$B$50</f>
        <v>15</v>
      </c>
    </row>
    <row r="30" customFormat="false" ht="15" hidden="false" customHeight="false" outlineLevel="0" collapsed="false">
      <c r="A30" s="0" t="s">
        <v>128</v>
      </c>
      <c r="B30" s="0" t="n">
        <f aca="false">SUM(C21:L21)</f>
        <v>3283503.19964589</v>
      </c>
    </row>
    <row r="31" customFormat="false" ht="15" hidden="false" customHeight="false" outlineLevel="0" collapsed="false">
      <c r="A31" s="0" t="s">
        <v>129</v>
      </c>
      <c r="B31" s="0" t="n">
        <f aca="false">L19</f>
        <v>679009.453396666</v>
      </c>
    </row>
    <row r="32" customFormat="false" ht="15" hidden="false" customHeight="false" outlineLevel="0" collapsed="false">
      <c r="A32" s="0" t="s">
        <v>130</v>
      </c>
      <c r="B32" s="0" t="n">
        <f aca="false">IF(B27&gt;B28,B31*(1+B28/100)/((B27-B28)/100),B31*B29)</f>
        <v>13987594.7399713</v>
      </c>
    </row>
    <row r="33" customFormat="false" ht="15" hidden="false" customHeight="false" outlineLevel="0" collapsed="false">
      <c r="A33" s="0" t="s">
        <v>131</v>
      </c>
      <c r="B33" s="0" t="n">
        <f aca="false">B31*B29</f>
        <v>10185141.80095</v>
      </c>
    </row>
    <row r="34" customFormat="false" ht="15" hidden="false" customHeight="false" outlineLevel="0" collapsed="false">
      <c r="A34" s="0" t="s">
        <v>132</v>
      </c>
      <c r="B34" s="0" t="n">
        <f aca="false">MAX(0,MIN(B32,B33))</f>
        <v>10185141.80095</v>
      </c>
    </row>
    <row r="35" customFormat="false" ht="15" hidden="false" customHeight="false" outlineLevel="0" collapsed="false">
      <c r="A35" s="0" t="s">
        <v>133</v>
      </c>
      <c r="B35" s="0" t="n">
        <f aca="false">B34/(1+B27/100)^L4</f>
        <v>4717691.35741915</v>
      </c>
    </row>
    <row r="36" customFormat="false" ht="15" hidden="false" customHeight="false" outlineLevel="0" collapsed="false">
      <c r="A36" s="0" t="s">
        <v>134</v>
      </c>
      <c r="B36" s="0" t="n">
        <f aca="false">B30+B35</f>
        <v>8001194.55706503</v>
      </c>
    </row>
    <row r="37" customFormat="false" ht="15" hidden="false" customHeight="false" outlineLevel="0" collapsed="false">
      <c r="A37" s="0" t="s">
        <v>135</v>
      </c>
      <c r="B37" s="0" t="n">
        <f aca="false">B36+Assumptions!$B$5-Assumptions!$B$4</f>
        <v>9504387.55706503</v>
      </c>
    </row>
    <row r="38" customFormat="false" ht="15" hidden="false" customHeight="false" outlineLevel="0" collapsed="false">
      <c r="A38" s="0" t="s">
        <v>136</v>
      </c>
      <c r="B38" s="0" t="n">
        <f aca="false">B37/Assumptions!$B$3*Assumptions!$B$10</f>
        <v>5230.23748462747</v>
      </c>
    </row>
    <row r="39" customFormat="false" ht="15" hidden="false" customHeight="false" outlineLevel="0" collapsed="false">
      <c r="A39" s="0" t="s">
        <v>137</v>
      </c>
      <c r="B39" s="4" t="n">
        <f aca="false">B38/Assumptions!$B$2-1</f>
        <v>-0.123325932848229</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5230.23748462747</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5828164.47498805</v>
      </c>
    </row>
    <row r="47" customFormat="false" ht="15" hidden="false" customHeight="false" outlineLevel="0" collapsed="false">
      <c r="A47" s="0" t="s">
        <v>142</v>
      </c>
      <c r="B47" s="0" t="n">
        <f aca="false">(SUMPRODUCT(C19:L19/(1+B45/100)^C4:L4)+B46/(1+B45/100)^L4+Assumptions!$B$5-Assumptions!$B$4)/Assumptions!$B$3*Assumptions!$B$10</f>
        <v>2908.02948610291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3296.1542370046</v>
      </c>
      <c r="C4" s="0" t="n">
        <f aca="false">B4/Assumptions!$B$2-1</f>
        <v>-0.447510184880221</v>
      </c>
      <c r="D4" s="4" t="n">
        <f aca="false">Assumptions!$B$24</f>
        <v>0.25</v>
      </c>
      <c r="E4" s="4" t="n">
        <f aca="false">DCF_Bear!$B$43</f>
        <v>3296.1542370046</v>
      </c>
      <c r="F4" s="4" t="n">
        <f aca="false">DCF_Bear!$B$47</f>
        <v>2109.41145959166</v>
      </c>
    </row>
    <row r="5" customFormat="false" ht="15" hidden="false" customHeight="false" outlineLevel="0" collapsed="false">
      <c r="A5" s="0" t="s">
        <v>151</v>
      </c>
      <c r="B5" s="4" t="n">
        <f aca="false">DCF_Base!$B$38</f>
        <v>4517.73634511452</v>
      </c>
      <c r="C5" s="0" t="n">
        <f aca="false">B5/Assumptions!$B$2-1</f>
        <v>-0.24275287544175</v>
      </c>
      <c r="D5" s="4" t="n">
        <f aca="false">Assumptions!$B$38</f>
        <v>0.5</v>
      </c>
      <c r="E5" s="4" t="n">
        <f aca="false">DCF_Base!$B$43</f>
        <v>4517.73634511452</v>
      </c>
      <c r="F5" s="4" t="n">
        <f aca="false">DCF_Base!$B$47</f>
        <v>2566.07595630403</v>
      </c>
    </row>
    <row r="6" customFormat="false" ht="15" hidden="false" customHeight="false" outlineLevel="0" collapsed="false">
      <c r="A6" s="0" t="s">
        <v>152</v>
      </c>
      <c r="B6" s="4" t="n">
        <f aca="false">DCF_Bull!$B$38</f>
        <v>5230.23748462747</v>
      </c>
      <c r="C6" s="0" t="n">
        <f aca="false">B6/Assumptions!$B$2-1</f>
        <v>-0.123325932848229</v>
      </c>
      <c r="D6" s="4" t="n">
        <f aca="false">Assumptions!$B$52</f>
        <v>0.25</v>
      </c>
      <c r="E6" s="4" t="n">
        <f aca="false">DCF_Bull!$B$43</f>
        <v>5230.23748462747</v>
      </c>
      <c r="F6" s="4" t="n">
        <f aca="false">DCF_Bull!$B$47</f>
        <v>2908.02948610291</v>
      </c>
    </row>
    <row r="8" customFormat="false" ht="15" hidden="false" customHeight="false" outlineLevel="0" collapsed="false">
      <c r="A8" s="0" t="s">
        <v>153</v>
      </c>
      <c r="B8" s="0" t="n">
        <f aca="false">SUMPRODUCT(B4:B6,D4:D6)</f>
        <v>4390.46610296528</v>
      </c>
    </row>
    <row r="9" customFormat="false" ht="15" hidden="false" customHeight="false" outlineLevel="0" collapsed="false">
      <c r="A9" s="0" t="s">
        <v>154</v>
      </c>
      <c r="B9" s="0" t="n">
        <f aca="false">SUMPRODUCT(E4:E6,D4:D6)</f>
        <v>4390.46610296528</v>
      </c>
    </row>
    <row r="10" customFormat="false" ht="15" hidden="false" customHeight="false" outlineLevel="0" collapsed="false">
      <c r="A10" s="0" t="s">
        <v>155</v>
      </c>
      <c r="B10" s="0" t="n">
        <f aca="false">1-Assumptions!$B$2/B8</f>
        <v>-0.358853447466688</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2537.39821457566</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4517.73634511452</v>
      </c>
      <c r="C15" s="3" t="n">
        <v>8</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4253.1286867904</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3853.58308057164</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3472.7374205486</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3173.09916089118</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2566.07595630403</v>
      </c>
      <c r="C20" s="3" t="n">
        <v>15</v>
      </c>
    </row>
    <row r="22" customFormat="false" ht="15" hidden="false" customHeight="false" outlineLevel="0" collapsed="false">
      <c r="A22" s="2" t="s">
        <v>166</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5127.92438853591</v>
      </c>
      <c r="C24" s="0" t="n">
        <f aca="false">(SUMPRODUCT(DCF_Base!$C$19:$L$19/(1+$A$24/100)^DCF_Base!$C$4:$L$4)+MAX(0,MIN(IF($A$24&gt;$C$23,DCF_Base!$L$19*(1+$C$23/100)/(($A$24-$C$23)/100),DCF_Base!$L$19*DCF_Base!$B$29),DCF_Base!$L$19*DCF_Base!$B$29))/(1+$A$24/100)^DCF_Base!$L$4+Assumptions!$B$5-Assumptions!$B$4)/Assumptions!$B$3*Assumptions!$B$10</f>
        <v>5127.92438853591</v>
      </c>
      <c r="D24" s="0" t="n">
        <f aca="false">(SUMPRODUCT(DCF_Base!$C$19:$L$19/(1+$A$24/100)^DCF_Base!$C$4:$L$4)+MAX(0,MIN(IF($A$24&gt;$D$23,DCF_Base!$L$19*(1+$D$23/100)/(($A$24-$D$23)/100),DCF_Base!$L$19*DCF_Base!$B$29),DCF_Base!$L$19*DCF_Base!$B$29))/(1+$A$24/100)^DCF_Base!$L$4+Assumptions!$B$5-Assumptions!$B$4)/Assumptions!$B$3*Assumptions!$B$10</f>
        <v>5127.92438853591</v>
      </c>
      <c r="E24" s="0" t="n">
        <f aca="false">(SUMPRODUCT(DCF_Base!$C$19:$L$19/(1+$A$24/100)^DCF_Base!$C$4:$L$4)+MAX(0,MIN(IF($A$24&gt;$E$23,DCF_Base!$L$19*(1+$E$23/100)/(($A$24-$E$23)/100),DCF_Base!$L$19*DCF_Base!$B$29),DCF_Base!$L$19*DCF_Base!$B$29))/(1+$A$24/100)^DCF_Base!$L$4+Assumptions!$B$5-Assumptions!$B$4)/Assumptions!$B$3*Assumptions!$B$10</f>
        <v>5127.92438853591</v>
      </c>
      <c r="F24" s="0" t="n">
        <f aca="false">(SUMPRODUCT(DCF_Base!$C$19:$L$19/(1+$A$24/100)^DCF_Base!$C$4:$L$4)+MAX(0,MIN(IF($A$24&gt;$F$23,DCF_Base!$L$19*(1+$F$23/100)/(($A$24-$F$23)/100),DCF_Base!$L$19*DCF_Base!$B$29),DCF_Base!$L$19*DCF_Base!$B$29))/(1+$A$24/100)^DCF_Base!$L$4+Assumptions!$B$5-Assumptions!$B$4)/Assumptions!$B$3*Assumptions!$B$10</f>
        <v>5127.92438853591</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4808.35675044301</v>
      </c>
      <c r="C25" s="0" t="n">
        <f aca="false">(SUMPRODUCT(DCF_Base!$C$19:$L$19/(1+$A$25/100)^DCF_Base!$C$4:$L$4)+MAX(0,MIN(IF($A$25&gt;$C$23,DCF_Base!$L$19*(1+$C$23/100)/(($A$25-$C$23)/100),DCF_Base!$L$19*DCF_Base!$B$29),DCF_Base!$L$19*DCF_Base!$B$29))/(1+$A$25/100)^DCF_Base!$L$4+Assumptions!$B$5-Assumptions!$B$4)/Assumptions!$B$3*Assumptions!$B$10</f>
        <v>4808.35675044301</v>
      </c>
      <c r="D25" s="0" t="n">
        <f aca="false">(SUMPRODUCT(DCF_Base!$C$19:$L$19/(1+$A$25/100)^DCF_Base!$C$4:$L$4)+MAX(0,MIN(IF($A$25&gt;$D$23,DCF_Base!$L$19*(1+$D$23/100)/(($A$25-$D$23)/100),DCF_Base!$L$19*DCF_Base!$B$29),DCF_Base!$L$19*DCF_Base!$B$29))/(1+$A$25/100)^DCF_Base!$L$4+Assumptions!$B$5-Assumptions!$B$4)/Assumptions!$B$3*Assumptions!$B$10</f>
        <v>4808.35675044301</v>
      </c>
      <c r="E25" s="0" t="n">
        <f aca="false">(SUMPRODUCT(DCF_Base!$C$19:$L$19/(1+$A$25/100)^DCF_Base!$C$4:$L$4)+MAX(0,MIN(IF($A$25&gt;$E$23,DCF_Base!$L$19*(1+$E$23/100)/(($A$25-$E$23)/100),DCF_Base!$L$19*DCF_Base!$B$29),DCF_Base!$L$19*DCF_Base!$B$29))/(1+$A$25/100)^DCF_Base!$L$4+Assumptions!$B$5-Assumptions!$B$4)/Assumptions!$B$3*Assumptions!$B$10</f>
        <v>4808.35675044301</v>
      </c>
      <c r="F25" s="0" t="n">
        <f aca="false">(SUMPRODUCT(DCF_Base!$C$19:$L$19/(1+$A$25/100)^DCF_Base!$C$4:$L$4)+MAX(0,MIN(IF($A$25&gt;$F$23,DCF_Base!$L$19*(1+$F$23/100)/(($A$25-$F$23)/100),DCF_Base!$L$19*DCF_Base!$B$29),DCF_Base!$L$19*DCF_Base!$B$29))/(1+$A$25/100)^DCF_Base!$L$4+Assumptions!$B$5-Assumptions!$B$4)/Assumptions!$B$3*Assumptions!$B$10</f>
        <v>4808.35675044301</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4517.73634511452</v>
      </c>
      <c r="C26" s="0" t="n">
        <f aca="false">(SUMPRODUCT(DCF_Base!$C$19:$L$19/(1+$A$26/100)^DCF_Base!$C$4:$L$4)+MAX(0,MIN(IF($A$26&gt;$C$23,DCF_Base!$L$19*(1+$C$23/100)/(($A$26-$C$23)/100),DCF_Base!$L$19*DCF_Base!$B$29),DCF_Base!$L$19*DCF_Base!$B$29))/(1+$A$26/100)^DCF_Base!$L$4+Assumptions!$B$5-Assumptions!$B$4)/Assumptions!$B$3*Assumptions!$B$10</f>
        <v>4517.73634511452</v>
      </c>
      <c r="D26" s="0" t="n">
        <f aca="false">(SUMPRODUCT(DCF_Base!$C$19:$L$19/(1+$A$26/100)^DCF_Base!$C$4:$L$4)+MAX(0,MIN(IF($A$26&gt;$D$23,DCF_Base!$L$19*(1+$D$23/100)/(($A$26-$D$23)/100),DCF_Base!$L$19*DCF_Base!$B$29),DCF_Base!$L$19*DCF_Base!$B$29))/(1+$A$26/100)^DCF_Base!$L$4+Assumptions!$B$5-Assumptions!$B$4)/Assumptions!$B$3*Assumptions!$B$10</f>
        <v>4517.73634511452</v>
      </c>
      <c r="E26" s="0" t="n">
        <f aca="false">(SUMPRODUCT(DCF_Base!$C$19:$L$19/(1+$A$26/100)^DCF_Base!$C$4:$L$4)+MAX(0,MIN(IF($A$26&gt;$E$23,DCF_Base!$L$19*(1+$E$23/100)/(($A$26-$E$23)/100),DCF_Base!$L$19*DCF_Base!$B$29),DCF_Base!$L$19*DCF_Base!$B$29))/(1+$A$26/100)^DCF_Base!$L$4+Assumptions!$B$5-Assumptions!$B$4)/Assumptions!$B$3*Assumptions!$B$10</f>
        <v>4517.73634511452</v>
      </c>
      <c r="F26" s="0" t="n">
        <f aca="false">(SUMPRODUCT(DCF_Base!$C$19:$L$19/(1+$A$26/100)^DCF_Base!$C$4:$L$4)+MAX(0,MIN(IF($A$26&gt;$F$23,DCF_Base!$L$19*(1+$F$23/100)/(($A$26-$F$23)/100),DCF_Base!$L$19*DCF_Base!$B$29),DCF_Base!$L$19*DCF_Base!$B$29))/(1+$A$26/100)^DCF_Base!$L$4+Assumptions!$B$5-Assumptions!$B$4)/Assumptions!$B$3*Assumptions!$B$10</f>
        <v>4517.73634511452</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4062.29864399096</v>
      </c>
      <c r="C27" s="0" t="n">
        <f aca="false">(SUMPRODUCT(DCF_Base!$C$19:$L$19/(1+$A$27/100)^DCF_Base!$C$4:$L$4)+MAX(0,MIN(IF($A$27&gt;$C$23,DCF_Base!$L$19*(1+$C$23/100)/(($A$27-$C$23)/100),DCF_Base!$L$19*DCF_Base!$B$29),DCF_Base!$L$19*DCF_Base!$B$29))/(1+$A$27/100)^DCF_Base!$L$4+Assumptions!$B$5-Assumptions!$B$4)/Assumptions!$B$3*Assumptions!$B$10</f>
        <v>4197.36666129705</v>
      </c>
      <c r="D27" s="0" t="n">
        <f aca="false">(SUMPRODUCT(DCF_Base!$C$19:$L$19/(1+$A$27/100)^DCF_Base!$C$4:$L$4)+MAX(0,MIN(IF($A$27&gt;$D$23,DCF_Base!$L$19*(1+$D$23/100)/(($A$27-$D$23)/100),DCF_Base!$L$19*DCF_Base!$B$29),DCF_Base!$L$19*DCF_Base!$B$29))/(1+$A$27/100)^DCF_Base!$L$4+Assumptions!$B$5-Assumptions!$B$4)/Assumptions!$B$3*Assumptions!$B$10</f>
        <v>4253.1286867904</v>
      </c>
      <c r="E27" s="0" t="n">
        <f aca="false">(SUMPRODUCT(DCF_Base!$C$19:$L$19/(1+$A$27/100)^DCF_Base!$C$4:$L$4)+MAX(0,MIN(IF($A$27&gt;$E$23,DCF_Base!$L$19*(1+$E$23/100)/(($A$27-$E$23)/100),DCF_Base!$L$19*DCF_Base!$B$29),DCF_Base!$L$19*DCF_Base!$B$29))/(1+$A$27/100)^DCF_Base!$L$4+Assumptions!$B$5-Assumptions!$B$4)/Assumptions!$B$3*Assumptions!$B$10</f>
        <v>4253.1286867904</v>
      </c>
      <c r="F27" s="0" t="n">
        <f aca="false">(SUMPRODUCT(DCF_Base!$C$19:$L$19/(1+$A$27/100)^DCF_Base!$C$4:$L$4)+MAX(0,MIN(IF($A$27&gt;$F$23,DCF_Base!$L$19*(1+$F$23/100)/(($A$27-$F$23)/100),DCF_Base!$L$19*DCF_Base!$B$29),DCF_Base!$L$19*DCF_Base!$B$29))/(1+$A$27/100)^DCF_Base!$L$4+Assumptions!$B$5-Assumptions!$B$4)/Assumptions!$B$3*Assumptions!$B$10</f>
        <v>4253.1286867904</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3648.67176112002</v>
      </c>
      <c r="C28" s="0" t="n">
        <f aca="false">(SUMPRODUCT(DCF_Base!$C$19:$L$19/(1+$A$28/100)^DCF_Base!$C$4:$L$4)+MAX(0,MIN(IF($A$28&gt;$C$23,DCF_Base!$L$19*(1+$C$23/100)/(($A$28-$C$23)/100),DCF_Base!$L$19*DCF_Base!$B$29),DCF_Base!$L$19*DCF_Base!$B$29))/(1+$A$28/100)^DCF_Base!$L$4+Assumptions!$B$5-Assumptions!$B$4)/Assumptions!$B$3*Assumptions!$B$10</f>
        <v>3744.72394211297</v>
      </c>
      <c r="D28" s="0" t="n">
        <f aca="false">(SUMPRODUCT(DCF_Base!$C$19:$L$19/(1+$A$28/100)^DCF_Base!$C$4:$L$4)+MAX(0,MIN(IF($A$28&gt;$D$23,DCF_Base!$L$19*(1+$D$23/100)/(($A$28-$D$23)/100),DCF_Base!$L$19*DCF_Base!$B$29),DCF_Base!$L$19*DCF_Base!$B$29))/(1+$A$28/100)^DCF_Base!$L$4+Assumptions!$B$5-Assumptions!$B$4)/Assumptions!$B$3*Assumptions!$B$10</f>
        <v>3853.58308057164</v>
      </c>
      <c r="E28" s="0" t="n">
        <f aca="false">(SUMPRODUCT(DCF_Base!$C$19:$L$19/(1+$A$28/100)^DCF_Base!$C$4:$L$4)+MAX(0,MIN(IF($A$28&gt;$E$23,DCF_Base!$L$19*(1+$E$23/100)/(($A$28-$E$23)/100),DCF_Base!$L$19*DCF_Base!$B$29),DCF_Base!$L$19*DCF_Base!$B$29))/(1+$A$28/100)^DCF_Base!$L$4+Assumptions!$B$5-Assumptions!$B$4)/Assumptions!$B$3*Assumptions!$B$10</f>
        <v>3977.99352452441</v>
      </c>
      <c r="F28" s="0" t="n">
        <f aca="false">(SUMPRODUCT(DCF_Base!$C$19:$L$19/(1+$A$28/100)^DCF_Base!$C$4:$L$4)+MAX(0,MIN(IF($A$28&gt;$F$23,DCF_Base!$L$19*(1+$F$23/100)/(($A$28-$F$23)/100),DCF_Base!$L$19*DCF_Base!$B$29),DCF_Base!$L$19*DCF_Base!$B$29))/(1+$A$28/100)^DCF_Base!$L$4+Assumptions!$B$5-Assumptions!$B$4)/Assumptions!$B$3*Assumptions!$B$10</f>
        <v>4011.92364560243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2026-10-31T00:51:15Z</dcterms:created>
  <dc:creator>openpyxl</dc:creator>
  <dc:description/>
  <dc:language>en-NZ</dc:language>
  <cp:lastModifiedBy/>
  <dcterms:modified xsi:type="dcterms:W3CDTF">2026-10-31T00:51:15Z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