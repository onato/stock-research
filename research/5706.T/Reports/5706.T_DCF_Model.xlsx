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<sst xmlns="http://schemas.openxmlformats.org/spreadsheetml/2006/main" count="368" uniqueCount="171">
  <si>
    <t xml:space="preserve">Ticker</t>
  </si>
  <si>
    <t xml:space="preserve">5706.T</t>
  </si>
  <si>
    <t xml:space="preserve">Company</t>
  </si>
  <si>
    <t xml:space="preserve">Mitsui Kinzoku Company, Limited (formerly Mitsui Mining &amp; Smelting Co., Ltd.)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</si>
  <si>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</si>
  <si>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</si>
  <si>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</si>
  <si>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</si>
  <si>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regular close (15:30 JST), post-split basis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</si>
  <si>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</si>
  <si>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</si>
  <si>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</si>
  <si>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</si>
  <si>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</si>
  <si>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</si>
  <si>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</si>
  <si>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</si>
  <si>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</si>
  <si>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</si>
  <si>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</si>
  <si>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</si>
  <si>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2026-10-31T10:23:41Z</t>
  </si>
  <si>
    <t xml:space="preserve">Drivers file</t>
  </si>
  <si>
    <t xml:space="preserve">5706.T_Drivers.json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</si>
  <si>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</si>
  <si>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</si>
  <si>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</si>
  <si>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diversified Japanese non-ferrous metals and advanced-materials group on mid-cycle owner FCF, not the FY2026 record. The copper-foil growth engine is credited through revenue growth and a modest mix-driven margin drift; the Metals segment is held at normal margins; the ACT divestiture is a permanent base shrinkage absorbed in the guidance-anchored first year. Cross-shareholdings are added once (their income is outside the flows) and minorities deducted once. Risk is charged in the scenario weights (25/50/25), not in a scenario-specific WACC. Terminal value is capped at 14x FCF (12x bear) as befits a cyclical.
key_risks_to_valuation: Metals segment margin: FY2026 segment profit JPY75bn vs JPY44.5bn in FY2025 and a guided JPY24-37bn for FY2027; every JPY10bn of sustained Metals profit is worth roughly JPY120/share; AI-server copper-foil demand durability through the 2031 Malaysia plant start-up; the bull case is management's plan and needs this; Working-capital absorption on metal-price inflation: a 10pp change in wc_capture is worth ~JPY60/share in the base case; FX (JPY/USD) and LME zinc/lead/copper: company sensitivity ~JPY0.5-0.7bn ordinary income per JPY1/USD and ~JPY1-1.5bn per US$100/t zinc; Investment securities (JPY63.7bn) added at balance-sheet value; a 30% haircut for holding/illiquidity would remove ~JPY33/share; Terminal assumptions: the 14x FCF cap binds in the base case; the Gordon value at 8.5%/1.5% is higher, so value is capped rather than Gordon-driven</t>
  </si>
  <si>
    <t xml:space="preserve">Data sources</t>
  </si>
  <si>
    <t xml:space="preserve">price: Yahoo Finance chart API at inputs.price_as_of, post-split basis; 52-week range 1,427.5-5,770 (split-adjusted)
financials: 5706.T_Metrics.csv (core_metrics, millions of JPY) FY2016-Q1 FY2027; FY2026 Annual tanshin (31 Mar 2026) and Q1 FY2027 tanshin (30 Jun 2026, filed 7 Aug 2026) for balance-sheet anchors, share counts, and FY2027 guidance; kpis table for segment revenue/profit, D&amp;A, capex, cash taxes, interest income
qualitative: 5706.T_Analysis.json (2026-10-31): ACT divestiture, 10-for-1 split, FY2027 guidance raised twice, 2030 medium-term plan, Metals one-off attribution</t>
  </si>
  <si>
    <t xml:space="preserve">Scenario narrative: bear</t>
  </si>
  <si>
    <t xml:space="preserve">FY2027 is fine (guided, Q1 +84% OP already booked) but it is the high-water mark: AI-server PCB demand plateaus in FY2028 as hyperscaler capex digests, new Asian copper-foil capacity (SK Nexilis, Chinese entrants) pressures VSP pricing, LME zinc and lead revert and the yen strengthens, pushing Metals back to the thin margins of FY2019-FY2020 and FY2024. Group EBITDA margin settles at 12%, revenue grows 2% nominal, and the growth capex program is scaled back. Catalysts (ICE motorcycles/autos) decline slowly throughout. Terminal multiple capped at 12x FCF for a commodity-exposed cyclical.</t>
  </si>
  <si>
    <t xml:space="preserve">Scenario narrative: base</t>
  </si>
  <si>
    <t xml:space="preserve">Mid-cycle, not peak. FY2027 lands on guidance (sales JPY850bn, EBITDA ~JPY124bn, 14.6%) as the FY2026 Metals inventory/FX/treatment-charge windfall reverses and scheduled zinc/copper smelter maintenance bites. From there Engineered Materials grows with VSP/MicroThin capacity (1,400 t/month by FY2030) while Metals is held price-neutral, so group revenue compounds 5-7% through year 5 and the EBITDA margin drifts to 15.5% on mix. Capex runs at JPY55-60bn/yr for the copper-foil build-out before easing toward D&amp;A. Working capital absorbs 20% of every yen of revenue growth, which is what a smelter's inventory does. The JPY150bn 2030 ordinary-income target is NOT assumed.</t>
  </si>
  <si>
    <t xml:space="preserve">Scenario narrative: bull</t>
  </si>
  <si>
    <t xml:space="preserve">The AI-server copper-foil franchise (VSP, MicroThin, FaradFlex) scales on plan: revenue grows 8-11% a year through FY2031 as Taiwan and Malaysia capacity comes on, Engineered Materials margin expands with high-end mix and Metals delivers normal, not peak, smelting margins. Year-5 EBIT of ~JPY160bn matches management's JPY150bn ordinary-income target. Terminal EBITDA margin 18%, growth 2%. This is management's own plan delivered - it requires AI infrastructure capex to stay strong through 2031 and the Malaysia plant to ramp on schedule.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</si>
  <si>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</si>
  <si>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</si>
  <si>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</si>
  <si>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</si>
  <si>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</si>
  <si>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</si>
  <si>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</si>
  <si>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</si>
  <si>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</si>
  <si>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</si>
  <si>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</si>
  <si>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</si>
  <si>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</si>
  <si>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</si>
  <si>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</si>
  <si>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</si>
  <si>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</si>
  <si>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</si>
  <si>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</si>
  <si>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</si>
  <si>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</si>
  <si>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</si>
  <si>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</si>
  <si>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</si>
  <si>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</si>
  <si>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</si>
  <si>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</si>
  <si>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CapexIntangibles</t>
  </si>
  <si>
    <t xml:space="preserve">CapexPPE</t>
  </si>
  <si>
    <t xml:space="preserve">NetAssets</t>
  </si>
  <si>
    <t xml:space="preserve">SegmentProfitOther</t>
  </si>
  <si>
    <t xml:space="preserve">SegmentRevenueOther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</si>
  <si>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</si>
  <si>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</si>
  <si>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</si>
  <si>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</si>
  <si>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</si>
  <si>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</si>
  <si>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</si>
  <si>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</si>
  <si>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</si>
  <si>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</si>
  <si>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</si>
  <si>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</si>
  <si>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</si>
  <si>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</si>
  <si>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</si>
  <si>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</si>
  <si>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</si>
  <si>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</si>
  <si>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</si>
  <si>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</si>
  <si>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</si>
  <si>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</si>
  <si>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</si>
  <si>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</si>
  <si>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</si>
  <si>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</si>
  <si>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</si>
  <si>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</si>
  <si>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</si>
  <si>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</si>
  <si>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</si>
  <si>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</si>
  <si>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</si>
  <si>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</si>
  <si>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</si>
  <si>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</si>
  <si>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</si>
  <si>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</si>
  <si>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</si>
  <si>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</si>
  <si>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</si>
  <si>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</si>
  <si>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</si>
  <si>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</si>
  <si>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</si>
  <si>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</si>
  <si>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</si>
  <si>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</si>
  <si>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5706.T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</si>
  <si>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</si>
  <si>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</si>
  <si>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</si>
  <si>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</si>
  <si>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</si>
  <si>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</si>
  <si>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</si>
  <si>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</si>
  <si>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</si>
  <si>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</si>
  <si>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</si>
  <si>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</si>
  <si>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</si>
  <si>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</si>
  <si>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</si>
  <si>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</si>
  <si>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</si>
  <si>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</si>
  <si>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</si>
  <si>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</si>
  <si>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</si>
  <si>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</si>
  <si>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</si>
  <si>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</si>
  <si>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</si>
  <si>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</si>
  <si>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</si>
  <si>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</si>
  <si>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</si>
  <si>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</si>
  <si>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5706.T owner-FCF component DCF: base case (millions, JPY)</t>
  </si>
  <si>
    <t xml:space="preserve">5706.T owner-FCF component DCF: bull case (millions, JPY)</t>
  </si>
  <si>
    <t xml:space="preserve">5706.T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</si>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</sst>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2017.5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450553</v>
      </c>
      <c r="C2" s="0" t="n">
        <v>388546</v>
      </c>
      <c r="D2" s="0" t="n">
        <v>62007</v>
      </c>
      <c r="E2" s="0" t="n">
        <v>13.8</v>
      </c>
      <c r="F2" s="0" t="n">
        <v>11137</v>
      </c>
      <c r="G2" s="0" t="n">
        <v>2.5</v>
      </c>
      <c r="I2" s="0" t="n">
        <v>-20926</v>
      </c>
      <c r="J2" s="0" t="n">
        <v>-4.6</v>
      </c>
      <c r="K2" s="0" t="n">
        <v>-366.4</v>
      </c>
      <c r="L2" s="0" t="n">
        <v>50397</v>
      </c>
      <c r="M2" s="0" t="n">
        <v>28204</v>
      </c>
      <c r="N2" s="0" t="n">
        <v>22193</v>
      </c>
      <c r="O2" s="0" t="n">
        <v>169537</v>
      </c>
      <c r="P2" s="0" t="n">
        <v>484800</v>
      </c>
      <c r="Q2" s="0" t="n">
        <v>305234</v>
      </c>
      <c r="S2" s="0" t="n">
        <v>16649</v>
      </c>
      <c r="T2" s="0" t="n">
        <v>57.112</v>
      </c>
      <c r="AA2" s="0" t="s">
        <v>17</v>
      </c>
      <c r="AB2" s="0" t="s">
        <v>14</v>
      </c>
      <c r="AD2" s="0" t="n">
        <v>28204</v>
      </c>
      <c r="AE2" s="0" t="n">
        <v>179566</v>
      </c>
    </row>
    <row r="3" customFormat="false" ht="15" hidden="false" customHeight="false" outlineLevel="0" collapsed="false">
      <c r="A3" s="0" t="s">
        <v>69</v>
      </c>
      <c r="B3" s="0" t="n">
        <v>436330</v>
      </c>
      <c r="C3" s="0" t="n">
        <v>349051</v>
      </c>
      <c r="D3" s="0" t="n">
        <v>87278</v>
      </c>
      <c r="E3" s="0" t="n">
        <v>20</v>
      </c>
      <c r="F3" s="0" t="n">
        <v>38461</v>
      </c>
      <c r="G3" s="0" t="n">
        <v>8.8</v>
      </c>
      <c r="H3" s="0" t="n">
        <v>62875</v>
      </c>
      <c r="I3" s="0" t="n">
        <v>18674</v>
      </c>
      <c r="J3" s="0" t="n">
        <v>4.3</v>
      </c>
      <c r="K3" s="0" t="n">
        <v>326.98</v>
      </c>
      <c r="L3" s="0" t="n">
        <v>24218</v>
      </c>
      <c r="M3" s="0" t="n">
        <v>36072</v>
      </c>
      <c r="N3" s="0" t="n">
        <v>-11854</v>
      </c>
      <c r="O3" s="0" t="n">
        <v>173982</v>
      </c>
      <c r="P3" s="0" t="n">
        <v>518981</v>
      </c>
      <c r="Q3" s="0" t="n">
        <v>334560</v>
      </c>
      <c r="R3" s="0" t="n">
        <v>207421</v>
      </c>
      <c r="S3" s="0" t="n">
        <v>13952</v>
      </c>
      <c r="T3" s="0" t="n">
        <v>57.111</v>
      </c>
      <c r="AA3" s="0" t="s">
        <v>17</v>
      </c>
      <c r="AB3" s="0" t="s">
        <v>14</v>
      </c>
      <c r="AC3" s="0" t="n">
        <v>653</v>
      </c>
      <c r="AD3" s="0" t="n">
        <v>35419</v>
      </c>
      <c r="AE3" s="0" t="n">
        <v>184421</v>
      </c>
    </row>
    <row r="4" customFormat="false" ht="15" hidden="false" customHeight="false" outlineLevel="0" collapsed="false">
      <c r="A4" s="0" t="s">
        <v>70</v>
      </c>
      <c r="B4" s="0" t="n">
        <v>519215</v>
      </c>
      <c r="C4" s="0" t="n">
        <v>417796</v>
      </c>
      <c r="D4" s="0" t="n">
        <v>101419</v>
      </c>
      <c r="E4" s="0" t="n">
        <v>19.5</v>
      </c>
      <c r="F4" s="0" t="n">
        <v>49529</v>
      </c>
      <c r="G4" s="0" t="n">
        <v>9.5</v>
      </c>
      <c r="H4" s="0" t="n">
        <v>76163</v>
      </c>
      <c r="I4" s="0" t="n">
        <v>-708</v>
      </c>
      <c r="J4" s="0" t="n">
        <v>-0.1</v>
      </c>
      <c r="K4" s="0" t="n">
        <v>-12.4</v>
      </c>
      <c r="L4" s="0" t="n">
        <v>52436</v>
      </c>
      <c r="M4" s="0" t="n">
        <v>40449</v>
      </c>
      <c r="N4" s="0" t="n">
        <v>11987</v>
      </c>
      <c r="O4" s="0" t="n">
        <v>168193</v>
      </c>
      <c r="P4" s="0" t="n">
        <v>522418</v>
      </c>
      <c r="Q4" s="0" t="n">
        <v>343766</v>
      </c>
      <c r="R4" s="0" t="n">
        <v>208418</v>
      </c>
      <c r="S4" s="0" t="n">
        <v>22377</v>
      </c>
      <c r="T4" s="0" t="n">
        <v>57.097</v>
      </c>
      <c r="AA4" s="0" t="s">
        <v>17</v>
      </c>
      <c r="AB4" s="0" t="s">
        <v>14</v>
      </c>
      <c r="AC4" s="0" t="n">
        <v>900</v>
      </c>
      <c r="AD4" s="0" t="n">
        <v>39549</v>
      </c>
      <c r="AE4" s="0" t="n">
        <v>178652</v>
      </c>
    </row>
    <row r="5" customFormat="false" ht="15" hidden="false" customHeight="false" outlineLevel="0" collapsed="false">
      <c r="A5" s="0" t="s">
        <v>71</v>
      </c>
      <c r="B5" s="0" t="n">
        <v>497701</v>
      </c>
      <c r="C5" s="0" t="n">
        <v>424325</v>
      </c>
      <c r="D5" s="0" t="n">
        <v>73376</v>
      </c>
      <c r="E5" s="0" t="n">
        <v>14.7</v>
      </c>
      <c r="F5" s="0" t="n">
        <v>18222</v>
      </c>
      <c r="G5" s="0" t="n">
        <v>3.7</v>
      </c>
      <c r="H5" s="0" t="n">
        <v>46186</v>
      </c>
      <c r="I5" s="0" t="n">
        <v>4691</v>
      </c>
      <c r="J5" s="0" t="n">
        <v>0.9</v>
      </c>
      <c r="K5" s="0" t="n">
        <v>82.15</v>
      </c>
      <c r="L5" s="0" t="n">
        <v>40696</v>
      </c>
      <c r="M5" s="0" t="n">
        <v>35279</v>
      </c>
      <c r="N5" s="0" t="n">
        <v>5417</v>
      </c>
      <c r="O5" s="0" t="n">
        <v>170055</v>
      </c>
      <c r="P5" s="0" t="n">
        <v>523315</v>
      </c>
      <c r="Q5" s="0" t="n">
        <v>343642</v>
      </c>
      <c r="R5" s="0" t="n">
        <v>216878</v>
      </c>
      <c r="S5" s="0" t="n">
        <v>21524</v>
      </c>
      <c r="T5" s="0" t="n">
        <v>57.103</v>
      </c>
      <c r="AA5" s="0" t="s">
        <v>17</v>
      </c>
      <c r="AB5" s="0" t="s">
        <v>14</v>
      </c>
      <c r="AC5" s="0" t="n">
        <v>794</v>
      </c>
      <c r="AD5" s="0" t="n">
        <v>34485</v>
      </c>
      <c r="AE5" s="0" t="n">
        <v>179673</v>
      </c>
    </row>
    <row r="6" customFormat="false" ht="15" hidden="false" customHeight="false" outlineLevel="0" collapsed="false">
      <c r="A6" s="0" t="s">
        <v>72</v>
      </c>
      <c r="B6" s="0" t="n">
        <v>473109</v>
      </c>
      <c r="C6" s="0" t="n">
        <v>403460</v>
      </c>
      <c r="D6" s="0" t="n">
        <v>69648</v>
      </c>
      <c r="E6" s="0" t="n">
        <v>14.7</v>
      </c>
      <c r="F6" s="0" t="n">
        <v>13037</v>
      </c>
      <c r="G6" s="0" t="n">
        <v>2.8</v>
      </c>
      <c r="H6" s="0" t="n">
        <v>42007</v>
      </c>
      <c r="I6" s="0" t="n">
        <v>1566</v>
      </c>
      <c r="J6" s="0" t="n">
        <v>0.3</v>
      </c>
      <c r="K6" s="0" t="n">
        <v>27.43</v>
      </c>
      <c r="L6" s="0" t="n">
        <v>36107</v>
      </c>
      <c r="M6" s="0" t="n">
        <v>31412</v>
      </c>
      <c r="N6" s="0" t="n">
        <v>4695</v>
      </c>
      <c r="O6" s="0" t="n">
        <v>164733</v>
      </c>
      <c r="P6" s="0" t="n">
        <v>537119</v>
      </c>
      <c r="Q6" s="0" t="n">
        <v>363864</v>
      </c>
      <c r="R6" s="0" t="n">
        <v>233070</v>
      </c>
      <c r="S6" s="0" t="n">
        <v>32666</v>
      </c>
      <c r="T6" s="0" t="n">
        <v>57.091</v>
      </c>
      <c r="AA6" s="0" t="s">
        <v>17</v>
      </c>
      <c r="AB6" s="0" t="s">
        <v>14</v>
      </c>
      <c r="AC6" s="0" t="n">
        <v>1993</v>
      </c>
      <c r="AD6" s="0" t="n">
        <v>29419</v>
      </c>
      <c r="AE6" s="0" t="n">
        <v>173255</v>
      </c>
    </row>
    <row r="7" customFormat="false" ht="15" hidden="false" customHeight="false" outlineLevel="0" collapsed="false">
      <c r="A7" s="0" t="s">
        <v>73</v>
      </c>
      <c r="B7" s="0" t="n">
        <v>522936</v>
      </c>
      <c r="C7" s="0" t="n">
        <v>420717</v>
      </c>
      <c r="D7" s="0" t="n">
        <v>102219</v>
      </c>
      <c r="E7" s="0" t="n">
        <v>19.5</v>
      </c>
      <c r="F7" s="0" t="n">
        <v>51124</v>
      </c>
      <c r="G7" s="0" t="n">
        <v>9.8</v>
      </c>
      <c r="H7" s="0" t="n">
        <v>85006</v>
      </c>
      <c r="I7" s="0" t="n">
        <v>44771</v>
      </c>
      <c r="J7" s="0" t="n">
        <v>8.6</v>
      </c>
      <c r="K7" s="0" t="n">
        <v>784.01</v>
      </c>
      <c r="L7" s="0" t="n">
        <v>27565</v>
      </c>
      <c r="M7" s="0" t="n">
        <v>28572</v>
      </c>
      <c r="N7" s="0" t="n">
        <v>-1007</v>
      </c>
      <c r="O7" s="0" t="n">
        <v>198968</v>
      </c>
      <c r="P7" s="0" t="n">
        <v>595107</v>
      </c>
      <c r="Q7" s="0" t="n">
        <v>384547</v>
      </c>
      <c r="R7" s="0" t="n">
        <v>247930</v>
      </c>
      <c r="S7" s="0" t="n">
        <v>30402</v>
      </c>
      <c r="T7" s="0" t="n">
        <v>57.105</v>
      </c>
      <c r="AA7" s="0" t="s">
        <v>17</v>
      </c>
      <c r="AB7" s="0" t="s">
        <v>14</v>
      </c>
      <c r="AC7" s="0" t="n">
        <v>2137</v>
      </c>
      <c r="AD7" s="0" t="n">
        <v>26435</v>
      </c>
      <c r="AE7" s="0" t="n">
        <v>210560</v>
      </c>
    </row>
    <row r="8" customFormat="false" ht="15" hidden="false" customHeight="false" outlineLevel="0" collapsed="false">
      <c r="A8" s="0" t="s">
        <v>74</v>
      </c>
      <c r="B8" s="0" t="n">
        <v>633346</v>
      </c>
      <c r="C8" s="0" t="n">
        <v>510782</v>
      </c>
      <c r="D8" s="0" t="n">
        <v>122564</v>
      </c>
      <c r="E8" s="0" t="n">
        <v>19.4</v>
      </c>
      <c r="F8" s="0" t="n">
        <v>60737</v>
      </c>
      <c r="G8" s="0" t="n">
        <v>9.6</v>
      </c>
      <c r="H8" s="0" t="n">
        <v>93904</v>
      </c>
      <c r="I8" s="0" t="n">
        <v>52088</v>
      </c>
      <c r="J8" s="0" t="n">
        <v>8.2</v>
      </c>
      <c r="K8" s="0" t="n">
        <v>912</v>
      </c>
      <c r="L8" s="0" t="n">
        <v>60672</v>
      </c>
      <c r="M8" s="0" t="n">
        <v>25488</v>
      </c>
      <c r="N8" s="0" t="n">
        <v>35184</v>
      </c>
      <c r="O8" s="0" t="n">
        <v>239692</v>
      </c>
      <c r="P8" s="0" t="n">
        <v>637878</v>
      </c>
      <c r="Q8" s="0" t="n">
        <v>387830</v>
      </c>
      <c r="R8" s="0" t="n">
        <v>225100</v>
      </c>
      <c r="S8" s="0" t="n">
        <v>29614</v>
      </c>
      <c r="T8" s="0" t="n">
        <v>57.114</v>
      </c>
      <c r="AA8" s="0" t="s">
        <v>17</v>
      </c>
      <c r="AB8" s="0" t="s">
        <v>14</v>
      </c>
      <c r="AC8" s="0" t="n">
        <v>2472</v>
      </c>
      <c r="AD8" s="0" t="n">
        <v>23016</v>
      </c>
      <c r="AE8" s="0" t="n">
        <v>250048</v>
      </c>
    </row>
    <row r="9" customFormat="false" ht="15" hidden="false" customHeight="false" outlineLevel="0" collapsed="false">
      <c r="A9" s="0" t="s">
        <v>75</v>
      </c>
      <c r="B9" s="0" t="n">
        <v>651965</v>
      </c>
      <c r="C9" s="0" t="n">
        <v>572628</v>
      </c>
      <c r="D9" s="0" t="n">
        <v>79337</v>
      </c>
      <c r="E9" s="0" t="n">
        <v>12.2</v>
      </c>
      <c r="F9" s="0" t="n">
        <v>12528</v>
      </c>
      <c r="G9" s="0" t="n">
        <v>1.9</v>
      </c>
      <c r="H9" s="0" t="n">
        <v>46174</v>
      </c>
      <c r="I9" s="0" t="n">
        <v>8511</v>
      </c>
      <c r="J9" s="0" t="n">
        <v>1.3</v>
      </c>
      <c r="K9" s="0" t="n">
        <v>148.99</v>
      </c>
      <c r="L9" s="0" t="n">
        <v>43009</v>
      </c>
      <c r="M9" s="0" t="n">
        <v>31150</v>
      </c>
      <c r="N9" s="0" t="n">
        <v>11859</v>
      </c>
      <c r="O9" s="0" t="n">
        <v>253371</v>
      </c>
      <c r="P9" s="0" t="n">
        <v>631894</v>
      </c>
      <c r="Q9" s="0" t="n">
        <v>370488</v>
      </c>
      <c r="R9" s="0" t="n">
        <v>219249</v>
      </c>
      <c r="S9" s="0" t="n">
        <v>26816</v>
      </c>
      <c r="T9" s="0" t="n">
        <v>57.125</v>
      </c>
      <c r="AA9" s="0" t="s">
        <v>17</v>
      </c>
      <c r="AB9" s="0" t="s">
        <v>14</v>
      </c>
      <c r="AC9" s="0" t="n">
        <v>2397</v>
      </c>
      <c r="AD9" s="0" t="n">
        <v>28753</v>
      </c>
      <c r="AE9" s="0" t="n">
        <v>261406</v>
      </c>
    </row>
    <row r="10" customFormat="false" ht="15" hidden="false" customHeight="false" outlineLevel="0" collapsed="false">
      <c r="A10" s="0" t="s">
        <v>76</v>
      </c>
      <c r="B10" s="0" t="n">
        <v>646697</v>
      </c>
      <c r="C10" s="0" t="n">
        <v>551299</v>
      </c>
      <c r="D10" s="0" t="n">
        <v>95397</v>
      </c>
      <c r="E10" s="0" t="n">
        <v>14.8</v>
      </c>
      <c r="F10" s="0" t="n">
        <v>31694</v>
      </c>
      <c r="G10" s="0" t="n">
        <v>4.9</v>
      </c>
      <c r="H10" s="0" t="n">
        <v>66081</v>
      </c>
      <c r="I10" s="0" t="n">
        <v>25989</v>
      </c>
      <c r="J10" s="0" t="n">
        <v>4</v>
      </c>
      <c r="K10" s="0" t="n">
        <v>454.71</v>
      </c>
      <c r="L10" s="0" t="n">
        <v>75343</v>
      </c>
      <c r="M10" s="0" t="n">
        <v>31603</v>
      </c>
      <c r="N10" s="0" t="n">
        <v>43740</v>
      </c>
      <c r="O10" s="0" t="n">
        <v>278522</v>
      </c>
      <c r="P10" s="0" t="n">
        <v>640631</v>
      </c>
      <c r="Q10" s="0" t="n">
        <v>354613</v>
      </c>
      <c r="R10" s="0" t="n">
        <v>200719</v>
      </c>
      <c r="S10" s="0" t="n">
        <v>32479</v>
      </c>
      <c r="T10" s="0" t="n">
        <v>57.155</v>
      </c>
      <c r="AA10" s="0" t="s">
        <v>17</v>
      </c>
      <c r="AB10" s="0" t="s">
        <v>14</v>
      </c>
      <c r="AC10" s="0" t="n">
        <v>2560</v>
      </c>
      <c r="AD10" s="0" t="n">
        <v>29043</v>
      </c>
      <c r="AE10" s="0" t="n">
        <v>286018</v>
      </c>
    </row>
    <row r="11" customFormat="false" ht="15" hidden="false" customHeight="false" outlineLevel="0" collapsed="false">
      <c r="A11" s="0" t="s">
        <v>77</v>
      </c>
      <c r="B11" s="0" t="n">
        <v>712344</v>
      </c>
      <c r="C11" s="0" t="n">
        <v>562106</v>
      </c>
      <c r="D11" s="0" t="n">
        <v>150237</v>
      </c>
      <c r="E11" s="0" t="n">
        <v>21.1</v>
      </c>
      <c r="F11" s="0" t="n">
        <v>74743</v>
      </c>
      <c r="G11" s="0" t="n">
        <v>10.5</v>
      </c>
      <c r="H11" s="0" t="n">
        <v>107934</v>
      </c>
      <c r="I11" s="0" t="n">
        <v>64662</v>
      </c>
      <c r="J11" s="0" t="n">
        <v>9.1</v>
      </c>
      <c r="K11" s="0" t="n">
        <v>1130.95</v>
      </c>
      <c r="L11" s="0" t="n">
        <v>76697</v>
      </c>
      <c r="M11" s="0" t="n">
        <v>31392</v>
      </c>
      <c r="N11" s="0" t="n">
        <v>45305</v>
      </c>
      <c r="O11" s="0" t="n">
        <v>331546</v>
      </c>
      <c r="P11" s="0" t="n">
        <v>657944</v>
      </c>
      <c r="Q11" s="0" t="n">
        <v>317088</v>
      </c>
      <c r="R11" s="0" t="n">
        <v>166060</v>
      </c>
      <c r="S11" s="0" t="n">
        <v>44465</v>
      </c>
      <c r="T11" s="0" t="n">
        <v>57.175</v>
      </c>
      <c r="AA11" s="0" t="s">
        <v>17</v>
      </c>
      <c r="AB11" s="0" t="s">
        <v>14</v>
      </c>
      <c r="AC11" s="0" t="n">
        <v>2404</v>
      </c>
      <c r="AD11" s="0" t="n">
        <v>28988</v>
      </c>
      <c r="AE11" s="0" t="n">
        <v>340856</v>
      </c>
      <c r="AF11" s="0" t="n">
        <v>1683</v>
      </c>
      <c r="AG11" s="0" t="n">
        <v>135934</v>
      </c>
    </row>
    <row r="12" customFormat="false" ht="15" hidden="false" customHeight="false" outlineLevel="0" collapsed="false">
      <c r="A12" s="0" t="s">
        <v>78</v>
      </c>
      <c r="B12" s="0" t="n">
        <v>758532</v>
      </c>
      <c r="C12" s="0" t="n">
        <v>555885</v>
      </c>
      <c r="D12" s="0" t="n">
        <v>202647</v>
      </c>
      <c r="E12" s="0" t="n">
        <v>26.7</v>
      </c>
      <c r="F12" s="0" t="n">
        <v>130912</v>
      </c>
      <c r="G12" s="0" t="n">
        <v>17.3</v>
      </c>
      <c r="H12" s="0" t="n">
        <v>160674</v>
      </c>
      <c r="I12" s="0" t="n">
        <v>91263</v>
      </c>
      <c r="J12" s="0" t="n">
        <v>12</v>
      </c>
      <c r="K12" s="0" t="n">
        <v>1595.45</v>
      </c>
      <c r="L12" s="0" t="n">
        <v>87541</v>
      </c>
      <c r="M12" s="0" t="n">
        <v>35970</v>
      </c>
      <c r="N12" s="0" t="n">
        <v>51571</v>
      </c>
      <c r="O12" s="0" t="n">
        <v>412048</v>
      </c>
      <c r="P12" s="0" t="n">
        <v>697481</v>
      </c>
      <c r="Q12" s="0" t="n">
        <v>276571</v>
      </c>
      <c r="R12" s="0" t="n">
        <v>121640</v>
      </c>
      <c r="S12" s="0" t="n">
        <v>58271</v>
      </c>
      <c r="T12" s="0" t="n">
        <v>57.202</v>
      </c>
      <c r="AA12" s="0" t="s">
        <v>17</v>
      </c>
      <c r="AB12" s="0" t="s">
        <v>14</v>
      </c>
      <c r="AC12" s="0" t="n">
        <v>1478</v>
      </c>
      <c r="AD12" s="0" t="n">
        <v>34492</v>
      </c>
      <c r="AE12" s="0" t="n">
        <v>420910</v>
      </c>
      <c r="AF12" s="0" t="n">
        <v>3993</v>
      </c>
      <c r="AG12" s="0" t="n">
        <v>136487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2017.5</v>
      </c>
    </row>
    <row r="3" customFormat="false" ht="15" hidden="false" customHeight="false" outlineLevel="0" collapsed="false">
      <c r="A3" s="0" t="s">
        <v>82</v>
      </c>
      <c r="B3" s="3" t="n">
        <v>572.09</v>
      </c>
    </row>
    <row r="4" customFormat="false" ht="15" hidden="false" customHeight="false" outlineLevel="0" collapsed="false">
      <c r="A4" s="0" t="s">
        <v>83</v>
      </c>
      <c r="B4" s="3" t="n">
        <v>66021</v>
      </c>
    </row>
    <row r="5" customFormat="false" ht="15" hidden="false" customHeight="false" outlineLevel="0" collapsed="false">
      <c r="A5" s="0" t="s">
        <v>84</v>
      </c>
      <c r="B5" s="3" t="n">
        <v>55311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758532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12.1</v>
      </c>
      <c r="D13" s="3" t="n">
        <v>-2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103</v>
      </c>
      <c r="C14" s="3" t="n">
        <v>13.5</v>
      </c>
      <c r="D14" s="3" t="n">
        <v>11.5</v>
      </c>
      <c r="E14" s="3" t="n">
        <v>11.5</v>
      </c>
      <c r="F14" s="3" t="n">
        <v>12</v>
      </c>
      <c r="G14" s="3" t="n">
        <v>12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104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3.6</v>
      </c>
      <c r="D17" s="3" t="n">
        <v>3.8</v>
      </c>
      <c r="E17" s="3" t="n">
        <v>4</v>
      </c>
      <c r="F17" s="3" t="n">
        <v>4.2</v>
      </c>
      <c r="G17" s="3" t="n">
        <v>4.3</v>
      </c>
      <c r="H17" s="3" t="n">
        <v>4.4</v>
      </c>
      <c r="I17" s="3" t="n">
        <v>4.5</v>
      </c>
      <c r="J17" s="3" t="n">
        <v>4.5</v>
      </c>
      <c r="K17" s="3" t="n">
        <v>4.5</v>
      </c>
      <c r="L17" s="3" t="n">
        <v>4.5</v>
      </c>
    </row>
    <row r="18" customFormat="false" ht="15" hidden="false" customHeight="false" outlineLevel="0" collapsed="false">
      <c r="A18" s="0" t="s">
        <v>107</v>
      </c>
      <c r="C18" s="3" t="n">
        <v>6.6</v>
      </c>
      <c r="D18" s="3" t="n">
        <v>6</v>
      </c>
      <c r="E18" s="3" t="n">
        <v>5.5</v>
      </c>
      <c r="F18" s="3" t="n">
        <v>5</v>
      </c>
      <c r="G18" s="3" t="n">
        <v>5</v>
      </c>
      <c r="H18" s="3" t="n">
        <v>4.8</v>
      </c>
      <c r="I18" s="3" t="n">
        <v>4.8</v>
      </c>
      <c r="J18" s="3" t="n">
        <v>4.8</v>
      </c>
      <c r="K18" s="3" t="n">
        <v>4.8</v>
      </c>
      <c r="L18" s="3" t="n">
        <v>4.8</v>
      </c>
    </row>
    <row r="19" customFormat="false" ht="15" hidden="false" customHeight="false" outlineLevel="0" collapsed="false">
      <c r="A19" s="0" t="s">
        <v>108</v>
      </c>
      <c r="C19" s="3" t="n">
        <v>27</v>
      </c>
      <c r="D19" s="3" t="n">
        <v>28</v>
      </c>
      <c r="E19" s="3" t="n">
        <v>29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109</v>
      </c>
      <c r="B20" s="3" t="n">
        <v>8.5</v>
      </c>
    </row>
    <row r="21" customFormat="false" ht="15" hidden="false" customHeight="false" outlineLevel="0" collapsed="false">
      <c r="A21" s="0" t="s">
        <v>110</v>
      </c>
      <c r="B21" s="3" t="n">
        <v>1</v>
      </c>
    </row>
    <row r="22" customFormat="false" ht="15" hidden="false" customHeight="false" outlineLevel="0" collapsed="false">
      <c r="A22" s="0" t="s">
        <v>111</v>
      </c>
      <c r="B22" s="3" t="n">
        <v>12</v>
      </c>
    </row>
    <row r="23" customFormat="false" ht="15" hidden="false" customHeight="false" outlineLevel="0" collapsed="false">
      <c r="A23" s="0" t="s">
        <v>112</v>
      </c>
      <c r="B23" s="3" t="n">
        <v>-15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12.1</v>
      </c>
      <c r="D27" s="3" t="n">
        <v>7</v>
      </c>
      <c r="E27" s="3" t="n">
        <v>6.5</v>
      </c>
      <c r="F27" s="3" t="n">
        <v>6</v>
      </c>
      <c r="G27" s="3" t="n">
        <v>5</v>
      </c>
      <c r="H27" s="3" t="n">
        <v>4</v>
      </c>
      <c r="I27" s="3" t="n">
        <v>3.5</v>
      </c>
      <c r="J27" s="3" t="n">
        <v>3</v>
      </c>
      <c r="K27" s="3" t="n">
        <v>2.5</v>
      </c>
      <c r="L27" s="3" t="n">
        <v>2</v>
      </c>
    </row>
    <row r="28" customFormat="false" ht="15" hidden="false" customHeight="false" outlineLevel="0" collapsed="false">
      <c r="A28" s="0" t="s">
        <v>103</v>
      </c>
      <c r="C28" s="3" t="n">
        <v>14.6</v>
      </c>
      <c r="D28" s="3" t="n">
        <v>14.6</v>
      </c>
      <c r="E28" s="3" t="n">
        <v>14.8</v>
      </c>
      <c r="F28" s="3" t="n">
        <v>15</v>
      </c>
      <c r="G28" s="3" t="n">
        <v>15.2</v>
      </c>
      <c r="H28" s="3" t="n">
        <v>15.4</v>
      </c>
      <c r="I28" s="3" t="n">
        <v>15.5</v>
      </c>
      <c r="J28" s="3" t="n">
        <v>15.5</v>
      </c>
      <c r="K28" s="3" t="n">
        <v>15.5</v>
      </c>
      <c r="L28" s="3" t="n">
        <v>15.5</v>
      </c>
    </row>
    <row r="29" customFormat="false" ht="15" hidden="false" customHeight="false" outlineLevel="0" collapsed="false">
      <c r="A29" s="0" t="s">
        <v>104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3.6</v>
      </c>
      <c r="D31" s="3" t="n">
        <v>3.8</v>
      </c>
      <c r="E31" s="3" t="n">
        <v>4</v>
      </c>
      <c r="F31" s="3" t="n">
        <v>4.2</v>
      </c>
      <c r="G31" s="3" t="n">
        <v>4.3</v>
      </c>
      <c r="H31" s="3" t="n">
        <v>4.4</v>
      </c>
      <c r="I31" s="3" t="n">
        <v>4.5</v>
      </c>
      <c r="J31" s="3" t="n">
        <v>4.5</v>
      </c>
      <c r="K31" s="3" t="n">
        <v>4.5</v>
      </c>
      <c r="L31" s="3" t="n">
        <v>4.5</v>
      </c>
    </row>
    <row r="32" customFormat="false" ht="15" hidden="false" customHeight="false" outlineLevel="0" collapsed="false">
      <c r="A32" s="0" t="s">
        <v>107</v>
      </c>
      <c r="C32" s="3" t="n">
        <v>6.6</v>
      </c>
      <c r="D32" s="3" t="n">
        <v>6.5</v>
      </c>
      <c r="E32" s="3" t="n">
        <v>6</v>
      </c>
      <c r="F32" s="3" t="n">
        <v>6</v>
      </c>
      <c r="G32" s="3" t="n">
        <v>5.5</v>
      </c>
      <c r="H32" s="3" t="n">
        <v>5.5</v>
      </c>
      <c r="I32" s="3" t="n">
        <v>5</v>
      </c>
      <c r="J32" s="3" t="n">
        <v>5</v>
      </c>
      <c r="K32" s="3" t="n">
        <v>4.8</v>
      </c>
      <c r="L32" s="3" t="n">
        <v>4.8</v>
      </c>
    </row>
    <row r="33" customFormat="false" ht="15" hidden="false" customHeight="false" outlineLevel="0" collapsed="false">
      <c r="A33" s="0" t="s">
        <v>108</v>
      </c>
      <c r="C33" s="3" t="n">
        <v>27</v>
      </c>
      <c r="D33" s="3" t="n">
        <v>28</v>
      </c>
      <c r="E33" s="3" t="n">
        <v>29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109</v>
      </c>
      <c r="B34" s="3" t="n">
        <v>8.5</v>
      </c>
    </row>
    <row r="35" customFormat="false" ht="15" hidden="false" customHeight="false" outlineLevel="0" collapsed="false">
      <c r="A35" s="0" t="s">
        <v>110</v>
      </c>
      <c r="B35" s="3" t="n">
        <v>1.5</v>
      </c>
    </row>
    <row r="36" customFormat="false" ht="15" hidden="false" customHeight="false" outlineLevel="0" collapsed="false">
      <c r="A36" s="0" t="s">
        <v>111</v>
      </c>
      <c r="B36" s="3" t="n">
        <v>14</v>
      </c>
    </row>
    <row r="37" customFormat="false" ht="15" hidden="false" customHeight="false" outlineLevel="0" collapsed="false">
      <c r="A37" s="0" t="s">
        <v>112</v>
      </c>
      <c r="B37" s="3" t="n">
        <v>-20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12.1</v>
      </c>
      <c r="D41" s="3" t="n">
        <v>11</v>
      </c>
      <c r="E41" s="3" t="n">
        <v>10</v>
      </c>
      <c r="F41" s="3" t="n">
        <v>9</v>
      </c>
      <c r="G41" s="3" t="n">
        <v>8</v>
      </c>
      <c r="H41" s="3" t="n">
        <v>6</v>
      </c>
      <c r="I41" s="3" t="n">
        <v>5</v>
      </c>
      <c r="J41" s="3" t="n">
        <v>4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103</v>
      </c>
      <c r="C42" s="3" t="n">
        <v>14.8</v>
      </c>
      <c r="D42" s="3" t="n">
        <v>15.5</v>
      </c>
      <c r="E42" s="3" t="n">
        <v>16.2</v>
      </c>
      <c r="F42" s="3" t="n">
        <v>17</v>
      </c>
      <c r="G42" s="3" t="n">
        <v>17.5</v>
      </c>
      <c r="H42" s="3" t="n">
        <v>17.8</v>
      </c>
      <c r="I42" s="3" t="n">
        <v>18</v>
      </c>
      <c r="J42" s="3" t="n">
        <v>18</v>
      </c>
      <c r="K42" s="3" t="n">
        <v>18</v>
      </c>
      <c r="L42" s="3" t="n">
        <v>18</v>
      </c>
    </row>
    <row r="43" customFormat="false" ht="15" hidden="false" customHeight="false" outlineLevel="0" collapsed="false">
      <c r="A43" s="0" t="s">
        <v>104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3.6</v>
      </c>
      <c r="D45" s="3" t="n">
        <v>3.8</v>
      </c>
      <c r="E45" s="3" t="n">
        <v>4</v>
      </c>
      <c r="F45" s="3" t="n">
        <v>4.2</v>
      </c>
      <c r="G45" s="3" t="n">
        <v>4.3</v>
      </c>
      <c r="H45" s="3" t="n">
        <v>4.4</v>
      </c>
      <c r="I45" s="3" t="n">
        <v>4.5</v>
      </c>
      <c r="J45" s="3" t="n">
        <v>4.5</v>
      </c>
      <c r="K45" s="3" t="n">
        <v>4.5</v>
      </c>
      <c r="L45" s="3" t="n">
        <v>4.5</v>
      </c>
    </row>
    <row r="46" customFormat="false" ht="15" hidden="false" customHeight="false" outlineLevel="0" collapsed="false">
      <c r="A46" s="0" t="s">
        <v>107</v>
      </c>
      <c r="C46" s="3" t="n">
        <v>6.6</v>
      </c>
      <c r="D46" s="3" t="n">
        <v>6.8</v>
      </c>
      <c r="E46" s="3" t="n">
        <v>6.5</v>
      </c>
      <c r="F46" s="3" t="n">
        <v>6.5</v>
      </c>
      <c r="G46" s="3" t="n">
        <v>6</v>
      </c>
      <c r="H46" s="3" t="n">
        <v>5.5</v>
      </c>
      <c r="I46" s="3" t="n">
        <v>5.5</v>
      </c>
      <c r="J46" s="3" t="n">
        <v>5</v>
      </c>
      <c r="K46" s="3" t="n">
        <v>5</v>
      </c>
      <c r="L46" s="3" t="n">
        <v>5</v>
      </c>
    </row>
    <row r="47" customFormat="false" ht="15" hidden="false" customHeight="false" outlineLevel="0" collapsed="false">
      <c r="A47" s="0" t="s">
        <v>108</v>
      </c>
      <c r="C47" s="3" t="n">
        <v>27</v>
      </c>
      <c r="D47" s="3" t="n">
        <v>28</v>
      </c>
      <c r="E47" s="3" t="n">
        <v>29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109</v>
      </c>
      <c r="B48" s="3" t="n">
        <v>8.5</v>
      </c>
    </row>
    <row r="49" customFormat="false" ht="15" hidden="false" customHeight="false" outlineLevel="0" collapsed="false">
      <c r="A49" s="0" t="s">
        <v>110</v>
      </c>
      <c r="B49" s="3" t="n">
        <v>2</v>
      </c>
    </row>
    <row r="50" customFormat="false" ht="15" hidden="false" customHeight="false" outlineLevel="0" collapsed="false">
      <c r="A50" s="0" t="s">
        <v>111</v>
      </c>
      <c r="B50" s="3" t="n">
        <v>14</v>
      </c>
    </row>
    <row r="51" customFormat="false" ht="15" hidden="false" customHeight="false" outlineLevel="0" collapsed="false">
      <c r="A51" s="0" t="s">
        <v>112</v>
      </c>
      <c r="B51" s="3" t="n">
        <v>-20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12.1</v>
      </c>
      <c r="D5" s="4" t="n">
        <f aca="false">Assumptions!D13</f>
        <v>-2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758532</v>
      </c>
      <c r="C6" s="0" t="n">
        <f aca="false">B6*(1+C5/100)</f>
        <v>850314.372</v>
      </c>
      <c r="D6" s="0" t="n">
        <f aca="false">C6*(1+D5/100)</f>
        <v>833308.08456</v>
      </c>
      <c r="E6" s="0" t="n">
        <f aca="false">D6*(1+E5/100)</f>
        <v>841641.1654056</v>
      </c>
      <c r="F6" s="0" t="n">
        <f aca="false">E6*(1+F5/100)</f>
        <v>858473.988713712</v>
      </c>
      <c r="G6" s="0" t="n">
        <f aca="false">F6*(1+G5/100)</f>
        <v>875643.468487986</v>
      </c>
      <c r="H6" s="0" t="n">
        <f aca="false">G6*(1+H5/100)</f>
        <v>893156.337857746</v>
      </c>
      <c r="I6" s="0" t="n">
        <f aca="false">H6*(1+I5/100)</f>
        <v>911019.464614901</v>
      </c>
      <c r="J6" s="0" t="n">
        <f aca="false">I6*(1+J5/100)</f>
        <v>929239.853907199</v>
      </c>
      <c r="K6" s="0" t="n">
        <f aca="false">J6*(1+K5/100)</f>
        <v>947824.650985343</v>
      </c>
      <c r="L6" s="0" t="n">
        <f aca="false">K6*(1+L5/100)</f>
        <v>966781.14400505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13.5</v>
      </c>
      <c r="D7" s="4" t="n">
        <f aca="false">Assumptions!D14</f>
        <v>11.5</v>
      </c>
      <c r="E7" s="4" t="n">
        <f aca="false">Assumptions!E14</f>
        <v>11.5</v>
      </c>
      <c r="F7" s="4" t="n">
        <f aca="false">Assumptions!F14</f>
        <v>12</v>
      </c>
      <c r="G7" s="4" t="n">
        <f aca="false">Assumptions!G14</f>
        <v>12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114792.44022</v>
      </c>
      <c r="D8" s="0" t="n">
        <f aca="false">D6*D7/100</f>
        <v>95830.4297244</v>
      </c>
      <c r="E8" s="0" t="n">
        <f aca="false">E6*E7/100</f>
        <v>96788.734021644</v>
      </c>
      <c r="F8" s="0" t="n">
        <f aca="false">F6*F7/100</f>
        <v>103016.878645645</v>
      </c>
      <c r="G8" s="0" t="n">
        <f aca="false">G6*G7/100</f>
        <v>105077.216218558</v>
      </c>
      <c r="H8" s="0" t="n">
        <f aca="false">H6*H7/100</f>
        <v>107178.76054293</v>
      </c>
      <c r="I8" s="0" t="n">
        <f aca="false">I6*I7/100</f>
        <v>109322.335753788</v>
      </c>
      <c r="J8" s="0" t="n">
        <f aca="false">J6*J7/100</f>
        <v>111508.782468864</v>
      </c>
      <c r="K8" s="0" t="n">
        <f aca="false">K6*K7/100</f>
        <v>113738.958118241</v>
      </c>
      <c r="L8" s="0" t="n">
        <f aca="false">L6*L7/100</f>
        <v>116013.737280606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114792.44022</v>
      </c>
      <c r="D11" s="0" t="n">
        <f aca="false">D8+D10+D24</f>
        <v>95830.4297244</v>
      </c>
      <c r="E11" s="0" t="n">
        <f aca="false">E8+E10+E24</f>
        <v>96788.734021644</v>
      </c>
      <c r="F11" s="0" t="n">
        <f aca="false">F8+F10+F24</f>
        <v>103016.878645645</v>
      </c>
      <c r="G11" s="0" t="n">
        <f aca="false">G8+G10+G24</f>
        <v>105077.216218558</v>
      </c>
      <c r="H11" s="0" t="n">
        <f aca="false">H8+H10+H24</f>
        <v>107178.76054293</v>
      </c>
      <c r="I11" s="0" t="n">
        <f aca="false">I8+I10+I24</f>
        <v>109322.335753788</v>
      </c>
      <c r="J11" s="0" t="n">
        <f aca="false">J8+J10+J24</f>
        <v>111508.782468864</v>
      </c>
      <c r="K11" s="0" t="n">
        <f aca="false">K8+K10+K24</f>
        <v>113738.958118241</v>
      </c>
      <c r="L11" s="0" t="n">
        <f aca="false">L8+L10+L24</f>
        <v>116013.737280606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-30611.317392</v>
      </c>
      <c r="D12" s="4" t="n">
        <f aca="false">-D6*Assumptions!D17/100</f>
        <v>-31665.70721328</v>
      </c>
      <c r="E12" s="4" t="n">
        <f aca="false">-E6*Assumptions!E17/100</f>
        <v>-33665.646616224</v>
      </c>
      <c r="F12" s="4" t="n">
        <f aca="false">-F6*Assumptions!F17/100</f>
        <v>-36055.9075259759</v>
      </c>
      <c r="G12" s="4" t="n">
        <f aca="false">-G6*Assumptions!G17/100</f>
        <v>-37652.6691449834</v>
      </c>
      <c r="H12" s="4" t="n">
        <f aca="false">-H6*Assumptions!H17/100</f>
        <v>-39298.8788657408</v>
      </c>
      <c r="I12" s="4" t="n">
        <f aca="false">-I6*Assumptions!I17/100</f>
        <v>-40995.8759076705</v>
      </c>
      <c r="J12" s="4" t="n">
        <f aca="false">-J6*Assumptions!J17/100</f>
        <v>-41815.793425824</v>
      </c>
      <c r="K12" s="4" t="n">
        <f aca="false">-K6*Assumptions!K17/100</f>
        <v>-42652.1092943404</v>
      </c>
      <c r="L12" s="4" t="n">
        <f aca="false">-L6*Assumptions!L17/100</f>
        <v>-43505.1514802272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84181.122828</v>
      </c>
      <c r="D13" s="0" t="n">
        <f aca="false">D11+D12</f>
        <v>64164.72251112</v>
      </c>
      <c r="E13" s="0" t="n">
        <f aca="false">E11+E12</f>
        <v>63123.08740542</v>
      </c>
      <c r="F13" s="0" t="n">
        <f aca="false">F11+F12</f>
        <v>66960.9711196695</v>
      </c>
      <c r="G13" s="0" t="n">
        <f aca="false">G11+G12</f>
        <v>67424.5470735749</v>
      </c>
      <c r="H13" s="0" t="n">
        <f aca="false">H11+H12</f>
        <v>67879.8816771887</v>
      </c>
      <c r="I13" s="0" t="n">
        <f aca="false">I11+I12</f>
        <v>68326.4598461176</v>
      </c>
      <c r="J13" s="0" t="n">
        <f aca="false">J11+J12</f>
        <v>69692.9890430399</v>
      </c>
      <c r="K13" s="0" t="n">
        <f aca="false">K11+K12</f>
        <v>71086.8488239007</v>
      </c>
      <c r="L13" s="0" t="n">
        <f aca="false">L11+L12</f>
        <v>72508.5858003787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27</v>
      </c>
      <c r="D14" s="4" t="n">
        <f aca="false">Assumptions!D19</f>
        <v>28</v>
      </c>
      <c r="E14" s="4" t="n">
        <f aca="false">Assumptions!E19</f>
        <v>29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61452.21966444</v>
      </c>
      <c r="D15" s="0" t="n">
        <f aca="false">D13-MAX(0,D13)*D14/100</f>
        <v>46198.6002080064</v>
      </c>
      <c r="E15" s="0" t="n">
        <f aca="false">E13-MAX(0,E13)*E14/100</f>
        <v>44817.3920578482</v>
      </c>
      <c r="F15" s="0" t="n">
        <f aca="false">F13-MAX(0,F13)*F14/100</f>
        <v>46872.6797837687</v>
      </c>
      <c r="G15" s="0" t="n">
        <f aca="false">G13-MAX(0,G13)*G14/100</f>
        <v>47197.1829515025</v>
      </c>
      <c r="H15" s="0" t="n">
        <f aca="false">H13-MAX(0,H13)*H14/100</f>
        <v>47515.9171740321</v>
      </c>
      <c r="I15" s="0" t="n">
        <f aca="false">I13-MAX(0,I13)*I14/100</f>
        <v>47828.5218922823</v>
      </c>
      <c r="J15" s="0" t="n">
        <f aca="false">J13-MAX(0,J13)*J14/100</f>
        <v>48785.092330128</v>
      </c>
      <c r="K15" s="0" t="n">
        <f aca="false">K13-MAX(0,K13)*K14/100</f>
        <v>49760.7941767305</v>
      </c>
      <c r="L15" s="0" t="n">
        <f aca="false">L13-MAX(0,L13)*L14/100</f>
        <v>50756.0100602651</v>
      </c>
    </row>
    <row r="16" customFormat="false" ht="15" hidden="false" customHeight="false" outlineLevel="0" collapsed="false">
      <c r="A16" s="0" t="s">
        <v>124</v>
      </c>
      <c r="C16" s="0" t="n">
        <f aca="false">-C12</f>
        <v>30611.317392</v>
      </c>
      <c r="D16" s="0" t="n">
        <f aca="false">-D12</f>
        <v>31665.70721328</v>
      </c>
      <c r="E16" s="0" t="n">
        <f aca="false">-E12</f>
        <v>33665.646616224</v>
      </c>
      <c r="F16" s="0" t="n">
        <f aca="false">-F12</f>
        <v>36055.9075259759</v>
      </c>
      <c r="G16" s="0" t="n">
        <f aca="false">-G12</f>
        <v>37652.6691449834</v>
      </c>
      <c r="H16" s="0" t="n">
        <f aca="false">-H12</f>
        <v>39298.8788657408</v>
      </c>
      <c r="I16" s="0" t="n">
        <f aca="false">-I12</f>
        <v>40995.8759076705</v>
      </c>
      <c r="J16" s="0" t="n">
        <f aca="false">-J12</f>
        <v>41815.793425824</v>
      </c>
      <c r="K16" s="0" t="n">
        <f aca="false">-K12</f>
        <v>42652.1092943404</v>
      </c>
      <c r="L16" s="0" t="n">
        <f aca="false">-L12</f>
        <v>43505.1514802272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-56120.748552</v>
      </c>
      <c r="D17" s="4" t="n">
        <f aca="false">-D6*Assumptions!D18/100</f>
        <v>-49998.4850736</v>
      </c>
      <c r="E17" s="4" t="n">
        <f aca="false">-E6*Assumptions!E18/100</f>
        <v>-46290.264097308</v>
      </c>
      <c r="F17" s="4" t="n">
        <f aca="false">-F6*Assumptions!F18/100</f>
        <v>-42923.6994356856</v>
      </c>
      <c r="G17" s="4" t="n">
        <f aca="false">-G6*Assumptions!G18/100</f>
        <v>-43782.1734243993</v>
      </c>
      <c r="H17" s="4" t="n">
        <f aca="false">-H6*Assumptions!H18/100</f>
        <v>-42871.5042171718</v>
      </c>
      <c r="I17" s="4" t="n">
        <f aca="false">-I6*Assumptions!I18/100</f>
        <v>-43728.9343015152</v>
      </c>
      <c r="J17" s="4" t="n">
        <f aca="false">-J6*Assumptions!J18/100</f>
        <v>-44603.5129875455</v>
      </c>
      <c r="K17" s="4" t="n">
        <f aca="false">-K6*Assumptions!K18/100</f>
        <v>-45495.5832472965</v>
      </c>
      <c r="L17" s="4" t="n">
        <f aca="false">-L6*Assumptions!L18/100</f>
        <v>-46405.4949122424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-13767.3558</v>
      </c>
      <c r="D18" s="4" t="n">
        <f aca="false">(D6-C6)*Assumptions!$B$23/100</f>
        <v>2550.943116</v>
      </c>
      <c r="E18" s="4" t="n">
        <f aca="false">(E6-D6)*Assumptions!$B$23/100</f>
        <v>-1249.96212684</v>
      </c>
      <c r="F18" s="4" t="n">
        <f aca="false">(F6-E6)*Assumptions!$B$23/100</f>
        <v>-2524.9234962168</v>
      </c>
      <c r="G18" s="4" t="n">
        <f aca="false">(G6-F6)*Assumptions!$B$23/100</f>
        <v>-2575.42196614114</v>
      </c>
      <c r="H18" s="4" t="n">
        <f aca="false">(H6-G6)*Assumptions!$B$23/100</f>
        <v>-2626.93040546395</v>
      </c>
      <c r="I18" s="4" t="n">
        <f aca="false">(I6-H6)*Assumptions!$B$23/100</f>
        <v>-2679.46901357324</v>
      </c>
      <c r="J18" s="4" t="n">
        <f aca="false">(J6-I6)*Assumptions!$B$23/100</f>
        <v>-2733.0583938447</v>
      </c>
      <c r="K18" s="4" t="n">
        <f aca="false">(K6-J6)*Assumptions!$B$23/100</f>
        <v>-2787.71956172161</v>
      </c>
      <c r="L18" s="4" t="n">
        <f aca="false">(L6-K6)*Assumptions!$B$23/100</f>
        <v>-2843.47395295604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22175.43270444</v>
      </c>
      <c r="D19" s="0" t="n">
        <f aca="false">D15+D16+D17+D18</f>
        <v>30416.7654636864</v>
      </c>
      <c r="E19" s="0" t="n">
        <f aca="false">E15+E16+E17+E18</f>
        <v>30942.8124499242</v>
      </c>
      <c r="F19" s="0" t="n">
        <f aca="false">F15+F16+F17+F18</f>
        <v>37479.9643778422</v>
      </c>
      <c r="G19" s="0" t="n">
        <f aca="false">G15+G16+G17+G18</f>
        <v>38492.2567059454</v>
      </c>
      <c r="H19" s="0" t="n">
        <f aca="false">H15+H16+H17+H18</f>
        <v>41316.3614171371</v>
      </c>
      <c r="I19" s="0" t="n">
        <f aca="false">I15+I16+I17+I18</f>
        <v>42415.9944848644</v>
      </c>
      <c r="J19" s="0" t="n">
        <f aca="false">J15+J16+J17+J18</f>
        <v>43264.3143745617</v>
      </c>
      <c r="K19" s="0" t="n">
        <f aca="false">K15+K16+K17+K18</f>
        <v>44129.6006620529</v>
      </c>
      <c r="L19" s="0" t="n">
        <f aca="false">L15+L16+L17+L18</f>
        <v>45012.1926752939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20438.1868243687</v>
      </c>
      <c r="D21" s="0" t="n">
        <f aca="false">D19*D20</f>
        <v>25837.6822304032</v>
      </c>
      <c r="E21" s="0" t="n">
        <f aca="false">E19*E20</f>
        <v>24225.3784552688</v>
      </c>
      <c r="F21" s="0" t="n">
        <f aca="false">F19*F20</f>
        <v>27044.5784703299</v>
      </c>
      <c r="G21" s="0" t="n">
        <f aca="false">G19*G20</f>
        <v>25599.0991543326</v>
      </c>
      <c r="H21" s="0" t="n">
        <f aca="false">H19*H20</f>
        <v>25324.660891611</v>
      </c>
      <c r="I21" s="0" t="n">
        <f aca="false">I19*I20</f>
        <v>23961.912978731</v>
      </c>
      <c r="J21" s="0" t="n">
        <f aca="false">J19*J20</f>
        <v>22526.4066712494</v>
      </c>
      <c r="K21" s="0" t="n">
        <f aca="false">K19*K20</f>
        <v>21176.8984374879</v>
      </c>
      <c r="L21" s="0" t="n">
        <f aca="false">L19*L20</f>
        <v>19908.2363191131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236043.040432896</v>
      </c>
    </row>
    <row r="31" customFormat="false" ht="15" hidden="false" customHeight="false" outlineLevel="0" collapsed="false">
      <c r="A31" s="0" t="s">
        <v>133</v>
      </c>
      <c r="B31" s="0" t="n">
        <f aca="false">L19</f>
        <v>45012.1926752939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606164.194693958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540146.312103527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540146.312103527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238898.835829357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474941.876262253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464231.876262253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811.466510972491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-0.597786115998765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811.466510972491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324730.818586049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427.161650865782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12.1</v>
      </c>
      <c r="D5" s="4" t="n">
        <f aca="false">Assumptions!D27</f>
        <v>7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758532</v>
      </c>
      <c r="C6" s="0" t="n">
        <f aca="false">B6*(1+C5/100)</f>
        <v>850314.372</v>
      </c>
      <c r="D6" s="0" t="n">
        <f aca="false">C6*(1+D5/100)</f>
        <v>909836.37804</v>
      </c>
      <c r="E6" s="0" t="n">
        <f aca="false">D6*(1+E5/100)</f>
        <v>968975.7426126</v>
      </c>
      <c r="F6" s="0" t="n">
        <f aca="false">E6*(1+F5/100)</f>
        <v>1027114.28716936</v>
      </c>
      <c r="G6" s="0" t="n">
        <f aca="false">F6*(1+G5/100)</f>
        <v>1078470.00152782</v>
      </c>
      <c r="H6" s="0" t="n">
        <f aca="false">G6*(1+H5/100)</f>
        <v>1121608.80158894</v>
      </c>
      <c r="I6" s="0" t="n">
        <f aca="false">H6*(1+I5/100)</f>
        <v>1160865.10964455</v>
      </c>
      <c r="J6" s="0" t="n">
        <f aca="false">I6*(1+J5/100)</f>
        <v>1195691.06293389</v>
      </c>
      <c r="K6" s="0" t="n">
        <f aca="false">J6*(1+K5/100)</f>
        <v>1225583.33950723</v>
      </c>
      <c r="L6" s="0" t="n">
        <f aca="false">K6*(1+L5/100)</f>
        <v>1250095.00629738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14.6</v>
      </c>
      <c r="D7" s="4" t="n">
        <f aca="false">Assumptions!D28</f>
        <v>14.6</v>
      </c>
      <c r="E7" s="4" t="n">
        <f aca="false">Assumptions!E28</f>
        <v>14.8</v>
      </c>
      <c r="F7" s="4" t="n">
        <f aca="false">Assumptions!F28</f>
        <v>15</v>
      </c>
      <c r="G7" s="4" t="n">
        <f aca="false">Assumptions!G28</f>
        <v>15.2</v>
      </c>
      <c r="H7" s="4" t="n">
        <f aca="false">Assumptions!H28</f>
        <v>15.4</v>
      </c>
      <c r="I7" s="4" t="n">
        <f aca="false">Assumptions!I28</f>
        <v>15.5</v>
      </c>
      <c r="J7" s="4" t="n">
        <f aca="false">Assumptions!J28</f>
        <v>15.5</v>
      </c>
      <c r="K7" s="4" t="n">
        <f aca="false">Assumptions!K28</f>
        <v>15.5</v>
      </c>
      <c r="L7" s="4" t="n">
        <f aca="false">Assumptions!L28</f>
        <v>15.5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124145.898312</v>
      </c>
      <c r="D8" s="0" t="n">
        <f aca="false">D6*D7/100</f>
        <v>132836.11119384</v>
      </c>
      <c r="E8" s="0" t="n">
        <f aca="false">E6*E7/100</f>
        <v>143408.409906665</v>
      </c>
      <c r="F8" s="0" t="n">
        <f aca="false">F6*F7/100</f>
        <v>154067.143075403</v>
      </c>
      <c r="G8" s="0" t="n">
        <f aca="false">G6*G7/100</f>
        <v>163927.440232229</v>
      </c>
      <c r="H8" s="0" t="n">
        <f aca="false">H6*H7/100</f>
        <v>172727.755444696</v>
      </c>
      <c r="I8" s="0" t="n">
        <f aca="false">I6*I7/100</f>
        <v>179934.091994905</v>
      </c>
      <c r="J8" s="0" t="n">
        <f aca="false">J6*J7/100</f>
        <v>185332.114754752</v>
      </c>
      <c r="K8" s="0" t="n">
        <f aca="false">K6*K7/100</f>
        <v>189965.417623621</v>
      </c>
      <c r="L8" s="0" t="n">
        <f aca="false">L6*L7/100</f>
        <v>193764.725976094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124145.898312</v>
      </c>
      <c r="D11" s="0" t="n">
        <f aca="false">D8+D10+D24</f>
        <v>132836.11119384</v>
      </c>
      <c r="E11" s="0" t="n">
        <f aca="false">E8+E10+E24</f>
        <v>143408.409906665</v>
      </c>
      <c r="F11" s="0" t="n">
        <f aca="false">F8+F10+F24</f>
        <v>154067.143075403</v>
      </c>
      <c r="G11" s="0" t="n">
        <f aca="false">G8+G10+G24</f>
        <v>163927.440232229</v>
      </c>
      <c r="H11" s="0" t="n">
        <f aca="false">H8+H10+H24</f>
        <v>172727.755444696</v>
      </c>
      <c r="I11" s="0" t="n">
        <f aca="false">I8+I10+I24</f>
        <v>179934.091994905</v>
      </c>
      <c r="J11" s="0" t="n">
        <f aca="false">J8+J10+J24</f>
        <v>185332.114754752</v>
      </c>
      <c r="K11" s="0" t="n">
        <f aca="false">K8+K10+K24</f>
        <v>189965.417623621</v>
      </c>
      <c r="L11" s="0" t="n">
        <f aca="false">L8+L10+L24</f>
        <v>193764.725976094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-30611.317392</v>
      </c>
      <c r="D12" s="4" t="n">
        <f aca="false">-D6*Assumptions!D31/100</f>
        <v>-34573.78236552</v>
      </c>
      <c r="E12" s="4" t="n">
        <f aca="false">-E6*Assumptions!E31/100</f>
        <v>-38759.029704504</v>
      </c>
      <c r="F12" s="4" t="n">
        <f aca="false">-F6*Assumptions!F31/100</f>
        <v>-43138.800061113</v>
      </c>
      <c r="G12" s="4" t="n">
        <f aca="false">-G6*Assumptions!G31/100</f>
        <v>-46374.2100656964</v>
      </c>
      <c r="H12" s="4" t="n">
        <f aca="false">-H6*Assumptions!H31/100</f>
        <v>-49350.7872699132</v>
      </c>
      <c r="I12" s="4" t="n">
        <f aca="false">-I6*Assumptions!I31/100</f>
        <v>-52238.9299340047</v>
      </c>
      <c r="J12" s="4" t="n">
        <f aca="false">-J6*Assumptions!J31/100</f>
        <v>-53806.0978320249</v>
      </c>
      <c r="K12" s="4" t="n">
        <f aca="false">-K6*Assumptions!K31/100</f>
        <v>-55151.2502778255</v>
      </c>
      <c r="L12" s="4" t="n">
        <f aca="false">-L6*Assumptions!L31/100</f>
        <v>-56254.275283382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93534.58092</v>
      </c>
      <c r="D13" s="0" t="n">
        <f aca="false">D11+D12</f>
        <v>98262.32882832</v>
      </c>
      <c r="E13" s="0" t="n">
        <f aca="false">E11+E12</f>
        <v>104649.380202161</v>
      </c>
      <c r="F13" s="0" t="n">
        <f aca="false">F11+F12</f>
        <v>110928.34301429</v>
      </c>
      <c r="G13" s="0" t="n">
        <f aca="false">G11+G12</f>
        <v>117553.230166533</v>
      </c>
      <c r="H13" s="0" t="n">
        <f aca="false">H11+H12</f>
        <v>123376.968174783</v>
      </c>
      <c r="I13" s="0" t="n">
        <f aca="false">I11+I12</f>
        <v>127695.1620609</v>
      </c>
      <c r="J13" s="0" t="n">
        <f aca="false">J11+J12</f>
        <v>131526.016922728</v>
      </c>
      <c r="K13" s="0" t="n">
        <f aca="false">K11+K12</f>
        <v>134814.167345796</v>
      </c>
      <c r="L13" s="0" t="n">
        <f aca="false">L11+L12</f>
        <v>137510.450692712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27</v>
      </c>
      <c r="D14" s="4" t="n">
        <f aca="false">Assumptions!D33</f>
        <v>28</v>
      </c>
      <c r="E14" s="4" t="n">
        <f aca="false">Assumptions!E33</f>
        <v>29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68280.2440716</v>
      </c>
      <c r="D15" s="0" t="n">
        <f aca="false">D13-MAX(0,D13)*D14/100</f>
        <v>70748.8767563904</v>
      </c>
      <c r="E15" s="0" t="n">
        <f aca="false">E13-MAX(0,E13)*E14/100</f>
        <v>74301.0599435342</v>
      </c>
      <c r="F15" s="0" t="n">
        <f aca="false">F13-MAX(0,F13)*F14/100</f>
        <v>77649.8401100033</v>
      </c>
      <c r="G15" s="0" t="n">
        <f aca="false">G13-MAX(0,G13)*G14/100</f>
        <v>82287.261116573</v>
      </c>
      <c r="H15" s="0" t="n">
        <f aca="false">H13-MAX(0,H13)*H14/100</f>
        <v>86363.8777223481</v>
      </c>
      <c r="I15" s="0" t="n">
        <f aca="false">I13-MAX(0,I13)*I14/100</f>
        <v>89386.6134426303</v>
      </c>
      <c r="J15" s="0" t="n">
        <f aca="false">J13-MAX(0,J13)*J14/100</f>
        <v>92068.2118459093</v>
      </c>
      <c r="K15" s="0" t="n">
        <f aca="false">K13-MAX(0,K13)*K14/100</f>
        <v>94369.917142057</v>
      </c>
      <c r="L15" s="0" t="n">
        <f aca="false">L13-MAX(0,L13)*L14/100</f>
        <v>96257.3154848981</v>
      </c>
    </row>
    <row r="16" customFormat="false" ht="15" hidden="false" customHeight="false" outlineLevel="0" collapsed="false">
      <c r="A16" s="0" t="s">
        <v>124</v>
      </c>
      <c r="C16" s="0" t="n">
        <f aca="false">-C12</f>
        <v>30611.317392</v>
      </c>
      <c r="D16" s="0" t="n">
        <f aca="false">-D12</f>
        <v>34573.78236552</v>
      </c>
      <c r="E16" s="0" t="n">
        <f aca="false">-E12</f>
        <v>38759.029704504</v>
      </c>
      <c r="F16" s="0" t="n">
        <f aca="false">-F12</f>
        <v>43138.800061113</v>
      </c>
      <c r="G16" s="0" t="n">
        <f aca="false">-G12</f>
        <v>46374.2100656964</v>
      </c>
      <c r="H16" s="0" t="n">
        <f aca="false">-H12</f>
        <v>49350.7872699132</v>
      </c>
      <c r="I16" s="0" t="n">
        <f aca="false">-I12</f>
        <v>52238.9299340047</v>
      </c>
      <c r="J16" s="0" t="n">
        <f aca="false">-J12</f>
        <v>53806.0978320249</v>
      </c>
      <c r="K16" s="0" t="n">
        <f aca="false">-K12</f>
        <v>55151.2502778255</v>
      </c>
      <c r="L16" s="0" t="n">
        <f aca="false">-L12</f>
        <v>56254.275283382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-56120.748552</v>
      </c>
      <c r="D17" s="4" t="n">
        <f aca="false">-D6*Assumptions!D32/100</f>
        <v>-59139.3645726</v>
      </c>
      <c r="E17" s="4" t="n">
        <f aca="false">-E6*Assumptions!E32/100</f>
        <v>-58138.544556756</v>
      </c>
      <c r="F17" s="4" t="n">
        <f aca="false">-F6*Assumptions!F32/100</f>
        <v>-61626.8572301614</v>
      </c>
      <c r="G17" s="4" t="n">
        <f aca="false">-G6*Assumptions!G32/100</f>
        <v>-59315.8500840303</v>
      </c>
      <c r="H17" s="4" t="n">
        <f aca="false">-H6*Assumptions!H32/100</f>
        <v>-61688.4840873915</v>
      </c>
      <c r="I17" s="4" t="n">
        <f aca="false">-I6*Assumptions!I32/100</f>
        <v>-58043.2554822275</v>
      </c>
      <c r="J17" s="4" t="n">
        <f aca="false">-J6*Assumptions!J32/100</f>
        <v>-59784.5531466943</v>
      </c>
      <c r="K17" s="4" t="n">
        <f aca="false">-K6*Assumptions!K32/100</f>
        <v>-58828.0002963472</v>
      </c>
      <c r="L17" s="4" t="n">
        <f aca="false">-L6*Assumptions!L32/100</f>
        <v>-60004.5603022741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-18356.4744</v>
      </c>
      <c r="D18" s="4" t="n">
        <f aca="false">(D6-C6)*Assumptions!$B$37/100</f>
        <v>-11904.401208</v>
      </c>
      <c r="E18" s="4" t="n">
        <f aca="false">(E6-D6)*Assumptions!$B$37/100</f>
        <v>-11827.87291452</v>
      </c>
      <c r="F18" s="4" t="n">
        <f aca="false">(F6-E6)*Assumptions!$B$37/100</f>
        <v>-11627.7089113512</v>
      </c>
      <c r="G18" s="4" t="n">
        <f aca="false">(G6-F6)*Assumptions!$B$37/100</f>
        <v>-10271.1428716936</v>
      </c>
      <c r="H18" s="4" t="n">
        <f aca="false">(H6-G6)*Assumptions!$B$37/100</f>
        <v>-8627.76001222259</v>
      </c>
      <c r="I18" s="4" t="n">
        <f aca="false">(I6-H6)*Assumptions!$B$37/100</f>
        <v>-7851.26161112255</v>
      </c>
      <c r="J18" s="4" t="n">
        <f aca="false">(J6-I6)*Assumptions!$B$37/100</f>
        <v>-6965.19065786731</v>
      </c>
      <c r="K18" s="4" t="n">
        <f aca="false">(K6-J6)*Assumptions!$B$37/100</f>
        <v>-5978.45531466943</v>
      </c>
      <c r="L18" s="4" t="n">
        <f aca="false">(L6-K6)*Assumptions!$B$37/100</f>
        <v>-4902.33335802895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24414.3385116</v>
      </c>
      <c r="D19" s="0" t="n">
        <f aca="false">D15+D16+D17+D18</f>
        <v>34278.8933413104</v>
      </c>
      <c r="E19" s="0" t="n">
        <f aca="false">E15+E16+E17+E18</f>
        <v>43093.6721767622</v>
      </c>
      <c r="F19" s="0" t="n">
        <f aca="false">F15+F16+F17+F18</f>
        <v>47534.0740296037</v>
      </c>
      <c r="G19" s="0" t="n">
        <f aca="false">G15+G16+G17+G18</f>
        <v>59074.4782265455</v>
      </c>
      <c r="H19" s="0" t="n">
        <f aca="false">H15+H16+H17+H18</f>
        <v>65398.4208926473</v>
      </c>
      <c r="I19" s="0" t="n">
        <f aca="false">I15+I16+I17+I18</f>
        <v>75731.026283285</v>
      </c>
      <c r="J19" s="0" t="n">
        <f aca="false">J15+J16+J17+J18</f>
        <v>79124.5658733725</v>
      </c>
      <c r="K19" s="0" t="n">
        <f aca="false">K15+K16+K17+K18</f>
        <v>84714.7118088659</v>
      </c>
      <c r="L19" s="0" t="n">
        <f aca="false">L15+L16+L17+L18</f>
        <v>87604.697107977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22501.6944807373</v>
      </c>
      <c r="D21" s="0" t="n">
        <f aca="false">D19*D20</f>
        <v>29118.3871743383</v>
      </c>
      <c r="E21" s="0" t="n">
        <f aca="false">E19*E20</f>
        <v>33738.3849383061</v>
      </c>
      <c r="F21" s="0" t="n">
        <f aca="false">F19*F20</f>
        <v>34299.3654462512</v>
      </c>
      <c r="G21" s="0" t="n">
        <f aca="false">G19*G20</f>
        <v>39287.2113777164</v>
      </c>
      <c r="H21" s="0" t="n">
        <f aca="false">H19*H20</f>
        <v>40085.6410183833</v>
      </c>
      <c r="I21" s="0" t="n">
        <f aca="false">I19*I20</f>
        <v>42782.4523184905</v>
      </c>
      <c r="J21" s="0" t="n">
        <f aca="false">J19*J20</f>
        <v>41197.7440141211</v>
      </c>
      <c r="K21" s="0" t="n">
        <f aca="false">K19*K20</f>
        <v>40652.868397245</v>
      </c>
      <c r="L21" s="0" t="n">
        <f aca="false">L19*L20</f>
        <v>38746.2798195831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362410.028985173</v>
      </c>
    </row>
    <row r="31" customFormat="false" ht="15" hidden="false" customHeight="false" outlineLevel="0" collapsed="false">
      <c r="A31" s="0" t="s">
        <v>133</v>
      </c>
      <c r="B31" s="0" t="n">
        <f aca="false">L19</f>
        <v>87604.697107977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1270268.10806567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1226465.75951168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1226465.75951168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542447.917474164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904857.946459336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894147.946459336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1562.94979191969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-0.225303696694081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1562.94979191969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658657.537515531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721.002035231806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12.1</v>
      </c>
      <c r="D5" s="4" t="n">
        <f aca="false">Assumptions!D41</f>
        <v>11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758532</v>
      </c>
      <c r="C6" s="0" t="n">
        <f aca="false">B6*(1+C5/100)</f>
        <v>850314.372</v>
      </c>
      <c r="D6" s="0" t="n">
        <f aca="false">C6*(1+D5/100)</f>
        <v>943848.95292</v>
      </c>
      <c r="E6" s="0" t="n">
        <f aca="false">D6*(1+E5/100)</f>
        <v>1038233.848212</v>
      </c>
      <c r="F6" s="0" t="n">
        <f aca="false">E6*(1+F5/100)</f>
        <v>1131674.89455108</v>
      </c>
      <c r="G6" s="0" t="n">
        <f aca="false">F6*(1+G5/100)</f>
        <v>1222208.88611517</v>
      </c>
      <c r="H6" s="0" t="n">
        <f aca="false">G6*(1+H5/100)</f>
        <v>1295541.41928208</v>
      </c>
      <c r="I6" s="0" t="n">
        <f aca="false">H6*(1+I5/100)</f>
        <v>1360318.49024618</v>
      </c>
      <c r="J6" s="0" t="n">
        <f aca="false">I6*(1+J5/100)</f>
        <v>1414731.22985603</v>
      </c>
      <c r="K6" s="0" t="n">
        <f aca="false">J6*(1+K5/100)</f>
        <v>1457173.16675171</v>
      </c>
      <c r="L6" s="0" t="n">
        <f aca="false">K6*(1+L5/100)</f>
        <v>1493602.4959205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14.8</v>
      </c>
      <c r="D7" s="4" t="n">
        <f aca="false">Assumptions!D42</f>
        <v>15.5</v>
      </c>
      <c r="E7" s="4" t="n">
        <f aca="false">Assumptions!E42</f>
        <v>16.2</v>
      </c>
      <c r="F7" s="4" t="n">
        <f aca="false">Assumptions!F42</f>
        <v>17</v>
      </c>
      <c r="G7" s="4" t="n">
        <f aca="false">Assumptions!G42</f>
        <v>17.5</v>
      </c>
      <c r="H7" s="4" t="n">
        <f aca="false">Assumptions!H42</f>
        <v>17.8</v>
      </c>
      <c r="I7" s="4" t="n">
        <f aca="false">Assumptions!I42</f>
        <v>18</v>
      </c>
      <c r="J7" s="4" t="n">
        <f aca="false">Assumptions!J42</f>
        <v>18</v>
      </c>
      <c r="K7" s="4" t="n">
        <f aca="false">Assumptions!K42</f>
        <v>18</v>
      </c>
      <c r="L7" s="4" t="n">
        <f aca="false">Assumptions!L42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125846.527056</v>
      </c>
      <c r="D8" s="0" t="n">
        <f aca="false">D6*D7/100</f>
        <v>146296.5877026</v>
      </c>
      <c r="E8" s="0" t="n">
        <f aca="false">E6*E7/100</f>
        <v>168193.883410344</v>
      </c>
      <c r="F8" s="0" t="n">
        <f aca="false">F6*F7/100</f>
        <v>192384.732073684</v>
      </c>
      <c r="G8" s="0" t="n">
        <f aca="false">G6*G7/100</f>
        <v>213886.555070154</v>
      </c>
      <c r="H8" s="0" t="n">
        <f aca="false">H6*H7/100</f>
        <v>230606.37263221</v>
      </c>
      <c r="I8" s="0" t="n">
        <f aca="false">I6*I7/100</f>
        <v>244857.328244313</v>
      </c>
      <c r="J8" s="0" t="n">
        <f aca="false">J6*J7/100</f>
        <v>254651.621374085</v>
      </c>
      <c r="K8" s="0" t="n">
        <f aca="false">K6*K7/100</f>
        <v>262291.170015308</v>
      </c>
      <c r="L8" s="0" t="n">
        <f aca="false">L6*L7/100</f>
        <v>268848.44926569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125846.527056</v>
      </c>
      <c r="D11" s="0" t="n">
        <f aca="false">D8+D10+D24</f>
        <v>146296.5877026</v>
      </c>
      <c r="E11" s="0" t="n">
        <f aca="false">E8+E10+E24</f>
        <v>168193.883410344</v>
      </c>
      <c r="F11" s="0" t="n">
        <f aca="false">F8+F10+F24</f>
        <v>192384.732073684</v>
      </c>
      <c r="G11" s="0" t="n">
        <f aca="false">G8+G10+G24</f>
        <v>213886.555070154</v>
      </c>
      <c r="H11" s="0" t="n">
        <f aca="false">H8+H10+H24</f>
        <v>230606.37263221</v>
      </c>
      <c r="I11" s="0" t="n">
        <f aca="false">I8+I10+I24</f>
        <v>244857.328244313</v>
      </c>
      <c r="J11" s="0" t="n">
        <f aca="false">J8+J10+J24</f>
        <v>254651.621374085</v>
      </c>
      <c r="K11" s="0" t="n">
        <f aca="false">K8+K10+K24</f>
        <v>262291.170015308</v>
      </c>
      <c r="L11" s="0" t="n">
        <f aca="false">L8+L10+L24</f>
        <v>268848.44926569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-30611.317392</v>
      </c>
      <c r="D12" s="4" t="n">
        <f aca="false">-D6*Assumptions!D45/100</f>
        <v>-35866.26021096</v>
      </c>
      <c r="E12" s="4" t="n">
        <f aca="false">-E6*Assumptions!E45/100</f>
        <v>-41529.35392848</v>
      </c>
      <c r="F12" s="4" t="n">
        <f aca="false">-F6*Assumptions!F45/100</f>
        <v>-47530.3455711454</v>
      </c>
      <c r="G12" s="4" t="n">
        <f aca="false">-G6*Assumptions!G45/100</f>
        <v>-52554.9821029522</v>
      </c>
      <c r="H12" s="4" t="n">
        <f aca="false">-H6*Assumptions!H45/100</f>
        <v>-57003.8224484114</v>
      </c>
      <c r="I12" s="4" t="n">
        <f aca="false">-I6*Assumptions!I45/100</f>
        <v>-61214.3320610781</v>
      </c>
      <c r="J12" s="4" t="n">
        <f aca="false">-J6*Assumptions!J45/100</f>
        <v>-63662.9053435213</v>
      </c>
      <c r="K12" s="4" t="n">
        <f aca="false">-K6*Assumptions!K45/100</f>
        <v>-65572.7925038269</v>
      </c>
      <c r="L12" s="4" t="n">
        <f aca="false">-L6*Assumptions!L45/100</f>
        <v>-67212.1123164226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95235.209664</v>
      </c>
      <c r="D13" s="0" t="n">
        <f aca="false">D11+D12</f>
        <v>110430.32749164</v>
      </c>
      <c r="E13" s="0" t="n">
        <f aca="false">E11+E12</f>
        <v>126664.529481864</v>
      </c>
      <c r="F13" s="0" t="n">
        <f aca="false">F11+F12</f>
        <v>144854.386502538</v>
      </c>
      <c r="G13" s="0" t="n">
        <f aca="false">G11+G12</f>
        <v>161331.572967202</v>
      </c>
      <c r="H13" s="0" t="n">
        <f aca="false">H11+H12</f>
        <v>173602.550183798</v>
      </c>
      <c r="I13" s="0" t="n">
        <f aca="false">I11+I12</f>
        <v>183642.996183234</v>
      </c>
      <c r="J13" s="0" t="n">
        <f aca="false">J11+J12</f>
        <v>190988.716030564</v>
      </c>
      <c r="K13" s="0" t="n">
        <f aca="false">K11+K12</f>
        <v>196718.377511481</v>
      </c>
      <c r="L13" s="0" t="n">
        <f aca="false">L11+L12</f>
        <v>201636.336949268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27</v>
      </c>
      <c r="D14" s="4" t="n">
        <f aca="false">Assumptions!D47</f>
        <v>28</v>
      </c>
      <c r="E14" s="4" t="n">
        <f aca="false">Assumptions!E47</f>
        <v>29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69521.70305472</v>
      </c>
      <c r="D15" s="0" t="n">
        <f aca="false">D13-MAX(0,D13)*D14/100</f>
        <v>79509.8357939808</v>
      </c>
      <c r="E15" s="0" t="n">
        <f aca="false">E13-MAX(0,E13)*E14/100</f>
        <v>89931.8159321235</v>
      </c>
      <c r="F15" s="0" t="n">
        <f aca="false">F13-MAX(0,F13)*F14/100</f>
        <v>101398.070551777</v>
      </c>
      <c r="G15" s="0" t="n">
        <f aca="false">G13-MAX(0,G13)*G14/100</f>
        <v>112932.101077041</v>
      </c>
      <c r="H15" s="0" t="n">
        <f aca="false">H13-MAX(0,H13)*H14/100</f>
        <v>121521.785128659</v>
      </c>
      <c r="I15" s="0" t="n">
        <f aca="false">I13-MAX(0,I13)*I14/100</f>
        <v>128550.097328264</v>
      </c>
      <c r="J15" s="0" t="n">
        <f aca="false">J13-MAX(0,J13)*J14/100</f>
        <v>133692.101221395</v>
      </c>
      <c r="K15" s="0" t="n">
        <f aca="false">K13-MAX(0,K13)*K14/100</f>
        <v>137702.864258036</v>
      </c>
      <c r="L15" s="0" t="n">
        <f aca="false">L13-MAX(0,L13)*L14/100</f>
        <v>141145.435864487</v>
      </c>
    </row>
    <row r="16" customFormat="false" ht="15" hidden="false" customHeight="false" outlineLevel="0" collapsed="false">
      <c r="A16" s="0" t="s">
        <v>124</v>
      </c>
      <c r="C16" s="0" t="n">
        <f aca="false">-C12</f>
        <v>30611.317392</v>
      </c>
      <c r="D16" s="0" t="n">
        <f aca="false">-D12</f>
        <v>35866.26021096</v>
      </c>
      <c r="E16" s="0" t="n">
        <f aca="false">-E12</f>
        <v>41529.35392848</v>
      </c>
      <c r="F16" s="0" t="n">
        <f aca="false">-F12</f>
        <v>47530.3455711454</v>
      </c>
      <c r="G16" s="0" t="n">
        <f aca="false">-G12</f>
        <v>52554.9821029522</v>
      </c>
      <c r="H16" s="0" t="n">
        <f aca="false">-H12</f>
        <v>57003.8224484114</v>
      </c>
      <c r="I16" s="0" t="n">
        <f aca="false">-I12</f>
        <v>61214.3320610781</v>
      </c>
      <c r="J16" s="0" t="n">
        <f aca="false">-J12</f>
        <v>63662.9053435213</v>
      </c>
      <c r="K16" s="0" t="n">
        <f aca="false">-K12</f>
        <v>65572.7925038269</v>
      </c>
      <c r="L16" s="0" t="n">
        <f aca="false">-L12</f>
        <v>67212.1123164226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-56120.748552</v>
      </c>
      <c r="D17" s="4" t="n">
        <f aca="false">-D6*Assumptions!D46/100</f>
        <v>-64181.72879856</v>
      </c>
      <c r="E17" s="4" t="n">
        <f aca="false">-E6*Assumptions!E46/100</f>
        <v>-67485.20013378</v>
      </c>
      <c r="F17" s="4" t="n">
        <f aca="false">-F6*Assumptions!F46/100</f>
        <v>-73558.8681458202</v>
      </c>
      <c r="G17" s="4" t="n">
        <f aca="false">-G6*Assumptions!G46/100</f>
        <v>-73332.53316691</v>
      </c>
      <c r="H17" s="4" t="n">
        <f aca="false">-H6*Assumptions!H46/100</f>
        <v>-71254.7780605142</v>
      </c>
      <c r="I17" s="4" t="n">
        <f aca="false">-I6*Assumptions!I46/100</f>
        <v>-74817.5169635399</v>
      </c>
      <c r="J17" s="4" t="n">
        <f aca="false">-J6*Assumptions!J46/100</f>
        <v>-70736.5614928014</v>
      </c>
      <c r="K17" s="4" t="n">
        <f aca="false">-K6*Assumptions!K46/100</f>
        <v>-72858.6583375854</v>
      </c>
      <c r="L17" s="4" t="n">
        <f aca="false">-L6*Assumptions!L46/100</f>
        <v>-74680.1247960251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-18356.4744</v>
      </c>
      <c r="D18" s="4" t="n">
        <f aca="false">(D6-C6)*Assumptions!$B$51/100</f>
        <v>-18706.916184</v>
      </c>
      <c r="E18" s="4" t="n">
        <f aca="false">(E6-D6)*Assumptions!$B$51/100</f>
        <v>-18876.9790584</v>
      </c>
      <c r="F18" s="4" t="n">
        <f aca="false">(F6-E6)*Assumptions!$B$51/100</f>
        <v>-18688.209267816</v>
      </c>
      <c r="G18" s="4" t="n">
        <f aca="false">(G6-F6)*Assumptions!$B$51/100</f>
        <v>-18106.7983128173</v>
      </c>
      <c r="H18" s="4" t="n">
        <f aca="false">(H6-G6)*Assumptions!$B$51/100</f>
        <v>-14666.506633382</v>
      </c>
      <c r="I18" s="4" t="n">
        <f aca="false">(I6-H6)*Assumptions!$B$51/100</f>
        <v>-12955.4141928208</v>
      </c>
      <c r="J18" s="4" t="n">
        <f aca="false">(J6-I6)*Assumptions!$B$51/100</f>
        <v>-10882.5479219695</v>
      </c>
      <c r="K18" s="4" t="n">
        <f aca="false">(K6-J6)*Assumptions!$B$51/100</f>
        <v>-8488.38737913617</v>
      </c>
      <c r="L18" s="4" t="n">
        <f aca="false">(L6-K6)*Assumptions!$B$51/100</f>
        <v>-7285.86583375852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25655.79749472</v>
      </c>
      <c r="D19" s="0" t="n">
        <f aca="false">D15+D16+D17+D18</f>
        <v>32487.4510223808</v>
      </c>
      <c r="E19" s="0" t="n">
        <f aca="false">E15+E16+E17+E18</f>
        <v>45098.9906684234</v>
      </c>
      <c r="F19" s="0" t="n">
        <f aca="false">F15+F16+F17+F18</f>
        <v>56681.3387092859</v>
      </c>
      <c r="G19" s="0" t="n">
        <f aca="false">G15+G16+G17+G18</f>
        <v>74047.7517002663</v>
      </c>
      <c r="H19" s="0" t="n">
        <f aca="false">H15+H16+H17+H18</f>
        <v>92604.3228831739</v>
      </c>
      <c r="I19" s="0" t="n">
        <f aca="false">I15+I16+I17+I18</f>
        <v>101991.498232982</v>
      </c>
      <c r="J19" s="0" t="n">
        <f aca="false">J15+J16+J17+J18</f>
        <v>115735.897150145</v>
      </c>
      <c r="K19" s="0" t="n">
        <f aca="false">K15+K16+K17+K18</f>
        <v>121928.611045142</v>
      </c>
      <c r="L19" s="0" t="n">
        <f aca="false">L15+L16+L17+L18</f>
        <v>126391.557551126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23645.8963084977</v>
      </c>
      <c r="D21" s="0" t="n">
        <f aca="false">D19*D20</f>
        <v>27596.637025531</v>
      </c>
      <c r="E21" s="0" t="n">
        <f aca="false">E19*E20</f>
        <v>35308.3650253606</v>
      </c>
      <c r="F21" s="0" t="n">
        <f aca="false">F19*F20</f>
        <v>40899.7964105024</v>
      </c>
      <c r="G21" s="0" t="n">
        <f aca="false">G19*G20</f>
        <v>49245.1183730606</v>
      </c>
      <c r="H21" s="0" t="n">
        <f aca="false">H19*H20</f>
        <v>56761.3650785064</v>
      </c>
      <c r="I21" s="0" t="n">
        <f aca="false">I19*I20</f>
        <v>57617.6849066024</v>
      </c>
      <c r="J21" s="0" t="n">
        <f aca="false">J19*J20</f>
        <v>60260.1456501754</v>
      </c>
      <c r="K21" s="0" t="n">
        <f aca="false">K19*K20</f>
        <v>58511.0622799554</v>
      </c>
      <c r="L21" s="0" t="n">
        <f aca="false">L19*L20</f>
        <v>55901.1424886596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465747.213546852</v>
      </c>
    </row>
    <row r="31" customFormat="false" ht="15" hidden="false" customHeight="false" outlineLevel="0" collapsed="false">
      <c r="A31" s="0" t="s">
        <v>133</v>
      </c>
      <c r="B31" s="0" t="n">
        <f aca="false">L19</f>
        <v>126391.557551126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1983375.21080229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1769481.80571577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1769481.80571577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782615.994841234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1248363.20838809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1237653.20838809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2163.388991921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0.0723117679905829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2163.388991921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991687.605401145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982.859853208152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811.466510972491</v>
      </c>
      <c r="C4" s="0" t="n">
        <f aca="false">B4/Assumptions!$B$2-1</f>
        <v>-0.597786115998765</v>
      </c>
      <c r="D4" s="4" t="n">
        <f aca="false">Assumptions!$B$24</f>
        <v>0.25</v>
      </c>
      <c r="E4" s="4" t="n">
        <f aca="false">DCF_Bear!$B$43</f>
        <v>811.466510972491</v>
      </c>
      <c r="F4" s="4" t="n">
        <f aca="false">DCF_Bear!$B$47</f>
        <v>427.161650865782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1562.94979191969</v>
      </c>
      <c r="C5" s="0" t="n">
        <f aca="false">B5/Assumptions!$B$2-1</f>
        <v>-0.225303696694081</v>
      </c>
      <c r="D5" s="4" t="n">
        <f aca="false">Assumptions!$B$38</f>
        <v>0.5</v>
      </c>
      <c r="E5" s="4" t="n">
        <f aca="false">DCF_Base!$B$43</f>
        <v>1562.94979191969</v>
      </c>
      <c r="F5" s="4" t="n">
        <f aca="false">DCF_Base!$B$47</f>
        <v>721.002035231806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2163.388991921</v>
      </c>
      <c r="C6" s="0" t="n">
        <f aca="false">B6/Assumptions!$B$2-1</f>
        <v>0.0723117679905829</v>
      </c>
      <c r="D6" s="4" t="n">
        <f aca="false">Assumptions!$B$52</f>
        <v>0.25</v>
      </c>
      <c r="E6" s="4" t="n">
        <f aca="false">DCF_Bull!$B$43</f>
        <v>2163.388991921</v>
      </c>
      <c r="F6" s="4" t="n">
        <f aca="false">DCF_Bull!$B$47</f>
        <v>982.859853208152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1525.18877168322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1525.18877168322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-0.322787078856776</v>
      </c>
    </row>
    <row r="11" customFormat="false" ht="15" hidden="false" customHeight="false" outlineLevel="0" collapsed="false">
      <c r="A11" s="0" t="s">
        <v>160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713.006393634387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1562.94979191969</v>
      </c>
      <c r="C15" s="3" t="n">
        <v>8.5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1473.24913362283</v>
      </c>
      <c r="C16" s="3" t="n">
        <v>9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1270.86488841335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1112.36296655832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985.12751992581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721.002035231806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1831.25676363459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1831.25676363459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1831.25676363459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1831.25676363459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1831.25676363459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1690.72658151274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1690.72658151274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1690.72658151274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1690.72658151274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1690.72658151274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1465.59137411716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1526.82840792339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1562.94979191969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1562.94979191969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1562.94979191969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1271.56340447166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1315.78603093161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1365.53648569904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1421.92033443547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1446.63654210076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1117.77635460668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1150.58958083834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1187.04872109573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1227.79717197164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1273.63917920704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2026-10-31T10:23:41Z</dcterms:created>
  <dc:creator>openpyxl</dc:creator>
  <dc:description/>
  <dc:language>en-NZ</dc:language>
  <cp:lastModifiedBy/>
  <dcterms:modified xsi:type="dcterms:W3CDTF">2026-10-31T10:23:41Z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