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<sst xmlns="http://schemas.openxmlformats.org/spreadsheetml/2006/main" count="359" uniqueCount="168">
  <si>
    <t xml:space="preserve">Ticker</t>
  </si>
  <si>
    <t xml:space="preserve">DGE.L</t>
  </si>
  <si>
    <t xml:space="preserve">Company</t>
  </si>
  <si>
    <t xml:space="preserve">Diageo plc</t>
  </si>
  <si>
    <t xml:space="preserve">Valuation date</t>
  </si>
  <si>
    <t xml:space="preserve">2026-10-10</t>
  </si>
  <si>
    <t xml:space="preserve">Current price</t>
  </si>
  <si>
    <t xml:space="preserve">Price as of</t>
  </si>
  <si>
    <t xml:space="preserve">2026-10-09T15:49:17Z regular LSE close</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</si>
  <si>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</si>
  <si>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</si>
  <si>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</si>
  <si>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</si>
  <si>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</si>
  <si>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</si>
  <si>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</si>
  <si>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GBp</t>
  </si>
  <si>
    <t xml:space="preserve">Units</t>
  </si>
  <si>
    <t xml:space="preserve">millions</t>
  </si>
  <si>
    <t xml:space="preserve">Engine</t>
  </si>
  <si>
    <t xml:space="preserve">dcf_engine v1</t>
  </si>
  <si>
    <t xml:space="preserve">Built at</t>
  </si>
  <si>
    <t xml:space="preserve">2026-10-09T22:58:40Z</t>
  </si>
  <si>
    <t xml:space="preserve">Drivers file</t>
  </si>
  <si>
    <t xml:space="preserve">DGE.L_Drivers.json</t>
  </si>
  <si>
    <t xml:space="preserve">Convention</t>
  </si>
  <si>
    <t xml:space="preserve">Percents stored as percents; formulas divide by 100. Blue = input, green = link, black = formula.</t>
  </si>
  <si>
    <t xml:space="preserve">Methodology</t>
  </si>
  <si>
    <t xml:space="preserve">summary: Diageo is valued as a mature, high-margin spirits compounder in the trough of a three-year US destocking cycle, on unlevered owner FCF built from a 32.7% ex-associates EBITDA margin that is allowed to recover only part-way to its FY2022 peak. The valuation deliberately does not extrapolate FY2022 margins, does not credit the full c.$1bn savings programme, and charges the EABL disposal, the Moet Hennessy stake, the pension deficit and the guided restructuring cash explicitly in the bridge rather than inside the flows. Risk is charged in the flows and the 25% bear weight, not in the 7% USD WACC. House and street bases nearly coincide because SBC is 0.2% of revenue.
key_risks_to_valuation: US spirits demand: whether the post-2023 decline is destocking (cyclical) or GLP-1/moderation (structural) is the single largest swing between bull and bear; Tariffs: loss of the USMCA exemption on Mexican spirits would hit Don Julio and Casamigos directly; the current 10% UK / 15% EU tariffs cost ~$200m pre-mitigation; Leverage: 3.1x net debt/EBITDA with the dividend cut to a 30-50% payout; EABL completion ($2.3bn, assumed in the bridge) is subject to regulatory approval; Turnaround execution: new CEO, new operating framework, S/4HANA migration and $908m restructuring charge all landing in the same year; Emerging-market translation and hyperinflation (Turkiye, Nigeria, Argentina) and Chinese white spirits (Shui Jing Fang) impairment risk; Associates: Moet Hennessy carried at $5.3bn is exposed to the cognac/champagne downturn and LVMH's call option over the stake; Currency: USD flows against a GBp quote; a 10% move in GBP/USD moves the pence value by 10% with no change in the business</t>
  </si>
  <si>
    <t xml:space="preserve">Data sources</t>
  </si>
  <si>
    <t xml:space="preserve">price: Yahoo Finance chart API at inputs.price_as_of (regular LSE close); 52-week range 1,295.5p-1,903.9p. GBP/USD from Yahoo GBPUSD=X on the same date; DEO ADR close used as the parity check.
financials: DGE.L_Metrics.csv (core_metrics, FY2018-FY2026 plus H1 FY2025/H1 FY2026); FY2026 annual report (DGE.L_Annual_FY2026.txt) for adjusted EBITDA, net borrowings, leases, associates, NCI, diluted shares and guidance; H2 FY2026 results presentation for EABL deal terms and tariff exposure.
qualitative: DGE.L_Analysis.json (2026-10-10) read after the first build: its bull/bear axes match the scenario narratives; its guidance block (FY27-29 capex $3.75bn, RoW 3-5% growth, North America share stabilisation from year two) lifted the FY27-29 capex path. FY2026 annual report strategy, outlook and risk sections and the H2 FY2026 results presentation for the rest.</t>
  </si>
  <si>
    <t xml:space="preserve">Scenario narrative: bear</t>
  </si>
  <si>
    <t xml:space="preserve">Moderation is structural: US spirits volumes decline 2-3% a year for the rest of the decade, premiumisation reverses as consumers trade down, and the USMCA exemption on Mexican spirits is lost so tequila -- Diageo's largest growth engine -- carries a tariff on top. Turkiye hyperinflation and CWS keep impairing; a new CEO's cost savings are consumed defending share and the reinvestment rate has to rise. EBITDA margin ex-associates drifts to 30% and stays there, organic growth is ~1.5% nominal, leverage stays near 3x so the dividend is held at the 50c floor. Terminal growth 1.5%, 15x cap. Not a solvency case -- the A-band balance sheet, $5bn of associates and disposable non-core assets rule that out -- but a permanently lower-multiple, ex-growth staple.</t>
  </si>
  <si>
    <t xml:space="preserve">Scenario narrative: base</t>
  </si>
  <si>
    <t xml:space="preserve">The organic turnaround under Sir Dave Lewis executes at the lower end of guidance. FY27 organic net sales are flat (US spirits still down low-single-digit, Europe/LAC/India growing), reported revenue falls ~4.5% as EABL deconsolidates. From FY28 organic growth returns to 2-3% as US wholesaler destocking is lapped, Don Julio and Guinness keep growing and India and Africa compound. The c.$1bn operating-framework and supply savings land, with roughly a third dropping to margin and the rest reinvested in marketing (reinvestment rate back toward 17-18% from 16.2%); EBITDA margin ex-associates recovers from 32.7% to 34% by FY32 but does not regain the FY2022 peak. Tariffs stay at 10% UK / 15% EU with Mexico/Canada exempt under USMCA, a ~$100m net drag after mitigation. Capex normalises from 6% to 5% of revenue as Guinness and agave capacity commissions. Leverage falls to ~2x by FY29 via EABL proceeds and the 30-50% payout policy; the buyback does not restart inside the explicit horizon.</t>
  </si>
  <si>
    <t xml:space="preserve">Scenario narrative: bull</t>
  </si>
  <si>
    <t xml:space="preserve">US spirits returns to growth in FY27 as the two-year destock and the GLP-1/moderation narrative prove cyclical rather than structural; tequila (Don Julio, Casamigos RTS) and Guinness take share and the RTD portfolio scales. Lewis's savings over-deliver as Accelerate did ($540m secured vs guidance) and more of the c.$1bn drops through, taking EBITDA margin ex-associates to 35.5% by FY33, i.e. the FY2022 level. Organic growth runs 3.5-4.5% through FY30 (India, LAC, Africa ex-EABL, Chinese white spirits recovering from the CWS trough) and the RCB and further non-core disposals accelerate de-leveraging, allowing buybacks to resume by FY29 (not modelled -- flat count). Terminal 3%, 20x cap.</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</si>
  <si>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</si>
  <si>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</si>
  <si>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</si>
  <si>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</si>
  <si>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</si>
  <si>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</si>
  <si>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</si>
  <si>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</si>
  <si>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</si>
  <si>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</si>
  <si>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</si>
  <si>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</si>
  <si>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</si>
  <si>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</si>
  <si>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</si>
  <si>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</si>
  <si>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</si>
  <si>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</si>
  <si>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</si>
  <si>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</si>
  <si>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</si>
  <si>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</si>
  <si>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</si>
  <si>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</si>
  <si>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</si>
  <si>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</si>
  <si>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</si>
  <si>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ProfitForPeriodTotal</t>
  </si>
  <si>
    <t xml:space="preserve">TotalEquityInclNCI</t>
  </si>
  <si>
    <t xml:space="preserve">FY2018</t>
  </si>
  <si>
    <t xml:space="preserve">GBP</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</si>
  <si>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</si>
  <si>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</si>
  <si>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</si>
  <si>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</si>
  <si>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</si>
  <si>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</si>
  <si>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</si>
  <si>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</si>
  <si>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</si>
  <si>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</si>
  <si>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</si>
  <si>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</si>
  <si>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</si>
  <si>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</si>
  <si>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</si>
  <si>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</si>
  <si>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</si>
  <si>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</si>
  <si>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</si>
  <si>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</si>
  <si>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</si>
  <si>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</si>
  <si>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</si>
  <si>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</si>
  <si>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</si>
  <si>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</si>
  <si>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</si>
  <si>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</si>
  <si>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</si>
  <si>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</si>
  <si>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</si>
  <si>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</si>
  <si>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</si>
  <si>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</si>
  <si>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</si>
  <si>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</si>
  <si>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</si>
  <si>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</si>
  <si>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</si>
  <si>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</si>
  <si>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</si>
  <si>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</si>
  <si>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</si>
  <si>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</si>
  <si>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</si>
  <si>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DGE.L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</si>
  <si>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</si>
  <si>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</si>
  <si>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</si>
  <si>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</si>
  <si>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</si>
  <si>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</si>
  <si>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</si>
  <si>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</si>
  <si>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</si>
  <si>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</si>
  <si>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</si>
  <si>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</si>
  <si>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</si>
  <si>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</si>
  <si>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</si>
  <si>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</si>
  <si>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</si>
  <si>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</si>
  <si>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</si>
  <si>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</si>
  <si>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</si>
  <si>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</si>
  <si>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</si>
  <si>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</si>
  <si>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</si>
  <si>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</si>
  <si>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</si>
  <si>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</si>
  <si>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</si>
  <si>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</si>
  <si>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DGE.L owner-FCF component DCF: base case (millions, USD)</t>
  </si>
  <si>
    <t xml:space="preserve">DGE.L owner-FCF component DCF: bull case (millions, USD)</t>
  </si>
  <si>
    <t xml:space="preserve">DGE.L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</si>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</sst>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1638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row>
    <row r="2" customFormat="false" ht="15" hidden="false" customHeight="false" outlineLevel="0" collapsed="false">
      <c r="A2" s="0" t="s">
        <v>66</v>
      </c>
      <c r="B2" s="0" t="n">
        <v>12163</v>
      </c>
      <c r="C2" s="0" t="n">
        <v>4634</v>
      </c>
      <c r="D2" s="0" t="n">
        <v>7529</v>
      </c>
      <c r="E2" s="0" t="n">
        <v>61.9</v>
      </c>
      <c r="F2" s="0" t="n">
        <v>3691</v>
      </c>
      <c r="G2" s="0" t="n">
        <v>30.3</v>
      </c>
      <c r="H2" s="0" t="n">
        <v>4184</v>
      </c>
      <c r="I2" s="0" t="n">
        <v>3022</v>
      </c>
      <c r="J2" s="0" t="n">
        <v>24.8</v>
      </c>
      <c r="K2" s="0" t="n">
        <v>1.217</v>
      </c>
      <c r="L2" s="0" t="n">
        <v>3084</v>
      </c>
      <c r="M2" s="0" t="n">
        <v>584</v>
      </c>
      <c r="N2" s="0" t="n">
        <v>2500</v>
      </c>
      <c r="O2" s="0" t="n">
        <v>9948</v>
      </c>
      <c r="P2" s="0" t="n">
        <v>29715</v>
      </c>
      <c r="Q2" s="0" t="n">
        <v>18002</v>
      </c>
      <c r="R2" s="0" t="n">
        <v>9902</v>
      </c>
      <c r="S2" s="0" t="n">
        <v>874</v>
      </c>
      <c r="T2" s="0" t="n">
        <v>2495</v>
      </c>
      <c r="U2" s="0" t="n">
        <v>39</v>
      </c>
      <c r="AA2" s="0" t="s">
        <v>18</v>
      </c>
      <c r="AB2" s="0" t="s">
        <v>67</v>
      </c>
      <c r="AC2" s="0" t="n">
        <v>3144</v>
      </c>
      <c r="AD2" s="0" t="n">
        <v>11713</v>
      </c>
    </row>
    <row r="3" customFormat="false" ht="15" hidden="false" customHeight="false" outlineLevel="0" collapsed="false">
      <c r="A3" s="0" t="s">
        <v>68</v>
      </c>
      <c r="B3" s="0" t="n">
        <v>12867</v>
      </c>
      <c r="C3" s="0" t="n">
        <v>4866</v>
      </c>
      <c r="D3" s="0" t="n">
        <v>8001</v>
      </c>
      <c r="E3" s="0" t="n">
        <v>62.2</v>
      </c>
      <c r="F3" s="0" t="n">
        <v>4042</v>
      </c>
      <c r="G3" s="0" t="n">
        <v>31.4</v>
      </c>
      <c r="H3" s="0" t="n">
        <v>4416</v>
      </c>
      <c r="I3" s="0" t="n">
        <v>3160</v>
      </c>
      <c r="J3" s="0" t="n">
        <v>24.6</v>
      </c>
      <c r="K3" s="0" t="n">
        <v>1.307</v>
      </c>
      <c r="L3" s="0" t="n">
        <v>3248</v>
      </c>
      <c r="M3" s="0" t="n">
        <v>671</v>
      </c>
      <c r="N3" s="0" t="n">
        <v>2577</v>
      </c>
      <c r="O3" s="0" t="n">
        <v>8361</v>
      </c>
      <c r="P3" s="0" t="n">
        <v>31296</v>
      </c>
      <c r="Q3" s="0" t="n">
        <v>21140</v>
      </c>
      <c r="R3" s="0" t="n">
        <v>12555</v>
      </c>
      <c r="S3" s="0" t="n">
        <v>932</v>
      </c>
      <c r="T3" s="0" t="n">
        <v>2428</v>
      </c>
      <c r="U3" s="0" t="n">
        <v>49</v>
      </c>
      <c r="AA3" s="0" t="s">
        <v>18</v>
      </c>
      <c r="AB3" s="0" t="s">
        <v>67</v>
      </c>
      <c r="AD3" s="0" t="n">
        <v>10156</v>
      </c>
    </row>
    <row r="4" customFormat="false" ht="15" hidden="false" customHeight="false" outlineLevel="0" collapsed="false">
      <c r="A4" s="0" t="s">
        <v>69</v>
      </c>
      <c r="B4" s="0" t="n">
        <v>11752</v>
      </c>
      <c r="C4" s="0" t="n">
        <v>4654</v>
      </c>
      <c r="D4" s="0" t="n">
        <v>7098</v>
      </c>
      <c r="E4" s="0" t="n">
        <v>60.4</v>
      </c>
      <c r="F4" s="0" t="n">
        <v>2137</v>
      </c>
      <c r="G4" s="0" t="n">
        <v>18.2</v>
      </c>
      <c r="H4" s="0" t="n">
        <v>3976</v>
      </c>
      <c r="I4" s="0" t="n">
        <v>1409</v>
      </c>
      <c r="J4" s="0" t="n">
        <v>12</v>
      </c>
      <c r="K4" s="0" t="n">
        <v>0.601</v>
      </c>
      <c r="L4" s="0" t="n">
        <v>2320</v>
      </c>
      <c r="M4" s="0" t="n">
        <v>700</v>
      </c>
      <c r="N4" s="0" t="n">
        <v>1620</v>
      </c>
      <c r="O4" s="0" t="n">
        <v>6772</v>
      </c>
      <c r="P4" s="0" t="n">
        <v>33308</v>
      </c>
      <c r="Q4" s="0" t="n">
        <v>24868</v>
      </c>
      <c r="R4" s="0" t="n">
        <v>16785</v>
      </c>
      <c r="S4" s="0" t="n">
        <v>3323</v>
      </c>
      <c r="T4" s="0" t="n">
        <v>2354</v>
      </c>
      <c r="U4" s="0" t="n">
        <v>2</v>
      </c>
      <c r="AA4" s="0" t="s">
        <v>18</v>
      </c>
      <c r="AB4" s="0" t="s">
        <v>67</v>
      </c>
      <c r="AD4" s="0" t="n">
        <v>8440</v>
      </c>
    </row>
    <row r="5" customFormat="false" ht="15" hidden="false" customHeight="false" outlineLevel="0" collapsed="false">
      <c r="A5" s="0" t="s">
        <v>70</v>
      </c>
      <c r="B5" s="0" t="n">
        <v>12733</v>
      </c>
      <c r="C5" s="0" t="n">
        <v>5038</v>
      </c>
      <c r="D5" s="0" t="n">
        <v>7695</v>
      </c>
      <c r="E5" s="0" t="n">
        <v>60.4</v>
      </c>
      <c r="F5" s="0" t="n">
        <v>3731</v>
      </c>
      <c r="G5" s="0" t="n">
        <v>29.3</v>
      </c>
      <c r="H5" s="0" t="n">
        <v>4178</v>
      </c>
      <c r="I5" s="0" t="n">
        <v>2660</v>
      </c>
      <c r="J5" s="0" t="n">
        <v>20.9</v>
      </c>
      <c r="K5" s="0" t="n">
        <v>1.138</v>
      </c>
      <c r="L5" s="0" t="n">
        <v>3654</v>
      </c>
      <c r="M5" s="0" t="n">
        <v>626</v>
      </c>
      <c r="N5" s="0" t="n">
        <v>3028</v>
      </c>
      <c r="O5" s="0" t="n">
        <v>6897</v>
      </c>
      <c r="P5" s="0" t="n">
        <v>31953</v>
      </c>
      <c r="Q5" s="0" t="n">
        <v>23522</v>
      </c>
      <c r="R5" s="0" t="n">
        <v>14727</v>
      </c>
      <c r="S5" s="0" t="n">
        <v>2749</v>
      </c>
      <c r="T5" s="0" t="n">
        <v>2345</v>
      </c>
      <c r="U5" s="0" t="n">
        <v>49</v>
      </c>
      <c r="AA5" s="0" t="s">
        <v>18</v>
      </c>
      <c r="AB5" s="0" t="s">
        <v>67</v>
      </c>
      <c r="AC5" s="0" t="n">
        <v>2799</v>
      </c>
      <c r="AD5" s="0" t="n">
        <v>8431</v>
      </c>
    </row>
    <row r="6" customFormat="false" ht="15" hidden="false" customHeight="false" outlineLevel="0" collapsed="false">
      <c r="A6" s="0" t="s">
        <v>71</v>
      </c>
      <c r="B6" s="0" t="n">
        <v>15452</v>
      </c>
      <c r="C6" s="0" t="n">
        <v>5973</v>
      </c>
      <c r="D6" s="0" t="n">
        <v>9479</v>
      </c>
      <c r="E6" s="0" t="n">
        <v>61.3</v>
      </c>
      <c r="F6" s="0" t="n">
        <v>4409</v>
      </c>
      <c r="G6" s="0" t="n">
        <v>28.5</v>
      </c>
      <c r="H6" s="0" t="n">
        <v>5237</v>
      </c>
      <c r="I6" s="0" t="n">
        <v>3249</v>
      </c>
      <c r="J6" s="0" t="n">
        <v>21</v>
      </c>
      <c r="K6" s="0" t="n">
        <v>1.402</v>
      </c>
      <c r="L6" s="0" t="n">
        <v>3935</v>
      </c>
      <c r="M6" s="0" t="n">
        <v>1097</v>
      </c>
      <c r="N6" s="0" t="n">
        <v>2838</v>
      </c>
      <c r="O6" s="0" t="n">
        <v>7798</v>
      </c>
      <c r="P6" s="0" t="n">
        <v>36516</v>
      </c>
      <c r="Q6" s="0" t="n">
        <v>27002</v>
      </c>
      <c r="R6" s="0" t="n">
        <v>16020</v>
      </c>
      <c r="S6" s="0" t="n">
        <v>2285</v>
      </c>
      <c r="T6" s="0" t="n">
        <v>2325</v>
      </c>
      <c r="U6" s="0" t="n">
        <v>59</v>
      </c>
      <c r="AA6" s="0" t="s">
        <v>18</v>
      </c>
      <c r="AB6" s="0" t="s">
        <v>67</v>
      </c>
      <c r="AC6" s="0" t="n">
        <v>3338</v>
      </c>
      <c r="AD6" s="0" t="n">
        <v>9514</v>
      </c>
    </row>
    <row r="7" customFormat="false" ht="15" hidden="false" customHeight="false" outlineLevel="0" collapsed="false">
      <c r="A7" s="0" t="s">
        <v>72</v>
      </c>
      <c r="B7" s="0" t="n">
        <v>17113</v>
      </c>
      <c r="C7" s="0" t="n">
        <v>6899</v>
      </c>
      <c r="D7" s="0" t="n">
        <v>10214</v>
      </c>
      <c r="E7" s="0" t="n">
        <v>59.7</v>
      </c>
      <c r="F7" s="0" t="n">
        <v>4632</v>
      </c>
      <c r="G7" s="0" t="n">
        <v>27.1</v>
      </c>
      <c r="H7" s="0" t="n">
        <v>5698</v>
      </c>
      <c r="I7" s="0" t="n">
        <v>3734</v>
      </c>
      <c r="J7" s="0" t="n">
        <v>21.8</v>
      </c>
      <c r="K7" s="0" t="n">
        <v>1.649</v>
      </c>
      <c r="L7" s="0" t="n">
        <v>3024</v>
      </c>
      <c r="M7" s="0" t="n">
        <v>1180</v>
      </c>
      <c r="N7" s="0" t="n">
        <v>1844</v>
      </c>
      <c r="O7" s="0" t="n">
        <v>7822</v>
      </c>
      <c r="P7" s="0" t="n">
        <v>35621</v>
      </c>
      <c r="Q7" s="0" t="n">
        <v>26329</v>
      </c>
      <c r="R7" s="0" t="n">
        <v>16502</v>
      </c>
      <c r="S7" s="0" t="n">
        <v>1439</v>
      </c>
      <c r="T7" s="0" t="n">
        <v>2271</v>
      </c>
      <c r="U7" s="0" t="n">
        <v>49</v>
      </c>
      <c r="AA7" s="0" t="s">
        <v>18</v>
      </c>
      <c r="AB7" s="0" t="s">
        <v>67</v>
      </c>
      <c r="AC7" s="0" t="n">
        <v>3766</v>
      </c>
      <c r="AD7" s="0" t="n">
        <v>9292</v>
      </c>
    </row>
    <row r="8" customFormat="false" ht="15" hidden="false" customHeight="false" outlineLevel="0" collapsed="false">
      <c r="A8" s="0" t="s">
        <v>73</v>
      </c>
      <c r="B8" s="0" t="n">
        <v>20269</v>
      </c>
      <c r="C8" s="0" t="n">
        <v>8071</v>
      </c>
      <c r="D8" s="0" t="n">
        <v>12198</v>
      </c>
      <c r="E8" s="0" t="n">
        <v>60.2</v>
      </c>
      <c r="F8" s="0" t="n">
        <v>6001</v>
      </c>
      <c r="G8" s="0" t="n">
        <v>29.6</v>
      </c>
      <c r="H8" s="0" t="n">
        <v>6494</v>
      </c>
      <c r="I8" s="0" t="n">
        <v>3870</v>
      </c>
      <c r="J8" s="0" t="n">
        <v>19.1</v>
      </c>
      <c r="K8" s="0" t="n">
        <v>1.732</v>
      </c>
      <c r="L8" s="0" t="n">
        <v>4105</v>
      </c>
      <c r="M8" s="0" t="n">
        <v>1510</v>
      </c>
      <c r="N8" s="0" t="n">
        <v>2595</v>
      </c>
      <c r="O8" s="0" t="n">
        <v>10032</v>
      </c>
      <c r="P8" s="0" t="n">
        <v>45474</v>
      </c>
      <c r="Q8" s="0" t="n">
        <v>33404</v>
      </c>
      <c r="R8" s="0" t="n">
        <v>21501</v>
      </c>
      <c r="S8" s="0" t="n">
        <v>1130</v>
      </c>
      <c r="T8" s="0" t="n">
        <v>2239</v>
      </c>
      <c r="U8" s="0" t="n">
        <v>43</v>
      </c>
      <c r="AA8" s="0" t="s">
        <v>18</v>
      </c>
      <c r="AB8" s="0" t="s">
        <v>14</v>
      </c>
      <c r="AC8" s="0" t="n">
        <v>4166</v>
      </c>
      <c r="AD8" s="0" t="n">
        <v>12070</v>
      </c>
    </row>
    <row r="9" customFormat="false" ht="15" hidden="false" customHeight="false" outlineLevel="0" collapsed="false">
      <c r="A9" s="0" t="s">
        <v>74</v>
      </c>
      <c r="B9" s="0" t="n">
        <v>20245</v>
      </c>
      <c r="C9" s="0" t="n">
        <v>8072</v>
      </c>
      <c r="D9" s="0" t="n">
        <v>12173</v>
      </c>
      <c r="E9" s="0" t="n">
        <v>60.1</v>
      </c>
      <c r="F9" s="0" t="n">
        <v>4335</v>
      </c>
      <c r="G9" s="0" t="n">
        <v>21.4</v>
      </c>
      <c r="H9" s="0" t="n">
        <v>6053</v>
      </c>
      <c r="I9" s="0" t="n">
        <v>2354</v>
      </c>
      <c r="J9" s="0" t="n">
        <v>11.6</v>
      </c>
      <c r="K9" s="0" t="n">
        <v>1.059</v>
      </c>
      <c r="L9" s="0" t="n">
        <v>4297</v>
      </c>
      <c r="M9" s="0" t="n">
        <v>1612</v>
      </c>
      <c r="N9" s="0" t="n">
        <v>2685</v>
      </c>
      <c r="O9" s="0" t="n">
        <v>11090</v>
      </c>
      <c r="P9" s="0" t="n">
        <v>49322</v>
      </c>
      <c r="Q9" s="0" t="n">
        <v>36144</v>
      </c>
      <c r="R9" s="0" t="n">
        <v>23748</v>
      </c>
      <c r="S9" s="0" t="n">
        <v>2200</v>
      </c>
      <c r="T9" s="0" t="n">
        <v>2228</v>
      </c>
      <c r="U9" s="0" t="n">
        <v>59</v>
      </c>
      <c r="AA9" s="0" t="s">
        <v>18</v>
      </c>
      <c r="AB9" s="0" t="s">
        <v>14</v>
      </c>
      <c r="AC9" s="0" t="n">
        <v>2538</v>
      </c>
      <c r="AD9" s="0" t="n">
        <v>13178</v>
      </c>
    </row>
    <row r="10" customFormat="false" ht="15" hidden="false" customHeight="false" outlineLevel="0" collapsed="false">
      <c r="A10" s="0" t="s">
        <v>75</v>
      </c>
      <c r="B10" s="0" t="n">
        <v>19643</v>
      </c>
      <c r="C10" s="0" t="n">
        <v>7962</v>
      </c>
      <c r="D10" s="0" t="n">
        <v>11681</v>
      </c>
      <c r="E10" s="0" t="n">
        <v>59.5</v>
      </c>
      <c r="F10" s="0" t="n">
        <v>3156</v>
      </c>
      <c r="G10" s="0" t="n">
        <v>16.1</v>
      </c>
      <c r="H10" s="0" t="n">
        <v>5636</v>
      </c>
      <c r="I10" s="0" t="n">
        <v>1737</v>
      </c>
      <c r="J10" s="0" t="n">
        <v>8.8</v>
      </c>
      <c r="K10" s="0" t="n">
        <v>0.781</v>
      </c>
      <c r="L10" s="0" t="n">
        <v>4392</v>
      </c>
      <c r="M10" s="0" t="n">
        <v>1197</v>
      </c>
      <c r="N10" s="0" t="n">
        <v>3195</v>
      </c>
      <c r="O10" s="0" t="n">
        <v>10871</v>
      </c>
      <c r="P10" s="0" t="n">
        <v>46845</v>
      </c>
      <c r="Q10" s="0" t="n">
        <v>33891</v>
      </c>
      <c r="R10" s="0" t="n">
        <v>21511</v>
      </c>
      <c r="S10" s="0" t="n">
        <v>1520</v>
      </c>
      <c r="T10" s="0" t="n">
        <v>2231</v>
      </c>
      <c r="U10" s="0" t="n">
        <v>44</v>
      </c>
      <c r="AA10" s="0" t="s">
        <v>18</v>
      </c>
      <c r="AB10" s="0" t="s">
        <v>14</v>
      </c>
      <c r="AC10" s="0" t="n">
        <v>1958</v>
      </c>
      <c r="AD10" s="0" t="n">
        <v>12954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1638</v>
      </c>
    </row>
    <row r="3" customFormat="false" ht="15" hidden="false" customHeight="false" outlineLevel="0" collapsed="false">
      <c r="A3" s="0" t="s">
        <v>79</v>
      </c>
      <c r="B3" s="3" t="n">
        <v>2231</v>
      </c>
    </row>
    <row r="4" customFormat="false" ht="15" hidden="false" customHeight="false" outlineLevel="0" collapsed="false">
      <c r="A4" s="0" t="s">
        <v>80</v>
      </c>
      <c r="B4" s="3" t="n">
        <v>19797</v>
      </c>
    </row>
    <row r="5" customFormat="false" ht="15" hidden="false" customHeight="false" outlineLevel="0" collapsed="false">
      <c r="A5" s="0" t="s">
        <v>81</v>
      </c>
      <c r="B5" s="3" t="n">
        <v>6644</v>
      </c>
    </row>
    <row r="6" customFormat="false" ht="15" hidden="false" customHeight="false" outlineLevel="0" collapsed="false">
      <c r="A6" s="0" t="s">
        <v>82</v>
      </c>
      <c r="B6" s="3" t="n">
        <v>15</v>
      </c>
    </row>
    <row r="7" customFormat="false" ht="15" hidden="false" customHeight="false" outlineLevel="0" collapsed="false">
      <c r="A7" s="0" t="s">
        <v>83</v>
      </c>
      <c r="B7" s="3" t="n">
        <v>19643</v>
      </c>
    </row>
    <row r="8" customFormat="false" ht="15" hidden="false" customHeight="false" outlineLevel="0" collapsed="false">
      <c r="A8" s="0" t="s">
        <v>84</v>
      </c>
      <c r="B8" s="3" t="s">
        <v>75</v>
      </c>
    </row>
    <row r="9" customFormat="false" ht="15" hidden="false" customHeight="false" outlineLevel="0" collapsed="false">
      <c r="A9" s="0" t="s">
        <v>85</v>
      </c>
      <c r="B9" s="3" t="s">
        <v>86</v>
      </c>
    </row>
    <row r="10" customFormat="false" ht="15" hidden="false" customHeight="false" outlineLevel="0" collapsed="false">
      <c r="A10" s="0" t="s">
        <v>87</v>
      </c>
      <c r="B10" s="3" t="n">
        <v>75.569</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row>
    <row r="13" customFormat="false" ht="15" hidden="false" customHeight="false" outlineLevel="0" collapsed="false">
      <c r="A13" s="0" t="s">
        <v>99</v>
      </c>
      <c r="C13" s="3" t="n">
        <v>-6</v>
      </c>
      <c r="D13" s="3" t="n">
        <v>-1</v>
      </c>
      <c r="E13" s="3" t="n">
        <v>0.5</v>
      </c>
      <c r="F13" s="3" t="n">
        <v>1</v>
      </c>
      <c r="G13" s="3" t="n">
        <v>1.5</v>
      </c>
      <c r="H13" s="3" t="n">
        <v>1.5</v>
      </c>
      <c r="I13" s="3" t="n">
        <v>1.5</v>
      </c>
      <c r="J13" s="3" t="n">
        <v>1.5</v>
      </c>
      <c r="K13" s="3" t="n">
        <v>1.5</v>
      </c>
      <c r="L13" s="3" t="n">
        <v>1.5</v>
      </c>
    </row>
    <row r="14" customFormat="false" ht="15" hidden="false" customHeight="false" outlineLevel="0" collapsed="false">
      <c r="A14" s="0" t="s">
        <v>100</v>
      </c>
      <c r="C14" s="3" t="n">
        <v>31.5</v>
      </c>
      <c r="D14" s="3" t="n">
        <v>31</v>
      </c>
      <c r="E14" s="3" t="n">
        <v>30.5</v>
      </c>
      <c r="F14" s="3" t="n">
        <v>30.2</v>
      </c>
      <c r="G14" s="3" t="n">
        <v>30</v>
      </c>
      <c r="H14" s="3" t="n">
        <v>30</v>
      </c>
      <c r="I14" s="3" t="n">
        <v>30</v>
      </c>
      <c r="J14" s="3" t="n">
        <v>30</v>
      </c>
      <c r="K14" s="3" t="n">
        <v>30</v>
      </c>
      <c r="L14" s="3" t="n">
        <v>30</v>
      </c>
    </row>
    <row r="15" customFormat="false" ht="15" hidden="false" customHeight="false" outlineLevel="0" collapsed="false">
      <c r="A15" s="0" t="s">
        <v>101</v>
      </c>
      <c r="C15" s="3" t="n">
        <v>0.25</v>
      </c>
      <c r="D15" s="3" t="n">
        <v>0.25</v>
      </c>
      <c r="E15" s="3" t="n">
        <v>0.25</v>
      </c>
      <c r="F15" s="3" t="n">
        <v>0.25</v>
      </c>
      <c r="G15" s="3" t="n">
        <v>0.25</v>
      </c>
      <c r="H15" s="3" t="n">
        <v>0.25</v>
      </c>
      <c r="I15" s="3" t="n">
        <v>0.25</v>
      </c>
      <c r="J15" s="3" t="n">
        <v>0.25</v>
      </c>
      <c r="K15" s="3" t="n">
        <v>0.25</v>
      </c>
      <c r="L15" s="3" t="n">
        <v>0.25</v>
      </c>
    </row>
    <row r="16" customFormat="false" ht="15" hidden="false" customHeight="false" outlineLevel="0" collapsed="false">
      <c r="A16" s="0" t="s">
        <v>102</v>
      </c>
      <c r="C16" s="3" t="n">
        <v>0.8</v>
      </c>
      <c r="D16" s="3" t="n">
        <v>0.8</v>
      </c>
      <c r="E16" s="3" t="n">
        <v>0.8</v>
      </c>
      <c r="F16" s="3" t="n">
        <v>0.8</v>
      </c>
      <c r="G16" s="3" t="n">
        <v>0.8</v>
      </c>
      <c r="H16" s="3" t="n">
        <v>0.8</v>
      </c>
      <c r="I16" s="3" t="n">
        <v>0.8</v>
      </c>
      <c r="J16" s="3" t="n">
        <v>0.8</v>
      </c>
      <c r="K16" s="3" t="n">
        <v>0.8</v>
      </c>
      <c r="L16" s="3" t="n">
        <v>0.8</v>
      </c>
    </row>
    <row r="17" customFormat="false" ht="15" hidden="false" customHeight="false" outlineLevel="0" collapsed="false">
      <c r="A17" s="0" t="s">
        <v>103</v>
      </c>
      <c r="C17" s="3" t="n">
        <v>3</v>
      </c>
      <c r="D17" s="3" t="n">
        <v>3.2</v>
      </c>
      <c r="E17" s="3" t="n">
        <v>3.4</v>
      </c>
      <c r="F17" s="3" t="n">
        <v>3.6</v>
      </c>
      <c r="G17" s="3" t="n">
        <v>3.8</v>
      </c>
      <c r="H17" s="3" t="n">
        <v>4</v>
      </c>
      <c r="I17" s="3" t="n">
        <v>4</v>
      </c>
      <c r="J17" s="3" t="n">
        <v>4</v>
      </c>
      <c r="K17" s="3" t="n">
        <v>4</v>
      </c>
      <c r="L17" s="3" t="n">
        <v>4</v>
      </c>
    </row>
    <row r="18" customFormat="false" ht="15" hidden="false" customHeight="false" outlineLevel="0" collapsed="false">
      <c r="A18" s="0" t="s">
        <v>104</v>
      </c>
      <c r="C18" s="3" t="n">
        <v>6.8</v>
      </c>
      <c r="D18" s="3" t="n">
        <v>6.7</v>
      </c>
      <c r="E18" s="3" t="n">
        <v>6.6</v>
      </c>
      <c r="F18" s="3" t="n">
        <v>6.2</v>
      </c>
      <c r="G18" s="3" t="n">
        <v>5.8</v>
      </c>
      <c r="H18" s="3" t="n">
        <v>5.5</v>
      </c>
      <c r="I18" s="3" t="n">
        <v>5.5</v>
      </c>
      <c r="J18" s="3" t="n">
        <v>5.5</v>
      </c>
      <c r="K18" s="3" t="n">
        <v>5.5</v>
      </c>
      <c r="L18" s="3" t="n">
        <v>5.5</v>
      </c>
    </row>
    <row r="19" customFormat="false" ht="15" hidden="false" customHeight="false" outlineLevel="0" collapsed="false">
      <c r="A19" s="0" t="s">
        <v>105</v>
      </c>
      <c r="C19" s="3" t="n">
        <v>28.5</v>
      </c>
      <c r="D19" s="3" t="n">
        <v>28.5</v>
      </c>
      <c r="E19" s="3" t="n">
        <v>28.5</v>
      </c>
      <c r="F19" s="3" t="n">
        <v>28.5</v>
      </c>
      <c r="G19" s="3" t="n">
        <v>28.5</v>
      </c>
      <c r="H19" s="3" t="n">
        <v>28.5</v>
      </c>
      <c r="I19" s="3" t="n">
        <v>28.5</v>
      </c>
      <c r="J19" s="3" t="n">
        <v>28.5</v>
      </c>
      <c r="K19" s="3" t="n">
        <v>28.5</v>
      </c>
      <c r="L19" s="3" t="n">
        <v>28.5</v>
      </c>
    </row>
    <row r="20" customFormat="false" ht="15" hidden="false" customHeight="false" outlineLevel="0" collapsed="false">
      <c r="A20" s="0" t="s">
        <v>106</v>
      </c>
      <c r="B20" s="3" t="n">
        <v>7</v>
      </c>
    </row>
    <row r="21" customFormat="false" ht="15" hidden="false" customHeight="false" outlineLevel="0" collapsed="false">
      <c r="A21" s="0" t="s">
        <v>107</v>
      </c>
      <c r="B21" s="3" t="n">
        <v>1.5</v>
      </c>
    </row>
    <row r="22" customFormat="false" ht="15" hidden="false" customHeight="false" outlineLevel="0" collapsed="false">
      <c r="A22" s="0" t="s">
        <v>108</v>
      </c>
      <c r="B22" s="3" t="n">
        <v>15</v>
      </c>
    </row>
    <row r="23" customFormat="false" ht="15" hidden="false" customHeight="false" outlineLevel="0" collapsed="false">
      <c r="A23" s="0" t="s">
        <v>109</v>
      </c>
      <c r="B23" s="3" t="n">
        <v>-20</v>
      </c>
    </row>
    <row r="24" customFormat="false" ht="15" hidden="false" customHeight="false" outlineLevel="0" collapsed="false">
      <c r="A24" s="0" t="s">
        <v>110</v>
      </c>
      <c r="B24" s="3" t="n">
        <v>0.25</v>
      </c>
    </row>
    <row r="26" customFormat="false" ht="15" hidden="false" customHeight="false" outlineLevel="0" collapsed="false">
      <c r="A26" s="2" t="s">
        <v>111</v>
      </c>
      <c r="C26" s="2" t="s">
        <v>89</v>
      </c>
      <c r="D26" s="2" t="s">
        <v>90</v>
      </c>
      <c r="E26" s="2" t="s">
        <v>91</v>
      </c>
      <c r="F26" s="2" t="s">
        <v>92</v>
      </c>
      <c r="G26" s="2" t="s">
        <v>93</v>
      </c>
      <c r="H26" s="2" t="s">
        <v>94</v>
      </c>
      <c r="I26" s="2" t="s">
        <v>95</v>
      </c>
      <c r="J26" s="2" t="s">
        <v>96</v>
      </c>
      <c r="K26" s="2" t="s">
        <v>97</v>
      </c>
      <c r="L26" s="2" t="s">
        <v>98</v>
      </c>
    </row>
    <row r="27" customFormat="false" ht="15" hidden="false" customHeight="false" outlineLevel="0" collapsed="false">
      <c r="A27" s="0" t="s">
        <v>99</v>
      </c>
      <c r="C27" s="3" t="n">
        <v>-4.5</v>
      </c>
      <c r="D27" s="3" t="n">
        <v>2</v>
      </c>
      <c r="E27" s="3" t="n">
        <v>2.5</v>
      </c>
      <c r="F27" s="3" t="n">
        <v>3</v>
      </c>
      <c r="G27" s="3" t="n">
        <v>3</v>
      </c>
      <c r="H27" s="3" t="n">
        <v>3</v>
      </c>
      <c r="I27" s="3" t="n">
        <v>2.75</v>
      </c>
      <c r="J27" s="3" t="n">
        <v>2.5</v>
      </c>
      <c r="K27" s="3" t="n">
        <v>2.5</v>
      </c>
      <c r="L27" s="3" t="n">
        <v>2.5</v>
      </c>
    </row>
    <row r="28" customFormat="false" ht="15" hidden="false" customHeight="false" outlineLevel="0" collapsed="false">
      <c r="A28" s="0" t="s">
        <v>100</v>
      </c>
      <c r="C28" s="3" t="n">
        <v>32.5</v>
      </c>
      <c r="D28" s="3" t="n">
        <v>32.8</v>
      </c>
      <c r="E28" s="3" t="n">
        <v>33.2</v>
      </c>
      <c r="F28" s="3" t="n">
        <v>33.5</v>
      </c>
      <c r="G28" s="3" t="n">
        <v>33.8</v>
      </c>
      <c r="H28" s="3" t="n">
        <v>34</v>
      </c>
      <c r="I28" s="3" t="n">
        <v>34</v>
      </c>
      <c r="J28" s="3" t="n">
        <v>34</v>
      </c>
      <c r="K28" s="3" t="n">
        <v>34</v>
      </c>
      <c r="L28" s="3" t="n">
        <v>34</v>
      </c>
    </row>
    <row r="29" customFormat="false" ht="15" hidden="false" customHeight="false" outlineLevel="0" collapsed="false">
      <c r="A29" s="0" t="s">
        <v>101</v>
      </c>
      <c r="C29" s="3" t="n">
        <v>0.25</v>
      </c>
      <c r="D29" s="3" t="n">
        <v>0.25</v>
      </c>
      <c r="E29" s="3" t="n">
        <v>0.25</v>
      </c>
      <c r="F29" s="3" t="n">
        <v>0.25</v>
      </c>
      <c r="G29" s="3" t="n">
        <v>0.25</v>
      </c>
      <c r="H29" s="3" t="n">
        <v>0.25</v>
      </c>
      <c r="I29" s="3" t="n">
        <v>0.25</v>
      </c>
      <c r="J29" s="3" t="n">
        <v>0.25</v>
      </c>
      <c r="K29" s="3" t="n">
        <v>0.25</v>
      </c>
      <c r="L29" s="3" t="n">
        <v>0.25</v>
      </c>
    </row>
    <row r="30" customFormat="false" ht="15" hidden="false" customHeight="false" outlineLevel="0" collapsed="false">
      <c r="A30" s="0" t="s">
        <v>102</v>
      </c>
      <c r="C30" s="3" t="n">
        <v>0.8</v>
      </c>
      <c r="D30" s="3" t="n">
        <v>0.8</v>
      </c>
      <c r="E30" s="3" t="n">
        <v>0.8</v>
      </c>
      <c r="F30" s="3" t="n">
        <v>0.8</v>
      </c>
      <c r="G30" s="3" t="n">
        <v>0.8</v>
      </c>
      <c r="H30" s="3" t="n">
        <v>0.8</v>
      </c>
      <c r="I30" s="3" t="n">
        <v>0.8</v>
      </c>
      <c r="J30" s="3" t="n">
        <v>0.8</v>
      </c>
      <c r="K30" s="3" t="n">
        <v>0.8</v>
      </c>
      <c r="L30" s="3" t="n">
        <v>0.8</v>
      </c>
    </row>
    <row r="31" customFormat="false" ht="15" hidden="false" customHeight="false" outlineLevel="0" collapsed="false">
      <c r="A31" s="0" t="s">
        <v>103</v>
      </c>
      <c r="C31" s="3" t="n">
        <v>3</v>
      </c>
      <c r="D31" s="3" t="n">
        <v>3.2</v>
      </c>
      <c r="E31" s="3" t="n">
        <v>3.4</v>
      </c>
      <c r="F31" s="3" t="n">
        <v>3.6</v>
      </c>
      <c r="G31" s="3" t="n">
        <v>3.8</v>
      </c>
      <c r="H31" s="3" t="n">
        <v>4</v>
      </c>
      <c r="I31" s="3" t="n">
        <v>4</v>
      </c>
      <c r="J31" s="3" t="n">
        <v>4</v>
      </c>
      <c r="K31" s="3" t="n">
        <v>4</v>
      </c>
      <c r="L31" s="3" t="n">
        <v>4</v>
      </c>
    </row>
    <row r="32" customFormat="false" ht="15" hidden="false" customHeight="false" outlineLevel="0" collapsed="false">
      <c r="A32" s="0" t="s">
        <v>104</v>
      </c>
      <c r="C32" s="3" t="n">
        <v>6.5</v>
      </c>
      <c r="D32" s="3" t="n">
        <v>6.5</v>
      </c>
      <c r="E32" s="3" t="n">
        <v>6.4</v>
      </c>
      <c r="F32" s="3" t="n">
        <v>6</v>
      </c>
      <c r="G32" s="3" t="n">
        <v>5.6</v>
      </c>
      <c r="H32" s="3" t="n">
        <v>5.2</v>
      </c>
      <c r="I32" s="3" t="n">
        <v>5</v>
      </c>
      <c r="J32" s="3" t="n">
        <v>5</v>
      </c>
      <c r="K32" s="3" t="n">
        <v>5</v>
      </c>
      <c r="L32" s="3" t="n">
        <v>5</v>
      </c>
    </row>
    <row r="33" customFormat="false" ht="15" hidden="false" customHeight="false" outlineLevel="0" collapsed="false">
      <c r="A33" s="0" t="s">
        <v>105</v>
      </c>
      <c r="C33" s="3" t="n">
        <v>27</v>
      </c>
      <c r="D33" s="3" t="n">
        <v>28</v>
      </c>
      <c r="E33" s="3" t="n">
        <v>28</v>
      </c>
      <c r="F33" s="3" t="n">
        <v>28</v>
      </c>
      <c r="G33" s="3" t="n">
        <v>28</v>
      </c>
      <c r="H33" s="3" t="n">
        <v>28</v>
      </c>
      <c r="I33" s="3" t="n">
        <v>28</v>
      </c>
      <c r="J33" s="3" t="n">
        <v>28</v>
      </c>
      <c r="K33" s="3" t="n">
        <v>28</v>
      </c>
      <c r="L33" s="3" t="n">
        <v>28</v>
      </c>
    </row>
    <row r="34" customFormat="false" ht="15" hidden="false" customHeight="false" outlineLevel="0" collapsed="false">
      <c r="A34" s="0" t="s">
        <v>106</v>
      </c>
      <c r="B34" s="3" t="n">
        <v>7</v>
      </c>
    </row>
    <row r="35" customFormat="false" ht="15" hidden="false" customHeight="false" outlineLevel="0" collapsed="false">
      <c r="A35" s="0" t="s">
        <v>107</v>
      </c>
      <c r="B35" s="3" t="n">
        <v>2.5</v>
      </c>
    </row>
    <row r="36" customFormat="false" ht="15" hidden="false" customHeight="false" outlineLevel="0" collapsed="false">
      <c r="A36" s="0" t="s">
        <v>108</v>
      </c>
      <c r="B36" s="3" t="n">
        <v>18</v>
      </c>
    </row>
    <row r="37" customFormat="false" ht="15" hidden="false" customHeight="false" outlineLevel="0" collapsed="false">
      <c r="A37" s="0" t="s">
        <v>109</v>
      </c>
      <c r="B37" s="3" t="n">
        <v>-20</v>
      </c>
    </row>
    <row r="38" customFormat="false" ht="15" hidden="false" customHeight="false" outlineLevel="0" collapsed="false">
      <c r="A38" s="0" t="s">
        <v>110</v>
      </c>
      <c r="B38" s="3" t="n">
        <v>0.5</v>
      </c>
    </row>
    <row r="40" customFormat="false" ht="15" hidden="false" customHeight="false" outlineLevel="0" collapsed="false">
      <c r="A40" s="2" t="s">
        <v>112</v>
      </c>
      <c r="C40" s="2" t="s">
        <v>89</v>
      </c>
      <c r="D40" s="2" t="s">
        <v>90</v>
      </c>
      <c r="E40" s="2" t="s">
        <v>91</v>
      </c>
      <c r="F40" s="2" t="s">
        <v>92</v>
      </c>
      <c r="G40" s="2" t="s">
        <v>93</v>
      </c>
      <c r="H40" s="2" t="s">
        <v>94</v>
      </c>
      <c r="I40" s="2" t="s">
        <v>95</v>
      </c>
      <c r="J40" s="2" t="s">
        <v>96</v>
      </c>
      <c r="K40" s="2" t="s">
        <v>97</v>
      </c>
      <c r="L40" s="2" t="s">
        <v>98</v>
      </c>
    </row>
    <row r="41" customFormat="false" ht="15" hidden="false" customHeight="false" outlineLevel="0" collapsed="false">
      <c r="A41" s="0" t="s">
        <v>99</v>
      </c>
      <c r="C41" s="3" t="n">
        <v>-3</v>
      </c>
      <c r="D41" s="3" t="n">
        <v>3.5</v>
      </c>
      <c r="E41" s="3" t="n">
        <v>4.5</v>
      </c>
      <c r="F41" s="3" t="n">
        <v>4.5</v>
      </c>
      <c r="G41" s="3" t="n">
        <v>4</v>
      </c>
      <c r="H41" s="3" t="n">
        <v>4</v>
      </c>
      <c r="I41" s="3" t="n">
        <v>3.5</v>
      </c>
      <c r="J41" s="3" t="n">
        <v>3</v>
      </c>
      <c r="K41" s="3" t="n">
        <v>3</v>
      </c>
      <c r="L41" s="3" t="n">
        <v>3</v>
      </c>
    </row>
    <row r="42" customFormat="false" ht="15" hidden="false" customHeight="false" outlineLevel="0" collapsed="false">
      <c r="A42" s="0" t="s">
        <v>100</v>
      </c>
      <c r="C42" s="3" t="n">
        <v>32.8</v>
      </c>
      <c r="D42" s="3" t="n">
        <v>33.4</v>
      </c>
      <c r="E42" s="3" t="n">
        <v>34</v>
      </c>
      <c r="F42" s="3" t="n">
        <v>34.5</v>
      </c>
      <c r="G42" s="3" t="n">
        <v>35</v>
      </c>
      <c r="H42" s="3" t="n">
        <v>35.3</v>
      </c>
      <c r="I42" s="3" t="n">
        <v>35.5</v>
      </c>
      <c r="J42" s="3" t="n">
        <v>35.5</v>
      </c>
      <c r="K42" s="3" t="n">
        <v>35.5</v>
      </c>
      <c r="L42" s="3" t="n">
        <v>35.5</v>
      </c>
    </row>
    <row r="43" customFormat="false" ht="15" hidden="false" customHeight="false" outlineLevel="0" collapsed="false">
      <c r="A43" s="0" t="s">
        <v>101</v>
      </c>
      <c r="C43" s="3" t="n">
        <v>0.25</v>
      </c>
      <c r="D43" s="3" t="n">
        <v>0.25</v>
      </c>
      <c r="E43" s="3" t="n">
        <v>0.25</v>
      </c>
      <c r="F43" s="3" t="n">
        <v>0.25</v>
      </c>
      <c r="G43" s="3" t="n">
        <v>0.25</v>
      </c>
      <c r="H43" s="3" t="n">
        <v>0.25</v>
      </c>
      <c r="I43" s="3" t="n">
        <v>0.25</v>
      </c>
      <c r="J43" s="3" t="n">
        <v>0.25</v>
      </c>
      <c r="K43" s="3" t="n">
        <v>0.25</v>
      </c>
      <c r="L43" s="3" t="n">
        <v>0.25</v>
      </c>
    </row>
    <row r="44" customFormat="false" ht="15" hidden="false" customHeight="false" outlineLevel="0" collapsed="false">
      <c r="A44" s="0" t="s">
        <v>102</v>
      </c>
      <c r="C44" s="3" t="n">
        <v>0.8</v>
      </c>
      <c r="D44" s="3" t="n">
        <v>0.8</v>
      </c>
      <c r="E44" s="3" t="n">
        <v>0.8</v>
      </c>
      <c r="F44" s="3" t="n">
        <v>0.8</v>
      </c>
      <c r="G44" s="3" t="n">
        <v>0.8</v>
      </c>
      <c r="H44" s="3" t="n">
        <v>0.8</v>
      </c>
      <c r="I44" s="3" t="n">
        <v>0.8</v>
      </c>
      <c r="J44" s="3" t="n">
        <v>0.8</v>
      </c>
      <c r="K44" s="3" t="n">
        <v>0.8</v>
      </c>
      <c r="L44" s="3" t="n">
        <v>0.8</v>
      </c>
    </row>
    <row r="45" customFormat="false" ht="15" hidden="false" customHeight="false" outlineLevel="0" collapsed="false">
      <c r="A45" s="0" t="s">
        <v>103</v>
      </c>
      <c r="C45" s="3" t="n">
        <v>3</v>
      </c>
      <c r="D45" s="3" t="n">
        <v>3.2</v>
      </c>
      <c r="E45" s="3" t="n">
        <v>3.4</v>
      </c>
      <c r="F45" s="3" t="n">
        <v>3.6</v>
      </c>
      <c r="G45" s="3" t="n">
        <v>3.8</v>
      </c>
      <c r="H45" s="3" t="n">
        <v>4</v>
      </c>
      <c r="I45" s="3" t="n">
        <v>4</v>
      </c>
      <c r="J45" s="3" t="n">
        <v>4</v>
      </c>
      <c r="K45" s="3" t="n">
        <v>4</v>
      </c>
      <c r="L45" s="3" t="n">
        <v>4</v>
      </c>
    </row>
    <row r="46" customFormat="false" ht="15" hidden="false" customHeight="false" outlineLevel="0" collapsed="false">
      <c r="A46" s="0" t="s">
        <v>104</v>
      </c>
      <c r="C46" s="3" t="n">
        <v>6.3</v>
      </c>
      <c r="D46" s="3" t="n">
        <v>6.2</v>
      </c>
      <c r="E46" s="3" t="n">
        <v>6</v>
      </c>
      <c r="F46" s="3" t="n">
        <v>5.5</v>
      </c>
      <c r="G46" s="3" t="n">
        <v>5</v>
      </c>
      <c r="H46" s="3" t="n">
        <v>4.6</v>
      </c>
      <c r="I46" s="3" t="n">
        <v>4.5</v>
      </c>
      <c r="J46" s="3" t="n">
        <v>4.5</v>
      </c>
      <c r="K46" s="3" t="n">
        <v>4.5</v>
      </c>
      <c r="L46" s="3" t="n">
        <v>4.5</v>
      </c>
    </row>
    <row r="47" customFormat="false" ht="15" hidden="false" customHeight="false" outlineLevel="0" collapsed="false">
      <c r="A47" s="0" t="s">
        <v>105</v>
      </c>
      <c r="C47" s="3" t="n">
        <v>27</v>
      </c>
      <c r="D47" s="3" t="n">
        <v>28</v>
      </c>
      <c r="E47" s="3" t="n">
        <v>28</v>
      </c>
      <c r="F47" s="3" t="n">
        <v>28</v>
      </c>
      <c r="G47" s="3" t="n">
        <v>28</v>
      </c>
      <c r="H47" s="3" t="n">
        <v>28</v>
      </c>
      <c r="I47" s="3" t="n">
        <v>28</v>
      </c>
      <c r="J47" s="3" t="n">
        <v>28</v>
      </c>
      <c r="K47" s="3" t="n">
        <v>28</v>
      </c>
      <c r="L47" s="3" t="n">
        <v>28</v>
      </c>
    </row>
    <row r="48" customFormat="false" ht="15" hidden="false" customHeight="false" outlineLevel="0" collapsed="false">
      <c r="A48" s="0" t="s">
        <v>106</v>
      </c>
      <c r="B48" s="3" t="n">
        <v>7</v>
      </c>
    </row>
    <row r="49" customFormat="false" ht="15" hidden="false" customHeight="false" outlineLevel="0" collapsed="false">
      <c r="A49" s="0" t="s">
        <v>107</v>
      </c>
      <c r="B49" s="3" t="n">
        <v>3</v>
      </c>
    </row>
    <row r="50" customFormat="false" ht="15" hidden="false" customHeight="false" outlineLevel="0" collapsed="false">
      <c r="A50" s="0" t="s">
        <v>108</v>
      </c>
      <c r="B50" s="3" t="n">
        <v>20</v>
      </c>
    </row>
    <row r="51" customFormat="false" ht="15" hidden="false" customHeight="false" outlineLevel="0" collapsed="false">
      <c r="A51" s="0" t="s">
        <v>109</v>
      </c>
      <c r="B51" s="3" t="n">
        <v>-20</v>
      </c>
    </row>
    <row r="52" customFormat="false" ht="15" hidden="false" customHeight="false" outlineLevel="0" collapsed="false">
      <c r="A52" s="0" t="s">
        <v>110</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113</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Assumptions!C13</f>
        <v>-6</v>
      </c>
      <c r="D5" s="4" t="n">
        <f aca="false">Assumptions!D13</f>
        <v>-1</v>
      </c>
      <c r="E5" s="4" t="n">
        <f aca="false">Assumptions!E13</f>
        <v>0.5</v>
      </c>
      <c r="F5" s="4" t="n">
        <f aca="false">Assumptions!F13</f>
        <v>1</v>
      </c>
      <c r="G5" s="4" t="n">
        <f aca="false">Assumptions!G13</f>
        <v>1.5</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38</v>
      </c>
      <c r="B6" s="3" t="n">
        <v>19643</v>
      </c>
      <c r="C6" s="0" t="n">
        <f aca="false">B6*(1+C5/100)</f>
        <v>18464.42</v>
      </c>
      <c r="D6" s="0" t="n">
        <f aca="false">C6*(1+D5/100)</f>
        <v>18279.7758</v>
      </c>
      <c r="E6" s="0" t="n">
        <f aca="false">D6*(1+E5/100)</f>
        <v>18371.174679</v>
      </c>
      <c r="F6" s="0" t="n">
        <f aca="false">E6*(1+F5/100)</f>
        <v>18554.88642579</v>
      </c>
      <c r="G6" s="0" t="n">
        <f aca="false">F6*(1+G5/100)</f>
        <v>18833.2097221768</v>
      </c>
      <c r="H6" s="0" t="n">
        <f aca="false">G6*(1+H5/100)</f>
        <v>19115.7078680095</v>
      </c>
      <c r="I6" s="0" t="n">
        <f aca="false">H6*(1+I5/100)</f>
        <v>19402.4434860296</v>
      </c>
      <c r="J6" s="0" t="n">
        <f aca="false">I6*(1+J5/100)</f>
        <v>19693.4801383201</v>
      </c>
      <c r="K6" s="0" t="n">
        <f aca="false">J6*(1+K5/100)</f>
        <v>19988.8823403949</v>
      </c>
      <c r="L6" s="0" t="n">
        <f aca="false">K6*(1+L5/100)</f>
        <v>20288.7155755008</v>
      </c>
    </row>
    <row r="7" customFormat="false" ht="15" hidden="false" customHeight="false" outlineLevel="0" collapsed="false">
      <c r="A7" s="0" t="s">
        <v>100</v>
      </c>
      <c r="C7" s="4" t="n">
        <f aca="false">Assumptions!C14</f>
        <v>31.5</v>
      </c>
      <c r="D7" s="4" t="n">
        <f aca="false">Assumptions!D14</f>
        <v>31</v>
      </c>
      <c r="E7" s="4" t="n">
        <f aca="false">Assumptions!E14</f>
        <v>30.5</v>
      </c>
      <c r="F7" s="4" t="n">
        <f aca="false">Assumptions!F14</f>
        <v>30.2</v>
      </c>
      <c r="G7" s="4" t="n">
        <f aca="false">Assumptions!G14</f>
        <v>30</v>
      </c>
      <c r="H7" s="4" t="n">
        <f aca="false">Assumptions!H14</f>
        <v>30</v>
      </c>
      <c r="I7" s="4" t="n">
        <f aca="false">Assumptions!I14</f>
        <v>30</v>
      </c>
      <c r="J7" s="4" t="n">
        <f aca="false">Assumptions!J14</f>
        <v>30</v>
      </c>
      <c r="K7" s="4" t="n">
        <f aca="false">Assumptions!K14</f>
        <v>30</v>
      </c>
      <c r="L7" s="4" t="n">
        <f aca="false">Assumptions!L14</f>
        <v>30</v>
      </c>
    </row>
    <row r="8" customFormat="false" ht="15" hidden="false" customHeight="false" outlineLevel="0" collapsed="false">
      <c r="A8" s="0" t="s">
        <v>44</v>
      </c>
      <c r="C8" s="0" t="n">
        <f aca="false">C6*C7/100</f>
        <v>5816.2923</v>
      </c>
      <c r="D8" s="0" t="n">
        <f aca="false">D6*D7/100</f>
        <v>5666.730498</v>
      </c>
      <c r="E8" s="0" t="n">
        <f aca="false">E6*E7/100</f>
        <v>5603.208277095</v>
      </c>
      <c r="F8" s="0" t="n">
        <f aca="false">F6*F7/100</f>
        <v>5603.57570058858</v>
      </c>
      <c r="G8" s="0" t="n">
        <f aca="false">G6*G7/100</f>
        <v>5649.96291665305</v>
      </c>
      <c r="H8" s="0" t="n">
        <f aca="false">H6*H7/100</f>
        <v>5734.71236040285</v>
      </c>
      <c r="I8" s="0" t="n">
        <f aca="false">I6*I7/100</f>
        <v>5820.73304580889</v>
      </c>
      <c r="J8" s="0" t="n">
        <f aca="false">J6*J7/100</f>
        <v>5908.04404149602</v>
      </c>
      <c r="K8" s="0" t="n">
        <f aca="false">K6*K7/100</f>
        <v>5996.66470211846</v>
      </c>
      <c r="L8" s="0" t="n">
        <f aca="false">L6*L7/100</f>
        <v>6086.61467265024</v>
      </c>
    </row>
    <row r="9" customFormat="false" ht="15" hidden="false" customHeight="false" outlineLevel="0" collapsed="false">
      <c r="A9" s="0" t="s">
        <v>101</v>
      </c>
      <c r="C9" s="4" t="n">
        <f aca="false">Assumptions!C15</f>
        <v>0.25</v>
      </c>
      <c r="D9" s="4" t="n">
        <f aca="false">Assumptions!D15</f>
        <v>0.25</v>
      </c>
      <c r="E9" s="4" t="n">
        <f aca="false">Assumptions!E15</f>
        <v>0.25</v>
      </c>
      <c r="F9" s="4" t="n">
        <f aca="false">Assumptions!F15</f>
        <v>0.25</v>
      </c>
      <c r="G9" s="4" t="n">
        <f aca="false">Assumptions!G15</f>
        <v>0.25</v>
      </c>
      <c r="H9" s="4" t="n">
        <f aca="false">Assumptions!H15</f>
        <v>0.25</v>
      </c>
      <c r="I9" s="4" t="n">
        <f aca="false">Assumptions!I15</f>
        <v>0.25</v>
      </c>
      <c r="J9" s="4" t="n">
        <f aca="false">Assumptions!J15</f>
        <v>0.25</v>
      </c>
      <c r="K9" s="4" t="n">
        <f aca="false">Assumptions!K15</f>
        <v>0.25</v>
      </c>
      <c r="L9" s="4" t="n">
        <f aca="false">Assumptions!L15</f>
        <v>0.25</v>
      </c>
    </row>
    <row r="10" customFormat="false" ht="15" hidden="false" customHeight="false" outlineLevel="0" collapsed="false">
      <c r="A10" s="0" t="s">
        <v>116</v>
      </c>
      <c r="C10" s="0" t="n">
        <f aca="false">-C6*C9/100</f>
        <v>-46.16105</v>
      </c>
      <c r="D10" s="0" t="n">
        <f aca="false">-D6*D9/100</f>
        <v>-45.6994395</v>
      </c>
      <c r="E10" s="0" t="n">
        <f aca="false">-E6*E9/100</f>
        <v>-45.9279366975</v>
      </c>
      <c r="F10" s="0" t="n">
        <f aca="false">-F6*F9/100</f>
        <v>-46.387216064475</v>
      </c>
      <c r="G10" s="0" t="n">
        <f aca="false">-G6*G9/100</f>
        <v>-47.0830243054421</v>
      </c>
      <c r="H10" s="0" t="n">
        <f aca="false">-H6*H9/100</f>
        <v>-47.7892696700237</v>
      </c>
      <c r="I10" s="0" t="n">
        <f aca="false">-I6*I9/100</f>
        <v>-48.5061087150741</v>
      </c>
      <c r="J10" s="0" t="n">
        <f aca="false">-J6*J9/100</f>
        <v>-49.2337003458002</v>
      </c>
      <c r="K10" s="0" t="n">
        <f aca="false">-K6*K9/100</f>
        <v>-49.9722058509872</v>
      </c>
      <c r="L10" s="0" t="n">
        <f aca="false">-L6*L9/100</f>
        <v>-50.721788938752</v>
      </c>
    </row>
    <row r="11" customFormat="false" ht="15" hidden="false" customHeight="false" outlineLevel="0" collapsed="false">
      <c r="A11" s="0" t="s">
        <v>117</v>
      </c>
      <c r="C11" s="0" t="n">
        <f aca="false">C8+C10+C24</f>
        <v>5622.41589</v>
      </c>
      <c r="D11" s="0" t="n">
        <f aca="false">D8+D10+D24</f>
        <v>5474.7928521</v>
      </c>
      <c r="E11" s="0" t="n">
        <f aca="false">E8+E10+E24</f>
        <v>5410.3109429655</v>
      </c>
      <c r="F11" s="0" t="n">
        <f aca="false">F8+F10+F24</f>
        <v>5408.74939311778</v>
      </c>
      <c r="G11" s="0" t="n">
        <f aca="false">G8+G10+G24</f>
        <v>5452.2142145702</v>
      </c>
      <c r="H11" s="0" t="n">
        <f aca="false">H8+H10+H24</f>
        <v>5533.99742778875</v>
      </c>
      <c r="I11" s="0" t="n">
        <f aca="false">I8+I10+I24</f>
        <v>5617.00738920558</v>
      </c>
      <c r="J11" s="0" t="n">
        <f aca="false">J8+J10+J24</f>
        <v>5701.26250004366</v>
      </c>
      <c r="K11" s="0" t="n">
        <f aca="false">K8+K10+K24</f>
        <v>5786.78143754432</v>
      </c>
      <c r="L11" s="0" t="n">
        <f aca="false">L8+L10+L24</f>
        <v>5873.58315910748</v>
      </c>
    </row>
    <row r="12" customFormat="false" ht="15" hidden="false" customHeight="false" outlineLevel="0" collapsed="false">
      <c r="A12" s="0" t="s">
        <v>118</v>
      </c>
      <c r="C12" s="4" t="n">
        <f aca="false">-C6*Assumptions!C17/100</f>
        <v>-553.9326</v>
      </c>
      <c r="D12" s="4" t="n">
        <f aca="false">-D6*Assumptions!D17/100</f>
        <v>-584.9528256</v>
      </c>
      <c r="E12" s="4" t="n">
        <f aca="false">-E6*Assumptions!E17/100</f>
        <v>-624.619939086</v>
      </c>
      <c r="F12" s="4" t="n">
        <f aca="false">-F6*Assumptions!F17/100</f>
        <v>-667.97591132844</v>
      </c>
      <c r="G12" s="4" t="n">
        <f aca="false">-G6*Assumptions!G17/100</f>
        <v>-715.66196944272</v>
      </c>
      <c r="H12" s="4" t="n">
        <f aca="false">-H6*Assumptions!H17/100</f>
        <v>-764.62831472038</v>
      </c>
      <c r="I12" s="4" t="n">
        <f aca="false">-I6*Assumptions!I17/100</f>
        <v>-776.097739441185</v>
      </c>
      <c r="J12" s="4" t="n">
        <f aca="false">-J6*Assumptions!J17/100</f>
        <v>-787.739205532803</v>
      </c>
      <c r="K12" s="4" t="n">
        <f aca="false">-K6*Assumptions!K17/100</f>
        <v>-799.555293615795</v>
      </c>
      <c r="L12" s="4" t="n">
        <f aca="false">-L6*Assumptions!L17/100</f>
        <v>-811.548623020032</v>
      </c>
    </row>
    <row r="13" customFormat="false" ht="15" hidden="false" customHeight="false" outlineLevel="0" collapsed="false">
      <c r="A13" s="0" t="s">
        <v>119</v>
      </c>
      <c r="C13" s="0" t="n">
        <f aca="false">C11+C12</f>
        <v>5068.48329</v>
      </c>
      <c r="D13" s="0" t="n">
        <f aca="false">D11+D12</f>
        <v>4889.8400265</v>
      </c>
      <c r="E13" s="0" t="n">
        <f aca="false">E11+E12</f>
        <v>4785.6910038795</v>
      </c>
      <c r="F13" s="0" t="n">
        <f aca="false">F11+F12</f>
        <v>4740.77348178934</v>
      </c>
      <c r="G13" s="0" t="n">
        <f aca="false">G11+G12</f>
        <v>4736.55224512748</v>
      </c>
      <c r="H13" s="0" t="n">
        <f aca="false">H11+H12</f>
        <v>4769.36911306837</v>
      </c>
      <c r="I13" s="0" t="n">
        <f aca="false">I11+I12</f>
        <v>4840.90964976439</v>
      </c>
      <c r="J13" s="0" t="n">
        <f aca="false">J11+J12</f>
        <v>4913.52329451086</v>
      </c>
      <c r="K13" s="0" t="n">
        <f aca="false">K11+K12</f>
        <v>4987.22614392852</v>
      </c>
      <c r="L13" s="0" t="n">
        <f aca="false">L11+L12</f>
        <v>5062.03453608745</v>
      </c>
    </row>
    <row r="14" customFormat="false" ht="15" hidden="false" customHeight="false" outlineLevel="0" collapsed="false">
      <c r="A14" s="0" t="s">
        <v>105</v>
      </c>
      <c r="C14" s="4" t="n">
        <f aca="false">Assumptions!C19</f>
        <v>28.5</v>
      </c>
      <c r="D14" s="4" t="n">
        <f aca="false">Assumptions!D19</f>
        <v>28.5</v>
      </c>
      <c r="E14" s="4" t="n">
        <f aca="false">Assumptions!E19</f>
        <v>28.5</v>
      </c>
      <c r="F14" s="4" t="n">
        <f aca="false">Assumptions!F19</f>
        <v>28.5</v>
      </c>
      <c r="G14" s="4" t="n">
        <f aca="false">Assumptions!G19</f>
        <v>28.5</v>
      </c>
      <c r="H14" s="4" t="n">
        <f aca="false">Assumptions!H19</f>
        <v>28.5</v>
      </c>
      <c r="I14" s="4" t="n">
        <f aca="false">Assumptions!I19</f>
        <v>28.5</v>
      </c>
      <c r="J14" s="4" t="n">
        <f aca="false">Assumptions!J19</f>
        <v>28.5</v>
      </c>
      <c r="K14" s="4" t="n">
        <f aca="false">Assumptions!K19</f>
        <v>28.5</v>
      </c>
      <c r="L14" s="4" t="n">
        <f aca="false">Assumptions!L19</f>
        <v>28.5</v>
      </c>
    </row>
    <row r="15" customFormat="false" ht="15" hidden="false" customHeight="false" outlineLevel="0" collapsed="false">
      <c r="A15" s="0" t="s">
        <v>120</v>
      </c>
      <c r="C15" s="0" t="n">
        <f aca="false">C13-MAX(0,C13)*C14/100</f>
        <v>3623.96555235</v>
      </c>
      <c r="D15" s="0" t="n">
        <f aca="false">D13-MAX(0,D13)*D14/100</f>
        <v>3496.2356189475</v>
      </c>
      <c r="E15" s="0" t="n">
        <f aca="false">E13-MAX(0,E13)*E14/100</f>
        <v>3421.76906777384</v>
      </c>
      <c r="F15" s="0" t="n">
        <f aca="false">F13-MAX(0,F13)*F14/100</f>
        <v>3389.65303947938</v>
      </c>
      <c r="G15" s="0" t="n">
        <f aca="false">G13-MAX(0,G13)*G14/100</f>
        <v>3386.63485526614</v>
      </c>
      <c r="H15" s="0" t="n">
        <f aca="false">H13-MAX(0,H13)*H14/100</f>
        <v>3410.09891584388</v>
      </c>
      <c r="I15" s="0" t="n">
        <f aca="false">I13-MAX(0,I13)*I14/100</f>
        <v>3461.25039958154</v>
      </c>
      <c r="J15" s="0" t="n">
        <f aca="false">J13-MAX(0,J13)*J14/100</f>
        <v>3513.16915557527</v>
      </c>
      <c r="K15" s="0" t="n">
        <f aca="false">K13-MAX(0,K13)*K14/100</f>
        <v>3565.86669290889</v>
      </c>
      <c r="L15" s="0" t="n">
        <f aca="false">L13-MAX(0,L13)*L14/100</f>
        <v>3619.35469330253</v>
      </c>
    </row>
    <row r="16" customFormat="false" ht="15" hidden="false" customHeight="false" outlineLevel="0" collapsed="false">
      <c r="A16" s="0" t="s">
        <v>121</v>
      </c>
      <c r="C16" s="0" t="n">
        <f aca="false">-C12</f>
        <v>553.9326</v>
      </c>
      <c r="D16" s="0" t="n">
        <f aca="false">-D12</f>
        <v>584.9528256</v>
      </c>
      <c r="E16" s="0" t="n">
        <f aca="false">-E12</f>
        <v>624.619939086</v>
      </c>
      <c r="F16" s="0" t="n">
        <f aca="false">-F12</f>
        <v>667.97591132844</v>
      </c>
      <c r="G16" s="0" t="n">
        <f aca="false">-G12</f>
        <v>715.66196944272</v>
      </c>
      <c r="H16" s="0" t="n">
        <f aca="false">-H12</f>
        <v>764.62831472038</v>
      </c>
      <c r="I16" s="0" t="n">
        <f aca="false">-I12</f>
        <v>776.097739441185</v>
      </c>
      <c r="J16" s="0" t="n">
        <f aca="false">-J12</f>
        <v>787.739205532803</v>
      </c>
      <c r="K16" s="0" t="n">
        <f aca="false">-K12</f>
        <v>799.555293615795</v>
      </c>
      <c r="L16" s="0" t="n">
        <f aca="false">-L12</f>
        <v>811.548623020032</v>
      </c>
    </row>
    <row r="17" customFormat="false" ht="15" hidden="false" customHeight="false" outlineLevel="0" collapsed="false">
      <c r="A17" s="0" t="s">
        <v>122</v>
      </c>
      <c r="C17" s="4" t="n">
        <f aca="false">-C6*Assumptions!C18/100</f>
        <v>-1255.58056</v>
      </c>
      <c r="D17" s="4" t="n">
        <f aca="false">-D6*Assumptions!D18/100</f>
        <v>-1224.7449786</v>
      </c>
      <c r="E17" s="4" t="n">
        <f aca="false">-E6*Assumptions!E18/100</f>
        <v>-1212.497528814</v>
      </c>
      <c r="F17" s="4" t="n">
        <f aca="false">-F6*Assumptions!F18/100</f>
        <v>-1150.40295839898</v>
      </c>
      <c r="G17" s="4" t="n">
        <f aca="false">-G6*Assumptions!G18/100</f>
        <v>-1092.32616388626</v>
      </c>
      <c r="H17" s="4" t="n">
        <f aca="false">-H6*Assumptions!H18/100</f>
        <v>-1051.36393274052</v>
      </c>
      <c r="I17" s="4" t="n">
        <f aca="false">-I6*Assumptions!I18/100</f>
        <v>-1067.13439173163</v>
      </c>
      <c r="J17" s="4" t="n">
        <f aca="false">-J6*Assumptions!J18/100</f>
        <v>-1083.1414076076</v>
      </c>
      <c r="K17" s="4" t="n">
        <f aca="false">-K6*Assumptions!K18/100</f>
        <v>-1099.38852872172</v>
      </c>
      <c r="L17" s="4" t="n">
        <f aca="false">-L6*Assumptions!L18/100</f>
        <v>-1115.87935665254</v>
      </c>
    </row>
    <row r="18" customFormat="false" ht="15" hidden="false" customHeight="false" outlineLevel="0" collapsed="false">
      <c r="A18" s="0" t="s">
        <v>123</v>
      </c>
      <c r="C18" s="4" t="n">
        <f aca="false">(C6-B6)*Assumptions!$B$23/100</f>
        <v>235.716</v>
      </c>
      <c r="D18" s="4" t="n">
        <f aca="false">(D6-C6)*Assumptions!$B$23/100</f>
        <v>36.9288399999998</v>
      </c>
      <c r="E18" s="4" t="n">
        <f aca="false">(E6-D6)*Assumptions!$B$23/100</f>
        <v>-18.2797757999993</v>
      </c>
      <c r="F18" s="4" t="n">
        <f aca="false">(F6-E6)*Assumptions!$B$23/100</f>
        <v>-36.7423493579998</v>
      </c>
      <c r="G18" s="4" t="n">
        <f aca="false">(G6-F6)*Assumptions!$B$23/100</f>
        <v>-55.6646592773694</v>
      </c>
      <c r="H18" s="4" t="n">
        <f aca="false">(H6-G6)*Assumptions!$B$23/100</f>
        <v>-56.4996291665302</v>
      </c>
      <c r="I18" s="4" t="n">
        <f aca="false">(I6-H6)*Assumptions!$B$23/100</f>
        <v>-57.3471236040285</v>
      </c>
      <c r="J18" s="4" t="n">
        <f aca="false">(J6-I6)*Assumptions!$B$23/100</f>
        <v>-58.2073304580888</v>
      </c>
      <c r="K18" s="4" t="n">
        <f aca="false">(K6-J6)*Assumptions!$B$23/100</f>
        <v>-59.0804404149596</v>
      </c>
      <c r="L18" s="4" t="n">
        <f aca="false">(L6-K6)*Assumptions!$B$23/100</f>
        <v>-59.9666470211843</v>
      </c>
    </row>
    <row r="19" customFormat="false" ht="15" hidden="false" customHeight="false" outlineLevel="0" collapsed="false">
      <c r="A19" s="0" t="s">
        <v>124</v>
      </c>
      <c r="C19" s="0" t="n">
        <f aca="false">C15+C16+C17+C18</f>
        <v>3158.03359235</v>
      </c>
      <c r="D19" s="0" t="n">
        <f aca="false">D15+D16+D17+D18</f>
        <v>2893.3723059475</v>
      </c>
      <c r="E19" s="0" t="n">
        <f aca="false">E15+E16+E17+E18</f>
        <v>2815.61170224584</v>
      </c>
      <c r="F19" s="0" t="n">
        <f aca="false">F15+F16+F17+F18</f>
        <v>2870.48364305084</v>
      </c>
      <c r="G19" s="0" t="n">
        <f aca="false">G15+G16+G17+G18</f>
        <v>2954.30600154524</v>
      </c>
      <c r="H19" s="0" t="n">
        <f aca="false">H15+H16+H17+H18</f>
        <v>3066.86366865721</v>
      </c>
      <c r="I19" s="0" t="n">
        <f aca="false">I15+I16+I17+I18</f>
        <v>3112.86662368707</v>
      </c>
      <c r="J19" s="0" t="n">
        <f aca="false">J15+J16+J17+J18</f>
        <v>3159.55962304237</v>
      </c>
      <c r="K19" s="0" t="n">
        <f aca="false">K15+K16+K17+K18</f>
        <v>3206.95301738801</v>
      </c>
      <c r="L19" s="0" t="n">
        <f aca="false">L15+L16+L17+L18</f>
        <v>3255.05731264883</v>
      </c>
    </row>
    <row r="20" customFormat="false" ht="15" hidden="false" customHeight="false" outlineLevel="0" collapsed="false">
      <c r="A20" s="0" t="s">
        <v>125</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126</v>
      </c>
      <c r="C21" s="0" t="n">
        <f aca="false">C19*C20</f>
        <v>2951.43326387851</v>
      </c>
      <c r="D21" s="0" t="n">
        <f aca="false">D19*D20</f>
        <v>2527.18342732771</v>
      </c>
      <c r="E21" s="0" t="n">
        <f aca="false">E19*E20</f>
        <v>2298.37785469232</v>
      </c>
      <c r="F21" s="0" t="n">
        <f aca="false">F19*F20</f>
        <v>2189.87822754422</v>
      </c>
      <c r="G21" s="0" t="n">
        <f aca="false">G19*G20</f>
        <v>2106.37934906741</v>
      </c>
      <c r="H21" s="0" t="n">
        <f aca="false">H19*H20</f>
        <v>2043.58075711511</v>
      </c>
      <c r="I21" s="0" t="n">
        <f aca="false">I19*I20</f>
        <v>1938.53688642228</v>
      </c>
      <c r="J21" s="0" t="n">
        <f aca="false">J19*J20</f>
        <v>1838.89246702674</v>
      </c>
      <c r="K21" s="0" t="n">
        <f aca="false">K19*K20</f>
        <v>1744.36995703939</v>
      </c>
      <c r="L21" s="0" t="n">
        <f aca="false">L19*L20</f>
        <v>1654.70608074297</v>
      </c>
    </row>
    <row r="23" customFormat="false" ht="15" hidden="false" customHeight="false" outlineLevel="0" collapsed="false">
      <c r="A23" s="0" t="s">
        <v>102</v>
      </c>
      <c r="C23" s="4" t="n">
        <f aca="false">Assumptions!C16</f>
        <v>0.8</v>
      </c>
      <c r="D23" s="4" t="n">
        <f aca="false">Assumptions!D16</f>
        <v>0.8</v>
      </c>
      <c r="E23" s="4" t="n">
        <f aca="false">Assumptions!E16</f>
        <v>0.8</v>
      </c>
      <c r="F23" s="4" t="n">
        <f aca="false">Assumptions!F16</f>
        <v>0.8</v>
      </c>
      <c r="G23" s="4" t="n">
        <f aca="false">Assumptions!G16</f>
        <v>0.8</v>
      </c>
      <c r="H23" s="4" t="n">
        <f aca="false">Assumptions!H16</f>
        <v>0.8</v>
      </c>
      <c r="I23" s="4" t="n">
        <f aca="false">Assumptions!I16</f>
        <v>0.8</v>
      </c>
      <c r="J23" s="4" t="n">
        <f aca="false">Assumptions!J16</f>
        <v>0.8</v>
      </c>
      <c r="K23" s="4" t="n">
        <f aca="false">Assumptions!K16</f>
        <v>0.8</v>
      </c>
      <c r="L23" s="4" t="n">
        <f aca="false">Assumptions!L16</f>
        <v>0.8</v>
      </c>
    </row>
    <row r="24" customFormat="false" ht="15" hidden="false" customHeight="false" outlineLevel="0" collapsed="false">
      <c r="A24" s="0" t="s">
        <v>127</v>
      </c>
      <c r="C24" s="0" t="n">
        <f aca="false">-C6*C23/100</f>
        <v>-147.71536</v>
      </c>
      <c r="D24" s="0" t="n">
        <f aca="false">-D6*D23/100</f>
        <v>-146.2382064</v>
      </c>
      <c r="E24" s="0" t="n">
        <f aca="false">-E6*E23/100</f>
        <v>-146.969397432</v>
      </c>
      <c r="F24" s="0" t="n">
        <f aca="false">-F6*F23/100</f>
        <v>-148.43909140632</v>
      </c>
      <c r="G24" s="0" t="n">
        <f aca="false">-G6*G23/100</f>
        <v>-150.665677777415</v>
      </c>
      <c r="H24" s="0" t="n">
        <f aca="false">-H6*H23/100</f>
        <v>-152.925662944076</v>
      </c>
      <c r="I24" s="0" t="n">
        <f aca="false">-I6*I23/100</f>
        <v>-155.219547888237</v>
      </c>
      <c r="J24" s="0" t="n">
        <f aca="false">-J6*J23/100</f>
        <v>-157.547841106561</v>
      </c>
      <c r="K24" s="0" t="n">
        <f aca="false">-K6*K23/100</f>
        <v>-159.911058723159</v>
      </c>
      <c r="L24" s="0" t="n">
        <f aca="false">-L6*L23/100</f>
        <v>-162.309724604006</v>
      </c>
    </row>
    <row r="26" customFormat="false" ht="15" hidden="false" customHeight="false" outlineLevel="0" collapsed="false">
      <c r="A26" s="2" t="s">
        <v>128</v>
      </c>
    </row>
    <row r="27" customFormat="false" ht="15" hidden="false" customHeight="false" outlineLevel="0" collapsed="false">
      <c r="A27" s="0" t="s">
        <v>106</v>
      </c>
      <c r="B27" s="4" t="n">
        <f aca="false">Assumptions!$B$20</f>
        <v>7</v>
      </c>
    </row>
    <row r="28" customFormat="false" ht="15" hidden="false" customHeight="false" outlineLevel="0" collapsed="false">
      <c r="A28" s="0" t="s">
        <v>107</v>
      </c>
      <c r="B28" s="4" t="n">
        <f aca="false">Assumptions!$B$21</f>
        <v>1.5</v>
      </c>
    </row>
    <row r="29" customFormat="false" ht="15" hidden="false" customHeight="false" outlineLevel="0" collapsed="false">
      <c r="A29" s="0" t="s">
        <v>108</v>
      </c>
      <c r="B29" s="4" t="n">
        <f aca="false">Assumptions!$B$22</f>
        <v>15</v>
      </c>
    </row>
    <row r="30" customFormat="false" ht="15" hidden="false" customHeight="false" outlineLevel="0" collapsed="false">
      <c r="A30" s="0" t="s">
        <v>129</v>
      </c>
      <c r="B30" s="0" t="n">
        <f aca="false">SUM(C21:L21)</f>
        <v>21293.3382708567</v>
      </c>
    </row>
    <row r="31" customFormat="false" ht="15" hidden="false" customHeight="false" outlineLevel="0" collapsed="false">
      <c r="A31" s="0" t="s">
        <v>130</v>
      </c>
      <c r="B31" s="0" t="n">
        <f aca="false">L19</f>
        <v>3255.05731264883</v>
      </c>
    </row>
    <row r="32" customFormat="false" ht="15" hidden="false" customHeight="false" outlineLevel="0" collapsed="false">
      <c r="A32" s="0" t="s">
        <v>131</v>
      </c>
      <c r="B32" s="0" t="n">
        <f aca="false">IF(B27&gt;B28,B31*(1+B28/100)/((B27-B28)/100),B31*B29)</f>
        <v>60070.6031334284</v>
      </c>
    </row>
    <row r="33" customFormat="false" ht="15" hidden="false" customHeight="false" outlineLevel="0" collapsed="false">
      <c r="A33" s="0" t="s">
        <v>132</v>
      </c>
      <c r="B33" s="0" t="n">
        <f aca="false">B31*B29</f>
        <v>48825.8596897325</v>
      </c>
    </row>
    <row r="34" customFormat="false" ht="15" hidden="false" customHeight="false" outlineLevel="0" collapsed="false">
      <c r="A34" s="0" t="s">
        <v>133</v>
      </c>
      <c r="B34" s="0" t="n">
        <f aca="false">MAX(0,MIN(B32,B33))</f>
        <v>48825.8596897325</v>
      </c>
    </row>
    <row r="35" customFormat="false" ht="15" hidden="false" customHeight="false" outlineLevel="0" collapsed="false">
      <c r="A35" s="0" t="s">
        <v>134</v>
      </c>
      <c r="B35" s="0" t="n">
        <f aca="false">B34/(1+B27/100)^L4</f>
        <v>24820.5912111445</v>
      </c>
    </row>
    <row r="36" customFormat="false" ht="15" hidden="false" customHeight="false" outlineLevel="0" collapsed="false">
      <c r="A36" s="0" t="s">
        <v>135</v>
      </c>
      <c r="B36" s="0" t="n">
        <f aca="false">B30+B35</f>
        <v>46113.9294820012</v>
      </c>
    </row>
    <row r="37" customFormat="false" ht="15" hidden="false" customHeight="false" outlineLevel="0" collapsed="false">
      <c r="A37" s="0" t="s">
        <v>136</v>
      </c>
      <c r="B37" s="0" t="n">
        <f aca="false">B36+Assumptions!$B$5-Assumptions!$B$4</f>
        <v>32960.9294820012</v>
      </c>
    </row>
    <row r="38" customFormat="false" ht="15" hidden="false" customHeight="false" outlineLevel="0" collapsed="false">
      <c r="A38" s="0" t="s">
        <v>137</v>
      </c>
      <c r="B38" s="0" t="n">
        <f aca="false">B37/Assumptions!$B$3*Assumptions!$B$10</f>
        <v>1116.46099508084</v>
      </c>
    </row>
    <row r="39" customFormat="false" ht="15" hidden="false" customHeight="false" outlineLevel="0" collapsed="false">
      <c r="A39" s="0" t="s">
        <v>138</v>
      </c>
      <c r="B39" s="4" t="n">
        <f aca="false">B38/Assumptions!$B$2-1</f>
        <v>-0.31839988090303</v>
      </c>
    </row>
    <row r="41" customFormat="false" ht="15" hidden="false" customHeight="false" outlineLevel="0" collapsed="false">
      <c r="A41" s="0" t="s">
        <v>139</v>
      </c>
      <c r="B41" s="0" t="n">
        <f aca="false">SUMPRODUCT(-C10:L10/(1+$B$27/100)^C4:L4)</f>
        <v>333.177427631846</v>
      </c>
    </row>
    <row r="42" customFormat="false" ht="15" hidden="false" customHeight="false" outlineLevel="0" collapsed="false">
      <c r="A42" s="0" t="s">
        <v>140</v>
      </c>
      <c r="B42" s="0" t="n">
        <f aca="false">IF(B27&gt;B28,-L10*(1+B28/100)/((B27-B28)/100),-L10*20)/(1+B27/100)^L4</f>
        <v>475.839114279335</v>
      </c>
    </row>
    <row r="43" customFormat="false" ht="15" hidden="false" customHeight="false" outlineLevel="0" collapsed="false">
      <c r="A43" s="0" t="s">
        <v>141</v>
      </c>
      <c r="B43" s="0" t="n">
        <f aca="false">(B37+B41+B42)/Assumptions!$B$3*Assumptions!$B$10</f>
        <v>1143.8642093595</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24473.2086839894</v>
      </c>
    </row>
    <row r="47" customFormat="false" ht="15" hidden="false" customHeight="false" outlineLevel="0" collapsed="false">
      <c r="A47" s="0" t="s">
        <v>143</v>
      </c>
      <c r="B47" s="0" t="n">
        <f aca="false">(SUMPRODUCT(C19:L19/(1+B45/100)^C4:L4)+B46/(1+B45/100)^L4+Assumptions!$B$5-Assumptions!$B$4)/Assumptions!$B$3*Assumptions!$B$10</f>
        <v>272.226874681053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Assumptions!C27</f>
        <v>-4.5</v>
      </c>
      <c r="D5" s="4" t="n">
        <f aca="false">Assumptions!D27</f>
        <v>2</v>
      </c>
      <c r="E5" s="4" t="n">
        <f aca="false">Assumptions!E27</f>
        <v>2.5</v>
      </c>
      <c r="F5" s="4" t="n">
        <f aca="false">Assumptions!F27</f>
        <v>3</v>
      </c>
      <c r="G5" s="4" t="n">
        <f aca="false">Assumptions!G27</f>
        <v>3</v>
      </c>
      <c r="H5" s="4" t="n">
        <f aca="false">Assumptions!H27</f>
        <v>3</v>
      </c>
      <c r="I5" s="4" t="n">
        <f aca="false">Assumptions!I27</f>
        <v>2.75</v>
      </c>
      <c r="J5" s="4" t="n">
        <f aca="false">Assumptions!J27</f>
        <v>2.5</v>
      </c>
      <c r="K5" s="4" t="n">
        <f aca="false">Assumptions!K27</f>
        <v>2.5</v>
      </c>
      <c r="L5" s="4" t="n">
        <f aca="false">Assumptions!L27</f>
        <v>2.5</v>
      </c>
    </row>
    <row r="6" customFormat="false" ht="15" hidden="false" customHeight="false" outlineLevel="0" collapsed="false">
      <c r="A6" s="0" t="s">
        <v>38</v>
      </c>
      <c r="B6" s="3" t="n">
        <v>19643</v>
      </c>
      <c r="C6" s="0" t="n">
        <f aca="false">B6*(1+C5/100)</f>
        <v>18759.065</v>
      </c>
      <c r="D6" s="0" t="n">
        <f aca="false">C6*(1+D5/100)</f>
        <v>19134.2463</v>
      </c>
      <c r="E6" s="0" t="n">
        <f aca="false">D6*(1+E5/100)</f>
        <v>19612.6024575</v>
      </c>
      <c r="F6" s="0" t="n">
        <f aca="false">E6*(1+F5/100)</f>
        <v>20200.980531225</v>
      </c>
      <c r="G6" s="0" t="n">
        <f aca="false">F6*(1+G5/100)</f>
        <v>20807.0099471618</v>
      </c>
      <c r="H6" s="0" t="n">
        <f aca="false">G6*(1+H5/100)</f>
        <v>21431.2202455766</v>
      </c>
      <c r="I6" s="0" t="n">
        <f aca="false">H6*(1+I5/100)</f>
        <v>22020.57880233</v>
      </c>
      <c r="J6" s="0" t="n">
        <f aca="false">I6*(1+J5/100)</f>
        <v>22571.0932723882</v>
      </c>
      <c r="K6" s="0" t="n">
        <f aca="false">J6*(1+K5/100)</f>
        <v>23135.3706041979</v>
      </c>
      <c r="L6" s="0" t="n">
        <f aca="false">K6*(1+L5/100)</f>
        <v>23713.7548693029</v>
      </c>
    </row>
    <row r="7" customFormat="false" ht="15" hidden="false" customHeight="false" outlineLevel="0" collapsed="false">
      <c r="A7" s="0" t="s">
        <v>100</v>
      </c>
      <c r="C7" s="4" t="n">
        <f aca="false">Assumptions!C28</f>
        <v>32.5</v>
      </c>
      <c r="D7" s="4" t="n">
        <f aca="false">Assumptions!D28</f>
        <v>32.8</v>
      </c>
      <c r="E7" s="4" t="n">
        <f aca="false">Assumptions!E28</f>
        <v>33.2</v>
      </c>
      <c r="F7" s="4" t="n">
        <f aca="false">Assumptions!F28</f>
        <v>33.5</v>
      </c>
      <c r="G7" s="4" t="n">
        <f aca="false">Assumptions!G28</f>
        <v>33.8</v>
      </c>
      <c r="H7" s="4" t="n">
        <f aca="false">Assumptions!H28</f>
        <v>34</v>
      </c>
      <c r="I7" s="4" t="n">
        <f aca="false">Assumptions!I28</f>
        <v>34</v>
      </c>
      <c r="J7" s="4" t="n">
        <f aca="false">Assumptions!J28</f>
        <v>34</v>
      </c>
      <c r="K7" s="4" t="n">
        <f aca="false">Assumptions!K28</f>
        <v>34</v>
      </c>
      <c r="L7" s="4" t="n">
        <f aca="false">Assumptions!L28</f>
        <v>34</v>
      </c>
    </row>
    <row r="8" customFormat="false" ht="15" hidden="false" customHeight="false" outlineLevel="0" collapsed="false">
      <c r="A8" s="0" t="s">
        <v>44</v>
      </c>
      <c r="C8" s="0" t="n">
        <f aca="false">C6*C7/100</f>
        <v>6096.696125</v>
      </c>
      <c r="D8" s="0" t="n">
        <f aca="false">D6*D7/100</f>
        <v>6276.0327864</v>
      </c>
      <c r="E8" s="0" t="n">
        <f aca="false">E6*E7/100</f>
        <v>6511.38401589</v>
      </c>
      <c r="F8" s="0" t="n">
        <f aca="false">F6*F7/100</f>
        <v>6767.32847796038</v>
      </c>
      <c r="G8" s="0" t="n">
        <f aca="false">G6*G7/100</f>
        <v>7032.76936214067</v>
      </c>
      <c r="H8" s="0" t="n">
        <f aca="false">H6*H7/100</f>
        <v>7286.61488349604</v>
      </c>
      <c r="I8" s="0" t="n">
        <f aca="false">I6*I7/100</f>
        <v>7486.99679279219</v>
      </c>
      <c r="J8" s="0" t="n">
        <f aca="false">J6*J7/100</f>
        <v>7674.17171261199</v>
      </c>
      <c r="K8" s="0" t="n">
        <f aca="false">K6*K7/100</f>
        <v>7866.02600542729</v>
      </c>
      <c r="L8" s="0" t="n">
        <f aca="false">L6*L7/100</f>
        <v>8062.67665556297</v>
      </c>
    </row>
    <row r="9" customFormat="false" ht="15" hidden="false" customHeight="false" outlineLevel="0" collapsed="false">
      <c r="A9" s="0" t="s">
        <v>101</v>
      </c>
      <c r="C9" s="4" t="n">
        <f aca="false">Assumptions!C29</f>
        <v>0.25</v>
      </c>
      <c r="D9" s="4" t="n">
        <f aca="false">Assumptions!D29</f>
        <v>0.25</v>
      </c>
      <c r="E9" s="4" t="n">
        <f aca="false">Assumptions!E29</f>
        <v>0.25</v>
      </c>
      <c r="F9" s="4" t="n">
        <f aca="false">Assumptions!F29</f>
        <v>0.25</v>
      </c>
      <c r="G9" s="4" t="n">
        <f aca="false">Assumptions!G29</f>
        <v>0.25</v>
      </c>
      <c r="H9" s="4" t="n">
        <f aca="false">Assumptions!H29</f>
        <v>0.25</v>
      </c>
      <c r="I9" s="4" t="n">
        <f aca="false">Assumptions!I29</f>
        <v>0.25</v>
      </c>
      <c r="J9" s="4" t="n">
        <f aca="false">Assumptions!J29</f>
        <v>0.25</v>
      </c>
      <c r="K9" s="4" t="n">
        <f aca="false">Assumptions!K29</f>
        <v>0.25</v>
      </c>
      <c r="L9" s="4" t="n">
        <f aca="false">Assumptions!L29</f>
        <v>0.25</v>
      </c>
    </row>
    <row r="10" customFormat="false" ht="15" hidden="false" customHeight="false" outlineLevel="0" collapsed="false">
      <c r="A10" s="0" t="s">
        <v>116</v>
      </c>
      <c r="C10" s="0" t="n">
        <f aca="false">-C6*C9/100</f>
        <v>-46.8976625</v>
      </c>
      <c r="D10" s="0" t="n">
        <f aca="false">-D6*D9/100</f>
        <v>-47.83561575</v>
      </c>
      <c r="E10" s="0" t="n">
        <f aca="false">-E6*E9/100</f>
        <v>-49.03150614375</v>
      </c>
      <c r="F10" s="0" t="n">
        <f aca="false">-F6*F9/100</f>
        <v>-50.5024513280625</v>
      </c>
      <c r="G10" s="0" t="n">
        <f aca="false">-G6*G9/100</f>
        <v>-52.0175248679044</v>
      </c>
      <c r="H10" s="0" t="n">
        <f aca="false">-H6*H9/100</f>
        <v>-53.5780506139415</v>
      </c>
      <c r="I10" s="0" t="n">
        <f aca="false">-I6*I9/100</f>
        <v>-55.0514470058249</v>
      </c>
      <c r="J10" s="0" t="n">
        <f aca="false">-J6*J9/100</f>
        <v>-56.4277331809705</v>
      </c>
      <c r="K10" s="0" t="n">
        <f aca="false">-K6*K9/100</f>
        <v>-57.8384265104948</v>
      </c>
      <c r="L10" s="0" t="n">
        <f aca="false">-L6*L9/100</f>
        <v>-59.2843871732571</v>
      </c>
    </row>
    <row r="11" customFormat="false" ht="15" hidden="false" customHeight="false" outlineLevel="0" collapsed="false">
      <c r="A11" s="0" t="s">
        <v>117</v>
      </c>
      <c r="C11" s="0" t="n">
        <f aca="false">C8+C10+C24</f>
        <v>5899.7259425</v>
      </c>
      <c r="D11" s="0" t="n">
        <f aca="false">D8+D10+D24</f>
        <v>6075.12320025</v>
      </c>
      <c r="E11" s="0" t="n">
        <f aca="false">E8+E10+E24</f>
        <v>6305.45169008625</v>
      </c>
      <c r="F11" s="0" t="n">
        <f aca="false">F8+F10+F24</f>
        <v>6555.21818238251</v>
      </c>
      <c r="G11" s="0" t="n">
        <f aca="false">G8+G10+G24</f>
        <v>6814.29575769547</v>
      </c>
      <c r="H11" s="0" t="n">
        <f aca="false">H8+H10+H24</f>
        <v>7061.58707091749</v>
      </c>
      <c r="I11" s="0" t="n">
        <f aca="false">I8+I10+I24</f>
        <v>7255.78071536772</v>
      </c>
      <c r="J11" s="0" t="n">
        <f aca="false">J8+J10+J24</f>
        <v>7437.17523325191</v>
      </c>
      <c r="K11" s="0" t="n">
        <f aca="false">K8+K10+K24</f>
        <v>7623.10461408321</v>
      </c>
      <c r="L11" s="0" t="n">
        <f aca="false">L8+L10+L24</f>
        <v>7813.68222943529</v>
      </c>
    </row>
    <row r="12" customFormat="false" ht="15" hidden="false" customHeight="false" outlineLevel="0" collapsed="false">
      <c r="A12" s="0" t="s">
        <v>118</v>
      </c>
      <c r="C12" s="4" t="n">
        <f aca="false">-C6*Assumptions!C31/100</f>
        <v>-562.77195</v>
      </c>
      <c r="D12" s="4" t="n">
        <f aca="false">-D6*Assumptions!D31/100</f>
        <v>-612.2958816</v>
      </c>
      <c r="E12" s="4" t="n">
        <f aca="false">-E6*Assumptions!E31/100</f>
        <v>-666.828483555</v>
      </c>
      <c r="F12" s="4" t="n">
        <f aca="false">-F6*Assumptions!F31/100</f>
        <v>-727.2352991241</v>
      </c>
      <c r="G12" s="4" t="n">
        <f aca="false">-G6*Assumptions!G31/100</f>
        <v>-790.666377992146</v>
      </c>
      <c r="H12" s="4" t="n">
        <f aca="false">-H6*Assumptions!H31/100</f>
        <v>-857.248809823064</v>
      </c>
      <c r="I12" s="4" t="n">
        <f aca="false">-I6*Assumptions!I31/100</f>
        <v>-880.823152093199</v>
      </c>
      <c r="J12" s="4" t="n">
        <f aca="false">-J6*Assumptions!J31/100</f>
        <v>-902.843730895528</v>
      </c>
      <c r="K12" s="4" t="n">
        <f aca="false">-K6*Assumptions!K31/100</f>
        <v>-925.414824167916</v>
      </c>
      <c r="L12" s="4" t="n">
        <f aca="false">-L6*Assumptions!L31/100</f>
        <v>-948.550194772114</v>
      </c>
    </row>
    <row r="13" customFormat="false" ht="15" hidden="false" customHeight="false" outlineLevel="0" collapsed="false">
      <c r="A13" s="0" t="s">
        <v>119</v>
      </c>
      <c r="C13" s="0" t="n">
        <f aca="false">C11+C12</f>
        <v>5336.9539925</v>
      </c>
      <c r="D13" s="0" t="n">
        <f aca="false">D11+D12</f>
        <v>5462.82731865</v>
      </c>
      <c r="E13" s="0" t="n">
        <f aca="false">E11+E12</f>
        <v>5638.62320653125</v>
      </c>
      <c r="F13" s="0" t="n">
        <f aca="false">F11+F12</f>
        <v>5827.98288325841</v>
      </c>
      <c r="G13" s="0" t="n">
        <f aca="false">G11+G12</f>
        <v>6023.62937970333</v>
      </c>
      <c r="H13" s="0" t="n">
        <f aca="false">H11+H12</f>
        <v>6204.33826109443</v>
      </c>
      <c r="I13" s="0" t="n">
        <f aca="false">I11+I12</f>
        <v>6374.95756327452</v>
      </c>
      <c r="J13" s="0" t="n">
        <f aca="false">J11+J12</f>
        <v>6534.33150235639</v>
      </c>
      <c r="K13" s="0" t="n">
        <f aca="false">K11+K12</f>
        <v>6697.6897899153</v>
      </c>
      <c r="L13" s="0" t="n">
        <f aca="false">L11+L12</f>
        <v>6865.13203466318</v>
      </c>
    </row>
    <row r="14" customFormat="false" ht="15" hidden="false" customHeight="false" outlineLevel="0" collapsed="false">
      <c r="A14" s="0" t="s">
        <v>105</v>
      </c>
      <c r="C14" s="4" t="n">
        <f aca="false">Assumptions!C33</f>
        <v>27</v>
      </c>
      <c r="D14" s="4" t="n">
        <f aca="false">Assumptions!D33</f>
        <v>28</v>
      </c>
      <c r="E14" s="4" t="n">
        <f aca="false">Assumptions!E33</f>
        <v>28</v>
      </c>
      <c r="F14" s="4" t="n">
        <f aca="false">Assumptions!F33</f>
        <v>28</v>
      </c>
      <c r="G14" s="4" t="n">
        <f aca="false">Assumptions!G33</f>
        <v>28</v>
      </c>
      <c r="H14" s="4" t="n">
        <f aca="false">Assumptions!H33</f>
        <v>28</v>
      </c>
      <c r="I14" s="4" t="n">
        <f aca="false">Assumptions!I33</f>
        <v>28</v>
      </c>
      <c r="J14" s="4" t="n">
        <f aca="false">Assumptions!J33</f>
        <v>28</v>
      </c>
      <c r="K14" s="4" t="n">
        <f aca="false">Assumptions!K33</f>
        <v>28</v>
      </c>
      <c r="L14" s="4" t="n">
        <f aca="false">Assumptions!L33</f>
        <v>28</v>
      </c>
    </row>
    <row r="15" customFormat="false" ht="15" hidden="false" customHeight="false" outlineLevel="0" collapsed="false">
      <c r="A15" s="0" t="s">
        <v>120</v>
      </c>
      <c r="C15" s="0" t="n">
        <f aca="false">C13-MAX(0,C13)*C14/100</f>
        <v>3895.976414525</v>
      </c>
      <c r="D15" s="0" t="n">
        <f aca="false">D13-MAX(0,D13)*D14/100</f>
        <v>3933.235669428</v>
      </c>
      <c r="E15" s="0" t="n">
        <f aca="false">E13-MAX(0,E13)*E14/100</f>
        <v>4059.8087087025</v>
      </c>
      <c r="F15" s="0" t="n">
        <f aca="false">F13-MAX(0,F13)*F14/100</f>
        <v>4196.14767594606</v>
      </c>
      <c r="G15" s="0" t="n">
        <f aca="false">G13-MAX(0,G13)*G14/100</f>
        <v>4337.0131533864</v>
      </c>
      <c r="H15" s="0" t="n">
        <f aca="false">H13-MAX(0,H13)*H14/100</f>
        <v>4467.12354798799</v>
      </c>
      <c r="I15" s="0" t="n">
        <f aca="false">I13-MAX(0,I13)*I14/100</f>
        <v>4589.96944555766</v>
      </c>
      <c r="J15" s="0" t="n">
        <f aca="false">J13-MAX(0,J13)*J14/100</f>
        <v>4704.7186816966</v>
      </c>
      <c r="K15" s="0" t="n">
        <f aca="false">K13-MAX(0,K13)*K14/100</f>
        <v>4822.33664873901</v>
      </c>
      <c r="L15" s="0" t="n">
        <f aca="false">L13-MAX(0,L13)*L14/100</f>
        <v>4942.89506495749</v>
      </c>
    </row>
    <row r="16" customFormat="false" ht="15" hidden="false" customHeight="false" outlineLevel="0" collapsed="false">
      <c r="A16" s="0" t="s">
        <v>121</v>
      </c>
      <c r="C16" s="0" t="n">
        <f aca="false">-C12</f>
        <v>562.77195</v>
      </c>
      <c r="D16" s="0" t="n">
        <f aca="false">-D12</f>
        <v>612.2958816</v>
      </c>
      <c r="E16" s="0" t="n">
        <f aca="false">-E12</f>
        <v>666.828483555</v>
      </c>
      <c r="F16" s="0" t="n">
        <f aca="false">-F12</f>
        <v>727.2352991241</v>
      </c>
      <c r="G16" s="0" t="n">
        <f aca="false">-G12</f>
        <v>790.666377992146</v>
      </c>
      <c r="H16" s="0" t="n">
        <f aca="false">-H12</f>
        <v>857.248809823064</v>
      </c>
      <c r="I16" s="0" t="n">
        <f aca="false">-I12</f>
        <v>880.823152093199</v>
      </c>
      <c r="J16" s="0" t="n">
        <f aca="false">-J12</f>
        <v>902.843730895528</v>
      </c>
      <c r="K16" s="0" t="n">
        <f aca="false">-K12</f>
        <v>925.414824167916</v>
      </c>
      <c r="L16" s="0" t="n">
        <f aca="false">-L12</f>
        <v>948.550194772114</v>
      </c>
    </row>
    <row r="17" customFormat="false" ht="15" hidden="false" customHeight="false" outlineLevel="0" collapsed="false">
      <c r="A17" s="0" t="s">
        <v>122</v>
      </c>
      <c r="C17" s="4" t="n">
        <f aca="false">-C6*Assumptions!C32/100</f>
        <v>-1219.339225</v>
      </c>
      <c r="D17" s="4" t="n">
        <f aca="false">-D6*Assumptions!D32/100</f>
        <v>-1243.7260095</v>
      </c>
      <c r="E17" s="4" t="n">
        <f aca="false">-E6*Assumptions!E32/100</f>
        <v>-1255.20655728</v>
      </c>
      <c r="F17" s="4" t="n">
        <f aca="false">-F6*Assumptions!F32/100</f>
        <v>-1212.0588318735</v>
      </c>
      <c r="G17" s="4" t="n">
        <f aca="false">-G6*Assumptions!G32/100</f>
        <v>-1165.19255704106</v>
      </c>
      <c r="H17" s="4" t="n">
        <f aca="false">-H6*Assumptions!H32/100</f>
        <v>-1114.42345276998</v>
      </c>
      <c r="I17" s="4" t="n">
        <f aca="false">-I6*Assumptions!I32/100</f>
        <v>-1101.0289401165</v>
      </c>
      <c r="J17" s="4" t="n">
        <f aca="false">-J6*Assumptions!J32/100</f>
        <v>-1128.55466361941</v>
      </c>
      <c r="K17" s="4" t="n">
        <f aca="false">-K6*Assumptions!K32/100</f>
        <v>-1156.7685302099</v>
      </c>
      <c r="L17" s="4" t="n">
        <f aca="false">-L6*Assumptions!L32/100</f>
        <v>-1185.68774346514</v>
      </c>
    </row>
    <row r="18" customFormat="false" ht="15" hidden="false" customHeight="false" outlineLevel="0" collapsed="false">
      <c r="A18" s="0" t="s">
        <v>123</v>
      </c>
      <c r="C18" s="4" t="n">
        <f aca="false">(C6-B6)*Assumptions!$B$37/100</f>
        <v>176.787</v>
      </c>
      <c r="D18" s="4" t="n">
        <f aca="false">(D6-C6)*Assumptions!$B$37/100</f>
        <v>-75.03626</v>
      </c>
      <c r="E18" s="4" t="n">
        <f aca="false">(E6-D6)*Assumptions!$B$37/100</f>
        <v>-95.6712314999997</v>
      </c>
      <c r="F18" s="4" t="n">
        <f aca="false">(F6-E6)*Assumptions!$B$37/100</f>
        <v>-117.675614745</v>
      </c>
      <c r="G18" s="4" t="n">
        <f aca="false">(G6-F6)*Assumptions!$B$37/100</f>
        <v>-121.20588318735</v>
      </c>
      <c r="H18" s="4" t="n">
        <f aca="false">(H6-G6)*Assumptions!$B$37/100</f>
        <v>-124.84205968297</v>
      </c>
      <c r="I18" s="4" t="n">
        <f aca="false">(I6-H6)*Assumptions!$B$37/100</f>
        <v>-117.871711350672</v>
      </c>
      <c r="J18" s="4" t="n">
        <f aca="false">(J6-I6)*Assumptions!$B$37/100</f>
        <v>-110.102894011649</v>
      </c>
      <c r="K18" s="4" t="n">
        <f aca="false">(K6-J6)*Assumptions!$B$37/100</f>
        <v>-112.85546636194</v>
      </c>
      <c r="L18" s="4" t="n">
        <f aca="false">(L6-K6)*Assumptions!$B$37/100</f>
        <v>-115.676853020989</v>
      </c>
    </row>
    <row r="19" customFormat="false" ht="15" hidden="false" customHeight="false" outlineLevel="0" collapsed="false">
      <c r="A19" s="0" t="s">
        <v>124</v>
      </c>
      <c r="C19" s="0" t="n">
        <f aca="false">C15+C16+C17+C18</f>
        <v>3416.196139525</v>
      </c>
      <c r="D19" s="0" t="n">
        <f aca="false">D15+D16+D17+D18</f>
        <v>3226.769281528</v>
      </c>
      <c r="E19" s="0" t="n">
        <f aca="false">E15+E16+E17+E18</f>
        <v>3375.7594034775</v>
      </c>
      <c r="F19" s="0" t="n">
        <f aca="false">F15+F16+F17+F18</f>
        <v>3593.64852845166</v>
      </c>
      <c r="G19" s="0" t="n">
        <f aca="false">G15+G16+G17+G18</f>
        <v>3841.28109115013</v>
      </c>
      <c r="H19" s="0" t="n">
        <f aca="false">H15+H16+H17+H18</f>
        <v>4085.1068453581</v>
      </c>
      <c r="I19" s="0" t="n">
        <f aca="false">I15+I16+I17+I18</f>
        <v>4251.89194618369</v>
      </c>
      <c r="J19" s="0" t="n">
        <f aca="false">J15+J16+J17+J18</f>
        <v>4368.90485496107</v>
      </c>
      <c r="K19" s="0" t="n">
        <f aca="false">K15+K16+K17+K18</f>
        <v>4478.12747633509</v>
      </c>
      <c r="L19" s="0" t="n">
        <f aca="false">L15+L16+L17+L18</f>
        <v>4590.08066324347</v>
      </c>
    </row>
    <row r="20" customFormat="false" ht="15" hidden="false" customHeight="false" outlineLevel="0" collapsed="false">
      <c r="A20" s="0" t="s">
        <v>125</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126</v>
      </c>
      <c r="C21" s="0" t="n">
        <f aca="false">C19*C20</f>
        <v>3192.70667245327</v>
      </c>
      <c r="D21" s="0" t="n">
        <f aca="false">D19*D20</f>
        <v>2818.38525768888</v>
      </c>
      <c r="E21" s="0" t="n">
        <f aca="false">E19*E20</f>
        <v>2755.62523395301</v>
      </c>
      <c r="F21" s="0" t="n">
        <f aca="false">F19*F20</f>
        <v>2741.5772561374</v>
      </c>
      <c r="G21" s="0" t="n">
        <f aca="false">G19*G20</f>
        <v>2738.78032950199</v>
      </c>
      <c r="H21" s="0" t="n">
        <f aca="false">H19*H20</f>
        <v>2722.07917986397</v>
      </c>
      <c r="I21" s="0" t="n">
        <f aca="false">I19*I20</f>
        <v>2647.86461200706</v>
      </c>
      <c r="J21" s="0" t="n">
        <f aca="false">J19*J20</f>
        <v>2542.74240256574</v>
      </c>
      <c r="K21" s="0" t="n">
        <f aca="false">K19*K20</f>
        <v>2435.80463797185</v>
      </c>
      <c r="L21" s="0" t="n">
        <f aca="false">L19*L20</f>
        <v>2333.36425600107</v>
      </c>
    </row>
    <row r="23" customFormat="false" ht="15" hidden="false" customHeight="false" outlineLevel="0" collapsed="false">
      <c r="A23" s="0" t="s">
        <v>102</v>
      </c>
      <c r="C23" s="4" t="n">
        <f aca="false">Assumptions!C30</f>
        <v>0.8</v>
      </c>
      <c r="D23" s="4" t="n">
        <f aca="false">Assumptions!D30</f>
        <v>0.8</v>
      </c>
      <c r="E23" s="4" t="n">
        <f aca="false">Assumptions!E30</f>
        <v>0.8</v>
      </c>
      <c r="F23" s="4" t="n">
        <f aca="false">Assumptions!F30</f>
        <v>0.8</v>
      </c>
      <c r="G23" s="4" t="n">
        <f aca="false">Assumptions!G30</f>
        <v>0.8</v>
      </c>
      <c r="H23" s="4" t="n">
        <f aca="false">Assumptions!H30</f>
        <v>0.8</v>
      </c>
      <c r="I23" s="4" t="n">
        <f aca="false">Assumptions!I30</f>
        <v>0.8</v>
      </c>
      <c r="J23" s="4" t="n">
        <f aca="false">Assumptions!J30</f>
        <v>0.8</v>
      </c>
      <c r="K23" s="4" t="n">
        <f aca="false">Assumptions!K30</f>
        <v>0.8</v>
      </c>
      <c r="L23" s="4" t="n">
        <f aca="false">Assumptions!L30</f>
        <v>0.8</v>
      </c>
    </row>
    <row r="24" customFormat="false" ht="15" hidden="false" customHeight="false" outlineLevel="0" collapsed="false">
      <c r="A24" s="0" t="s">
        <v>127</v>
      </c>
      <c r="C24" s="0" t="n">
        <f aca="false">-C6*C23/100</f>
        <v>-150.07252</v>
      </c>
      <c r="D24" s="0" t="n">
        <f aca="false">-D6*D23/100</f>
        <v>-153.0739704</v>
      </c>
      <c r="E24" s="0" t="n">
        <f aca="false">-E6*E23/100</f>
        <v>-156.90081966</v>
      </c>
      <c r="F24" s="0" t="n">
        <f aca="false">-F6*F23/100</f>
        <v>-161.6078442498</v>
      </c>
      <c r="G24" s="0" t="n">
        <f aca="false">-G6*G23/100</f>
        <v>-166.456079577294</v>
      </c>
      <c r="H24" s="0" t="n">
        <f aca="false">-H6*H23/100</f>
        <v>-171.449761964613</v>
      </c>
      <c r="I24" s="0" t="n">
        <f aca="false">-I6*I23/100</f>
        <v>-176.16463041864</v>
      </c>
      <c r="J24" s="0" t="n">
        <f aca="false">-J6*J23/100</f>
        <v>-180.568746179106</v>
      </c>
      <c r="K24" s="0" t="n">
        <f aca="false">-K6*K23/100</f>
        <v>-185.082964833583</v>
      </c>
      <c r="L24" s="0" t="n">
        <f aca="false">-L6*L23/100</f>
        <v>-189.710038954423</v>
      </c>
    </row>
    <row r="26" customFormat="false" ht="15" hidden="false" customHeight="false" outlineLevel="0" collapsed="false">
      <c r="A26" s="2" t="s">
        <v>128</v>
      </c>
    </row>
    <row r="27" customFormat="false" ht="15" hidden="false" customHeight="false" outlineLevel="0" collapsed="false">
      <c r="A27" s="0" t="s">
        <v>106</v>
      </c>
      <c r="B27" s="4" t="n">
        <f aca="false">Assumptions!$B$34</f>
        <v>7</v>
      </c>
    </row>
    <row r="28" customFormat="false" ht="15" hidden="false" customHeight="false" outlineLevel="0" collapsed="false">
      <c r="A28" s="0" t="s">
        <v>107</v>
      </c>
      <c r="B28" s="4" t="n">
        <f aca="false">Assumptions!$B$35</f>
        <v>2.5</v>
      </c>
    </row>
    <row r="29" customFormat="false" ht="15" hidden="false" customHeight="false" outlineLevel="0" collapsed="false">
      <c r="A29" s="0" t="s">
        <v>108</v>
      </c>
      <c r="B29" s="4" t="n">
        <f aca="false">Assumptions!$B$36</f>
        <v>18</v>
      </c>
    </row>
    <row r="30" customFormat="false" ht="15" hidden="false" customHeight="false" outlineLevel="0" collapsed="false">
      <c r="A30" s="0" t="s">
        <v>129</v>
      </c>
      <c r="B30" s="0" t="n">
        <f aca="false">SUM(C21:L21)</f>
        <v>26928.9298381443</v>
      </c>
    </row>
    <row r="31" customFormat="false" ht="15" hidden="false" customHeight="false" outlineLevel="0" collapsed="false">
      <c r="A31" s="0" t="s">
        <v>130</v>
      </c>
      <c r="B31" s="0" t="n">
        <f aca="false">L19</f>
        <v>4590.08066324347</v>
      </c>
    </row>
    <row r="32" customFormat="false" ht="15" hidden="false" customHeight="false" outlineLevel="0" collapsed="false">
      <c r="A32" s="0" t="s">
        <v>131</v>
      </c>
      <c r="B32" s="0" t="n">
        <f aca="false">IF(B27&gt;B28,B31*(1+B28/100)/((B27-B28)/100),B31*B29)</f>
        <v>104551.837329435</v>
      </c>
    </row>
    <row r="33" customFormat="false" ht="15" hidden="false" customHeight="false" outlineLevel="0" collapsed="false">
      <c r="A33" s="0" t="s">
        <v>132</v>
      </c>
      <c r="B33" s="0" t="n">
        <f aca="false">B31*B29</f>
        <v>82621.4519383824</v>
      </c>
    </row>
    <row r="34" customFormat="false" ht="15" hidden="false" customHeight="false" outlineLevel="0" collapsed="false">
      <c r="A34" s="0" t="s">
        <v>133</v>
      </c>
      <c r="B34" s="0" t="n">
        <f aca="false">MAX(0,MIN(B32,B33))</f>
        <v>82621.4519383824</v>
      </c>
    </row>
    <row r="35" customFormat="false" ht="15" hidden="false" customHeight="false" outlineLevel="0" collapsed="false">
      <c r="A35" s="0" t="s">
        <v>134</v>
      </c>
      <c r="B35" s="0" t="n">
        <f aca="false">B34/(1+B27/100)^L4</f>
        <v>42000.5566080193</v>
      </c>
    </row>
    <row r="36" customFormat="false" ht="15" hidden="false" customHeight="false" outlineLevel="0" collapsed="false">
      <c r="A36" s="0" t="s">
        <v>135</v>
      </c>
      <c r="B36" s="0" t="n">
        <f aca="false">B30+B35</f>
        <v>68929.4864461636</v>
      </c>
    </row>
    <row r="37" customFormat="false" ht="15" hidden="false" customHeight="false" outlineLevel="0" collapsed="false">
      <c r="A37" s="0" t="s">
        <v>136</v>
      </c>
      <c r="B37" s="0" t="n">
        <f aca="false">B36+Assumptions!$B$5-Assumptions!$B$4</f>
        <v>55776.4864461636</v>
      </c>
    </row>
    <row r="38" customFormat="false" ht="15" hidden="false" customHeight="false" outlineLevel="0" collapsed="false">
      <c r="A38" s="0" t="s">
        <v>137</v>
      </c>
      <c r="B38" s="0" t="n">
        <f aca="false">B37/Assumptions!$B$3*Assumptions!$B$10</f>
        <v>1889.27534928289</v>
      </c>
    </row>
    <row r="39" customFormat="false" ht="15" hidden="false" customHeight="false" outlineLevel="0" collapsed="false">
      <c r="A39" s="0" t="s">
        <v>138</v>
      </c>
      <c r="B39" s="4" t="n">
        <f aca="false">B38/Assumptions!$B$2-1</f>
        <v>0.15340375414096</v>
      </c>
    </row>
    <row r="41" customFormat="false" ht="15" hidden="false" customHeight="false" outlineLevel="0" collapsed="false">
      <c r="A41" s="0" t="s">
        <v>139</v>
      </c>
      <c r="B41" s="0" t="n">
        <f aca="false">SUMPRODUCT(-C10:L10/(1+$B$27/100)^C4:L4)</f>
        <v>365.674733830438</v>
      </c>
    </row>
    <row r="42" customFormat="false" ht="15" hidden="false" customHeight="false" outlineLevel="0" collapsed="false">
      <c r="A42" s="0" t="s">
        <v>140</v>
      </c>
      <c r="B42" s="0" t="n">
        <f aca="false">IF(B27&gt;B28,-L10*(1+B28/100)/((B27-B28)/100),-L10*20)/(1+B27/100)^L4</f>
        <v>686.45790356711</v>
      </c>
    </row>
    <row r="43" customFormat="false" ht="15" hidden="false" customHeight="false" outlineLevel="0" collapsed="false">
      <c r="A43" s="0" t="s">
        <v>141</v>
      </c>
      <c r="B43" s="0" t="n">
        <f aca="false">(B37+B41+B42)/Assumptions!$B$3*Assumptions!$B$10</f>
        <v>1924.91345384385</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37638.6614385964</v>
      </c>
    </row>
    <row r="47" customFormat="false" ht="15" hidden="false" customHeight="false" outlineLevel="0" collapsed="false">
      <c r="A47" s="0" t="s">
        <v>143</v>
      </c>
      <c r="B47" s="0" t="n">
        <f aca="false">(SUMPRODUCT(C19:L19/(1+B45/100)^C4:L4)+B46/(1+B45/100)^L4+Assumptions!$B$5-Assumptions!$B$4)/Assumptions!$B$3*Assumptions!$B$10</f>
        <v>506.241583814307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Assumptions!C41</f>
        <v>-3</v>
      </c>
      <c r="D5" s="4" t="n">
        <f aca="false">Assumptions!D41</f>
        <v>3.5</v>
      </c>
      <c r="E5" s="4" t="n">
        <f aca="false">Assumptions!E41</f>
        <v>4.5</v>
      </c>
      <c r="F5" s="4" t="n">
        <f aca="false">Assumptions!F41</f>
        <v>4.5</v>
      </c>
      <c r="G5" s="4" t="n">
        <f aca="false">Assumptions!G41</f>
        <v>4</v>
      </c>
      <c r="H5" s="4" t="n">
        <f aca="false">Assumptions!H41</f>
        <v>4</v>
      </c>
      <c r="I5" s="4" t="n">
        <f aca="false">Assumptions!I41</f>
        <v>3.5</v>
      </c>
      <c r="J5" s="4" t="n">
        <f aca="false">Assumptions!J41</f>
        <v>3</v>
      </c>
      <c r="K5" s="4" t="n">
        <f aca="false">Assumptions!K41</f>
        <v>3</v>
      </c>
      <c r="L5" s="4" t="n">
        <f aca="false">Assumptions!L41</f>
        <v>3</v>
      </c>
    </row>
    <row r="6" customFormat="false" ht="15" hidden="false" customHeight="false" outlineLevel="0" collapsed="false">
      <c r="A6" s="0" t="s">
        <v>38</v>
      </c>
      <c r="B6" s="3" t="n">
        <v>19643</v>
      </c>
      <c r="C6" s="0" t="n">
        <f aca="false">B6*(1+C5/100)</f>
        <v>19053.71</v>
      </c>
      <c r="D6" s="0" t="n">
        <f aca="false">C6*(1+D5/100)</f>
        <v>19720.58985</v>
      </c>
      <c r="E6" s="0" t="n">
        <f aca="false">D6*(1+E5/100)</f>
        <v>20608.01639325</v>
      </c>
      <c r="F6" s="0" t="n">
        <f aca="false">E6*(1+F5/100)</f>
        <v>21535.3771309462</v>
      </c>
      <c r="G6" s="0" t="n">
        <f aca="false">F6*(1+G5/100)</f>
        <v>22396.7922161841</v>
      </c>
      <c r="H6" s="0" t="n">
        <f aca="false">G6*(1+H5/100)</f>
        <v>23292.6639048315</v>
      </c>
      <c r="I6" s="0" t="n">
        <f aca="false">H6*(1+I5/100)</f>
        <v>24107.9071415006</v>
      </c>
      <c r="J6" s="0" t="n">
        <f aca="false">I6*(1+J5/100)</f>
        <v>24831.1443557456</v>
      </c>
      <c r="K6" s="0" t="n">
        <f aca="false">J6*(1+K5/100)</f>
        <v>25576.0786864179</v>
      </c>
      <c r="L6" s="0" t="n">
        <f aca="false">K6*(1+L5/100)</f>
        <v>26343.3610470105</v>
      </c>
    </row>
    <row r="7" customFormat="false" ht="15" hidden="false" customHeight="false" outlineLevel="0" collapsed="false">
      <c r="A7" s="0" t="s">
        <v>100</v>
      </c>
      <c r="C7" s="4" t="n">
        <f aca="false">Assumptions!C42</f>
        <v>32.8</v>
      </c>
      <c r="D7" s="4" t="n">
        <f aca="false">Assumptions!D42</f>
        <v>33.4</v>
      </c>
      <c r="E7" s="4" t="n">
        <f aca="false">Assumptions!E42</f>
        <v>34</v>
      </c>
      <c r="F7" s="4" t="n">
        <f aca="false">Assumptions!F42</f>
        <v>34.5</v>
      </c>
      <c r="G7" s="4" t="n">
        <f aca="false">Assumptions!G42</f>
        <v>35</v>
      </c>
      <c r="H7" s="4" t="n">
        <f aca="false">Assumptions!H42</f>
        <v>35.3</v>
      </c>
      <c r="I7" s="4" t="n">
        <f aca="false">Assumptions!I42</f>
        <v>35.5</v>
      </c>
      <c r="J7" s="4" t="n">
        <f aca="false">Assumptions!J42</f>
        <v>35.5</v>
      </c>
      <c r="K7" s="4" t="n">
        <f aca="false">Assumptions!K42</f>
        <v>35.5</v>
      </c>
      <c r="L7" s="4" t="n">
        <f aca="false">Assumptions!L42</f>
        <v>35.5</v>
      </c>
    </row>
    <row r="8" customFormat="false" ht="15" hidden="false" customHeight="false" outlineLevel="0" collapsed="false">
      <c r="A8" s="0" t="s">
        <v>44</v>
      </c>
      <c r="C8" s="0" t="n">
        <f aca="false">C6*C7/100</f>
        <v>6249.61688</v>
      </c>
      <c r="D8" s="0" t="n">
        <f aca="false">D6*D7/100</f>
        <v>6586.6770099</v>
      </c>
      <c r="E8" s="0" t="n">
        <f aca="false">E6*E7/100</f>
        <v>7006.725573705</v>
      </c>
      <c r="F8" s="0" t="n">
        <f aca="false">F6*F7/100</f>
        <v>7429.70511017646</v>
      </c>
      <c r="G8" s="0" t="n">
        <f aca="false">G6*G7/100</f>
        <v>7838.87727566443</v>
      </c>
      <c r="H8" s="0" t="n">
        <f aca="false">H6*H7/100</f>
        <v>8222.31035840551</v>
      </c>
      <c r="I8" s="0" t="n">
        <f aca="false">I6*I7/100</f>
        <v>8558.3070352327</v>
      </c>
      <c r="J8" s="0" t="n">
        <f aca="false">J6*J7/100</f>
        <v>8815.05624628968</v>
      </c>
      <c r="K8" s="0" t="n">
        <f aca="false">K6*K7/100</f>
        <v>9079.50793367837</v>
      </c>
      <c r="L8" s="0" t="n">
        <f aca="false">L6*L7/100</f>
        <v>9351.89317168872</v>
      </c>
    </row>
    <row r="9" customFormat="false" ht="15" hidden="false" customHeight="false" outlineLevel="0" collapsed="false">
      <c r="A9" s="0" t="s">
        <v>101</v>
      </c>
      <c r="C9" s="4" t="n">
        <f aca="false">Assumptions!C43</f>
        <v>0.25</v>
      </c>
      <c r="D9" s="4" t="n">
        <f aca="false">Assumptions!D43</f>
        <v>0.25</v>
      </c>
      <c r="E9" s="4" t="n">
        <f aca="false">Assumptions!E43</f>
        <v>0.25</v>
      </c>
      <c r="F9" s="4" t="n">
        <f aca="false">Assumptions!F43</f>
        <v>0.25</v>
      </c>
      <c r="G9" s="4" t="n">
        <f aca="false">Assumptions!G43</f>
        <v>0.25</v>
      </c>
      <c r="H9" s="4" t="n">
        <f aca="false">Assumptions!H43</f>
        <v>0.25</v>
      </c>
      <c r="I9" s="4" t="n">
        <f aca="false">Assumptions!I43</f>
        <v>0.25</v>
      </c>
      <c r="J9" s="4" t="n">
        <f aca="false">Assumptions!J43</f>
        <v>0.25</v>
      </c>
      <c r="K9" s="4" t="n">
        <f aca="false">Assumptions!K43</f>
        <v>0.25</v>
      </c>
      <c r="L9" s="4" t="n">
        <f aca="false">Assumptions!L43</f>
        <v>0.25</v>
      </c>
    </row>
    <row r="10" customFormat="false" ht="15" hidden="false" customHeight="false" outlineLevel="0" collapsed="false">
      <c r="A10" s="0" t="s">
        <v>116</v>
      </c>
      <c r="C10" s="0" t="n">
        <f aca="false">-C6*C9/100</f>
        <v>-47.634275</v>
      </c>
      <c r="D10" s="0" t="n">
        <f aca="false">-D6*D9/100</f>
        <v>-49.301474625</v>
      </c>
      <c r="E10" s="0" t="n">
        <f aca="false">-E6*E9/100</f>
        <v>-51.520040983125</v>
      </c>
      <c r="F10" s="0" t="n">
        <f aca="false">-F6*F9/100</f>
        <v>-53.8384428273656</v>
      </c>
      <c r="G10" s="0" t="n">
        <f aca="false">-G6*G9/100</f>
        <v>-55.9919805404603</v>
      </c>
      <c r="H10" s="0" t="n">
        <f aca="false">-H6*H9/100</f>
        <v>-58.2316597620787</v>
      </c>
      <c r="I10" s="0" t="n">
        <f aca="false">-I6*I9/100</f>
        <v>-60.2697678537514</v>
      </c>
      <c r="J10" s="0" t="n">
        <f aca="false">-J6*J9/100</f>
        <v>-62.077860889364</v>
      </c>
      <c r="K10" s="0" t="n">
        <f aca="false">-K6*K9/100</f>
        <v>-63.9401967160449</v>
      </c>
      <c r="L10" s="0" t="n">
        <f aca="false">-L6*L9/100</f>
        <v>-65.8584026175262</v>
      </c>
    </row>
    <row r="11" customFormat="false" ht="15" hidden="false" customHeight="false" outlineLevel="0" collapsed="false">
      <c r="A11" s="0" t="s">
        <v>117</v>
      </c>
      <c r="C11" s="0" t="n">
        <f aca="false">C8+C10+C24</f>
        <v>6049.552925</v>
      </c>
      <c r="D11" s="0" t="n">
        <f aca="false">D8+D10+D24</f>
        <v>6379.610816475</v>
      </c>
      <c r="E11" s="0" t="n">
        <f aca="false">E8+E10+E24</f>
        <v>6790.34140157587</v>
      </c>
      <c r="F11" s="0" t="n">
        <f aca="false">F8+F10+F24</f>
        <v>7203.58365030152</v>
      </c>
      <c r="G11" s="0" t="n">
        <f aca="false">G8+G10+G24</f>
        <v>7603.7109573945</v>
      </c>
      <c r="H11" s="0" t="n">
        <f aca="false">H8+H10+H24</f>
        <v>7977.73738740478</v>
      </c>
      <c r="I11" s="0" t="n">
        <f aca="false">I8+I10+I24</f>
        <v>8305.17401024694</v>
      </c>
      <c r="J11" s="0" t="n">
        <f aca="false">J8+J10+J24</f>
        <v>8554.32923055435</v>
      </c>
      <c r="K11" s="0" t="n">
        <f aca="false">K8+K10+K24</f>
        <v>8810.95910747098</v>
      </c>
      <c r="L11" s="0" t="n">
        <f aca="false">L8+L10+L24</f>
        <v>9075.28788069511</v>
      </c>
    </row>
    <row r="12" customFormat="false" ht="15" hidden="false" customHeight="false" outlineLevel="0" collapsed="false">
      <c r="A12" s="0" t="s">
        <v>118</v>
      </c>
      <c r="C12" s="4" t="n">
        <f aca="false">-C6*Assumptions!C45/100</f>
        <v>-571.6113</v>
      </c>
      <c r="D12" s="4" t="n">
        <f aca="false">-D6*Assumptions!D45/100</f>
        <v>-631.0588752</v>
      </c>
      <c r="E12" s="4" t="n">
        <f aca="false">-E6*Assumptions!E45/100</f>
        <v>-700.6725573705</v>
      </c>
      <c r="F12" s="4" t="n">
        <f aca="false">-F6*Assumptions!F45/100</f>
        <v>-775.273576714065</v>
      </c>
      <c r="G12" s="4" t="n">
        <f aca="false">-G6*Assumptions!G45/100</f>
        <v>-851.078104214996</v>
      </c>
      <c r="H12" s="4" t="n">
        <f aca="false">-H6*Assumptions!H45/100</f>
        <v>-931.706556193258</v>
      </c>
      <c r="I12" s="4" t="n">
        <f aca="false">-I6*Assumptions!I45/100</f>
        <v>-964.316285660023</v>
      </c>
      <c r="J12" s="4" t="n">
        <f aca="false">-J6*Assumptions!J45/100</f>
        <v>-993.245774229823</v>
      </c>
      <c r="K12" s="4" t="n">
        <f aca="false">-K6*Assumptions!K45/100</f>
        <v>-1023.04314745672</v>
      </c>
      <c r="L12" s="4" t="n">
        <f aca="false">-L6*Assumptions!L45/100</f>
        <v>-1053.73444188042</v>
      </c>
    </row>
    <row r="13" customFormat="false" ht="15" hidden="false" customHeight="false" outlineLevel="0" collapsed="false">
      <c r="A13" s="0" t="s">
        <v>119</v>
      </c>
      <c r="C13" s="0" t="n">
        <f aca="false">C11+C12</f>
        <v>5477.941625</v>
      </c>
      <c r="D13" s="0" t="n">
        <f aca="false">D11+D12</f>
        <v>5748.551941275</v>
      </c>
      <c r="E13" s="0" t="n">
        <f aca="false">E11+E12</f>
        <v>6089.66884420537</v>
      </c>
      <c r="F13" s="0" t="n">
        <f aca="false">F11+F12</f>
        <v>6428.31007358745</v>
      </c>
      <c r="G13" s="0" t="n">
        <f aca="false">G11+G12</f>
        <v>6752.63285317951</v>
      </c>
      <c r="H13" s="0" t="n">
        <f aca="false">H11+H12</f>
        <v>7046.03083121152</v>
      </c>
      <c r="I13" s="0" t="n">
        <f aca="false">I11+I12</f>
        <v>7340.85772458692</v>
      </c>
      <c r="J13" s="0" t="n">
        <f aca="false">J11+J12</f>
        <v>7561.08345632453</v>
      </c>
      <c r="K13" s="0" t="n">
        <f aca="false">K11+K12</f>
        <v>7787.91596001427</v>
      </c>
      <c r="L13" s="0" t="n">
        <f aca="false">L11+L12</f>
        <v>8021.55343881469</v>
      </c>
    </row>
    <row r="14" customFormat="false" ht="15" hidden="false" customHeight="false" outlineLevel="0" collapsed="false">
      <c r="A14" s="0" t="s">
        <v>105</v>
      </c>
      <c r="C14" s="4" t="n">
        <f aca="false">Assumptions!C47</f>
        <v>27</v>
      </c>
      <c r="D14" s="4" t="n">
        <f aca="false">Assumptions!D47</f>
        <v>28</v>
      </c>
      <c r="E14" s="4" t="n">
        <f aca="false">Assumptions!E47</f>
        <v>28</v>
      </c>
      <c r="F14" s="4" t="n">
        <f aca="false">Assumptions!F47</f>
        <v>28</v>
      </c>
      <c r="G14" s="4" t="n">
        <f aca="false">Assumptions!G47</f>
        <v>28</v>
      </c>
      <c r="H14" s="4" t="n">
        <f aca="false">Assumptions!H47</f>
        <v>28</v>
      </c>
      <c r="I14" s="4" t="n">
        <f aca="false">Assumptions!I47</f>
        <v>28</v>
      </c>
      <c r="J14" s="4" t="n">
        <f aca="false">Assumptions!J47</f>
        <v>28</v>
      </c>
      <c r="K14" s="4" t="n">
        <f aca="false">Assumptions!K47</f>
        <v>28</v>
      </c>
      <c r="L14" s="4" t="n">
        <f aca="false">Assumptions!L47</f>
        <v>28</v>
      </c>
    </row>
    <row r="15" customFormat="false" ht="15" hidden="false" customHeight="false" outlineLevel="0" collapsed="false">
      <c r="A15" s="0" t="s">
        <v>120</v>
      </c>
      <c r="C15" s="0" t="n">
        <f aca="false">C13-MAX(0,C13)*C14/100</f>
        <v>3998.89738625</v>
      </c>
      <c r="D15" s="0" t="n">
        <f aca="false">D13-MAX(0,D13)*D14/100</f>
        <v>4138.957397718</v>
      </c>
      <c r="E15" s="0" t="n">
        <f aca="false">E13-MAX(0,E13)*E14/100</f>
        <v>4384.56156782787</v>
      </c>
      <c r="F15" s="0" t="n">
        <f aca="false">F13-MAX(0,F13)*F14/100</f>
        <v>4628.38325298297</v>
      </c>
      <c r="G15" s="0" t="n">
        <f aca="false">G13-MAX(0,G13)*G14/100</f>
        <v>4861.89565428924</v>
      </c>
      <c r="H15" s="0" t="n">
        <f aca="false">H13-MAX(0,H13)*H14/100</f>
        <v>5073.14219847229</v>
      </c>
      <c r="I15" s="0" t="n">
        <f aca="false">I13-MAX(0,I13)*I14/100</f>
        <v>5285.41756170258</v>
      </c>
      <c r="J15" s="0" t="n">
        <f aca="false">J13-MAX(0,J13)*J14/100</f>
        <v>5443.98008855366</v>
      </c>
      <c r="K15" s="0" t="n">
        <f aca="false">K13-MAX(0,K13)*K14/100</f>
        <v>5607.29949121027</v>
      </c>
      <c r="L15" s="0" t="n">
        <f aca="false">L13-MAX(0,L13)*L14/100</f>
        <v>5775.51847594658</v>
      </c>
    </row>
    <row r="16" customFormat="false" ht="15" hidden="false" customHeight="false" outlineLevel="0" collapsed="false">
      <c r="A16" s="0" t="s">
        <v>121</v>
      </c>
      <c r="C16" s="0" t="n">
        <f aca="false">-C12</f>
        <v>571.6113</v>
      </c>
      <c r="D16" s="0" t="n">
        <f aca="false">-D12</f>
        <v>631.0588752</v>
      </c>
      <c r="E16" s="0" t="n">
        <f aca="false">-E12</f>
        <v>700.6725573705</v>
      </c>
      <c r="F16" s="0" t="n">
        <f aca="false">-F12</f>
        <v>775.273576714065</v>
      </c>
      <c r="G16" s="0" t="n">
        <f aca="false">-G12</f>
        <v>851.078104214996</v>
      </c>
      <c r="H16" s="0" t="n">
        <f aca="false">-H12</f>
        <v>931.706556193258</v>
      </c>
      <c r="I16" s="0" t="n">
        <f aca="false">-I12</f>
        <v>964.316285660023</v>
      </c>
      <c r="J16" s="0" t="n">
        <f aca="false">-J12</f>
        <v>993.245774229823</v>
      </c>
      <c r="K16" s="0" t="n">
        <f aca="false">-K12</f>
        <v>1023.04314745672</v>
      </c>
      <c r="L16" s="0" t="n">
        <f aca="false">-L12</f>
        <v>1053.73444188042</v>
      </c>
    </row>
    <row r="17" customFormat="false" ht="15" hidden="false" customHeight="false" outlineLevel="0" collapsed="false">
      <c r="A17" s="0" t="s">
        <v>122</v>
      </c>
      <c r="C17" s="4" t="n">
        <f aca="false">-C6*Assumptions!C46/100</f>
        <v>-1200.38373</v>
      </c>
      <c r="D17" s="4" t="n">
        <f aca="false">-D6*Assumptions!D46/100</f>
        <v>-1222.6765707</v>
      </c>
      <c r="E17" s="4" t="n">
        <f aca="false">-E6*Assumptions!E46/100</f>
        <v>-1236.480983595</v>
      </c>
      <c r="F17" s="4" t="n">
        <f aca="false">-F6*Assumptions!F46/100</f>
        <v>-1184.44574220204</v>
      </c>
      <c r="G17" s="4" t="n">
        <f aca="false">-G6*Assumptions!G46/100</f>
        <v>-1119.83961080921</v>
      </c>
      <c r="H17" s="4" t="n">
        <f aca="false">-H6*Assumptions!H46/100</f>
        <v>-1071.46253962225</v>
      </c>
      <c r="I17" s="4" t="n">
        <f aca="false">-I6*Assumptions!I46/100</f>
        <v>-1084.85582136753</v>
      </c>
      <c r="J17" s="4" t="n">
        <f aca="false">-J6*Assumptions!J46/100</f>
        <v>-1117.40149600855</v>
      </c>
      <c r="K17" s="4" t="n">
        <f aca="false">-K6*Assumptions!K46/100</f>
        <v>-1150.92354088881</v>
      </c>
      <c r="L17" s="4" t="n">
        <f aca="false">-L6*Assumptions!L46/100</f>
        <v>-1185.45124711547</v>
      </c>
    </row>
    <row r="18" customFormat="false" ht="15" hidden="false" customHeight="false" outlineLevel="0" collapsed="false">
      <c r="A18" s="0" t="s">
        <v>123</v>
      </c>
      <c r="C18" s="4" t="n">
        <f aca="false">(C6-B6)*Assumptions!$B$51/100</f>
        <v>117.858</v>
      </c>
      <c r="D18" s="4" t="n">
        <f aca="false">(D6-C6)*Assumptions!$B$51/100</f>
        <v>-133.37597</v>
      </c>
      <c r="E18" s="4" t="n">
        <f aca="false">(E6-D6)*Assumptions!$B$51/100</f>
        <v>-177.48530865</v>
      </c>
      <c r="F18" s="4" t="n">
        <f aca="false">(F6-E6)*Assumptions!$B$51/100</f>
        <v>-185.47214753925</v>
      </c>
      <c r="G18" s="4" t="n">
        <f aca="false">(G6-F6)*Assumptions!$B$51/100</f>
        <v>-172.28301704757</v>
      </c>
      <c r="H18" s="4" t="n">
        <f aca="false">(H6-G6)*Assumptions!$B$51/100</f>
        <v>-179.174337729473</v>
      </c>
      <c r="I18" s="4" t="n">
        <f aca="false">(I6-H6)*Assumptions!$B$51/100</f>
        <v>-163.04864733382</v>
      </c>
      <c r="J18" s="4" t="n">
        <f aca="false">(J6-I6)*Assumptions!$B$51/100</f>
        <v>-144.647442849004</v>
      </c>
      <c r="K18" s="4" t="n">
        <f aca="false">(K6-J6)*Assumptions!$B$51/100</f>
        <v>-148.986866134474</v>
      </c>
      <c r="L18" s="4" t="n">
        <f aca="false">(L6-K6)*Assumptions!$B$51/100</f>
        <v>-153.456472118508</v>
      </c>
    </row>
    <row r="19" customFormat="false" ht="15" hidden="false" customHeight="false" outlineLevel="0" collapsed="false">
      <c r="A19" s="0" t="s">
        <v>124</v>
      </c>
      <c r="C19" s="0" t="n">
        <f aca="false">C15+C16+C17+C18</f>
        <v>3487.98295625</v>
      </c>
      <c r="D19" s="0" t="n">
        <f aca="false">D15+D16+D17+D18</f>
        <v>3413.963732218</v>
      </c>
      <c r="E19" s="0" t="n">
        <f aca="false">E15+E16+E17+E18</f>
        <v>3671.26783295337</v>
      </c>
      <c r="F19" s="0" t="n">
        <f aca="false">F15+F16+F17+F18</f>
        <v>4033.73893995574</v>
      </c>
      <c r="G19" s="0" t="n">
        <f aca="false">G15+G16+G17+G18</f>
        <v>4420.85113064747</v>
      </c>
      <c r="H19" s="0" t="n">
        <f aca="false">H15+H16+H17+H18</f>
        <v>4754.21187731383</v>
      </c>
      <c r="I19" s="0" t="n">
        <f aca="false">I15+I16+I17+I18</f>
        <v>5001.82937866126</v>
      </c>
      <c r="J19" s="0" t="n">
        <f aca="false">J15+J16+J17+J18</f>
        <v>5175.17692392593</v>
      </c>
      <c r="K19" s="0" t="n">
        <f aca="false">K15+K16+K17+K18</f>
        <v>5330.43223164371</v>
      </c>
      <c r="L19" s="0" t="n">
        <f aca="false">L15+L16+L17+L18</f>
        <v>5490.34519859302</v>
      </c>
    </row>
    <row r="20" customFormat="false" ht="15" hidden="false" customHeight="false" outlineLevel="0" collapsed="false">
      <c r="A20" s="0" t="s">
        <v>125</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126</v>
      </c>
      <c r="C21" s="0" t="n">
        <f aca="false">C19*C20</f>
        <v>3259.79715537383</v>
      </c>
      <c r="D21" s="0" t="n">
        <f aca="false">D19*D20</f>
        <v>2981.88814063936</v>
      </c>
      <c r="E21" s="0" t="n">
        <f aca="false">E19*E20</f>
        <v>2996.84813753751</v>
      </c>
      <c r="F21" s="0" t="n">
        <f aca="false">F19*F20</f>
        <v>3077.32012394189</v>
      </c>
      <c r="G21" s="0" t="n">
        <f aca="false">G19*G20</f>
        <v>3152.00575770639</v>
      </c>
      <c r="H21" s="0" t="n">
        <f aca="false">H19*H20</f>
        <v>3167.93211482417</v>
      </c>
      <c r="I21" s="0" t="n">
        <f aca="false">I19*I20</f>
        <v>3114.88795451206</v>
      </c>
      <c r="J21" s="0" t="n">
        <f aca="false">J19*J20</f>
        <v>3012.00008745978</v>
      </c>
      <c r="K21" s="0" t="n">
        <f aca="false">K19*K20</f>
        <v>2899.40195334913</v>
      </c>
      <c r="L21" s="0" t="n">
        <f aca="false">L19*L20</f>
        <v>2791.01309528001</v>
      </c>
    </row>
    <row r="23" customFormat="false" ht="15" hidden="false" customHeight="false" outlineLevel="0" collapsed="false">
      <c r="A23" s="0" t="s">
        <v>102</v>
      </c>
      <c r="C23" s="4" t="n">
        <f aca="false">Assumptions!C44</f>
        <v>0.8</v>
      </c>
      <c r="D23" s="4" t="n">
        <f aca="false">Assumptions!D44</f>
        <v>0.8</v>
      </c>
      <c r="E23" s="4" t="n">
        <f aca="false">Assumptions!E44</f>
        <v>0.8</v>
      </c>
      <c r="F23" s="4" t="n">
        <f aca="false">Assumptions!F44</f>
        <v>0.8</v>
      </c>
      <c r="G23" s="4" t="n">
        <f aca="false">Assumptions!G44</f>
        <v>0.8</v>
      </c>
      <c r="H23" s="4" t="n">
        <f aca="false">Assumptions!H44</f>
        <v>0.8</v>
      </c>
      <c r="I23" s="4" t="n">
        <f aca="false">Assumptions!I44</f>
        <v>0.8</v>
      </c>
      <c r="J23" s="4" t="n">
        <f aca="false">Assumptions!J44</f>
        <v>0.8</v>
      </c>
      <c r="K23" s="4" t="n">
        <f aca="false">Assumptions!K44</f>
        <v>0.8</v>
      </c>
      <c r="L23" s="4" t="n">
        <f aca="false">Assumptions!L44</f>
        <v>0.8</v>
      </c>
    </row>
    <row r="24" customFormat="false" ht="15" hidden="false" customHeight="false" outlineLevel="0" collapsed="false">
      <c r="A24" s="0" t="s">
        <v>127</v>
      </c>
      <c r="C24" s="0" t="n">
        <f aca="false">-C6*C23/100</f>
        <v>-152.42968</v>
      </c>
      <c r="D24" s="0" t="n">
        <f aca="false">-D6*D23/100</f>
        <v>-157.7647188</v>
      </c>
      <c r="E24" s="0" t="n">
        <f aca="false">-E6*E23/100</f>
        <v>-164.864131146</v>
      </c>
      <c r="F24" s="0" t="n">
        <f aca="false">-F6*F23/100</f>
        <v>-172.28301704757</v>
      </c>
      <c r="G24" s="0" t="n">
        <f aca="false">-G6*G23/100</f>
        <v>-179.174337729473</v>
      </c>
      <c r="H24" s="0" t="n">
        <f aca="false">-H6*H23/100</f>
        <v>-186.341311238652</v>
      </c>
      <c r="I24" s="0" t="n">
        <f aca="false">-I6*I23/100</f>
        <v>-192.863257132004</v>
      </c>
      <c r="J24" s="0" t="n">
        <f aca="false">-J6*J23/100</f>
        <v>-198.649154845965</v>
      </c>
      <c r="K24" s="0" t="n">
        <f aca="false">-K6*K23/100</f>
        <v>-204.608629491344</v>
      </c>
      <c r="L24" s="0" t="n">
        <f aca="false">-L6*L23/100</f>
        <v>-210.746888376084</v>
      </c>
    </row>
    <row r="26" customFormat="false" ht="15" hidden="false" customHeight="false" outlineLevel="0" collapsed="false">
      <c r="A26" s="2" t="s">
        <v>128</v>
      </c>
    </row>
    <row r="27" customFormat="false" ht="15" hidden="false" customHeight="false" outlineLevel="0" collapsed="false">
      <c r="A27" s="0" t="s">
        <v>106</v>
      </c>
      <c r="B27" s="4" t="n">
        <f aca="false">Assumptions!$B$48</f>
        <v>7</v>
      </c>
    </row>
    <row r="28" customFormat="false" ht="15" hidden="false" customHeight="false" outlineLevel="0" collapsed="false">
      <c r="A28" s="0" t="s">
        <v>107</v>
      </c>
      <c r="B28" s="4" t="n">
        <f aca="false">Assumptions!$B$49</f>
        <v>3</v>
      </c>
    </row>
    <row r="29" customFormat="false" ht="15" hidden="false" customHeight="false" outlineLevel="0" collapsed="false">
      <c r="A29" s="0" t="s">
        <v>108</v>
      </c>
      <c r="B29" s="4" t="n">
        <f aca="false">Assumptions!$B$50</f>
        <v>20</v>
      </c>
    </row>
    <row r="30" customFormat="false" ht="15" hidden="false" customHeight="false" outlineLevel="0" collapsed="false">
      <c r="A30" s="0" t="s">
        <v>129</v>
      </c>
      <c r="B30" s="0" t="n">
        <f aca="false">SUM(C21:L21)</f>
        <v>30453.0945206241</v>
      </c>
    </row>
    <row r="31" customFormat="false" ht="15" hidden="false" customHeight="false" outlineLevel="0" collapsed="false">
      <c r="A31" s="0" t="s">
        <v>130</v>
      </c>
      <c r="B31" s="0" t="n">
        <f aca="false">L19</f>
        <v>5490.34519859302</v>
      </c>
    </row>
    <row r="32" customFormat="false" ht="15" hidden="false" customHeight="false" outlineLevel="0" collapsed="false">
      <c r="A32" s="0" t="s">
        <v>131</v>
      </c>
      <c r="B32" s="0" t="n">
        <f aca="false">IF(B27&gt;B28,B31*(1+B28/100)/((B27-B28)/100),B31*B29)</f>
        <v>141376.38886377</v>
      </c>
    </row>
    <row r="33" customFormat="false" ht="15" hidden="false" customHeight="false" outlineLevel="0" collapsed="false">
      <c r="A33" s="0" t="s">
        <v>132</v>
      </c>
      <c r="B33" s="0" t="n">
        <f aca="false">B31*B29</f>
        <v>109806.90397186</v>
      </c>
    </row>
    <row r="34" customFormat="false" ht="15" hidden="false" customHeight="false" outlineLevel="0" collapsed="false">
      <c r="A34" s="0" t="s">
        <v>133</v>
      </c>
      <c r="B34" s="0" t="n">
        <f aca="false">MAX(0,MIN(B32,B33))</f>
        <v>109806.90397186</v>
      </c>
    </row>
    <row r="35" customFormat="false" ht="15" hidden="false" customHeight="false" outlineLevel="0" collapsed="false">
      <c r="A35" s="0" t="s">
        <v>134</v>
      </c>
      <c r="B35" s="0" t="n">
        <f aca="false">B34/(1+B27/100)^L4</f>
        <v>55820.2619056001</v>
      </c>
    </row>
    <row r="36" customFormat="false" ht="15" hidden="false" customHeight="false" outlineLevel="0" collapsed="false">
      <c r="A36" s="0" t="s">
        <v>135</v>
      </c>
      <c r="B36" s="0" t="n">
        <f aca="false">B30+B35</f>
        <v>86273.3564262243</v>
      </c>
    </row>
    <row r="37" customFormat="false" ht="15" hidden="false" customHeight="false" outlineLevel="0" collapsed="false">
      <c r="A37" s="0" t="s">
        <v>136</v>
      </c>
      <c r="B37" s="0" t="n">
        <f aca="false">B36+Assumptions!$B$5-Assumptions!$B$4</f>
        <v>73120.3564262243</v>
      </c>
    </row>
    <row r="38" customFormat="false" ht="15" hidden="false" customHeight="false" outlineLevel="0" collapsed="false">
      <c r="A38" s="0" t="s">
        <v>137</v>
      </c>
      <c r="B38" s="0" t="n">
        <f aca="false">B37/Assumptions!$B$3*Assumptions!$B$10</f>
        <v>2476.75132889885</v>
      </c>
    </row>
    <row r="39" customFormat="false" ht="15" hidden="false" customHeight="false" outlineLevel="0" collapsed="false">
      <c r="A39" s="0" t="s">
        <v>138</v>
      </c>
      <c r="B39" s="4" t="n">
        <f aca="false">B38/Assumptions!$B$2-1</f>
        <v>0.512058198350949</v>
      </c>
    </row>
    <row r="41" customFormat="false" ht="15" hidden="false" customHeight="false" outlineLevel="0" collapsed="false">
      <c r="A41" s="0" t="s">
        <v>139</v>
      </c>
      <c r="B41" s="0" t="n">
        <f aca="false">SUMPRODUCT(-C10:L10/(1+$B$27/100)^C4:L4)</f>
        <v>391.353509052716</v>
      </c>
    </row>
    <row r="42" customFormat="false" ht="15" hidden="false" customHeight="false" outlineLevel="0" collapsed="false">
      <c r="A42" s="0" t="s">
        <v>140</v>
      </c>
      <c r="B42" s="0" t="n">
        <f aca="false">IF(B27&gt;B28,-L10*(1+B28/100)/((B27-B28)/100),-L10*20)/(1+B27/100)^L4</f>
        <v>862.086113057374</v>
      </c>
    </row>
    <row r="43" customFormat="false" ht="15" hidden="false" customHeight="false" outlineLevel="0" collapsed="false">
      <c r="A43" s="0" t="s">
        <v>141</v>
      </c>
      <c r="B43" s="0" t="n">
        <f aca="false">(B37+B41+B42)/Assumptions!$B$3*Assumptions!$B$10</f>
        <v>2519.20815489762</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47125.4629545901</v>
      </c>
    </row>
    <row r="47" customFormat="false" ht="15" hidden="false" customHeight="false" outlineLevel="0" collapsed="false">
      <c r="A47" s="0" t="s">
        <v>143</v>
      </c>
      <c r="B47" s="0" t="n">
        <f aca="false">(SUMPRODUCT(C19:L19/(1+B45/100)^C4:L4)+B46/(1+B45/100)^L4+Assumptions!$B$5-Assumptions!$B$4)/Assumptions!$B$3*Assumptions!$B$10</f>
        <v>661.465198956043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146</v>
      </c>
    </row>
    <row r="3" customFormat="false" ht="15" hidden="false" customHeight="false" outlineLevel="0" collapsed="false">
      <c r="A3" s="2" t="s">
        <v>147</v>
      </c>
      <c r="B3" s="2" t="s">
        <v>148</v>
      </c>
      <c r="C3" s="2" t="s">
        <v>138</v>
      </c>
      <c r="D3" s="2" t="s">
        <v>149</v>
      </c>
      <c r="E3" s="2" t="s">
        <v>141</v>
      </c>
      <c r="F3" s="2" t="s">
        <v>150</v>
      </c>
    </row>
    <row r="4" customFormat="false" ht="15" hidden="false" customHeight="false" outlineLevel="0" collapsed="false">
      <c r="A4" s="0" t="s">
        <v>151</v>
      </c>
      <c r="B4" s="4" t="n">
        <f aca="false">DCF_Bear!$B$38</f>
        <v>1116.46099508084</v>
      </c>
      <c r="C4" s="0" t="n">
        <f aca="false">B4/Assumptions!$B$2-1</f>
        <v>-0.31839988090303</v>
      </c>
      <c r="D4" s="4" t="n">
        <f aca="false">Assumptions!$B$24</f>
        <v>0.25</v>
      </c>
      <c r="E4" s="4" t="n">
        <f aca="false">DCF_Bear!$B$43</f>
        <v>1143.8642093595</v>
      </c>
      <c r="F4" s="4" t="n">
        <f aca="false">DCF_Bear!$B$47</f>
        <v>272.226874681053</v>
      </c>
    </row>
    <row r="5" customFormat="false" ht="15" hidden="false" customHeight="false" outlineLevel="0" collapsed="false">
      <c r="A5" s="0" t="s">
        <v>152</v>
      </c>
      <c r="B5" s="4" t="n">
        <f aca="false">DCF_Base!$B$38</f>
        <v>1889.27534928289</v>
      </c>
      <c r="C5" s="0" t="n">
        <f aca="false">B5/Assumptions!$B$2-1</f>
        <v>0.15340375414096</v>
      </c>
      <c r="D5" s="4" t="n">
        <f aca="false">Assumptions!$B$38</f>
        <v>0.5</v>
      </c>
      <c r="E5" s="4" t="n">
        <f aca="false">DCF_Base!$B$43</f>
        <v>1924.91345384385</v>
      </c>
      <c r="F5" s="4" t="n">
        <f aca="false">DCF_Base!$B$47</f>
        <v>506.241583814307</v>
      </c>
    </row>
    <row r="6" customFormat="false" ht="15" hidden="false" customHeight="false" outlineLevel="0" collapsed="false">
      <c r="A6" s="0" t="s">
        <v>153</v>
      </c>
      <c r="B6" s="4" t="n">
        <f aca="false">DCF_Bull!$B$38</f>
        <v>2476.75132889885</v>
      </c>
      <c r="C6" s="0" t="n">
        <f aca="false">B6/Assumptions!$B$2-1</f>
        <v>0.512058198350949</v>
      </c>
      <c r="D6" s="4" t="n">
        <f aca="false">Assumptions!$B$52</f>
        <v>0.25</v>
      </c>
      <c r="E6" s="4" t="n">
        <f aca="false">DCF_Bull!$B$43</f>
        <v>2519.20815489762</v>
      </c>
      <c r="F6" s="4" t="n">
        <f aca="false">DCF_Bull!$B$47</f>
        <v>661.465198956043</v>
      </c>
    </row>
    <row r="8" customFormat="false" ht="15" hidden="false" customHeight="false" outlineLevel="0" collapsed="false">
      <c r="A8" s="0" t="s">
        <v>154</v>
      </c>
      <c r="B8" s="0" t="n">
        <f aca="false">SUMPRODUCT(B4:B6,D4:D6)</f>
        <v>1842.94075563637</v>
      </c>
    </row>
    <row r="9" customFormat="false" ht="15" hidden="false" customHeight="false" outlineLevel="0" collapsed="false">
      <c r="A9" s="0" t="s">
        <v>155</v>
      </c>
      <c r="B9" s="0" t="n">
        <f aca="false">SUMPRODUCT(E4:E6,D4:D6)</f>
        <v>1878.2248179862</v>
      </c>
    </row>
    <row r="10" customFormat="false" ht="15" hidden="false" customHeight="false" outlineLevel="0" collapsed="false">
      <c r="A10" s="0" t="s">
        <v>156</v>
      </c>
      <c r="B10" s="0" t="n">
        <f aca="false">1-Assumptions!$B$2/B8</f>
        <v>0.111203116545981</v>
      </c>
    </row>
    <row r="11" customFormat="false" ht="15" hidden="false" customHeight="false" outlineLevel="0" collapsed="false">
      <c r="A11" s="0" t="s">
        <v>157</v>
      </c>
      <c r="B11" s="0" t="n">
        <f aca="false">IF(ABS(B9-B8)&gt;0.01*ABS(B8),(Assumptions!$B$2-B8)/(B9-B8)*100,"n/a")</f>
        <v>-580.830953092726</v>
      </c>
    </row>
    <row r="12" customFormat="false" ht="15" hidden="false" customHeight="false" outlineLevel="0" collapsed="false">
      <c r="A12" s="0" t="s">
        <v>158</v>
      </c>
      <c r="B12" s="0" t="n">
        <f aca="false">SUMPRODUCT(F4:F6,D4:D6)</f>
        <v>486.543810316427</v>
      </c>
    </row>
    <row r="14" customFormat="false" ht="15" hidden="false" customHeight="false" outlineLevel="0" collapsed="false">
      <c r="A14" s="2" t="s">
        <v>159</v>
      </c>
      <c r="C14" s="0" t="s">
        <v>160</v>
      </c>
    </row>
    <row r="15" customFormat="false" ht="15" hidden="false" customHeight="false" outlineLevel="0" collapsed="false">
      <c r="A15" s="0" t="s">
        <v>161</v>
      </c>
      <c r="B15" s="0" t="n">
        <f aca="false">(SUMPRODUCT(DCF_Base!$C$19:$L$19/(1+$C$15/100)^DCF_Base!$C$4:$L$4)+MAX(0,MIN(IF($C$15&gt;DCF_Base!$B$28,DCF_Base!$L$19*(1+DCF_Base!$B$28/100)/(($C$15-DCF_Base!$B$28)/100),DCF_Base!$L$19*DCF_Base!$B$29),DCF_Base!$L$19*DCF_Base!$B$29))/(1+$C$15/100)^DCF_Base!$L$4+Assumptions!$B$5-Assumptions!$B$4)/Assumptions!$B$3*Assumptions!$B$10</f>
        <v>1889.27534928289</v>
      </c>
      <c r="C15" s="3" t="n">
        <v>7</v>
      </c>
    </row>
    <row r="16" customFormat="false" ht="15" hidden="false" customHeight="false" outlineLevel="0" collapsed="false">
      <c r="A16" s="0" t="s">
        <v>162</v>
      </c>
      <c r="B16" s="0" t="n">
        <f aca="false">(SUMPRODUCT(DCF_Base!$C$19:$L$19/(1+$C$16/100)^DCF_Base!$C$4:$L$4)+MAX(0,MIN(IF($C$16&gt;DCF_Base!$B$28,DCF_Base!$L$19*(1+DCF_Base!$B$28/100)/(($C$16-DCF_Base!$B$28)/100),DCF_Base!$L$19*DCF_Base!$B$29),DCF_Base!$L$19*DCF_Base!$B$29))/(1+$C$16/100)^DCF_Base!$L$4+Assumptions!$B$5-Assumptions!$B$4)/Assumptions!$B$3*Assumptions!$B$10</f>
        <v>1418.441332339</v>
      </c>
      <c r="C16" s="3" t="n">
        <v>9</v>
      </c>
    </row>
    <row r="17" customFormat="false" ht="15" hidden="false" customHeight="false" outlineLevel="0" collapsed="false">
      <c r="A17" s="0" t="s">
        <v>163</v>
      </c>
      <c r="B17" s="0" t="n">
        <f aca="false">(SUMPRODUCT(DCF_Base!$C$19:$L$19/(1+$C$17/100)^DCF_Base!$C$4:$L$4)+MAX(0,MIN(IF($C$17&gt;DCF_Base!$B$28,DCF_Base!$L$19*(1+DCF_Base!$B$28/100)/(($C$17-DCF_Base!$B$28)/100),DCF_Base!$L$19*DCF_Base!$B$29),DCF_Base!$L$19*DCF_Base!$B$29))/(1+$C$17/100)^DCF_Base!$L$4+Assumptions!$B$5-Assumptions!$B$4)/Assumptions!$B$3*Assumptions!$B$10</f>
        <v>1164.3802630612</v>
      </c>
      <c r="C17" s="3" t="n">
        <v>10</v>
      </c>
    </row>
    <row r="18" customFormat="false" ht="15" hidden="false" customHeight="false" outlineLevel="0" collapsed="false">
      <c r="A18" s="0" t="s">
        <v>164</v>
      </c>
      <c r="B18" s="0" t="n">
        <f aca="false">(SUMPRODUCT(DCF_Base!$C$19:$L$19/(1+$C$18/100)^DCF_Base!$C$4:$L$4)+MAX(0,MIN(IF($C$18&gt;DCF_Base!$B$28,DCF_Base!$L$19*(1+DCF_Base!$B$28/100)/(($C$18-DCF_Base!$B$28)/100),DCF_Base!$L$19*DCF_Base!$B$29),DCF_Base!$L$19*DCF_Base!$B$29))/(1+$C$18/100)^DCF_Base!$L$4+Assumptions!$B$5-Assumptions!$B$4)/Assumptions!$B$3*Assumptions!$B$10</f>
        <v>970.354982934124</v>
      </c>
      <c r="C18" s="3" t="n">
        <v>11</v>
      </c>
    </row>
    <row r="19" customFormat="false" ht="15" hidden="false" customHeight="false" outlineLevel="0" collapsed="false">
      <c r="A19" s="0" t="s">
        <v>165</v>
      </c>
      <c r="B19" s="0" t="n">
        <f aca="false">(SUMPRODUCT(DCF_Base!$C$19:$L$19/(1+$C$19/100)^DCF_Base!$C$4:$L$4)+MAX(0,MIN(IF($C$19&gt;DCF_Base!$B$28,DCF_Base!$L$19*(1+DCF_Base!$B$28/100)/(($C$19-DCF_Base!$B$28)/100),DCF_Base!$L$19*DCF_Base!$B$29),DCF_Base!$L$19*DCF_Base!$B$29))/(1+$C$19/100)^DCF_Base!$L$4+Assumptions!$B$5-Assumptions!$B$4)/Assumptions!$B$3*Assumptions!$B$10</f>
        <v>817.393084524458</v>
      </c>
      <c r="C19" s="3" t="n">
        <v>12</v>
      </c>
    </row>
    <row r="20" customFormat="false" ht="15" hidden="false" customHeight="false" outlineLevel="0" collapsed="false">
      <c r="A20" s="0" t="s">
        <v>166</v>
      </c>
      <c r="B20" s="0" t="n">
        <f aca="false">(SUMPRODUCT(DCF_Base!$C$19:$L$19/(1+$C$20/100)^DCF_Base!$C$4:$L$4)+MAX(0,MIN(IF($C$20&gt;DCF_Base!$B$28,DCF_Base!$L$19*(1+DCF_Base!$B$28/100)/(($C$20-DCF_Base!$B$28)/100),DCF_Base!$L$19*DCF_Base!$B$29),DCF_Base!$L$19*DCF_Base!$B$29))/(1+$C$20/100)^DCF_Base!$L$4+Assumptions!$B$5-Assumptions!$B$4)/Assumptions!$B$3*Assumptions!$B$10</f>
        <v>506.241583814307</v>
      </c>
      <c r="C20" s="3" t="n">
        <v>15</v>
      </c>
    </row>
    <row r="22" customFormat="false" ht="15" hidden="false" customHeight="false" outlineLevel="0" collapsed="false">
      <c r="A22" s="2" t="s">
        <v>167</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5</v>
      </c>
      <c r="B24" s="0" t="n">
        <f aca="false">(SUMPRODUCT(DCF_Base!$C$19:$L$19/(1+$A$24/100)^DCF_Base!$C$4:$L$4)+MAX(0,MIN(IF($A$24&gt;$B$23,DCF_Base!$L$19*(1+$B$23/100)/(($A$24-$B$23)/100),DCF_Base!$L$19*DCF_Base!$B$29),DCF_Base!$L$19*DCF_Base!$B$29))/(1+$A$24/100)^DCF_Base!$L$4+Assumptions!$B$5-Assumptions!$B$4)/Assumptions!$B$3*Assumptions!$B$10</f>
        <v>2281.76256199416</v>
      </c>
      <c r="C24" s="0" t="n">
        <f aca="false">(SUMPRODUCT(DCF_Base!$C$19:$L$19/(1+$A$24/100)^DCF_Base!$C$4:$L$4)+MAX(0,MIN(IF($A$24&gt;$C$23,DCF_Base!$L$19*(1+$C$23/100)/(($A$24-$C$23)/100),DCF_Base!$L$19*DCF_Base!$B$29),DCF_Base!$L$19*DCF_Base!$B$29))/(1+$A$24/100)^DCF_Base!$L$4+Assumptions!$B$5-Assumptions!$B$4)/Assumptions!$B$3*Assumptions!$B$10</f>
        <v>2281.76256199416</v>
      </c>
      <c r="D24" s="0" t="n">
        <f aca="false">(SUMPRODUCT(DCF_Base!$C$19:$L$19/(1+$A$24/100)^DCF_Base!$C$4:$L$4)+MAX(0,MIN(IF($A$24&gt;$D$23,DCF_Base!$L$19*(1+$D$23/100)/(($A$24-$D$23)/100),DCF_Base!$L$19*DCF_Base!$B$29),DCF_Base!$L$19*DCF_Base!$B$29))/(1+$A$24/100)^DCF_Base!$L$4+Assumptions!$B$5-Assumptions!$B$4)/Assumptions!$B$3*Assumptions!$B$10</f>
        <v>2281.76256199416</v>
      </c>
      <c r="E24" s="0" t="n">
        <f aca="false">(SUMPRODUCT(DCF_Base!$C$19:$L$19/(1+$A$24/100)^DCF_Base!$C$4:$L$4)+MAX(0,MIN(IF($A$24&gt;$E$23,DCF_Base!$L$19*(1+$E$23/100)/(($A$24-$E$23)/100),DCF_Base!$L$19*DCF_Base!$B$29),DCF_Base!$L$19*DCF_Base!$B$29))/(1+$A$24/100)^DCF_Base!$L$4+Assumptions!$B$5-Assumptions!$B$4)/Assumptions!$B$3*Assumptions!$B$10</f>
        <v>2281.76256199416</v>
      </c>
      <c r="F24" s="0" t="n">
        <f aca="false">(SUMPRODUCT(DCF_Base!$C$19:$L$19/(1+$A$24/100)^DCF_Base!$C$4:$L$4)+MAX(0,MIN(IF($A$24&gt;$F$23,DCF_Base!$L$19*(1+$F$23/100)/(($A$24-$F$23)/100),DCF_Base!$L$19*DCF_Base!$B$29),DCF_Base!$L$19*DCF_Base!$B$29))/(1+$A$24/100)^DCF_Base!$L$4+Assumptions!$B$5-Assumptions!$B$4)/Assumptions!$B$3*Assumptions!$B$10</f>
        <v>2281.76256199416</v>
      </c>
    </row>
    <row r="25" customFormat="false" ht="15" hidden="false" customHeight="false" outlineLevel="0" collapsed="false">
      <c r="A25" s="3" t="n">
        <v>6</v>
      </c>
      <c r="B25" s="0" t="n">
        <f aca="false">(SUMPRODUCT(DCF_Base!$C$19:$L$19/(1+$A$25/100)^DCF_Base!$C$4:$L$4)+MAX(0,MIN(IF($A$25&gt;$B$23,DCF_Base!$L$19*(1+$B$23/100)/(($A$25-$B$23)/100),DCF_Base!$L$19*DCF_Base!$B$29),DCF_Base!$L$19*DCF_Base!$B$29))/(1+$A$25/100)^DCF_Base!$L$4+Assumptions!$B$5-Assumptions!$B$4)/Assumptions!$B$3*Assumptions!$B$10</f>
        <v>2076.05363445551</v>
      </c>
      <c r="C25" s="0" t="n">
        <f aca="false">(SUMPRODUCT(DCF_Base!$C$19:$L$19/(1+$A$25/100)^DCF_Base!$C$4:$L$4)+MAX(0,MIN(IF($A$25&gt;$C$23,DCF_Base!$L$19*(1+$C$23/100)/(($A$25-$C$23)/100),DCF_Base!$L$19*DCF_Base!$B$29),DCF_Base!$L$19*DCF_Base!$B$29))/(1+$A$25/100)^DCF_Base!$L$4+Assumptions!$B$5-Assumptions!$B$4)/Assumptions!$B$3*Assumptions!$B$10</f>
        <v>2076.05363445551</v>
      </c>
      <c r="D25" s="0" t="n">
        <f aca="false">(SUMPRODUCT(DCF_Base!$C$19:$L$19/(1+$A$25/100)^DCF_Base!$C$4:$L$4)+MAX(0,MIN(IF($A$25&gt;$D$23,DCF_Base!$L$19*(1+$D$23/100)/(($A$25-$D$23)/100),DCF_Base!$L$19*DCF_Base!$B$29),DCF_Base!$L$19*DCF_Base!$B$29))/(1+$A$25/100)^DCF_Base!$L$4+Assumptions!$B$5-Assumptions!$B$4)/Assumptions!$B$3*Assumptions!$B$10</f>
        <v>2076.05363445551</v>
      </c>
      <c r="E25" s="0" t="n">
        <f aca="false">(SUMPRODUCT(DCF_Base!$C$19:$L$19/(1+$A$25/100)^DCF_Base!$C$4:$L$4)+MAX(0,MIN(IF($A$25&gt;$E$23,DCF_Base!$L$19*(1+$E$23/100)/(($A$25-$E$23)/100),DCF_Base!$L$19*DCF_Base!$B$29),DCF_Base!$L$19*DCF_Base!$B$29))/(1+$A$25/100)^DCF_Base!$L$4+Assumptions!$B$5-Assumptions!$B$4)/Assumptions!$B$3*Assumptions!$B$10</f>
        <v>2076.05363445551</v>
      </c>
      <c r="F25" s="0" t="n">
        <f aca="false">(SUMPRODUCT(DCF_Base!$C$19:$L$19/(1+$A$25/100)^DCF_Base!$C$4:$L$4)+MAX(0,MIN(IF($A$25&gt;$F$23,DCF_Base!$L$19*(1+$F$23/100)/(($A$25-$F$23)/100),DCF_Base!$L$19*DCF_Base!$B$29),DCF_Base!$L$19*DCF_Base!$B$29))/(1+$A$25/100)^DCF_Base!$L$4+Assumptions!$B$5-Assumptions!$B$4)/Assumptions!$B$3*Assumptions!$B$10</f>
        <v>2076.05363445551</v>
      </c>
    </row>
    <row r="26" customFormat="false" ht="15" hidden="false" customHeight="false" outlineLevel="0" collapsed="false">
      <c r="A26" s="3" t="n">
        <v>7</v>
      </c>
      <c r="B26" s="0" t="n">
        <f aca="false">(SUMPRODUCT(DCF_Base!$C$19:$L$19/(1+$A$26/100)^DCF_Base!$C$4:$L$4)+MAX(0,MIN(IF($A$26&gt;$B$23,DCF_Base!$L$19*(1+$B$23/100)/(($A$26-$B$23)/100),DCF_Base!$L$19*DCF_Base!$B$29),DCF_Base!$L$19*DCF_Base!$B$29))/(1+$A$26/100)^DCF_Base!$L$4+Assumptions!$B$5-Assumptions!$B$4)/Assumptions!$B$3*Assumptions!$B$10</f>
        <v>1889.27534928289</v>
      </c>
      <c r="C26" s="0" t="n">
        <f aca="false">(SUMPRODUCT(DCF_Base!$C$19:$L$19/(1+$A$26/100)^DCF_Base!$C$4:$L$4)+MAX(0,MIN(IF($A$26&gt;$C$23,DCF_Base!$L$19*(1+$C$23/100)/(($A$26-$C$23)/100),DCF_Base!$L$19*DCF_Base!$B$29),DCF_Base!$L$19*DCF_Base!$B$29))/(1+$A$26/100)^DCF_Base!$L$4+Assumptions!$B$5-Assumptions!$B$4)/Assumptions!$B$3*Assumptions!$B$10</f>
        <v>1889.27534928289</v>
      </c>
      <c r="D26" s="0" t="n">
        <f aca="false">(SUMPRODUCT(DCF_Base!$C$19:$L$19/(1+$A$26/100)^DCF_Base!$C$4:$L$4)+MAX(0,MIN(IF($A$26&gt;$D$23,DCF_Base!$L$19*(1+$D$23/100)/(($A$26-$D$23)/100),DCF_Base!$L$19*DCF_Base!$B$29),DCF_Base!$L$19*DCF_Base!$B$29))/(1+$A$26/100)^DCF_Base!$L$4+Assumptions!$B$5-Assumptions!$B$4)/Assumptions!$B$3*Assumptions!$B$10</f>
        <v>1889.27534928289</v>
      </c>
      <c r="E26" s="0" t="n">
        <f aca="false">(SUMPRODUCT(DCF_Base!$C$19:$L$19/(1+$A$26/100)^DCF_Base!$C$4:$L$4)+MAX(0,MIN(IF($A$26&gt;$E$23,DCF_Base!$L$19*(1+$E$23/100)/(($A$26-$E$23)/100),DCF_Base!$L$19*DCF_Base!$B$29),DCF_Base!$L$19*DCF_Base!$B$29))/(1+$A$26/100)^DCF_Base!$L$4+Assumptions!$B$5-Assumptions!$B$4)/Assumptions!$B$3*Assumptions!$B$10</f>
        <v>1889.27534928289</v>
      </c>
      <c r="F26" s="0" t="n">
        <f aca="false">(SUMPRODUCT(DCF_Base!$C$19:$L$19/(1+$A$26/100)^DCF_Base!$C$4:$L$4)+MAX(0,MIN(IF($A$26&gt;$F$23,DCF_Base!$L$19*(1+$F$23/100)/(($A$26-$F$23)/100),DCF_Base!$L$19*DCF_Base!$B$29),DCF_Base!$L$19*DCF_Base!$B$29))/(1+$A$26/100)^DCF_Base!$L$4+Assumptions!$B$5-Assumptions!$B$4)/Assumptions!$B$3*Assumptions!$B$10</f>
        <v>1889.27534928289</v>
      </c>
    </row>
    <row r="27" customFormat="false" ht="15" hidden="false" customHeight="false" outlineLevel="0" collapsed="false">
      <c r="A27" s="3" t="n">
        <v>8</v>
      </c>
      <c r="B27" s="0" t="n">
        <f aca="false">(SUMPRODUCT(DCF_Base!$C$19:$L$19/(1+$A$27/100)^DCF_Base!$C$4:$L$4)+MAX(0,MIN(IF($A$27&gt;$B$23,DCF_Base!$L$19*(1+$B$23/100)/(($A$27-$B$23)/100),DCF_Base!$L$19*DCF_Base!$B$29),DCF_Base!$L$19*DCF_Base!$B$29))/(1+$A$27/100)^DCF_Base!$L$4+Assumptions!$B$5-Assumptions!$B$4)/Assumptions!$B$3*Assumptions!$B$10</f>
        <v>1547.7527209833</v>
      </c>
      <c r="C27" s="0" t="n">
        <f aca="false">(SUMPRODUCT(DCF_Base!$C$19:$L$19/(1+$A$27/100)^DCF_Base!$C$4:$L$4)+MAX(0,MIN(IF($A$27&gt;$C$23,DCF_Base!$L$19*(1+$C$23/100)/(($A$27-$C$23)/100),DCF_Base!$L$19*DCF_Base!$B$29),DCF_Base!$L$19*DCF_Base!$B$29))/(1+$A$27/100)^DCF_Base!$L$4+Assumptions!$B$5-Assumptions!$B$4)/Assumptions!$B$3*Assumptions!$B$10</f>
        <v>1647.46669396477</v>
      </c>
      <c r="D27" s="0" t="n">
        <f aca="false">(SUMPRODUCT(DCF_Base!$C$19:$L$19/(1+$A$27/100)^DCF_Base!$C$4:$L$4)+MAX(0,MIN(IF($A$27&gt;$D$23,DCF_Base!$L$19*(1+$D$23/100)/(($A$27-$D$23)/100),DCF_Base!$L$19*DCF_Base!$B$29),DCF_Base!$L$19*DCF_Base!$B$29))/(1+$A$27/100)^DCF_Base!$L$4+Assumptions!$B$5-Assumptions!$B$4)/Assumptions!$B$3*Assumptions!$B$10</f>
        <v>1719.48234111805</v>
      </c>
      <c r="E27" s="0" t="n">
        <f aca="false">(SUMPRODUCT(DCF_Base!$C$19:$L$19/(1+$A$27/100)^DCF_Base!$C$4:$L$4)+MAX(0,MIN(IF($A$27&gt;$E$23,DCF_Base!$L$19*(1+$E$23/100)/(($A$27-$E$23)/100),DCF_Base!$L$19*DCF_Base!$B$29),DCF_Base!$L$19*DCF_Base!$B$29))/(1+$A$27/100)^DCF_Base!$L$4+Assumptions!$B$5-Assumptions!$B$4)/Assumptions!$B$3*Assumptions!$B$10</f>
        <v>1719.48234111805</v>
      </c>
      <c r="F27" s="0" t="n">
        <f aca="false">(SUMPRODUCT(DCF_Base!$C$19:$L$19/(1+$A$27/100)^DCF_Base!$C$4:$L$4)+MAX(0,MIN(IF($A$27&gt;$F$23,DCF_Base!$L$19*(1+$F$23/100)/(($A$27-$F$23)/100),DCF_Base!$L$19*DCF_Base!$B$29),DCF_Base!$L$19*DCF_Base!$B$29))/(1+$A$27/100)^DCF_Base!$L$4+Assumptions!$B$5-Assumptions!$B$4)/Assumptions!$B$3*Assumptions!$B$10</f>
        <v>1719.48234111805</v>
      </c>
    </row>
    <row r="28" customFormat="false" ht="15" hidden="false" customHeight="false" outlineLevel="0" collapsed="false">
      <c r="A28" s="3" t="n">
        <v>9</v>
      </c>
      <c r="B28" s="0" t="n">
        <f aca="false">(SUMPRODUCT(DCF_Base!$C$19:$L$19/(1+$A$28/100)^DCF_Base!$C$4:$L$4)+MAX(0,MIN(IF($A$28&gt;$B$23,DCF_Base!$L$19*(1+$B$23/100)/(($A$28-$B$23)/100),DCF_Base!$L$19*DCF_Base!$B$29),DCF_Base!$L$19*DCF_Base!$B$29))/(1+$A$28/100)^DCF_Base!$L$4+Assumptions!$B$5-Assumptions!$B$4)/Assumptions!$B$3*Assumptions!$B$10</f>
        <v>1271.59898404233</v>
      </c>
      <c r="C28" s="0" t="n">
        <f aca="false">(SUMPRODUCT(DCF_Base!$C$19:$L$19/(1+$A$28/100)^DCF_Base!$C$4:$L$4)+MAX(0,MIN(IF($A$28&gt;$C$23,DCF_Base!$L$19*(1+$C$23/100)/(($A$28-$C$23)/100),DCF_Base!$L$19*DCF_Base!$B$29),DCF_Base!$L$19*DCF_Base!$B$29))/(1+$A$28/100)^DCF_Base!$L$4+Assumptions!$B$5-Assumptions!$B$4)/Assumptions!$B$3*Assumptions!$B$10</f>
        <v>1339.77578860864</v>
      </c>
      <c r="D28" s="0" t="n">
        <f aca="false">(SUMPRODUCT(DCF_Base!$C$19:$L$19/(1+$A$28/100)^DCF_Base!$C$4:$L$4)+MAX(0,MIN(IF($A$28&gt;$D$23,DCF_Base!$L$19*(1+$D$23/100)/(($A$28-$D$23)/100),DCF_Base!$L$19*DCF_Base!$B$29),DCF_Base!$L$19*DCF_Base!$B$29))/(1+$A$28/100)^DCF_Base!$L$4+Assumptions!$B$5-Assumptions!$B$4)/Assumptions!$B$3*Assumptions!$B$10</f>
        <v>1418.441332339</v>
      </c>
      <c r="E28" s="0" t="n">
        <f aca="false">(SUMPRODUCT(DCF_Base!$C$19:$L$19/(1+$A$28/100)^DCF_Base!$C$4:$L$4)+MAX(0,MIN(IF($A$28&gt;$E$23,DCF_Base!$L$19*(1+$E$23/100)/(($A$28-$E$23)/100),DCF_Base!$L$19*DCF_Base!$B$29),DCF_Base!$L$19*DCF_Base!$B$29))/(1+$A$28/100)^DCF_Base!$L$4+Assumptions!$B$5-Assumptions!$B$4)/Assumptions!$B$3*Assumptions!$B$10</f>
        <v>1510.21780002442</v>
      </c>
      <c r="F28" s="0" t="n">
        <f aca="false">(SUMPRODUCT(DCF_Base!$C$19:$L$19/(1+$A$28/100)^DCF_Base!$C$4:$L$4)+MAX(0,MIN(IF($A$28&gt;$F$23,DCF_Base!$L$19*(1+$F$23/100)/(($A$28-$F$23)/100),DCF_Base!$L$19*DCF_Base!$B$29),DCF_Base!$L$19*DCF_Base!$B$29))/(1+$A$28/100)^DCF_Base!$L$4+Assumptions!$B$5-Assumptions!$B$4)/Assumptions!$B$3*Assumptions!$B$10</f>
        <v>1564.94688625884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2026-10-09T22:58:40Z</dcterms:created>
  <dc:creator>openpyxl</dc:creator>
  <dc:description/>
  <dc:language>en-NZ</dc:language>
  <cp:lastModifiedBy/>
  <dcterms:modified xsi:type="dcterms:W3CDTF">2026-10-09T22:58:40Z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