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<sst xmlns="http://schemas.openxmlformats.org/spreadsheetml/2006/main" count="383" uniqueCount="173">
  <si>
    <t xml:space="preserve">Ticker</t>
  </si>
  <si>
    <t xml:space="preserve">MU</t>
  </si>
  <si>
    <t xml:space="preserve">Company</t>
  </si>
  <si>
    <t xml:space="preserve">Micron Technology,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</si>
  <si>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</si>
  <si>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</si>
  <si>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</si>
  <si>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</si>
  <si>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(Yahoo Finance chart API); 52-week range 179.61-1255.00</t>
  </si>
  <si>
    <t xml:space="preserve">Balance sheet date</t>
  </si>
  <si>
    <t xml:space="preserve">2026-09-03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</si>
  <si>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</si>
  <si>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</si>
  <si>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</si>
  <si>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</si>
  <si>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</si>
  <si>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</si>
  <si>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</si>
  <si>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</si>
  <si>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</si>
  <si>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</si>
  <si>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2026-10-02T02:34:05Z</t>
  </si>
  <si>
    <t xml:space="preserve">Drivers file</t>
  </si>
  <si>
    <t xml:space="preserve">MU_Drivers.json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</si>
  <si>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</si>
  <si>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</si>
  <si>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</si>
  <si>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memory maker is valued on its mid-cycle owner FCF plus the present value of the super-normal cash it banks before the cycle turns, never on the peak-year run-rate. FY26-27 are the peak: revenue is 6-8x cash cost against a 2.7x prior record, and the market capitalisation (~$1.26tn) is roughly 7x FY27 earnings - which is the market itself saying a steep decline follows. The DCF therefore spends its effort on (i) how much cash arrives in FY27-28 (anchored to guidance, ~$240bn owner FCF in the base), (ii) how deep and how long the FY29-31 normalisation is, and (iii) what mid-cycle margin the SCAs, HBM mix and oligopoly structure make durable. House basis expenses SBC including the withholding paid on vested shares; interest income is stripped and the cash pile added once; the $12.9bn of customer deposits is treated as prepaid revenue (debt-like). Terminal value capped at 11-14x mid-cycle FCF, the range a buyer pays for a cyclical commodity producer.
key_risks_to_valuation: Cycle timing and depth: a one-year delay in the FY29 downturn adds ~$100bn of owner FCF (~$75/share after discounting); an earlier or deeper bust (bear) removes it. The base's -41% cumulative decline is a judgment, not a forecast.; Mid-cycle margin: each 5pp on the FY32-36 EBITDA margin is worth roughly $60-70/share through the terminal value. The 57-58% base rests on SCA floors (35% of bits, &gt;61% GM) that have never been tested in a down-market.; Terminal multiple: 13x mid-cycle FCF vs 11x or 15x moves base value by ~+/-$55/share; the market today pays what is effectively a growth multiple on peak FCF.; Working-capital and tax unwind: FY26 OCF benefited from ~$8bn of deferred income tax (noncurrent taxes payable) and receivables ballooned to $36bn; both reverse in FY27-29 and are only approximated here (18% FY27 cash tax, -12% WC capture).; Capex escalation: FY27 capex is guided up (construction for late-2028 clean rooms) without a number; every $5bn/yr above the modelled ~$39-42bn is ~$4/share per year.; Geopolitics: US export controls and China's exclusion of Micron from critical infrastructure (CXMT/YMTC gaining) are priced through the share assumptions only indirectly.; Price volatility: the stock has moved 179.61-1255.00 in 52 weeks; the Yahoo close is a point estimate and the upside figures move daily.</t>
  </si>
  <si>
    <t xml:space="preserve">Data sources</t>
  </si>
  <si>
    <t xml:space="preserve">price: Yahoo Finance chart API regular close at inputs.price_as_of; 52-week range 179.61-1255.00
financials: Micron 8-K EX-99.1 earnings release 2026-09-30 (acc. 0000723125-26-000018: FY26 income statement, 3-Sep-2026 balance sheet, FY26 cash flow statement, GAAP/non-GAAP reconciliation incl. adjusted FCF and FQ1-27 outlook); 10-Q for the quarter ended 2026-05-28 (acc. 0000723125-26-000015: SBC by caption, equity-award withholding, Pillar Two tax note, strategic customer agreement and deposit disclosures); research/MU/Reports/MU_Metrics.csv (SEC XBRL, FY2008-Q3 FY26, quarter labels shifted one quarter late) for the cycle history.
qualitative: research/MU/Reports/MU_Analysis.json (2026-10-02); Q4 FY26 earnings-call transcript (fool.com, 2026-10-01): 26 SCAs covering ~35% of bits through 2030, &gt;75% of FY27 shipments committed, FQ1-27 single-digit sequential bit growth, HBM pricing reset higher for CY27, FY27 construction capex increase for late-2028 clean rooms, 'no line of sight to when supply and demand balances'.</t>
  </si>
  <si>
    <t xml:space="preserve">Scenario narrative: bear</t>
  </si>
  <si>
    <t xml:space="preserve">Classic memory bust from H2 FY27: inventory digestion, competitor bit growth, HBM4E share loss and floor renegotiations take revenue down 49% to FY30 with a 32% trough margin; the business reverts to its 42% historical mid-cycle margin at 26% capex intensity.</t>
  </si>
  <si>
    <t xml:space="preserve">Scenario narrative: base</t>
  </si>
  <si>
    <t xml:space="preserve">Peak-and-normalise: FY27-28 at ~$245bn/86-82% margins (guidance-anchored), a 41% three-year revenue bust in FY29-31 as 2026-28 clean-room capex yields bits into an AI-capex digestion, then a structurally better mid-cycle (57-58% EBITDA margin vs a 42% FY14-25 average) because SCA floors cover ~35% of bits through 2030 and HBM/data-centre mix is permanent. Valued as a cyclical at 13x mid-cycle FCF.</t>
  </si>
  <si>
    <t xml:space="preserve">Scenario narrative: bull</t>
  </si>
  <si>
    <t xml:space="preserve">Durable supercycle: structurally constrained supply (HBM trade ratios, diminishing node returns, multi-year clean-room lead times) plus compounding agentic-AI demand keeps the market tight through 2030; SCAs extend and reset higher; revenue plateaus near $230-310bn at 66-68% margins. The market price today roughly equals this case.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</si>
  <si>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</si>
  <si>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</si>
  <si>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</si>
  <si>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</si>
  <si>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</si>
  <si>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</si>
  <si>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</si>
  <si>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</si>
  <si>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</si>
  <si>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</si>
  <si>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</si>
  <si>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</si>
  <si>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</si>
  <si>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</si>
  <si>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</si>
  <si>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</si>
  <si>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</si>
  <si>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</si>
  <si>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</si>
  <si>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</si>
  <si>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</si>
  <si>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</si>
  <si>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</si>
  <si>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</si>
  <si>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</si>
  <si>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</si>
  <si>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</si>
  <si>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</si>
  <si>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</si>
  <si>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</si>
  <si>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</si>
  <si>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</si>
  <si>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</si>
  <si>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</si>
  <si>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</si>
  <si>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</si>
  <si>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</si>
  <si>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</si>
  <si>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</si>
  <si>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</si>
  <si>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</si>
  <si>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</si>
  <si>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</si>
  <si>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</si>
  <si>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</si>
  <si>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</si>
  <si>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</si>
  <si>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</si>
  <si>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</si>
  <si>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</si>
  <si>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</si>
  <si>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</si>
  <si>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</si>
  <si>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</si>
  <si>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</si>
  <si>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</si>
  <si>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</si>
  <si>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</si>
  <si>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</si>
  <si>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</si>
  <si>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</si>
  <si>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</si>
  <si>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</si>
  <si>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</si>
  <si>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</si>
  <si>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</si>
  <si>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</si>
  <si>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</si>
  <si>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</si>
  <si>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</si>
  <si>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</si>
  <si>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</si>
  <si>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</si>
  <si>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</si>
  <si>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</si>
  <si>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</si>
  <si>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</si>
  <si>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</si>
  <si>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</si>
  <si>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</si>
  <si>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</si>
  <si>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</si>
  <si>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</si>
  <si>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MU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</si>
  <si>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</si>
  <si>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</si>
  <si>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</si>
  <si>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</si>
  <si>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</si>
  <si>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</si>
  <si>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</si>
  <si>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</si>
  <si>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</si>
  <si>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</si>
  <si>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</si>
  <si>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</si>
  <si>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</si>
  <si>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</si>
  <si>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</si>
  <si>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</si>
  <si>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</si>
  <si>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</si>
  <si>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</si>
  <si>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</si>
  <si>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</si>
  <si>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</si>
  <si>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</si>
  <si>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</si>
  <si>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</si>
  <si>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</si>
  <si>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</si>
  <si>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</si>
  <si>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</si>
  <si>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</si>
  <si>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MU owner-FCF component DCF: base case (millions, USD)</t>
  </si>
  <si>
    <t xml:space="preserve">MU owner-FCF component DCF: bull case (millions, USD)</t>
  </si>
  <si>
    <t xml:space="preserve">MU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</si>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</sst>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1097.39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9390</v>
      </c>
      <c r="S2" s="0" t="n">
        <v>1243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4803</v>
      </c>
      <c r="C3" s="0" t="n">
        <v>5243</v>
      </c>
      <c r="D3" s="0" t="n">
        <v>-440</v>
      </c>
      <c r="E3" s="0" t="n">
        <v>-9.16094107849261</v>
      </c>
      <c r="F3" s="0" t="n">
        <v>-1676</v>
      </c>
      <c r="G3" s="0" t="n">
        <v>-34.8948573808037</v>
      </c>
      <c r="H3" s="0" t="n">
        <v>438</v>
      </c>
      <c r="I3" s="0" t="n">
        <v>-1993</v>
      </c>
      <c r="J3" s="0" t="n">
        <v>-41.4948990214449</v>
      </c>
      <c r="K3" s="0" t="n">
        <v>-2.35</v>
      </c>
      <c r="L3" s="0" t="n">
        <v>1206</v>
      </c>
      <c r="M3" s="0" t="n">
        <v>488</v>
      </c>
      <c r="N3" s="0" t="n">
        <v>718</v>
      </c>
      <c r="O3" s="0" t="n">
        <v>6939</v>
      </c>
      <c r="P3" s="0" t="n">
        <v>11459</v>
      </c>
      <c r="Q3" s="0" t="n">
        <v>4520</v>
      </c>
      <c r="R3" s="0" t="n">
        <v>2803</v>
      </c>
      <c r="S3" s="0" t="n">
        <v>1485</v>
      </c>
      <c r="T3" s="0" t="n">
        <v>800.7</v>
      </c>
      <c r="U3" s="0" t="n">
        <v>44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8482</v>
      </c>
      <c r="C4" s="0" t="n">
        <v>5768</v>
      </c>
      <c r="D4" s="0" t="n">
        <v>2714</v>
      </c>
      <c r="E4" s="0" t="n">
        <v>31.9971704786607</v>
      </c>
      <c r="F4" s="0" t="n">
        <v>1589</v>
      </c>
      <c r="G4" s="0" t="n">
        <v>18.7337892006602</v>
      </c>
      <c r="H4" s="0" t="n">
        <v>3511</v>
      </c>
      <c r="I4" s="0" t="n">
        <v>1900</v>
      </c>
      <c r="J4" s="0" t="n">
        <v>22.4003772695119</v>
      </c>
      <c r="K4" s="0" t="n">
        <v>2.09</v>
      </c>
      <c r="L4" s="0" t="n">
        <v>3096</v>
      </c>
      <c r="M4" s="0" t="n">
        <v>616</v>
      </c>
      <c r="N4" s="0" t="n">
        <v>2480</v>
      </c>
      <c r="O4" s="0" t="n">
        <v>9816</v>
      </c>
      <c r="P4" s="0" t="n">
        <v>14693</v>
      </c>
      <c r="Q4" s="0" t="n">
        <v>4877</v>
      </c>
      <c r="R4" s="0" t="n">
        <v>3072</v>
      </c>
      <c r="S4" s="0" t="n">
        <v>2913</v>
      </c>
      <c r="T4" s="0" t="n">
        <v>1050.7</v>
      </c>
      <c r="U4" s="0" t="n">
        <v>93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8788</v>
      </c>
      <c r="C5" s="0" t="n">
        <v>7030</v>
      </c>
      <c r="D5" s="0" t="n">
        <v>1758</v>
      </c>
      <c r="E5" s="0" t="n">
        <v>20.0045516613564</v>
      </c>
      <c r="F5" s="0" t="n">
        <v>761</v>
      </c>
      <c r="G5" s="0" t="n">
        <v>8.65953573054165</v>
      </c>
      <c r="H5" s="0" t="n">
        <v>2923</v>
      </c>
      <c r="I5" s="0" t="n">
        <v>190</v>
      </c>
      <c r="J5" s="0" t="n">
        <v>2.16203914428767</v>
      </c>
      <c r="K5" s="0" t="n">
        <v>0.17</v>
      </c>
      <c r="L5" s="0" t="n">
        <v>2484</v>
      </c>
      <c r="M5" s="0" t="n">
        <v>2550</v>
      </c>
      <c r="N5" s="0" t="n">
        <v>-66</v>
      </c>
      <c r="O5" s="0" t="n">
        <v>9852</v>
      </c>
      <c r="P5" s="0" t="n">
        <v>14752</v>
      </c>
      <c r="Q5" s="0" t="n">
        <v>4900</v>
      </c>
      <c r="R5" s="0" t="n">
        <v>2141</v>
      </c>
      <c r="S5" s="0" t="n">
        <v>2160</v>
      </c>
      <c r="T5" s="0" t="n">
        <v>1007.5</v>
      </c>
      <c r="U5" s="0" t="n">
        <v>76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8234</v>
      </c>
      <c r="C6" s="0" t="n">
        <v>7266</v>
      </c>
      <c r="D6" s="0" t="n">
        <v>968</v>
      </c>
      <c r="E6" s="0" t="n">
        <v>11.756133106631</v>
      </c>
      <c r="F6" s="0" t="n">
        <v>-612</v>
      </c>
      <c r="G6" s="0" t="n">
        <v>-7.43259655088657</v>
      </c>
      <c r="H6" s="0" t="n">
        <v>1610</v>
      </c>
      <c r="I6" s="0" t="n">
        <v>-1032</v>
      </c>
      <c r="J6" s="0" t="n">
        <v>-12.5333981054166</v>
      </c>
      <c r="K6" s="0" t="n">
        <v>-1.04</v>
      </c>
      <c r="L6" s="0" t="n">
        <v>2114</v>
      </c>
      <c r="M6" s="0" t="n">
        <v>1699</v>
      </c>
      <c r="N6" s="0" t="n">
        <v>415</v>
      </c>
      <c r="O6" s="0" t="n">
        <v>8417</v>
      </c>
      <c r="P6" s="0" t="n">
        <v>14328</v>
      </c>
      <c r="Q6" s="0" t="n">
        <v>5911</v>
      </c>
      <c r="R6" s="0" t="n">
        <v>3262</v>
      </c>
      <c r="S6" s="0" t="n">
        <v>2459</v>
      </c>
      <c r="T6" s="0" t="n">
        <v>1017.7</v>
      </c>
      <c r="U6" s="0" t="n">
        <v>87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9073</v>
      </c>
      <c r="C7" s="0" t="n">
        <v>7226</v>
      </c>
      <c r="D7" s="0" t="n">
        <v>1847</v>
      </c>
      <c r="E7" s="0" t="n">
        <v>20.357103493883</v>
      </c>
      <c r="F7" s="0" t="n">
        <v>236</v>
      </c>
      <c r="G7" s="0" t="n">
        <v>2.60112421470297</v>
      </c>
      <c r="H7" s="0" t="n">
        <v>2162</v>
      </c>
      <c r="I7" s="0" t="n">
        <v>1194</v>
      </c>
      <c r="J7" s="0" t="n">
        <v>13.1599250523531</v>
      </c>
      <c r="K7" s="0" t="n">
        <v>1.16</v>
      </c>
      <c r="M7" s="0" t="n">
        <v>1442</v>
      </c>
      <c r="O7" s="0" t="n">
        <v>10006</v>
      </c>
      <c r="P7" s="0" t="n">
        <v>19118</v>
      </c>
      <c r="Q7" s="0" t="n">
        <v>9112</v>
      </c>
      <c r="R7" s="0" t="n">
        <v>6037</v>
      </c>
      <c r="S7" s="0" t="n">
        <v>2880</v>
      </c>
      <c r="T7" s="0" t="n">
        <v>1057</v>
      </c>
      <c r="U7" s="0" t="n">
        <v>91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16358</v>
      </c>
      <c r="C8" s="0" t="n">
        <v>10921</v>
      </c>
      <c r="D8" s="0" t="n">
        <v>5437</v>
      </c>
      <c r="E8" s="0" t="n">
        <v>33.2375596038636</v>
      </c>
      <c r="F8" s="0" t="n">
        <v>3087</v>
      </c>
      <c r="G8" s="0" t="n">
        <v>18.8715001833965</v>
      </c>
      <c r="H8" s="0" t="n">
        <v>5357</v>
      </c>
      <c r="I8" s="0" t="n">
        <v>3079</v>
      </c>
      <c r="J8" s="0" t="n">
        <v>18.8225944491992</v>
      </c>
      <c r="K8" s="0" t="n">
        <v>2.87</v>
      </c>
      <c r="M8" s="0" t="n">
        <v>3107</v>
      </c>
      <c r="O8" s="0" t="n">
        <v>11562</v>
      </c>
      <c r="P8" s="0" t="n">
        <v>22416</v>
      </c>
      <c r="Q8" s="0" t="n">
        <v>10786</v>
      </c>
      <c r="R8" s="0" t="n">
        <v>6511</v>
      </c>
      <c r="S8" s="0" t="n">
        <v>4150</v>
      </c>
      <c r="T8" s="0" t="n">
        <v>1198</v>
      </c>
      <c r="U8" s="0" t="n">
        <v>115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16192</v>
      </c>
      <c r="C9" s="0" t="n">
        <v>10977</v>
      </c>
      <c r="D9" s="0" t="n">
        <v>5215</v>
      </c>
      <c r="E9" s="0" t="n">
        <v>32.2072628458498</v>
      </c>
      <c r="F9" s="0" t="n">
        <v>2998</v>
      </c>
      <c r="G9" s="0" t="n">
        <v>18.5153162055336</v>
      </c>
      <c r="H9" s="0" t="n">
        <v>5803</v>
      </c>
      <c r="I9" s="0" t="n">
        <v>2899</v>
      </c>
      <c r="J9" s="0" t="n">
        <v>17.9039031620553</v>
      </c>
      <c r="K9" s="0" t="n">
        <v>2.71</v>
      </c>
      <c r="L9" s="0" t="n">
        <v>5208</v>
      </c>
      <c r="M9" s="0" t="n">
        <v>4021</v>
      </c>
      <c r="N9" s="0" t="n">
        <v>1187</v>
      </c>
      <c r="O9" s="0" t="n">
        <v>13239</v>
      </c>
      <c r="P9" s="0" t="n">
        <v>24143</v>
      </c>
      <c r="Q9" s="0" t="n">
        <v>10855</v>
      </c>
      <c r="R9" s="0" t="n">
        <v>7341</v>
      </c>
      <c r="S9" s="0" t="n">
        <v>2287</v>
      </c>
      <c r="T9" s="0" t="n">
        <v>1170</v>
      </c>
      <c r="U9" s="0" t="n">
        <v>168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12399</v>
      </c>
      <c r="C10" s="0" t="n">
        <v>9894</v>
      </c>
      <c r="D10" s="0" t="n">
        <v>2505</v>
      </c>
      <c r="E10" s="0" t="n">
        <v>20.2032421969514</v>
      </c>
      <c r="F10" s="0" t="n">
        <v>168</v>
      </c>
      <c r="G10" s="0" t="n">
        <v>1.35494797967578</v>
      </c>
      <c r="H10" s="0" t="n">
        <v>3148</v>
      </c>
      <c r="I10" s="0" t="n">
        <v>-276</v>
      </c>
      <c r="J10" s="0" t="n">
        <v>-2.22598596661021</v>
      </c>
      <c r="K10" s="0" t="n">
        <v>-0.27</v>
      </c>
      <c r="L10" s="0" t="n">
        <v>3168</v>
      </c>
      <c r="M10" s="0" t="n">
        <v>5817</v>
      </c>
      <c r="N10" s="0" t="n">
        <v>-2649</v>
      </c>
      <c r="O10" s="0" t="n">
        <v>12928</v>
      </c>
      <c r="P10" s="0" t="n">
        <v>27540</v>
      </c>
      <c r="Q10" s="0" t="n">
        <v>14612</v>
      </c>
      <c r="R10" s="0" t="n">
        <v>9910</v>
      </c>
      <c r="S10" s="0" t="n">
        <v>4140</v>
      </c>
      <c r="T10" s="0" t="n">
        <v>1040</v>
      </c>
      <c r="U10" s="0" t="n">
        <v>191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20322</v>
      </c>
      <c r="C11" s="0" t="n">
        <v>11886</v>
      </c>
      <c r="D11" s="0" t="n">
        <v>8436</v>
      </c>
      <c r="E11" s="0" t="n">
        <v>41.5116622379687</v>
      </c>
      <c r="F11" s="0" t="n">
        <v>5868</v>
      </c>
      <c r="G11" s="0" t="n">
        <v>28.8751107174491</v>
      </c>
      <c r="H11" s="0" t="n">
        <v>9729</v>
      </c>
      <c r="I11" s="0" t="n">
        <v>5090</v>
      </c>
      <c r="J11" s="0" t="n">
        <v>25.0467473673851</v>
      </c>
      <c r="K11" s="0" t="n">
        <v>4.67</v>
      </c>
      <c r="L11" s="0" t="n">
        <v>8153</v>
      </c>
      <c r="M11" s="0" t="n">
        <v>4734</v>
      </c>
      <c r="N11" s="0" t="n">
        <v>3419</v>
      </c>
      <c r="O11" s="0" t="n">
        <v>19470</v>
      </c>
      <c r="P11" s="0" t="n">
        <v>35336</v>
      </c>
      <c r="Q11" s="0" t="n">
        <v>15845</v>
      </c>
      <c r="R11" s="0" t="n">
        <v>11134</v>
      </c>
      <c r="S11" s="0" t="n">
        <v>5109</v>
      </c>
      <c r="T11" s="0" t="n">
        <v>1154</v>
      </c>
      <c r="U11" s="0" t="n">
        <v>215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30391</v>
      </c>
      <c r="C12" s="0" t="n">
        <v>12500</v>
      </c>
      <c r="D12" s="0" t="n">
        <v>17891</v>
      </c>
      <c r="E12" s="0" t="n">
        <v>58.8694021256293</v>
      </c>
      <c r="F12" s="0" t="n">
        <v>14994</v>
      </c>
      <c r="G12" s="0" t="n">
        <v>49.3369747622651</v>
      </c>
      <c r="H12" s="0" t="n">
        <v>19753</v>
      </c>
      <c r="I12" s="0" t="n">
        <v>14138</v>
      </c>
      <c r="J12" s="0" t="n">
        <v>46.5203514198282</v>
      </c>
      <c r="K12" s="0" t="n">
        <v>12.27</v>
      </c>
      <c r="L12" s="0" t="n">
        <v>17400</v>
      </c>
      <c r="M12" s="0" t="n">
        <v>8879</v>
      </c>
      <c r="N12" s="0" t="n">
        <v>8521</v>
      </c>
      <c r="O12" s="0" t="n">
        <v>33164</v>
      </c>
      <c r="P12" s="0" t="n">
        <v>43376</v>
      </c>
      <c r="Q12" s="0" t="n">
        <v>10112</v>
      </c>
      <c r="R12" s="0" t="n">
        <v>4636</v>
      </c>
      <c r="S12" s="0" t="n">
        <v>6506</v>
      </c>
      <c r="T12" s="0" t="n">
        <v>1229</v>
      </c>
      <c r="U12" s="0" t="n">
        <v>198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23406</v>
      </c>
      <c r="C13" s="0" t="n">
        <v>12704</v>
      </c>
      <c r="D13" s="0" t="n">
        <v>10702</v>
      </c>
      <c r="E13" s="0" t="n">
        <v>45.7233188071435</v>
      </c>
      <c r="F13" s="0" t="n">
        <v>7376</v>
      </c>
      <c r="G13" s="0" t="n">
        <v>31.5132871913185</v>
      </c>
      <c r="H13" s="0" t="n">
        <v>12800</v>
      </c>
      <c r="I13" s="0" t="n">
        <v>6358</v>
      </c>
      <c r="J13" s="0" t="n">
        <v>27.1639750491327</v>
      </c>
      <c r="K13" s="0" t="n">
        <v>5.67</v>
      </c>
      <c r="L13" s="0" t="n">
        <v>13189</v>
      </c>
      <c r="M13" s="0" t="n">
        <v>9780</v>
      </c>
      <c r="N13" s="0" t="n">
        <v>3409</v>
      </c>
      <c r="O13" s="0" t="n">
        <v>36770</v>
      </c>
      <c r="P13" s="0" t="n">
        <v>48887</v>
      </c>
      <c r="Q13" s="0" t="n">
        <v>12019</v>
      </c>
      <c r="R13" s="0" t="n">
        <v>5851</v>
      </c>
      <c r="S13" s="0" t="n">
        <v>7152</v>
      </c>
      <c r="T13" s="0" t="n">
        <v>1143</v>
      </c>
      <c r="U13" s="0" t="n">
        <v>243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21435</v>
      </c>
      <c r="C14" s="0" t="n">
        <v>14883</v>
      </c>
      <c r="D14" s="0" t="n">
        <v>6552</v>
      </c>
      <c r="E14" s="0" t="n">
        <v>30.5668299510147</v>
      </c>
      <c r="F14" s="0" t="n">
        <v>3003</v>
      </c>
      <c r="G14" s="0" t="n">
        <v>14.0097970608817</v>
      </c>
      <c r="H14" s="0" t="n">
        <v>8653</v>
      </c>
      <c r="I14" s="0" t="n">
        <v>2710</v>
      </c>
      <c r="J14" s="0" t="n">
        <v>12.6428738045253</v>
      </c>
      <c r="K14" s="0" t="n">
        <v>2.42</v>
      </c>
      <c r="L14" s="0" t="n">
        <v>8306</v>
      </c>
      <c r="M14" s="0" t="n">
        <v>8223</v>
      </c>
      <c r="N14" s="0" t="n">
        <v>83</v>
      </c>
      <c r="O14" s="0" t="n">
        <v>38996</v>
      </c>
      <c r="P14" s="0" t="n">
        <v>53678</v>
      </c>
      <c r="Q14" s="0" t="n">
        <v>14682</v>
      </c>
      <c r="R14" s="0" t="n">
        <v>6643</v>
      </c>
      <c r="S14" s="0" t="n">
        <v>7624</v>
      </c>
      <c r="T14" s="0" t="n">
        <v>1131</v>
      </c>
      <c r="U14" s="0" t="n">
        <v>328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27705</v>
      </c>
      <c r="C15" s="0" t="n">
        <v>17282</v>
      </c>
      <c r="D15" s="0" t="n">
        <v>10423</v>
      </c>
      <c r="E15" s="0" t="n">
        <v>37.6213679841184</v>
      </c>
      <c r="F15" s="0" t="n">
        <v>6283</v>
      </c>
      <c r="G15" s="0" t="n">
        <v>22.6782169283523</v>
      </c>
      <c r="H15" s="0" t="n">
        <v>12497</v>
      </c>
      <c r="I15" s="0" t="n">
        <v>5861</v>
      </c>
      <c r="J15" s="0" t="n">
        <v>21.1550261685616</v>
      </c>
      <c r="K15" s="0" t="n">
        <v>5.23</v>
      </c>
      <c r="L15" s="0" t="n">
        <v>12468</v>
      </c>
      <c r="M15" s="0" t="n">
        <v>10030</v>
      </c>
      <c r="N15" s="0" t="n">
        <v>2438</v>
      </c>
      <c r="O15" s="0" t="n">
        <v>43933</v>
      </c>
      <c r="P15" s="0" t="n">
        <v>58849</v>
      </c>
      <c r="Q15" s="0" t="n">
        <v>14916</v>
      </c>
      <c r="R15" s="0" t="n">
        <v>6776</v>
      </c>
      <c r="S15" s="0" t="n">
        <v>7763</v>
      </c>
      <c r="T15" s="0" t="n">
        <v>1141</v>
      </c>
      <c r="U15" s="0" t="n">
        <v>395</v>
      </c>
      <c r="V15" s="0" t="n">
        <v>0.1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30758</v>
      </c>
      <c r="C16" s="0" t="n">
        <v>16860</v>
      </c>
      <c r="D16" s="0" t="n">
        <v>13898</v>
      </c>
      <c r="E16" s="0" t="n">
        <v>45.1849925222706</v>
      </c>
      <c r="F16" s="0" t="n">
        <v>9702</v>
      </c>
      <c r="G16" s="0" t="n">
        <v>31.5430131998179</v>
      </c>
      <c r="H16" s="0" t="n">
        <v>16818</v>
      </c>
      <c r="I16" s="0" t="n">
        <v>8687</v>
      </c>
      <c r="J16" s="0" t="n">
        <v>28.2430587164315</v>
      </c>
      <c r="K16" s="0" t="n">
        <v>7.81</v>
      </c>
      <c r="L16" s="0" t="n">
        <v>15181</v>
      </c>
      <c r="M16" s="0" t="n">
        <v>12067</v>
      </c>
      <c r="N16" s="0" t="n">
        <v>3114</v>
      </c>
      <c r="O16" s="0" t="n">
        <v>49907</v>
      </c>
      <c r="P16" s="0" t="n">
        <v>66283</v>
      </c>
      <c r="Q16" s="0" t="n">
        <v>16376</v>
      </c>
      <c r="R16" s="0" t="n">
        <v>6906</v>
      </c>
      <c r="S16" s="0" t="n">
        <v>8262</v>
      </c>
      <c r="T16" s="0" t="n">
        <v>1122</v>
      </c>
      <c r="U16" s="0" t="n">
        <v>514</v>
      </c>
      <c r="V16" s="0" t="n">
        <v>0.315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15540</v>
      </c>
      <c r="C17" s="0" t="n">
        <v>16956</v>
      </c>
      <c r="D17" s="0" t="n">
        <v>-1416</v>
      </c>
      <c r="E17" s="0" t="n">
        <v>-9.11196911196911</v>
      </c>
      <c r="F17" s="0" t="n">
        <v>-5745</v>
      </c>
      <c r="G17" s="0" t="n">
        <v>-36.969111969112</v>
      </c>
      <c r="H17" s="0" t="n">
        <v>2011</v>
      </c>
      <c r="I17" s="0" t="n">
        <v>-5833</v>
      </c>
      <c r="J17" s="0" t="n">
        <v>-37.5353925353925</v>
      </c>
      <c r="K17" s="0" t="n">
        <v>-5.34</v>
      </c>
      <c r="L17" s="0" t="n">
        <v>1559</v>
      </c>
      <c r="M17" s="0" t="n">
        <v>7676</v>
      </c>
      <c r="N17" s="0" t="n">
        <v>-6117</v>
      </c>
      <c r="O17" s="0" t="n">
        <v>44120</v>
      </c>
      <c r="P17" s="0" t="n">
        <v>64254</v>
      </c>
      <c r="Q17" s="0" t="n">
        <v>20134</v>
      </c>
      <c r="R17" s="0" t="n">
        <v>13330</v>
      </c>
      <c r="S17" s="0" t="n">
        <v>8577</v>
      </c>
      <c r="T17" s="0" t="n">
        <v>1098</v>
      </c>
      <c r="U17" s="0" t="n">
        <v>596</v>
      </c>
      <c r="V17" s="0" t="n">
        <v>0.46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25111</v>
      </c>
      <c r="C18" s="0" t="n">
        <v>19498</v>
      </c>
      <c r="D18" s="0" t="n">
        <v>5613</v>
      </c>
      <c r="E18" s="0" t="n">
        <v>22.3527537732468</v>
      </c>
      <c r="F18" s="0" t="n">
        <v>1304</v>
      </c>
      <c r="G18" s="0" t="n">
        <v>5.19294333160766</v>
      </c>
      <c r="H18" s="0" t="n">
        <v>9084</v>
      </c>
      <c r="I18" s="0" t="n">
        <v>778</v>
      </c>
      <c r="J18" s="0" t="n">
        <v>3.09824379753893</v>
      </c>
      <c r="K18" s="0" t="n">
        <v>0.7</v>
      </c>
      <c r="L18" s="0" t="n">
        <v>8507</v>
      </c>
      <c r="M18" s="0" t="n">
        <v>8386</v>
      </c>
      <c r="N18" s="0" t="n">
        <v>121</v>
      </c>
      <c r="O18" s="0" t="n">
        <v>45131</v>
      </c>
      <c r="P18" s="0" t="n">
        <v>69416</v>
      </c>
      <c r="Q18" s="0" t="n">
        <v>24285</v>
      </c>
      <c r="R18" s="0" t="n">
        <v>13397</v>
      </c>
      <c r="S18" s="0" t="n">
        <v>7041</v>
      </c>
      <c r="T18" s="0" t="n">
        <v>1118</v>
      </c>
      <c r="U18" s="0" t="n">
        <v>833</v>
      </c>
      <c r="V18" s="0" t="n">
        <v>0.46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37378</v>
      </c>
      <c r="C19" s="0" t="n">
        <v>22505</v>
      </c>
      <c r="D19" s="0" t="n">
        <v>14873</v>
      </c>
      <c r="E19" s="0" t="n">
        <v>39.7907860238643</v>
      </c>
      <c r="F19" s="0" t="n">
        <v>9770</v>
      </c>
      <c r="G19" s="0" t="n">
        <v>26.1383701642678</v>
      </c>
      <c r="H19" s="0" t="n">
        <v>18122</v>
      </c>
      <c r="I19" s="0" t="n">
        <v>8539</v>
      </c>
      <c r="J19" s="0" t="n">
        <v>22.8449890309808</v>
      </c>
      <c r="K19" s="0" t="n">
        <v>7.65</v>
      </c>
      <c r="L19" s="0" t="n">
        <v>17525</v>
      </c>
      <c r="M19" s="0" t="n">
        <v>15857</v>
      </c>
      <c r="N19" s="0" t="n">
        <v>1668</v>
      </c>
      <c r="O19" s="0" t="n">
        <v>54165</v>
      </c>
      <c r="P19" s="0" t="n">
        <v>82798</v>
      </c>
      <c r="Q19" s="0" t="n">
        <v>28633</v>
      </c>
      <c r="R19" s="0" t="n">
        <v>14577</v>
      </c>
      <c r="S19" s="0" t="n">
        <v>9642</v>
      </c>
      <c r="T19" s="0" t="n">
        <v>1125</v>
      </c>
      <c r="U19" s="0" t="n">
        <v>975</v>
      </c>
      <c r="V19" s="0" t="n">
        <v>0.46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1097.39</v>
      </c>
    </row>
    <row r="3" customFormat="false" ht="15" hidden="false" customHeight="false" outlineLevel="0" collapsed="false">
      <c r="A3" s="0" t="s">
        <v>84</v>
      </c>
      <c r="B3" s="3" t="n">
        <v>1150</v>
      </c>
    </row>
    <row r="4" customFormat="false" ht="15" hidden="false" customHeight="false" outlineLevel="0" collapsed="false">
      <c r="A4" s="0" t="s">
        <v>85</v>
      </c>
      <c r="B4" s="3" t="n">
        <v>-68274</v>
      </c>
    </row>
    <row r="5" customFormat="false" ht="15" hidden="false" customHeight="false" outlineLevel="0" collapsed="false">
      <c r="A5" s="0" t="s">
        <v>86</v>
      </c>
      <c r="B5" s="3" t="n">
        <v>-12895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133188</v>
      </c>
    </row>
    <row r="8" customFormat="false" ht="15" hidden="false" customHeight="false" outlineLevel="0" collapsed="false">
      <c r="A8" s="0" t="s">
        <v>89</v>
      </c>
      <c r="B8" s="3" t="s">
        <v>90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72</v>
      </c>
      <c r="D13" s="3" t="n">
        <v>-15</v>
      </c>
      <c r="E13" s="3" t="n">
        <v>-40</v>
      </c>
      <c r="F13" s="3" t="n">
        <v>-25</v>
      </c>
      <c r="G13" s="3" t="n">
        <v>-5</v>
      </c>
      <c r="H13" s="3" t="n">
        <v>5</v>
      </c>
      <c r="I13" s="3" t="n">
        <v>5</v>
      </c>
      <c r="J13" s="3" t="n">
        <v>5</v>
      </c>
      <c r="K13" s="3" t="n">
        <v>5</v>
      </c>
      <c r="L13" s="3" t="n">
        <v>5</v>
      </c>
    </row>
    <row r="14" customFormat="false" ht="15" hidden="false" customHeight="false" outlineLevel="0" collapsed="false">
      <c r="A14" s="0" t="s">
        <v>106</v>
      </c>
      <c r="C14" s="3" t="n">
        <v>83</v>
      </c>
      <c r="D14" s="3" t="n">
        <v>72</v>
      </c>
      <c r="E14" s="3" t="n">
        <v>48</v>
      </c>
      <c r="F14" s="3" t="n">
        <v>32</v>
      </c>
      <c r="G14" s="3" t="n">
        <v>36</v>
      </c>
      <c r="H14" s="3" t="n">
        <v>40</v>
      </c>
      <c r="I14" s="3" t="n">
        <v>42</v>
      </c>
      <c r="J14" s="3" t="n">
        <v>42</v>
      </c>
      <c r="K14" s="3" t="n">
        <v>42</v>
      </c>
      <c r="L14" s="3" t="n">
        <v>42</v>
      </c>
    </row>
    <row r="15" customFormat="false" ht="15" hidden="false" customHeight="false" outlineLevel="0" collapsed="false">
      <c r="A15" s="0" t="s">
        <v>107</v>
      </c>
      <c r="C15" s="3" t="n">
        <v>1.5</v>
      </c>
      <c r="D15" s="3" t="n">
        <v>1.8</v>
      </c>
      <c r="E15" s="3" t="n">
        <v>2.8</v>
      </c>
      <c r="F15" s="3" t="n">
        <v>3.5</v>
      </c>
      <c r="G15" s="3" t="n">
        <v>3.5</v>
      </c>
      <c r="H15" s="3" t="n">
        <v>3.3</v>
      </c>
      <c r="I15" s="3" t="n">
        <v>3.2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5.2</v>
      </c>
      <c r="D17" s="3" t="n">
        <v>7.5</v>
      </c>
      <c r="E17" s="3" t="n">
        <v>15</v>
      </c>
      <c r="F17" s="3" t="n">
        <v>22</v>
      </c>
      <c r="G17" s="3" t="n">
        <v>24</v>
      </c>
      <c r="H17" s="3" t="n">
        <v>23</v>
      </c>
      <c r="I17" s="3" t="n">
        <v>22.5</v>
      </c>
      <c r="J17" s="3" t="n">
        <v>22</v>
      </c>
      <c r="K17" s="3" t="n">
        <v>22</v>
      </c>
      <c r="L17" s="3" t="n">
        <v>22</v>
      </c>
    </row>
    <row r="18" customFormat="false" ht="15" hidden="false" customHeight="false" outlineLevel="0" collapsed="false">
      <c r="A18" s="0" t="s">
        <v>110</v>
      </c>
      <c r="C18" s="3" t="n">
        <v>17</v>
      </c>
      <c r="D18" s="3" t="n">
        <v>20</v>
      </c>
      <c r="E18" s="3" t="n">
        <v>22</v>
      </c>
      <c r="F18" s="3" t="n">
        <v>24</v>
      </c>
      <c r="G18" s="3" t="n">
        <v>25</v>
      </c>
      <c r="H18" s="3" t="n">
        <v>26</v>
      </c>
      <c r="I18" s="3" t="n">
        <v>26</v>
      </c>
      <c r="J18" s="3" t="n">
        <v>26</v>
      </c>
      <c r="K18" s="3" t="n">
        <v>26</v>
      </c>
      <c r="L18" s="3" t="n">
        <v>26</v>
      </c>
    </row>
    <row r="19" customFormat="false" ht="15" hidden="false" customHeight="false" outlineLevel="0" collapsed="false">
      <c r="A19" s="0" t="s">
        <v>111</v>
      </c>
      <c r="C19" s="3" t="n">
        <v>18</v>
      </c>
      <c r="D19" s="3" t="n">
        <v>16</v>
      </c>
      <c r="E19" s="3" t="n">
        <v>16</v>
      </c>
      <c r="F19" s="3" t="n">
        <v>16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112</v>
      </c>
      <c r="B20" s="3" t="n">
        <v>10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11</v>
      </c>
    </row>
    <row r="23" customFormat="false" ht="15" hidden="false" customHeight="false" outlineLevel="0" collapsed="false">
      <c r="A23" s="0" t="s">
        <v>115</v>
      </c>
      <c r="B23" s="3" t="n">
        <v>-12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84</v>
      </c>
      <c r="D27" s="3" t="n">
        <v>-6</v>
      </c>
      <c r="E27" s="3" t="n">
        <v>-22</v>
      </c>
      <c r="F27" s="3" t="n">
        <v>-20</v>
      </c>
      <c r="G27" s="3" t="n">
        <v>-8</v>
      </c>
      <c r="H27" s="3" t="n">
        <v>5</v>
      </c>
      <c r="I27" s="3" t="n">
        <v>6</v>
      </c>
      <c r="J27" s="3" t="n">
        <v>6</v>
      </c>
      <c r="K27" s="3" t="n">
        <v>6</v>
      </c>
      <c r="L27" s="3" t="n">
        <v>6</v>
      </c>
    </row>
    <row r="28" customFormat="false" ht="15" hidden="false" customHeight="false" outlineLevel="0" collapsed="false">
      <c r="A28" s="0" t="s">
        <v>106</v>
      </c>
      <c r="C28" s="3" t="n">
        <v>86</v>
      </c>
      <c r="D28" s="3" t="n">
        <v>82</v>
      </c>
      <c r="E28" s="3" t="n">
        <v>74</v>
      </c>
      <c r="F28" s="3" t="n">
        <v>64</v>
      </c>
      <c r="G28" s="3" t="n">
        <v>58</v>
      </c>
      <c r="H28" s="3" t="n">
        <v>57</v>
      </c>
      <c r="I28" s="3" t="n">
        <v>57</v>
      </c>
      <c r="J28" s="3" t="n">
        <v>58</v>
      </c>
      <c r="K28" s="3" t="n">
        <v>58</v>
      </c>
      <c r="L28" s="3" t="n">
        <v>58</v>
      </c>
    </row>
    <row r="29" customFormat="false" ht="15" hidden="false" customHeight="false" outlineLevel="0" collapsed="false">
      <c r="A29" s="0" t="s">
        <v>107</v>
      </c>
      <c r="C29" s="3" t="n">
        <v>1.5</v>
      </c>
      <c r="D29" s="3" t="n">
        <v>1.5</v>
      </c>
      <c r="E29" s="3" t="n">
        <v>2</v>
      </c>
      <c r="F29" s="3" t="n">
        <v>2.6</v>
      </c>
      <c r="G29" s="3" t="n">
        <v>2.8</v>
      </c>
      <c r="H29" s="3" t="n">
        <v>2.8</v>
      </c>
      <c r="I29" s="3" t="n">
        <v>2.7</v>
      </c>
      <c r="J29" s="3" t="n">
        <v>2.6</v>
      </c>
      <c r="K29" s="3" t="n">
        <v>2.5</v>
      </c>
      <c r="L29" s="3" t="n">
        <v>2.5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4.9</v>
      </c>
      <c r="D31" s="3" t="n">
        <v>6.5</v>
      </c>
      <c r="E31" s="3" t="n">
        <v>10</v>
      </c>
      <c r="F31" s="3" t="n">
        <v>14</v>
      </c>
      <c r="G31" s="3" t="n">
        <v>16.5</v>
      </c>
      <c r="H31" s="3" t="n">
        <v>17</v>
      </c>
      <c r="I31" s="3" t="n">
        <v>17.2</v>
      </c>
      <c r="J31" s="3" t="n">
        <v>17.5</v>
      </c>
      <c r="K31" s="3" t="n">
        <v>17.5</v>
      </c>
      <c r="L31" s="3" t="n">
        <v>17.5</v>
      </c>
    </row>
    <row r="32" customFormat="false" ht="15" hidden="false" customHeight="false" outlineLevel="0" collapsed="false">
      <c r="A32" s="0" t="s">
        <v>110</v>
      </c>
      <c r="C32" s="3" t="n">
        <v>15.9</v>
      </c>
      <c r="D32" s="3" t="n">
        <v>18.3</v>
      </c>
      <c r="E32" s="3" t="n">
        <v>18.5</v>
      </c>
      <c r="F32" s="3" t="n">
        <v>19</v>
      </c>
      <c r="G32" s="3" t="n">
        <v>21</v>
      </c>
      <c r="H32" s="3" t="n">
        <v>22</v>
      </c>
      <c r="I32" s="3" t="n">
        <v>22</v>
      </c>
      <c r="J32" s="3" t="n">
        <v>22</v>
      </c>
      <c r="K32" s="3" t="n">
        <v>22</v>
      </c>
      <c r="L32" s="3" t="n">
        <v>22</v>
      </c>
    </row>
    <row r="33" customFormat="false" ht="15" hidden="false" customHeight="false" outlineLevel="0" collapsed="false">
      <c r="A33" s="0" t="s">
        <v>111</v>
      </c>
      <c r="C33" s="3" t="n">
        <v>18</v>
      </c>
      <c r="D33" s="3" t="n">
        <v>16</v>
      </c>
      <c r="E33" s="3" t="n">
        <v>16</v>
      </c>
      <c r="F33" s="3" t="n">
        <v>16</v>
      </c>
      <c r="G33" s="3" t="n">
        <v>16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112</v>
      </c>
      <c r="B34" s="3" t="n">
        <v>10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13</v>
      </c>
    </row>
    <row r="37" customFormat="false" ht="15" hidden="false" customHeight="false" outlineLevel="0" collapsed="false">
      <c r="A37" s="0" t="s">
        <v>115</v>
      </c>
      <c r="B37" s="3" t="n">
        <v>-12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95</v>
      </c>
      <c r="D41" s="3" t="n">
        <v>10</v>
      </c>
      <c r="E41" s="3" t="n">
        <v>-8</v>
      </c>
      <c r="F41" s="3" t="n">
        <v>-12</v>
      </c>
      <c r="G41" s="3" t="n">
        <v>-3</v>
      </c>
      <c r="H41" s="3" t="n">
        <v>6</v>
      </c>
      <c r="I41" s="3" t="n">
        <v>7</v>
      </c>
      <c r="J41" s="3" t="n">
        <v>7</v>
      </c>
      <c r="K41" s="3" t="n">
        <v>7</v>
      </c>
      <c r="L41" s="3" t="n">
        <v>7</v>
      </c>
    </row>
    <row r="42" customFormat="false" ht="15" hidden="false" customHeight="false" outlineLevel="0" collapsed="false">
      <c r="A42" s="0" t="s">
        <v>106</v>
      </c>
      <c r="C42" s="3" t="n">
        <v>87</v>
      </c>
      <c r="D42" s="3" t="n">
        <v>85</v>
      </c>
      <c r="E42" s="3" t="n">
        <v>78</v>
      </c>
      <c r="F42" s="3" t="n">
        <v>70</v>
      </c>
      <c r="G42" s="3" t="n">
        <v>66</v>
      </c>
      <c r="H42" s="3" t="n">
        <v>67</v>
      </c>
      <c r="I42" s="3" t="n">
        <v>68</v>
      </c>
      <c r="J42" s="3" t="n">
        <v>68</v>
      </c>
      <c r="K42" s="3" t="n">
        <v>68</v>
      </c>
      <c r="L42" s="3" t="n">
        <v>68</v>
      </c>
    </row>
    <row r="43" customFormat="false" ht="15" hidden="false" customHeight="false" outlineLevel="0" collapsed="false">
      <c r="A43" s="0" t="s">
        <v>107</v>
      </c>
      <c r="C43" s="3" t="n">
        <v>1.3</v>
      </c>
      <c r="D43" s="3" t="n">
        <v>1.3</v>
      </c>
      <c r="E43" s="3" t="n">
        <v>1.5</v>
      </c>
      <c r="F43" s="3" t="n">
        <v>1.8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4.7</v>
      </c>
      <c r="D45" s="3" t="n">
        <v>5.5</v>
      </c>
      <c r="E45" s="3" t="n">
        <v>7.5</v>
      </c>
      <c r="F45" s="3" t="n">
        <v>10</v>
      </c>
      <c r="G45" s="3" t="n">
        <v>12</v>
      </c>
      <c r="H45" s="3" t="n">
        <v>12.5</v>
      </c>
      <c r="I45" s="3" t="n">
        <v>13</v>
      </c>
      <c r="J45" s="3" t="n">
        <v>13</v>
      </c>
      <c r="K45" s="3" t="n">
        <v>13</v>
      </c>
      <c r="L45" s="3" t="n">
        <v>13</v>
      </c>
    </row>
    <row r="46" customFormat="false" ht="15" hidden="false" customHeight="false" outlineLevel="0" collapsed="false">
      <c r="A46" s="0" t="s">
        <v>110</v>
      </c>
      <c r="C46" s="3" t="n">
        <v>16</v>
      </c>
      <c r="D46" s="3" t="n">
        <v>17</v>
      </c>
      <c r="E46" s="3" t="n">
        <v>18</v>
      </c>
      <c r="F46" s="3" t="n">
        <v>18</v>
      </c>
      <c r="G46" s="3" t="n">
        <v>18</v>
      </c>
      <c r="H46" s="3" t="n">
        <v>18</v>
      </c>
      <c r="I46" s="3" t="n">
        <v>18</v>
      </c>
      <c r="J46" s="3" t="n">
        <v>18</v>
      </c>
      <c r="K46" s="3" t="n">
        <v>18</v>
      </c>
      <c r="L46" s="3" t="n">
        <v>18</v>
      </c>
    </row>
    <row r="47" customFormat="false" ht="15" hidden="false" customHeight="false" outlineLevel="0" collapsed="false">
      <c r="A47" s="0" t="s">
        <v>111</v>
      </c>
      <c r="C47" s="3" t="n">
        <v>18</v>
      </c>
      <c r="D47" s="3" t="n">
        <v>16</v>
      </c>
      <c r="E47" s="3" t="n">
        <v>16</v>
      </c>
      <c r="F47" s="3" t="n">
        <v>16</v>
      </c>
      <c r="G47" s="3" t="n">
        <v>16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112</v>
      </c>
      <c r="B48" s="3" t="n">
        <v>10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14</v>
      </c>
    </row>
    <row r="51" customFormat="false" ht="15" hidden="false" customHeight="false" outlineLevel="0" collapsed="false">
      <c r="A51" s="0" t="s">
        <v>115</v>
      </c>
      <c r="B51" s="3" t="n">
        <v>-12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72</v>
      </c>
      <c r="D5" s="4" t="n">
        <f aca="false">Assumptions!D13</f>
        <v>-15</v>
      </c>
      <c r="E5" s="4" t="n">
        <f aca="false">Assumptions!E13</f>
        <v>-40</v>
      </c>
      <c r="F5" s="4" t="n">
        <f aca="false">Assumptions!F13</f>
        <v>-25</v>
      </c>
      <c r="G5" s="4" t="n">
        <f aca="false">Assumptions!G13</f>
        <v>-5</v>
      </c>
      <c r="H5" s="4" t="n">
        <f aca="false">Assumptions!H13</f>
        <v>5</v>
      </c>
      <c r="I5" s="4" t="n">
        <f aca="false">Assumptions!I13</f>
        <v>5</v>
      </c>
      <c r="J5" s="4" t="n">
        <f aca="false">Assumptions!J13</f>
        <v>5</v>
      </c>
      <c r="K5" s="4" t="n">
        <f aca="false">Assumptions!K13</f>
        <v>5</v>
      </c>
      <c r="L5" s="4" t="n">
        <f aca="false">Assumptions!L13</f>
        <v>5</v>
      </c>
    </row>
    <row r="6" customFormat="false" ht="15" hidden="false" customHeight="false" outlineLevel="0" collapsed="false">
      <c r="A6" s="0" t="s">
        <v>37</v>
      </c>
      <c r="B6" s="3" t="n">
        <v>133188</v>
      </c>
      <c r="C6" s="0" t="n">
        <f aca="false">B6*(1+C5/100)</f>
        <v>229083.36</v>
      </c>
      <c r="D6" s="0" t="n">
        <f aca="false">C6*(1+D5/100)</f>
        <v>194720.856</v>
      </c>
      <c r="E6" s="0" t="n">
        <f aca="false">D6*(1+E5/100)</f>
        <v>116832.5136</v>
      </c>
      <c r="F6" s="0" t="n">
        <f aca="false">E6*(1+F5/100)</f>
        <v>87624.3852</v>
      </c>
      <c r="G6" s="0" t="n">
        <f aca="false">F6*(1+G5/100)</f>
        <v>83243.16594</v>
      </c>
      <c r="H6" s="0" t="n">
        <f aca="false">G6*(1+H5/100)</f>
        <v>87405.324237</v>
      </c>
      <c r="I6" s="0" t="n">
        <f aca="false">H6*(1+I5/100)</f>
        <v>91775.59044885</v>
      </c>
      <c r="J6" s="0" t="n">
        <f aca="false">I6*(1+J5/100)</f>
        <v>96364.3699712925</v>
      </c>
      <c r="K6" s="0" t="n">
        <f aca="false">J6*(1+K5/100)</f>
        <v>101182.588469857</v>
      </c>
      <c r="L6" s="0" t="n">
        <f aca="false">K6*(1+L5/100)</f>
        <v>106241.71789335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83</v>
      </c>
      <c r="D7" s="4" t="n">
        <f aca="false">Assumptions!D14</f>
        <v>72</v>
      </c>
      <c r="E7" s="4" t="n">
        <f aca="false">Assumptions!E14</f>
        <v>48</v>
      </c>
      <c r="F7" s="4" t="n">
        <f aca="false">Assumptions!F14</f>
        <v>32</v>
      </c>
      <c r="G7" s="4" t="n">
        <f aca="false">Assumptions!G14</f>
        <v>36</v>
      </c>
      <c r="H7" s="4" t="n">
        <f aca="false">Assumptions!H14</f>
        <v>40</v>
      </c>
      <c r="I7" s="4" t="n">
        <f aca="false">Assumptions!I14</f>
        <v>42</v>
      </c>
      <c r="J7" s="4" t="n">
        <f aca="false">Assumptions!J14</f>
        <v>42</v>
      </c>
      <c r="K7" s="4" t="n">
        <f aca="false">Assumptions!K14</f>
        <v>42</v>
      </c>
      <c r="L7" s="4" t="n">
        <f aca="false">Assumptions!L14</f>
        <v>42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190139.1888</v>
      </c>
      <c r="D8" s="0" t="n">
        <f aca="false">D6*D7/100</f>
        <v>140199.01632</v>
      </c>
      <c r="E8" s="0" t="n">
        <f aca="false">E6*E7/100</f>
        <v>56079.606528</v>
      </c>
      <c r="F8" s="0" t="n">
        <f aca="false">F6*F7/100</f>
        <v>28039.803264</v>
      </c>
      <c r="G8" s="0" t="n">
        <f aca="false">G6*G7/100</f>
        <v>29967.5397384</v>
      </c>
      <c r="H8" s="0" t="n">
        <f aca="false">H6*H7/100</f>
        <v>34962.1296948</v>
      </c>
      <c r="I8" s="0" t="n">
        <f aca="false">I6*I7/100</f>
        <v>38545.747988517</v>
      </c>
      <c r="J8" s="0" t="n">
        <f aca="false">J6*J7/100</f>
        <v>40473.0353879429</v>
      </c>
      <c r="K8" s="0" t="n">
        <f aca="false">K6*K7/100</f>
        <v>42496.68715734</v>
      </c>
      <c r="L8" s="0" t="n">
        <f aca="false">L6*L7/100</f>
        <v>44621.521515207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1.5</v>
      </c>
      <c r="D9" s="4" t="n">
        <f aca="false">Assumptions!D15</f>
        <v>1.8</v>
      </c>
      <c r="E9" s="4" t="n">
        <f aca="false">Assumptions!E15</f>
        <v>2.8</v>
      </c>
      <c r="F9" s="4" t="n">
        <f aca="false">Assumptions!F15</f>
        <v>3.5</v>
      </c>
      <c r="G9" s="4" t="n">
        <f aca="false">Assumptions!G15</f>
        <v>3.5</v>
      </c>
      <c r="H9" s="4" t="n">
        <f aca="false">Assumptions!H15</f>
        <v>3.3</v>
      </c>
      <c r="I9" s="4" t="n">
        <f aca="false">Assumptions!I15</f>
        <v>3.2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-3436.2504</v>
      </c>
      <c r="D10" s="0" t="n">
        <f aca="false">-D6*D9/100</f>
        <v>-3504.975408</v>
      </c>
      <c r="E10" s="0" t="n">
        <f aca="false">-E6*E9/100</f>
        <v>-3271.3103808</v>
      </c>
      <c r="F10" s="0" t="n">
        <f aca="false">-F6*F9/100</f>
        <v>-3066.853482</v>
      </c>
      <c r="G10" s="0" t="n">
        <f aca="false">-G6*G9/100</f>
        <v>-2913.5108079</v>
      </c>
      <c r="H10" s="0" t="n">
        <f aca="false">-H6*H9/100</f>
        <v>-2884.375699821</v>
      </c>
      <c r="I10" s="0" t="n">
        <f aca="false">-I6*I9/100</f>
        <v>-2936.8188943632</v>
      </c>
      <c r="J10" s="0" t="n">
        <f aca="false">-J6*J9/100</f>
        <v>-2890.93109913878</v>
      </c>
      <c r="K10" s="0" t="n">
        <f aca="false">-K6*K9/100</f>
        <v>-3035.47765409571</v>
      </c>
      <c r="L10" s="0" t="n">
        <f aca="false">-L6*L9/100</f>
        <v>-3187.2515368005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186702.9384</v>
      </c>
      <c r="D11" s="0" t="n">
        <f aca="false">D8+D10+D24</f>
        <v>136694.040912</v>
      </c>
      <c r="E11" s="0" t="n">
        <f aca="false">E8+E10+E24</f>
        <v>52808.2961472</v>
      </c>
      <c r="F11" s="0" t="n">
        <f aca="false">F8+F10+F24</f>
        <v>24972.949782</v>
      </c>
      <c r="G11" s="0" t="n">
        <f aca="false">G8+G10+G24</f>
        <v>27054.0289305</v>
      </c>
      <c r="H11" s="0" t="n">
        <f aca="false">H8+H10+H24</f>
        <v>32077.753994979</v>
      </c>
      <c r="I11" s="0" t="n">
        <f aca="false">I8+I10+I24</f>
        <v>35608.9290941538</v>
      </c>
      <c r="J11" s="0" t="n">
        <f aca="false">J8+J10+J24</f>
        <v>37582.1042888041</v>
      </c>
      <c r="K11" s="0" t="n">
        <f aca="false">K8+K10+K24</f>
        <v>39461.2095032443</v>
      </c>
      <c r="L11" s="0" t="n">
        <f aca="false">L8+L10+L24</f>
        <v>41434.2699784065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-11912.33472</v>
      </c>
      <c r="D12" s="4" t="n">
        <f aca="false">-D6*Assumptions!D17/100</f>
        <v>-14604.0642</v>
      </c>
      <c r="E12" s="4" t="n">
        <f aca="false">-E6*Assumptions!E17/100</f>
        <v>-17524.87704</v>
      </c>
      <c r="F12" s="4" t="n">
        <f aca="false">-F6*Assumptions!F17/100</f>
        <v>-19277.364744</v>
      </c>
      <c r="G12" s="4" t="n">
        <f aca="false">-G6*Assumptions!G17/100</f>
        <v>-19978.3598256</v>
      </c>
      <c r="H12" s="4" t="n">
        <f aca="false">-H6*Assumptions!H17/100</f>
        <v>-20103.22457451</v>
      </c>
      <c r="I12" s="4" t="n">
        <f aca="false">-I6*Assumptions!I17/100</f>
        <v>-20649.5078509913</v>
      </c>
      <c r="J12" s="4" t="n">
        <f aca="false">-J6*Assumptions!J17/100</f>
        <v>-21200.1613936844</v>
      </c>
      <c r="K12" s="4" t="n">
        <f aca="false">-K6*Assumptions!K17/100</f>
        <v>-22260.1694633686</v>
      </c>
      <c r="L12" s="4" t="n">
        <f aca="false">-L6*Assumptions!L17/100</f>
        <v>-23373.177936537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174790.60368</v>
      </c>
      <c r="D13" s="0" t="n">
        <f aca="false">D11+D12</f>
        <v>122089.976712</v>
      </c>
      <c r="E13" s="0" t="n">
        <f aca="false">E11+E12</f>
        <v>35283.4191072</v>
      </c>
      <c r="F13" s="0" t="n">
        <f aca="false">F11+F12</f>
        <v>5695.585038</v>
      </c>
      <c r="G13" s="0" t="n">
        <f aca="false">G11+G12</f>
        <v>7075.6691049</v>
      </c>
      <c r="H13" s="0" t="n">
        <f aca="false">H11+H12</f>
        <v>11974.529420469</v>
      </c>
      <c r="I13" s="0" t="n">
        <f aca="false">I11+I12</f>
        <v>14959.4212431626</v>
      </c>
      <c r="J13" s="0" t="n">
        <f aca="false">J11+J12</f>
        <v>16381.9428951197</v>
      </c>
      <c r="K13" s="0" t="n">
        <f aca="false">K11+K12</f>
        <v>17201.0400398757</v>
      </c>
      <c r="L13" s="0" t="n">
        <f aca="false">L11+L12</f>
        <v>18061.0920418695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18</v>
      </c>
      <c r="D14" s="4" t="n">
        <f aca="false">Assumptions!D19</f>
        <v>16</v>
      </c>
      <c r="E14" s="4" t="n">
        <f aca="false">Assumptions!E19</f>
        <v>16</v>
      </c>
      <c r="F14" s="4" t="n">
        <f aca="false">Assumptions!F19</f>
        <v>16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143328.2950176</v>
      </c>
      <c r="D15" s="0" t="n">
        <f aca="false">D13-MAX(0,D13)*D14/100</f>
        <v>102555.58043808</v>
      </c>
      <c r="E15" s="0" t="n">
        <f aca="false">E13-MAX(0,E13)*E14/100</f>
        <v>29638.072050048</v>
      </c>
      <c r="F15" s="0" t="n">
        <f aca="false">F13-MAX(0,F13)*F14/100</f>
        <v>4784.29143192</v>
      </c>
      <c r="G15" s="0" t="n">
        <f aca="false">G13-MAX(0,G13)*G14/100</f>
        <v>5943.562048116</v>
      </c>
      <c r="H15" s="0" t="n">
        <f aca="false">H13-MAX(0,H13)*H14/100</f>
        <v>10058.604713194</v>
      </c>
      <c r="I15" s="0" t="n">
        <f aca="false">I13-MAX(0,I13)*I14/100</f>
        <v>12565.9138442565</v>
      </c>
      <c r="J15" s="0" t="n">
        <f aca="false">J13-MAX(0,J13)*J14/100</f>
        <v>13760.8320319006</v>
      </c>
      <c r="K15" s="0" t="n">
        <f aca="false">K13-MAX(0,K13)*K14/100</f>
        <v>14448.8736334956</v>
      </c>
      <c r="L15" s="0" t="n">
        <f aca="false">L13-MAX(0,L13)*L14/100</f>
        <v>15171.3173151704</v>
      </c>
    </row>
    <row r="16" customFormat="false" ht="15" hidden="false" customHeight="false" outlineLevel="0" collapsed="false">
      <c r="A16" s="0" t="s">
        <v>127</v>
      </c>
      <c r="C16" s="0" t="n">
        <f aca="false">-C12</f>
        <v>11912.33472</v>
      </c>
      <c r="D16" s="0" t="n">
        <f aca="false">-D12</f>
        <v>14604.0642</v>
      </c>
      <c r="E16" s="0" t="n">
        <f aca="false">-E12</f>
        <v>17524.87704</v>
      </c>
      <c r="F16" s="0" t="n">
        <f aca="false">-F12</f>
        <v>19277.364744</v>
      </c>
      <c r="G16" s="0" t="n">
        <f aca="false">-G12</f>
        <v>19978.3598256</v>
      </c>
      <c r="H16" s="0" t="n">
        <f aca="false">-H12</f>
        <v>20103.22457451</v>
      </c>
      <c r="I16" s="0" t="n">
        <f aca="false">-I12</f>
        <v>20649.5078509913</v>
      </c>
      <c r="J16" s="0" t="n">
        <f aca="false">-J12</f>
        <v>21200.1613936844</v>
      </c>
      <c r="K16" s="0" t="n">
        <f aca="false">-K12</f>
        <v>22260.1694633686</v>
      </c>
      <c r="L16" s="0" t="n">
        <f aca="false">-L12</f>
        <v>23373.177936537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-38944.1712</v>
      </c>
      <c r="D17" s="4" t="n">
        <f aca="false">-D6*Assumptions!D18/100</f>
        <v>-38944.1712</v>
      </c>
      <c r="E17" s="4" t="n">
        <f aca="false">-E6*Assumptions!E18/100</f>
        <v>-25703.152992</v>
      </c>
      <c r="F17" s="4" t="n">
        <f aca="false">-F6*Assumptions!F18/100</f>
        <v>-21029.852448</v>
      </c>
      <c r="G17" s="4" t="n">
        <f aca="false">-G6*Assumptions!G18/100</f>
        <v>-20810.791485</v>
      </c>
      <c r="H17" s="4" t="n">
        <f aca="false">-H6*Assumptions!H18/100</f>
        <v>-22725.38430162</v>
      </c>
      <c r="I17" s="4" t="n">
        <f aca="false">-I6*Assumptions!I18/100</f>
        <v>-23861.653516701</v>
      </c>
      <c r="J17" s="4" t="n">
        <f aca="false">-J6*Assumptions!J18/100</f>
        <v>-25054.7361925361</v>
      </c>
      <c r="K17" s="4" t="n">
        <f aca="false">-K6*Assumptions!K18/100</f>
        <v>-26307.4730021629</v>
      </c>
      <c r="L17" s="4" t="n">
        <f aca="false">-L6*Assumptions!L18/100</f>
        <v>-27622.846652271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-11507.4432</v>
      </c>
      <c r="D18" s="4" t="n">
        <f aca="false">(D6-C6)*Assumptions!$B$23/100</f>
        <v>4123.50048</v>
      </c>
      <c r="E18" s="4" t="n">
        <f aca="false">(E6-D6)*Assumptions!$B$23/100</f>
        <v>9346.601088</v>
      </c>
      <c r="F18" s="4" t="n">
        <f aca="false">(F6-E6)*Assumptions!$B$23/100</f>
        <v>3504.975408</v>
      </c>
      <c r="G18" s="4" t="n">
        <f aca="false">(G6-F6)*Assumptions!$B$23/100</f>
        <v>525.7463112</v>
      </c>
      <c r="H18" s="4" t="n">
        <f aca="false">(H6-G6)*Assumptions!$B$23/100</f>
        <v>-499.45899564</v>
      </c>
      <c r="I18" s="4" t="n">
        <f aca="false">(I6-H6)*Assumptions!$B$23/100</f>
        <v>-524.431945422</v>
      </c>
      <c r="J18" s="4" t="n">
        <f aca="false">(J6-I6)*Assumptions!$B$23/100</f>
        <v>-550.653542693101</v>
      </c>
      <c r="K18" s="4" t="n">
        <f aca="false">(K6-J6)*Assumptions!$B$23/100</f>
        <v>-578.186219827756</v>
      </c>
      <c r="L18" s="4" t="n">
        <f aca="false">(L6-K6)*Assumptions!$B$23/100</f>
        <v>-607.095530819144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104789.0153376</v>
      </c>
      <c r="D19" s="0" t="n">
        <f aca="false">D15+D16+D17+D18</f>
        <v>82338.97391808</v>
      </c>
      <c r="E19" s="0" t="n">
        <f aca="false">E15+E16+E17+E18</f>
        <v>30806.397186048</v>
      </c>
      <c r="F19" s="0" t="n">
        <f aca="false">F15+F16+F17+F18</f>
        <v>6536.77913592</v>
      </c>
      <c r="G19" s="0" t="n">
        <f aca="false">G15+G16+G17+G18</f>
        <v>5636.876699916</v>
      </c>
      <c r="H19" s="0" t="n">
        <f aca="false">H15+H16+H17+H18</f>
        <v>6936.98599044395</v>
      </c>
      <c r="I19" s="0" t="n">
        <f aca="false">I15+I16+I17+I18</f>
        <v>8829.33623312479</v>
      </c>
      <c r="J19" s="0" t="n">
        <f aca="false">J15+J16+J17+J18</f>
        <v>9355.60369035577</v>
      </c>
      <c r="K19" s="0" t="n">
        <f aca="false">K15+K16+K17+K18</f>
        <v>9823.38387487355</v>
      </c>
      <c r="L19" s="0" t="n">
        <f aca="false">L15+L16+L17+L18</f>
        <v>10314.5530686172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95262.741216</v>
      </c>
      <c r="D21" s="0" t="n">
        <f aca="false">D19*D20</f>
        <v>68048.7387752727</v>
      </c>
      <c r="E21" s="0" t="n">
        <f aca="false">E19*E20</f>
        <v>23145.3021683306</v>
      </c>
      <c r="F21" s="0" t="n">
        <f aca="false">F19*F20</f>
        <v>4464.70810458302</v>
      </c>
      <c r="G21" s="0" t="n">
        <f aca="false">G19*G20</f>
        <v>3500.05693843317</v>
      </c>
      <c r="H21" s="0" t="n">
        <f aca="false">H19*H20</f>
        <v>3915.74774475389</v>
      </c>
      <c r="I21" s="0" t="n">
        <f aca="false">I19*I20</f>
        <v>4530.84556661651</v>
      </c>
      <c r="J21" s="0" t="n">
        <f aca="false">J19*J20</f>
        <v>4364.45816786838</v>
      </c>
      <c r="K21" s="0" t="n">
        <f aca="false">K19*K20</f>
        <v>4166.07370569254</v>
      </c>
      <c r="L21" s="0" t="n">
        <f aca="false">L19*L20</f>
        <v>3976.70671907016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215375.379106621</v>
      </c>
    </row>
    <row r="31" customFormat="false" ht="15" hidden="false" customHeight="false" outlineLevel="0" collapsed="false">
      <c r="A31" s="0" t="s">
        <v>136</v>
      </c>
      <c r="B31" s="0" t="n">
        <f aca="false">L19</f>
        <v>10314.5530686172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140965.558604436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113460.08375479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113460.08375479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43743.7739097718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259119.153016393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314498.153016393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273.476654796863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-0.750793560359705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19382.0953011085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16793.920370411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304.934059728619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84579.3351626614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235.809614410505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84</v>
      </c>
      <c r="D5" s="4" t="n">
        <f aca="false">Assumptions!D27</f>
        <v>-6</v>
      </c>
      <c r="E5" s="4" t="n">
        <f aca="false">Assumptions!E27</f>
        <v>-22</v>
      </c>
      <c r="F5" s="4" t="n">
        <f aca="false">Assumptions!F27</f>
        <v>-20</v>
      </c>
      <c r="G5" s="4" t="n">
        <f aca="false">Assumptions!G27</f>
        <v>-8</v>
      </c>
      <c r="H5" s="4" t="n">
        <f aca="false">Assumptions!H27</f>
        <v>5</v>
      </c>
      <c r="I5" s="4" t="n">
        <f aca="false">Assumptions!I27</f>
        <v>6</v>
      </c>
      <c r="J5" s="4" t="n">
        <f aca="false">Assumptions!J27</f>
        <v>6</v>
      </c>
      <c r="K5" s="4" t="n">
        <f aca="false">Assumptions!K27</f>
        <v>6</v>
      </c>
      <c r="L5" s="4" t="n">
        <f aca="false">Assumptions!L27</f>
        <v>6</v>
      </c>
    </row>
    <row r="6" customFormat="false" ht="15" hidden="false" customHeight="false" outlineLevel="0" collapsed="false">
      <c r="A6" s="0" t="s">
        <v>37</v>
      </c>
      <c r="B6" s="3" t="n">
        <v>133188</v>
      </c>
      <c r="C6" s="0" t="n">
        <f aca="false">B6*(1+C5/100)</f>
        <v>245065.92</v>
      </c>
      <c r="D6" s="0" t="n">
        <f aca="false">C6*(1+D5/100)</f>
        <v>230361.9648</v>
      </c>
      <c r="E6" s="0" t="n">
        <f aca="false">D6*(1+E5/100)</f>
        <v>179682.332544</v>
      </c>
      <c r="F6" s="0" t="n">
        <f aca="false">E6*(1+F5/100)</f>
        <v>143745.8660352</v>
      </c>
      <c r="G6" s="0" t="n">
        <f aca="false">F6*(1+G5/100)</f>
        <v>132246.196752384</v>
      </c>
      <c r="H6" s="0" t="n">
        <f aca="false">G6*(1+H5/100)</f>
        <v>138858.506590003</v>
      </c>
      <c r="I6" s="0" t="n">
        <f aca="false">H6*(1+I5/100)</f>
        <v>147190.016985403</v>
      </c>
      <c r="J6" s="0" t="n">
        <f aca="false">I6*(1+J5/100)</f>
        <v>156021.418004528</v>
      </c>
      <c r="K6" s="0" t="n">
        <f aca="false">J6*(1+K5/100)</f>
        <v>165382.703084799</v>
      </c>
      <c r="L6" s="0" t="n">
        <f aca="false">K6*(1+L5/100)</f>
        <v>175305.665269887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86</v>
      </c>
      <c r="D7" s="4" t="n">
        <f aca="false">Assumptions!D28</f>
        <v>82</v>
      </c>
      <c r="E7" s="4" t="n">
        <f aca="false">Assumptions!E28</f>
        <v>74</v>
      </c>
      <c r="F7" s="4" t="n">
        <f aca="false">Assumptions!F28</f>
        <v>64</v>
      </c>
      <c r="G7" s="4" t="n">
        <f aca="false">Assumptions!G28</f>
        <v>58</v>
      </c>
      <c r="H7" s="4" t="n">
        <f aca="false">Assumptions!H28</f>
        <v>57</v>
      </c>
      <c r="I7" s="4" t="n">
        <f aca="false">Assumptions!I28</f>
        <v>57</v>
      </c>
      <c r="J7" s="4" t="n">
        <f aca="false">Assumptions!J28</f>
        <v>58</v>
      </c>
      <c r="K7" s="4" t="n">
        <f aca="false">Assumptions!K28</f>
        <v>58</v>
      </c>
      <c r="L7" s="4" t="n">
        <f aca="false">Assumptions!L28</f>
        <v>58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210756.6912</v>
      </c>
      <c r="D8" s="0" t="n">
        <f aca="false">D6*D7/100</f>
        <v>188896.811136</v>
      </c>
      <c r="E8" s="0" t="n">
        <f aca="false">E6*E7/100</f>
        <v>132964.92608256</v>
      </c>
      <c r="F8" s="0" t="n">
        <f aca="false">F6*F7/100</f>
        <v>91997.354262528</v>
      </c>
      <c r="G8" s="0" t="n">
        <f aca="false">G6*G7/100</f>
        <v>76702.7941163827</v>
      </c>
      <c r="H8" s="0" t="n">
        <f aca="false">H6*H7/100</f>
        <v>79149.3487563018</v>
      </c>
      <c r="I8" s="0" t="n">
        <f aca="false">I6*I7/100</f>
        <v>83898.3096816799</v>
      </c>
      <c r="J8" s="0" t="n">
        <f aca="false">J6*J7/100</f>
        <v>90492.422442626</v>
      </c>
      <c r="K8" s="0" t="n">
        <f aca="false">K6*K7/100</f>
        <v>95921.9677891836</v>
      </c>
      <c r="L8" s="0" t="n">
        <f aca="false">L6*L7/100</f>
        <v>101677.285856535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2</v>
      </c>
      <c r="F9" s="4" t="n">
        <f aca="false">Assumptions!F29</f>
        <v>2.6</v>
      </c>
      <c r="G9" s="4" t="n">
        <f aca="false">Assumptions!G29</f>
        <v>2.8</v>
      </c>
      <c r="H9" s="4" t="n">
        <f aca="false">Assumptions!H29</f>
        <v>2.8</v>
      </c>
      <c r="I9" s="4" t="n">
        <f aca="false">Assumptions!I29</f>
        <v>2.7</v>
      </c>
      <c r="J9" s="4" t="n">
        <f aca="false">Assumptions!J29</f>
        <v>2.6</v>
      </c>
      <c r="K9" s="4" t="n">
        <f aca="false">Assumptions!K29</f>
        <v>2.5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-3675.9888</v>
      </c>
      <c r="D10" s="0" t="n">
        <f aca="false">-D6*D9/100</f>
        <v>-3455.429472</v>
      </c>
      <c r="E10" s="0" t="n">
        <f aca="false">-E6*E9/100</f>
        <v>-3593.64665088</v>
      </c>
      <c r="F10" s="0" t="n">
        <f aca="false">-F6*F9/100</f>
        <v>-3737.3925169152</v>
      </c>
      <c r="G10" s="0" t="n">
        <f aca="false">-G6*G9/100</f>
        <v>-3702.89350906675</v>
      </c>
      <c r="H10" s="0" t="n">
        <f aca="false">-H6*H9/100</f>
        <v>-3888.03818452009</v>
      </c>
      <c r="I10" s="0" t="n">
        <f aca="false">-I6*I9/100</f>
        <v>-3974.13045860589</v>
      </c>
      <c r="J10" s="0" t="n">
        <f aca="false">-J6*J9/100</f>
        <v>-4056.55686811772</v>
      </c>
      <c r="K10" s="0" t="n">
        <f aca="false">-K6*K9/100</f>
        <v>-4134.56757711998</v>
      </c>
      <c r="L10" s="0" t="n">
        <f aca="false">-L6*L9/100</f>
        <v>-4382.64163174718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207080.7024</v>
      </c>
      <c r="D11" s="0" t="n">
        <f aca="false">D8+D10+D24</f>
        <v>185441.381664</v>
      </c>
      <c r="E11" s="0" t="n">
        <f aca="false">E8+E10+E24</f>
        <v>129371.27943168</v>
      </c>
      <c r="F11" s="0" t="n">
        <f aca="false">F8+F10+F24</f>
        <v>88259.9617456128</v>
      </c>
      <c r="G11" s="0" t="n">
        <f aca="false">G8+G10+G24</f>
        <v>72999.900607316</v>
      </c>
      <c r="H11" s="0" t="n">
        <f aca="false">H8+H10+H24</f>
        <v>75261.3105717817</v>
      </c>
      <c r="I11" s="0" t="n">
        <f aca="false">I8+I10+I24</f>
        <v>79924.179223074</v>
      </c>
      <c r="J11" s="0" t="n">
        <f aca="false">J8+J10+J24</f>
        <v>86435.8655745083</v>
      </c>
      <c r="K11" s="0" t="n">
        <f aca="false">K8+K10+K24</f>
        <v>91787.4002120636</v>
      </c>
      <c r="L11" s="0" t="n">
        <f aca="false">L8+L10+L24</f>
        <v>97294.6442247874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-12008.23008</v>
      </c>
      <c r="D12" s="4" t="n">
        <f aca="false">-D6*Assumptions!D31/100</f>
        <v>-14973.527712</v>
      </c>
      <c r="E12" s="4" t="n">
        <f aca="false">-E6*Assumptions!E31/100</f>
        <v>-17968.2332544</v>
      </c>
      <c r="F12" s="4" t="n">
        <f aca="false">-F6*Assumptions!F31/100</f>
        <v>-20124.421244928</v>
      </c>
      <c r="G12" s="4" t="n">
        <f aca="false">-G6*Assumptions!G31/100</f>
        <v>-21820.6224641434</v>
      </c>
      <c r="H12" s="4" t="n">
        <f aca="false">-H6*Assumptions!H31/100</f>
        <v>-23605.9461203005</v>
      </c>
      <c r="I12" s="4" t="n">
        <f aca="false">-I6*Assumptions!I31/100</f>
        <v>-25316.6829214894</v>
      </c>
      <c r="J12" s="4" t="n">
        <f aca="false">-J6*Assumptions!J31/100</f>
        <v>-27303.7481507923</v>
      </c>
      <c r="K12" s="4" t="n">
        <f aca="false">-K6*Assumptions!K31/100</f>
        <v>-28941.9730398399</v>
      </c>
      <c r="L12" s="4" t="n">
        <f aca="false">-L6*Assumptions!L31/100</f>
        <v>-30678.4914222303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195072.47232</v>
      </c>
      <c r="D13" s="0" t="n">
        <f aca="false">D11+D12</f>
        <v>170467.853952</v>
      </c>
      <c r="E13" s="0" t="n">
        <f aca="false">E11+E12</f>
        <v>111403.04617728</v>
      </c>
      <c r="F13" s="0" t="n">
        <f aca="false">F11+F12</f>
        <v>68135.5405006848</v>
      </c>
      <c r="G13" s="0" t="n">
        <f aca="false">G11+G12</f>
        <v>51179.2781431726</v>
      </c>
      <c r="H13" s="0" t="n">
        <f aca="false">H11+H12</f>
        <v>51655.3644514812</v>
      </c>
      <c r="I13" s="0" t="n">
        <f aca="false">I11+I12</f>
        <v>54607.4963015846</v>
      </c>
      <c r="J13" s="0" t="n">
        <f aca="false">J11+J12</f>
        <v>59132.117423716</v>
      </c>
      <c r="K13" s="0" t="n">
        <f aca="false">K11+K12</f>
        <v>62845.4271722237</v>
      </c>
      <c r="L13" s="0" t="n">
        <f aca="false">L11+L12</f>
        <v>66616.1528025572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18</v>
      </c>
      <c r="D14" s="4" t="n">
        <f aca="false">Assumptions!D33</f>
        <v>16</v>
      </c>
      <c r="E14" s="4" t="n">
        <f aca="false">Assumptions!E33</f>
        <v>16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159959.4273024</v>
      </c>
      <c r="D15" s="0" t="n">
        <f aca="false">D13-MAX(0,D13)*D14/100</f>
        <v>143192.99731968</v>
      </c>
      <c r="E15" s="0" t="n">
        <f aca="false">E13-MAX(0,E13)*E14/100</f>
        <v>93578.5587889152</v>
      </c>
      <c r="F15" s="0" t="n">
        <f aca="false">F13-MAX(0,F13)*F14/100</f>
        <v>57233.8540205752</v>
      </c>
      <c r="G15" s="0" t="n">
        <f aca="false">G13-MAX(0,G13)*G14/100</f>
        <v>42990.593640265</v>
      </c>
      <c r="H15" s="0" t="n">
        <f aca="false">H13-MAX(0,H13)*H14/100</f>
        <v>43390.5061392442</v>
      </c>
      <c r="I15" s="0" t="n">
        <f aca="false">I13-MAX(0,I13)*I14/100</f>
        <v>45870.2968933311</v>
      </c>
      <c r="J15" s="0" t="n">
        <f aca="false">J13-MAX(0,J13)*J14/100</f>
        <v>49670.9786359214</v>
      </c>
      <c r="K15" s="0" t="n">
        <f aca="false">K13-MAX(0,K13)*K14/100</f>
        <v>52790.1588246679</v>
      </c>
      <c r="L15" s="0" t="n">
        <f aca="false">L13-MAX(0,L13)*L14/100</f>
        <v>55957.568354148</v>
      </c>
    </row>
    <row r="16" customFormat="false" ht="15" hidden="false" customHeight="false" outlineLevel="0" collapsed="false">
      <c r="A16" s="0" t="s">
        <v>127</v>
      </c>
      <c r="C16" s="0" t="n">
        <f aca="false">-C12</f>
        <v>12008.23008</v>
      </c>
      <c r="D16" s="0" t="n">
        <f aca="false">-D12</f>
        <v>14973.527712</v>
      </c>
      <c r="E16" s="0" t="n">
        <f aca="false">-E12</f>
        <v>17968.2332544</v>
      </c>
      <c r="F16" s="0" t="n">
        <f aca="false">-F12</f>
        <v>20124.421244928</v>
      </c>
      <c r="G16" s="0" t="n">
        <f aca="false">-G12</f>
        <v>21820.6224641434</v>
      </c>
      <c r="H16" s="0" t="n">
        <f aca="false">-H12</f>
        <v>23605.9461203005</v>
      </c>
      <c r="I16" s="0" t="n">
        <f aca="false">-I12</f>
        <v>25316.6829214894</v>
      </c>
      <c r="J16" s="0" t="n">
        <f aca="false">-J12</f>
        <v>27303.7481507923</v>
      </c>
      <c r="K16" s="0" t="n">
        <f aca="false">-K12</f>
        <v>28941.9730398399</v>
      </c>
      <c r="L16" s="0" t="n">
        <f aca="false">-L12</f>
        <v>30678.4914222303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-38965.48128</v>
      </c>
      <c r="D17" s="4" t="n">
        <f aca="false">-D6*Assumptions!D32/100</f>
        <v>-42156.2395584</v>
      </c>
      <c r="E17" s="4" t="n">
        <f aca="false">-E6*Assumptions!E32/100</f>
        <v>-33241.23152064</v>
      </c>
      <c r="F17" s="4" t="n">
        <f aca="false">-F6*Assumptions!F32/100</f>
        <v>-27311.714546688</v>
      </c>
      <c r="G17" s="4" t="n">
        <f aca="false">-G6*Assumptions!G32/100</f>
        <v>-27771.7013180006</v>
      </c>
      <c r="H17" s="4" t="n">
        <f aca="false">-H6*Assumptions!H32/100</f>
        <v>-30548.8714498007</v>
      </c>
      <c r="I17" s="4" t="n">
        <f aca="false">-I6*Assumptions!I32/100</f>
        <v>-32381.8037367887</v>
      </c>
      <c r="J17" s="4" t="n">
        <f aca="false">-J6*Assumptions!J32/100</f>
        <v>-34324.7119609961</v>
      </c>
      <c r="K17" s="4" t="n">
        <f aca="false">-K6*Assumptions!K32/100</f>
        <v>-36384.1946786558</v>
      </c>
      <c r="L17" s="4" t="n">
        <f aca="false">-L6*Assumptions!L32/100</f>
        <v>-38567.2463593752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-13425.3504</v>
      </c>
      <c r="D18" s="4" t="n">
        <f aca="false">(D6-C6)*Assumptions!$B$37/100</f>
        <v>1764.474624</v>
      </c>
      <c r="E18" s="4" t="n">
        <f aca="false">(E6-D6)*Assumptions!$B$37/100</f>
        <v>6081.55587072</v>
      </c>
      <c r="F18" s="4" t="n">
        <f aca="false">(F6-E6)*Assumptions!$B$37/100</f>
        <v>4312.375981056</v>
      </c>
      <c r="G18" s="4" t="n">
        <f aca="false">(G6-F6)*Assumptions!$B$37/100</f>
        <v>1379.96031393792</v>
      </c>
      <c r="H18" s="4" t="n">
        <f aca="false">(H6-G6)*Assumptions!$B$37/100</f>
        <v>-793.477180514303</v>
      </c>
      <c r="I18" s="4" t="n">
        <f aca="false">(I6-H6)*Assumptions!$B$37/100</f>
        <v>-999.781247448024</v>
      </c>
      <c r="J18" s="4" t="n">
        <f aca="false">(J6-I6)*Assumptions!$B$37/100</f>
        <v>-1059.7681222949</v>
      </c>
      <c r="K18" s="4" t="n">
        <f aca="false">(K6-J6)*Assumptions!$B$37/100</f>
        <v>-1123.3542096326</v>
      </c>
      <c r="L18" s="4" t="n">
        <f aca="false">(L6-K6)*Assumptions!$B$37/100</f>
        <v>-1190.75546221056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119576.8257024</v>
      </c>
      <c r="D19" s="0" t="n">
        <f aca="false">D15+D16+D17+D18</f>
        <v>117774.76009728</v>
      </c>
      <c r="E19" s="0" t="n">
        <f aca="false">E15+E16+E17+E18</f>
        <v>84387.1163933952</v>
      </c>
      <c r="F19" s="0" t="n">
        <f aca="false">F15+F16+F17+F18</f>
        <v>54358.9366998712</v>
      </c>
      <c r="G19" s="0" t="n">
        <f aca="false">G15+G16+G17+G18</f>
        <v>38419.4751003456</v>
      </c>
      <c r="H19" s="0" t="n">
        <f aca="false">H15+H16+H17+H18</f>
        <v>35654.1036292297</v>
      </c>
      <c r="I19" s="0" t="n">
        <f aca="false">I15+I16+I17+I18</f>
        <v>37805.3948305837</v>
      </c>
      <c r="J19" s="0" t="n">
        <f aca="false">J15+J16+J17+J18</f>
        <v>41590.2467034228</v>
      </c>
      <c r="K19" s="0" t="n">
        <f aca="false">K15+K16+K17+K18</f>
        <v>44224.5829762194</v>
      </c>
      <c r="L19" s="0" t="n">
        <f aca="false">L15+L16+L17+L18</f>
        <v>46878.0579547925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108706.205184</v>
      </c>
      <c r="D21" s="0" t="n">
        <f aca="false">D19*D20</f>
        <v>97334.5124770909</v>
      </c>
      <c r="E21" s="0" t="n">
        <f aca="false">E19*E20</f>
        <v>63401.289551762</v>
      </c>
      <c r="F21" s="0" t="n">
        <f aca="false">F19*F20</f>
        <v>37127.8851853502</v>
      </c>
      <c r="G21" s="0" t="n">
        <f aca="false">G19*G20</f>
        <v>23855.4713105449</v>
      </c>
      <c r="H21" s="0" t="n">
        <f aca="false">H19*H20</f>
        <v>20125.811998136</v>
      </c>
      <c r="I21" s="0" t="n">
        <f aca="false">I19*I20</f>
        <v>19400.1452702312</v>
      </c>
      <c r="J21" s="0" t="n">
        <f aca="false">J19*J20</f>
        <v>19402.1570318902</v>
      </c>
      <c r="K21" s="0" t="n">
        <f aca="false">K19*K20</f>
        <v>18755.540313731</v>
      </c>
      <c r="L21" s="0" t="n">
        <f aca="false">L19*L20</f>
        <v>18073.5206659589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426182.538988695</v>
      </c>
    </row>
    <row r="31" customFormat="false" ht="15" hidden="false" customHeight="false" outlineLevel="0" collapsed="false">
      <c r="A31" s="0" t="s">
        <v>136</v>
      </c>
      <c r="B31" s="0" t="n">
        <f aca="false">L19</f>
        <v>46878.0579547925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689777.138477661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609414.753412303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609414.753412303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234955.768657466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661138.307646161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716517.307646161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623.058528387966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-0.432236006900039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23319.0152209363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24862.7001889636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664.955672222662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402369.997445303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452.975491920333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95</v>
      </c>
      <c r="D5" s="4" t="n">
        <f aca="false">Assumptions!D41</f>
        <v>10</v>
      </c>
      <c r="E5" s="4" t="n">
        <f aca="false">Assumptions!E41</f>
        <v>-8</v>
      </c>
      <c r="F5" s="4" t="n">
        <f aca="false">Assumptions!F41</f>
        <v>-12</v>
      </c>
      <c r="G5" s="4" t="n">
        <f aca="false">Assumptions!G41</f>
        <v>-3</v>
      </c>
      <c r="H5" s="4" t="n">
        <f aca="false">Assumptions!H41</f>
        <v>6</v>
      </c>
      <c r="I5" s="4" t="n">
        <f aca="false">Assumptions!I41</f>
        <v>7</v>
      </c>
      <c r="J5" s="4" t="n">
        <f aca="false">Assumptions!J41</f>
        <v>7</v>
      </c>
      <c r="K5" s="4" t="n">
        <f aca="false">Assumptions!K41</f>
        <v>7</v>
      </c>
      <c r="L5" s="4" t="n">
        <f aca="false">Assumptions!L41</f>
        <v>7</v>
      </c>
    </row>
    <row r="6" customFormat="false" ht="15" hidden="false" customHeight="false" outlineLevel="0" collapsed="false">
      <c r="A6" s="0" t="s">
        <v>37</v>
      </c>
      <c r="B6" s="3" t="n">
        <v>133188</v>
      </c>
      <c r="C6" s="0" t="n">
        <f aca="false">B6*(1+C5/100)</f>
        <v>259716.6</v>
      </c>
      <c r="D6" s="0" t="n">
        <f aca="false">C6*(1+D5/100)</f>
        <v>285688.26</v>
      </c>
      <c r="E6" s="0" t="n">
        <f aca="false">D6*(1+E5/100)</f>
        <v>262833.1992</v>
      </c>
      <c r="F6" s="0" t="n">
        <f aca="false">E6*(1+F5/100)</f>
        <v>231293.215296</v>
      </c>
      <c r="G6" s="0" t="n">
        <f aca="false">F6*(1+G5/100)</f>
        <v>224354.41883712</v>
      </c>
      <c r="H6" s="0" t="n">
        <f aca="false">G6*(1+H5/100)</f>
        <v>237815.683967347</v>
      </c>
      <c r="I6" s="0" t="n">
        <f aca="false">H6*(1+I5/100)</f>
        <v>254462.781845062</v>
      </c>
      <c r="J6" s="0" t="n">
        <f aca="false">I6*(1+J5/100)</f>
        <v>272275.176574216</v>
      </c>
      <c r="K6" s="0" t="n">
        <f aca="false">J6*(1+K5/100)</f>
        <v>291334.438934411</v>
      </c>
      <c r="L6" s="0" t="n">
        <f aca="false">K6*(1+L5/100)</f>
        <v>311727.84965982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87</v>
      </c>
      <c r="D7" s="4" t="n">
        <f aca="false">Assumptions!D42</f>
        <v>85</v>
      </c>
      <c r="E7" s="4" t="n">
        <f aca="false">Assumptions!E42</f>
        <v>78</v>
      </c>
      <c r="F7" s="4" t="n">
        <f aca="false">Assumptions!F42</f>
        <v>70</v>
      </c>
      <c r="G7" s="4" t="n">
        <f aca="false">Assumptions!G42</f>
        <v>66</v>
      </c>
      <c r="H7" s="4" t="n">
        <f aca="false">Assumptions!H42</f>
        <v>67</v>
      </c>
      <c r="I7" s="4" t="n">
        <f aca="false">Assumptions!I42</f>
        <v>68</v>
      </c>
      <c r="J7" s="4" t="n">
        <f aca="false">Assumptions!J42</f>
        <v>68</v>
      </c>
      <c r="K7" s="4" t="n">
        <f aca="false">Assumptions!K42</f>
        <v>68</v>
      </c>
      <c r="L7" s="4" t="n">
        <f aca="false">Assumptions!L42</f>
        <v>68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225953.442</v>
      </c>
      <c r="D8" s="0" t="n">
        <f aca="false">D6*D7/100</f>
        <v>242835.021</v>
      </c>
      <c r="E8" s="0" t="n">
        <f aca="false">E6*E7/100</f>
        <v>205009.895376</v>
      </c>
      <c r="F8" s="0" t="n">
        <f aca="false">F6*F7/100</f>
        <v>161905.2507072</v>
      </c>
      <c r="G8" s="0" t="n">
        <f aca="false">G6*G7/100</f>
        <v>148073.916432499</v>
      </c>
      <c r="H8" s="0" t="n">
        <f aca="false">H6*H7/100</f>
        <v>159336.508258123</v>
      </c>
      <c r="I8" s="0" t="n">
        <f aca="false">I6*I7/100</f>
        <v>173034.691654642</v>
      </c>
      <c r="J8" s="0" t="n">
        <f aca="false">J6*J7/100</f>
        <v>185147.120070467</v>
      </c>
      <c r="K8" s="0" t="n">
        <f aca="false">K6*K7/100</f>
        <v>198107.418475399</v>
      </c>
      <c r="L8" s="0" t="n">
        <f aca="false">L6*L7/100</f>
        <v>211974.937768677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1.3</v>
      </c>
      <c r="D9" s="4" t="n">
        <f aca="false">Assumptions!D43</f>
        <v>1.3</v>
      </c>
      <c r="E9" s="4" t="n">
        <f aca="false">Assumptions!E43</f>
        <v>1.5</v>
      </c>
      <c r="F9" s="4" t="n">
        <f aca="false">Assumptions!F43</f>
        <v>1.8</v>
      </c>
      <c r="G9" s="4" t="n">
        <f aca="false">Assumptions!G43</f>
        <v>2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-3376.3158</v>
      </c>
      <c r="D10" s="0" t="n">
        <f aca="false">-D6*D9/100</f>
        <v>-3713.94738</v>
      </c>
      <c r="E10" s="0" t="n">
        <f aca="false">-E6*E9/100</f>
        <v>-3942.497988</v>
      </c>
      <c r="F10" s="0" t="n">
        <f aca="false">-F6*F9/100</f>
        <v>-4163.277875328</v>
      </c>
      <c r="G10" s="0" t="n">
        <f aca="false">-G6*G9/100</f>
        <v>-4487.0883767424</v>
      </c>
      <c r="H10" s="0" t="n">
        <f aca="false">-H6*H9/100</f>
        <v>-4756.31367934695</v>
      </c>
      <c r="I10" s="0" t="n">
        <f aca="false">-I6*I9/100</f>
        <v>-5089.25563690123</v>
      </c>
      <c r="J10" s="0" t="n">
        <f aca="false">-J6*J9/100</f>
        <v>-5445.50353148432</v>
      </c>
      <c r="K10" s="0" t="n">
        <f aca="false">-K6*K9/100</f>
        <v>-5826.68877868822</v>
      </c>
      <c r="L10" s="0" t="n">
        <f aca="false">-L6*L9/100</f>
        <v>-6234.5569931964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222577.1262</v>
      </c>
      <c r="D11" s="0" t="n">
        <f aca="false">D8+D10+D24</f>
        <v>239121.07362</v>
      </c>
      <c r="E11" s="0" t="n">
        <f aca="false">E8+E10+E24</f>
        <v>201067.397388</v>
      </c>
      <c r="F11" s="0" t="n">
        <f aca="false">F8+F10+F24</f>
        <v>157741.972831872</v>
      </c>
      <c r="G11" s="0" t="n">
        <f aca="false">G8+G10+G24</f>
        <v>143586.828055757</v>
      </c>
      <c r="H11" s="0" t="n">
        <f aca="false">H8+H10+H24</f>
        <v>154580.194578776</v>
      </c>
      <c r="I11" s="0" t="n">
        <f aca="false">I8+I10+I24</f>
        <v>167945.436017741</v>
      </c>
      <c r="J11" s="0" t="n">
        <f aca="false">J8+J10+J24</f>
        <v>179701.616538983</v>
      </c>
      <c r="K11" s="0" t="n">
        <f aca="false">K8+K10+K24</f>
        <v>192280.729696711</v>
      </c>
      <c r="L11" s="0" t="n">
        <f aca="false">L8+L10+L24</f>
        <v>205740.380775481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-12206.6802</v>
      </c>
      <c r="D12" s="4" t="n">
        <f aca="false">-D6*Assumptions!D45/100</f>
        <v>-15712.8543</v>
      </c>
      <c r="E12" s="4" t="n">
        <f aca="false">-E6*Assumptions!E45/100</f>
        <v>-19712.48994</v>
      </c>
      <c r="F12" s="4" t="n">
        <f aca="false">-F6*Assumptions!F45/100</f>
        <v>-23129.3215296</v>
      </c>
      <c r="G12" s="4" t="n">
        <f aca="false">-G6*Assumptions!G45/100</f>
        <v>-26922.5302604544</v>
      </c>
      <c r="H12" s="4" t="n">
        <f aca="false">-H6*Assumptions!H45/100</f>
        <v>-29726.9604959184</v>
      </c>
      <c r="I12" s="4" t="n">
        <f aca="false">-I6*Assumptions!I45/100</f>
        <v>-33080.161639858</v>
      </c>
      <c r="J12" s="4" t="n">
        <f aca="false">-J6*Assumptions!J45/100</f>
        <v>-35395.7729546481</v>
      </c>
      <c r="K12" s="4" t="n">
        <f aca="false">-K6*Assumptions!K45/100</f>
        <v>-37873.4770614734</v>
      </c>
      <c r="L12" s="4" t="n">
        <f aca="false">-L6*Assumptions!L45/100</f>
        <v>-40524.6204557766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210370.446</v>
      </c>
      <c r="D13" s="0" t="n">
        <f aca="false">D11+D12</f>
        <v>223408.21932</v>
      </c>
      <c r="E13" s="0" t="n">
        <f aca="false">E11+E12</f>
        <v>181354.907448</v>
      </c>
      <c r="F13" s="0" t="n">
        <f aca="false">F11+F12</f>
        <v>134612.651302272</v>
      </c>
      <c r="G13" s="0" t="n">
        <f aca="false">G11+G12</f>
        <v>116664.297795302</v>
      </c>
      <c r="H13" s="0" t="n">
        <f aca="false">H11+H12</f>
        <v>124853.234082857</v>
      </c>
      <c r="I13" s="0" t="n">
        <f aca="false">I11+I12</f>
        <v>134865.274377883</v>
      </c>
      <c r="J13" s="0" t="n">
        <f aca="false">J11+J12</f>
        <v>144305.843584334</v>
      </c>
      <c r="K13" s="0" t="n">
        <f aca="false">K11+K12</f>
        <v>154407.252635238</v>
      </c>
      <c r="L13" s="0" t="n">
        <f aca="false">L11+L12</f>
        <v>165215.760319705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18</v>
      </c>
      <c r="D14" s="4" t="n">
        <f aca="false">Assumptions!D47</f>
        <v>16</v>
      </c>
      <c r="E14" s="4" t="n">
        <f aca="false">Assumptions!E47</f>
        <v>16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172503.76572</v>
      </c>
      <c r="D15" s="0" t="n">
        <f aca="false">D13-MAX(0,D13)*D14/100</f>
        <v>187662.9042288</v>
      </c>
      <c r="E15" s="0" t="n">
        <f aca="false">E13-MAX(0,E13)*E14/100</f>
        <v>152338.12225632</v>
      </c>
      <c r="F15" s="0" t="n">
        <f aca="false">F13-MAX(0,F13)*F14/100</f>
        <v>113074.627093909</v>
      </c>
      <c r="G15" s="0" t="n">
        <f aca="false">G13-MAX(0,G13)*G14/100</f>
        <v>97998.010148054</v>
      </c>
      <c r="H15" s="0" t="n">
        <f aca="false">H13-MAX(0,H13)*H14/100</f>
        <v>104876.7166296</v>
      </c>
      <c r="I15" s="0" t="n">
        <f aca="false">I13-MAX(0,I13)*I14/100</f>
        <v>113286.830477421</v>
      </c>
      <c r="J15" s="0" t="n">
        <f aca="false">J13-MAX(0,J13)*J14/100</f>
        <v>121216.908610841</v>
      </c>
      <c r="K15" s="0" t="n">
        <f aca="false">K13-MAX(0,K13)*K14/100</f>
        <v>129702.0922136</v>
      </c>
      <c r="L15" s="0" t="n">
        <f aca="false">L13-MAX(0,L13)*L14/100</f>
        <v>138781.238668552</v>
      </c>
    </row>
    <row r="16" customFormat="false" ht="15" hidden="false" customHeight="false" outlineLevel="0" collapsed="false">
      <c r="A16" s="0" t="s">
        <v>127</v>
      </c>
      <c r="C16" s="0" t="n">
        <f aca="false">-C12</f>
        <v>12206.6802</v>
      </c>
      <c r="D16" s="0" t="n">
        <f aca="false">-D12</f>
        <v>15712.8543</v>
      </c>
      <c r="E16" s="0" t="n">
        <f aca="false">-E12</f>
        <v>19712.48994</v>
      </c>
      <c r="F16" s="0" t="n">
        <f aca="false">-F12</f>
        <v>23129.3215296</v>
      </c>
      <c r="G16" s="0" t="n">
        <f aca="false">-G12</f>
        <v>26922.5302604544</v>
      </c>
      <c r="H16" s="0" t="n">
        <f aca="false">-H12</f>
        <v>29726.9604959184</v>
      </c>
      <c r="I16" s="0" t="n">
        <f aca="false">-I12</f>
        <v>33080.161639858</v>
      </c>
      <c r="J16" s="0" t="n">
        <f aca="false">-J12</f>
        <v>35395.7729546481</v>
      </c>
      <c r="K16" s="0" t="n">
        <f aca="false">-K12</f>
        <v>37873.4770614734</v>
      </c>
      <c r="L16" s="0" t="n">
        <f aca="false">-L12</f>
        <v>40524.6204557766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-41554.656</v>
      </c>
      <c r="D17" s="4" t="n">
        <f aca="false">-D6*Assumptions!D46/100</f>
        <v>-48567.0042</v>
      </c>
      <c r="E17" s="4" t="n">
        <f aca="false">-E6*Assumptions!E46/100</f>
        <v>-47309.975856</v>
      </c>
      <c r="F17" s="4" t="n">
        <f aca="false">-F6*Assumptions!F46/100</f>
        <v>-41632.77875328</v>
      </c>
      <c r="G17" s="4" t="n">
        <f aca="false">-G6*Assumptions!G46/100</f>
        <v>-40383.7953906816</v>
      </c>
      <c r="H17" s="4" t="n">
        <f aca="false">-H6*Assumptions!H46/100</f>
        <v>-42806.8231141225</v>
      </c>
      <c r="I17" s="4" t="n">
        <f aca="false">-I6*Assumptions!I46/100</f>
        <v>-45803.3007321111</v>
      </c>
      <c r="J17" s="4" t="n">
        <f aca="false">-J6*Assumptions!J46/100</f>
        <v>-49009.5317833589</v>
      </c>
      <c r="K17" s="4" t="n">
        <f aca="false">-K6*Assumptions!K46/100</f>
        <v>-52440.199008194</v>
      </c>
      <c r="L17" s="4" t="n">
        <f aca="false">-L6*Assumptions!L46/100</f>
        <v>-56111.0129387676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-15183.432</v>
      </c>
      <c r="D18" s="4" t="n">
        <f aca="false">(D6-C6)*Assumptions!$B$51/100</f>
        <v>-3116.5992</v>
      </c>
      <c r="E18" s="4" t="n">
        <f aca="false">(E6-D6)*Assumptions!$B$51/100</f>
        <v>2742.607296</v>
      </c>
      <c r="F18" s="4" t="n">
        <f aca="false">(F6-E6)*Assumptions!$B$51/100</f>
        <v>3784.79806848</v>
      </c>
      <c r="G18" s="4" t="n">
        <f aca="false">(G6-F6)*Assumptions!$B$51/100</f>
        <v>832.655575065601</v>
      </c>
      <c r="H18" s="4" t="n">
        <f aca="false">(H6-G6)*Assumptions!$B$51/100</f>
        <v>-1615.35181562727</v>
      </c>
      <c r="I18" s="4" t="n">
        <f aca="false">(I6-H6)*Assumptions!$B$51/100</f>
        <v>-1997.65174532572</v>
      </c>
      <c r="J18" s="4" t="n">
        <f aca="false">(J6-I6)*Assumptions!$B$51/100</f>
        <v>-2137.48736749852</v>
      </c>
      <c r="K18" s="4" t="n">
        <f aca="false">(K6-J6)*Assumptions!$B$51/100</f>
        <v>-2287.11148322341</v>
      </c>
      <c r="L18" s="4" t="n">
        <f aca="false">(L6-K6)*Assumptions!$B$51/100</f>
        <v>-2447.20928704906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127972.35792</v>
      </c>
      <c r="D19" s="0" t="n">
        <f aca="false">D15+D16+D17+D18</f>
        <v>151692.1551288</v>
      </c>
      <c r="E19" s="0" t="n">
        <f aca="false">E15+E16+E17+E18</f>
        <v>127483.24363632</v>
      </c>
      <c r="F19" s="0" t="n">
        <f aca="false">F15+F16+F17+F18</f>
        <v>98355.9679387085</v>
      </c>
      <c r="G19" s="0" t="n">
        <f aca="false">G15+G16+G17+G18</f>
        <v>85369.4005928924</v>
      </c>
      <c r="H19" s="0" t="n">
        <f aca="false">H15+H16+H17+H18</f>
        <v>90181.5021957688</v>
      </c>
      <c r="I19" s="0" t="n">
        <f aca="false">I15+I16+I17+I18</f>
        <v>98566.0396398426</v>
      </c>
      <c r="J19" s="0" t="n">
        <f aca="false">J15+J16+J17+J18</f>
        <v>105465.662414632</v>
      </c>
      <c r="K19" s="0" t="n">
        <f aca="false">K15+K16+K17+K18</f>
        <v>112848.258783656</v>
      </c>
      <c r="L19" s="0" t="n">
        <f aca="false">L15+L16+L17+L18</f>
        <v>120747.636898512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116338.5072</v>
      </c>
      <c r="D21" s="0" t="n">
        <f aca="false">D19*D20</f>
        <v>125365.417461818</v>
      </c>
      <c r="E21" s="0" t="n">
        <f aca="false">E19*E20</f>
        <v>95780.0478109091</v>
      </c>
      <c r="F21" s="0" t="n">
        <f aca="false">F19*F20</f>
        <v>67178.4495175934</v>
      </c>
      <c r="G21" s="0" t="n">
        <f aca="false">G19*G20</f>
        <v>53007.6811649058</v>
      </c>
      <c r="H21" s="0" t="n">
        <f aca="false">H19*H20</f>
        <v>50905.106962599</v>
      </c>
      <c r="I21" s="0" t="n">
        <f aca="false">I19*I20</f>
        <v>50579.9634230348</v>
      </c>
      <c r="J21" s="0" t="n">
        <f aca="false">J19*J20</f>
        <v>49200.5098751339</v>
      </c>
      <c r="K21" s="0" t="n">
        <f aca="false">K19*K20</f>
        <v>47858.6777876302</v>
      </c>
      <c r="L21" s="0" t="n">
        <f aca="false">L19*L20</f>
        <v>46553.4411206949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702767.802324319</v>
      </c>
    </row>
    <row r="31" customFormat="false" ht="15" hidden="false" customHeight="false" outlineLevel="0" collapsed="false">
      <c r="A31" s="0" t="s">
        <v>136</v>
      </c>
      <c r="B31" s="0" t="n">
        <f aca="false">L19</f>
        <v>120747.636898512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1922673.91061476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1690466.91657916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1690466.91657916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651748.175689728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1354515.97801405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1409894.97801405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1225.99563305569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0.117192277181033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27442.0687024566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38274.1664259704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1283.14018534128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1086728.73208661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786.895129162548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273.476654796863</v>
      </c>
      <c r="C4" s="0" t="n">
        <f aca="false">B4/Assumptions!$B$2-1</f>
        <v>-0.750793560359705</v>
      </c>
      <c r="D4" s="4" t="n">
        <f aca="false">Assumptions!$B$24</f>
        <v>0.25</v>
      </c>
      <c r="E4" s="4" t="n">
        <f aca="false">DCF_Bear!$B$43</f>
        <v>304.934059728619</v>
      </c>
      <c r="F4" s="4" t="n">
        <f aca="false">DCF_Bear!$B$47</f>
        <v>235.809614410505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623.058528387966</v>
      </c>
      <c r="C5" s="0" t="n">
        <f aca="false">B5/Assumptions!$B$2-1</f>
        <v>-0.432236006900039</v>
      </c>
      <c r="D5" s="4" t="n">
        <f aca="false">Assumptions!$B$38</f>
        <v>0.5</v>
      </c>
      <c r="E5" s="4" t="n">
        <f aca="false">DCF_Base!$B$43</f>
        <v>664.955672222662</v>
      </c>
      <c r="F5" s="4" t="n">
        <f aca="false">DCF_Base!$B$47</f>
        <v>452.975491920333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1225.99563305569</v>
      </c>
      <c r="C6" s="0" t="n">
        <f aca="false">B6/Assumptions!$B$2-1</f>
        <v>0.117192277181033</v>
      </c>
      <c r="D6" s="4" t="n">
        <f aca="false">Assumptions!$B$52</f>
        <v>0.25</v>
      </c>
      <c r="E6" s="4" t="n">
        <f aca="false">DCF_Bull!$B$43</f>
        <v>1283.14018534128</v>
      </c>
      <c r="F6" s="4" t="n">
        <f aca="false">DCF_Bull!$B$47</f>
        <v>786.895129162548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686.397336157122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729.496397378806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-0.598767859653812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953.600037200112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482.16393185343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655.002728555982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623.058528387966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591.90007891631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546.247718551373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452.975491920333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689.803872780415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689.803872780415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689.803872780415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689.803872780415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689.803872780415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655.002728555982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655.002728555982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655.002728555982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655.002728555982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655.002728555982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619.129502156236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623.058528387966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623.058528387966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623.058528387966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623.058528387966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569.767477356513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580.182819267006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591.90007891631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593.694614177916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593.694614177916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529.914677343484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537.651381073536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546.247718551373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555.855389850132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566.664020061235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2026-10-02T02:34:05Z</dcterms:created>
  <dc:creator>openpyxl</dc:creator>
  <dc:description/>
  <dc:language>en-NZ</dc:language>
  <cp:lastModifiedBy/>
  <dcterms:modified xsi:type="dcterms:W3CDTF">2026-10-02T02:34:05Z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