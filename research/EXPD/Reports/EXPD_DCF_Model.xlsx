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<sst xmlns="http://schemas.openxmlformats.org/spreadsheetml/2006/main" count="389" uniqueCount="175">
  <si>
    <t xml:space="preserve">Ticker</t>
  </si>
  <si>
    <t xml:space="preserve">EXPD</t>
  </si>
  <si>
    <t xml:space="preserve">Company</t>
  </si>
  <si>
    <t xml:space="preserve">Expeditors International of Washington, Inc.</t>
  </si>
  <si>
    <t xml:space="preserve">Valuation date</t>
  </si>
  <si>
    <t xml:space="preserve">2026-09-28</t>
  </si>
  <si>
    <t xml:space="preserve">Current price</t>
  </si>
  <si>
    <t xml:space="preserve">Price as of</t>
  </si>
  <si>
    <t xml:space="preserve">2026-09-25T20:00:03Z regular close (Friday);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</si>
  <si>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</si>
  <si>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</si>
  <si>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</si>
  <si>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</si>
  <si>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</si>
  <si>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</si>
  <si>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</si>
  <si>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</si>
  <si>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</si>
  <si>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</si>
  <si>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</si>
  <si>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</si>
  <si>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2026-09-28T07:51:57Z</t>
  </si>
  <si>
    <t xml:space="preserve">Drivers file</t>
  </si>
  <si>
    <t xml:space="preserve">EXPD_Drivers.json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</si>
  <si>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</si>
  <si>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</si>
  <si>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</si>
  <si>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the through-cycle owner FCF of an asset-light forwarder, not the current print. Revenue and yield are set by freight rates the company does not control, so the model normalises the 2026 AI-airfreight and tariff-customs spike in year 2 and capitalises a mature 11% adjusted EBITDA margin at a capped multiple. Buybacks are the mechanism that holds the count flat and are not credited as growth; the net-cash pile is added once and its interest stripped from the flows.
key_risks_to_valuation: Freight-rate cycle: gross revenue swung 17.1bn (FY2022) to 9.3bn (FY2023); the year-2 normalisation could be deeper (bear -12%) or not arrive at all (bull); Durability of AI-hyperscaler airfreight demand -- a new vertical with no cycle history; US tariff regime: complexity drives the highest-margin customs line up, but volume destruction or a de-escalation drives it down; ~19% of revenue on China/Hong Kong export lanes; Non-asset model has no structural cost advantage versus Kuehne+Nagel, DSV, DHL; digital forwarders and direct carrier relationships are a disintermediation risk; Buybacks at ~29x owner FCF (Q2-2026 average $148.87, price now 187) transfer value from continuing holders if the intrinsic value here is right; Terminal value is capped (17x) rather than Gordon; a market that keeps paying 25x+ earnings for EXPD will disagree with this model indefinitely</t>
  </si>
  <si>
    <t xml:space="preserve">Data sources</t>
  </si>
  <si>
    <t xml:space="preserve">price: Yahoo Finance chart API at inputs.price_as_of; 52-week range 112.95-194.59; regular-session close, not after-hours
financials: EXPD_Metrics.csv (SEC XBRL companyfacts, CIK 0000746515) for FY2007-Q2 2026; SEC companyfacts pulled 2026-09-28 for cover-page shares (dei:EntityCommonStockSharesOutstanding 2026-07-31), diluted/basic weighted shares, operating lease liabilities, AR/AP/accrued/deferred revenue, pre-tax income, income taxes paid, NCI at 2026-06-30
qualitative: EXPD_Analysis.json (2026-09-28): business model, segment mix (customs 39% / air 36% / ocean 25%), Q2-2026 results, FY2026 capex guidance ~$80m, $50m Global Technology restructuring savings, bull/bear points</t>
  </si>
  <si>
    <t xml:space="preserve">Scenario narrative: bear</t>
  </si>
  <si>
    <t xml:space="preserve">Both episodic drivers reverse together: hyperscaler capex digests, freighter capacity catches up and airfreight rates fall (year 2 -12%, the FY2023-style unwind); a US-China de-escalation or accelerated sourcing diversification away from the China/Hong Kong lanes (~19% of revenue) removes the customs surge; a trade slowdown compresses volumes and yields simultaneously. Margin troughs at 9.6% (below the FY2008-09 ~9%-9.5% GAAP trough only marginally, because customs mix is richer now) and recovers only to 10.3%. Cap 15x, terminal growth 2.5%. Bear remains solidly cash-generative -- there is no solvency dimension, only a de-rating.</t>
  </si>
  <si>
    <t xml:space="preserve">Scenario narrative: base</t>
  </si>
  <si>
    <t xml:space="preserve">The two 2025-26 tailwinds -- AI-hyperscaler server airfreight needing upper-deck freighter capacity, and tariff/IEEPA-driven customs complexity lifting the highest-margin brokerage line -- carry the Q2-2026 run-rate through H2-2026, then fade through 2027 as freighter capacity is added, tariff refund work runs off and airfreight yields normalise (year 2 -3%). Thereafter gross revenue compounds at the through-cycle 3-4.5%, and the adjusted EBITDA margin settles at 11.0% as the $50m technology restructuring savings offset yield normalisation. Owner FCF margin on gross revenue ~7%, in line with the FY2023-25 average of 7.4%. Terminal value is capped at 17x owner FCF (Gordon at 9%/3% would be 17.2x), consistent with a mature, high-ROIC but rate-cyclical forwarder.</t>
  </si>
  <si>
    <t xml:space="preserve">Scenario narrative: bull</t>
  </si>
  <si>
    <t xml:space="preserve">AI data-centre hardware becomes a durable, growing airfreight vertical uncorrelated with retail cycles; the tariff regime keeps proliferating (Section 301/232, IEEPA) so customs brokerage -- already 39% of revenue and growing double digits -- keeps compounding at the highest margin in the mix; CEO Wall's market-share gains persist and the technology restructuring plus AI productivity in customs processing lift the adjusted EBITDA margin to 12% (its FY2016-21 range). Growth 6% in years 3-4 fading to 3.5%; terminal cap 18x.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</si>
  <si>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</si>
  <si>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</si>
  <si>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</si>
  <si>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</si>
  <si>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</si>
  <si>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</si>
  <si>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</si>
  <si>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</si>
  <si>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</si>
  <si>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</si>
  <si>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</si>
  <si>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</si>
  <si>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</si>
  <si>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</si>
  <si>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</si>
  <si>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</si>
  <si>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</si>
  <si>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</si>
  <si>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</si>
  <si>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</si>
  <si>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</si>
  <si>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</si>
  <si>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</si>
  <si>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</si>
  <si>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</si>
  <si>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</si>
  <si>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</si>
  <si>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</si>
  <si>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</si>
  <si>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</si>
  <si>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</si>
  <si>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</si>
  <si>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</si>
  <si>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</si>
  <si>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</si>
  <si>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</si>
  <si>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</si>
  <si>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</si>
  <si>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</si>
  <si>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</si>
  <si>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</si>
  <si>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</si>
  <si>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</si>
  <si>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</si>
  <si>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</si>
  <si>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</si>
  <si>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</si>
  <si>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</si>
  <si>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</si>
  <si>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</si>
  <si>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</si>
  <si>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</si>
  <si>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</si>
  <si>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</si>
  <si>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</si>
  <si>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</si>
  <si>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Jun-2026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</si>
  <si>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</si>
  <si>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</si>
  <si>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</si>
  <si>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</si>
  <si>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TTM Jun-2027</t>
  </si>
  <si>
    <t xml:space="preserve">TTM Jun-2028</t>
  </si>
  <si>
    <t xml:space="preserve">TTM Jun-2029</t>
  </si>
  <si>
    <t xml:space="preserve">TTM Jun-2030</t>
  </si>
  <si>
    <t xml:space="preserve">TTM Jun-2031</t>
  </si>
  <si>
    <t xml:space="preserve">TTM Jun-2032</t>
  </si>
  <si>
    <t xml:space="preserve">TTM Jun-2033</t>
  </si>
  <si>
    <t xml:space="preserve">TTM Jun-2034</t>
  </si>
  <si>
    <t xml:space="preserve">TTM Jun-2035</t>
  </si>
  <si>
    <t xml:space="preserve">TTM Jun-2036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</si>
  <si>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</si>
  <si>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</si>
  <si>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</si>
  <si>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</si>
  <si>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</si>
  <si>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</si>
  <si>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</si>
  <si>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</si>
  <si>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</si>
  <si>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</si>
  <si>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</si>
  <si>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</si>
  <si>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</si>
  <si>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</si>
  <si>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EXPD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</si>
  <si>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</si>
  <si>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</si>
  <si>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</si>
  <si>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</si>
  <si>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</si>
  <si>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</si>
  <si>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</si>
  <si>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</si>
  <si>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</si>
  <si>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</si>
  <si>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</si>
  <si>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</si>
  <si>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</si>
  <si>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</si>
  <si>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</si>
  <si>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</si>
  <si>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</si>
  <si>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</si>
  <si>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</si>
  <si>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</si>
  <si>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</si>
  <si>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</si>
  <si>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</si>
  <si>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</si>
  <si>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</si>
  <si>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</si>
  <si>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</si>
  <si>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</si>
  <si>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</si>
  <si>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</si>
  <si>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EXPD owner-FCF component DCF: base case (millions, USD)</t>
  </si>
  <si>
    <t xml:space="preserve">EXPD owner-FCF component DCF: bull case (millions, USD)</t>
  </si>
  <si>
    <t xml:space="preserve">EXPD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</si>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</sst>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187.46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1085.907</v>
      </c>
      <c r="S2" s="0" t="n">
        <v>511.358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5235.171</v>
      </c>
      <c r="F3" s="0" t="n">
        <v>423.4</v>
      </c>
      <c r="G3" s="0" t="n">
        <v>8.08760592538429</v>
      </c>
      <c r="H3" s="0" t="n">
        <v>462.703</v>
      </c>
      <c r="I3" s="0" t="n">
        <v>269.858</v>
      </c>
      <c r="J3" s="0" t="n">
        <v>5.15471223385062</v>
      </c>
      <c r="K3" s="0" t="n">
        <v>1.26</v>
      </c>
      <c r="L3" s="0" t="n">
        <v>312.585</v>
      </c>
      <c r="M3" s="0" t="n">
        <v>82.786</v>
      </c>
      <c r="N3" s="0" t="n">
        <v>229.799</v>
      </c>
      <c r="O3" s="0" t="n">
        <v>1243.319</v>
      </c>
      <c r="S3" s="0" t="n">
        <v>574.599</v>
      </c>
      <c r="T3" s="0" t="n">
        <v>221.799868</v>
      </c>
      <c r="U3" s="0" t="n">
        <v>44.917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5633.878</v>
      </c>
      <c r="D4" s="0" t="n">
        <v>1603.261</v>
      </c>
      <c r="E4" s="0" t="n">
        <v>28.4575029846227</v>
      </c>
      <c r="F4" s="0" t="n">
        <v>473.136</v>
      </c>
      <c r="G4" s="0" t="n">
        <v>8.39805192799702</v>
      </c>
      <c r="H4" s="0" t="n">
        <v>513.139</v>
      </c>
      <c r="I4" s="0" t="n">
        <v>302.979</v>
      </c>
      <c r="J4" s="0" t="n">
        <v>5.37780548318583</v>
      </c>
      <c r="K4" s="0" t="n">
        <v>1.41</v>
      </c>
      <c r="L4" s="0" t="n">
        <v>408.966</v>
      </c>
      <c r="M4" s="0" t="n">
        <v>59.726</v>
      </c>
      <c r="N4" s="0" t="n">
        <v>349.24</v>
      </c>
      <c r="O4" s="0" t="n">
        <v>1383.916</v>
      </c>
      <c r="P4" s="0" t="n">
        <v>2100.839</v>
      </c>
      <c r="S4" s="0" t="n">
        <v>741.028</v>
      </c>
      <c r="T4" s="0" t="n">
        <v>219.170003</v>
      </c>
      <c r="U4" s="0" t="n">
        <v>44.879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4092.283</v>
      </c>
      <c r="D5" s="0" t="n">
        <v>1382.786</v>
      </c>
      <c r="E5" s="0" t="n">
        <v>33.7900873424443</v>
      </c>
      <c r="F5" s="0" t="n">
        <v>385.001</v>
      </c>
      <c r="G5" s="0" t="n">
        <v>9.40797593910294</v>
      </c>
      <c r="H5" s="0" t="n">
        <v>425.036</v>
      </c>
      <c r="I5" s="0" t="n">
        <v>240.397</v>
      </c>
      <c r="J5" s="0" t="n">
        <v>5.87439822710208</v>
      </c>
      <c r="K5" s="0" t="n">
        <v>1.13</v>
      </c>
      <c r="L5" s="0" t="n">
        <v>330.8</v>
      </c>
      <c r="M5" s="0" t="n">
        <v>34.7</v>
      </c>
      <c r="N5" s="0" t="n">
        <v>296.1</v>
      </c>
      <c r="O5" s="0" t="n">
        <v>1561.347</v>
      </c>
      <c r="P5" s="0" t="n">
        <v>2323.722</v>
      </c>
      <c r="S5" s="0" t="n">
        <v>925.929</v>
      </c>
      <c r="T5" s="0" t="n">
        <v>216.53324</v>
      </c>
      <c r="U5" s="0" t="n">
        <v>39.135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5967.573</v>
      </c>
      <c r="D6" s="0" t="n">
        <v>1692.786</v>
      </c>
      <c r="E6" s="0" t="n">
        <v>28.3664062425378</v>
      </c>
      <c r="F6" s="0" t="n">
        <v>547.23</v>
      </c>
      <c r="G6" s="0" t="n">
        <v>9.17005958703815</v>
      </c>
      <c r="H6" s="0" t="n">
        <v>584.13</v>
      </c>
      <c r="I6" s="0" t="n">
        <v>344.205</v>
      </c>
      <c r="J6" s="0" t="n">
        <v>5.7679227384399</v>
      </c>
      <c r="K6" s="0" t="n">
        <v>1.62</v>
      </c>
      <c r="L6" s="0" t="n">
        <v>395.518</v>
      </c>
      <c r="M6" s="0" t="n">
        <v>42.408</v>
      </c>
      <c r="N6" s="0" t="n">
        <v>353.11</v>
      </c>
      <c r="O6" s="0" t="n">
        <v>1748.154</v>
      </c>
      <c r="P6" s="0" t="n">
        <v>2679.179</v>
      </c>
      <c r="S6" s="0" t="n">
        <v>1084.465</v>
      </c>
      <c r="T6" s="0" t="n">
        <v>216.446656</v>
      </c>
      <c r="U6" s="0" t="n">
        <v>43.743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6161.537</v>
      </c>
      <c r="D7" s="0" t="n">
        <v>1896.477</v>
      </c>
      <c r="E7" s="0" t="n">
        <v>30.7792844545119</v>
      </c>
      <c r="F7" s="0" t="n">
        <v>618.327</v>
      </c>
      <c r="G7" s="0" t="n">
        <v>10.035272043323</v>
      </c>
      <c r="H7" s="0" t="n">
        <v>655.103</v>
      </c>
      <c r="I7" s="0" t="n">
        <v>386.243</v>
      </c>
      <c r="J7" s="0" t="n">
        <v>6.26861447070755</v>
      </c>
      <c r="K7" s="0" t="n">
        <v>1.82</v>
      </c>
      <c r="L7" s="0" t="n">
        <v>457.131</v>
      </c>
      <c r="M7" s="0" t="n">
        <v>78.115</v>
      </c>
      <c r="N7" s="0" t="n">
        <v>379.016</v>
      </c>
      <c r="O7" s="0" t="n">
        <v>2010.069</v>
      </c>
      <c r="P7" s="0" t="n">
        <v>2866.827</v>
      </c>
      <c r="S7" s="0" t="n">
        <v>1294.356</v>
      </c>
      <c r="T7" s="0" t="n">
        <v>215.03358</v>
      </c>
      <c r="U7" s="0" t="n">
        <v>44.278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5992.215</v>
      </c>
      <c r="D8" s="0" t="n">
        <v>1824.098</v>
      </c>
      <c r="E8" s="0" t="n">
        <v>30.4411307004171</v>
      </c>
      <c r="F8" s="0" t="n">
        <v>530.798</v>
      </c>
      <c r="G8" s="0" t="n">
        <v>8.85812675279508</v>
      </c>
      <c r="H8" s="0" t="n">
        <v>570.738</v>
      </c>
      <c r="I8" s="0" t="n">
        <v>333.36</v>
      </c>
      <c r="J8" s="0" t="n">
        <v>5.56321827571274</v>
      </c>
      <c r="K8" s="0" t="n">
        <v>1.58</v>
      </c>
      <c r="L8" s="0" t="n">
        <v>370.126</v>
      </c>
      <c r="M8" s="0" t="n">
        <v>47.626</v>
      </c>
      <c r="N8" s="0" t="n">
        <v>322.5</v>
      </c>
      <c r="O8" s="0" t="n">
        <v>2032.57</v>
      </c>
      <c r="P8" s="0" t="n">
        <v>2954.125</v>
      </c>
      <c r="S8" s="0" t="n">
        <v>1260.842</v>
      </c>
      <c r="T8" s="0" t="n">
        <v>211.935171</v>
      </c>
      <c r="U8" s="0" t="n">
        <v>44.058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6080.257</v>
      </c>
      <c r="F9" s="0" t="n">
        <v>552.073</v>
      </c>
      <c r="G9" s="0" t="n">
        <v>9.07976422707132</v>
      </c>
      <c r="H9" s="0" t="n">
        <v>600.144</v>
      </c>
      <c r="I9" s="0" t="n">
        <v>350.011</v>
      </c>
      <c r="J9" s="0" t="n">
        <v>5.7565165419817</v>
      </c>
      <c r="K9" s="0" t="n">
        <v>1.69</v>
      </c>
      <c r="L9" s="0" t="n">
        <v>407.536</v>
      </c>
      <c r="M9" s="0" t="n">
        <v>53.411</v>
      </c>
      <c r="N9" s="0" t="n">
        <v>354.125</v>
      </c>
      <c r="O9" s="0" t="n">
        <v>2086.331</v>
      </c>
      <c r="P9" s="0" t="n">
        <v>3014.812</v>
      </c>
      <c r="S9" s="0" t="n">
        <v>1247.652</v>
      </c>
      <c r="T9" s="0" t="n">
        <v>206.895</v>
      </c>
      <c r="U9" s="0" t="n">
        <v>43.813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6564.721</v>
      </c>
      <c r="F10" s="0" t="n">
        <v>594.648</v>
      </c>
      <c r="G10" s="0" t="n">
        <v>9.05823720459712</v>
      </c>
      <c r="H10" s="0" t="n">
        <v>643.94</v>
      </c>
      <c r="I10" s="0" t="n">
        <v>379.46</v>
      </c>
      <c r="J10" s="0" t="n">
        <v>5.7802913482538</v>
      </c>
      <c r="K10" s="0" t="n">
        <v>1.92</v>
      </c>
      <c r="L10" s="0" t="n">
        <v>394.966</v>
      </c>
      <c r="M10" s="0" t="n">
        <v>37.472</v>
      </c>
      <c r="N10" s="0" t="n">
        <v>357.494</v>
      </c>
      <c r="O10" s="0" t="n">
        <v>1871.608</v>
      </c>
      <c r="P10" s="0" t="n">
        <v>2870.626</v>
      </c>
      <c r="S10" s="0" t="n">
        <v>927.107</v>
      </c>
      <c r="T10" s="0" t="n">
        <v>196.768</v>
      </c>
      <c r="U10" s="0" t="n">
        <v>42.533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6616.632</v>
      </c>
      <c r="F11" s="0" t="n">
        <v>721.484</v>
      </c>
      <c r="G11" s="0" t="n">
        <v>10.904097432047</v>
      </c>
      <c r="H11" s="0" t="n">
        <v>767.496</v>
      </c>
      <c r="I11" s="0" t="n">
        <v>459.497</v>
      </c>
      <c r="J11" s="0" t="n">
        <v>6.94457542749846</v>
      </c>
      <c r="K11" s="0" t="n">
        <v>2.42</v>
      </c>
      <c r="L11" s="0" t="n">
        <v>566.562</v>
      </c>
      <c r="M11" s="0" t="n">
        <v>44.383</v>
      </c>
      <c r="N11" s="0" t="n">
        <v>522.179</v>
      </c>
      <c r="O11" s="0" t="n">
        <v>1694.676</v>
      </c>
      <c r="P11" s="0" t="n">
        <v>2565.577</v>
      </c>
      <c r="S11" s="0" t="n">
        <v>807.796</v>
      </c>
      <c r="T11" s="0" t="n">
        <v>190.223</v>
      </c>
      <c r="U11" s="0" t="n">
        <v>43.415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6098.037</v>
      </c>
      <c r="F12" s="0" t="n">
        <v>670.163</v>
      </c>
      <c r="G12" s="0" t="n">
        <v>10.9898152471033</v>
      </c>
      <c r="H12" s="0" t="n">
        <v>716.959</v>
      </c>
      <c r="I12" s="0" t="n">
        <v>432.533</v>
      </c>
      <c r="J12" s="0" t="n">
        <v>7.09298746465461</v>
      </c>
      <c r="K12" s="0" t="n">
        <v>2.38</v>
      </c>
      <c r="L12" s="0" t="n">
        <v>529.485</v>
      </c>
      <c r="M12" s="0" t="n">
        <v>59.316</v>
      </c>
      <c r="N12" s="0" t="n">
        <v>470.169</v>
      </c>
      <c r="O12" s="0" t="n">
        <v>1847.213</v>
      </c>
      <c r="P12" s="0" t="n">
        <v>2790.871</v>
      </c>
      <c r="S12" s="0" t="n">
        <v>974.435</v>
      </c>
      <c r="T12" s="0" t="n">
        <v>182.704</v>
      </c>
      <c r="U12" s="0" t="n">
        <v>45.217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6920.948</v>
      </c>
      <c r="F13" s="0" t="n">
        <v>700.26</v>
      </c>
      <c r="G13" s="0" t="n">
        <v>10.1179780573413</v>
      </c>
      <c r="H13" s="0" t="n">
        <v>749.57</v>
      </c>
      <c r="I13" s="0" t="n">
        <v>490.383</v>
      </c>
      <c r="J13" s="0" t="n">
        <v>7.08548886655412</v>
      </c>
      <c r="K13" s="0" t="n">
        <v>2.73</v>
      </c>
      <c r="L13" s="0" t="n">
        <v>488.639</v>
      </c>
      <c r="M13" s="0" t="n">
        <v>95.016</v>
      </c>
      <c r="N13" s="0" t="n">
        <v>393.623</v>
      </c>
      <c r="O13" s="0" t="n">
        <v>1994.373</v>
      </c>
      <c r="P13" s="0" t="n">
        <v>3117.008</v>
      </c>
      <c r="S13" s="0" t="n">
        <v>1051.099</v>
      </c>
      <c r="T13" s="0" t="n">
        <v>181.666</v>
      </c>
      <c r="U13" s="0" t="n">
        <v>50.908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8138.365</v>
      </c>
      <c r="F14" s="0" t="n">
        <v>796.563</v>
      </c>
      <c r="G14" s="0" t="n">
        <v>9.78775220821381</v>
      </c>
      <c r="H14" s="0" t="n">
        <v>850.582</v>
      </c>
      <c r="I14" s="0" t="n">
        <v>619.79</v>
      </c>
      <c r="J14" s="0" t="n">
        <v>7.61565744470787</v>
      </c>
      <c r="K14" s="0" t="n">
        <v>3.55</v>
      </c>
      <c r="L14" s="0" t="n">
        <v>572.804</v>
      </c>
      <c r="M14" s="0" t="n">
        <v>47.474</v>
      </c>
      <c r="N14" s="0" t="n">
        <v>525.33</v>
      </c>
      <c r="O14" s="0" t="n">
        <v>1987.72</v>
      </c>
      <c r="P14" s="0" t="n">
        <v>3314.559</v>
      </c>
      <c r="S14" s="0" t="n">
        <v>923.735</v>
      </c>
      <c r="T14" s="0" t="n">
        <v>177.833</v>
      </c>
      <c r="U14" s="0" t="n">
        <v>56.147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7942.417</v>
      </c>
      <c r="F15" s="0" t="n">
        <v>766.692</v>
      </c>
      <c r="G15" s="0" t="n">
        <v>9.65313203776634</v>
      </c>
      <c r="H15" s="0" t="n">
        <v>817.642</v>
      </c>
      <c r="I15" s="0" t="n">
        <v>592.016</v>
      </c>
      <c r="J15" s="0" t="n">
        <v>7.45385189420299</v>
      </c>
      <c r="K15" s="0" t="n">
        <v>3.45</v>
      </c>
      <c r="L15" s="0" t="n">
        <v>771.689</v>
      </c>
      <c r="M15" s="0" t="n">
        <v>47.022</v>
      </c>
      <c r="N15" s="0" t="n">
        <v>724.667</v>
      </c>
      <c r="O15" s="0" t="n">
        <v>2197.219</v>
      </c>
      <c r="P15" s="0" t="n">
        <v>3691.884</v>
      </c>
      <c r="S15" s="0" t="n">
        <v>1230.491</v>
      </c>
      <c r="T15" s="0" t="n">
        <v>174.209</v>
      </c>
      <c r="U15" s="0" t="n">
        <v>61.543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9584.393</v>
      </c>
      <c r="F16" s="0" t="n">
        <v>940.437</v>
      </c>
      <c r="G16" s="0" t="n">
        <v>9.81217068206615</v>
      </c>
      <c r="H16" s="0" t="n">
        <v>997.396</v>
      </c>
      <c r="I16" s="0" t="n">
        <v>698.214</v>
      </c>
      <c r="J16" s="0" t="n">
        <v>7.28490578380916</v>
      </c>
      <c r="K16" s="0" t="n">
        <v>4.14</v>
      </c>
      <c r="L16" s="0" t="n">
        <v>654.969</v>
      </c>
      <c r="M16" s="0" t="n">
        <v>47.543</v>
      </c>
      <c r="N16" s="0" t="n">
        <v>607.426</v>
      </c>
      <c r="O16" s="0" t="n">
        <v>2663.227</v>
      </c>
      <c r="P16" s="0" t="n">
        <v>4927.503</v>
      </c>
      <c r="S16" s="0" t="n">
        <v>1527.791</v>
      </c>
      <c r="T16" s="0" t="n">
        <v>170.896</v>
      </c>
      <c r="U16" s="0" t="n">
        <v>62.498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16523.517</v>
      </c>
      <c r="F17" s="0" t="n">
        <v>1909.326</v>
      </c>
      <c r="G17" s="0" t="n">
        <v>11.555203410993</v>
      </c>
      <c r="H17" s="0" t="n">
        <v>1960.638</v>
      </c>
      <c r="I17" s="0" t="n">
        <v>1418.845</v>
      </c>
      <c r="J17" s="0" t="n">
        <v>8.58682204278908</v>
      </c>
      <c r="K17" s="0" t="n">
        <v>8.37</v>
      </c>
      <c r="L17" s="0" t="n">
        <v>868.494</v>
      </c>
      <c r="M17" s="0" t="n">
        <v>36.247</v>
      </c>
      <c r="N17" s="0" t="n">
        <v>832.247</v>
      </c>
      <c r="O17" s="0" t="n">
        <v>3497.991</v>
      </c>
      <c r="P17" s="0" t="n">
        <v>7609.929</v>
      </c>
      <c r="S17" s="0" t="n">
        <v>1728.692</v>
      </c>
      <c r="T17" s="0" t="n">
        <v>171.25</v>
      </c>
      <c r="U17" s="0" t="n">
        <v>69.385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17071.284</v>
      </c>
      <c r="F18" s="0" t="n">
        <v>1824.371</v>
      </c>
      <c r="G18" s="0" t="n">
        <v>10.6867825525016</v>
      </c>
      <c r="H18" s="0" t="n">
        <v>1881.709</v>
      </c>
      <c r="I18" s="0" t="n">
        <v>1360.605</v>
      </c>
      <c r="J18" s="0" t="n">
        <v>7.97013862577648</v>
      </c>
      <c r="K18" s="0" t="n">
        <v>8.33</v>
      </c>
      <c r="L18" s="0" t="n">
        <v>2129.675</v>
      </c>
      <c r="M18" s="0" t="n">
        <v>86.824</v>
      </c>
      <c r="N18" s="0" t="n">
        <v>2042.851</v>
      </c>
      <c r="O18" s="0" t="n">
        <v>3113.535</v>
      </c>
      <c r="P18" s="0" t="n">
        <v>5590.434</v>
      </c>
      <c r="S18" s="0" t="n">
        <v>2034.131</v>
      </c>
      <c r="T18" s="0" t="n">
        <v>164.427</v>
      </c>
      <c r="U18" s="0" t="n">
        <v>64.397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9300.11</v>
      </c>
      <c r="F19" s="0" t="n">
        <v>939.933</v>
      </c>
      <c r="G19" s="0" t="n">
        <v>10.1066869101548</v>
      </c>
      <c r="H19" s="0" t="n">
        <v>1007.693</v>
      </c>
      <c r="I19" s="0" t="n">
        <v>752.883</v>
      </c>
      <c r="J19" s="0" t="n">
        <v>8.09542037674823</v>
      </c>
      <c r="K19" s="0" t="n">
        <v>5.05</v>
      </c>
      <c r="L19" s="0" t="n">
        <v>1053.191</v>
      </c>
      <c r="M19" s="0" t="n">
        <v>39.314</v>
      </c>
      <c r="N19" s="0" t="n">
        <v>1013.877</v>
      </c>
      <c r="O19" s="0" t="n">
        <v>2391.413</v>
      </c>
      <c r="P19" s="0" t="n">
        <v>4523.809</v>
      </c>
      <c r="S19" s="0" t="n">
        <v>1512.883</v>
      </c>
      <c r="T19" s="0" t="n">
        <v>150.186</v>
      </c>
      <c r="U19" s="0" t="n">
        <v>58.399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10600.515</v>
      </c>
      <c r="F20" s="0" t="n">
        <v>1041.323</v>
      </c>
      <c r="G20" s="0" t="n">
        <v>9.82332462149245</v>
      </c>
      <c r="H20" s="0" t="n">
        <v>1102.413</v>
      </c>
      <c r="I20" s="0" t="n">
        <v>811.633</v>
      </c>
      <c r="J20" s="0" t="n">
        <v>7.65654310191533</v>
      </c>
      <c r="K20" s="0" t="n">
        <v>5.75</v>
      </c>
      <c r="L20" s="0" t="n">
        <v>723.361</v>
      </c>
      <c r="M20" s="0" t="n">
        <v>40.466</v>
      </c>
      <c r="N20" s="0" t="n">
        <v>682.895</v>
      </c>
      <c r="O20" s="0" t="n">
        <v>2225.784</v>
      </c>
      <c r="P20" s="0" t="n">
        <v>4754.458</v>
      </c>
      <c r="S20" s="0" t="n">
        <v>1148.32</v>
      </c>
      <c r="T20" s="0" t="n">
        <v>141.722</v>
      </c>
      <c r="U20" s="0" t="n">
        <v>64.364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11069.009</v>
      </c>
      <c r="F21" s="0" t="n">
        <v>1052.546</v>
      </c>
      <c r="G21" s="0" t="n">
        <v>9.50894520006263</v>
      </c>
      <c r="H21" s="0" t="n">
        <v>1109.315</v>
      </c>
      <c r="I21" s="0" t="n">
        <v>812.048</v>
      </c>
      <c r="J21" s="0" t="n">
        <v>7.33623037075858</v>
      </c>
      <c r="K21" s="0" t="n">
        <v>5.97</v>
      </c>
      <c r="L21" s="0" t="n">
        <v>1006.501</v>
      </c>
      <c r="M21" s="0" t="n">
        <v>53.101</v>
      </c>
      <c r="N21" s="0" t="n">
        <v>953.4</v>
      </c>
      <c r="O21" s="0" t="n">
        <v>2358.093</v>
      </c>
      <c r="P21" s="0" t="n">
        <v>4893.638</v>
      </c>
      <c r="S21" s="0" t="n">
        <v>1314.285</v>
      </c>
      <c r="T21" s="0" t="n">
        <v>136.249</v>
      </c>
      <c r="U21" s="0" t="n">
        <v>69.231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187.46</v>
      </c>
    </row>
    <row r="3" customFormat="false" ht="15" hidden="false" customHeight="false" outlineLevel="0" collapsed="false">
      <c r="A3" s="0" t="s">
        <v>86</v>
      </c>
      <c r="B3" s="3" t="n">
        <v>130.4</v>
      </c>
    </row>
    <row r="4" customFormat="false" ht="15" hidden="false" customHeight="false" outlineLevel="0" collapsed="false">
      <c r="A4" s="0" t="s">
        <v>87</v>
      </c>
      <c r="B4" s="3" t="n">
        <v>-1031.4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12036</v>
      </c>
    </row>
    <row r="8" customFormat="false" ht="15" hidden="false" customHeight="false" outlineLevel="0" collapsed="false">
      <c r="A8" s="0" t="s">
        <v>91</v>
      </c>
      <c r="B8" s="3" t="s">
        <v>92</v>
      </c>
    </row>
    <row r="9" customFormat="false" ht="15" hidden="false" customHeight="false" outlineLevel="0" collapsed="false">
      <c r="A9" s="0" t="s">
        <v>93</v>
      </c>
      <c r="B9" s="3" t="s">
        <v>94</v>
      </c>
    </row>
    <row r="10" customFormat="false" ht="15" hidden="false" customHeight="false" outlineLevel="0" collapsed="false">
      <c r="A10" s="0" t="s">
        <v>95</v>
      </c>
      <c r="B10" s="3" t="n">
        <v>1</v>
      </c>
    </row>
    <row r="12" customFormat="false" ht="15" hidden="false" customHeight="false" outlineLevel="0" collapsed="false">
      <c r="A12" s="2" t="s">
        <v>96</v>
      </c>
      <c r="C12" s="2" t="s">
        <v>97</v>
      </c>
      <c r="D12" s="2" t="s">
        <v>98</v>
      </c>
      <c r="E12" s="2" t="s">
        <v>99</v>
      </c>
      <c r="F12" s="2" t="s">
        <v>100</v>
      </c>
      <c r="G12" s="2" t="s">
        <v>101</v>
      </c>
      <c r="H12" s="2" t="s">
        <v>102</v>
      </c>
      <c r="I12" s="2" t="s">
        <v>103</v>
      </c>
      <c r="J12" s="2" t="s">
        <v>104</v>
      </c>
      <c r="K12" s="2" t="s">
        <v>105</v>
      </c>
      <c r="L12" s="2" t="s">
        <v>106</v>
      </c>
    </row>
    <row r="13" customFormat="false" ht="15" hidden="false" customHeight="false" outlineLevel="0" collapsed="false">
      <c r="A13" s="0" t="s">
        <v>107</v>
      </c>
      <c r="C13" s="3" t="n">
        <v>5</v>
      </c>
      <c r="D13" s="3" t="n">
        <v>-12</v>
      </c>
      <c r="E13" s="3" t="n">
        <v>0</v>
      </c>
      <c r="F13" s="3" t="n">
        <v>3</v>
      </c>
      <c r="G13" s="3" t="n">
        <v>3</v>
      </c>
      <c r="H13" s="3" t="n">
        <v>3</v>
      </c>
      <c r="I13" s="3" t="n">
        <v>3</v>
      </c>
      <c r="J13" s="3" t="n">
        <v>3</v>
      </c>
      <c r="K13" s="3" t="n">
        <v>3</v>
      </c>
      <c r="L13" s="3" t="n">
        <v>3</v>
      </c>
    </row>
    <row r="14" customFormat="false" ht="15" hidden="false" customHeight="false" outlineLevel="0" collapsed="false">
      <c r="A14" s="0" t="s">
        <v>108</v>
      </c>
      <c r="C14" s="3" t="n">
        <v>10.5</v>
      </c>
      <c r="D14" s="3" t="n">
        <v>9.6</v>
      </c>
      <c r="E14" s="3" t="n">
        <v>9.8</v>
      </c>
      <c r="F14" s="3" t="n">
        <v>10</v>
      </c>
      <c r="G14" s="3" t="n">
        <v>10.2</v>
      </c>
      <c r="H14" s="3" t="n">
        <v>10.3</v>
      </c>
      <c r="I14" s="3" t="n">
        <v>10.3</v>
      </c>
      <c r="J14" s="3" t="n">
        <v>10.3</v>
      </c>
      <c r="K14" s="3" t="n">
        <v>10.3</v>
      </c>
      <c r="L14" s="3" t="n">
        <v>10.3</v>
      </c>
    </row>
    <row r="15" customFormat="false" ht="15" hidden="false" customHeight="false" outlineLevel="0" collapsed="false">
      <c r="A15" s="0" t="s">
        <v>109</v>
      </c>
      <c r="C15" s="3" t="n">
        <v>0.75</v>
      </c>
      <c r="D15" s="3" t="n">
        <v>0.75</v>
      </c>
      <c r="E15" s="3" t="n">
        <v>0.75</v>
      </c>
      <c r="F15" s="3" t="n">
        <v>0.75</v>
      </c>
      <c r="G15" s="3" t="n">
        <v>0.75</v>
      </c>
      <c r="H15" s="3" t="n">
        <v>0.75</v>
      </c>
      <c r="I15" s="3" t="n">
        <v>0.75</v>
      </c>
      <c r="J15" s="3" t="n">
        <v>0.75</v>
      </c>
      <c r="K15" s="3" t="n">
        <v>0.75</v>
      </c>
      <c r="L15" s="3" t="n">
        <v>0.75</v>
      </c>
    </row>
    <row r="16" customFormat="false" ht="15" hidden="false" customHeight="false" outlineLevel="0" collapsed="false">
      <c r="A16" s="0" t="s">
        <v>110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111</v>
      </c>
      <c r="C17" s="3" t="n">
        <v>0.5</v>
      </c>
      <c r="D17" s="3" t="n">
        <v>0.5</v>
      </c>
      <c r="E17" s="3" t="n">
        <v>0.5</v>
      </c>
      <c r="F17" s="3" t="n">
        <v>0.5</v>
      </c>
      <c r="G17" s="3" t="n">
        <v>0.5</v>
      </c>
      <c r="H17" s="3" t="n">
        <v>0.5</v>
      </c>
      <c r="I17" s="3" t="n">
        <v>0.5</v>
      </c>
      <c r="J17" s="3" t="n">
        <v>0.5</v>
      </c>
      <c r="K17" s="3" t="n">
        <v>0.5</v>
      </c>
      <c r="L17" s="3" t="n">
        <v>0.5</v>
      </c>
    </row>
    <row r="18" customFormat="false" ht="15" hidden="false" customHeight="false" outlineLevel="0" collapsed="false">
      <c r="A18" s="0" t="s">
        <v>112</v>
      </c>
      <c r="C18" s="3" t="n">
        <v>0.6</v>
      </c>
      <c r="D18" s="3" t="n">
        <v>0.6</v>
      </c>
      <c r="E18" s="3" t="n">
        <v>0.55</v>
      </c>
      <c r="F18" s="3" t="n">
        <v>0.55</v>
      </c>
      <c r="G18" s="3" t="n">
        <v>0.55</v>
      </c>
      <c r="H18" s="3" t="n">
        <v>0.55</v>
      </c>
      <c r="I18" s="3" t="n">
        <v>0.55</v>
      </c>
      <c r="J18" s="3" t="n">
        <v>0.55</v>
      </c>
      <c r="K18" s="3" t="n">
        <v>0.55</v>
      </c>
      <c r="L18" s="3" t="n">
        <v>0.55</v>
      </c>
    </row>
    <row r="19" customFormat="false" ht="15" hidden="false" customHeight="false" outlineLevel="0" collapsed="false">
      <c r="A19" s="0" t="s">
        <v>113</v>
      </c>
      <c r="C19" s="3" t="n">
        <v>26</v>
      </c>
      <c r="D19" s="3" t="n">
        <v>26</v>
      </c>
      <c r="E19" s="3" t="n">
        <v>26</v>
      </c>
      <c r="F19" s="3" t="n">
        <v>26</v>
      </c>
      <c r="G19" s="3" t="n">
        <v>26</v>
      </c>
      <c r="H19" s="3" t="n">
        <v>26</v>
      </c>
      <c r="I19" s="3" t="n">
        <v>26</v>
      </c>
      <c r="J19" s="3" t="n">
        <v>26</v>
      </c>
      <c r="K19" s="3" t="n">
        <v>26</v>
      </c>
      <c r="L19" s="3" t="n">
        <v>26</v>
      </c>
    </row>
    <row r="20" customFormat="false" ht="15" hidden="false" customHeight="false" outlineLevel="0" collapsed="false">
      <c r="A20" s="0" t="s">
        <v>114</v>
      </c>
      <c r="B20" s="3" t="n">
        <v>9</v>
      </c>
    </row>
    <row r="21" customFormat="false" ht="15" hidden="false" customHeight="false" outlineLevel="0" collapsed="false">
      <c r="A21" s="0" t="s">
        <v>115</v>
      </c>
      <c r="B21" s="3" t="n">
        <v>2.5</v>
      </c>
    </row>
    <row r="22" customFormat="false" ht="15" hidden="false" customHeight="false" outlineLevel="0" collapsed="false">
      <c r="A22" s="0" t="s">
        <v>116</v>
      </c>
      <c r="B22" s="3" t="n">
        <v>15</v>
      </c>
    </row>
    <row r="23" customFormat="false" ht="15" hidden="false" customHeight="false" outlineLevel="0" collapsed="false">
      <c r="A23" s="0" t="s">
        <v>117</v>
      </c>
      <c r="B23" s="3" t="n">
        <v>-4</v>
      </c>
    </row>
    <row r="24" customFormat="false" ht="15" hidden="false" customHeight="false" outlineLevel="0" collapsed="false">
      <c r="A24" s="0" t="s">
        <v>118</v>
      </c>
      <c r="B24" s="3" t="n">
        <v>0.25</v>
      </c>
    </row>
    <row r="26" customFormat="false" ht="15" hidden="false" customHeight="false" outlineLevel="0" collapsed="false">
      <c r="A26" s="2" t="s">
        <v>119</v>
      </c>
      <c r="C26" s="2" t="s">
        <v>97</v>
      </c>
      <c r="D26" s="2" t="s">
        <v>98</v>
      </c>
      <c r="E26" s="2" t="s">
        <v>99</v>
      </c>
      <c r="F26" s="2" t="s">
        <v>100</v>
      </c>
      <c r="G26" s="2" t="s">
        <v>101</v>
      </c>
      <c r="H26" s="2" t="s">
        <v>102</v>
      </c>
      <c r="I26" s="2" t="s">
        <v>103</v>
      </c>
      <c r="J26" s="2" t="s">
        <v>104</v>
      </c>
      <c r="K26" s="2" t="s">
        <v>105</v>
      </c>
      <c r="L26" s="2" t="s">
        <v>106</v>
      </c>
    </row>
    <row r="27" customFormat="false" ht="15" hidden="false" customHeight="false" outlineLevel="0" collapsed="false">
      <c r="A27" s="0" t="s">
        <v>107</v>
      </c>
      <c r="C27" s="3" t="n">
        <v>10</v>
      </c>
      <c r="D27" s="3" t="n">
        <v>-3</v>
      </c>
      <c r="E27" s="3" t="n">
        <v>4</v>
      </c>
      <c r="F27" s="3" t="n">
        <v>4.5</v>
      </c>
      <c r="G27" s="3" t="n">
        <v>4.5</v>
      </c>
      <c r="H27" s="3" t="n">
        <v>4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108</v>
      </c>
      <c r="C28" s="3" t="n">
        <v>11</v>
      </c>
      <c r="D28" s="3" t="n">
        <v>10.7</v>
      </c>
      <c r="E28" s="3" t="n">
        <v>10.8</v>
      </c>
      <c r="F28" s="3" t="n">
        <v>10.9</v>
      </c>
      <c r="G28" s="3" t="n">
        <v>11</v>
      </c>
      <c r="H28" s="3" t="n">
        <v>11</v>
      </c>
      <c r="I28" s="3" t="n">
        <v>11</v>
      </c>
      <c r="J28" s="3" t="n">
        <v>11</v>
      </c>
      <c r="K28" s="3" t="n">
        <v>11</v>
      </c>
      <c r="L28" s="3" t="n">
        <v>11</v>
      </c>
    </row>
    <row r="29" customFormat="false" ht="15" hidden="false" customHeight="false" outlineLevel="0" collapsed="false">
      <c r="A29" s="0" t="s">
        <v>109</v>
      </c>
      <c r="C29" s="3" t="n">
        <v>0.75</v>
      </c>
      <c r="D29" s="3" t="n">
        <v>0.75</v>
      </c>
      <c r="E29" s="3" t="n">
        <v>0.75</v>
      </c>
      <c r="F29" s="3" t="n">
        <v>0.75</v>
      </c>
      <c r="G29" s="3" t="n">
        <v>0.75</v>
      </c>
      <c r="H29" s="3" t="n">
        <v>0.75</v>
      </c>
      <c r="I29" s="3" t="n">
        <v>0.75</v>
      </c>
      <c r="J29" s="3" t="n">
        <v>0.75</v>
      </c>
      <c r="K29" s="3" t="n">
        <v>0.75</v>
      </c>
      <c r="L29" s="3" t="n">
        <v>0.75</v>
      </c>
    </row>
    <row r="30" customFormat="false" ht="15" hidden="false" customHeight="false" outlineLevel="0" collapsed="false">
      <c r="A30" s="0" t="s">
        <v>110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111</v>
      </c>
      <c r="C31" s="3" t="n">
        <v>0.5</v>
      </c>
      <c r="D31" s="3" t="n">
        <v>0.5</v>
      </c>
      <c r="E31" s="3" t="n">
        <v>0.5</v>
      </c>
      <c r="F31" s="3" t="n">
        <v>0.5</v>
      </c>
      <c r="G31" s="3" t="n">
        <v>0.5</v>
      </c>
      <c r="H31" s="3" t="n">
        <v>0.5</v>
      </c>
      <c r="I31" s="3" t="n">
        <v>0.5</v>
      </c>
      <c r="J31" s="3" t="n">
        <v>0.5</v>
      </c>
      <c r="K31" s="3" t="n">
        <v>0.5</v>
      </c>
      <c r="L31" s="3" t="n">
        <v>0.5</v>
      </c>
    </row>
    <row r="32" customFormat="false" ht="15" hidden="false" customHeight="false" outlineLevel="0" collapsed="false">
      <c r="A32" s="0" t="s">
        <v>112</v>
      </c>
      <c r="C32" s="3" t="n">
        <v>0.6</v>
      </c>
      <c r="D32" s="3" t="n">
        <v>0.6</v>
      </c>
      <c r="E32" s="3" t="n">
        <v>0.55</v>
      </c>
      <c r="F32" s="3" t="n">
        <v>0.55</v>
      </c>
      <c r="G32" s="3" t="n">
        <v>0.55</v>
      </c>
      <c r="H32" s="3" t="n">
        <v>0.55</v>
      </c>
      <c r="I32" s="3" t="n">
        <v>0.55</v>
      </c>
      <c r="J32" s="3" t="n">
        <v>0.55</v>
      </c>
      <c r="K32" s="3" t="n">
        <v>0.55</v>
      </c>
      <c r="L32" s="3" t="n">
        <v>0.55</v>
      </c>
    </row>
    <row r="33" customFormat="false" ht="15" hidden="false" customHeight="false" outlineLevel="0" collapsed="false">
      <c r="A33" s="0" t="s">
        <v>113</v>
      </c>
      <c r="C33" s="3" t="n">
        <v>25.5</v>
      </c>
      <c r="D33" s="3" t="n">
        <v>25.5</v>
      </c>
      <c r="E33" s="3" t="n">
        <v>25.5</v>
      </c>
      <c r="F33" s="3" t="n">
        <v>25.5</v>
      </c>
      <c r="G33" s="3" t="n">
        <v>25.5</v>
      </c>
      <c r="H33" s="3" t="n">
        <v>25.5</v>
      </c>
      <c r="I33" s="3" t="n">
        <v>25.5</v>
      </c>
      <c r="J33" s="3" t="n">
        <v>25.5</v>
      </c>
      <c r="K33" s="3" t="n">
        <v>25.5</v>
      </c>
      <c r="L33" s="3" t="n">
        <v>25.5</v>
      </c>
    </row>
    <row r="34" customFormat="false" ht="15" hidden="false" customHeight="false" outlineLevel="0" collapsed="false">
      <c r="A34" s="0" t="s">
        <v>114</v>
      </c>
      <c r="B34" s="3" t="n">
        <v>9</v>
      </c>
    </row>
    <row r="35" customFormat="false" ht="15" hidden="false" customHeight="false" outlineLevel="0" collapsed="false">
      <c r="A35" s="0" t="s">
        <v>115</v>
      </c>
      <c r="B35" s="3" t="n">
        <v>3</v>
      </c>
    </row>
    <row r="36" customFormat="false" ht="15" hidden="false" customHeight="false" outlineLevel="0" collapsed="false">
      <c r="A36" s="0" t="s">
        <v>116</v>
      </c>
      <c r="B36" s="3" t="n">
        <v>17</v>
      </c>
    </row>
    <row r="37" customFormat="false" ht="15" hidden="false" customHeight="false" outlineLevel="0" collapsed="false">
      <c r="A37" s="0" t="s">
        <v>117</v>
      </c>
      <c r="B37" s="3" t="n">
        <v>-4</v>
      </c>
    </row>
    <row r="38" customFormat="false" ht="15" hidden="false" customHeight="false" outlineLevel="0" collapsed="false">
      <c r="A38" s="0" t="s">
        <v>118</v>
      </c>
      <c r="B38" s="3" t="n">
        <v>0.5</v>
      </c>
    </row>
    <row r="40" customFormat="false" ht="15" hidden="false" customHeight="false" outlineLevel="0" collapsed="false">
      <c r="A40" s="2" t="s">
        <v>120</v>
      </c>
      <c r="C40" s="2" t="s">
        <v>97</v>
      </c>
      <c r="D40" s="2" t="s">
        <v>98</v>
      </c>
      <c r="E40" s="2" t="s">
        <v>99</v>
      </c>
      <c r="F40" s="2" t="s">
        <v>100</v>
      </c>
      <c r="G40" s="2" t="s">
        <v>101</v>
      </c>
      <c r="H40" s="2" t="s">
        <v>102</v>
      </c>
      <c r="I40" s="2" t="s">
        <v>103</v>
      </c>
      <c r="J40" s="2" t="s">
        <v>104</v>
      </c>
      <c r="K40" s="2" t="s">
        <v>105</v>
      </c>
      <c r="L40" s="2" t="s">
        <v>106</v>
      </c>
    </row>
    <row r="41" customFormat="false" ht="15" hidden="false" customHeight="false" outlineLevel="0" collapsed="false">
      <c r="A41" s="0" t="s">
        <v>107</v>
      </c>
      <c r="C41" s="3" t="n">
        <v>14</v>
      </c>
      <c r="D41" s="3" t="n">
        <v>2</v>
      </c>
      <c r="E41" s="3" t="n">
        <v>6</v>
      </c>
      <c r="F41" s="3" t="n">
        <v>6</v>
      </c>
      <c r="G41" s="3" t="n">
        <v>5.5</v>
      </c>
      <c r="H41" s="3" t="n">
        <v>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108</v>
      </c>
      <c r="C42" s="3" t="n">
        <v>11.3</v>
      </c>
      <c r="D42" s="3" t="n">
        <v>11.3</v>
      </c>
      <c r="E42" s="3" t="n">
        <v>11.5</v>
      </c>
      <c r="F42" s="3" t="n">
        <v>11.7</v>
      </c>
      <c r="G42" s="3" t="n">
        <v>11.9</v>
      </c>
      <c r="H42" s="3" t="n">
        <v>12</v>
      </c>
      <c r="I42" s="3" t="n">
        <v>12</v>
      </c>
      <c r="J42" s="3" t="n">
        <v>12</v>
      </c>
      <c r="K42" s="3" t="n">
        <v>12</v>
      </c>
      <c r="L42" s="3" t="n">
        <v>12</v>
      </c>
    </row>
    <row r="43" customFormat="false" ht="15" hidden="false" customHeight="false" outlineLevel="0" collapsed="false">
      <c r="A43" s="0" t="s">
        <v>109</v>
      </c>
      <c r="C43" s="3" t="n">
        <v>0.75</v>
      </c>
      <c r="D43" s="3" t="n">
        <v>0.75</v>
      </c>
      <c r="E43" s="3" t="n">
        <v>0.75</v>
      </c>
      <c r="F43" s="3" t="n">
        <v>0.75</v>
      </c>
      <c r="G43" s="3" t="n">
        <v>0.75</v>
      </c>
      <c r="H43" s="3" t="n">
        <v>0.75</v>
      </c>
      <c r="I43" s="3" t="n">
        <v>0.75</v>
      </c>
      <c r="J43" s="3" t="n">
        <v>0.75</v>
      </c>
      <c r="K43" s="3" t="n">
        <v>0.75</v>
      </c>
      <c r="L43" s="3" t="n">
        <v>0.75</v>
      </c>
    </row>
    <row r="44" customFormat="false" ht="15" hidden="false" customHeight="false" outlineLevel="0" collapsed="false">
      <c r="A44" s="0" t="s">
        <v>110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111</v>
      </c>
      <c r="C45" s="3" t="n">
        <v>0.5</v>
      </c>
      <c r="D45" s="3" t="n">
        <v>0.5</v>
      </c>
      <c r="E45" s="3" t="n">
        <v>0.5</v>
      </c>
      <c r="F45" s="3" t="n">
        <v>0.5</v>
      </c>
      <c r="G45" s="3" t="n">
        <v>0.5</v>
      </c>
      <c r="H45" s="3" t="n">
        <v>0.5</v>
      </c>
      <c r="I45" s="3" t="n">
        <v>0.5</v>
      </c>
      <c r="J45" s="3" t="n">
        <v>0.5</v>
      </c>
      <c r="K45" s="3" t="n">
        <v>0.5</v>
      </c>
      <c r="L45" s="3" t="n">
        <v>0.5</v>
      </c>
    </row>
    <row r="46" customFormat="false" ht="15" hidden="false" customHeight="false" outlineLevel="0" collapsed="false">
      <c r="A46" s="0" t="s">
        <v>112</v>
      </c>
      <c r="C46" s="3" t="n">
        <v>0.6</v>
      </c>
      <c r="D46" s="3" t="n">
        <v>0.6</v>
      </c>
      <c r="E46" s="3" t="n">
        <v>0.55</v>
      </c>
      <c r="F46" s="3" t="n">
        <v>0.55</v>
      </c>
      <c r="G46" s="3" t="n">
        <v>0.55</v>
      </c>
      <c r="H46" s="3" t="n">
        <v>0.55</v>
      </c>
      <c r="I46" s="3" t="n">
        <v>0.55</v>
      </c>
      <c r="J46" s="3" t="n">
        <v>0.55</v>
      </c>
      <c r="K46" s="3" t="n">
        <v>0.55</v>
      </c>
      <c r="L46" s="3" t="n">
        <v>0.55</v>
      </c>
    </row>
    <row r="47" customFormat="false" ht="15" hidden="false" customHeight="false" outlineLevel="0" collapsed="false">
      <c r="A47" s="0" t="s">
        <v>113</v>
      </c>
      <c r="C47" s="3" t="n">
        <v>25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114</v>
      </c>
      <c r="B48" s="3" t="n">
        <v>9</v>
      </c>
    </row>
    <row r="49" customFormat="false" ht="15" hidden="false" customHeight="false" outlineLevel="0" collapsed="false">
      <c r="A49" s="0" t="s">
        <v>115</v>
      </c>
      <c r="B49" s="3" t="n">
        <v>3</v>
      </c>
    </row>
    <row r="50" customFormat="false" ht="15" hidden="false" customHeight="false" outlineLevel="0" collapsed="false">
      <c r="A50" s="0" t="s">
        <v>116</v>
      </c>
      <c r="B50" s="3" t="n">
        <v>18</v>
      </c>
    </row>
    <row r="51" customFormat="false" ht="15" hidden="false" customHeight="false" outlineLevel="0" collapsed="false">
      <c r="A51" s="0" t="s">
        <v>117</v>
      </c>
      <c r="B51" s="3" t="n">
        <v>-4</v>
      </c>
    </row>
    <row r="52" customFormat="false" ht="15" hidden="false" customHeight="false" outlineLevel="0" collapsed="false">
      <c r="A52" s="0" t="s">
        <v>118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121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Assumptions!C13</f>
        <v>5</v>
      </c>
      <c r="D5" s="4" t="n">
        <f aca="false">Assumptions!D13</f>
        <v>-12</v>
      </c>
      <c r="E5" s="4" t="n">
        <f aca="false">Assumptions!E13</f>
        <v>0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3</v>
      </c>
      <c r="L5" s="4" t="n">
        <f aca="false">Assumptions!L13</f>
        <v>3</v>
      </c>
    </row>
    <row r="6" customFormat="false" ht="15" hidden="false" customHeight="false" outlineLevel="0" collapsed="false">
      <c r="A6" s="0" t="s">
        <v>37</v>
      </c>
      <c r="B6" s="3" t="n">
        <v>12036</v>
      </c>
      <c r="C6" s="0" t="n">
        <f aca="false">B6*(1+C5/100)</f>
        <v>12637.8</v>
      </c>
      <c r="D6" s="0" t="n">
        <f aca="false">C6*(1+D5/100)</f>
        <v>11121.264</v>
      </c>
      <c r="E6" s="0" t="n">
        <f aca="false">D6*(1+E5/100)</f>
        <v>11121.264</v>
      </c>
      <c r="F6" s="0" t="n">
        <f aca="false">E6*(1+F5/100)</f>
        <v>11454.90192</v>
      </c>
      <c r="G6" s="0" t="n">
        <f aca="false">F6*(1+G5/100)</f>
        <v>11798.5489776</v>
      </c>
      <c r="H6" s="0" t="n">
        <f aca="false">G6*(1+H5/100)</f>
        <v>12152.505446928</v>
      </c>
      <c r="I6" s="0" t="n">
        <f aca="false">H6*(1+I5/100)</f>
        <v>12517.0806103358</v>
      </c>
      <c r="J6" s="0" t="n">
        <f aca="false">I6*(1+J5/100)</f>
        <v>12892.5930286459</v>
      </c>
      <c r="K6" s="0" t="n">
        <f aca="false">J6*(1+K5/100)</f>
        <v>13279.3708195053</v>
      </c>
      <c r="L6" s="0" t="n">
        <f aca="false">K6*(1+L5/100)</f>
        <v>13677.7519440905</v>
      </c>
    </row>
    <row r="7" customFormat="false" ht="15" hidden="false" customHeight="false" outlineLevel="0" collapsed="false">
      <c r="A7" s="0" t="s">
        <v>108</v>
      </c>
      <c r="C7" s="4" t="n">
        <f aca="false">Assumptions!C14</f>
        <v>10.5</v>
      </c>
      <c r="D7" s="4" t="n">
        <f aca="false">Assumptions!D14</f>
        <v>9.6</v>
      </c>
      <c r="E7" s="4" t="n">
        <f aca="false">Assumptions!E14</f>
        <v>9.8</v>
      </c>
      <c r="F7" s="4" t="n">
        <f aca="false">Assumptions!F14</f>
        <v>10</v>
      </c>
      <c r="G7" s="4" t="n">
        <f aca="false">Assumptions!G14</f>
        <v>10.2</v>
      </c>
      <c r="H7" s="4" t="n">
        <f aca="false">Assumptions!H14</f>
        <v>10.3</v>
      </c>
      <c r="I7" s="4" t="n">
        <f aca="false">Assumptions!I14</f>
        <v>10.3</v>
      </c>
      <c r="J7" s="4" t="n">
        <f aca="false">Assumptions!J14</f>
        <v>10.3</v>
      </c>
      <c r="K7" s="4" t="n">
        <f aca="false">Assumptions!K14</f>
        <v>10.3</v>
      </c>
      <c r="L7" s="4" t="n">
        <f aca="false">Assumptions!L14</f>
        <v>10.3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1326.969</v>
      </c>
      <c r="D8" s="0" t="n">
        <f aca="false">D6*D7/100</f>
        <v>1067.641344</v>
      </c>
      <c r="E8" s="0" t="n">
        <f aca="false">E6*E7/100</f>
        <v>1089.883872</v>
      </c>
      <c r="F8" s="0" t="n">
        <f aca="false">F6*F7/100</f>
        <v>1145.490192</v>
      </c>
      <c r="G8" s="0" t="n">
        <f aca="false">G6*G7/100</f>
        <v>1203.4519957152</v>
      </c>
      <c r="H8" s="0" t="n">
        <f aca="false">H6*H7/100</f>
        <v>1251.70806103358</v>
      </c>
      <c r="I8" s="0" t="n">
        <f aca="false">I6*I7/100</f>
        <v>1289.25930286459</v>
      </c>
      <c r="J8" s="0" t="n">
        <f aca="false">J6*J7/100</f>
        <v>1327.93708195053</v>
      </c>
      <c r="K8" s="0" t="n">
        <f aca="false">K6*K7/100</f>
        <v>1367.77519440905</v>
      </c>
      <c r="L8" s="0" t="n">
        <f aca="false">L6*L7/100</f>
        <v>1408.80845024132</v>
      </c>
    </row>
    <row r="9" customFormat="false" ht="15" hidden="false" customHeight="false" outlineLevel="0" collapsed="false">
      <c r="A9" s="0" t="s">
        <v>109</v>
      </c>
      <c r="C9" s="4" t="n">
        <f aca="false">Assumptions!C15</f>
        <v>0.75</v>
      </c>
      <c r="D9" s="4" t="n">
        <f aca="false">Assumptions!D15</f>
        <v>0.75</v>
      </c>
      <c r="E9" s="4" t="n">
        <f aca="false">Assumptions!E15</f>
        <v>0.75</v>
      </c>
      <c r="F9" s="4" t="n">
        <f aca="false">Assumptions!F15</f>
        <v>0.75</v>
      </c>
      <c r="G9" s="4" t="n">
        <f aca="false">Assumptions!G15</f>
        <v>0.75</v>
      </c>
      <c r="H9" s="4" t="n">
        <f aca="false">Assumptions!H15</f>
        <v>0.75</v>
      </c>
      <c r="I9" s="4" t="n">
        <f aca="false">Assumptions!I15</f>
        <v>0.75</v>
      </c>
      <c r="J9" s="4" t="n">
        <f aca="false">Assumptions!J15</f>
        <v>0.75</v>
      </c>
      <c r="K9" s="4" t="n">
        <f aca="false">Assumptions!K15</f>
        <v>0.75</v>
      </c>
      <c r="L9" s="4" t="n">
        <f aca="false">Assumptions!L15</f>
        <v>0.75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-94.7835</v>
      </c>
      <c r="D10" s="0" t="n">
        <f aca="false">-D6*D9/100</f>
        <v>-83.40948</v>
      </c>
      <c r="E10" s="0" t="n">
        <f aca="false">-E6*E9/100</f>
        <v>-83.40948</v>
      </c>
      <c r="F10" s="0" t="n">
        <f aca="false">-F6*F9/100</f>
        <v>-85.9117644</v>
      </c>
      <c r="G10" s="0" t="n">
        <f aca="false">-G6*G9/100</f>
        <v>-88.489117332</v>
      </c>
      <c r="H10" s="0" t="n">
        <f aca="false">-H6*H9/100</f>
        <v>-91.14379085196</v>
      </c>
      <c r="I10" s="0" t="n">
        <f aca="false">-I6*I9/100</f>
        <v>-93.8781045775188</v>
      </c>
      <c r="J10" s="0" t="n">
        <f aca="false">-J6*J9/100</f>
        <v>-96.6944477148444</v>
      </c>
      <c r="K10" s="0" t="n">
        <f aca="false">-K6*K9/100</f>
        <v>-99.5952811462898</v>
      </c>
      <c r="L10" s="0" t="n">
        <f aca="false">-L6*L9/100</f>
        <v>-102.583139580678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1232.1855</v>
      </c>
      <c r="D11" s="0" t="n">
        <f aca="false">D8+D10+D24</f>
        <v>984.231864</v>
      </c>
      <c r="E11" s="0" t="n">
        <f aca="false">E8+E10+E24</f>
        <v>1006.474392</v>
      </c>
      <c r="F11" s="0" t="n">
        <f aca="false">F8+F10+F24</f>
        <v>1059.5784276</v>
      </c>
      <c r="G11" s="0" t="n">
        <f aca="false">G8+G10+G24</f>
        <v>1114.9628783832</v>
      </c>
      <c r="H11" s="0" t="n">
        <f aca="false">H8+H10+H24</f>
        <v>1160.56427018162</v>
      </c>
      <c r="I11" s="0" t="n">
        <f aca="false">I8+I10+I24</f>
        <v>1195.38119828707</v>
      </c>
      <c r="J11" s="0" t="n">
        <f aca="false">J8+J10+J24</f>
        <v>1231.24263423569</v>
      </c>
      <c r="K11" s="0" t="n">
        <f aca="false">K8+K10+K24</f>
        <v>1268.17991326276</v>
      </c>
      <c r="L11" s="0" t="n">
        <f aca="false">L8+L10+L24</f>
        <v>1306.22531066064</v>
      </c>
    </row>
    <row r="12" customFormat="false" ht="15" hidden="false" customHeight="false" outlineLevel="0" collapsed="false">
      <c r="A12" s="0" t="s">
        <v>126</v>
      </c>
      <c r="C12" s="4" t="n">
        <f aca="false">-C6*Assumptions!C17/100</f>
        <v>-63.189</v>
      </c>
      <c r="D12" s="4" t="n">
        <f aca="false">-D6*Assumptions!D17/100</f>
        <v>-55.60632</v>
      </c>
      <c r="E12" s="4" t="n">
        <f aca="false">-E6*Assumptions!E17/100</f>
        <v>-55.60632</v>
      </c>
      <c r="F12" s="4" t="n">
        <f aca="false">-F6*Assumptions!F17/100</f>
        <v>-57.2745096</v>
      </c>
      <c r="G12" s="4" t="n">
        <f aca="false">-G6*Assumptions!G17/100</f>
        <v>-58.992744888</v>
      </c>
      <c r="H12" s="4" t="n">
        <f aca="false">-H6*Assumptions!H17/100</f>
        <v>-60.76252723464</v>
      </c>
      <c r="I12" s="4" t="n">
        <f aca="false">-I6*Assumptions!I17/100</f>
        <v>-62.5854030516792</v>
      </c>
      <c r="J12" s="4" t="n">
        <f aca="false">-J6*Assumptions!J17/100</f>
        <v>-64.4629651432296</v>
      </c>
      <c r="K12" s="4" t="n">
        <f aca="false">-K6*Assumptions!K17/100</f>
        <v>-66.3968540975265</v>
      </c>
      <c r="L12" s="4" t="n">
        <f aca="false">-L6*Assumptions!L17/100</f>
        <v>-68.3887597204523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1168.9965</v>
      </c>
      <c r="D13" s="0" t="n">
        <f aca="false">D11+D12</f>
        <v>928.625544</v>
      </c>
      <c r="E13" s="0" t="n">
        <f aca="false">E11+E12</f>
        <v>950.868072</v>
      </c>
      <c r="F13" s="0" t="n">
        <f aca="false">F11+F12</f>
        <v>1002.303918</v>
      </c>
      <c r="G13" s="0" t="n">
        <f aca="false">G11+G12</f>
        <v>1055.9701334952</v>
      </c>
      <c r="H13" s="0" t="n">
        <f aca="false">H11+H12</f>
        <v>1099.80174294698</v>
      </c>
      <c r="I13" s="0" t="n">
        <f aca="false">I11+I12</f>
        <v>1132.79579523539</v>
      </c>
      <c r="J13" s="0" t="n">
        <f aca="false">J11+J12</f>
        <v>1166.77966909246</v>
      </c>
      <c r="K13" s="0" t="n">
        <f aca="false">K11+K12</f>
        <v>1201.78305916523</v>
      </c>
      <c r="L13" s="0" t="n">
        <f aca="false">L11+L12</f>
        <v>1237.83655094019</v>
      </c>
    </row>
    <row r="14" customFormat="false" ht="15" hidden="false" customHeight="false" outlineLevel="0" collapsed="false">
      <c r="A14" s="0" t="s">
        <v>113</v>
      </c>
      <c r="C14" s="4" t="n">
        <f aca="false">Assumptions!C19</f>
        <v>26</v>
      </c>
      <c r="D14" s="4" t="n">
        <f aca="false">Assumptions!D19</f>
        <v>26</v>
      </c>
      <c r="E14" s="4" t="n">
        <f aca="false">Assumptions!E19</f>
        <v>26</v>
      </c>
      <c r="F14" s="4" t="n">
        <f aca="false">Assumptions!F19</f>
        <v>26</v>
      </c>
      <c r="G14" s="4" t="n">
        <f aca="false">Assumptions!G19</f>
        <v>26</v>
      </c>
      <c r="H14" s="4" t="n">
        <f aca="false">Assumptions!H19</f>
        <v>26</v>
      </c>
      <c r="I14" s="4" t="n">
        <f aca="false">Assumptions!I19</f>
        <v>26</v>
      </c>
      <c r="J14" s="4" t="n">
        <f aca="false">Assumptions!J19</f>
        <v>26</v>
      </c>
      <c r="K14" s="4" t="n">
        <f aca="false">Assumptions!K19</f>
        <v>26</v>
      </c>
      <c r="L14" s="4" t="n">
        <f aca="false">Assumptions!L19</f>
        <v>26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865.05741</v>
      </c>
      <c r="D15" s="0" t="n">
        <f aca="false">D13-MAX(0,D13)*D14/100</f>
        <v>687.18290256</v>
      </c>
      <c r="E15" s="0" t="n">
        <f aca="false">E13-MAX(0,E13)*E14/100</f>
        <v>703.64237328</v>
      </c>
      <c r="F15" s="0" t="n">
        <f aca="false">F13-MAX(0,F13)*F14/100</f>
        <v>741.70489932</v>
      </c>
      <c r="G15" s="0" t="n">
        <f aca="false">G13-MAX(0,G13)*G14/100</f>
        <v>781.417898786448</v>
      </c>
      <c r="H15" s="0" t="n">
        <f aca="false">H13-MAX(0,H13)*H14/100</f>
        <v>813.853289780769</v>
      </c>
      <c r="I15" s="0" t="n">
        <f aca="false">I13-MAX(0,I13)*I14/100</f>
        <v>838.268888474192</v>
      </c>
      <c r="J15" s="0" t="n">
        <f aca="false">J13-MAX(0,J13)*J14/100</f>
        <v>863.416955128417</v>
      </c>
      <c r="K15" s="0" t="n">
        <f aca="false">K13-MAX(0,K13)*K14/100</f>
        <v>889.31946378227</v>
      </c>
      <c r="L15" s="0" t="n">
        <f aca="false">L13-MAX(0,L13)*L14/100</f>
        <v>915.999047695738</v>
      </c>
    </row>
    <row r="16" customFormat="false" ht="15" hidden="false" customHeight="false" outlineLevel="0" collapsed="false">
      <c r="A16" s="0" t="s">
        <v>129</v>
      </c>
      <c r="C16" s="0" t="n">
        <f aca="false">-C12</f>
        <v>63.189</v>
      </c>
      <c r="D16" s="0" t="n">
        <f aca="false">-D12</f>
        <v>55.60632</v>
      </c>
      <c r="E16" s="0" t="n">
        <f aca="false">-E12</f>
        <v>55.60632</v>
      </c>
      <c r="F16" s="0" t="n">
        <f aca="false">-F12</f>
        <v>57.2745096</v>
      </c>
      <c r="G16" s="0" t="n">
        <f aca="false">-G12</f>
        <v>58.992744888</v>
      </c>
      <c r="H16" s="0" t="n">
        <f aca="false">-H12</f>
        <v>60.76252723464</v>
      </c>
      <c r="I16" s="0" t="n">
        <f aca="false">-I12</f>
        <v>62.5854030516792</v>
      </c>
      <c r="J16" s="0" t="n">
        <f aca="false">-J12</f>
        <v>64.4629651432296</v>
      </c>
      <c r="K16" s="0" t="n">
        <f aca="false">-K12</f>
        <v>66.3968540975265</v>
      </c>
      <c r="L16" s="0" t="n">
        <f aca="false">-L12</f>
        <v>68.3887597204523</v>
      </c>
    </row>
    <row r="17" customFormat="false" ht="15" hidden="false" customHeight="false" outlineLevel="0" collapsed="false">
      <c r="A17" s="0" t="s">
        <v>130</v>
      </c>
      <c r="C17" s="4" t="n">
        <f aca="false">-C6*Assumptions!C18/100</f>
        <v>-75.8268</v>
      </c>
      <c r="D17" s="4" t="n">
        <f aca="false">-D6*Assumptions!D18/100</f>
        <v>-66.727584</v>
      </c>
      <c r="E17" s="4" t="n">
        <f aca="false">-E6*Assumptions!E18/100</f>
        <v>-61.166952</v>
      </c>
      <c r="F17" s="4" t="n">
        <f aca="false">-F6*Assumptions!F18/100</f>
        <v>-63.00196056</v>
      </c>
      <c r="G17" s="4" t="n">
        <f aca="false">-G6*Assumptions!G18/100</f>
        <v>-64.8920193768</v>
      </c>
      <c r="H17" s="4" t="n">
        <f aca="false">-H6*Assumptions!H18/100</f>
        <v>-66.838779958104</v>
      </c>
      <c r="I17" s="4" t="n">
        <f aca="false">-I6*Assumptions!I18/100</f>
        <v>-68.8439433568472</v>
      </c>
      <c r="J17" s="4" t="n">
        <f aca="false">-J6*Assumptions!J18/100</f>
        <v>-70.9092616575526</v>
      </c>
      <c r="K17" s="4" t="n">
        <f aca="false">-K6*Assumptions!K18/100</f>
        <v>-73.0365395072791</v>
      </c>
      <c r="L17" s="4" t="n">
        <f aca="false">-L6*Assumptions!L18/100</f>
        <v>-75.2276356924975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(C6-B6)*Assumptions!$B$23/100</f>
        <v>-24.072</v>
      </c>
      <c r="D18" s="4" t="n">
        <f aca="false">(D6-C6)*Assumptions!$B$23/100</f>
        <v>60.66144</v>
      </c>
      <c r="E18" s="4" t="n">
        <f aca="false">(E6-D6)*Assumptions!$B$23/100</f>
        <v>-0</v>
      </c>
      <c r="F18" s="4" t="n">
        <f aca="false">(F6-E6)*Assumptions!$B$23/100</f>
        <v>-13.3455168</v>
      </c>
      <c r="G18" s="4" t="n">
        <f aca="false">(G6-F6)*Assumptions!$B$23/100</f>
        <v>-13.745882304</v>
      </c>
      <c r="H18" s="4" t="n">
        <f aca="false">(H6-G6)*Assumptions!$B$23/100</f>
        <v>-14.15825877312</v>
      </c>
      <c r="I18" s="4" t="n">
        <f aca="false">(I6-H6)*Assumptions!$B$23/100</f>
        <v>-14.5830065363136</v>
      </c>
      <c r="J18" s="4" t="n">
        <f aca="false">(J6-I6)*Assumptions!$B$23/100</f>
        <v>-15.020496732403</v>
      </c>
      <c r="K18" s="4" t="n">
        <f aca="false">(K6-J6)*Assumptions!$B$23/100</f>
        <v>-15.4711116343751</v>
      </c>
      <c r="L18" s="4" t="n">
        <f aca="false">(L6-K6)*Assumptions!$B$23/100</f>
        <v>-15.9352449834064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828.34761</v>
      </c>
      <c r="D19" s="0" t="n">
        <f aca="false">D15+D16+D17+D18</f>
        <v>736.72307856</v>
      </c>
      <c r="E19" s="0" t="n">
        <f aca="false">E15+E16+E17+E18</f>
        <v>698.08174128</v>
      </c>
      <c r="F19" s="0" t="n">
        <f aca="false">F15+F16+F17+F18</f>
        <v>722.63193156</v>
      </c>
      <c r="G19" s="0" t="n">
        <f aca="false">G15+G16+G17+G18</f>
        <v>761.772741993648</v>
      </c>
      <c r="H19" s="0" t="n">
        <f aca="false">H15+H16+H17+H18</f>
        <v>793.618778284185</v>
      </c>
      <c r="I19" s="0" t="n">
        <f aca="false">I15+I16+I17+I18</f>
        <v>817.42734163271</v>
      </c>
      <c r="J19" s="0" t="n">
        <f aca="false">J15+J16+J17+J18</f>
        <v>841.950161881691</v>
      </c>
      <c r="K19" s="0" t="n">
        <f aca="false">K15+K16+K17+K18</f>
        <v>867.208666738142</v>
      </c>
      <c r="L19" s="0" t="n">
        <f aca="false">L15+L16+L17+L18</f>
        <v>893.224926740287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759.951935779817</v>
      </c>
      <c r="D21" s="0" t="n">
        <f aca="false">D19*D20</f>
        <v>620.0850758017</v>
      </c>
      <c r="E21" s="0" t="n">
        <f aca="false">E19*E20</f>
        <v>539.047188348678</v>
      </c>
      <c r="F21" s="0" t="n">
        <f aca="false">F19*F20</f>
        <v>511.930678637843</v>
      </c>
      <c r="G21" s="0" t="n">
        <f aca="false">G19*G20</f>
        <v>495.100014248223</v>
      </c>
      <c r="H21" s="0" t="n">
        <f aca="false">H19*H20</f>
        <v>473.20894748866</v>
      </c>
      <c r="I21" s="0" t="n">
        <f aca="false">I19*I20</f>
        <v>447.16074854433</v>
      </c>
      <c r="J21" s="0" t="n">
        <f aca="false">J19*J20</f>
        <v>422.546395413449</v>
      </c>
      <c r="K21" s="0" t="n">
        <f aca="false">K19*K20</f>
        <v>399.286960803534</v>
      </c>
      <c r="L21" s="0" t="n">
        <f aca="false">L19*L20</f>
        <v>377.307862043707</v>
      </c>
    </row>
    <row r="23" customFormat="false" ht="15" hidden="false" customHeight="false" outlineLevel="0" collapsed="false">
      <c r="A23" s="0" t="s">
        <v>110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5045.62580710994</v>
      </c>
    </row>
    <row r="31" customFormat="false" ht="15" hidden="false" customHeight="false" outlineLevel="0" collapsed="false">
      <c r="A31" s="0" t="s">
        <v>138</v>
      </c>
      <c r="B31" s="0" t="n">
        <f aca="false">L19</f>
        <v>893.224926740287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14085.4699985968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13398.3739011043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13398.3739011043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5659.61793065561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10705.2437377655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11736.6437377655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90.0049366393063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-0.519871243789041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583.359713308888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683.315883588794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99.7187065541659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7324.44439927035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51.8643419734229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Assumptions!C27</f>
        <v>10</v>
      </c>
      <c r="D5" s="4" t="n">
        <f aca="false">Assumptions!D27</f>
        <v>-3</v>
      </c>
      <c r="E5" s="4" t="n">
        <f aca="false">Assumptions!E27</f>
        <v>4</v>
      </c>
      <c r="F5" s="4" t="n">
        <f aca="false">Assumptions!F27</f>
        <v>4.5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12036</v>
      </c>
      <c r="C6" s="0" t="n">
        <f aca="false">B6*(1+C5/100)</f>
        <v>13239.6</v>
      </c>
      <c r="D6" s="0" t="n">
        <f aca="false">C6*(1+D5/100)</f>
        <v>12842.412</v>
      </c>
      <c r="E6" s="0" t="n">
        <f aca="false">D6*(1+E5/100)</f>
        <v>13356.10848</v>
      </c>
      <c r="F6" s="0" t="n">
        <f aca="false">E6*(1+F5/100)</f>
        <v>13957.1333616</v>
      </c>
      <c r="G6" s="0" t="n">
        <f aca="false">F6*(1+G5/100)</f>
        <v>14585.204362872</v>
      </c>
      <c r="H6" s="0" t="n">
        <f aca="false">G6*(1+H5/100)</f>
        <v>15168.6125373869</v>
      </c>
      <c r="I6" s="0" t="n">
        <f aca="false">H6*(1+I5/100)</f>
        <v>15775.3570388824</v>
      </c>
      <c r="J6" s="0" t="n">
        <f aca="false">I6*(1+J5/100)</f>
        <v>16327.4945352432</v>
      </c>
      <c r="K6" s="0" t="n">
        <f aca="false">J6*(1+K5/100)</f>
        <v>16817.3193713005</v>
      </c>
      <c r="L6" s="0" t="n">
        <f aca="false">K6*(1+L5/100)</f>
        <v>17321.8389524395</v>
      </c>
    </row>
    <row r="7" customFormat="false" ht="15" hidden="false" customHeight="false" outlineLevel="0" collapsed="false">
      <c r="A7" s="0" t="s">
        <v>108</v>
      </c>
      <c r="C7" s="4" t="n">
        <f aca="false">Assumptions!C28</f>
        <v>11</v>
      </c>
      <c r="D7" s="4" t="n">
        <f aca="false">Assumptions!D28</f>
        <v>10.7</v>
      </c>
      <c r="E7" s="4" t="n">
        <f aca="false">Assumptions!E28</f>
        <v>10.8</v>
      </c>
      <c r="F7" s="4" t="n">
        <f aca="false">Assumptions!F28</f>
        <v>10.9</v>
      </c>
      <c r="G7" s="4" t="n">
        <f aca="false">Assumptions!G28</f>
        <v>11</v>
      </c>
      <c r="H7" s="4" t="n">
        <f aca="false">Assumptions!H28</f>
        <v>11</v>
      </c>
      <c r="I7" s="4" t="n">
        <f aca="false">Assumptions!I28</f>
        <v>11</v>
      </c>
      <c r="J7" s="4" t="n">
        <f aca="false">Assumptions!J28</f>
        <v>11</v>
      </c>
      <c r="K7" s="4" t="n">
        <f aca="false">Assumptions!K28</f>
        <v>11</v>
      </c>
      <c r="L7" s="4" t="n">
        <f aca="false">Assumptions!L28</f>
        <v>11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1456.356</v>
      </c>
      <c r="D8" s="0" t="n">
        <f aca="false">D6*D7/100</f>
        <v>1374.138084</v>
      </c>
      <c r="E8" s="0" t="n">
        <f aca="false">E6*E7/100</f>
        <v>1442.45971584</v>
      </c>
      <c r="F8" s="0" t="n">
        <f aca="false">F6*F7/100</f>
        <v>1521.3275364144</v>
      </c>
      <c r="G8" s="0" t="n">
        <f aca="false">G6*G7/100</f>
        <v>1604.37247991592</v>
      </c>
      <c r="H8" s="0" t="n">
        <f aca="false">H6*H7/100</f>
        <v>1668.54737911256</v>
      </c>
      <c r="I8" s="0" t="n">
        <f aca="false">I6*I7/100</f>
        <v>1735.28927427706</v>
      </c>
      <c r="J8" s="0" t="n">
        <f aca="false">J6*J7/100</f>
        <v>1796.02439887676</v>
      </c>
      <c r="K8" s="0" t="n">
        <f aca="false">K6*K7/100</f>
        <v>1849.90513084306</v>
      </c>
      <c r="L8" s="0" t="n">
        <f aca="false">L6*L7/100</f>
        <v>1905.40228476835</v>
      </c>
    </row>
    <row r="9" customFormat="false" ht="15" hidden="false" customHeight="false" outlineLevel="0" collapsed="false">
      <c r="A9" s="0" t="s">
        <v>109</v>
      </c>
      <c r="C9" s="4" t="n">
        <f aca="false">Assumptions!C29</f>
        <v>0.75</v>
      </c>
      <c r="D9" s="4" t="n">
        <f aca="false">Assumptions!D29</f>
        <v>0.75</v>
      </c>
      <c r="E9" s="4" t="n">
        <f aca="false">Assumptions!E29</f>
        <v>0.75</v>
      </c>
      <c r="F9" s="4" t="n">
        <f aca="false">Assumptions!F29</f>
        <v>0.75</v>
      </c>
      <c r="G9" s="4" t="n">
        <f aca="false">Assumptions!G29</f>
        <v>0.75</v>
      </c>
      <c r="H9" s="4" t="n">
        <f aca="false">Assumptions!H29</f>
        <v>0.75</v>
      </c>
      <c r="I9" s="4" t="n">
        <f aca="false">Assumptions!I29</f>
        <v>0.75</v>
      </c>
      <c r="J9" s="4" t="n">
        <f aca="false">Assumptions!J29</f>
        <v>0.75</v>
      </c>
      <c r="K9" s="4" t="n">
        <f aca="false">Assumptions!K29</f>
        <v>0.75</v>
      </c>
      <c r="L9" s="4" t="n">
        <f aca="false">Assumptions!L29</f>
        <v>0.75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-99.297</v>
      </c>
      <c r="D10" s="0" t="n">
        <f aca="false">-D6*D9/100</f>
        <v>-96.31809</v>
      </c>
      <c r="E10" s="0" t="n">
        <f aca="false">-E6*E9/100</f>
        <v>-100.1708136</v>
      </c>
      <c r="F10" s="0" t="n">
        <f aca="false">-F6*F9/100</f>
        <v>-104.678500212</v>
      </c>
      <c r="G10" s="0" t="n">
        <f aca="false">-G6*G9/100</f>
        <v>-109.38903272154</v>
      </c>
      <c r="H10" s="0" t="n">
        <f aca="false">-H6*H9/100</f>
        <v>-113.764594030402</v>
      </c>
      <c r="I10" s="0" t="n">
        <f aca="false">-I6*I9/100</f>
        <v>-118.315177791618</v>
      </c>
      <c r="J10" s="0" t="n">
        <f aca="false">-J6*J9/100</f>
        <v>-122.456209014324</v>
      </c>
      <c r="K10" s="0" t="n">
        <f aca="false">-K6*K9/100</f>
        <v>-126.129895284754</v>
      </c>
      <c r="L10" s="0" t="n">
        <f aca="false">-L6*L9/100</f>
        <v>-129.913792143297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1357.059</v>
      </c>
      <c r="D11" s="0" t="n">
        <f aca="false">D8+D10+D24</f>
        <v>1277.819994</v>
      </c>
      <c r="E11" s="0" t="n">
        <f aca="false">E8+E10+E24</f>
        <v>1342.28890224</v>
      </c>
      <c r="F11" s="0" t="n">
        <f aca="false">F8+F10+F24</f>
        <v>1416.6490362024</v>
      </c>
      <c r="G11" s="0" t="n">
        <f aca="false">G8+G10+G24</f>
        <v>1494.98344719438</v>
      </c>
      <c r="H11" s="0" t="n">
        <f aca="false">H8+H10+H24</f>
        <v>1554.78278508215</v>
      </c>
      <c r="I11" s="0" t="n">
        <f aca="false">I8+I10+I24</f>
        <v>1616.97409648544</v>
      </c>
      <c r="J11" s="0" t="n">
        <f aca="false">J8+J10+J24</f>
        <v>1673.56818986243</v>
      </c>
      <c r="K11" s="0" t="n">
        <f aca="false">K8+K10+K24</f>
        <v>1723.7752355583</v>
      </c>
      <c r="L11" s="0" t="n">
        <f aca="false">L8+L10+L24</f>
        <v>1775.48849262505</v>
      </c>
    </row>
    <row r="12" customFormat="false" ht="15" hidden="false" customHeight="false" outlineLevel="0" collapsed="false">
      <c r="A12" s="0" t="s">
        <v>126</v>
      </c>
      <c r="C12" s="4" t="n">
        <f aca="false">-C6*Assumptions!C31/100</f>
        <v>-66.198</v>
      </c>
      <c r="D12" s="4" t="n">
        <f aca="false">-D6*Assumptions!D31/100</f>
        <v>-64.21206</v>
      </c>
      <c r="E12" s="4" t="n">
        <f aca="false">-E6*Assumptions!E31/100</f>
        <v>-66.7805424</v>
      </c>
      <c r="F12" s="4" t="n">
        <f aca="false">-F6*Assumptions!F31/100</f>
        <v>-69.785666808</v>
      </c>
      <c r="G12" s="4" t="n">
        <f aca="false">-G6*Assumptions!G31/100</f>
        <v>-72.92602181436</v>
      </c>
      <c r="H12" s="4" t="n">
        <f aca="false">-H6*Assumptions!H31/100</f>
        <v>-75.8430626869344</v>
      </c>
      <c r="I12" s="4" t="n">
        <f aca="false">-I6*Assumptions!I31/100</f>
        <v>-78.8767851944118</v>
      </c>
      <c r="J12" s="4" t="n">
        <f aca="false">-J6*Assumptions!J31/100</f>
        <v>-81.6374726762162</v>
      </c>
      <c r="K12" s="4" t="n">
        <f aca="false">-K6*Assumptions!K31/100</f>
        <v>-84.0865968565027</v>
      </c>
      <c r="L12" s="4" t="n">
        <f aca="false">-L6*Assumptions!L31/100</f>
        <v>-86.6091947621977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1290.861</v>
      </c>
      <c r="D13" s="0" t="n">
        <f aca="false">D11+D12</f>
        <v>1213.607934</v>
      </c>
      <c r="E13" s="0" t="n">
        <f aca="false">E11+E12</f>
        <v>1275.50835984</v>
      </c>
      <c r="F13" s="0" t="n">
        <f aca="false">F11+F12</f>
        <v>1346.8633693944</v>
      </c>
      <c r="G13" s="0" t="n">
        <f aca="false">G11+G12</f>
        <v>1422.05742538002</v>
      </c>
      <c r="H13" s="0" t="n">
        <f aca="false">H11+H12</f>
        <v>1478.93972239522</v>
      </c>
      <c r="I13" s="0" t="n">
        <f aca="false">I11+I12</f>
        <v>1538.09731129103</v>
      </c>
      <c r="J13" s="0" t="n">
        <f aca="false">J11+J12</f>
        <v>1591.93071718622</v>
      </c>
      <c r="K13" s="0" t="n">
        <f aca="false">K11+K12</f>
        <v>1639.6886387018</v>
      </c>
      <c r="L13" s="0" t="n">
        <f aca="false">L11+L12</f>
        <v>1688.87929786286</v>
      </c>
    </row>
    <row r="14" customFormat="false" ht="15" hidden="false" customHeight="false" outlineLevel="0" collapsed="false">
      <c r="A14" s="0" t="s">
        <v>113</v>
      </c>
      <c r="C14" s="4" t="n">
        <f aca="false">Assumptions!C33</f>
        <v>25.5</v>
      </c>
      <c r="D14" s="4" t="n">
        <f aca="false">Assumptions!D33</f>
        <v>25.5</v>
      </c>
      <c r="E14" s="4" t="n">
        <f aca="false">Assumptions!E33</f>
        <v>25.5</v>
      </c>
      <c r="F14" s="4" t="n">
        <f aca="false">Assumptions!F33</f>
        <v>25.5</v>
      </c>
      <c r="G14" s="4" t="n">
        <f aca="false">Assumptions!G33</f>
        <v>25.5</v>
      </c>
      <c r="H14" s="4" t="n">
        <f aca="false">Assumptions!H33</f>
        <v>25.5</v>
      </c>
      <c r="I14" s="4" t="n">
        <f aca="false">Assumptions!I33</f>
        <v>25.5</v>
      </c>
      <c r="J14" s="4" t="n">
        <f aca="false">Assumptions!J33</f>
        <v>25.5</v>
      </c>
      <c r="K14" s="4" t="n">
        <f aca="false">Assumptions!K33</f>
        <v>25.5</v>
      </c>
      <c r="L14" s="4" t="n">
        <f aca="false">Assumptions!L33</f>
        <v>25.5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961.691445</v>
      </c>
      <c r="D15" s="0" t="n">
        <f aca="false">D13-MAX(0,D13)*D14/100</f>
        <v>904.13791083</v>
      </c>
      <c r="E15" s="0" t="n">
        <f aca="false">E13-MAX(0,E13)*E14/100</f>
        <v>950.2537280808</v>
      </c>
      <c r="F15" s="0" t="n">
        <f aca="false">F13-MAX(0,F13)*F14/100</f>
        <v>1003.41321019883</v>
      </c>
      <c r="G15" s="0" t="n">
        <f aca="false">G13-MAX(0,G13)*G14/100</f>
        <v>1059.43278190812</v>
      </c>
      <c r="H15" s="0" t="n">
        <f aca="false">H13-MAX(0,H13)*H14/100</f>
        <v>1101.81009318444</v>
      </c>
      <c r="I15" s="0" t="n">
        <f aca="false">I13-MAX(0,I13)*I14/100</f>
        <v>1145.88249691182</v>
      </c>
      <c r="J15" s="0" t="n">
        <f aca="false">J13-MAX(0,J13)*J14/100</f>
        <v>1185.98838430373</v>
      </c>
      <c r="K15" s="0" t="n">
        <f aca="false">K13-MAX(0,K13)*K14/100</f>
        <v>1221.56803583284</v>
      </c>
      <c r="L15" s="0" t="n">
        <f aca="false">L13-MAX(0,L13)*L14/100</f>
        <v>1258.21507690783</v>
      </c>
    </row>
    <row r="16" customFormat="false" ht="15" hidden="false" customHeight="false" outlineLevel="0" collapsed="false">
      <c r="A16" s="0" t="s">
        <v>129</v>
      </c>
      <c r="C16" s="0" t="n">
        <f aca="false">-C12</f>
        <v>66.198</v>
      </c>
      <c r="D16" s="0" t="n">
        <f aca="false">-D12</f>
        <v>64.21206</v>
      </c>
      <c r="E16" s="0" t="n">
        <f aca="false">-E12</f>
        <v>66.7805424</v>
      </c>
      <c r="F16" s="0" t="n">
        <f aca="false">-F12</f>
        <v>69.785666808</v>
      </c>
      <c r="G16" s="0" t="n">
        <f aca="false">-G12</f>
        <v>72.92602181436</v>
      </c>
      <c r="H16" s="0" t="n">
        <f aca="false">-H12</f>
        <v>75.8430626869344</v>
      </c>
      <c r="I16" s="0" t="n">
        <f aca="false">-I12</f>
        <v>78.8767851944118</v>
      </c>
      <c r="J16" s="0" t="n">
        <f aca="false">-J12</f>
        <v>81.6374726762162</v>
      </c>
      <c r="K16" s="0" t="n">
        <f aca="false">-K12</f>
        <v>84.0865968565027</v>
      </c>
      <c r="L16" s="0" t="n">
        <f aca="false">-L12</f>
        <v>86.6091947621977</v>
      </c>
    </row>
    <row r="17" customFormat="false" ht="15" hidden="false" customHeight="false" outlineLevel="0" collapsed="false">
      <c r="A17" s="0" t="s">
        <v>130</v>
      </c>
      <c r="C17" s="4" t="n">
        <f aca="false">-C6*Assumptions!C32/100</f>
        <v>-79.4376</v>
      </c>
      <c r="D17" s="4" t="n">
        <f aca="false">-D6*Assumptions!D32/100</f>
        <v>-77.054472</v>
      </c>
      <c r="E17" s="4" t="n">
        <f aca="false">-E6*Assumptions!E32/100</f>
        <v>-73.45859664</v>
      </c>
      <c r="F17" s="4" t="n">
        <f aca="false">-F6*Assumptions!F32/100</f>
        <v>-76.7642334888</v>
      </c>
      <c r="G17" s="4" t="n">
        <f aca="false">-G6*Assumptions!G32/100</f>
        <v>-80.218623995796</v>
      </c>
      <c r="H17" s="4" t="n">
        <f aca="false">-H6*Assumptions!H32/100</f>
        <v>-83.4273689556278</v>
      </c>
      <c r="I17" s="4" t="n">
        <f aca="false">-I6*Assumptions!I32/100</f>
        <v>-86.764463713853</v>
      </c>
      <c r="J17" s="4" t="n">
        <f aca="false">-J6*Assumptions!J32/100</f>
        <v>-89.8012199438378</v>
      </c>
      <c r="K17" s="4" t="n">
        <f aca="false">-K6*Assumptions!K32/100</f>
        <v>-92.4952565421529</v>
      </c>
      <c r="L17" s="4" t="n">
        <f aca="false">-L6*Assumptions!L32/100</f>
        <v>-95.2701142384175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(C6-B6)*Assumptions!$B$37/100</f>
        <v>-48.144</v>
      </c>
      <c r="D18" s="4" t="n">
        <f aca="false">(D6-C6)*Assumptions!$B$37/100</f>
        <v>15.88752</v>
      </c>
      <c r="E18" s="4" t="n">
        <f aca="false">(E6-D6)*Assumptions!$B$37/100</f>
        <v>-20.5478592</v>
      </c>
      <c r="F18" s="4" t="n">
        <f aca="false">(F6-E6)*Assumptions!$B$37/100</f>
        <v>-24.0409952639999</v>
      </c>
      <c r="G18" s="4" t="n">
        <f aca="false">(G6-F6)*Assumptions!$B$37/100</f>
        <v>-25.12284005088</v>
      </c>
      <c r="H18" s="4" t="n">
        <f aca="false">(H6-G6)*Assumptions!$B$37/100</f>
        <v>-23.3363269805952</v>
      </c>
      <c r="I18" s="4" t="n">
        <f aca="false">(I6-H6)*Assumptions!$B$37/100</f>
        <v>-24.269780059819</v>
      </c>
      <c r="J18" s="4" t="n">
        <f aca="false">(J6-I6)*Assumptions!$B$37/100</f>
        <v>-22.0854998544353</v>
      </c>
      <c r="K18" s="4" t="n">
        <f aca="false">(K6-J6)*Assumptions!$B$37/100</f>
        <v>-19.5929934422918</v>
      </c>
      <c r="L18" s="4" t="n">
        <f aca="false">(L6-K6)*Assumptions!$B$37/100</f>
        <v>-20.1807832455606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900.307845</v>
      </c>
      <c r="D19" s="0" t="n">
        <f aca="false">D15+D16+D17+D18</f>
        <v>907.18301883</v>
      </c>
      <c r="E19" s="0" t="n">
        <f aca="false">E15+E16+E17+E18</f>
        <v>923.0278146408</v>
      </c>
      <c r="F19" s="0" t="n">
        <f aca="false">F15+F16+F17+F18</f>
        <v>972.393648254028</v>
      </c>
      <c r="G19" s="0" t="n">
        <f aca="false">G15+G16+G17+G18</f>
        <v>1027.0173396758</v>
      </c>
      <c r="H19" s="0" t="n">
        <f aca="false">H15+H16+H17+H18</f>
        <v>1070.88945993515</v>
      </c>
      <c r="I19" s="0" t="n">
        <f aca="false">I15+I16+I17+I18</f>
        <v>1113.72503833256</v>
      </c>
      <c r="J19" s="0" t="n">
        <f aca="false">J15+J16+J17+J18</f>
        <v>1155.73913718167</v>
      </c>
      <c r="K19" s="0" t="n">
        <f aca="false">K15+K16+K17+K18</f>
        <v>1193.5663827049</v>
      </c>
      <c r="L19" s="0" t="n">
        <f aca="false">L15+L16+L17+L18</f>
        <v>1229.37337418605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825.9705</v>
      </c>
      <c r="D21" s="0" t="n">
        <f aca="false">D19*D20</f>
        <v>763.557797180372</v>
      </c>
      <c r="E21" s="0" t="n">
        <f aca="false">E19*E20</f>
        <v>712.746830102492</v>
      </c>
      <c r="F21" s="0" t="n">
        <f aca="false">F19*F20</f>
        <v>688.868175502816</v>
      </c>
      <c r="G21" s="0" t="n">
        <f aca="false">G19*G20</f>
        <v>667.490803327931</v>
      </c>
      <c r="H21" s="0" t="n">
        <f aca="false">H19*H20</f>
        <v>638.536395658659</v>
      </c>
      <c r="I21" s="0" t="n">
        <f aca="false">I19*I20</f>
        <v>609.245735307345</v>
      </c>
      <c r="J21" s="0" t="n">
        <f aca="false">J19*J20</f>
        <v>580.026501049581</v>
      </c>
      <c r="K21" s="0" t="n">
        <f aca="false">K19*K20</f>
        <v>549.551119294121</v>
      </c>
      <c r="L21" s="0" t="n">
        <f aca="false">L19*L20</f>
        <v>519.300598966004</v>
      </c>
    </row>
    <row r="23" customFormat="false" ht="15" hidden="false" customHeight="false" outlineLevel="0" collapsed="false">
      <c r="A23" s="0" t="s">
        <v>110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Assumptions!$B$36</f>
        <v>17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6555.29445638932</v>
      </c>
    </row>
    <row r="31" customFormat="false" ht="15" hidden="false" customHeight="false" outlineLevel="0" collapsed="false">
      <c r="A31" s="0" t="s">
        <v>138</v>
      </c>
      <c r="B31" s="0" t="n">
        <f aca="false">L19</f>
        <v>1229.37337418605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21104.2429235271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20899.3473611628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20899.3473611628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8828.11018242206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15383.4046388114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16414.8046388114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125.880403671866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-0.328494592596466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701.733579951987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942.05499098521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138.486144246538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10552.1214617636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66.6003936869686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0" t="s">
        <v>122</v>
      </c>
      <c r="B3" s="0" t="s">
        <v>92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 t="s">
        <v>106</v>
      </c>
    </row>
    <row r="4" customFormat="false" ht="15" hidden="false" customHeight="false" outlineLevel="0" collapsed="false">
      <c r="A4" s="0" t="s">
        <v>123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107</v>
      </c>
      <c r="C5" s="4" t="n">
        <f aca="false">Assumptions!C41</f>
        <v>14</v>
      </c>
      <c r="D5" s="4" t="n">
        <f aca="false">Assumptions!D41</f>
        <v>2</v>
      </c>
      <c r="E5" s="4" t="n">
        <f aca="false">Assumptions!E41</f>
        <v>6</v>
      </c>
      <c r="F5" s="4" t="n">
        <f aca="false">Assumptions!F41</f>
        <v>6</v>
      </c>
      <c r="G5" s="4" t="n">
        <f aca="false">Assumptions!G41</f>
        <v>5.5</v>
      </c>
      <c r="H5" s="4" t="n">
        <f aca="false">Assumptions!H41</f>
        <v>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12036</v>
      </c>
      <c r="C6" s="0" t="n">
        <f aca="false">B6*(1+C5/100)</f>
        <v>13721.04</v>
      </c>
      <c r="D6" s="0" t="n">
        <f aca="false">C6*(1+D5/100)</f>
        <v>13995.4608</v>
      </c>
      <c r="E6" s="0" t="n">
        <f aca="false">D6*(1+E5/100)</f>
        <v>14835.188448</v>
      </c>
      <c r="F6" s="0" t="n">
        <f aca="false">E6*(1+F5/100)</f>
        <v>15725.29975488</v>
      </c>
      <c r="G6" s="0" t="n">
        <f aca="false">F6*(1+G5/100)</f>
        <v>16590.1912413984</v>
      </c>
      <c r="H6" s="0" t="n">
        <f aca="false">G6*(1+H5/100)</f>
        <v>17419.7008034683</v>
      </c>
      <c r="I6" s="0" t="n">
        <f aca="false">H6*(1+I5/100)</f>
        <v>18290.6858436417</v>
      </c>
      <c r="J6" s="0" t="n">
        <f aca="false">I6*(1+J5/100)</f>
        <v>19113.7667066056</v>
      </c>
      <c r="K6" s="0" t="n">
        <f aca="false">J6*(1+K5/100)</f>
        <v>19878.3173748698</v>
      </c>
      <c r="L6" s="0" t="n">
        <f aca="false">K6*(1+L5/100)</f>
        <v>20574.0584829903</v>
      </c>
    </row>
    <row r="7" customFormat="false" ht="15" hidden="false" customHeight="false" outlineLevel="0" collapsed="false">
      <c r="A7" s="0" t="s">
        <v>108</v>
      </c>
      <c r="C7" s="4" t="n">
        <f aca="false">Assumptions!C42</f>
        <v>11.3</v>
      </c>
      <c r="D7" s="4" t="n">
        <f aca="false">Assumptions!D42</f>
        <v>11.3</v>
      </c>
      <c r="E7" s="4" t="n">
        <f aca="false">Assumptions!E42</f>
        <v>11.5</v>
      </c>
      <c r="F7" s="4" t="n">
        <f aca="false">Assumptions!F42</f>
        <v>11.7</v>
      </c>
      <c r="G7" s="4" t="n">
        <f aca="false">Assumptions!G42</f>
        <v>11.9</v>
      </c>
      <c r="H7" s="4" t="n">
        <f aca="false">Assumptions!H42</f>
        <v>12</v>
      </c>
      <c r="I7" s="4" t="n">
        <f aca="false">Assumptions!I42</f>
        <v>12</v>
      </c>
      <c r="J7" s="4" t="n">
        <f aca="false">Assumptions!J42</f>
        <v>12</v>
      </c>
      <c r="K7" s="4" t="n">
        <f aca="false">Assumptions!K42</f>
        <v>12</v>
      </c>
      <c r="L7" s="4" t="n">
        <f aca="false">Assumptions!L42</f>
        <v>12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1550.47752</v>
      </c>
      <c r="D8" s="0" t="n">
        <f aca="false">D6*D7/100</f>
        <v>1581.4870704</v>
      </c>
      <c r="E8" s="0" t="n">
        <f aca="false">E6*E7/100</f>
        <v>1706.04667152</v>
      </c>
      <c r="F8" s="0" t="n">
        <f aca="false">F6*F7/100</f>
        <v>1839.86007132096</v>
      </c>
      <c r="G8" s="0" t="n">
        <f aca="false">G6*G7/100</f>
        <v>1974.23275772641</v>
      </c>
      <c r="H8" s="0" t="n">
        <f aca="false">H6*H7/100</f>
        <v>2090.3640964162</v>
      </c>
      <c r="I8" s="0" t="n">
        <f aca="false">I6*I7/100</f>
        <v>2194.88230123701</v>
      </c>
      <c r="J8" s="0" t="n">
        <f aca="false">J6*J7/100</f>
        <v>2293.65200479267</v>
      </c>
      <c r="K8" s="0" t="n">
        <f aca="false">K6*K7/100</f>
        <v>2385.39808498438</v>
      </c>
      <c r="L8" s="0" t="n">
        <f aca="false">L6*L7/100</f>
        <v>2468.88701795883</v>
      </c>
    </row>
    <row r="9" customFormat="false" ht="15" hidden="false" customHeight="false" outlineLevel="0" collapsed="false">
      <c r="A9" s="0" t="s">
        <v>109</v>
      </c>
      <c r="C9" s="4" t="n">
        <f aca="false">Assumptions!C43</f>
        <v>0.75</v>
      </c>
      <c r="D9" s="4" t="n">
        <f aca="false">Assumptions!D43</f>
        <v>0.75</v>
      </c>
      <c r="E9" s="4" t="n">
        <f aca="false">Assumptions!E43</f>
        <v>0.75</v>
      </c>
      <c r="F9" s="4" t="n">
        <f aca="false">Assumptions!F43</f>
        <v>0.75</v>
      </c>
      <c r="G9" s="4" t="n">
        <f aca="false">Assumptions!G43</f>
        <v>0.75</v>
      </c>
      <c r="H9" s="4" t="n">
        <f aca="false">Assumptions!H43</f>
        <v>0.75</v>
      </c>
      <c r="I9" s="4" t="n">
        <f aca="false">Assumptions!I43</f>
        <v>0.75</v>
      </c>
      <c r="J9" s="4" t="n">
        <f aca="false">Assumptions!J43</f>
        <v>0.75</v>
      </c>
      <c r="K9" s="4" t="n">
        <f aca="false">Assumptions!K43</f>
        <v>0.75</v>
      </c>
      <c r="L9" s="4" t="n">
        <f aca="false">Assumptions!L43</f>
        <v>0.75</v>
      </c>
    </row>
    <row r="10" customFormat="false" ht="15" hidden="false" customHeight="false" outlineLevel="0" collapsed="false">
      <c r="A10" s="0" t="s">
        <v>124</v>
      </c>
      <c r="C10" s="0" t="n">
        <f aca="false">-C6*C9/100</f>
        <v>-102.9078</v>
      </c>
      <c r="D10" s="0" t="n">
        <f aca="false">-D6*D9/100</f>
        <v>-104.965956</v>
      </c>
      <c r="E10" s="0" t="n">
        <f aca="false">-E6*E9/100</f>
        <v>-111.26391336</v>
      </c>
      <c r="F10" s="0" t="n">
        <f aca="false">-F6*F9/100</f>
        <v>-117.9397481616</v>
      </c>
      <c r="G10" s="0" t="n">
        <f aca="false">-G6*G9/100</f>
        <v>-124.426434310488</v>
      </c>
      <c r="H10" s="0" t="n">
        <f aca="false">-H6*H9/100</f>
        <v>-130.647756026012</v>
      </c>
      <c r="I10" s="0" t="n">
        <f aca="false">-I6*I9/100</f>
        <v>-137.180143827313</v>
      </c>
      <c r="J10" s="0" t="n">
        <f aca="false">-J6*J9/100</f>
        <v>-143.353250299542</v>
      </c>
      <c r="K10" s="0" t="n">
        <f aca="false">-K6*K9/100</f>
        <v>-149.087380311524</v>
      </c>
      <c r="L10" s="0" t="n">
        <f aca="false">-L6*L9/100</f>
        <v>-154.305438622427</v>
      </c>
    </row>
    <row r="11" customFormat="false" ht="15" hidden="false" customHeight="false" outlineLevel="0" collapsed="false">
      <c r="A11" s="0" t="s">
        <v>125</v>
      </c>
      <c r="C11" s="0" t="n">
        <f aca="false">C8+C10+C24</f>
        <v>1447.56972</v>
      </c>
      <c r="D11" s="0" t="n">
        <f aca="false">D8+D10+D24</f>
        <v>1476.5211144</v>
      </c>
      <c r="E11" s="0" t="n">
        <f aca="false">E8+E10+E24</f>
        <v>1594.78275816</v>
      </c>
      <c r="F11" s="0" t="n">
        <f aca="false">F8+F10+F24</f>
        <v>1721.92032315936</v>
      </c>
      <c r="G11" s="0" t="n">
        <f aca="false">G8+G10+G24</f>
        <v>1849.80632341592</v>
      </c>
      <c r="H11" s="0" t="n">
        <f aca="false">H8+H10+H24</f>
        <v>1959.71634039019</v>
      </c>
      <c r="I11" s="0" t="n">
        <f aca="false">I8+I10+I24</f>
        <v>2057.7021574097</v>
      </c>
      <c r="J11" s="0" t="n">
        <f aca="false">J8+J10+J24</f>
        <v>2150.29875449313</v>
      </c>
      <c r="K11" s="0" t="n">
        <f aca="false">K8+K10+K24</f>
        <v>2236.31070467286</v>
      </c>
      <c r="L11" s="0" t="n">
        <f aca="false">L8+L10+L24</f>
        <v>2314.58157933641</v>
      </c>
    </row>
    <row r="12" customFormat="false" ht="15" hidden="false" customHeight="false" outlineLevel="0" collapsed="false">
      <c r="A12" s="0" t="s">
        <v>126</v>
      </c>
      <c r="C12" s="4" t="n">
        <f aca="false">-C6*Assumptions!C45/100</f>
        <v>-68.6052</v>
      </c>
      <c r="D12" s="4" t="n">
        <f aca="false">-D6*Assumptions!D45/100</f>
        <v>-69.977304</v>
      </c>
      <c r="E12" s="4" t="n">
        <f aca="false">-E6*Assumptions!E45/100</f>
        <v>-74.17594224</v>
      </c>
      <c r="F12" s="4" t="n">
        <f aca="false">-F6*Assumptions!F45/100</f>
        <v>-78.6264987744</v>
      </c>
      <c r="G12" s="4" t="n">
        <f aca="false">-G6*Assumptions!G45/100</f>
        <v>-82.950956206992</v>
      </c>
      <c r="H12" s="4" t="n">
        <f aca="false">-H6*Assumptions!H45/100</f>
        <v>-87.0985040173416</v>
      </c>
      <c r="I12" s="4" t="n">
        <f aca="false">-I6*Assumptions!I45/100</f>
        <v>-91.4534292182087</v>
      </c>
      <c r="J12" s="4" t="n">
        <f aca="false">-J6*Assumptions!J45/100</f>
        <v>-95.5688335330281</v>
      </c>
      <c r="K12" s="4" t="n">
        <f aca="false">-K6*Assumptions!K45/100</f>
        <v>-99.3915868743492</v>
      </c>
      <c r="L12" s="4" t="n">
        <f aca="false">-L6*Assumptions!L45/100</f>
        <v>-102.870292414951</v>
      </c>
    </row>
    <row r="13" customFormat="false" ht="15" hidden="false" customHeight="false" outlineLevel="0" collapsed="false">
      <c r="A13" s="0" t="s">
        <v>127</v>
      </c>
      <c r="C13" s="0" t="n">
        <f aca="false">C11+C12</f>
        <v>1378.96452</v>
      </c>
      <c r="D13" s="0" t="n">
        <f aca="false">D11+D12</f>
        <v>1406.5438104</v>
      </c>
      <c r="E13" s="0" t="n">
        <f aca="false">E11+E12</f>
        <v>1520.60681592</v>
      </c>
      <c r="F13" s="0" t="n">
        <f aca="false">F11+F12</f>
        <v>1643.29382438496</v>
      </c>
      <c r="G13" s="0" t="n">
        <f aca="false">G11+G12</f>
        <v>1766.85536720893</v>
      </c>
      <c r="H13" s="0" t="n">
        <f aca="false">H11+H12</f>
        <v>1872.61783637284</v>
      </c>
      <c r="I13" s="0" t="n">
        <f aca="false">I11+I12</f>
        <v>1966.24872819149</v>
      </c>
      <c r="J13" s="0" t="n">
        <f aca="false">J11+J12</f>
        <v>2054.7299209601</v>
      </c>
      <c r="K13" s="0" t="n">
        <f aca="false">K11+K12</f>
        <v>2136.91911779851</v>
      </c>
      <c r="L13" s="0" t="n">
        <f aca="false">L11+L12</f>
        <v>2211.71128692146</v>
      </c>
    </row>
    <row r="14" customFormat="false" ht="15" hidden="false" customHeight="false" outlineLevel="0" collapsed="false">
      <c r="A14" s="0" t="s">
        <v>113</v>
      </c>
      <c r="C14" s="4" t="n">
        <f aca="false">Assumptions!C47</f>
        <v>25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128</v>
      </c>
      <c r="C15" s="0" t="n">
        <f aca="false">C13-MAX(0,C13)*C14/100</f>
        <v>1034.22339</v>
      </c>
      <c r="D15" s="0" t="n">
        <f aca="false">D13-MAX(0,D13)*D14/100</f>
        <v>1054.9078578</v>
      </c>
      <c r="E15" s="0" t="n">
        <f aca="false">E13-MAX(0,E13)*E14/100</f>
        <v>1140.45511194</v>
      </c>
      <c r="F15" s="0" t="n">
        <f aca="false">F13-MAX(0,F13)*F14/100</f>
        <v>1232.47036828872</v>
      </c>
      <c r="G15" s="0" t="n">
        <f aca="false">G13-MAX(0,G13)*G14/100</f>
        <v>1325.1415254067</v>
      </c>
      <c r="H15" s="0" t="n">
        <f aca="false">H13-MAX(0,H13)*H14/100</f>
        <v>1404.46337727963</v>
      </c>
      <c r="I15" s="0" t="n">
        <f aca="false">I13-MAX(0,I13)*I14/100</f>
        <v>1474.68654614362</v>
      </c>
      <c r="J15" s="0" t="n">
        <f aca="false">J13-MAX(0,J13)*J14/100</f>
        <v>1541.04744072008</v>
      </c>
      <c r="K15" s="0" t="n">
        <f aca="false">K13-MAX(0,K13)*K14/100</f>
        <v>1602.68933834888</v>
      </c>
      <c r="L15" s="0" t="n">
        <f aca="false">L13-MAX(0,L13)*L14/100</f>
        <v>1658.78346519109</v>
      </c>
    </row>
    <row r="16" customFormat="false" ht="15" hidden="false" customHeight="false" outlineLevel="0" collapsed="false">
      <c r="A16" s="0" t="s">
        <v>129</v>
      </c>
      <c r="C16" s="0" t="n">
        <f aca="false">-C12</f>
        <v>68.6052</v>
      </c>
      <c r="D16" s="0" t="n">
        <f aca="false">-D12</f>
        <v>69.977304</v>
      </c>
      <c r="E16" s="0" t="n">
        <f aca="false">-E12</f>
        <v>74.17594224</v>
      </c>
      <c r="F16" s="0" t="n">
        <f aca="false">-F12</f>
        <v>78.6264987744</v>
      </c>
      <c r="G16" s="0" t="n">
        <f aca="false">-G12</f>
        <v>82.950956206992</v>
      </c>
      <c r="H16" s="0" t="n">
        <f aca="false">-H12</f>
        <v>87.0985040173416</v>
      </c>
      <c r="I16" s="0" t="n">
        <f aca="false">-I12</f>
        <v>91.4534292182087</v>
      </c>
      <c r="J16" s="0" t="n">
        <f aca="false">-J12</f>
        <v>95.5688335330281</v>
      </c>
      <c r="K16" s="0" t="n">
        <f aca="false">-K12</f>
        <v>99.3915868743492</v>
      </c>
      <c r="L16" s="0" t="n">
        <f aca="false">-L12</f>
        <v>102.870292414951</v>
      </c>
    </row>
    <row r="17" customFormat="false" ht="15" hidden="false" customHeight="false" outlineLevel="0" collapsed="false">
      <c r="A17" s="0" t="s">
        <v>130</v>
      </c>
      <c r="C17" s="4" t="n">
        <f aca="false">-C6*Assumptions!C46/100</f>
        <v>-82.32624</v>
      </c>
      <c r="D17" s="4" t="n">
        <f aca="false">-D6*Assumptions!D46/100</f>
        <v>-83.9727648</v>
      </c>
      <c r="E17" s="4" t="n">
        <f aca="false">-E6*Assumptions!E46/100</f>
        <v>-81.593536464</v>
      </c>
      <c r="F17" s="4" t="n">
        <f aca="false">-F6*Assumptions!F46/100</f>
        <v>-86.48914865184</v>
      </c>
      <c r="G17" s="4" t="n">
        <f aca="false">-G6*Assumptions!G46/100</f>
        <v>-91.2460518276912</v>
      </c>
      <c r="H17" s="4" t="n">
        <f aca="false">-H6*Assumptions!H46/100</f>
        <v>-95.8083544190758</v>
      </c>
      <c r="I17" s="4" t="n">
        <f aca="false">-I6*Assumptions!I46/100</f>
        <v>-100.59877214003</v>
      </c>
      <c r="J17" s="4" t="n">
        <f aca="false">-J6*Assumptions!J46/100</f>
        <v>-105.125716886331</v>
      </c>
      <c r="K17" s="4" t="n">
        <f aca="false">-K6*Assumptions!K46/100</f>
        <v>-109.330745561784</v>
      </c>
      <c r="L17" s="4" t="n">
        <f aca="false">-L6*Assumptions!L46/100</f>
        <v>-113.157321656447</v>
      </c>
    </row>
    <row r="18" customFormat="false" ht="15" hidden="false" customHeight="false" outlineLevel="0" collapsed="false">
      <c r="A18" s="0" t="s">
        <v>131</v>
      </c>
      <c r="C18" s="4" t="n">
        <f aca="false">(C6-B6)*Assumptions!$B$51/100</f>
        <v>-67.4016</v>
      </c>
      <c r="D18" s="4" t="n">
        <f aca="false">(D6-C6)*Assumptions!$B$51/100</f>
        <v>-10.976832</v>
      </c>
      <c r="E18" s="4" t="n">
        <f aca="false">(E6-D6)*Assumptions!$B$51/100</f>
        <v>-33.58910592</v>
      </c>
      <c r="F18" s="4" t="n">
        <f aca="false">(F6-E6)*Assumptions!$B$51/100</f>
        <v>-35.6044522752</v>
      </c>
      <c r="G18" s="4" t="n">
        <f aca="false">(G6-F6)*Assumptions!$B$51/100</f>
        <v>-34.5956594607359</v>
      </c>
      <c r="H18" s="4" t="n">
        <f aca="false">(H6-G6)*Assumptions!$B$51/100</f>
        <v>-33.1803824827969</v>
      </c>
      <c r="I18" s="4" t="n">
        <f aca="false">(I6-H6)*Assumptions!$B$51/100</f>
        <v>-34.8394016069367</v>
      </c>
      <c r="J18" s="4" t="n">
        <f aca="false">(J6-I6)*Assumptions!$B$51/100</f>
        <v>-32.9232345185551</v>
      </c>
      <c r="K18" s="4" t="n">
        <f aca="false">(K6-J6)*Assumptions!$B$51/100</f>
        <v>-30.5820267305691</v>
      </c>
      <c r="L18" s="4" t="n">
        <f aca="false">(L6-K6)*Assumptions!$B$51/100</f>
        <v>-27.8296443248178</v>
      </c>
    </row>
    <row r="19" customFormat="false" ht="15" hidden="false" customHeight="false" outlineLevel="0" collapsed="false">
      <c r="A19" s="0" t="s">
        <v>132</v>
      </c>
      <c r="C19" s="0" t="n">
        <f aca="false">C15+C16+C17+C18</f>
        <v>953.10075</v>
      </c>
      <c r="D19" s="0" t="n">
        <f aca="false">D15+D16+D17+D18</f>
        <v>1029.935565</v>
      </c>
      <c r="E19" s="0" t="n">
        <f aca="false">E15+E16+E17+E18</f>
        <v>1099.448411796</v>
      </c>
      <c r="F19" s="0" t="n">
        <f aca="false">F15+F16+F17+F18</f>
        <v>1189.00326613608</v>
      </c>
      <c r="G19" s="0" t="n">
        <f aca="false">G15+G16+G17+G18</f>
        <v>1282.25077032526</v>
      </c>
      <c r="H19" s="0" t="n">
        <f aca="false">H15+H16+H17+H18</f>
        <v>1362.5731443951</v>
      </c>
      <c r="I19" s="0" t="n">
        <f aca="false">I15+I16+I17+I18</f>
        <v>1430.70180161486</v>
      </c>
      <c r="J19" s="0" t="n">
        <f aca="false">J15+J16+J17+J18</f>
        <v>1498.56732284822</v>
      </c>
      <c r="K19" s="0" t="n">
        <f aca="false">K15+K16+K17+K18</f>
        <v>1562.16815293088</v>
      </c>
      <c r="L19" s="0" t="n">
        <f aca="false">L15+L16+L17+L18</f>
        <v>1620.66679162478</v>
      </c>
    </row>
    <row r="20" customFormat="false" ht="15" hidden="false" customHeight="false" outlineLevel="0" collapsed="false">
      <c r="A20" s="0" t="s">
        <v>133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134</v>
      </c>
      <c r="C21" s="0" t="n">
        <f aca="false">C19*C20</f>
        <v>874.404357798165</v>
      </c>
      <c r="D21" s="0" t="n">
        <f aca="false">D19*D20</f>
        <v>866.87615941419</v>
      </c>
      <c r="E21" s="0" t="n">
        <f aca="false">E19*E20</f>
        <v>848.975900768245</v>
      </c>
      <c r="F21" s="0" t="n">
        <f aca="false">F19*F20</f>
        <v>842.31988976966</v>
      </c>
      <c r="G21" s="0" t="n">
        <f aca="false">G19*G20</f>
        <v>833.375020739619</v>
      </c>
      <c r="H21" s="0" t="n">
        <f aca="false">H19*H20</f>
        <v>812.457846485875</v>
      </c>
      <c r="I21" s="0" t="n">
        <f aca="false">I19*I20</f>
        <v>782.642879642357</v>
      </c>
      <c r="J21" s="0" t="n">
        <f aca="false">J19*J20</f>
        <v>752.080407157016</v>
      </c>
      <c r="K21" s="0" t="n">
        <f aca="false">K19*K20</f>
        <v>719.265613885045</v>
      </c>
      <c r="L21" s="0" t="n">
        <f aca="false">L19*L20</f>
        <v>684.58716715927</v>
      </c>
    </row>
    <row r="23" customFormat="false" ht="15" hidden="false" customHeight="false" outlineLevel="0" collapsed="false">
      <c r="A23" s="0" t="s">
        <v>110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136</v>
      </c>
    </row>
    <row r="27" customFormat="false" ht="15" hidden="false" customHeight="false" outlineLevel="0" collapsed="false">
      <c r="A27" s="0" t="s">
        <v>114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116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137</v>
      </c>
      <c r="B30" s="0" t="n">
        <f aca="false">SUM(C21:L21)</f>
        <v>8016.98524281944</v>
      </c>
    </row>
    <row r="31" customFormat="false" ht="15" hidden="false" customHeight="false" outlineLevel="0" collapsed="false">
      <c r="A31" s="0" t="s">
        <v>138</v>
      </c>
      <c r="B31" s="0" t="n">
        <f aca="false">L19</f>
        <v>1620.66679162478</v>
      </c>
    </row>
    <row r="32" customFormat="false" ht="15" hidden="false" customHeight="false" outlineLevel="0" collapsed="false">
      <c r="A32" s="0" t="s">
        <v>139</v>
      </c>
      <c r="B32" s="0" t="n">
        <f aca="false">IF(B27&gt;B28,B31*(1+B28/100)/((B27-B28)/100),B31*B29)</f>
        <v>27821.4465895587</v>
      </c>
    </row>
    <row r="33" customFormat="false" ht="15" hidden="false" customHeight="false" outlineLevel="0" collapsed="false">
      <c r="A33" s="0" t="s">
        <v>140</v>
      </c>
      <c r="B33" s="0" t="n">
        <f aca="false">B31*B29</f>
        <v>29172.002249246</v>
      </c>
    </row>
    <row r="34" customFormat="false" ht="15" hidden="false" customHeight="false" outlineLevel="0" collapsed="false">
      <c r="A34" s="0" t="s">
        <v>141</v>
      </c>
      <c r="B34" s="0" t="n">
        <f aca="false">MAX(0,MIN(B32,B33))</f>
        <v>27821.4465895587</v>
      </c>
    </row>
    <row r="35" customFormat="false" ht="15" hidden="false" customHeight="false" outlineLevel="0" collapsed="false">
      <c r="A35" s="0" t="s">
        <v>142</v>
      </c>
      <c r="B35" s="0" t="n">
        <f aca="false">B34/(1+B27/100)^L4</f>
        <v>11752.0797029008</v>
      </c>
    </row>
    <row r="36" customFormat="false" ht="15" hidden="false" customHeight="false" outlineLevel="0" collapsed="false">
      <c r="A36" s="0" t="s">
        <v>143</v>
      </c>
      <c r="B36" s="0" t="n">
        <f aca="false">B30+B35</f>
        <v>19769.0649457202</v>
      </c>
    </row>
    <row r="37" customFormat="false" ht="15" hidden="false" customHeight="false" outlineLevel="0" collapsed="false">
      <c r="A37" s="0" t="s">
        <v>144</v>
      </c>
      <c r="B37" s="0" t="n">
        <f aca="false">B36+Assumptions!$B$5-Assumptions!$B$4</f>
        <v>20800.4649457202</v>
      </c>
    </row>
    <row r="38" customFormat="false" ht="15" hidden="false" customHeight="false" outlineLevel="0" collapsed="false">
      <c r="A38" s="0" t="s">
        <v>145</v>
      </c>
      <c r="B38" s="0" t="n">
        <f aca="false">B37/Assumptions!$B$3*Assumptions!$B$10</f>
        <v>159.512767988652</v>
      </c>
    </row>
    <row r="39" customFormat="false" ht="15" hidden="false" customHeight="false" outlineLevel="0" collapsed="false">
      <c r="A39" s="0" t="s">
        <v>146</v>
      </c>
      <c r="B39" s="4" t="n">
        <f aca="false">B38/Assumptions!$B$2-1</f>
        <v>-0.14908370858502</v>
      </c>
    </row>
    <row r="41" customFormat="false" ht="15" hidden="false" customHeight="false" outlineLevel="0" collapsed="false">
      <c r="A41" s="0" t="s">
        <v>147</v>
      </c>
      <c r="B41" s="0" t="n">
        <f aca="false">SUMPRODUCT(-C10:L10/(1+$B$27/100)^C4:L4)</f>
        <v>791.806505927772</v>
      </c>
    </row>
    <row r="42" customFormat="false" ht="15" hidden="false" customHeight="false" outlineLevel="0" collapsed="false">
      <c r="A42" s="0" t="s">
        <v>148</v>
      </c>
      <c r="B42" s="0" t="n">
        <f aca="false">IF(B27&gt;B28,-L10*(1+B28/100)/((B27-B28)/100),-L10*20)/(1+B27/100)^L4</f>
        <v>1118.92822303332</v>
      </c>
    </row>
    <row r="43" customFormat="false" ht="15" hidden="false" customHeight="false" outlineLevel="0" collapsed="false">
      <c r="A43" s="0" t="s">
        <v>149</v>
      </c>
      <c r="B43" s="0" t="n">
        <f aca="false">(B37+B41+B42)/Assumptions!$B$3*Assumptions!$B$10</f>
        <v>174.165641677004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150</v>
      </c>
      <c r="B46" s="0" t="n">
        <f aca="false">MAX(0,MIN(IF(B45&gt;B28,B31*(1+B28/100)/((B45-B28)/100),B31*B29),B31*B29))</f>
        <v>13910.7232947794</v>
      </c>
    </row>
    <row r="47" customFormat="false" ht="15" hidden="false" customHeight="false" outlineLevel="0" collapsed="false">
      <c r="A47" s="0" t="s">
        <v>151</v>
      </c>
      <c r="B47" s="0" t="n">
        <f aca="false">(SUMPRODUCT(C19:L19/(1+B45/100)^C4:L4)+B46/(1+B45/100)^L4+Assumptions!$B$5-Assumptions!$B$4)/Assumptions!$B$3*Assumptions!$B$10</f>
        <v>81.1287829086544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154</v>
      </c>
    </row>
    <row r="3" customFormat="false" ht="15" hidden="false" customHeight="false" outlineLevel="0" collapsed="false">
      <c r="A3" s="2" t="s">
        <v>155</v>
      </c>
      <c r="B3" s="2" t="s">
        <v>156</v>
      </c>
      <c r="C3" s="2" t="s">
        <v>146</v>
      </c>
      <c r="D3" s="2" t="s">
        <v>157</v>
      </c>
      <c r="E3" s="2" t="s">
        <v>149</v>
      </c>
      <c r="F3" s="2" t="s">
        <v>158</v>
      </c>
    </row>
    <row r="4" customFormat="false" ht="15" hidden="false" customHeight="false" outlineLevel="0" collapsed="false">
      <c r="A4" s="0" t="s">
        <v>159</v>
      </c>
      <c r="B4" s="4" t="n">
        <f aca="false">DCF_Bear!$B$38</f>
        <v>90.0049366393063</v>
      </c>
      <c r="C4" s="0" t="n">
        <f aca="false">B4/Assumptions!$B$2-1</f>
        <v>-0.519871243789041</v>
      </c>
      <c r="D4" s="4" t="n">
        <f aca="false">Assumptions!$B$24</f>
        <v>0.25</v>
      </c>
      <c r="E4" s="4" t="n">
        <f aca="false">DCF_Bear!$B$43</f>
        <v>99.7187065541659</v>
      </c>
      <c r="F4" s="4" t="n">
        <f aca="false">DCF_Bear!$B$47</f>
        <v>51.8643419734229</v>
      </c>
    </row>
    <row r="5" customFormat="false" ht="15" hidden="false" customHeight="false" outlineLevel="0" collapsed="false">
      <c r="A5" s="0" t="s">
        <v>160</v>
      </c>
      <c r="B5" s="4" t="n">
        <f aca="false">DCF_Base!$B$38</f>
        <v>125.880403671866</v>
      </c>
      <c r="C5" s="0" t="n">
        <f aca="false">B5/Assumptions!$B$2-1</f>
        <v>-0.328494592596466</v>
      </c>
      <c r="D5" s="4" t="n">
        <f aca="false">Assumptions!$B$38</f>
        <v>0.5</v>
      </c>
      <c r="E5" s="4" t="n">
        <f aca="false">DCF_Base!$B$43</f>
        <v>138.486144246538</v>
      </c>
      <c r="F5" s="4" t="n">
        <f aca="false">DCF_Base!$B$47</f>
        <v>66.6003936869686</v>
      </c>
    </row>
    <row r="6" customFormat="false" ht="15" hidden="false" customHeight="false" outlineLevel="0" collapsed="false">
      <c r="A6" s="0" t="s">
        <v>161</v>
      </c>
      <c r="B6" s="4" t="n">
        <f aca="false">DCF_Bull!$B$38</f>
        <v>159.512767988652</v>
      </c>
      <c r="C6" s="0" t="n">
        <f aca="false">B6/Assumptions!$B$2-1</f>
        <v>-0.14908370858502</v>
      </c>
      <c r="D6" s="4" t="n">
        <f aca="false">Assumptions!$B$52</f>
        <v>0.25</v>
      </c>
      <c r="E6" s="4" t="n">
        <f aca="false">DCF_Bull!$B$43</f>
        <v>174.165641677004</v>
      </c>
      <c r="F6" s="4" t="n">
        <f aca="false">DCF_Bull!$B$47</f>
        <v>81.1287829086544</v>
      </c>
    </row>
    <row r="8" customFormat="false" ht="15" hidden="false" customHeight="false" outlineLevel="0" collapsed="false">
      <c r="A8" s="0" t="s">
        <v>162</v>
      </c>
      <c r="B8" s="0" t="n">
        <f aca="false">SUMPRODUCT(B4:B6,D4:D6)</f>
        <v>125.319627992923</v>
      </c>
    </row>
    <row r="9" customFormat="false" ht="15" hidden="false" customHeight="false" outlineLevel="0" collapsed="false">
      <c r="A9" s="0" t="s">
        <v>163</v>
      </c>
      <c r="B9" s="0" t="n">
        <f aca="false">SUMPRODUCT(E4:E6,D4:D6)</f>
        <v>137.714159181062</v>
      </c>
    </row>
    <row r="10" customFormat="false" ht="15" hidden="false" customHeight="false" outlineLevel="0" collapsed="false">
      <c r="A10" s="0" t="s">
        <v>164</v>
      </c>
      <c r="B10" s="0" t="n">
        <f aca="false">1-Assumptions!$B$2/B8</f>
        <v>-0.495855062788619</v>
      </c>
    </row>
    <row r="11" customFormat="false" ht="15" hidden="false" customHeight="false" outlineLevel="0" collapsed="false">
      <c r="A11" s="0" t="s">
        <v>165</v>
      </c>
      <c r="B11" s="0" t="n">
        <f aca="false">IF(ABS(B9-B8)&gt;0.01*ABS(B8),(Assumptions!$B$2-B8)/(B9-B8)*100,"n/a")</f>
        <v>501.353145704648</v>
      </c>
    </row>
    <row r="12" customFormat="false" ht="15" hidden="false" customHeight="false" outlineLevel="0" collapsed="false">
      <c r="A12" s="0" t="s">
        <v>166</v>
      </c>
      <c r="B12" s="0" t="n">
        <f aca="false">SUMPRODUCT(F4:F6,D4:D6)</f>
        <v>66.5484780640036</v>
      </c>
    </row>
    <row r="14" customFormat="false" ht="15" hidden="false" customHeight="false" outlineLevel="0" collapsed="false">
      <c r="A14" s="2" t="s">
        <v>167</v>
      </c>
      <c r="C14" s="0" t="s">
        <v>168</v>
      </c>
    </row>
    <row r="15" customFormat="false" ht="15" hidden="false" customHeight="false" outlineLevel="0" collapsed="false">
      <c r="A15" s="0" t="s">
        <v>169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125.880403671866</v>
      </c>
      <c r="C15" s="3" t="n">
        <v>9</v>
      </c>
    </row>
    <row r="16" customFormat="false" ht="15" hidden="false" customHeight="false" outlineLevel="0" collapsed="false">
      <c r="A16" s="0" t="s">
        <v>170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109.390332639198</v>
      </c>
      <c r="C16" s="3" t="n">
        <v>10</v>
      </c>
    </row>
    <row r="17" customFormat="false" ht="15" hidden="false" customHeight="false" outlineLevel="0" collapsed="false">
      <c r="A17" s="0" t="s">
        <v>171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96.5352908320767</v>
      </c>
      <c r="C17" s="3" t="n">
        <v>11</v>
      </c>
    </row>
    <row r="18" customFormat="false" ht="15" hidden="false" customHeight="false" outlineLevel="0" collapsed="false">
      <c r="A18" s="0" t="s">
        <v>172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86.5454866321428</v>
      </c>
      <c r="C18" s="3" t="n">
        <v>12</v>
      </c>
    </row>
    <row r="19" customFormat="false" ht="15" hidden="false" customHeight="false" outlineLevel="0" collapsed="false">
      <c r="A19" s="0" t="s">
        <v>173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66.6003936869686</v>
      </c>
      <c r="C19" s="3" t="n">
        <v>15</v>
      </c>
    </row>
    <row r="21" customFormat="false" ht="15" hidden="false" customHeight="false" outlineLevel="0" collapsed="false">
      <c r="A21" s="2" t="s">
        <v>174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144.715255769094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144.715255769094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144.715255769094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144.715255769094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144.715255769094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134.856437119813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134.856437119813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134.856437119813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134.856437119813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134.856437119813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116.208942034682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120.979029448497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125.880403671866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125.880403671866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125.880403671866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102.250565986004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105.582457090828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109.390332639198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113.78403519501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117.698424744733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91.4165056271764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93.8253457236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96.5352908320767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99.6065619550169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103.11658609552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2026-09-28T07:51:57Z</dcterms:created>
  <dc:creator>openpyxl</dc:creator>
  <dc:description/>
  <dc:language>en-NZ</dc:language>
  <cp:lastModifiedBy/>
  <dcterms:modified xsi:type="dcterms:W3CDTF">2026-09-28T07:51:57Z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