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<sst xmlns="http://schemas.openxmlformats.org/spreadsheetml/2006/main" count="355" uniqueCount="165">
  <si>
    <t xml:space="preserve">Ticker</t>
  </si>
  <si>
    <t xml:space="preserve">0941.HK</t>
  </si>
  <si>
    <t xml:space="preserve">Company</t>
  </si>
  <si>
    <t xml:space="preserve">China Mobile Limited</t>
  </si>
  <si>
    <t xml:space="preserve">Valuation date</t>
  </si>
  <si>
    <t xml:space="preserve">2026-10-12</t>
  </si>
  <si>
    <t xml:space="preserve">Current price</t>
  </si>
  <si>
    <t xml:space="preserve">Price as of</t>
  </si>
  <si>
    <t xml:space="preserve">2026-10-09T08:08:06Z (HKEX regular close, Friday 9 Oct 2026; market closed at valuation time -- not an after-hours print)</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</si>
  <si>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</si>
  <si>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</si>
  <si>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</si>
  <si>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</si>
  <si>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</si>
  <si>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</si>
  <si>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</si>
  <si>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</si>
  <si>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</si>
  <si>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</si>
  <si>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</si>
  <si>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</si>
  <si>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</si>
  <si>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2026-10-11T11:51:45Z</t>
  </si>
  <si>
    <t xml:space="preserve">Drivers file</t>
  </si>
  <si>
    <t xml:space="preserve">0941.HK_Drivers.json</t>
  </si>
  <si>
    <t xml:space="preserve">Convention</t>
  </si>
  <si>
    <t xml:space="preserve">Percents stored as percents; formulas divide by 100. Blue = input, green = link, black = formula.</t>
  </si>
  <si>
    <t xml:space="preserve">Methodology</t>
  </si>
  <si>
    <t xml:space="preserve">summary: China Mobile is valued as a mature, state-controlled telecom utility with a large non-operating balance sheet: roughly RMB568bn of broad net cash and RMB170bn of associates and equity investments against a market capitalisation of ~RMB1.49trn, so about half the market value is cash and investments and the core business trades at ~7x owner FCF, ~2.6x lease-consistent EV/EBITDA and a 6.6% dividend yield. The DCF credits the cash pile in full (the company's own broad liquidity definition, as for 9999.HK) and values listed associates at market rather than book. The resulting intrinsic value above the price is mostly the market's refusal to credit cash held inside a SASAC-controlled SOE at par plus the sanctions-driven investability discount; the required-return table shows what return the current price implies instead. Risk is charged once, in the scenario weights (25/50/25) and flows, not in a stacked WACC.
key_risks_to_valuation: Trapped-cash discount: the RMB633bn broad cash (of which RMB394bn is Level-3 wealth-management products) is credited at par; a holder cannot force its distribution and the state could direct it into AIDC capex or policy investments -- every 20% haircut on net cash is ~RMB5.2/share (~HK$6); Further fiscal or tariff resets by decree (the 2026 VAT reclassification cost ~2pp of EBITDA margin in one stroke); a second such change is the bear case; Structural ARPU decline in communications (68% of revenue) outrunning computing/AI growth for longer than the base assumes; AI/computing capex arms race: FY2026 computing-network capex +62% -- if returns on AIDC lag, capex intensity does not fall to 13% and owner FCF stays near the FY2025 trough; Investability: NS-CMIC / 1260H listing bars US persons and most global mandates; the valuation gap may persist indefinitely, so the 15% hurdle entry price is the actionable number, not the IV; Associate values: SPD Bank carried RMB82bn above market; a formal impairment would hit reported profit (not cash) and could affect the 75%-of-profit dividend base; Receivables: G&amp;E accounts receivable +RMB46bn since FY2024 on flat revenue; charged at ~0.7pp of margin, but a government-payment freeze would be larger</t>
  </si>
  <si>
    <t xml:space="preserve">Data sources</t>
  </si>
  <si>
    <t xml:space="preserve">price: Yahoo Finance chart API for 0941.HK at inputs.price_as_of (HKEX regular close); 52-week range HK$75.55-88.90. FX CNYHKD=X 1.1721 (Yahoo, 2026-10-08). Associate marks: 600000.SS and 0788.HK closes 2026-10-09 vs 2025-12-31.
financials: 0941.HK_Metrics.csv (core_metrics, RMB millions) FY2018-FY2025 + H1 FY2023-H1 FY2026; FY2025 Annual Report (balance sheet p.82-83, cash flow p.85-87, notes 9, 10, 17(a), 21, 25, 38, 41, financial risk p.165); 2026 Interim Report (balance sheet p.14-15, cash flow p.18-19, notes 4 (VAT), 11(b), 12, 20(a)).
qualitative: 0941.HK_Analysis.json (2026-10-12): segment mix, ARPU trend, VAT reclassification, capex guidance RMB136.6bn, payout policy, NS-CMIC/1260H status, leadership changes.</t>
  </si>
  <si>
    <t xml:space="preserve">Scenario narrative: bear</t>
  </si>
  <si>
    <t xml:space="preserve">ARPU decline accelerates (communications revenue -5.7% in H1 2026 is the run-rate, not a VAT artefact), a second fiscal squeeze follows the VAT change (the state uses the operators as a tax base), and the AI/computing pivot turns into a capex arms race against Alibaba/Tencent/Huawei Cloud with thin returns -- capex stays at 14% of revenue while EBITDA margin compresses to 27%. Leadership churn (Chairman, CEO and an ED gone within six months) slows execution. Terminal growth 1%, cap 12x -- closer to where the stock has actually traded. Even here the balance sheet is RMB568bn net cash, so the downside is an income-stock de-rating, not solvency.</t>
  </si>
  <si>
    <t xml:space="preserve">Scenario narrative: base</t>
  </si>
  <si>
    <t xml:space="preserve">The core communications business (68% of revenue) keeps shrinking 1-2%/yr as mobile ARPU erodes (RMB46.8, -3.5% FY2025; MOU -8.1%) and MIIT keeps tariffs capped, while computing (RMB89.8bn, AIDC +35%) and AI services (~RMB91bn) grow double digits and lift group revenue back to ~2% by FY2028. The January-2026 VAT reclassification (6% -&gt; 9% on data/SMS/broadband) permanently resets the revenue and EBITDA level in year 1 and is never recovered. Capex follows guidance down to ~RMB137bn and stays ~13% of revenue as communications capex falls and computing/AI capex rises; the 75% payout (RMB103bn FY2025) is roughly all of owner FCF, so the RMB630bn+ broad cash pile is neither drawn nor grown. Associates are valued at market, not book, which strips ~RMB82bn of SPD Bank carrying value.</t>
  </si>
  <si>
    <t xml:space="preserve">Scenario narrative: bull</t>
  </si>
  <si>
    <t xml:space="preserve">Computing/AI scales faster than the base: AIDC and token-as-a-service demand make China Mobile the state-preferred AI-infrastructure utility, computing+AI pass 30% of principal revenue by FY2030, G&amp;E revenue (RMB240bn, +6%) compounds, and the HKBN/international businesses add +30%/yr off a small base. Group growth reaches 4% in FY2028-30 with EBITDA margin recovering to 31% as 5G depreciation rolls off faster than the mix dilutes it; capex intensity falls to 12.5% as the communications network reaches steady state. Terminal cap 16x still sits well below global telecom-plus-cloud peers; no US-sanctions relief is assumed.</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</si>
  <si>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</si>
  <si>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</si>
  <si>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</si>
  <si>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</si>
  <si>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</si>
  <si>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</si>
  <si>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</si>
  <si>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</si>
  <si>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</si>
  <si>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</si>
  <si>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</si>
  <si>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</si>
  <si>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</si>
  <si>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</si>
  <si>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</si>
  <si>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</si>
  <si>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</si>
  <si>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</si>
  <si>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</si>
  <si>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</si>
  <si>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</si>
  <si>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</si>
  <si>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</si>
  <si>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</si>
  <si>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</si>
  <si>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</si>
  <si>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</si>
  <si>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EPSBasic</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</si>
  <si>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</si>
  <si>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</si>
  <si>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</si>
  <si>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</si>
  <si>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</si>
  <si>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</si>
  <si>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</si>
  <si>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</si>
  <si>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</si>
  <si>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</si>
  <si>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</si>
  <si>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</si>
  <si>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</si>
  <si>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</si>
  <si>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</si>
  <si>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</si>
  <si>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</si>
  <si>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</si>
  <si>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</si>
  <si>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</si>
  <si>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</si>
  <si>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</si>
  <si>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</si>
  <si>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</si>
  <si>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</si>
  <si>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</si>
  <si>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</si>
  <si>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</si>
  <si>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</si>
  <si>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</si>
  <si>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</si>
  <si>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</si>
  <si>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</si>
  <si>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</si>
  <si>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</si>
  <si>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</si>
  <si>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</si>
  <si>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</si>
  <si>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</si>
  <si>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</si>
  <si>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</si>
  <si>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</si>
  <si>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</si>
  <si>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</si>
  <si>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</si>
  <si>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0941.HK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</si>
  <si>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</si>
  <si>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</si>
  <si>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</si>
  <si>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</si>
  <si>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</si>
  <si>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</si>
  <si>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</si>
  <si>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</si>
  <si>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</si>
  <si>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</si>
  <si>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</si>
  <si>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</si>
  <si>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</si>
  <si>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</si>
  <si>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</si>
  <si>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</si>
  <si>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</si>
  <si>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</si>
  <si>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</si>
  <si>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</si>
  <si>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</si>
  <si>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</si>
  <si>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</si>
  <si>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</si>
  <si>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</si>
  <si>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</si>
  <si>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</si>
  <si>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</si>
  <si>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</si>
  <si>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</si>
  <si>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0941.HK owner-FCF component DCF: base case (millions, CNY)</t>
  </si>
  <si>
    <t xml:space="preserve">0941.HK owner-FCF component DCF: bull case (millions, CNY)</t>
  </si>
  <si>
    <t xml:space="preserve">0941.HK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</si>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</sst>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80.1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736819</v>
      </c>
      <c r="F2" s="0" t="n">
        <v>121387</v>
      </c>
      <c r="G2" s="0" t="n">
        <v>16.5</v>
      </c>
      <c r="H2" s="0" t="n">
        <v>275541</v>
      </c>
      <c r="I2" s="0" t="n">
        <v>117781</v>
      </c>
      <c r="J2" s="0" t="n">
        <v>16</v>
      </c>
      <c r="K2" s="0" t="n">
        <v>5.75</v>
      </c>
      <c r="L2" s="0" t="n">
        <v>206151</v>
      </c>
      <c r="M2" s="0" t="n">
        <v>192395</v>
      </c>
      <c r="N2" s="0" t="n">
        <v>13756</v>
      </c>
      <c r="O2" s="0" t="n">
        <v>1052405</v>
      </c>
      <c r="P2" s="0" t="n">
        <v>1535910</v>
      </c>
      <c r="Q2" s="0" t="n">
        <v>480101</v>
      </c>
      <c r="R2" s="0" t="n">
        <v>0</v>
      </c>
      <c r="S2" s="0" t="n">
        <v>57302</v>
      </c>
      <c r="T2" s="0" t="n">
        <v>20484</v>
      </c>
      <c r="U2" s="0" t="n">
        <v>0</v>
      </c>
      <c r="AA2" s="0" t="s">
        <v>18</v>
      </c>
      <c r="AB2" s="0" t="s">
        <v>14</v>
      </c>
      <c r="AC2" s="0" t="n">
        <v>5.75</v>
      </c>
    </row>
    <row r="3" customFormat="false" ht="15" hidden="false" customHeight="false" outlineLevel="0" collapsed="false">
      <c r="A3" s="0" t="s">
        <v>66</v>
      </c>
      <c r="B3" s="0" t="n">
        <v>745917</v>
      </c>
      <c r="F3" s="0" t="n">
        <v>113149</v>
      </c>
      <c r="G3" s="0" t="n">
        <v>15.2</v>
      </c>
      <c r="H3" s="0" t="n">
        <v>295967</v>
      </c>
      <c r="I3" s="0" t="n">
        <v>106641</v>
      </c>
      <c r="J3" s="0" t="n">
        <v>14.3</v>
      </c>
      <c r="K3" s="0" t="n">
        <v>5.18</v>
      </c>
      <c r="L3" s="0" t="n">
        <v>247591</v>
      </c>
      <c r="M3" s="0" t="n">
        <v>202365</v>
      </c>
      <c r="N3" s="0" t="n">
        <v>45226</v>
      </c>
      <c r="O3" s="0" t="n">
        <v>1103773</v>
      </c>
      <c r="P3" s="0" t="n">
        <v>1629240</v>
      </c>
      <c r="Q3" s="0" t="n">
        <v>521951</v>
      </c>
      <c r="R3" s="0" t="n">
        <v>0</v>
      </c>
      <c r="S3" s="0" t="n">
        <v>175933</v>
      </c>
      <c r="T3" s="0" t="n">
        <v>20587</v>
      </c>
      <c r="U3" s="0" t="n">
        <v>0</v>
      </c>
      <c r="AA3" s="0" t="s">
        <v>18</v>
      </c>
      <c r="AB3" s="0" t="s">
        <v>14</v>
      </c>
      <c r="AC3" s="0" t="n">
        <v>5.21</v>
      </c>
    </row>
    <row r="4" customFormat="false" ht="15" hidden="false" customHeight="false" outlineLevel="0" collapsed="false">
      <c r="A4" s="0" t="s">
        <v>67</v>
      </c>
      <c r="B4" s="0" t="n">
        <v>768070</v>
      </c>
      <c r="F4" s="0" t="n">
        <v>112734</v>
      </c>
      <c r="G4" s="0" t="n">
        <v>14.7</v>
      </c>
      <c r="H4" s="0" t="n">
        <v>285135</v>
      </c>
      <c r="I4" s="0" t="n">
        <v>107843</v>
      </c>
      <c r="J4" s="0" t="n">
        <v>14</v>
      </c>
      <c r="K4" s="0" t="n">
        <v>5.27</v>
      </c>
      <c r="L4" s="0" t="n">
        <v>307761</v>
      </c>
      <c r="M4" s="0" t="n">
        <v>189577</v>
      </c>
      <c r="N4" s="0" t="n">
        <v>118184</v>
      </c>
      <c r="O4" s="0" t="n">
        <v>1148916</v>
      </c>
      <c r="P4" s="0" t="n">
        <v>1727882</v>
      </c>
      <c r="Q4" s="0" t="n">
        <v>575110</v>
      </c>
      <c r="R4" s="0" t="n">
        <v>0</v>
      </c>
      <c r="S4" s="0" t="n">
        <v>212729</v>
      </c>
      <c r="T4" s="0" t="n">
        <v>20464</v>
      </c>
      <c r="U4" s="0" t="n">
        <v>232</v>
      </c>
      <c r="AA4" s="0" t="s">
        <v>18</v>
      </c>
      <c r="AB4" s="0" t="s">
        <v>14</v>
      </c>
      <c r="AC4" s="0" t="n">
        <v>5.27</v>
      </c>
    </row>
    <row r="5" customFormat="false" ht="15" hidden="false" customHeight="false" outlineLevel="0" collapsed="false">
      <c r="A5" s="0" t="s">
        <v>68</v>
      </c>
      <c r="B5" s="0" t="n">
        <v>848258</v>
      </c>
      <c r="F5" s="0" t="n">
        <v>117963</v>
      </c>
      <c r="G5" s="0" t="n">
        <v>13.9</v>
      </c>
      <c r="H5" s="0" t="n">
        <v>311008</v>
      </c>
      <c r="I5" s="0" t="n">
        <v>116148</v>
      </c>
      <c r="J5" s="0" t="n">
        <v>13.7</v>
      </c>
      <c r="K5" s="0" t="n">
        <v>5.67</v>
      </c>
      <c r="L5" s="0" t="n">
        <v>314764</v>
      </c>
      <c r="M5" s="0" t="n">
        <v>202673</v>
      </c>
      <c r="N5" s="0" t="n">
        <v>112091</v>
      </c>
      <c r="O5" s="0" t="n">
        <v>1206350</v>
      </c>
      <c r="P5" s="0" t="n">
        <v>1841327</v>
      </c>
      <c r="Q5" s="0" t="n">
        <v>631035</v>
      </c>
      <c r="R5" s="0" t="n">
        <v>0</v>
      </c>
      <c r="S5" s="0" t="n">
        <v>243943</v>
      </c>
      <c r="T5" s="0" t="n">
        <v>20485</v>
      </c>
      <c r="U5" s="0" t="n">
        <v>413</v>
      </c>
      <c r="AA5" s="0" t="s">
        <v>18</v>
      </c>
      <c r="AB5" s="0" t="s">
        <v>14</v>
      </c>
      <c r="AC5" s="0" t="n">
        <v>5.67</v>
      </c>
    </row>
    <row r="6" customFormat="false" ht="15" hidden="false" customHeight="false" outlineLevel="0" collapsed="false">
      <c r="A6" s="0" t="s">
        <v>69</v>
      </c>
      <c r="B6" s="0" t="n">
        <v>937259</v>
      </c>
      <c r="F6" s="0" t="n">
        <v>129099</v>
      </c>
      <c r="G6" s="0" t="n">
        <v>13.8</v>
      </c>
      <c r="H6" s="0" t="n">
        <v>329176</v>
      </c>
      <c r="I6" s="0" t="n">
        <v>125459</v>
      </c>
      <c r="J6" s="0" t="n">
        <v>13.4</v>
      </c>
      <c r="K6" s="0" t="n">
        <v>5.88</v>
      </c>
      <c r="L6" s="0" t="n">
        <v>280750</v>
      </c>
      <c r="M6" s="0" t="n">
        <v>189588</v>
      </c>
      <c r="N6" s="0" t="n">
        <v>91162</v>
      </c>
      <c r="O6" s="0" t="n">
        <v>1297348</v>
      </c>
      <c r="P6" s="0" t="n">
        <v>1935538</v>
      </c>
      <c r="Q6" s="0" t="n">
        <v>634115</v>
      </c>
      <c r="R6" s="0" t="n">
        <v>0</v>
      </c>
      <c r="S6" s="0" t="n">
        <v>167106</v>
      </c>
      <c r="T6" s="0" t="n">
        <v>21337</v>
      </c>
      <c r="U6" s="0" t="n">
        <v>411</v>
      </c>
      <c r="AA6" s="0" t="s">
        <v>18</v>
      </c>
      <c r="AB6" s="0" t="s">
        <v>14</v>
      </c>
      <c r="AC6" s="0" t="n">
        <v>5.88</v>
      </c>
    </row>
    <row r="7" customFormat="false" ht="15" hidden="false" customHeight="false" outlineLevel="0" collapsed="false">
      <c r="A7" s="0" t="s">
        <v>70</v>
      </c>
      <c r="B7" s="0" t="n">
        <v>1009309</v>
      </c>
      <c r="F7" s="0" t="n">
        <v>134346</v>
      </c>
      <c r="G7" s="0" t="n">
        <v>13.3</v>
      </c>
      <c r="H7" s="0" t="n">
        <v>341478</v>
      </c>
      <c r="I7" s="0" t="n">
        <v>131766</v>
      </c>
      <c r="J7" s="0" t="n">
        <v>13.1</v>
      </c>
      <c r="K7" s="0" t="n">
        <v>6.15</v>
      </c>
      <c r="L7" s="0" t="n">
        <v>303780</v>
      </c>
      <c r="M7" s="0" t="n">
        <v>181263</v>
      </c>
      <c r="N7" s="0" t="n">
        <v>122517</v>
      </c>
      <c r="O7" s="0" t="n">
        <v>1341732</v>
      </c>
      <c r="P7" s="0" t="n">
        <v>1992657</v>
      </c>
      <c r="Q7" s="0" t="n">
        <v>646672</v>
      </c>
      <c r="R7" s="0" t="n">
        <v>0</v>
      </c>
      <c r="S7" s="0" t="n">
        <v>141559</v>
      </c>
      <c r="T7" s="0" t="n">
        <v>21408.8</v>
      </c>
      <c r="U7" s="0" t="n">
        <v>717</v>
      </c>
      <c r="AA7" s="0" t="s">
        <v>18</v>
      </c>
      <c r="AB7" s="0" t="s">
        <v>14</v>
      </c>
      <c r="AC7" s="0" t="n">
        <v>6.16</v>
      </c>
    </row>
    <row r="8" customFormat="false" ht="15" hidden="false" customHeight="false" outlineLevel="0" collapsed="false">
      <c r="A8" s="0" t="s">
        <v>71</v>
      </c>
      <c r="B8" s="0" t="n">
        <v>1040759</v>
      </c>
      <c r="F8" s="0" t="n">
        <v>142590</v>
      </c>
      <c r="G8" s="0" t="n">
        <v>13.7</v>
      </c>
      <c r="H8" s="0" t="n">
        <v>333691</v>
      </c>
      <c r="I8" s="0" t="n">
        <v>138373</v>
      </c>
      <c r="J8" s="0" t="n">
        <v>13.3</v>
      </c>
      <c r="K8" s="0" t="n">
        <v>6.42</v>
      </c>
      <c r="L8" s="0" t="n">
        <v>315741</v>
      </c>
      <c r="M8" s="0" t="n">
        <v>155979</v>
      </c>
      <c r="N8" s="0" t="n">
        <v>159762</v>
      </c>
      <c r="O8" s="0" t="n">
        <v>1392032</v>
      </c>
      <c r="P8" s="0" t="n">
        <v>2108127</v>
      </c>
      <c r="Q8" s="0" t="n">
        <v>711588</v>
      </c>
      <c r="R8" s="0" t="n">
        <v>0</v>
      </c>
      <c r="S8" s="0" t="n">
        <v>167309</v>
      </c>
      <c r="T8" s="0" t="n">
        <v>21542.8</v>
      </c>
      <c r="U8" s="0" t="n">
        <v>489</v>
      </c>
      <c r="AA8" s="0" t="s">
        <v>18</v>
      </c>
      <c r="AB8" s="0" t="s">
        <v>14</v>
      </c>
      <c r="AC8" s="0" t="n">
        <v>6.45</v>
      </c>
    </row>
    <row r="9" customFormat="false" ht="15" hidden="false" customHeight="false" outlineLevel="0" collapsed="false">
      <c r="A9" s="0" t="s">
        <v>72</v>
      </c>
      <c r="B9" s="0" t="n">
        <v>1050187</v>
      </c>
      <c r="F9" s="0" t="n">
        <v>148932</v>
      </c>
      <c r="G9" s="0" t="n">
        <v>14.2</v>
      </c>
      <c r="H9" s="0" t="n">
        <v>338931</v>
      </c>
      <c r="I9" s="0" t="n">
        <v>137095</v>
      </c>
      <c r="J9" s="0" t="n">
        <v>13.1</v>
      </c>
      <c r="K9" s="0" t="n">
        <v>6.3</v>
      </c>
      <c r="L9" s="0" t="n">
        <v>232919</v>
      </c>
      <c r="M9" s="0" t="n">
        <v>156951</v>
      </c>
      <c r="N9" s="0" t="n">
        <v>75968</v>
      </c>
      <c r="O9" s="0" t="n">
        <v>1428475</v>
      </c>
      <c r="P9" s="0" t="n">
        <v>2128182</v>
      </c>
      <c r="Q9" s="0" t="n">
        <v>695331</v>
      </c>
      <c r="R9" s="0" t="n">
        <v>9748</v>
      </c>
      <c r="S9" s="0" t="n">
        <v>97267</v>
      </c>
      <c r="T9" s="0" t="n">
        <v>21751.9</v>
      </c>
      <c r="U9" s="0" t="n">
        <v>200</v>
      </c>
      <c r="AA9" s="0" t="s">
        <v>18</v>
      </c>
      <c r="AB9" s="0" t="s">
        <v>14</v>
      </c>
      <c r="AC9" s="0" t="n">
        <v>6.35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73</v>
      </c>
      <c r="B1" s="2" t="s">
        <v>74</v>
      </c>
    </row>
    <row r="2" customFormat="false" ht="15" hidden="false" customHeight="false" outlineLevel="0" collapsed="false">
      <c r="A2" s="0" t="s">
        <v>75</v>
      </c>
      <c r="B2" s="3" t="n">
        <v>80.1</v>
      </c>
    </row>
    <row r="3" customFormat="false" ht="15" hidden="false" customHeight="false" outlineLevel="0" collapsed="false">
      <c r="A3" s="0" t="s">
        <v>76</v>
      </c>
      <c r="B3" s="3" t="n">
        <v>21781</v>
      </c>
    </row>
    <row r="4" customFormat="false" ht="15" hidden="false" customHeight="false" outlineLevel="0" collapsed="false">
      <c r="A4" s="0" t="s">
        <v>77</v>
      </c>
      <c r="B4" s="3" t="n">
        <v>-567617</v>
      </c>
    </row>
    <row r="5" customFormat="false" ht="15" hidden="false" customHeight="false" outlineLevel="0" collapsed="false">
      <c r="A5" s="0" t="s">
        <v>78</v>
      </c>
      <c r="B5" s="3" t="n">
        <v>165550</v>
      </c>
    </row>
    <row r="6" customFormat="false" ht="15" hidden="false" customHeight="false" outlineLevel="0" collapsed="false">
      <c r="A6" s="0" t="s">
        <v>79</v>
      </c>
      <c r="B6" s="3" t="n">
        <v>15</v>
      </c>
    </row>
    <row r="7" customFormat="false" ht="15" hidden="false" customHeight="false" outlineLevel="0" collapsed="false">
      <c r="A7" s="0" t="s">
        <v>80</v>
      </c>
      <c r="B7" s="3" t="n">
        <v>1050187</v>
      </c>
    </row>
    <row r="8" customFormat="false" ht="15" hidden="false" customHeight="false" outlineLevel="0" collapsed="false">
      <c r="A8" s="0" t="s">
        <v>81</v>
      </c>
      <c r="B8" s="3" t="s">
        <v>72</v>
      </c>
    </row>
    <row r="9" customFormat="false" ht="15" hidden="false" customHeight="false" outlineLevel="0" collapsed="false">
      <c r="A9" s="0" t="s">
        <v>82</v>
      </c>
      <c r="B9" s="3" t="s">
        <v>83</v>
      </c>
    </row>
    <row r="10" customFormat="false" ht="15" hidden="false" customHeight="false" outlineLevel="0" collapsed="false">
      <c r="A10" s="0" t="s">
        <v>84</v>
      </c>
      <c r="B10" s="3" t="n">
        <v>1.1721</v>
      </c>
    </row>
    <row r="12" customFormat="false" ht="15" hidden="false" customHeight="false" outlineLevel="0" collapsed="false">
      <c r="A12" s="2" t="s">
        <v>85</v>
      </c>
      <c r="C12" s="2" t="s">
        <v>86</v>
      </c>
      <c r="D12" s="2" t="s">
        <v>87</v>
      </c>
      <c r="E12" s="2" t="s">
        <v>88</v>
      </c>
      <c r="F12" s="2" t="s">
        <v>89</v>
      </c>
      <c r="G12" s="2" t="s">
        <v>90</v>
      </c>
      <c r="H12" s="2" t="s">
        <v>91</v>
      </c>
      <c r="I12" s="2" t="s">
        <v>92</v>
      </c>
      <c r="J12" s="2" t="s">
        <v>93</v>
      </c>
      <c r="K12" s="2" t="s">
        <v>94</v>
      </c>
      <c r="L12" s="2" t="s">
        <v>95</v>
      </c>
    </row>
    <row r="13" customFormat="false" ht="15" hidden="false" customHeight="false" outlineLevel="0" collapsed="false">
      <c r="A13" s="0" t="s">
        <v>96</v>
      </c>
      <c r="C13" s="3" t="n">
        <v>-2.5</v>
      </c>
      <c r="D13" s="3" t="n">
        <v>-1</v>
      </c>
      <c r="E13" s="3" t="n">
        <v>0</v>
      </c>
      <c r="F13" s="3" t="n">
        <v>0.5</v>
      </c>
      <c r="G13" s="3" t="n">
        <v>0.5</v>
      </c>
      <c r="H13" s="3" t="n">
        <v>0.5</v>
      </c>
      <c r="I13" s="3" t="n">
        <v>0.5</v>
      </c>
      <c r="J13" s="3" t="n">
        <v>0.5</v>
      </c>
      <c r="K13" s="3" t="n">
        <v>0.5</v>
      </c>
      <c r="L13" s="3" t="n">
        <v>0.5</v>
      </c>
    </row>
    <row r="14" customFormat="false" ht="15" hidden="false" customHeight="false" outlineLevel="0" collapsed="false">
      <c r="A14" s="0" t="s">
        <v>97</v>
      </c>
      <c r="C14" s="3" t="n">
        <v>29.3</v>
      </c>
      <c r="D14" s="3" t="n">
        <v>28.6</v>
      </c>
      <c r="E14" s="3" t="n">
        <v>28.1</v>
      </c>
      <c r="F14" s="3" t="n">
        <v>27.7</v>
      </c>
      <c r="G14" s="3" t="n">
        <v>27.4</v>
      </c>
      <c r="H14" s="3" t="n">
        <v>27.2</v>
      </c>
      <c r="I14" s="3" t="n">
        <v>27</v>
      </c>
      <c r="J14" s="3" t="n">
        <v>27</v>
      </c>
      <c r="K14" s="3" t="n">
        <v>27</v>
      </c>
      <c r="L14" s="3" t="n">
        <v>27</v>
      </c>
    </row>
    <row r="15" customFormat="false" ht="15" hidden="false" customHeight="false" outlineLevel="0" collapsed="false">
      <c r="A15" s="0" t="s">
        <v>98</v>
      </c>
      <c r="C15" s="3" t="n">
        <v>0.02</v>
      </c>
      <c r="D15" s="3" t="n">
        <v>0.02</v>
      </c>
      <c r="E15" s="3" t="n">
        <v>0.02</v>
      </c>
      <c r="F15" s="3" t="n">
        <v>0.02</v>
      </c>
      <c r="G15" s="3" t="n">
        <v>0.02</v>
      </c>
      <c r="H15" s="3" t="n">
        <v>0.02</v>
      </c>
      <c r="I15" s="3" t="n">
        <v>0.02</v>
      </c>
      <c r="J15" s="3" t="n">
        <v>0.02</v>
      </c>
      <c r="K15" s="3" t="n">
        <v>0.02</v>
      </c>
      <c r="L15" s="3" t="n">
        <v>0.02</v>
      </c>
    </row>
    <row r="16" customFormat="false" ht="15" hidden="false" customHeight="false" outlineLevel="0" collapsed="false">
      <c r="A16" s="0" t="s">
        <v>99</v>
      </c>
      <c r="C16" s="3" t="n">
        <v>3.1</v>
      </c>
      <c r="D16" s="3" t="n">
        <v>3.1</v>
      </c>
      <c r="E16" s="3" t="n">
        <v>3.1</v>
      </c>
      <c r="F16" s="3" t="n">
        <v>3.1</v>
      </c>
      <c r="G16" s="3" t="n">
        <v>3.1</v>
      </c>
      <c r="H16" s="3" t="n">
        <v>3.1</v>
      </c>
      <c r="I16" s="3" t="n">
        <v>3.1</v>
      </c>
      <c r="J16" s="3" t="n">
        <v>3.1</v>
      </c>
      <c r="K16" s="3" t="n">
        <v>3.1</v>
      </c>
      <c r="L16" s="3" t="n">
        <v>3.1</v>
      </c>
    </row>
    <row r="17" customFormat="false" ht="15" hidden="false" customHeight="false" outlineLevel="0" collapsed="false">
      <c r="A17" s="0" t="s">
        <v>100</v>
      </c>
      <c r="C17" s="3" t="n">
        <v>15</v>
      </c>
      <c r="D17" s="3" t="n">
        <v>14.9</v>
      </c>
      <c r="E17" s="3" t="n">
        <v>14.8</v>
      </c>
      <c r="F17" s="3" t="n">
        <v>14.7</v>
      </c>
      <c r="G17" s="3" t="n">
        <v>14.6</v>
      </c>
      <c r="H17" s="3" t="n">
        <v>14.5</v>
      </c>
      <c r="I17" s="3" t="n">
        <v>14.4</v>
      </c>
      <c r="J17" s="3" t="n">
        <v>14.3</v>
      </c>
      <c r="K17" s="3" t="n">
        <v>14.2</v>
      </c>
      <c r="L17" s="3" t="n">
        <v>14.1</v>
      </c>
    </row>
    <row r="18" customFormat="false" ht="15" hidden="false" customHeight="false" outlineLevel="0" collapsed="false">
      <c r="A18" s="0" t="s">
        <v>101</v>
      </c>
      <c r="C18" s="3" t="n">
        <v>14</v>
      </c>
      <c r="D18" s="3" t="n">
        <v>14</v>
      </c>
      <c r="E18" s="3" t="n">
        <v>14</v>
      </c>
      <c r="F18" s="3" t="n">
        <v>14</v>
      </c>
      <c r="G18" s="3" t="n">
        <v>14</v>
      </c>
      <c r="H18" s="3" t="n">
        <v>14</v>
      </c>
      <c r="I18" s="3" t="n">
        <v>14</v>
      </c>
      <c r="J18" s="3" t="n">
        <v>14</v>
      </c>
      <c r="K18" s="3" t="n">
        <v>14</v>
      </c>
      <c r="L18" s="3" t="n">
        <v>14</v>
      </c>
    </row>
    <row r="19" customFormat="false" ht="15" hidden="false" customHeight="false" outlineLevel="0" collapsed="false">
      <c r="A19" s="0" t="s">
        <v>102</v>
      </c>
      <c r="C19" s="3" t="n">
        <v>27</v>
      </c>
      <c r="D19" s="3" t="n">
        <v>27</v>
      </c>
      <c r="E19" s="3" t="n">
        <v>27</v>
      </c>
      <c r="F19" s="3" t="n">
        <v>27</v>
      </c>
      <c r="G19" s="3" t="n">
        <v>27</v>
      </c>
      <c r="H19" s="3" t="n">
        <v>27</v>
      </c>
      <c r="I19" s="3" t="n">
        <v>27</v>
      </c>
      <c r="J19" s="3" t="n">
        <v>27</v>
      </c>
      <c r="K19" s="3" t="n">
        <v>27</v>
      </c>
      <c r="L19" s="3" t="n">
        <v>27</v>
      </c>
    </row>
    <row r="20" customFormat="false" ht="15" hidden="false" customHeight="false" outlineLevel="0" collapsed="false">
      <c r="A20" s="0" t="s">
        <v>103</v>
      </c>
      <c r="B20" s="3" t="n">
        <v>8</v>
      </c>
    </row>
    <row r="21" customFormat="false" ht="15" hidden="false" customHeight="false" outlineLevel="0" collapsed="false">
      <c r="A21" s="0" t="s">
        <v>104</v>
      </c>
      <c r="B21" s="3" t="n">
        <v>1</v>
      </c>
    </row>
    <row r="22" customFormat="false" ht="15" hidden="false" customHeight="false" outlineLevel="0" collapsed="false">
      <c r="A22" s="0" t="s">
        <v>105</v>
      </c>
      <c r="B22" s="3" t="n">
        <v>12</v>
      </c>
    </row>
    <row r="23" customFormat="false" ht="15" hidden="false" customHeight="false" outlineLevel="0" collapsed="false">
      <c r="A23" s="0" t="s">
        <v>106</v>
      </c>
      <c r="B23" s="3" t="n">
        <v>-20</v>
      </c>
    </row>
    <row r="24" customFormat="false" ht="15" hidden="false" customHeight="false" outlineLevel="0" collapsed="false">
      <c r="A24" s="0" t="s">
        <v>107</v>
      </c>
      <c r="B24" s="3" t="n">
        <v>0.25</v>
      </c>
    </row>
    <row r="26" customFormat="false" ht="15" hidden="false" customHeight="false" outlineLevel="0" collapsed="false">
      <c r="A26" s="2" t="s">
        <v>108</v>
      </c>
      <c r="C26" s="2" t="s">
        <v>86</v>
      </c>
      <c r="D26" s="2" t="s">
        <v>87</v>
      </c>
      <c r="E26" s="2" t="s">
        <v>88</v>
      </c>
      <c r="F26" s="2" t="s">
        <v>89</v>
      </c>
      <c r="G26" s="2" t="s">
        <v>90</v>
      </c>
      <c r="H26" s="2" t="s">
        <v>91</v>
      </c>
      <c r="I26" s="2" t="s">
        <v>92</v>
      </c>
      <c r="J26" s="2" t="s">
        <v>93</v>
      </c>
      <c r="K26" s="2" t="s">
        <v>94</v>
      </c>
      <c r="L26" s="2" t="s">
        <v>95</v>
      </c>
    </row>
    <row r="27" customFormat="false" ht="15" hidden="false" customHeight="false" outlineLevel="0" collapsed="false">
      <c r="A27" s="0" t="s">
        <v>96</v>
      </c>
      <c r="C27" s="3" t="n">
        <v>-1</v>
      </c>
      <c r="D27" s="3" t="n">
        <v>1.5</v>
      </c>
      <c r="E27" s="3" t="n">
        <v>2</v>
      </c>
      <c r="F27" s="3" t="n">
        <v>2</v>
      </c>
      <c r="G27" s="3" t="n">
        <v>2</v>
      </c>
      <c r="H27" s="3" t="n">
        <v>2</v>
      </c>
      <c r="I27" s="3" t="n">
        <v>1.5</v>
      </c>
      <c r="J27" s="3" t="n">
        <v>1.5</v>
      </c>
      <c r="K27" s="3" t="n">
        <v>1.5</v>
      </c>
      <c r="L27" s="3" t="n">
        <v>1.5</v>
      </c>
    </row>
    <row r="28" customFormat="false" ht="15" hidden="false" customHeight="false" outlineLevel="0" collapsed="false">
      <c r="A28" s="0" t="s">
        <v>97</v>
      </c>
      <c r="C28" s="3" t="n">
        <v>29.8</v>
      </c>
      <c r="D28" s="3" t="n">
        <v>29.7</v>
      </c>
      <c r="E28" s="3" t="n">
        <v>29.6</v>
      </c>
      <c r="F28" s="3" t="n">
        <v>29.5</v>
      </c>
      <c r="G28" s="3" t="n">
        <v>29.4</v>
      </c>
      <c r="H28" s="3" t="n">
        <v>29.3</v>
      </c>
      <c r="I28" s="3" t="n">
        <v>29.2</v>
      </c>
      <c r="J28" s="3" t="n">
        <v>29.1</v>
      </c>
      <c r="K28" s="3" t="n">
        <v>29</v>
      </c>
      <c r="L28" s="3" t="n">
        <v>29</v>
      </c>
    </row>
    <row r="29" customFormat="false" ht="15" hidden="false" customHeight="false" outlineLevel="0" collapsed="false">
      <c r="A29" s="0" t="s">
        <v>98</v>
      </c>
      <c r="C29" s="3" t="n">
        <v>0.02</v>
      </c>
      <c r="D29" s="3" t="n">
        <v>0.02</v>
      </c>
      <c r="E29" s="3" t="n">
        <v>0.02</v>
      </c>
      <c r="F29" s="3" t="n">
        <v>0.02</v>
      </c>
      <c r="G29" s="3" t="n">
        <v>0.02</v>
      </c>
      <c r="H29" s="3" t="n">
        <v>0.02</v>
      </c>
      <c r="I29" s="3" t="n">
        <v>0.02</v>
      </c>
      <c r="J29" s="3" t="n">
        <v>0.02</v>
      </c>
      <c r="K29" s="3" t="n">
        <v>0.02</v>
      </c>
      <c r="L29" s="3" t="n">
        <v>0.02</v>
      </c>
    </row>
    <row r="30" customFormat="false" ht="15" hidden="false" customHeight="false" outlineLevel="0" collapsed="false">
      <c r="A30" s="0" t="s">
        <v>99</v>
      </c>
      <c r="C30" s="3" t="n">
        <v>3.1</v>
      </c>
      <c r="D30" s="3" t="n">
        <v>3.1</v>
      </c>
      <c r="E30" s="3" t="n">
        <v>3.1</v>
      </c>
      <c r="F30" s="3" t="n">
        <v>3.1</v>
      </c>
      <c r="G30" s="3" t="n">
        <v>3.1</v>
      </c>
      <c r="H30" s="3" t="n">
        <v>3.1</v>
      </c>
      <c r="I30" s="3" t="n">
        <v>3.1</v>
      </c>
      <c r="J30" s="3" t="n">
        <v>3.1</v>
      </c>
      <c r="K30" s="3" t="n">
        <v>3.1</v>
      </c>
      <c r="L30" s="3" t="n">
        <v>3.1</v>
      </c>
    </row>
    <row r="31" customFormat="false" ht="15" hidden="false" customHeight="false" outlineLevel="0" collapsed="false">
      <c r="A31" s="0" t="s">
        <v>100</v>
      </c>
      <c r="C31" s="3" t="n">
        <v>15</v>
      </c>
      <c r="D31" s="3" t="n">
        <v>14.8</v>
      </c>
      <c r="E31" s="3" t="n">
        <v>14.6</v>
      </c>
      <c r="F31" s="3" t="n">
        <v>14.4</v>
      </c>
      <c r="G31" s="3" t="n">
        <v>14.2</v>
      </c>
      <c r="H31" s="3" t="n">
        <v>14</v>
      </c>
      <c r="I31" s="3" t="n">
        <v>13.8</v>
      </c>
      <c r="J31" s="3" t="n">
        <v>13.6</v>
      </c>
      <c r="K31" s="3" t="n">
        <v>13.4</v>
      </c>
      <c r="L31" s="3" t="n">
        <v>13.3</v>
      </c>
    </row>
    <row r="32" customFormat="false" ht="15" hidden="false" customHeight="false" outlineLevel="0" collapsed="false">
      <c r="A32" s="0" t="s">
        <v>101</v>
      </c>
      <c r="C32" s="3" t="n">
        <v>13.7</v>
      </c>
      <c r="D32" s="3" t="n">
        <v>13.5</v>
      </c>
      <c r="E32" s="3" t="n">
        <v>13.4</v>
      </c>
      <c r="F32" s="3" t="n">
        <v>13.3</v>
      </c>
      <c r="G32" s="3" t="n">
        <v>13.2</v>
      </c>
      <c r="H32" s="3" t="n">
        <v>13.2</v>
      </c>
      <c r="I32" s="3" t="n">
        <v>13.2</v>
      </c>
      <c r="J32" s="3" t="n">
        <v>13.2</v>
      </c>
      <c r="K32" s="3" t="n">
        <v>13.2</v>
      </c>
      <c r="L32" s="3" t="n">
        <v>13.2</v>
      </c>
    </row>
    <row r="33" customFormat="false" ht="15" hidden="false" customHeight="false" outlineLevel="0" collapsed="false">
      <c r="A33" s="0" t="s">
        <v>102</v>
      </c>
      <c r="C33" s="3" t="n">
        <v>26</v>
      </c>
      <c r="D33" s="3" t="n">
        <v>26</v>
      </c>
      <c r="E33" s="3" t="n">
        <v>26</v>
      </c>
      <c r="F33" s="3" t="n">
        <v>26</v>
      </c>
      <c r="G33" s="3" t="n">
        <v>26</v>
      </c>
      <c r="H33" s="3" t="n">
        <v>26</v>
      </c>
      <c r="I33" s="3" t="n">
        <v>26</v>
      </c>
      <c r="J33" s="3" t="n">
        <v>26</v>
      </c>
      <c r="K33" s="3" t="n">
        <v>26</v>
      </c>
      <c r="L33" s="3" t="n">
        <v>26</v>
      </c>
    </row>
    <row r="34" customFormat="false" ht="15" hidden="false" customHeight="false" outlineLevel="0" collapsed="false">
      <c r="A34" s="0" t="s">
        <v>103</v>
      </c>
      <c r="B34" s="3" t="n">
        <v>8</v>
      </c>
    </row>
    <row r="35" customFormat="false" ht="15" hidden="false" customHeight="false" outlineLevel="0" collapsed="false">
      <c r="A35" s="0" t="s">
        <v>104</v>
      </c>
      <c r="B35" s="3" t="n">
        <v>2</v>
      </c>
    </row>
    <row r="36" customFormat="false" ht="15" hidden="false" customHeight="false" outlineLevel="0" collapsed="false">
      <c r="A36" s="0" t="s">
        <v>105</v>
      </c>
      <c r="B36" s="3" t="n">
        <v>15</v>
      </c>
    </row>
    <row r="37" customFormat="false" ht="15" hidden="false" customHeight="false" outlineLevel="0" collapsed="false">
      <c r="A37" s="0" t="s">
        <v>106</v>
      </c>
      <c r="B37" s="3" t="n">
        <v>-20</v>
      </c>
    </row>
    <row r="38" customFormat="false" ht="15" hidden="false" customHeight="false" outlineLevel="0" collapsed="false">
      <c r="A38" s="0" t="s">
        <v>107</v>
      </c>
      <c r="B38" s="3" t="n">
        <v>0.5</v>
      </c>
    </row>
    <row r="40" customFormat="false" ht="15" hidden="false" customHeight="false" outlineLevel="0" collapsed="false">
      <c r="A40" s="2" t="s">
        <v>109</v>
      </c>
      <c r="C40" s="2" t="s">
        <v>86</v>
      </c>
      <c r="D40" s="2" t="s">
        <v>87</v>
      </c>
      <c r="E40" s="2" t="s">
        <v>88</v>
      </c>
      <c r="F40" s="2" t="s">
        <v>89</v>
      </c>
      <c r="G40" s="2" t="s">
        <v>90</v>
      </c>
      <c r="H40" s="2" t="s">
        <v>91</v>
      </c>
      <c r="I40" s="2" t="s">
        <v>92</v>
      </c>
      <c r="J40" s="2" t="s">
        <v>93</v>
      </c>
      <c r="K40" s="2" t="s">
        <v>94</v>
      </c>
      <c r="L40" s="2" t="s">
        <v>95</v>
      </c>
    </row>
    <row r="41" customFormat="false" ht="15" hidden="false" customHeight="false" outlineLevel="0" collapsed="false">
      <c r="A41" s="0" t="s">
        <v>96</v>
      </c>
      <c r="C41" s="3" t="n">
        <v>0</v>
      </c>
      <c r="D41" s="3" t="n">
        <v>3</v>
      </c>
      <c r="E41" s="3" t="n">
        <v>4</v>
      </c>
      <c r="F41" s="3" t="n">
        <v>4</v>
      </c>
      <c r="G41" s="3" t="n">
        <v>4</v>
      </c>
      <c r="H41" s="3" t="n">
        <v>3.5</v>
      </c>
      <c r="I41" s="3" t="n">
        <v>3</v>
      </c>
      <c r="J41" s="3" t="n">
        <v>3</v>
      </c>
      <c r="K41" s="3" t="n">
        <v>2.5</v>
      </c>
      <c r="L41" s="3" t="n">
        <v>2.5</v>
      </c>
    </row>
    <row r="42" customFormat="false" ht="15" hidden="false" customHeight="false" outlineLevel="0" collapsed="false">
      <c r="A42" s="0" t="s">
        <v>97</v>
      </c>
      <c r="C42" s="3" t="n">
        <v>30.3</v>
      </c>
      <c r="D42" s="3" t="n">
        <v>30.5</v>
      </c>
      <c r="E42" s="3" t="n">
        <v>30.7</v>
      </c>
      <c r="F42" s="3" t="n">
        <v>30.9</v>
      </c>
      <c r="G42" s="3" t="n">
        <v>31</v>
      </c>
      <c r="H42" s="3" t="n">
        <v>31</v>
      </c>
      <c r="I42" s="3" t="n">
        <v>31</v>
      </c>
      <c r="J42" s="3" t="n">
        <v>31</v>
      </c>
      <c r="K42" s="3" t="n">
        <v>31</v>
      </c>
      <c r="L42" s="3" t="n">
        <v>31</v>
      </c>
    </row>
    <row r="43" customFormat="false" ht="15" hidden="false" customHeight="false" outlineLevel="0" collapsed="false">
      <c r="A43" s="0" t="s">
        <v>98</v>
      </c>
      <c r="C43" s="3" t="n">
        <v>0.02</v>
      </c>
      <c r="D43" s="3" t="n">
        <v>0.02</v>
      </c>
      <c r="E43" s="3" t="n">
        <v>0.02</v>
      </c>
      <c r="F43" s="3" t="n">
        <v>0.02</v>
      </c>
      <c r="G43" s="3" t="n">
        <v>0.02</v>
      </c>
      <c r="H43" s="3" t="n">
        <v>0.02</v>
      </c>
      <c r="I43" s="3" t="n">
        <v>0.02</v>
      </c>
      <c r="J43" s="3" t="n">
        <v>0.02</v>
      </c>
      <c r="K43" s="3" t="n">
        <v>0.02</v>
      </c>
      <c r="L43" s="3" t="n">
        <v>0.02</v>
      </c>
    </row>
    <row r="44" customFormat="false" ht="15" hidden="false" customHeight="false" outlineLevel="0" collapsed="false">
      <c r="A44" s="0" t="s">
        <v>99</v>
      </c>
      <c r="C44" s="3" t="n">
        <v>3.1</v>
      </c>
      <c r="D44" s="3" t="n">
        <v>3.1</v>
      </c>
      <c r="E44" s="3" t="n">
        <v>3.1</v>
      </c>
      <c r="F44" s="3" t="n">
        <v>3.1</v>
      </c>
      <c r="G44" s="3" t="n">
        <v>3.1</v>
      </c>
      <c r="H44" s="3" t="n">
        <v>3.1</v>
      </c>
      <c r="I44" s="3" t="n">
        <v>3.1</v>
      </c>
      <c r="J44" s="3" t="n">
        <v>3.1</v>
      </c>
      <c r="K44" s="3" t="n">
        <v>3.1</v>
      </c>
      <c r="L44" s="3" t="n">
        <v>3.1</v>
      </c>
    </row>
    <row r="45" customFormat="false" ht="15" hidden="false" customHeight="false" outlineLevel="0" collapsed="false">
      <c r="A45" s="0" t="s">
        <v>100</v>
      </c>
      <c r="C45" s="3" t="n">
        <v>15</v>
      </c>
      <c r="D45" s="3" t="n">
        <v>14.8</v>
      </c>
      <c r="E45" s="3" t="n">
        <v>14.5</v>
      </c>
      <c r="F45" s="3" t="n">
        <v>14.2</v>
      </c>
      <c r="G45" s="3" t="n">
        <v>13.9</v>
      </c>
      <c r="H45" s="3" t="n">
        <v>13.6</v>
      </c>
      <c r="I45" s="3" t="n">
        <v>13.3</v>
      </c>
      <c r="J45" s="3" t="n">
        <v>13</v>
      </c>
      <c r="K45" s="3" t="n">
        <v>12.8</v>
      </c>
      <c r="L45" s="3" t="n">
        <v>12.7</v>
      </c>
    </row>
    <row r="46" customFormat="false" ht="15" hidden="false" customHeight="false" outlineLevel="0" collapsed="false">
      <c r="A46" s="0" t="s">
        <v>101</v>
      </c>
      <c r="C46" s="3" t="n">
        <v>13.7</v>
      </c>
      <c r="D46" s="3" t="n">
        <v>13.5</v>
      </c>
      <c r="E46" s="3" t="n">
        <v>13.2</v>
      </c>
      <c r="F46" s="3" t="n">
        <v>13</v>
      </c>
      <c r="G46" s="3" t="n">
        <v>12.8</v>
      </c>
      <c r="H46" s="3" t="n">
        <v>12.6</v>
      </c>
      <c r="I46" s="3" t="n">
        <v>12.5</v>
      </c>
      <c r="J46" s="3" t="n">
        <v>12.5</v>
      </c>
      <c r="K46" s="3" t="n">
        <v>12.5</v>
      </c>
      <c r="L46" s="3" t="n">
        <v>12.5</v>
      </c>
    </row>
    <row r="47" customFormat="false" ht="15" hidden="false" customHeight="false" outlineLevel="0" collapsed="false">
      <c r="A47" s="0" t="s">
        <v>102</v>
      </c>
      <c r="C47" s="3" t="n">
        <v>26</v>
      </c>
      <c r="D47" s="3" t="n">
        <v>26</v>
      </c>
      <c r="E47" s="3" t="n">
        <v>26</v>
      </c>
      <c r="F47" s="3" t="n">
        <v>26</v>
      </c>
      <c r="G47" s="3" t="n">
        <v>26</v>
      </c>
      <c r="H47" s="3" t="n">
        <v>26</v>
      </c>
      <c r="I47" s="3" t="n">
        <v>26</v>
      </c>
      <c r="J47" s="3" t="n">
        <v>26</v>
      </c>
      <c r="K47" s="3" t="n">
        <v>26</v>
      </c>
      <c r="L47" s="3" t="n">
        <v>26</v>
      </c>
    </row>
    <row r="48" customFormat="false" ht="15" hidden="false" customHeight="false" outlineLevel="0" collapsed="false">
      <c r="A48" s="0" t="s">
        <v>103</v>
      </c>
      <c r="B48" s="3" t="n">
        <v>8</v>
      </c>
    </row>
    <row r="49" customFormat="false" ht="15" hidden="false" customHeight="false" outlineLevel="0" collapsed="false">
      <c r="A49" s="0" t="s">
        <v>104</v>
      </c>
      <c r="B49" s="3" t="n">
        <v>2.5</v>
      </c>
    </row>
    <row r="50" customFormat="false" ht="15" hidden="false" customHeight="false" outlineLevel="0" collapsed="false">
      <c r="A50" s="0" t="s">
        <v>105</v>
      </c>
      <c r="B50" s="3" t="n">
        <v>16</v>
      </c>
    </row>
    <row r="51" customFormat="false" ht="15" hidden="false" customHeight="false" outlineLevel="0" collapsed="false">
      <c r="A51" s="0" t="s">
        <v>106</v>
      </c>
      <c r="B51" s="3" t="n">
        <v>-20</v>
      </c>
    </row>
    <row r="52" customFormat="false" ht="15" hidden="false" customHeight="false" outlineLevel="0" collapsed="false">
      <c r="A52" s="0" t="s">
        <v>107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110</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Assumptions!C13</f>
        <v>-2.5</v>
      </c>
      <c r="D5" s="4" t="n">
        <f aca="false">Assumptions!D13</f>
        <v>-1</v>
      </c>
      <c r="E5" s="4" t="n">
        <f aca="false">Assumptions!E13</f>
        <v>0</v>
      </c>
      <c r="F5" s="4" t="n">
        <f aca="false">Assumptions!F13</f>
        <v>0.5</v>
      </c>
      <c r="G5" s="4" t="n">
        <f aca="false">Assumptions!G13</f>
        <v>0.5</v>
      </c>
      <c r="H5" s="4" t="n">
        <f aca="false">Assumptions!H13</f>
        <v>0.5</v>
      </c>
      <c r="I5" s="4" t="n">
        <f aca="false">Assumptions!I13</f>
        <v>0.5</v>
      </c>
      <c r="J5" s="4" t="n">
        <f aca="false">Assumptions!J13</f>
        <v>0.5</v>
      </c>
      <c r="K5" s="4" t="n">
        <f aca="false">Assumptions!K13</f>
        <v>0.5</v>
      </c>
      <c r="L5" s="4" t="n">
        <f aca="false">Assumptions!L13</f>
        <v>0.5</v>
      </c>
    </row>
    <row r="6" customFormat="false" ht="15" hidden="false" customHeight="false" outlineLevel="0" collapsed="false">
      <c r="A6" s="0" t="s">
        <v>38</v>
      </c>
      <c r="B6" s="3" t="n">
        <v>1050187</v>
      </c>
      <c r="C6" s="0" t="n">
        <f aca="false">B6*(1+C5/100)</f>
        <v>1023932.325</v>
      </c>
      <c r="D6" s="0" t="n">
        <f aca="false">C6*(1+D5/100)</f>
        <v>1013693.00175</v>
      </c>
      <c r="E6" s="0" t="n">
        <f aca="false">D6*(1+E5/100)</f>
        <v>1013693.00175</v>
      </c>
      <c r="F6" s="0" t="n">
        <f aca="false">E6*(1+F5/100)</f>
        <v>1018761.46675875</v>
      </c>
      <c r="G6" s="0" t="n">
        <f aca="false">F6*(1+G5/100)</f>
        <v>1023855.27409254</v>
      </c>
      <c r="H6" s="0" t="n">
        <f aca="false">G6*(1+H5/100)</f>
        <v>1028974.55046301</v>
      </c>
      <c r="I6" s="0" t="n">
        <f aca="false">H6*(1+I5/100)</f>
        <v>1034119.42321532</v>
      </c>
      <c r="J6" s="0" t="n">
        <f aca="false">I6*(1+J5/100)</f>
        <v>1039290.0203314</v>
      </c>
      <c r="K6" s="0" t="n">
        <f aca="false">J6*(1+K5/100)</f>
        <v>1044486.47043305</v>
      </c>
      <c r="L6" s="0" t="n">
        <f aca="false">K6*(1+L5/100)</f>
        <v>1049708.90278522</v>
      </c>
    </row>
    <row r="7" customFormat="false" ht="15" hidden="false" customHeight="false" outlineLevel="0" collapsed="false">
      <c r="A7" s="0" t="s">
        <v>97</v>
      </c>
      <c r="C7" s="4" t="n">
        <f aca="false">Assumptions!C14</f>
        <v>29.3</v>
      </c>
      <c r="D7" s="4" t="n">
        <f aca="false">Assumptions!D14</f>
        <v>28.6</v>
      </c>
      <c r="E7" s="4" t="n">
        <f aca="false">Assumptions!E14</f>
        <v>28.1</v>
      </c>
      <c r="F7" s="4" t="n">
        <f aca="false">Assumptions!F14</f>
        <v>27.7</v>
      </c>
      <c r="G7" s="4" t="n">
        <f aca="false">Assumptions!G14</f>
        <v>27.4</v>
      </c>
      <c r="H7" s="4" t="n">
        <f aca="false">Assumptions!H14</f>
        <v>27.2</v>
      </c>
      <c r="I7" s="4" t="n">
        <f aca="false">Assumptions!I14</f>
        <v>27</v>
      </c>
      <c r="J7" s="4" t="n">
        <f aca="false">Assumptions!J14</f>
        <v>27</v>
      </c>
      <c r="K7" s="4" t="n">
        <f aca="false">Assumptions!K14</f>
        <v>27</v>
      </c>
      <c r="L7" s="4" t="n">
        <f aca="false">Assumptions!L14</f>
        <v>27</v>
      </c>
    </row>
    <row r="8" customFormat="false" ht="15" hidden="false" customHeight="false" outlineLevel="0" collapsed="false">
      <c r="A8" s="0" t="s">
        <v>44</v>
      </c>
      <c r="C8" s="0" t="n">
        <f aca="false">C6*C7/100</f>
        <v>300012.171225</v>
      </c>
      <c r="D8" s="0" t="n">
        <f aca="false">D6*D7/100</f>
        <v>289916.1985005</v>
      </c>
      <c r="E8" s="0" t="n">
        <f aca="false">E6*E7/100</f>
        <v>284847.73349175</v>
      </c>
      <c r="F8" s="0" t="n">
        <f aca="false">F6*F7/100</f>
        <v>282196.926292174</v>
      </c>
      <c r="G8" s="0" t="n">
        <f aca="false">G6*G7/100</f>
        <v>280536.345101357</v>
      </c>
      <c r="H8" s="0" t="n">
        <f aca="false">H6*H7/100</f>
        <v>279881.077725938</v>
      </c>
      <c r="I8" s="0" t="n">
        <f aca="false">I6*I7/100</f>
        <v>279212.244268137</v>
      </c>
      <c r="J8" s="0" t="n">
        <f aca="false">J6*J7/100</f>
        <v>280608.305489477</v>
      </c>
      <c r="K8" s="0" t="n">
        <f aca="false">K6*K7/100</f>
        <v>282011.347016925</v>
      </c>
      <c r="L8" s="0" t="n">
        <f aca="false">L6*L7/100</f>
        <v>283421.403752009</v>
      </c>
    </row>
    <row r="9" customFormat="false" ht="15" hidden="false" customHeight="false" outlineLevel="0" collapsed="false">
      <c r="A9" s="0" t="s">
        <v>98</v>
      </c>
      <c r="C9" s="4" t="n">
        <f aca="false">Assumptions!C15</f>
        <v>0.02</v>
      </c>
      <c r="D9" s="4" t="n">
        <f aca="false">Assumptions!D15</f>
        <v>0.02</v>
      </c>
      <c r="E9" s="4" t="n">
        <f aca="false">Assumptions!E15</f>
        <v>0.02</v>
      </c>
      <c r="F9" s="4" t="n">
        <f aca="false">Assumptions!F15</f>
        <v>0.02</v>
      </c>
      <c r="G9" s="4" t="n">
        <f aca="false">Assumptions!G15</f>
        <v>0.02</v>
      </c>
      <c r="H9" s="4" t="n">
        <f aca="false">Assumptions!H15</f>
        <v>0.02</v>
      </c>
      <c r="I9" s="4" t="n">
        <f aca="false">Assumptions!I15</f>
        <v>0.02</v>
      </c>
      <c r="J9" s="4" t="n">
        <f aca="false">Assumptions!J15</f>
        <v>0.02</v>
      </c>
      <c r="K9" s="4" t="n">
        <f aca="false">Assumptions!K15</f>
        <v>0.02</v>
      </c>
      <c r="L9" s="4" t="n">
        <f aca="false">Assumptions!L15</f>
        <v>0.02</v>
      </c>
    </row>
    <row r="10" customFormat="false" ht="15" hidden="false" customHeight="false" outlineLevel="0" collapsed="false">
      <c r="A10" s="0" t="s">
        <v>113</v>
      </c>
      <c r="C10" s="0" t="n">
        <f aca="false">-C6*C9/100</f>
        <v>-204.786465</v>
      </c>
      <c r="D10" s="0" t="n">
        <f aca="false">-D6*D9/100</f>
        <v>-202.73860035</v>
      </c>
      <c r="E10" s="0" t="n">
        <f aca="false">-E6*E9/100</f>
        <v>-202.73860035</v>
      </c>
      <c r="F10" s="0" t="n">
        <f aca="false">-F6*F9/100</f>
        <v>-203.75229335175</v>
      </c>
      <c r="G10" s="0" t="n">
        <f aca="false">-G6*G9/100</f>
        <v>-204.771054818509</v>
      </c>
      <c r="H10" s="0" t="n">
        <f aca="false">-H6*H9/100</f>
        <v>-205.794910092601</v>
      </c>
      <c r="I10" s="0" t="n">
        <f aca="false">-I6*I9/100</f>
        <v>-206.823884643064</v>
      </c>
      <c r="J10" s="0" t="n">
        <f aca="false">-J6*J9/100</f>
        <v>-207.85800406628</v>
      </c>
      <c r="K10" s="0" t="n">
        <f aca="false">-K6*K9/100</f>
        <v>-208.897294086611</v>
      </c>
      <c r="L10" s="0" t="n">
        <f aca="false">-L6*L9/100</f>
        <v>-209.941780557044</v>
      </c>
    </row>
    <row r="11" customFormat="false" ht="15" hidden="false" customHeight="false" outlineLevel="0" collapsed="false">
      <c r="A11" s="0" t="s">
        <v>114</v>
      </c>
      <c r="C11" s="0" t="n">
        <f aca="false">C8+C10+C24</f>
        <v>268065.482685</v>
      </c>
      <c r="D11" s="0" t="n">
        <f aca="false">D8+D10+D24</f>
        <v>258288.9768459</v>
      </c>
      <c r="E11" s="0" t="n">
        <f aca="false">E8+E10+E24</f>
        <v>253220.51183715</v>
      </c>
      <c r="F11" s="0" t="n">
        <f aca="false">F8+F10+F24</f>
        <v>250411.568529301</v>
      </c>
      <c r="G11" s="0" t="n">
        <f aca="false">G8+G10+G24</f>
        <v>248592.06054967</v>
      </c>
      <c r="H11" s="0" t="n">
        <f aca="false">H8+H10+H24</f>
        <v>247777.071751492</v>
      </c>
      <c r="I11" s="0" t="n">
        <f aca="false">I8+I10+I24</f>
        <v>246947.718263819</v>
      </c>
      <c r="J11" s="0" t="n">
        <f aca="false">J8+J10+J24</f>
        <v>248182.456855138</v>
      </c>
      <c r="K11" s="0" t="n">
        <f aca="false">K8+K10+K24</f>
        <v>249423.369139413</v>
      </c>
      <c r="L11" s="0" t="n">
        <f aca="false">L8+L10+L24</f>
        <v>250670.48598511</v>
      </c>
    </row>
    <row r="12" customFormat="false" ht="15" hidden="false" customHeight="false" outlineLevel="0" collapsed="false">
      <c r="A12" s="0" t="s">
        <v>115</v>
      </c>
      <c r="C12" s="4" t="n">
        <f aca="false">-C6*Assumptions!C17/100</f>
        <v>-153589.84875</v>
      </c>
      <c r="D12" s="4" t="n">
        <f aca="false">-D6*Assumptions!D17/100</f>
        <v>-151040.25726075</v>
      </c>
      <c r="E12" s="4" t="n">
        <f aca="false">-E6*Assumptions!E17/100</f>
        <v>-150026.564259</v>
      </c>
      <c r="F12" s="4" t="n">
        <f aca="false">-F6*Assumptions!F17/100</f>
        <v>-149757.935613536</v>
      </c>
      <c r="G12" s="4" t="n">
        <f aca="false">-G6*Assumptions!G17/100</f>
        <v>-149482.870017511</v>
      </c>
      <c r="H12" s="4" t="n">
        <f aca="false">-H6*Assumptions!H17/100</f>
        <v>-149201.309817136</v>
      </c>
      <c r="I12" s="4" t="n">
        <f aca="false">-I6*Assumptions!I17/100</f>
        <v>-148913.196943006</v>
      </c>
      <c r="J12" s="4" t="n">
        <f aca="false">-J6*Assumptions!J17/100</f>
        <v>-148618.47290739</v>
      </c>
      <c r="K12" s="4" t="n">
        <f aca="false">-K6*Assumptions!K17/100</f>
        <v>-148317.078801494</v>
      </c>
      <c r="L12" s="4" t="n">
        <f aca="false">-L6*Assumptions!L17/100</f>
        <v>-148008.955292716</v>
      </c>
    </row>
    <row r="13" customFormat="false" ht="15" hidden="false" customHeight="false" outlineLevel="0" collapsed="false">
      <c r="A13" s="0" t="s">
        <v>116</v>
      </c>
      <c r="C13" s="0" t="n">
        <f aca="false">C11+C12</f>
        <v>114475.633935</v>
      </c>
      <c r="D13" s="0" t="n">
        <f aca="false">D11+D12</f>
        <v>107248.71958515</v>
      </c>
      <c r="E13" s="0" t="n">
        <f aca="false">E11+E12</f>
        <v>103193.94757815</v>
      </c>
      <c r="F13" s="0" t="n">
        <f aca="false">F11+F12</f>
        <v>100653.632915764</v>
      </c>
      <c r="G13" s="0" t="n">
        <f aca="false">G11+G12</f>
        <v>99109.1905321582</v>
      </c>
      <c r="H13" s="0" t="n">
        <f aca="false">H11+H12</f>
        <v>98575.761934356</v>
      </c>
      <c r="I13" s="0" t="n">
        <f aca="false">I11+I12</f>
        <v>98034.5213208124</v>
      </c>
      <c r="J13" s="0" t="n">
        <f aca="false">J11+J12</f>
        <v>99563.9839477479</v>
      </c>
      <c r="K13" s="0" t="n">
        <f aca="false">K11+K12</f>
        <v>101106.29033792</v>
      </c>
      <c r="L13" s="0" t="n">
        <f aca="false">L11+L12</f>
        <v>102661.530692394</v>
      </c>
    </row>
    <row r="14" customFormat="false" ht="15" hidden="false" customHeight="false" outlineLevel="0" collapsed="false">
      <c r="A14" s="0" t="s">
        <v>102</v>
      </c>
      <c r="C14" s="4" t="n">
        <f aca="false">Assumptions!C19</f>
        <v>27</v>
      </c>
      <c r="D14" s="4" t="n">
        <f aca="false">Assumptions!D19</f>
        <v>27</v>
      </c>
      <c r="E14" s="4" t="n">
        <f aca="false">Assumptions!E19</f>
        <v>27</v>
      </c>
      <c r="F14" s="4" t="n">
        <f aca="false">Assumptions!F19</f>
        <v>27</v>
      </c>
      <c r="G14" s="4" t="n">
        <f aca="false">Assumptions!G19</f>
        <v>27</v>
      </c>
      <c r="H14" s="4" t="n">
        <f aca="false">Assumptions!H19</f>
        <v>27</v>
      </c>
      <c r="I14" s="4" t="n">
        <f aca="false">Assumptions!I19</f>
        <v>27</v>
      </c>
      <c r="J14" s="4" t="n">
        <f aca="false">Assumptions!J19</f>
        <v>27</v>
      </c>
      <c r="K14" s="4" t="n">
        <f aca="false">Assumptions!K19</f>
        <v>27</v>
      </c>
      <c r="L14" s="4" t="n">
        <f aca="false">Assumptions!L19</f>
        <v>27</v>
      </c>
    </row>
    <row r="15" customFormat="false" ht="15" hidden="false" customHeight="false" outlineLevel="0" collapsed="false">
      <c r="A15" s="0" t="s">
        <v>117</v>
      </c>
      <c r="C15" s="0" t="n">
        <f aca="false">C13-MAX(0,C13)*C14/100</f>
        <v>83567.21277255</v>
      </c>
      <c r="D15" s="0" t="n">
        <f aca="false">D13-MAX(0,D13)*D14/100</f>
        <v>78291.5652971595</v>
      </c>
      <c r="E15" s="0" t="n">
        <f aca="false">E13-MAX(0,E13)*E14/100</f>
        <v>75331.5817320495</v>
      </c>
      <c r="F15" s="0" t="n">
        <f aca="false">F13-MAX(0,F13)*F14/100</f>
        <v>73477.1520285081</v>
      </c>
      <c r="G15" s="0" t="n">
        <f aca="false">G13-MAX(0,G13)*G14/100</f>
        <v>72349.7090884755</v>
      </c>
      <c r="H15" s="0" t="n">
        <f aca="false">H13-MAX(0,H13)*H14/100</f>
        <v>71960.3062120799</v>
      </c>
      <c r="I15" s="0" t="n">
        <f aca="false">I13-MAX(0,I13)*I14/100</f>
        <v>71565.2005641931</v>
      </c>
      <c r="J15" s="0" t="n">
        <f aca="false">J13-MAX(0,J13)*J14/100</f>
        <v>72681.7082818559</v>
      </c>
      <c r="K15" s="0" t="n">
        <f aca="false">K13-MAX(0,K13)*K14/100</f>
        <v>73807.5919466813</v>
      </c>
      <c r="L15" s="0" t="n">
        <f aca="false">L13-MAX(0,L13)*L14/100</f>
        <v>74942.917405448</v>
      </c>
    </row>
    <row r="16" customFormat="false" ht="15" hidden="false" customHeight="false" outlineLevel="0" collapsed="false">
      <c r="A16" s="0" t="s">
        <v>118</v>
      </c>
      <c r="C16" s="0" t="n">
        <f aca="false">-C12</f>
        <v>153589.84875</v>
      </c>
      <c r="D16" s="0" t="n">
        <f aca="false">-D12</f>
        <v>151040.25726075</v>
      </c>
      <c r="E16" s="0" t="n">
        <f aca="false">-E12</f>
        <v>150026.564259</v>
      </c>
      <c r="F16" s="0" t="n">
        <f aca="false">-F12</f>
        <v>149757.935613536</v>
      </c>
      <c r="G16" s="0" t="n">
        <f aca="false">-G12</f>
        <v>149482.870017511</v>
      </c>
      <c r="H16" s="0" t="n">
        <f aca="false">-H12</f>
        <v>149201.309817136</v>
      </c>
      <c r="I16" s="0" t="n">
        <f aca="false">-I12</f>
        <v>148913.196943006</v>
      </c>
      <c r="J16" s="0" t="n">
        <f aca="false">-J12</f>
        <v>148618.47290739</v>
      </c>
      <c r="K16" s="0" t="n">
        <f aca="false">-K12</f>
        <v>148317.078801494</v>
      </c>
      <c r="L16" s="0" t="n">
        <f aca="false">-L12</f>
        <v>148008.955292716</v>
      </c>
    </row>
    <row r="17" customFormat="false" ht="15" hidden="false" customHeight="false" outlineLevel="0" collapsed="false">
      <c r="A17" s="0" t="s">
        <v>119</v>
      </c>
      <c r="C17" s="4" t="n">
        <f aca="false">-C6*Assumptions!C18/100</f>
        <v>-143350.5255</v>
      </c>
      <c r="D17" s="4" t="n">
        <f aca="false">-D6*Assumptions!D18/100</f>
        <v>-141917.020245</v>
      </c>
      <c r="E17" s="4" t="n">
        <f aca="false">-E6*Assumptions!E18/100</f>
        <v>-141917.020245</v>
      </c>
      <c r="F17" s="4" t="n">
        <f aca="false">-F6*Assumptions!F18/100</f>
        <v>-142626.605346225</v>
      </c>
      <c r="G17" s="4" t="n">
        <f aca="false">-G6*Assumptions!G18/100</f>
        <v>-143339.738372956</v>
      </c>
      <c r="H17" s="4" t="n">
        <f aca="false">-H6*Assumptions!H18/100</f>
        <v>-144056.437064821</v>
      </c>
      <c r="I17" s="4" t="n">
        <f aca="false">-I6*Assumptions!I18/100</f>
        <v>-144776.719250145</v>
      </c>
      <c r="J17" s="4" t="n">
        <f aca="false">-J6*Assumptions!J18/100</f>
        <v>-145500.602846396</v>
      </c>
      <c r="K17" s="4" t="n">
        <f aca="false">-K6*Assumptions!K18/100</f>
        <v>-146228.105860628</v>
      </c>
      <c r="L17" s="4" t="n">
        <f aca="false">-L6*Assumptions!L18/100</f>
        <v>-146959.246389931</v>
      </c>
    </row>
    <row r="18" customFormat="false" ht="15" hidden="false" customHeight="false" outlineLevel="0" collapsed="false">
      <c r="A18" s="0" t="s">
        <v>120</v>
      </c>
      <c r="C18" s="4" t="n">
        <f aca="false">(C6-B6)*Assumptions!$B$23/100</f>
        <v>5250.93500000001</v>
      </c>
      <c r="D18" s="4" t="n">
        <f aca="false">(D6-C6)*Assumptions!$B$23/100</f>
        <v>2047.86465</v>
      </c>
      <c r="E18" s="4" t="n">
        <f aca="false">(E6-D6)*Assumptions!$B$23/100</f>
        <v>-0</v>
      </c>
      <c r="F18" s="4" t="n">
        <f aca="false">(F6-E6)*Assumptions!$B$23/100</f>
        <v>-1013.69300174997</v>
      </c>
      <c r="G18" s="4" t="n">
        <f aca="false">(G6-F6)*Assumptions!$B$23/100</f>
        <v>-1018.76146675872</v>
      </c>
      <c r="H18" s="4" t="n">
        <f aca="false">(H6-G6)*Assumptions!$B$23/100</f>
        <v>-1023.85527409252</v>
      </c>
      <c r="I18" s="4" t="n">
        <f aca="false">(I6-H6)*Assumptions!$B$23/100</f>
        <v>-1028.97455046298</v>
      </c>
      <c r="J18" s="4" t="n">
        <f aca="false">(J6-I6)*Assumptions!$B$23/100</f>
        <v>-1034.1194232153</v>
      </c>
      <c r="K18" s="4" t="n">
        <f aca="false">(K6-J6)*Assumptions!$B$23/100</f>
        <v>-1039.29002033137</v>
      </c>
      <c r="L18" s="4" t="n">
        <f aca="false">(L6-K6)*Assumptions!$B$23/100</f>
        <v>-1044.48647043305</v>
      </c>
    </row>
    <row r="19" customFormat="false" ht="15" hidden="false" customHeight="false" outlineLevel="0" collapsed="false">
      <c r="A19" s="0" t="s">
        <v>121</v>
      </c>
      <c r="C19" s="0" t="n">
        <f aca="false">C15+C16+C17+C18</f>
        <v>99057.47102255</v>
      </c>
      <c r="D19" s="0" t="n">
        <f aca="false">D15+D16+D17+D18</f>
        <v>89462.6669629095</v>
      </c>
      <c r="E19" s="0" t="n">
        <f aca="false">E15+E16+E17+E18</f>
        <v>83441.1257460495</v>
      </c>
      <c r="F19" s="0" t="n">
        <f aca="false">F15+F16+F17+F18</f>
        <v>79594.7892940694</v>
      </c>
      <c r="G19" s="0" t="n">
        <f aca="false">G15+G16+G17+G18</f>
        <v>77474.079266272</v>
      </c>
      <c r="H19" s="0" t="n">
        <f aca="false">H15+H16+H17+H18</f>
        <v>76081.3236903024</v>
      </c>
      <c r="I19" s="0" t="n">
        <f aca="false">I15+I16+I17+I18</f>
        <v>74672.7037065914</v>
      </c>
      <c r="J19" s="0" t="n">
        <f aca="false">J15+J16+J17+J18</f>
        <v>74765.4589196348</v>
      </c>
      <c r="K19" s="0" t="n">
        <f aca="false">K15+K16+K17+K18</f>
        <v>74857.2748672161</v>
      </c>
      <c r="L19" s="0" t="n">
        <f aca="false">L15+L16+L17+L18</f>
        <v>74948.1398378002</v>
      </c>
    </row>
    <row r="20" customFormat="false" ht="15" hidden="false" customHeight="false" outlineLevel="0" collapsed="false">
      <c r="A20" s="0" t="s">
        <v>122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123</v>
      </c>
      <c r="C21" s="0" t="n">
        <f aca="false">C19*C20</f>
        <v>91719.8805764352</v>
      </c>
      <c r="D21" s="0" t="n">
        <f aca="false">D19*D20</f>
        <v>76699.8173550322</v>
      </c>
      <c r="E21" s="0" t="n">
        <f aca="false">E19*E20</f>
        <v>66238.2558442322</v>
      </c>
      <c r="F21" s="0" t="n">
        <f aca="false">F19*F20</f>
        <v>58504.5462581845</v>
      </c>
      <c r="G21" s="0" t="n">
        <f aca="false">G19*G20</f>
        <v>52727.5565542858</v>
      </c>
      <c r="H21" s="0" t="n">
        <f aca="false">H19*H20</f>
        <v>47944.1393626906</v>
      </c>
      <c r="I21" s="0" t="n">
        <f aca="false">I19*I20</f>
        <v>43570.8054010512</v>
      </c>
      <c r="J21" s="0" t="n">
        <f aca="false">J19*J20</f>
        <v>40393.4510897894</v>
      </c>
      <c r="K21" s="0" t="n">
        <f aca="false">K19*K20</f>
        <v>37447.2744346006</v>
      </c>
      <c r="L21" s="0" t="n">
        <f aca="false">L19*L20</f>
        <v>34715.4903169293</v>
      </c>
    </row>
    <row r="23" customFormat="false" ht="15" hidden="false" customHeight="false" outlineLevel="0" collapsed="false">
      <c r="A23" s="0" t="s">
        <v>99</v>
      </c>
      <c r="C23" s="4" t="n">
        <f aca="false">Assumptions!C16</f>
        <v>3.1</v>
      </c>
      <c r="D23" s="4" t="n">
        <f aca="false">Assumptions!D16</f>
        <v>3.1</v>
      </c>
      <c r="E23" s="4" t="n">
        <f aca="false">Assumptions!E16</f>
        <v>3.1</v>
      </c>
      <c r="F23" s="4" t="n">
        <f aca="false">Assumptions!F16</f>
        <v>3.1</v>
      </c>
      <c r="G23" s="4" t="n">
        <f aca="false">Assumptions!G16</f>
        <v>3.1</v>
      </c>
      <c r="H23" s="4" t="n">
        <f aca="false">Assumptions!H16</f>
        <v>3.1</v>
      </c>
      <c r="I23" s="4" t="n">
        <f aca="false">Assumptions!I16</f>
        <v>3.1</v>
      </c>
      <c r="J23" s="4" t="n">
        <f aca="false">Assumptions!J16</f>
        <v>3.1</v>
      </c>
      <c r="K23" s="4" t="n">
        <f aca="false">Assumptions!K16</f>
        <v>3.1</v>
      </c>
      <c r="L23" s="4" t="n">
        <f aca="false">Assumptions!L16</f>
        <v>3.1</v>
      </c>
    </row>
    <row r="24" customFormat="false" ht="15" hidden="false" customHeight="false" outlineLevel="0" collapsed="false">
      <c r="A24" s="0" t="s">
        <v>124</v>
      </c>
      <c r="C24" s="0" t="n">
        <f aca="false">-C6*C23/100</f>
        <v>-31741.902075</v>
      </c>
      <c r="D24" s="0" t="n">
        <f aca="false">-D6*D23/100</f>
        <v>-31424.48305425</v>
      </c>
      <c r="E24" s="0" t="n">
        <f aca="false">-E6*E23/100</f>
        <v>-31424.48305425</v>
      </c>
      <c r="F24" s="0" t="n">
        <f aca="false">-F6*F23/100</f>
        <v>-31581.6054695212</v>
      </c>
      <c r="G24" s="0" t="n">
        <f aca="false">-G6*G23/100</f>
        <v>-31739.5134968688</v>
      </c>
      <c r="H24" s="0" t="n">
        <f aca="false">-H6*H23/100</f>
        <v>-31898.2110643532</v>
      </c>
      <c r="I24" s="0" t="n">
        <f aca="false">-I6*I23/100</f>
        <v>-32057.702119675</v>
      </c>
      <c r="J24" s="0" t="n">
        <f aca="false">-J6*J23/100</f>
        <v>-32217.9906302733</v>
      </c>
      <c r="K24" s="0" t="n">
        <f aca="false">-K6*K23/100</f>
        <v>-32379.0805834247</v>
      </c>
      <c r="L24" s="0" t="n">
        <f aca="false">-L6*L23/100</f>
        <v>-32540.9759863418</v>
      </c>
    </row>
    <row r="26" customFormat="false" ht="15" hidden="false" customHeight="false" outlineLevel="0" collapsed="false">
      <c r="A26" s="2" t="s">
        <v>125</v>
      </c>
    </row>
    <row r="27" customFormat="false" ht="15" hidden="false" customHeight="false" outlineLevel="0" collapsed="false">
      <c r="A27" s="0" t="s">
        <v>103</v>
      </c>
      <c r="B27" s="4" t="n">
        <f aca="false">Assumptions!$B$20</f>
        <v>8</v>
      </c>
    </row>
    <row r="28" customFormat="false" ht="15" hidden="false" customHeight="false" outlineLevel="0" collapsed="false">
      <c r="A28" s="0" t="s">
        <v>104</v>
      </c>
      <c r="B28" s="4" t="n">
        <f aca="false">Assumptions!$B$21</f>
        <v>1</v>
      </c>
    </row>
    <row r="29" customFormat="false" ht="15" hidden="false" customHeight="false" outlineLevel="0" collapsed="false">
      <c r="A29" s="0" t="s">
        <v>105</v>
      </c>
      <c r="B29" s="4" t="n">
        <f aca="false">Assumptions!$B$22</f>
        <v>12</v>
      </c>
    </row>
    <row r="30" customFormat="false" ht="15" hidden="false" customHeight="false" outlineLevel="0" collapsed="false">
      <c r="A30" s="0" t="s">
        <v>126</v>
      </c>
      <c r="B30" s="0" t="n">
        <f aca="false">SUM(C21:L21)</f>
        <v>549961.217193231</v>
      </c>
    </row>
    <row r="31" customFormat="false" ht="15" hidden="false" customHeight="false" outlineLevel="0" collapsed="false">
      <c r="A31" s="0" t="s">
        <v>127</v>
      </c>
      <c r="B31" s="0" t="n">
        <f aca="false">L19</f>
        <v>74948.1398378002</v>
      </c>
    </row>
    <row r="32" customFormat="false" ht="15" hidden="false" customHeight="false" outlineLevel="0" collapsed="false">
      <c r="A32" s="0" t="s">
        <v>128</v>
      </c>
      <c r="B32" s="0" t="n">
        <f aca="false">IF(B27&gt;B28,B31*(1+B28/100)/((B27-B28)/100),B31*B29)</f>
        <v>1081394.58908826</v>
      </c>
    </row>
    <row r="33" customFormat="false" ht="15" hidden="false" customHeight="false" outlineLevel="0" collapsed="false">
      <c r="A33" s="0" t="s">
        <v>129</v>
      </c>
      <c r="B33" s="0" t="n">
        <f aca="false">B31*B29</f>
        <v>899377.678053602</v>
      </c>
    </row>
    <row r="34" customFormat="false" ht="15" hidden="false" customHeight="false" outlineLevel="0" collapsed="false">
      <c r="A34" s="0" t="s">
        <v>130</v>
      </c>
      <c r="B34" s="0" t="n">
        <f aca="false">MAX(0,MIN(B32,B33))</f>
        <v>899377.678053602</v>
      </c>
    </row>
    <row r="35" customFormat="false" ht="15" hidden="false" customHeight="false" outlineLevel="0" collapsed="false">
      <c r="A35" s="0" t="s">
        <v>131</v>
      </c>
      <c r="B35" s="0" t="n">
        <f aca="false">B34/(1+B27/100)^L4</f>
        <v>416585.883803152</v>
      </c>
    </row>
    <row r="36" customFormat="false" ht="15" hidden="false" customHeight="false" outlineLevel="0" collapsed="false">
      <c r="A36" s="0" t="s">
        <v>132</v>
      </c>
      <c r="B36" s="0" t="n">
        <f aca="false">B30+B35</f>
        <v>966547.100996383</v>
      </c>
    </row>
    <row r="37" customFormat="false" ht="15" hidden="false" customHeight="false" outlineLevel="0" collapsed="false">
      <c r="A37" s="0" t="s">
        <v>133</v>
      </c>
      <c r="B37" s="0" t="n">
        <f aca="false">B36+Assumptions!$B$5-Assumptions!$B$4</f>
        <v>1699714.10099638</v>
      </c>
    </row>
    <row r="38" customFormat="false" ht="15" hidden="false" customHeight="false" outlineLevel="0" collapsed="false">
      <c r="A38" s="0" t="s">
        <v>134</v>
      </c>
      <c r="B38" s="0" t="n">
        <f aca="false">B37/Assumptions!$B$3*Assumptions!$B$10</f>
        <v>91.466640548086</v>
      </c>
    </row>
    <row r="39" customFormat="false" ht="15" hidden="false" customHeight="false" outlineLevel="0" collapsed="false">
      <c r="A39" s="0" t="s">
        <v>135</v>
      </c>
      <c r="B39" s="4" t="n">
        <f aca="false">B38/Assumptions!$B$2-1</f>
        <v>0.14190562482005</v>
      </c>
    </row>
    <row r="41" customFormat="false" ht="15" hidden="false" customHeight="false" outlineLevel="0" collapsed="false">
      <c r="A41" s="0" t="s">
        <v>136</v>
      </c>
      <c r="B41" s="0" t="n">
        <f aca="false">SUMPRODUCT(-C10:L10/(1+$B$27/100)^C4:L4)</f>
        <v>1377.90994960422</v>
      </c>
    </row>
    <row r="42" customFormat="false" ht="15" hidden="false" customHeight="false" outlineLevel="0" collapsed="false">
      <c r="A42" s="0" t="s">
        <v>137</v>
      </c>
      <c r="B42" s="0" t="n">
        <f aca="false">IF(B27&gt;B28,-L10*(1+B28/100)/((B27-B28)/100),-L10*20)/(1+B27/100)^L4</f>
        <v>1403.08717553194</v>
      </c>
    </row>
    <row r="43" customFormat="false" ht="15" hidden="false" customHeight="false" outlineLevel="0" collapsed="false">
      <c r="A43" s="0" t="s">
        <v>138</v>
      </c>
      <c r="B43" s="0" t="n">
        <f aca="false">(B37+B41+B42)/Assumptions!$B$3*Assumptions!$B$10</f>
        <v>91.6162942247019</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540697.29454413</v>
      </c>
    </row>
    <row r="47" customFormat="false" ht="15" hidden="false" customHeight="false" outlineLevel="0" collapsed="false">
      <c r="A47" s="0" t="s">
        <v>140</v>
      </c>
      <c r="B47" s="0" t="n">
        <f aca="false">(SUMPRODUCT(C19:L19/(1+B45/100)^C4:L4)+B46/(1+B45/100)^L4+Assumptions!$B$5-Assumptions!$B$4)/Assumptions!$B$3*Assumptions!$B$10</f>
        <v>69.1337116032785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Assumptions!C27</f>
        <v>-1</v>
      </c>
      <c r="D5" s="4" t="n">
        <f aca="false">Assumptions!D27</f>
        <v>1.5</v>
      </c>
      <c r="E5" s="4" t="n">
        <f aca="false">Assumptions!E27</f>
        <v>2</v>
      </c>
      <c r="F5" s="4" t="n">
        <f aca="false">Assumptions!F27</f>
        <v>2</v>
      </c>
      <c r="G5" s="4" t="n">
        <f aca="false">Assumptions!G27</f>
        <v>2</v>
      </c>
      <c r="H5" s="4" t="n">
        <f aca="false">Assumptions!H27</f>
        <v>2</v>
      </c>
      <c r="I5" s="4" t="n">
        <f aca="false">Assumptions!I27</f>
        <v>1.5</v>
      </c>
      <c r="J5" s="4" t="n">
        <f aca="false">Assumptions!J27</f>
        <v>1.5</v>
      </c>
      <c r="K5" s="4" t="n">
        <f aca="false">Assumptions!K27</f>
        <v>1.5</v>
      </c>
      <c r="L5" s="4" t="n">
        <f aca="false">Assumptions!L27</f>
        <v>1.5</v>
      </c>
    </row>
    <row r="6" customFormat="false" ht="15" hidden="false" customHeight="false" outlineLevel="0" collapsed="false">
      <c r="A6" s="0" t="s">
        <v>38</v>
      </c>
      <c r="B6" s="3" t="n">
        <v>1050187</v>
      </c>
      <c r="C6" s="0" t="n">
        <f aca="false">B6*(1+C5/100)</f>
        <v>1039685.13</v>
      </c>
      <c r="D6" s="0" t="n">
        <f aca="false">C6*(1+D5/100)</f>
        <v>1055280.40695</v>
      </c>
      <c r="E6" s="0" t="n">
        <f aca="false">D6*(1+E5/100)</f>
        <v>1076386.015089</v>
      </c>
      <c r="F6" s="0" t="n">
        <f aca="false">E6*(1+F5/100)</f>
        <v>1097913.73539078</v>
      </c>
      <c r="G6" s="0" t="n">
        <f aca="false">F6*(1+G5/100)</f>
        <v>1119872.0100986</v>
      </c>
      <c r="H6" s="0" t="n">
        <f aca="false">G6*(1+H5/100)</f>
        <v>1142269.45030057</v>
      </c>
      <c r="I6" s="0" t="n">
        <f aca="false">H6*(1+I5/100)</f>
        <v>1159403.49205508</v>
      </c>
      <c r="J6" s="0" t="n">
        <f aca="false">I6*(1+J5/100)</f>
        <v>1176794.5444359</v>
      </c>
      <c r="K6" s="0" t="n">
        <f aca="false">J6*(1+K5/100)</f>
        <v>1194446.46260244</v>
      </c>
      <c r="L6" s="0" t="n">
        <f aca="false">K6*(1+L5/100)</f>
        <v>1212363.15954148</v>
      </c>
    </row>
    <row r="7" customFormat="false" ht="15" hidden="false" customHeight="false" outlineLevel="0" collapsed="false">
      <c r="A7" s="0" t="s">
        <v>97</v>
      </c>
      <c r="C7" s="4" t="n">
        <f aca="false">Assumptions!C28</f>
        <v>29.8</v>
      </c>
      <c r="D7" s="4" t="n">
        <f aca="false">Assumptions!D28</f>
        <v>29.7</v>
      </c>
      <c r="E7" s="4" t="n">
        <f aca="false">Assumptions!E28</f>
        <v>29.6</v>
      </c>
      <c r="F7" s="4" t="n">
        <f aca="false">Assumptions!F28</f>
        <v>29.5</v>
      </c>
      <c r="G7" s="4" t="n">
        <f aca="false">Assumptions!G28</f>
        <v>29.4</v>
      </c>
      <c r="H7" s="4" t="n">
        <f aca="false">Assumptions!H28</f>
        <v>29.3</v>
      </c>
      <c r="I7" s="4" t="n">
        <f aca="false">Assumptions!I28</f>
        <v>29.2</v>
      </c>
      <c r="J7" s="4" t="n">
        <f aca="false">Assumptions!J28</f>
        <v>29.1</v>
      </c>
      <c r="K7" s="4" t="n">
        <f aca="false">Assumptions!K28</f>
        <v>29</v>
      </c>
      <c r="L7" s="4" t="n">
        <f aca="false">Assumptions!L28</f>
        <v>29</v>
      </c>
    </row>
    <row r="8" customFormat="false" ht="15" hidden="false" customHeight="false" outlineLevel="0" collapsed="false">
      <c r="A8" s="0" t="s">
        <v>44</v>
      </c>
      <c r="C8" s="0" t="n">
        <f aca="false">C6*C7/100</f>
        <v>309826.16874</v>
      </c>
      <c r="D8" s="0" t="n">
        <f aca="false">D6*D7/100</f>
        <v>313418.28086415</v>
      </c>
      <c r="E8" s="0" t="n">
        <f aca="false">E6*E7/100</f>
        <v>318610.260466344</v>
      </c>
      <c r="F8" s="0" t="n">
        <f aca="false">F6*F7/100</f>
        <v>323884.55194028</v>
      </c>
      <c r="G8" s="0" t="n">
        <f aca="false">G6*G7/100</f>
        <v>329242.370968987</v>
      </c>
      <c r="H8" s="0" t="n">
        <f aca="false">H6*H7/100</f>
        <v>334684.948938066</v>
      </c>
      <c r="I8" s="0" t="n">
        <f aca="false">I6*I7/100</f>
        <v>338545.819680082</v>
      </c>
      <c r="J8" s="0" t="n">
        <f aca="false">J6*J7/100</f>
        <v>342447.212430848</v>
      </c>
      <c r="K8" s="0" t="n">
        <f aca="false">K6*K7/100</f>
        <v>346389.474154708</v>
      </c>
      <c r="L8" s="0" t="n">
        <f aca="false">L6*L7/100</f>
        <v>351585.316267028</v>
      </c>
    </row>
    <row r="9" customFormat="false" ht="15" hidden="false" customHeight="false" outlineLevel="0" collapsed="false">
      <c r="A9" s="0" t="s">
        <v>98</v>
      </c>
      <c r="C9" s="4" t="n">
        <f aca="false">Assumptions!C29</f>
        <v>0.02</v>
      </c>
      <c r="D9" s="4" t="n">
        <f aca="false">Assumptions!D29</f>
        <v>0.02</v>
      </c>
      <c r="E9" s="4" t="n">
        <f aca="false">Assumptions!E29</f>
        <v>0.02</v>
      </c>
      <c r="F9" s="4" t="n">
        <f aca="false">Assumptions!F29</f>
        <v>0.02</v>
      </c>
      <c r="G9" s="4" t="n">
        <f aca="false">Assumptions!G29</f>
        <v>0.02</v>
      </c>
      <c r="H9" s="4" t="n">
        <f aca="false">Assumptions!H29</f>
        <v>0.02</v>
      </c>
      <c r="I9" s="4" t="n">
        <f aca="false">Assumptions!I29</f>
        <v>0.02</v>
      </c>
      <c r="J9" s="4" t="n">
        <f aca="false">Assumptions!J29</f>
        <v>0.02</v>
      </c>
      <c r="K9" s="4" t="n">
        <f aca="false">Assumptions!K29</f>
        <v>0.02</v>
      </c>
      <c r="L9" s="4" t="n">
        <f aca="false">Assumptions!L29</f>
        <v>0.02</v>
      </c>
    </row>
    <row r="10" customFormat="false" ht="15" hidden="false" customHeight="false" outlineLevel="0" collapsed="false">
      <c r="A10" s="0" t="s">
        <v>113</v>
      </c>
      <c r="C10" s="0" t="n">
        <f aca="false">-C6*C9/100</f>
        <v>-207.937026</v>
      </c>
      <c r="D10" s="0" t="n">
        <f aca="false">-D6*D9/100</f>
        <v>-211.05608139</v>
      </c>
      <c r="E10" s="0" t="n">
        <f aca="false">-E6*E9/100</f>
        <v>-215.2772030178</v>
      </c>
      <c r="F10" s="0" t="n">
        <f aca="false">-F6*F9/100</f>
        <v>-219.582747078156</v>
      </c>
      <c r="G10" s="0" t="n">
        <f aca="false">-G6*G9/100</f>
        <v>-223.974402019719</v>
      </c>
      <c r="H10" s="0" t="n">
        <f aca="false">-H6*H9/100</f>
        <v>-228.453890060114</v>
      </c>
      <c r="I10" s="0" t="n">
        <f aca="false">-I6*I9/100</f>
        <v>-231.880698411015</v>
      </c>
      <c r="J10" s="0" t="n">
        <f aca="false">-J6*J9/100</f>
        <v>-235.35890888718</v>
      </c>
      <c r="K10" s="0" t="n">
        <f aca="false">-K6*K9/100</f>
        <v>-238.889292520488</v>
      </c>
      <c r="L10" s="0" t="n">
        <f aca="false">-L6*L9/100</f>
        <v>-242.472631908295</v>
      </c>
    </row>
    <row r="11" customFormat="false" ht="15" hidden="false" customHeight="false" outlineLevel="0" collapsed="false">
      <c r="A11" s="0" t="s">
        <v>114</v>
      </c>
      <c r="C11" s="0" t="n">
        <f aca="false">C8+C10+C24</f>
        <v>277387.992684</v>
      </c>
      <c r="D11" s="0" t="n">
        <f aca="false">D8+D10+D24</f>
        <v>280493.53216731</v>
      </c>
      <c r="E11" s="0" t="n">
        <f aca="false">E8+E10+E24</f>
        <v>285027.016795567</v>
      </c>
      <c r="F11" s="0" t="n">
        <f aca="false">F8+F10+F24</f>
        <v>289629.643396088</v>
      </c>
      <c r="G11" s="0" t="n">
        <f aca="false">G8+G10+G24</f>
        <v>294302.364253911</v>
      </c>
      <c r="H11" s="0" t="n">
        <f aca="false">H8+H10+H24</f>
        <v>299046.142088689</v>
      </c>
      <c r="I11" s="0" t="n">
        <f aca="false">I8+I10+I24</f>
        <v>302372.430727964</v>
      </c>
      <c r="J11" s="0" t="n">
        <f aca="false">J8+J10+J24</f>
        <v>305731.222644447</v>
      </c>
      <c r="K11" s="0" t="n">
        <f aca="false">K8+K10+K24</f>
        <v>309122.744521512</v>
      </c>
      <c r="L11" s="0" t="n">
        <f aca="false">L8+L10+L24</f>
        <v>313759.585689334</v>
      </c>
    </row>
    <row r="12" customFormat="false" ht="15" hidden="false" customHeight="false" outlineLevel="0" collapsed="false">
      <c r="A12" s="0" t="s">
        <v>115</v>
      </c>
      <c r="C12" s="4" t="n">
        <f aca="false">-C6*Assumptions!C31/100</f>
        <v>-155952.7695</v>
      </c>
      <c r="D12" s="4" t="n">
        <f aca="false">-D6*Assumptions!D31/100</f>
        <v>-156181.5002286</v>
      </c>
      <c r="E12" s="4" t="n">
        <f aca="false">-E6*Assumptions!E31/100</f>
        <v>-157152.358202994</v>
      </c>
      <c r="F12" s="4" t="n">
        <f aca="false">-F6*Assumptions!F31/100</f>
        <v>-158099.577896272</v>
      </c>
      <c r="G12" s="4" t="n">
        <f aca="false">-G6*Assumptions!G31/100</f>
        <v>-159021.825434001</v>
      </c>
      <c r="H12" s="4" t="n">
        <f aca="false">-H6*Assumptions!H31/100</f>
        <v>-159917.723042079</v>
      </c>
      <c r="I12" s="4" t="n">
        <f aca="false">-I6*Assumptions!I31/100</f>
        <v>-159997.681903601</v>
      </c>
      <c r="J12" s="4" t="n">
        <f aca="false">-J6*Assumptions!J31/100</f>
        <v>-160044.058043283</v>
      </c>
      <c r="K12" s="4" t="n">
        <f aca="false">-K6*Assumptions!K31/100</f>
        <v>-160055.825988727</v>
      </c>
      <c r="L12" s="4" t="n">
        <f aca="false">-L6*Assumptions!L31/100</f>
        <v>-161244.300219016</v>
      </c>
    </row>
    <row r="13" customFormat="false" ht="15" hidden="false" customHeight="false" outlineLevel="0" collapsed="false">
      <c r="A13" s="0" t="s">
        <v>116</v>
      </c>
      <c r="C13" s="0" t="n">
        <f aca="false">C11+C12</f>
        <v>121435.223184</v>
      </c>
      <c r="D13" s="0" t="n">
        <f aca="false">D11+D12</f>
        <v>124312.03193871</v>
      </c>
      <c r="E13" s="0" t="n">
        <f aca="false">E11+E12</f>
        <v>127874.658592573</v>
      </c>
      <c r="F13" s="0" t="n">
        <f aca="false">F11+F12</f>
        <v>131530.065499815</v>
      </c>
      <c r="G13" s="0" t="n">
        <f aca="false">G11+G12</f>
        <v>135280.53881991</v>
      </c>
      <c r="H13" s="0" t="n">
        <f aca="false">H11+H12</f>
        <v>139128.419046609</v>
      </c>
      <c r="I13" s="0" t="n">
        <f aca="false">I11+I12</f>
        <v>142374.748824363</v>
      </c>
      <c r="J13" s="0" t="n">
        <f aca="false">J11+J12</f>
        <v>145687.164601165</v>
      </c>
      <c r="K13" s="0" t="n">
        <f aca="false">K11+K12</f>
        <v>149066.918532785</v>
      </c>
      <c r="L13" s="0" t="n">
        <f aca="false">L11+L12</f>
        <v>152515.285470318</v>
      </c>
    </row>
    <row r="14" customFormat="false" ht="15" hidden="false" customHeight="false" outlineLevel="0" collapsed="false">
      <c r="A14" s="0" t="s">
        <v>102</v>
      </c>
      <c r="C14" s="4" t="n">
        <f aca="false">Assumptions!C33</f>
        <v>26</v>
      </c>
      <c r="D14" s="4" t="n">
        <f aca="false">Assumptions!D33</f>
        <v>26</v>
      </c>
      <c r="E14" s="4" t="n">
        <f aca="false">Assumptions!E33</f>
        <v>26</v>
      </c>
      <c r="F14" s="4" t="n">
        <f aca="false">Assumptions!F33</f>
        <v>26</v>
      </c>
      <c r="G14" s="4" t="n">
        <f aca="false">Assumptions!G33</f>
        <v>26</v>
      </c>
      <c r="H14" s="4" t="n">
        <f aca="false">Assumptions!H33</f>
        <v>26</v>
      </c>
      <c r="I14" s="4" t="n">
        <f aca="false">Assumptions!I33</f>
        <v>26</v>
      </c>
      <c r="J14" s="4" t="n">
        <f aca="false">Assumptions!J33</f>
        <v>26</v>
      </c>
      <c r="K14" s="4" t="n">
        <f aca="false">Assumptions!K33</f>
        <v>26</v>
      </c>
      <c r="L14" s="4" t="n">
        <f aca="false">Assumptions!L33</f>
        <v>26</v>
      </c>
    </row>
    <row r="15" customFormat="false" ht="15" hidden="false" customHeight="false" outlineLevel="0" collapsed="false">
      <c r="A15" s="0" t="s">
        <v>117</v>
      </c>
      <c r="C15" s="0" t="n">
        <f aca="false">C13-MAX(0,C13)*C14/100</f>
        <v>89862.06515616</v>
      </c>
      <c r="D15" s="0" t="n">
        <f aca="false">D13-MAX(0,D13)*D14/100</f>
        <v>91990.9036346454</v>
      </c>
      <c r="E15" s="0" t="n">
        <f aca="false">E13-MAX(0,E13)*E14/100</f>
        <v>94627.2473585042</v>
      </c>
      <c r="F15" s="0" t="n">
        <f aca="false">F13-MAX(0,F13)*F14/100</f>
        <v>97332.2484698635</v>
      </c>
      <c r="G15" s="0" t="n">
        <f aca="false">G13-MAX(0,G13)*G14/100</f>
        <v>100107.598726734</v>
      </c>
      <c r="H15" s="0" t="n">
        <f aca="false">H13-MAX(0,H13)*H14/100</f>
        <v>102955.030094491</v>
      </c>
      <c r="I15" s="0" t="n">
        <f aca="false">I13-MAX(0,I13)*I14/100</f>
        <v>105357.314130029</v>
      </c>
      <c r="J15" s="0" t="n">
        <f aca="false">J13-MAX(0,J13)*J14/100</f>
        <v>107808.501804862</v>
      </c>
      <c r="K15" s="0" t="n">
        <f aca="false">K13-MAX(0,K13)*K14/100</f>
        <v>110309.519714261</v>
      </c>
      <c r="L15" s="0" t="n">
        <f aca="false">L13-MAX(0,L13)*L14/100</f>
        <v>112861.311248035</v>
      </c>
    </row>
    <row r="16" customFormat="false" ht="15" hidden="false" customHeight="false" outlineLevel="0" collapsed="false">
      <c r="A16" s="0" t="s">
        <v>118</v>
      </c>
      <c r="C16" s="0" t="n">
        <f aca="false">-C12</f>
        <v>155952.7695</v>
      </c>
      <c r="D16" s="0" t="n">
        <f aca="false">-D12</f>
        <v>156181.5002286</v>
      </c>
      <c r="E16" s="0" t="n">
        <f aca="false">-E12</f>
        <v>157152.358202994</v>
      </c>
      <c r="F16" s="0" t="n">
        <f aca="false">-F12</f>
        <v>158099.577896272</v>
      </c>
      <c r="G16" s="0" t="n">
        <f aca="false">-G12</f>
        <v>159021.825434001</v>
      </c>
      <c r="H16" s="0" t="n">
        <f aca="false">-H12</f>
        <v>159917.723042079</v>
      </c>
      <c r="I16" s="0" t="n">
        <f aca="false">-I12</f>
        <v>159997.681903601</v>
      </c>
      <c r="J16" s="0" t="n">
        <f aca="false">-J12</f>
        <v>160044.058043283</v>
      </c>
      <c r="K16" s="0" t="n">
        <f aca="false">-K12</f>
        <v>160055.825988727</v>
      </c>
      <c r="L16" s="0" t="n">
        <f aca="false">-L12</f>
        <v>161244.300219016</v>
      </c>
    </row>
    <row r="17" customFormat="false" ht="15" hidden="false" customHeight="false" outlineLevel="0" collapsed="false">
      <c r="A17" s="0" t="s">
        <v>119</v>
      </c>
      <c r="C17" s="4" t="n">
        <f aca="false">-C6*Assumptions!C32/100</f>
        <v>-142436.86281</v>
      </c>
      <c r="D17" s="4" t="n">
        <f aca="false">-D6*Assumptions!D32/100</f>
        <v>-142462.85493825</v>
      </c>
      <c r="E17" s="4" t="n">
        <f aca="false">-E6*Assumptions!E32/100</f>
        <v>-144235.726021926</v>
      </c>
      <c r="F17" s="4" t="n">
        <f aca="false">-F6*Assumptions!F32/100</f>
        <v>-146022.526806974</v>
      </c>
      <c r="G17" s="4" t="n">
        <f aca="false">-G6*Assumptions!G32/100</f>
        <v>-147823.105333015</v>
      </c>
      <c r="H17" s="4" t="n">
        <f aca="false">-H6*Assumptions!H32/100</f>
        <v>-150779.567439675</v>
      </c>
      <c r="I17" s="4" t="n">
        <f aca="false">-I6*Assumptions!I32/100</f>
        <v>-153041.26095127</v>
      </c>
      <c r="J17" s="4" t="n">
        <f aca="false">-J6*Assumptions!J32/100</f>
        <v>-155336.879865539</v>
      </c>
      <c r="K17" s="4" t="n">
        <f aca="false">-K6*Assumptions!K32/100</f>
        <v>-157666.933063522</v>
      </c>
      <c r="L17" s="4" t="n">
        <f aca="false">-L6*Assumptions!L32/100</f>
        <v>-160031.937059475</v>
      </c>
    </row>
    <row r="18" customFormat="false" ht="15" hidden="false" customHeight="false" outlineLevel="0" collapsed="false">
      <c r="A18" s="0" t="s">
        <v>120</v>
      </c>
      <c r="C18" s="4" t="n">
        <f aca="false">(C6-B6)*Assumptions!$B$37/100</f>
        <v>2100.374</v>
      </c>
      <c r="D18" s="4" t="n">
        <f aca="false">(D6-C6)*Assumptions!$B$37/100</f>
        <v>-3119.05538999999</v>
      </c>
      <c r="E18" s="4" t="n">
        <f aca="false">(E6-D6)*Assumptions!$B$37/100</f>
        <v>-4221.12162780003</v>
      </c>
      <c r="F18" s="4" t="n">
        <f aca="false">(F6-E6)*Assumptions!$B$37/100</f>
        <v>-4305.54406035598</v>
      </c>
      <c r="G18" s="4" t="n">
        <f aca="false">(G6-F6)*Assumptions!$B$37/100</f>
        <v>-4391.65494156312</v>
      </c>
      <c r="H18" s="4" t="n">
        <f aca="false">(H6-G6)*Assumptions!$B$37/100</f>
        <v>-4479.48804039438</v>
      </c>
      <c r="I18" s="4" t="n">
        <f aca="false">(I6-H6)*Assumptions!$B$37/100</f>
        <v>-3426.80835090168</v>
      </c>
      <c r="J18" s="4" t="n">
        <f aca="false">(J6-I6)*Assumptions!$B$37/100</f>
        <v>-3478.21047616522</v>
      </c>
      <c r="K18" s="4" t="n">
        <f aca="false">(K6-J6)*Assumptions!$B$37/100</f>
        <v>-3530.38363330769</v>
      </c>
      <c r="L18" s="4" t="n">
        <f aca="false">(L6-K6)*Assumptions!$B$37/100</f>
        <v>-3583.3393878073</v>
      </c>
    </row>
    <row r="19" customFormat="false" ht="15" hidden="false" customHeight="false" outlineLevel="0" collapsed="false">
      <c r="A19" s="0" t="s">
        <v>121</v>
      </c>
      <c r="C19" s="0" t="n">
        <f aca="false">C15+C16+C17+C18</f>
        <v>105478.34584616</v>
      </c>
      <c r="D19" s="0" t="n">
        <f aca="false">D15+D16+D17+D18</f>
        <v>102590.493534995</v>
      </c>
      <c r="E19" s="0" t="n">
        <f aca="false">E15+E16+E17+E18</f>
        <v>103322.757911772</v>
      </c>
      <c r="F19" s="0" t="n">
        <f aca="false">F15+F16+F17+F18</f>
        <v>105103.755498806</v>
      </c>
      <c r="G19" s="0" t="n">
        <f aca="false">G15+G16+G17+G18</f>
        <v>106914.663886156</v>
      </c>
      <c r="H19" s="0" t="n">
        <f aca="false">H15+H16+H17+H18</f>
        <v>107613.697656501</v>
      </c>
      <c r="I19" s="0" t="n">
        <f aca="false">I15+I16+I17+I18</f>
        <v>108886.926731458</v>
      </c>
      <c r="J19" s="0" t="n">
        <f aca="false">J15+J16+J17+J18</f>
        <v>109037.46950644</v>
      </c>
      <c r="K19" s="0" t="n">
        <f aca="false">K15+K16+K17+K18</f>
        <v>109168.029006158</v>
      </c>
      <c r="L19" s="0" t="n">
        <f aca="false">L15+L16+L17+L18</f>
        <v>110490.335019769</v>
      </c>
    </row>
    <row r="20" customFormat="false" ht="15" hidden="false" customHeight="false" outlineLevel="0" collapsed="false">
      <c r="A20" s="0" t="s">
        <v>122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123</v>
      </c>
      <c r="C21" s="0" t="n">
        <f aca="false">C19*C20</f>
        <v>97665.1350427408</v>
      </c>
      <c r="D21" s="0" t="n">
        <f aca="false">D19*D20</f>
        <v>87954.8127014707</v>
      </c>
      <c r="E21" s="0" t="n">
        <f aca="false">E19*E20</f>
        <v>82020.9364614866</v>
      </c>
      <c r="F21" s="0" t="n">
        <f aca="false">F19*F20</f>
        <v>77254.3979326418</v>
      </c>
      <c r="G21" s="0" t="n">
        <f aca="false">G19*G20</f>
        <v>72764.3237574295</v>
      </c>
      <c r="H21" s="0" t="n">
        <f aca="false">H19*H20</f>
        <v>67814.8836997084</v>
      </c>
      <c r="I21" s="0" t="n">
        <f aca="false">I19*I20</f>
        <v>63534.4759174172</v>
      </c>
      <c r="J21" s="0" t="n">
        <f aca="false">J19*J20</f>
        <v>58909.5520191627</v>
      </c>
      <c r="K21" s="0" t="n">
        <f aca="false">K19*K20</f>
        <v>54611.1937541076</v>
      </c>
      <c r="L21" s="0" t="n">
        <f aca="false">L19*L20</f>
        <v>51178.4036774523</v>
      </c>
    </row>
    <row r="23" customFormat="false" ht="15" hidden="false" customHeight="false" outlineLevel="0" collapsed="false">
      <c r="A23" s="0" t="s">
        <v>99</v>
      </c>
      <c r="C23" s="4" t="n">
        <f aca="false">Assumptions!C30</f>
        <v>3.1</v>
      </c>
      <c r="D23" s="4" t="n">
        <f aca="false">Assumptions!D30</f>
        <v>3.1</v>
      </c>
      <c r="E23" s="4" t="n">
        <f aca="false">Assumptions!E30</f>
        <v>3.1</v>
      </c>
      <c r="F23" s="4" t="n">
        <f aca="false">Assumptions!F30</f>
        <v>3.1</v>
      </c>
      <c r="G23" s="4" t="n">
        <f aca="false">Assumptions!G30</f>
        <v>3.1</v>
      </c>
      <c r="H23" s="4" t="n">
        <f aca="false">Assumptions!H30</f>
        <v>3.1</v>
      </c>
      <c r="I23" s="4" t="n">
        <f aca="false">Assumptions!I30</f>
        <v>3.1</v>
      </c>
      <c r="J23" s="4" t="n">
        <f aca="false">Assumptions!J30</f>
        <v>3.1</v>
      </c>
      <c r="K23" s="4" t="n">
        <f aca="false">Assumptions!K30</f>
        <v>3.1</v>
      </c>
      <c r="L23" s="4" t="n">
        <f aca="false">Assumptions!L30</f>
        <v>3.1</v>
      </c>
    </row>
    <row r="24" customFormat="false" ht="15" hidden="false" customHeight="false" outlineLevel="0" collapsed="false">
      <c r="A24" s="0" t="s">
        <v>124</v>
      </c>
      <c r="C24" s="0" t="n">
        <f aca="false">-C6*C23/100</f>
        <v>-32230.23903</v>
      </c>
      <c r="D24" s="0" t="n">
        <f aca="false">-D6*D23/100</f>
        <v>-32713.69261545</v>
      </c>
      <c r="E24" s="0" t="n">
        <f aca="false">-E6*E23/100</f>
        <v>-33367.966467759</v>
      </c>
      <c r="F24" s="0" t="n">
        <f aca="false">-F6*F23/100</f>
        <v>-34035.3257971142</v>
      </c>
      <c r="G24" s="0" t="n">
        <f aca="false">-G6*G23/100</f>
        <v>-34716.0323130565</v>
      </c>
      <c r="H24" s="0" t="n">
        <f aca="false">-H6*H23/100</f>
        <v>-35410.3529593176</v>
      </c>
      <c r="I24" s="0" t="n">
        <f aca="false">-I6*I23/100</f>
        <v>-35941.5082537074</v>
      </c>
      <c r="J24" s="0" t="n">
        <f aca="false">-J6*J23/100</f>
        <v>-36480.630877513</v>
      </c>
      <c r="K24" s="0" t="n">
        <f aca="false">-K6*K23/100</f>
        <v>-37027.8403406757</v>
      </c>
      <c r="L24" s="0" t="n">
        <f aca="false">-L6*L23/100</f>
        <v>-37583.2579457858</v>
      </c>
    </row>
    <row r="26" customFormat="false" ht="15" hidden="false" customHeight="false" outlineLevel="0" collapsed="false">
      <c r="A26" s="2" t="s">
        <v>125</v>
      </c>
    </row>
    <row r="27" customFormat="false" ht="15" hidden="false" customHeight="false" outlineLevel="0" collapsed="false">
      <c r="A27" s="0" t="s">
        <v>103</v>
      </c>
      <c r="B27" s="4" t="n">
        <f aca="false">Assumptions!$B$34</f>
        <v>8</v>
      </c>
    </row>
    <row r="28" customFormat="false" ht="15" hidden="false" customHeight="false" outlineLevel="0" collapsed="false">
      <c r="A28" s="0" t="s">
        <v>104</v>
      </c>
      <c r="B28" s="4" t="n">
        <f aca="false">Assumptions!$B$35</f>
        <v>2</v>
      </c>
    </row>
    <row r="29" customFormat="false" ht="15" hidden="false" customHeight="false" outlineLevel="0" collapsed="false">
      <c r="A29" s="0" t="s">
        <v>105</v>
      </c>
      <c r="B29" s="4" t="n">
        <f aca="false">Assumptions!$B$36</f>
        <v>15</v>
      </c>
    </row>
    <row r="30" customFormat="false" ht="15" hidden="false" customHeight="false" outlineLevel="0" collapsed="false">
      <c r="A30" s="0" t="s">
        <v>126</v>
      </c>
      <c r="B30" s="0" t="n">
        <f aca="false">SUM(C21:L21)</f>
        <v>713708.114963618</v>
      </c>
    </row>
    <row r="31" customFormat="false" ht="15" hidden="false" customHeight="false" outlineLevel="0" collapsed="false">
      <c r="A31" s="0" t="s">
        <v>127</v>
      </c>
      <c r="B31" s="0" t="n">
        <f aca="false">L19</f>
        <v>110490.335019769</v>
      </c>
    </row>
    <row r="32" customFormat="false" ht="15" hidden="false" customHeight="false" outlineLevel="0" collapsed="false">
      <c r="A32" s="0" t="s">
        <v>128</v>
      </c>
      <c r="B32" s="0" t="n">
        <f aca="false">IF(B27&gt;B28,B31*(1+B28/100)/((B27-B28)/100),B31*B29)</f>
        <v>1878335.69533608</v>
      </c>
    </row>
    <row r="33" customFormat="false" ht="15" hidden="false" customHeight="false" outlineLevel="0" collapsed="false">
      <c r="A33" s="0" t="s">
        <v>129</v>
      </c>
      <c r="B33" s="0" t="n">
        <f aca="false">B31*B29</f>
        <v>1657355.02529654</v>
      </c>
    </row>
    <row r="34" customFormat="false" ht="15" hidden="false" customHeight="false" outlineLevel="0" collapsed="false">
      <c r="A34" s="0" t="s">
        <v>130</v>
      </c>
      <c r="B34" s="0" t="n">
        <f aca="false">MAX(0,MIN(B32,B33))</f>
        <v>1657355.02529654</v>
      </c>
    </row>
    <row r="35" customFormat="false" ht="15" hidden="false" customHeight="false" outlineLevel="0" collapsed="false">
      <c r="A35" s="0" t="s">
        <v>131</v>
      </c>
      <c r="B35" s="0" t="n">
        <f aca="false">B34/(1+B27/100)^L4</f>
        <v>767676.055161784</v>
      </c>
    </row>
    <row r="36" customFormat="false" ht="15" hidden="false" customHeight="false" outlineLevel="0" collapsed="false">
      <c r="A36" s="0" t="s">
        <v>132</v>
      </c>
      <c r="B36" s="0" t="n">
        <f aca="false">B30+B35</f>
        <v>1481384.1701254</v>
      </c>
    </row>
    <row r="37" customFormat="false" ht="15" hidden="false" customHeight="false" outlineLevel="0" collapsed="false">
      <c r="A37" s="0" t="s">
        <v>133</v>
      </c>
      <c r="B37" s="0" t="n">
        <f aca="false">B36+Assumptions!$B$5-Assumptions!$B$4</f>
        <v>2214551.1701254</v>
      </c>
    </row>
    <row r="38" customFormat="false" ht="15" hidden="false" customHeight="false" outlineLevel="0" collapsed="false">
      <c r="A38" s="0" t="s">
        <v>134</v>
      </c>
      <c r="B38" s="0" t="n">
        <f aca="false">B37/Assumptions!$B$3*Assumptions!$B$10</f>
        <v>119.171545223084</v>
      </c>
    </row>
    <row r="39" customFormat="false" ht="15" hidden="false" customHeight="false" outlineLevel="0" collapsed="false">
      <c r="A39" s="0" t="s">
        <v>135</v>
      </c>
      <c r="B39" s="4" t="n">
        <f aca="false">B38/Assumptions!$B$2-1</f>
        <v>0.487784584557847</v>
      </c>
    </row>
    <row r="41" customFormat="false" ht="15" hidden="false" customHeight="false" outlineLevel="0" collapsed="false">
      <c r="A41" s="0" t="s">
        <v>136</v>
      </c>
      <c r="B41" s="0" t="n">
        <f aca="false">SUMPRODUCT(-C10:L10/(1+$B$27/100)^C4:L4)</f>
        <v>1496.4457526953</v>
      </c>
    </row>
    <row r="42" customFormat="false" ht="15" hidden="false" customHeight="false" outlineLevel="0" collapsed="false">
      <c r="A42" s="0" t="s">
        <v>137</v>
      </c>
      <c r="B42" s="0" t="n">
        <f aca="false">IF(B27&gt;B28,-L10*(1+B28/100)/((B27-B28)/100),-L10*20)/(1+B27/100)^L4</f>
        <v>1909.29965035751</v>
      </c>
    </row>
    <row r="43" customFormat="false" ht="15" hidden="false" customHeight="false" outlineLevel="0" collapsed="false">
      <c r="A43" s="0" t="s">
        <v>138</v>
      </c>
      <c r="B43" s="0" t="n">
        <f aca="false">(B37+B41+B42)/Assumptions!$B$3*Assumptions!$B$10</f>
        <v>119.354818451444</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866924.16707819</v>
      </c>
    </row>
    <row r="47" customFormat="false" ht="15" hidden="false" customHeight="false" outlineLevel="0" collapsed="false">
      <c r="A47" s="0" t="s">
        <v>140</v>
      </c>
      <c r="B47" s="0" t="n">
        <f aca="false">(SUMPRODUCT(C19:L19/(1+B45/100)^C4:L4)+B46/(1+B45/100)^L4+Assumptions!$B$5-Assumptions!$B$4)/Assumptions!$B$3*Assumptions!$B$10</f>
        <v>79.6100031165746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Assumptions!C41</f>
        <v>0</v>
      </c>
      <c r="D5" s="4" t="n">
        <f aca="false">Assumptions!D41</f>
        <v>3</v>
      </c>
      <c r="E5" s="4" t="n">
        <f aca="false">Assumptions!E41</f>
        <v>4</v>
      </c>
      <c r="F5" s="4" t="n">
        <f aca="false">Assumptions!F41</f>
        <v>4</v>
      </c>
      <c r="G5" s="4" t="n">
        <f aca="false">Assumptions!G41</f>
        <v>4</v>
      </c>
      <c r="H5" s="4" t="n">
        <f aca="false">Assumptions!H41</f>
        <v>3.5</v>
      </c>
      <c r="I5" s="4" t="n">
        <f aca="false">Assumptions!I41</f>
        <v>3</v>
      </c>
      <c r="J5" s="4" t="n">
        <f aca="false">Assumptions!J41</f>
        <v>3</v>
      </c>
      <c r="K5" s="4" t="n">
        <f aca="false">Assumptions!K41</f>
        <v>2.5</v>
      </c>
      <c r="L5" s="4" t="n">
        <f aca="false">Assumptions!L41</f>
        <v>2.5</v>
      </c>
    </row>
    <row r="6" customFormat="false" ht="15" hidden="false" customHeight="false" outlineLevel="0" collapsed="false">
      <c r="A6" s="0" t="s">
        <v>38</v>
      </c>
      <c r="B6" s="3" t="n">
        <v>1050187</v>
      </c>
      <c r="C6" s="0" t="n">
        <f aca="false">B6*(1+C5/100)</f>
        <v>1050187</v>
      </c>
      <c r="D6" s="0" t="n">
        <f aca="false">C6*(1+D5/100)</f>
        <v>1081692.61</v>
      </c>
      <c r="E6" s="0" t="n">
        <f aca="false">D6*(1+E5/100)</f>
        <v>1124960.3144</v>
      </c>
      <c r="F6" s="0" t="n">
        <f aca="false">E6*(1+F5/100)</f>
        <v>1169958.726976</v>
      </c>
      <c r="G6" s="0" t="n">
        <f aca="false">F6*(1+G5/100)</f>
        <v>1216757.07605504</v>
      </c>
      <c r="H6" s="0" t="n">
        <f aca="false">G6*(1+H5/100)</f>
        <v>1259343.57371697</v>
      </c>
      <c r="I6" s="0" t="n">
        <f aca="false">H6*(1+I5/100)</f>
        <v>1297123.88092848</v>
      </c>
      <c r="J6" s="0" t="n">
        <f aca="false">I6*(1+J5/100)</f>
        <v>1336037.59735633</v>
      </c>
      <c r="K6" s="0" t="n">
        <f aca="false">J6*(1+K5/100)</f>
        <v>1369438.53729024</v>
      </c>
      <c r="L6" s="0" t="n">
        <f aca="false">K6*(1+L5/100)</f>
        <v>1403674.50072249</v>
      </c>
    </row>
    <row r="7" customFormat="false" ht="15" hidden="false" customHeight="false" outlineLevel="0" collapsed="false">
      <c r="A7" s="0" t="s">
        <v>97</v>
      </c>
      <c r="C7" s="4" t="n">
        <f aca="false">Assumptions!C42</f>
        <v>30.3</v>
      </c>
      <c r="D7" s="4" t="n">
        <f aca="false">Assumptions!D42</f>
        <v>30.5</v>
      </c>
      <c r="E7" s="4" t="n">
        <f aca="false">Assumptions!E42</f>
        <v>30.7</v>
      </c>
      <c r="F7" s="4" t="n">
        <f aca="false">Assumptions!F42</f>
        <v>30.9</v>
      </c>
      <c r="G7" s="4" t="n">
        <f aca="false">Assumptions!G42</f>
        <v>31</v>
      </c>
      <c r="H7" s="4" t="n">
        <f aca="false">Assumptions!H42</f>
        <v>31</v>
      </c>
      <c r="I7" s="4" t="n">
        <f aca="false">Assumptions!I42</f>
        <v>31</v>
      </c>
      <c r="J7" s="4" t="n">
        <f aca="false">Assumptions!J42</f>
        <v>31</v>
      </c>
      <c r="K7" s="4" t="n">
        <f aca="false">Assumptions!K42</f>
        <v>31</v>
      </c>
      <c r="L7" s="4" t="n">
        <f aca="false">Assumptions!L42</f>
        <v>31</v>
      </c>
    </row>
    <row r="8" customFormat="false" ht="15" hidden="false" customHeight="false" outlineLevel="0" collapsed="false">
      <c r="A8" s="0" t="s">
        <v>44</v>
      </c>
      <c r="C8" s="0" t="n">
        <f aca="false">C6*C7/100</f>
        <v>318206.661</v>
      </c>
      <c r="D8" s="0" t="n">
        <f aca="false">D6*D7/100</f>
        <v>329916.24605</v>
      </c>
      <c r="E8" s="0" t="n">
        <f aca="false">E6*E7/100</f>
        <v>345362.8165208</v>
      </c>
      <c r="F8" s="0" t="n">
        <f aca="false">F6*F7/100</f>
        <v>361517.246635584</v>
      </c>
      <c r="G8" s="0" t="n">
        <f aca="false">G6*G7/100</f>
        <v>377194.693577062</v>
      </c>
      <c r="H8" s="0" t="n">
        <f aca="false">H6*H7/100</f>
        <v>390396.50785226</v>
      </c>
      <c r="I8" s="0" t="n">
        <f aca="false">I6*I7/100</f>
        <v>402108.403087827</v>
      </c>
      <c r="J8" s="0" t="n">
        <f aca="false">J6*J7/100</f>
        <v>414171.655180462</v>
      </c>
      <c r="K8" s="0" t="n">
        <f aca="false">K6*K7/100</f>
        <v>424525.946559974</v>
      </c>
      <c r="L8" s="0" t="n">
        <f aca="false">L6*L7/100</f>
        <v>435139.095223973</v>
      </c>
    </row>
    <row r="9" customFormat="false" ht="15" hidden="false" customHeight="false" outlineLevel="0" collapsed="false">
      <c r="A9" s="0" t="s">
        <v>98</v>
      </c>
      <c r="C9" s="4" t="n">
        <f aca="false">Assumptions!C43</f>
        <v>0.02</v>
      </c>
      <c r="D9" s="4" t="n">
        <f aca="false">Assumptions!D43</f>
        <v>0.02</v>
      </c>
      <c r="E9" s="4" t="n">
        <f aca="false">Assumptions!E43</f>
        <v>0.02</v>
      </c>
      <c r="F9" s="4" t="n">
        <f aca="false">Assumptions!F43</f>
        <v>0.02</v>
      </c>
      <c r="G9" s="4" t="n">
        <f aca="false">Assumptions!G43</f>
        <v>0.02</v>
      </c>
      <c r="H9" s="4" t="n">
        <f aca="false">Assumptions!H43</f>
        <v>0.02</v>
      </c>
      <c r="I9" s="4" t="n">
        <f aca="false">Assumptions!I43</f>
        <v>0.02</v>
      </c>
      <c r="J9" s="4" t="n">
        <f aca="false">Assumptions!J43</f>
        <v>0.02</v>
      </c>
      <c r="K9" s="4" t="n">
        <f aca="false">Assumptions!K43</f>
        <v>0.02</v>
      </c>
      <c r="L9" s="4" t="n">
        <f aca="false">Assumptions!L43</f>
        <v>0.02</v>
      </c>
    </row>
    <row r="10" customFormat="false" ht="15" hidden="false" customHeight="false" outlineLevel="0" collapsed="false">
      <c r="A10" s="0" t="s">
        <v>113</v>
      </c>
      <c r="C10" s="0" t="n">
        <f aca="false">-C6*C9/100</f>
        <v>-210.0374</v>
      </c>
      <c r="D10" s="0" t="n">
        <f aca="false">-D6*D9/100</f>
        <v>-216.338522</v>
      </c>
      <c r="E10" s="0" t="n">
        <f aca="false">-E6*E9/100</f>
        <v>-224.99206288</v>
      </c>
      <c r="F10" s="0" t="n">
        <f aca="false">-F6*F9/100</f>
        <v>-233.9917453952</v>
      </c>
      <c r="G10" s="0" t="n">
        <f aca="false">-G6*G9/100</f>
        <v>-243.351415211008</v>
      </c>
      <c r="H10" s="0" t="n">
        <f aca="false">-H6*H9/100</f>
        <v>-251.868714743393</v>
      </c>
      <c r="I10" s="0" t="n">
        <f aca="false">-I6*I9/100</f>
        <v>-259.424776185695</v>
      </c>
      <c r="J10" s="0" t="n">
        <f aca="false">-J6*J9/100</f>
        <v>-267.207519471266</v>
      </c>
      <c r="K10" s="0" t="n">
        <f aca="false">-K6*K9/100</f>
        <v>-273.887707458048</v>
      </c>
      <c r="L10" s="0" t="n">
        <f aca="false">-L6*L9/100</f>
        <v>-280.734900144499</v>
      </c>
    </row>
    <row r="11" customFormat="false" ht="15" hidden="false" customHeight="false" outlineLevel="0" collapsed="false">
      <c r="A11" s="0" t="s">
        <v>114</v>
      </c>
      <c r="C11" s="0" t="n">
        <f aca="false">C8+C10+C24</f>
        <v>285440.8266</v>
      </c>
      <c r="D11" s="0" t="n">
        <f aca="false">D8+D10+D24</f>
        <v>296167.436618</v>
      </c>
      <c r="E11" s="0" t="n">
        <f aca="false">E8+E10+E24</f>
        <v>310264.05471152</v>
      </c>
      <c r="F11" s="0" t="n">
        <f aca="false">F8+F10+F24</f>
        <v>325014.534353933</v>
      </c>
      <c r="G11" s="0" t="n">
        <f aca="false">G8+G10+G24</f>
        <v>339231.872804145</v>
      </c>
      <c r="H11" s="0" t="n">
        <f aca="false">H8+H10+H24</f>
        <v>351104.98835229</v>
      </c>
      <c r="I11" s="0" t="n">
        <f aca="false">I8+I10+I24</f>
        <v>361638.138002859</v>
      </c>
      <c r="J11" s="0" t="n">
        <f aca="false">J8+J10+J24</f>
        <v>372487.282142945</v>
      </c>
      <c r="K11" s="0" t="n">
        <f aca="false">K8+K10+K24</f>
        <v>381799.464196518</v>
      </c>
      <c r="L11" s="0" t="n">
        <f aca="false">L8+L10+L24</f>
        <v>391344.450801431</v>
      </c>
    </row>
    <row r="12" customFormat="false" ht="15" hidden="false" customHeight="false" outlineLevel="0" collapsed="false">
      <c r="A12" s="0" t="s">
        <v>115</v>
      </c>
      <c r="C12" s="4" t="n">
        <f aca="false">-C6*Assumptions!C45/100</f>
        <v>-157528.05</v>
      </c>
      <c r="D12" s="4" t="n">
        <f aca="false">-D6*Assumptions!D45/100</f>
        <v>-160090.50628</v>
      </c>
      <c r="E12" s="4" t="n">
        <f aca="false">-E6*Assumptions!E45/100</f>
        <v>-163119.245588</v>
      </c>
      <c r="F12" s="4" t="n">
        <f aca="false">-F6*Assumptions!F45/100</f>
        <v>-166134.139230592</v>
      </c>
      <c r="G12" s="4" t="n">
        <f aca="false">-G6*Assumptions!G45/100</f>
        <v>-169129.233571651</v>
      </c>
      <c r="H12" s="4" t="n">
        <f aca="false">-H6*Assumptions!H45/100</f>
        <v>-171270.726025507</v>
      </c>
      <c r="I12" s="4" t="n">
        <f aca="false">-I6*Assumptions!I45/100</f>
        <v>-172517.476163487</v>
      </c>
      <c r="J12" s="4" t="n">
        <f aca="false">-J6*Assumptions!J45/100</f>
        <v>-173684.887656323</v>
      </c>
      <c r="K12" s="4" t="n">
        <f aca="false">-K6*Assumptions!K45/100</f>
        <v>-175288.13277315</v>
      </c>
      <c r="L12" s="4" t="n">
        <f aca="false">-L6*Assumptions!L45/100</f>
        <v>-178266.661591757</v>
      </c>
    </row>
    <row r="13" customFormat="false" ht="15" hidden="false" customHeight="false" outlineLevel="0" collapsed="false">
      <c r="A13" s="0" t="s">
        <v>116</v>
      </c>
      <c r="C13" s="0" t="n">
        <f aca="false">C11+C12</f>
        <v>127912.7766</v>
      </c>
      <c r="D13" s="0" t="n">
        <f aca="false">D11+D12</f>
        <v>136076.930338</v>
      </c>
      <c r="E13" s="0" t="n">
        <f aca="false">E11+E12</f>
        <v>147144.80912352</v>
      </c>
      <c r="F13" s="0" t="n">
        <f aca="false">F11+F12</f>
        <v>158880.395123341</v>
      </c>
      <c r="G13" s="0" t="n">
        <f aca="false">G11+G12</f>
        <v>170102.639232495</v>
      </c>
      <c r="H13" s="0" t="n">
        <f aca="false">H11+H12</f>
        <v>179834.262326783</v>
      </c>
      <c r="I13" s="0" t="n">
        <f aca="false">I11+I12</f>
        <v>189120.661839372</v>
      </c>
      <c r="J13" s="0" t="n">
        <f aca="false">J11+J12</f>
        <v>198802.394486622</v>
      </c>
      <c r="K13" s="0" t="n">
        <f aca="false">K11+K12</f>
        <v>206511.331423368</v>
      </c>
      <c r="L13" s="0" t="n">
        <f aca="false">L11+L12</f>
        <v>213077.789209675</v>
      </c>
    </row>
    <row r="14" customFormat="false" ht="15" hidden="false" customHeight="false" outlineLevel="0" collapsed="false">
      <c r="A14" s="0" t="s">
        <v>102</v>
      </c>
      <c r="C14" s="4" t="n">
        <f aca="false">Assumptions!C47</f>
        <v>26</v>
      </c>
      <c r="D14" s="4" t="n">
        <f aca="false">Assumptions!D47</f>
        <v>26</v>
      </c>
      <c r="E14" s="4" t="n">
        <f aca="false">Assumptions!E47</f>
        <v>26</v>
      </c>
      <c r="F14" s="4" t="n">
        <f aca="false">Assumptions!F47</f>
        <v>26</v>
      </c>
      <c r="G14" s="4" t="n">
        <f aca="false">Assumptions!G47</f>
        <v>26</v>
      </c>
      <c r="H14" s="4" t="n">
        <f aca="false">Assumptions!H47</f>
        <v>26</v>
      </c>
      <c r="I14" s="4" t="n">
        <f aca="false">Assumptions!I47</f>
        <v>26</v>
      </c>
      <c r="J14" s="4" t="n">
        <f aca="false">Assumptions!J47</f>
        <v>26</v>
      </c>
      <c r="K14" s="4" t="n">
        <f aca="false">Assumptions!K47</f>
        <v>26</v>
      </c>
      <c r="L14" s="4" t="n">
        <f aca="false">Assumptions!L47</f>
        <v>26</v>
      </c>
    </row>
    <row r="15" customFormat="false" ht="15" hidden="false" customHeight="false" outlineLevel="0" collapsed="false">
      <c r="A15" s="0" t="s">
        <v>117</v>
      </c>
      <c r="C15" s="0" t="n">
        <f aca="false">C13-MAX(0,C13)*C14/100</f>
        <v>94655.454684</v>
      </c>
      <c r="D15" s="0" t="n">
        <f aca="false">D13-MAX(0,D13)*D14/100</f>
        <v>100696.92845012</v>
      </c>
      <c r="E15" s="0" t="n">
        <f aca="false">E13-MAX(0,E13)*E14/100</f>
        <v>108887.158751405</v>
      </c>
      <c r="F15" s="0" t="n">
        <f aca="false">F13-MAX(0,F13)*F14/100</f>
        <v>117571.492391272</v>
      </c>
      <c r="G15" s="0" t="n">
        <f aca="false">G13-MAX(0,G13)*G14/100</f>
        <v>125875.953032046</v>
      </c>
      <c r="H15" s="0" t="n">
        <f aca="false">H13-MAX(0,H13)*H14/100</f>
        <v>133077.354121819</v>
      </c>
      <c r="I15" s="0" t="n">
        <f aca="false">I13-MAX(0,I13)*I14/100</f>
        <v>139949.289761135</v>
      </c>
      <c r="J15" s="0" t="n">
        <f aca="false">J13-MAX(0,J13)*J14/100</f>
        <v>147113.7719201</v>
      </c>
      <c r="K15" s="0" t="n">
        <f aca="false">K13-MAX(0,K13)*K14/100</f>
        <v>152818.385253292</v>
      </c>
      <c r="L15" s="0" t="n">
        <f aca="false">L13-MAX(0,L13)*L14/100</f>
        <v>157677.564015159</v>
      </c>
    </row>
    <row r="16" customFormat="false" ht="15" hidden="false" customHeight="false" outlineLevel="0" collapsed="false">
      <c r="A16" s="0" t="s">
        <v>118</v>
      </c>
      <c r="C16" s="0" t="n">
        <f aca="false">-C12</f>
        <v>157528.05</v>
      </c>
      <c r="D16" s="0" t="n">
        <f aca="false">-D12</f>
        <v>160090.50628</v>
      </c>
      <c r="E16" s="0" t="n">
        <f aca="false">-E12</f>
        <v>163119.245588</v>
      </c>
      <c r="F16" s="0" t="n">
        <f aca="false">-F12</f>
        <v>166134.139230592</v>
      </c>
      <c r="G16" s="0" t="n">
        <f aca="false">-G12</f>
        <v>169129.233571651</v>
      </c>
      <c r="H16" s="0" t="n">
        <f aca="false">-H12</f>
        <v>171270.726025507</v>
      </c>
      <c r="I16" s="0" t="n">
        <f aca="false">-I12</f>
        <v>172517.476163487</v>
      </c>
      <c r="J16" s="0" t="n">
        <f aca="false">-J12</f>
        <v>173684.887656323</v>
      </c>
      <c r="K16" s="0" t="n">
        <f aca="false">-K12</f>
        <v>175288.13277315</v>
      </c>
      <c r="L16" s="0" t="n">
        <f aca="false">-L12</f>
        <v>178266.661591757</v>
      </c>
    </row>
    <row r="17" customFormat="false" ht="15" hidden="false" customHeight="false" outlineLevel="0" collapsed="false">
      <c r="A17" s="0" t="s">
        <v>119</v>
      </c>
      <c r="C17" s="4" t="n">
        <f aca="false">-C6*Assumptions!C46/100</f>
        <v>-143875.619</v>
      </c>
      <c r="D17" s="4" t="n">
        <f aca="false">-D6*Assumptions!D46/100</f>
        <v>-146028.50235</v>
      </c>
      <c r="E17" s="4" t="n">
        <f aca="false">-E6*Assumptions!E46/100</f>
        <v>-148494.7615008</v>
      </c>
      <c r="F17" s="4" t="n">
        <f aca="false">-F6*Assumptions!F46/100</f>
        <v>-152094.63450688</v>
      </c>
      <c r="G17" s="4" t="n">
        <f aca="false">-G6*Assumptions!G46/100</f>
        <v>-155744.905735045</v>
      </c>
      <c r="H17" s="4" t="n">
        <f aca="false">-H6*Assumptions!H46/100</f>
        <v>-158677.290288338</v>
      </c>
      <c r="I17" s="4" t="n">
        <f aca="false">-I6*Assumptions!I46/100</f>
        <v>-162140.485116059</v>
      </c>
      <c r="J17" s="4" t="n">
        <f aca="false">-J6*Assumptions!J46/100</f>
        <v>-167004.699669541</v>
      </c>
      <c r="K17" s="4" t="n">
        <f aca="false">-K6*Assumptions!K46/100</f>
        <v>-171179.81716128</v>
      </c>
      <c r="L17" s="4" t="n">
        <f aca="false">-L6*Assumptions!L46/100</f>
        <v>-175459.312590312</v>
      </c>
    </row>
    <row r="18" customFormat="false" ht="15" hidden="false" customHeight="false" outlineLevel="0" collapsed="false">
      <c r="A18" s="0" t="s">
        <v>120</v>
      </c>
      <c r="C18" s="4" t="n">
        <f aca="false">(C6-B6)*Assumptions!$B$51/100</f>
        <v>-0</v>
      </c>
      <c r="D18" s="4" t="n">
        <f aca="false">(D6-C6)*Assumptions!$B$51/100</f>
        <v>-6301.12200000002</v>
      </c>
      <c r="E18" s="4" t="n">
        <f aca="false">(E6-D6)*Assumptions!$B$51/100</f>
        <v>-8653.54087999999</v>
      </c>
      <c r="F18" s="4" t="n">
        <f aca="false">(F6-E6)*Assumptions!$B$51/100</f>
        <v>-8999.6825152</v>
      </c>
      <c r="G18" s="4" t="n">
        <f aca="false">(G6-F6)*Assumptions!$B$51/100</f>
        <v>-9359.66981580802</v>
      </c>
      <c r="H18" s="4" t="n">
        <f aca="false">(H6-G6)*Assumptions!$B$51/100</f>
        <v>-8517.29953238526</v>
      </c>
      <c r="I18" s="4" t="n">
        <f aca="false">(I6-H6)*Assumptions!$B$51/100</f>
        <v>-7556.0614423018</v>
      </c>
      <c r="J18" s="4" t="n">
        <f aca="false">(J6-I6)*Assumptions!$B$51/100</f>
        <v>-7782.74328557085</v>
      </c>
      <c r="K18" s="4" t="n">
        <f aca="false">(K6-J6)*Assumptions!$B$51/100</f>
        <v>-6680.18798678163</v>
      </c>
      <c r="L18" s="4" t="n">
        <f aca="false">(L6-K6)*Assumptions!$B$51/100</f>
        <v>-6847.19268645118</v>
      </c>
    </row>
    <row r="19" customFormat="false" ht="15" hidden="false" customHeight="false" outlineLevel="0" collapsed="false">
      <c r="A19" s="0" t="s">
        <v>121</v>
      </c>
      <c r="C19" s="0" t="n">
        <f aca="false">C15+C16+C17+C18</f>
        <v>108307.885684</v>
      </c>
      <c r="D19" s="0" t="n">
        <f aca="false">D15+D16+D17+D18</f>
        <v>108457.81038012</v>
      </c>
      <c r="E19" s="0" t="n">
        <f aca="false">E15+E16+E17+E18</f>
        <v>114858.101958605</v>
      </c>
      <c r="F19" s="0" t="n">
        <f aca="false">F15+F16+F17+F18</f>
        <v>122611.314599784</v>
      </c>
      <c r="G19" s="0" t="n">
        <f aca="false">G15+G16+G17+G18</f>
        <v>129900.611052843</v>
      </c>
      <c r="H19" s="0" t="n">
        <f aca="false">H15+H16+H17+H18</f>
        <v>137153.490326604</v>
      </c>
      <c r="I19" s="0" t="n">
        <f aca="false">I15+I16+I17+I18</f>
        <v>142770.219366261</v>
      </c>
      <c r="J19" s="0" t="n">
        <f aca="false">J15+J16+J17+J18</f>
        <v>146011.216621311</v>
      </c>
      <c r="K19" s="0" t="n">
        <f aca="false">K15+K16+K17+K18</f>
        <v>150246.512878381</v>
      </c>
      <c r="L19" s="0" t="n">
        <f aca="false">L15+L16+L17+L18</f>
        <v>153637.720330153</v>
      </c>
    </row>
    <row r="20" customFormat="false" ht="15" hidden="false" customHeight="false" outlineLevel="0" collapsed="false">
      <c r="A20" s="0" t="s">
        <v>122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123</v>
      </c>
      <c r="C21" s="0" t="n">
        <f aca="false">C19*C20</f>
        <v>100285.079337037</v>
      </c>
      <c r="D21" s="0" t="n">
        <f aca="false">D19*D20</f>
        <v>92985.0912038066</v>
      </c>
      <c r="E21" s="0" t="n">
        <f aca="false">E19*E20</f>
        <v>91178.0644771224</v>
      </c>
      <c r="F21" s="0" t="n">
        <f aca="false">F19*F20</f>
        <v>90122.976521459</v>
      </c>
      <c r="G21" s="0" t="n">
        <f aca="false">G19*G20</f>
        <v>88408.1731669822</v>
      </c>
      <c r="H21" s="0" t="n">
        <f aca="false">H19*H20</f>
        <v>86429.9638248313</v>
      </c>
      <c r="I21" s="0" t="n">
        <f aca="false">I19*I20</f>
        <v>83305.0517296812</v>
      </c>
      <c r="J21" s="0" t="n">
        <f aca="false">J19*J20</f>
        <v>78885.317128772</v>
      </c>
      <c r="K21" s="0" t="n">
        <f aca="false">K19*K20</f>
        <v>75160.6628825137</v>
      </c>
      <c r="L21" s="0" t="n">
        <f aca="false">L19*L20</f>
        <v>71163.9915811028</v>
      </c>
    </row>
    <row r="23" customFormat="false" ht="15" hidden="false" customHeight="false" outlineLevel="0" collapsed="false">
      <c r="A23" s="0" t="s">
        <v>99</v>
      </c>
      <c r="C23" s="4" t="n">
        <f aca="false">Assumptions!C44</f>
        <v>3.1</v>
      </c>
      <c r="D23" s="4" t="n">
        <f aca="false">Assumptions!D44</f>
        <v>3.1</v>
      </c>
      <c r="E23" s="4" t="n">
        <f aca="false">Assumptions!E44</f>
        <v>3.1</v>
      </c>
      <c r="F23" s="4" t="n">
        <f aca="false">Assumptions!F44</f>
        <v>3.1</v>
      </c>
      <c r="G23" s="4" t="n">
        <f aca="false">Assumptions!G44</f>
        <v>3.1</v>
      </c>
      <c r="H23" s="4" t="n">
        <f aca="false">Assumptions!H44</f>
        <v>3.1</v>
      </c>
      <c r="I23" s="4" t="n">
        <f aca="false">Assumptions!I44</f>
        <v>3.1</v>
      </c>
      <c r="J23" s="4" t="n">
        <f aca="false">Assumptions!J44</f>
        <v>3.1</v>
      </c>
      <c r="K23" s="4" t="n">
        <f aca="false">Assumptions!K44</f>
        <v>3.1</v>
      </c>
      <c r="L23" s="4" t="n">
        <f aca="false">Assumptions!L44</f>
        <v>3.1</v>
      </c>
    </row>
    <row r="24" customFormat="false" ht="15" hidden="false" customHeight="false" outlineLevel="0" collapsed="false">
      <c r="A24" s="0" t="s">
        <v>124</v>
      </c>
      <c r="C24" s="0" t="n">
        <f aca="false">-C6*C23/100</f>
        <v>-32555.797</v>
      </c>
      <c r="D24" s="0" t="n">
        <f aca="false">-D6*D23/100</f>
        <v>-33532.47091</v>
      </c>
      <c r="E24" s="0" t="n">
        <f aca="false">-E6*E23/100</f>
        <v>-34873.7697464</v>
      </c>
      <c r="F24" s="0" t="n">
        <f aca="false">-F6*F23/100</f>
        <v>-36268.720536256</v>
      </c>
      <c r="G24" s="0" t="n">
        <f aca="false">-G6*G23/100</f>
        <v>-37719.4693577062</v>
      </c>
      <c r="H24" s="0" t="n">
        <f aca="false">-H6*H23/100</f>
        <v>-39039.650785226</v>
      </c>
      <c r="I24" s="0" t="n">
        <f aca="false">-I6*I23/100</f>
        <v>-40210.8403087827</v>
      </c>
      <c r="J24" s="0" t="n">
        <f aca="false">-J6*J23/100</f>
        <v>-41417.1655180462</v>
      </c>
      <c r="K24" s="0" t="n">
        <f aca="false">-K6*K23/100</f>
        <v>-42452.5946559974</v>
      </c>
      <c r="L24" s="0" t="n">
        <f aca="false">-L6*L23/100</f>
        <v>-43513.9095223973</v>
      </c>
    </row>
    <row r="26" customFormat="false" ht="15" hidden="false" customHeight="false" outlineLevel="0" collapsed="false">
      <c r="A26" s="2" t="s">
        <v>125</v>
      </c>
    </row>
    <row r="27" customFormat="false" ht="15" hidden="false" customHeight="false" outlineLevel="0" collapsed="false">
      <c r="A27" s="0" t="s">
        <v>103</v>
      </c>
      <c r="B27" s="4" t="n">
        <f aca="false">Assumptions!$B$48</f>
        <v>8</v>
      </c>
    </row>
    <row r="28" customFormat="false" ht="15" hidden="false" customHeight="false" outlineLevel="0" collapsed="false">
      <c r="A28" s="0" t="s">
        <v>104</v>
      </c>
      <c r="B28" s="4" t="n">
        <f aca="false">Assumptions!$B$49</f>
        <v>2.5</v>
      </c>
    </row>
    <row r="29" customFormat="false" ht="15" hidden="false" customHeight="false" outlineLevel="0" collapsed="false">
      <c r="A29" s="0" t="s">
        <v>105</v>
      </c>
      <c r="B29" s="4" t="n">
        <f aca="false">Assumptions!$B$50</f>
        <v>16</v>
      </c>
    </row>
    <row r="30" customFormat="false" ht="15" hidden="false" customHeight="false" outlineLevel="0" collapsed="false">
      <c r="A30" s="0" t="s">
        <v>126</v>
      </c>
      <c r="B30" s="0" t="n">
        <f aca="false">SUM(C21:L21)</f>
        <v>857924.371853308</v>
      </c>
    </row>
    <row r="31" customFormat="false" ht="15" hidden="false" customHeight="false" outlineLevel="0" collapsed="false">
      <c r="A31" s="0" t="s">
        <v>127</v>
      </c>
      <c r="B31" s="0" t="n">
        <f aca="false">L19</f>
        <v>153637.720330153</v>
      </c>
    </row>
    <row r="32" customFormat="false" ht="15" hidden="false" customHeight="false" outlineLevel="0" collapsed="false">
      <c r="A32" s="0" t="s">
        <v>128</v>
      </c>
      <c r="B32" s="0" t="n">
        <f aca="false">IF(B27&gt;B28,B31*(1+B28/100)/((B27-B28)/100),B31*B29)</f>
        <v>2863248.42433467</v>
      </c>
    </row>
    <row r="33" customFormat="false" ht="15" hidden="false" customHeight="false" outlineLevel="0" collapsed="false">
      <c r="A33" s="0" t="s">
        <v>129</v>
      </c>
      <c r="B33" s="0" t="n">
        <f aca="false">B31*B29</f>
        <v>2458203.52528245</v>
      </c>
    </row>
    <row r="34" customFormat="false" ht="15" hidden="false" customHeight="false" outlineLevel="0" collapsed="false">
      <c r="A34" s="0" t="s">
        <v>130</v>
      </c>
      <c r="B34" s="0" t="n">
        <f aca="false">MAX(0,MIN(B32,B33))</f>
        <v>2458203.52528245</v>
      </c>
    </row>
    <row r="35" customFormat="false" ht="15" hidden="false" customHeight="false" outlineLevel="0" collapsed="false">
      <c r="A35" s="0" t="s">
        <v>131</v>
      </c>
      <c r="B35" s="0" t="n">
        <f aca="false">B34/(1+B27/100)^L4</f>
        <v>1138623.86529764</v>
      </c>
    </row>
    <row r="36" customFormat="false" ht="15" hidden="false" customHeight="false" outlineLevel="0" collapsed="false">
      <c r="A36" s="0" t="s">
        <v>132</v>
      </c>
      <c r="B36" s="0" t="n">
        <f aca="false">B30+B35</f>
        <v>1996548.23715095</v>
      </c>
    </row>
    <row r="37" customFormat="false" ht="15" hidden="false" customHeight="false" outlineLevel="0" collapsed="false">
      <c r="A37" s="0" t="s">
        <v>133</v>
      </c>
      <c r="B37" s="0" t="n">
        <f aca="false">B36+Assumptions!$B$5-Assumptions!$B$4</f>
        <v>2729715.23715095</v>
      </c>
    </row>
    <row r="38" customFormat="false" ht="15" hidden="false" customHeight="false" outlineLevel="0" collapsed="false">
      <c r="A38" s="0" t="s">
        <v>134</v>
      </c>
      <c r="B38" s="0" t="n">
        <f aca="false">B37/Assumptions!$B$3*Assumptions!$B$10</f>
        <v>146.89404662158</v>
      </c>
    </row>
    <row r="39" customFormat="false" ht="15" hidden="false" customHeight="false" outlineLevel="0" collapsed="false">
      <c r="A39" s="0" t="s">
        <v>135</v>
      </c>
      <c r="B39" s="4" t="n">
        <f aca="false">B38/Assumptions!$B$2-1</f>
        <v>0.833883228733831</v>
      </c>
    </row>
    <row r="41" customFormat="false" ht="15" hidden="false" customHeight="false" outlineLevel="0" collapsed="false">
      <c r="A41" s="0" t="s">
        <v>136</v>
      </c>
      <c r="B41" s="0" t="n">
        <f aca="false">SUMPRODUCT(-C10:L10/(1+$B$27/100)^C4:L4)</f>
        <v>1617.67465119654</v>
      </c>
    </row>
    <row r="42" customFormat="false" ht="15" hidden="false" customHeight="false" outlineLevel="0" collapsed="false">
      <c r="A42" s="0" t="s">
        <v>137</v>
      </c>
      <c r="B42" s="0" t="n">
        <f aca="false">IF(B27&gt;B28,-L10*(1+B28/100)/((B27-B28)/100),-L10*20)/(1+B27/100)^L4</f>
        <v>2423.37167392112</v>
      </c>
    </row>
    <row r="43" customFormat="false" ht="15" hidden="false" customHeight="false" outlineLevel="0" collapsed="false">
      <c r="A43" s="0" t="s">
        <v>138</v>
      </c>
      <c r="B43" s="0" t="n">
        <f aca="false">(B37+B41+B42)/Assumptions!$B$3*Assumptions!$B$10</f>
        <v>147.111507270663</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1259829.30670725</v>
      </c>
    </row>
    <row r="47" customFormat="false" ht="15" hidden="false" customHeight="false" outlineLevel="0" collapsed="false">
      <c r="A47" s="0" t="s">
        <v>140</v>
      </c>
      <c r="B47" s="0" t="n">
        <f aca="false">(SUMPRODUCT(C19:L19/(1+B45/100)^C4:L4)+B46/(1+B45/100)^L4+Assumptions!$B$5-Assumptions!$B$4)/Assumptions!$B$3*Assumptions!$B$10</f>
        <v>89.994718802737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143</v>
      </c>
    </row>
    <row r="3" customFormat="false" ht="15" hidden="false" customHeight="false" outlineLevel="0" collapsed="false">
      <c r="A3" s="2" t="s">
        <v>144</v>
      </c>
      <c r="B3" s="2" t="s">
        <v>145</v>
      </c>
      <c r="C3" s="2" t="s">
        <v>135</v>
      </c>
      <c r="D3" s="2" t="s">
        <v>146</v>
      </c>
      <c r="E3" s="2" t="s">
        <v>138</v>
      </c>
      <c r="F3" s="2" t="s">
        <v>147</v>
      </c>
    </row>
    <row r="4" customFormat="false" ht="15" hidden="false" customHeight="false" outlineLevel="0" collapsed="false">
      <c r="A4" s="0" t="s">
        <v>148</v>
      </c>
      <c r="B4" s="4" t="n">
        <f aca="false">DCF_Bear!$B$38</f>
        <v>91.466640548086</v>
      </c>
      <c r="C4" s="0" t="n">
        <f aca="false">B4/Assumptions!$B$2-1</f>
        <v>0.14190562482005</v>
      </c>
      <c r="D4" s="4" t="n">
        <f aca="false">Assumptions!$B$24</f>
        <v>0.25</v>
      </c>
      <c r="E4" s="4" t="n">
        <f aca="false">DCF_Bear!$B$43</f>
        <v>91.6162942247019</v>
      </c>
      <c r="F4" s="4" t="n">
        <f aca="false">DCF_Bear!$B$47</f>
        <v>69.1337116032785</v>
      </c>
    </row>
    <row r="5" customFormat="false" ht="15" hidden="false" customHeight="false" outlineLevel="0" collapsed="false">
      <c r="A5" s="0" t="s">
        <v>149</v>
      </c>
      <c r="B5" s="4" t="n">
        <f aca="false">DCF_Base!$B$38</f>
        <v>119.171545223084</v>
      </c>
      <c r="C5" s="0" t="n">
        <f aca="false">B5/Assumptions!$B$2-1</f>
        <v>0.487784584557847</v>
      </c>
      <c r="D5" s="4" t="n">
        <f aca="false">Assumptions!$B$38</f>
        <v>0.5</v>
      </c>
      <c r="E5" s="4" t="n">
        <f aca="false">DCF_Base!$B$43</f>
        <v>119.354818451444</v>
      </c>
      <c r="F5" s="4" t="n">
        <f aca="false">DCF_Base!$B$47</f>
        <v>79.6100031165746</v>
      </c>
    </row>
    <row r="6" customFormat="false" ht="15" hidden="false" customHeight="false" outlineLevel="0" collapsed="false">
      <c r="A6" s="0" t="s">
        <v>150</v>
      </c>
      <c r="B6" s="4" t="n">
        <f aca="false">DCF_Bull!$B$38</f>
        <v>146.89404662158</v>
      </c>
      <c r="C6" s="0" t="n">
        <f aca="false">B6/Assumptions!$B$2-1</f>
        <v>0.833883228733831</v>
      </c>
      <c r="D6" s="4" t="n">
        <f aca="false">Assumptions!$B$52</f>
        <v>0.25</v>
      </c>
      <c r="E6" s="4" t="n">
        <f aca="false">DCF_Bull!$B$43</f>
        <v>147.111507270663</v>
      </c>
      <c r="F6" s="4" t="n">
        <f aca="false">DCF_Bull!$B$47</f>
        <v>89.994718802737</v>
      </c>
    </row>
    <row r="8" customFormat="false" ht="15" hidden="false" customHeight="false" outlineLevel="0" collapsed="false">
      <c r="A8" s="0" t="s">
        <v>151</v>
      </c>
      <c r="B8" s="0" t="n">
        <f aca="false">SUMPRODUCT(B4:B6,D4:D6)</f>
        <v>119.175944403958</v>
      </c>
    </row>
    <row r="9" customFormat="false" ht="15" hidden="false" customHeight="false" outlineLevel="0" collapsed="false">
      <c r="A9" s="0" t="s">
        <v>152</v>
      </c>
      <c r="B9" s="0" t="n">
        <f aca="false">SUMPRODUCT(E4:E6,D4:D6)</f>
        <v>119.359359599563</v>
      </c>
    </row>
    <row r="10" customFormat="false" ht="15" hidden="false" customHeight="false" outlineLevel="0" collapsed="false">
      <c r="A10" s="0" t="s">
        <v>153</v>
      </c>
      <c r="B10" s="0" t="n">
        <f aca="false">1-Assumptions!$B$2/B8</f>
        <v>0.327884495477599</v>
      </c>
    </row>
    <row r="11" customFormat="false" ht="15" hidden="false" customHeight="false" outlineLevel="0" collapsed="false">
      <c r="A11" s="0" t="s">
        <v>154</v>
      </c>
      <c r="B11" s="0" t="str">
        <f aca="false">IF(ABS(B9-B8)&gt;0.01*ABS(B8),(Assumptions!$B$2-B8)/(B9-B8)*100,"n/a")</f>
        <v>n/a</v>
      </c>
    </row>
    <row r="12" customFormat="false" ht="15" hidden="false" customHeight="false" outlineLevel="0" collapsed="false">
      <c r="A12" s="0" t="s">
        <v>155</v>
      </c>
      <c r="B12" s="0" t="n">
        <f aca="false">SUMPRODUCT(F4:F6,D4:D6)</f>
        <v>79.5871091597912</v>
      </c>
    </row>
    <row r="14" customFormat="false" ht="15" hidden="false" customHeight="false" outlineLevel="0" collapsed="false">
      <c r="A14" s="2" t="s">
        <v>156</v>
      </c>
      <c r="C14" s="0" t="s">
        <v>157</v>
      </c>
    </row>
    <row r="15" customFormat="false" ht="15" hidden="false" customHeight="false" outlineLevel="0" collapsed="false">
      <c r="A15" s="0" t="s">
        <v>158</v>
      </c>
      <c r="B15" s="0" t="n">
        <f aca="false">(SUMPRODUCT(DCF_Base!$C$19:$L$19/(1+$C$15/100)^DCF_Base!$C$4:$L$4)+MAX(0,MIN(IF($C$15&gt;DCF_Base!$B$28,DCF_Base!$L$19*(1+DCF_Base!$B$28/100)/(($C$15-DCF_Base!$B$28)/100),DCF_Base!$L$19*DCF_Base!$B$29),DCF_Base!$L$19*DCF_Base!$B$29))/(1+$C$15/100)^DCF_Base!$L$4+Assumptions!$B$5-Assumptions!$B$4)/Assumptions!$B$3*Assumptions!$B$10</f>
        <v>119.171545223084</v>
      </c>
      <c r="C15" s="3" t="n">
        <v>8</v>
      </c>
    </row>
    <row r="16" customFormat="false" ht="15" hidden="false" customHeight="false" outlineLevel="0" collapsed="false">
      <c r="A16" s="0" t="s">
        <v>159</v>
      </c>
      <c r="B16" s="0" t="n">
        <f aca="false">(SUMPRODUCT(DCF_Base!$C$19:$L$19/(1+$C$16/100)^DCF_Base!$C$4:$L$4)+MAX(0,MIN(IF($C$16&gt;DCF_Base!$B$28,DCF_Base!$L$19*(1+DCF_Base!$B$28/100)/(($C$16-DCF_Base!$B$28)/100),DCF_Base!$L$19*DCF_Base!$B$29),DCF_Base!$L$19*DCF_Base!$B$29))/(1+$C$16/100)^DCF_Base!$L$4+Assumptions!$B$5-Assumptions!$B$4)/Assumptions!$B$3*Assumptions!$B$10</f>
        <v>112.764305096755</v>
      </c>
      <c r="C16" s="3" t="n">
        <v>9</v>
      </c>
    </row>
    <row r="17" customFormat="false" ht="15" hidden="false" customHeight="false" outlineLevel="0" collapsed="false">
      <c r="A17" s="0" t="s">
        <v>160</v>
      </c>
      <c r="B17" s="0" t="n">
        <f aca="false">(SUMPRODUCT(DCF_Base!$C$19:$L$19/(1+$C$17/100)^DCF_Base!$C$4:$L$4)+MAX(0,MIN(IF($C$17&gt;DCF_Base!$B$28,DCF_Base!$L$19*(1+DCF_Base!$B$28/100)/(($C$17-DCF_Base!$B$28)/100),DCF_Base!$L$19*DCF_Base!$B$29),DCF_Base!$L$19*DCF_Base!$B$29))/(1+$C$17/100)^DCF_Base!$L$4+Assumptions!$B$5-Assumptions!$B$4)/Assumptions!$B$3*Assumptions!$B$10</f>
        <v>103.813929133693</v>
      </c>
      <c r="C17" s="3" t="n">
        <v>10</v>
      </c>
    </row>
    <row r="18" customFormat="false" ht="15" hidden="false" customHeight="false" outlineLevel="0" collapsed="false">
      <c r="A18" s="0" t="s">
        <v>161</v>
      </c>
      <c r="B18" s="0" t="n">
        <f aca="false">(SUMPRODUCT(DCF_Base!$C$19:$L$19/(1+$C$18/100)^DCF_Base!$C$4:$L$4)+MAX(0,MIN(IF($C$18&gt;DCF_Base!$B$28,DCF_Base!$L$19*(1+DCF_Base!$B$28/100)/(($C$18-DCF_Base!$B$28)/100),DCF_Base!$L$19*DCF_Base!$B$29),DCF_Base!$L$19*DCF_Base!$B$29))/(1+$C$18/100)^DCF_Base!$L$4+Assumptions!$B$5-Assumptions!$B$4)/Assumptions!$B$3*Assumptions!$B$10</f>
        <v>96.8411623019295</v>
      </c>
      <c r="C18" s="3" t="n">
        <v>11</v>
      </c>
    </row>
    <row r="19" customFormat="false" ht="15" hidden="false" customHeight="false" outlineLevel="0" collapsed="false">
      <c r="A19" s="0" t="s">
        <v>162</v>
      </c>
      <c r="B19" s="0" t="n">
        <f aca="false">(SUMPRODUCT(DCF_Base!$C$19:$L$19/(1+$C$19/100)^DCF_Base!$C$4:$L$4)+MAX(0,MIN(IF($C$19&gt;DCF_Base!$B$28,DCF_Base!$L$19*(1+DCF_Base!$B$28/100)/(($C$19-DCF_Base!$B$28)/100),DCF_Base!$L$19*DCF_Base!$B$29),DCF_Base!$L$19*DCF_Base!$B$29))/(1+$C$19/100)^DCF_Base!$L$4+Assumptions!$B$5-Assumptions!$B$4)/Assumptions!$B$3*Assumptions!$B$10</f>
        <v>91.2535021232319</v>
      </c>
      <c r="C19" s="3" t="n">
        <v>12</v>
      </c>
    </row>
    <row r="20" customFormat="false" ht="15" hidden="false" customHeight="false" outlineLevel="0" collapsed="false">
      <c r="A20" s="0" t="s">
        <v>163</v>
      </c>
      <c r="B20" s="0" t="n">
        <f aca="false">(SUMPRODUCT(DCF_Base!$C$19:$L$19/(1+$C$20/100)^DCF_Base!$C$4:$L$4)+MAX(0,MIN(IF($C$20&gt;DCF_Base!$B$28,DCF_Base!$L$19*(1+DCF_Base!$B$28/100)/(($C$20-DCF_Base!$B$28)/100),DCF_Base!$L$19*DCF_Base!$B$29),DCF_Base!$L$19*DCF_Base!$B$29))/(1+$C$20/100)^DCF_Base!$L$4+Assumptions!$B$5-Assumptions!$B$4)/Assumptions!$B$3*Assumptions!$B$10</f>
        <v>79.6100031165746</v>
      </c>
      <c r="C20" s="3" t="n">
        <v>15</v>
      </c>
    </row>
    <row r="22" customFormat="false" ht="15" hidden="false" customHeight="false" outlineLevel="0" collapsed="false">
      <c r="A22" s="2" t="s">
        <v>164</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131.429514016376</v>
      </c>
      <c r="C24" s="0" t="n">
        <f aca="false">(SUMPRODUCT(DCF_Base!$C$19:$L$19/(1+$A$24/100)^DCF_Base!$C$4:$L$4)+MAX(0,MIN(IF($A$24&gt;$C$23,DCF_Base!$L$19*(1+$C$23/100)/(($A$24-$C$23)/100),DCF_Base!$L$19*DCF_Base!$B$29),DCF_Base!$L$19*DCF_Base!$B$29))/(1+$A$24/100)^DCF_Base!$L$4+Assumptions!$B$5-Assumptions!$B$4)/Assumptions!$B$3*Assumptions!$B$10</f>
        <v>131.429514016376</v>
      </c>
      <c r="D24" s="0" t="n">
        <f aca="false">(SUMPRODUCT(DCF_Base!$C$19:$L$19/(1+$A$24/100)^DCF_Base!$C$4:$L$4)+MAX(0,MIN(IF($A$24&gt;$D$23,DCF_Base!$L$19*(1+$D$23/100)/(($A$24-$D$23)/100),DCF_Base!$L$19*DCF_Base!$B$29),DCF_Base!$L$19*DCF_Base!$B$29))/(1+$A$24/100)^DCF_Base!$L$4+Assumptions!$B$5-Assumptions!$B$4)/Assumptions!$B$3*Assumptions!$B$10</f>
        <v>131.429514016376</v>
      </c>
      <c r="E24" s="0" t="n">
        <f aca="false">(SUMPRODUCT(DCF_Base!$C$19:$L$19/(1+$A$24/100)^DCF_Base!$C$4:$L$4)+MAX(0,MIN(IF($A$24&gt;$E$23,DCF_Base!$L$19*(1+$E$23/100)/(($A$24-$E$23)/100),DCF_Base!$L$19*DCF_Base!$B$29),DCF_Base!$L$19*DCF_Base!$B$29))/(1+$A$24/100)^DCF_Base!$L$4+Assumptions!$B$5-Assumptions!$B$4)/Assumptions!$B$3*Assumptions!$B$10</f>
        <v>131.429514016376</v>
      </c>
      <c r="F24" s="0" t="n">
        <f aca="false">(SUMPRODUCT(DCF_Base!$C$19:$L$19/(1+$A$24/100)^DCF_Base!$C$4:$L$4)+MAX(0,MIN(IF($A$24&gt;$F$23,DCF_Base!$L$19*(1+$F$23/100)/(($A$24-$F$23)/100),DCF_Base!$L$19*DCF_Base!$B$29),DCF_Base!$L$19*DCF_Base!$B$29))/(1+$A$24/100)^DCF_Base!$L$4+Assumptions!$B$5-Assumptions!$B$4)/Assumptions!$B$3*Assumptions!$B$10</f>
        <v>131.429514016376</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125.0153620826</v>
      </c>
      <c r="C25" s="0" t="n">
        <f aca="false">(SUMPRODUCT(DCF_Base!$C$19:$L$19/(1+$A$25/100)^DCF_Base!$C$4:$L$4)+MAX(0,MIN(IF($A$25&gt;$C$23,DCF_Base!$L$19*(1+$C$23/100)/(($A$25-$C$23)/100),DCF_Base!$L$19*DCF_Base!$B$29),DCF_Base!$L$19*DCF_Base!$B$29))/(1+$A$25/100)^DCF_Base!$L$4+Assumptions!$B$5-Assumptions!$B$4)/Assumptions!$B$3*Assumptions!$B$10</f>
        <v>125.0153620826</v>
      </c>
      <c r="D25" s="0" t="n">
        <f aca="false">(SUMPRODUCT(DCF_Base!$C$19:$L$19/(1+$A$25/100)^DCF_Base!$C$4:$L$4)+MAX(0,MIN(IF($A$25&gt;$D$23,DCF_Base!$L$19*(1+$D$23/100)/(($A$25-$D$23)/100),DCF_Base!$L$19*DCF_Base!$B$29),DCF_Base!$L$19*DCF_Base!$B$29))/(1+$A$25/100)^DCF_Base!$L$4+Assumptions!$B$5-Assumptions!$B$4)/Assumptions!$B$3*Assumptions!$B$10</f>
        <v>125.0153620826</v>
      </c>
      <c r="E25" s="0" t="n">
        <f aca="false">(SUMPRODUCT(DCF_Base!$C$19:$L$19/(1+$A$25/100)^DCF_Base!$C$4:$L$4)+MAX(0,MIN(IF($A$25&gt;$E$23,DCF_Base!$L$19*(1+$E$23/100)/(($A$25-$E$23)/100),DCF_Base!$L$19*DCF_Base!$B$29),DCF_Base!$L$19*DCF_Base!$B$29))/(1+$A$25/100)^DCF_Base!$L$4+Assumptions!$B$5-Assumptions!$B$4)/Assumptions!$B$3*Assumptions!$B$10</f>
        <v>125.0153620826</v>
      </c>
      <c r="F25" s="0" t="n">
        <f aca="false">(SUMPRODUCT(DCF_Base!$C$19:$L$19/(1+$A$25/100)^DCF_Base!$C$4:$L$4)+MAX(0,MIN(IF($A$25&gt;$F$23,DCF_Base!$L$19*(1+$F$23/100)/(($A$25-$F$23)/100),DCF_Base!$L$19*DCF_Base!$B$29),DCF_Base!$L$19*DCF_Base!$B$29))/(1+$A$25/100)^DCF_Base!$L$4+Assumptions!$B$5-Assumptions!$B$4)/Assumptions!$B$3*Assumptions!$B$10</f>
        <v>125.0153620826</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117.59779596717</v>
      </c>
      <c r="C26" s="0" t="n">
        <f aca="false">(SUMPRODUCT(DCF_Base!$C$19:$L$19/(1+$A$26/100)^DCF_Base!$C$4:$L$4)+MAX(0,MIN(IF($A$26&gt;$C$23,DCF_Base!$L$19*(1+$C$23/100)/(($A$26-$C$23)/100),DCF_Base!$L$19*DCF_Base!$B$29),DCF_Base!$L$19*DCF_Base!$B$29))/(1+$A$26/100)^DCF_Base!$L$4+Assumptions!$B$5-Assumptions!$B$4)/Assumptions!$B$3*Assumptions!$B$10</f>
        <v>119.171545223084</v>
      </c>
      <c r="D26" s="0" t="n">
        <f aca="false">(SUMPRODUCT(DCF_Base!$C$19:$L$19/(1+$A$26/100)^DCF_Base!$C$4:$L$4)+MAX(0,MIN(IF($A$26&gt;$D$23,DCF_Base!$L$19*(1+$D$23/100)/(($A$26-$D$23)/100),DCF_Base!$L$19*DCF_Base!$B$29),DCF_Base!$L$19*DCF_Base!$B$29))/(1+$A$26/100)^DCF_Base!$L$4+Assumptions!$B$5-Assumptions!$B$4)/Assumptions!$B$3*Assumptions!$B$10</f>
        <v>119.171545223084</v>
      </c>
      <c r="E26" s="0" t="n">
        <f aca="false">(SUMPRODUCT(DCF_Base!$C$19:$L$19/(1+$A$26/100)^DCF_Base!$C$4:$L$4)+MAX(0,MIN(IF($A$26&gt;$E$23,DCF_Base!$L$19*(1+$E$23/100)/(($A$26-$E$23)/100),DCF_Base!$L$19*DCF_Base!$B$29),DCF_Base!$L$19*DCF_Base!$B$29))/(1+$A$26/100)^DCF_Base!$L$4+Assumptions!$B$5-Assumptions!$B$4)/Assumptions!$B$3*Assumptions!$B$10</f>
        <v>119.171545223084</v>
      </c>
      <c r="F26" s="0" t="n">
        <f aca="false">(SUMPRODUCT(DCF_Base!$C$19:$L$19/(1+$A$26/100)^DCF_Base!$C$4:$L$4)+MAX(0,MIN(IF($A$26&gt;$F$23,DCF_Base!$L$19*(1+$F$23/100)/(($A$26-$F$23)/100),DCF_Base!$L$19*DCF_Base!$B$29),DCF_Base!$L$19*DCF_Base!$B$29))/(1+$A$26/100)^DCF_Base!$L$4+Assumptions!$B$5-Assumptions!$B$4)/Assumptions!$B$3*Assumptions!$B$10</f>
        <v>119.171545223084</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107.875703639862</v>
      </c>
      <c r="C27" s="0" t="n">
        <f aca="false">(SUMPRODUCT(DCF_Base!$C$19:$L$19/(1+$A$27/100)^DCF_Base!$C$4:$L$4)+MAX(0,MIN(IF($A$27&gt;$C$23,DCF_Base!$L$19*(1+$C$23/100)/(($A$27-$C$23)/100),DCF_Base!$L$19*DCF_Base!$B$29),DCF_Base!$L$19*DCF_Base!$B$29))/(1+$A$27/100)^DCF_Base!$L$4+Assumptions!$B$5-Assumptions!$B$4)/Assumptions!$B$3*Assumptions!$B$10</f>
        <v>110.157050986412</v>
      </c>
      <c r="D27" s="0" t="n">
        <f aca="false">(SUMPRODUCT(DCF_Base!$C$19:$L$19/(1+$A$27/100)^DCF_Base!$C$4:$L$4)+MAX(0,MIN(IF($A$27&gt;$D$23,DCF_Base!$L$19*(1+$D$23/100)/(($A$27-$D$23)/100),DCF_Base!$L$19*DCF_Base!$B$29),DCF_Base!$L$19*DCF_Base!$B$29))/(1+$A$27/100)^DCF_Base!$L$4+Assumptions!$B$5-Assumptions!$B$4)/Assumptions!$B$3*Assumptions!$B$10</f>
        <v>112.764305096755</v>
      </c>
      <c r="E27" s="0" t="n">
        <f aca="false">(SUMPRODUCT(DCF_Base!$C$19:$L$19/(1+$A$27/100)^DCF_Base!$C$4:$L$4)+MAX(0,MIN(IF($A$27&gt;$E$23,DCF_Base!$L$19*(1+$E$23/100)/(($A$27-$E$23)/100),DCF_Base!$L$19*DCF_Base!$B$29),DCF_Base!$L$19*DCF_Base!$B$29))/(1+$A$27/100)^DCF_Base!$L$4+Assumptions!$B$5-Assumptions!$B$4)/Assumptions!$B$3*Assumptions!$B$10</f>
        <v>113.840694408364</v>
      </c>
      <c r="F27" s="0" t="n">
        <f aca="false">(SUMPRODUCT(DCF_Base!$C$19:$L$19/(1+$A$27/100)^DCF_Base!$C$4:$L$4)+MAX(0,MIN(IF($A$27&gt;$F$23,DCF_Base!$L$19*(1+$F$23/100)/(($A$27-$F$23)/100),DCF_Base!$L$19*DCF_Base!$B$29),DCF_Base!$L$19*DCF_Base!$B$29))/(1+$A$27/100)^DCF_Base!$L$4+Assumptions!$B$5-Assumptions!$B$4)/Assumptions!$B$3*Assumptions!$B$10</f>
        <v>113.840694408364</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100.311700628683</v>
      </c>
      <c r="C28" s="0" t="n">
        <f aca="false">(SUMPRODUCT(DCF_Base!$C$19:$L$19/(1+$A$28/100)^DCF_Base!$C$4:$L$4)+MAX(0,MIN(IF($A$28&gt;$C$23,DCF_Base!$L$19*(1+$C$23/100)/(($A$28-$C$23)/100),DCF_Base!$L$19*DCF_Base!$B$29),DCF_Base!$L$19*DCF_Base!$B$29))/(1+$A$28/100)^DCF_Base!$L$4+Assumptions!$B$5-Assumptions!$B$4)/Assumptions!$B$3*Assumptions!$B$10</f>
        <v>101.959808160453</v>
      </c>
      <c r="D28" s="0" t="n">
        <f aca="false">(SUMPRODUCT(DCF_Base!$C$19:$L$19/(1+$A$28/100)^DCF_Base!$C$4:$L$4)+MAX(0,MIN(IF($A$28&gt;$D$23,DCF_Base!$L$19*(1+$D$23/100)/(($A$28-$D$23)/100),DCF_Base!$L$19*DCF_Base!$B$29),DCF_Base!$L$19*DCF_Base!$B$29))/(1+$A$28/100)^DCF_Base!$L$4+Assumptions!$B$5-Assumptions!$B$4)/Assumptions!$B$3*Assumptions!$B$10</f>
        <v>103.813929133693</v>
      </c>
      <c r="E28" s="0" t="n">
        <f aca="false">(SUMPRODUCT(DCF_Base!$C$19:$L$19/(1+$A$28/100)^DCF_Base!$C$4:$L$4)+MAX(0,MIN(IF($A$28&gt;$E$23,DCF_Base!$L$19*(1+$E$23/100)/(($A$28-$E$23)/100),DCF_Base!$L$19*DCF_Base!$B$29),DCF_Base!$L$19*DCF_Base!$B$29))/(1+$A$28/100)^DCF_Base!$L$4+Assumptions!$B$5-Assumptions!$B$4)/Assumptions!$B$3*Assumptions!$B$10</f>
        <v>105.915266236699</v>
      </c>
      <c r="F28" s="0" t="n">
        <f aca="false">(SUMPRODUCT(DCF_Base!$C$19:$L$19/(1+$A$28/100)^DCF_Base!$C$4:$L$4)+MAX(0,MIN(IF($A$28&gt;$F$23,DCF_Base!$L$19*(1+$F$23/100)/(($A$28-$F$23)/100),DCF_Base!$L$19*DCF_Base!$B$29),DCF_Base!$L$19*DCF_Base!$B$29))/(1+$A$28/100)^DCF_Base!$L$4+Assumptions!$B$5-Assumptions!$B$4)/Assumptions!$B$3*Assumptions!$B$10</f>
        <v>108.31679435442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2026-10-11T11:51:45Z</dcterms:created>
  <dc:creator>openpyxl</dc:creator>
  <dc:description/>
  <dc:language>en-NZ</dc:language>
  <cp:lastModifiedBy/>
  <dcterms:modified xsi:type="dcterms:W3CDTF">2026-10-11T11:51:45Z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