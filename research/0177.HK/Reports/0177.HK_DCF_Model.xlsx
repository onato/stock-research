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<sst xmlns="http://schemas.openxmlformats.org/spreadsheetml/2006/main" count="357" uniqueCount="165">
  <si>
    <t xml:space="preserve">Ticker</t>
  </si>
  <si>
    <t xml:space="preserve">0177.HK</t>
  </si>
  <si>
    <t xml:space="preserve">Company</t>
  </si>
  <si>
    <t xml:space="preserve">Jiangsu Expressway Company Limited</t>
  </si>
  <si>
    <t xml:space="preserve">Valuation date</t>
  </si>
  <si>
    <t xml:space="preserve">2026-10-11</t>
  </si>
  <si>
    <t xml:space="preserve">Current price</t>
  </si>
  <si>
    <t xml:space="preserve">Price as of</t>
  </si>
  <si>
    <t xml:space="preserve">2026-10-09T08:08:05Z regular close (HKEX, Friday); Yahoo chart API</t>
  </si>
  <si>
    <t xml:space="preserve">Balance sheet date</t>
  </si>
  <si>
    <t xml:space="preserve">2026-03-31</t>
  </si>
  <si>
    <t xml:space="preserve">Model</t>
  </si>
  <si>
    <t xml:space="preserve">owner_fcf_dcf_component</t>
  </si>
  <si>
    <t xml:space="preserve">Currency (model)</t>
  </si>
  <si>
    <t xml:space="preserve">CNY</t>
  </si>
  <si>
    <t xml:space="preserve">Currency (quote)</t>
  </si>
  <si>
    <t xml:space="preserve">HKD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</si>
  <si>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</si>
  <si>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</si>
  <si>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</si>
  <si>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</si>
  <si>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</si>
  <si>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2026-10-10T21:39:18Z</t>
  </si>
  <si>
    <t xml:space="preserve">Drivers file</t>
  </si>
  <si>
    <t xml:space="preserve">0177.HK_Drivers.json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</si>
  <si>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</si>
  <si>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</si>
  <si>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</si>
  <si>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A regulated toll-concession operator valued on core (ex-construction) owner FCF with the committed capex supercycle explicit, plus a separately itemised non-operating book. Finite concession life is handled in the flows (renewal capex) and in a 15x terminal cap rather than in the discount rate. The H-share's ~5% dividend yield reflects distributions funded partly by borrowing during the capex cycle, not free cash flow.
key_risks_to_valuation: Shanghai-Nanjing Expressway toll-period expiry (~2032, unverified from filings) and the terms of any extension; Revision of the Regulations for the Administration of Toll Highways; Xitai/Danjin cost overruns or slow traffic ramp on ~RMB39bn of new road; Related-party M&amp;A pricing (Suxichang South RMB7.34bn); Bank of Jiangsu share price (~RMB2.3/share of value in other equity instruments); RMB/HKD exchange rate (value computed in RMB)</t>
  </si>
  <si>
    <t xml:space="preserve">Data sources</t>
  </si>
  <si>
    <t xml:space="preserve">price: Yahoo Finance chart API at inputs.price_as_of; 52-week range 8.73-11.25 HKD
financials: 0177.HK_Annual_FY2025.txt (consolidated BS/IS/CF lines 13419-13760; D&amp;A by nature line 17890-17905; LT equity investments note line 16270; investment plan line 2985; project progress line 2630), 0177.HK_Quarterly_Q1-2026.txt (balance sheet line 577-683), 0177.HK_Metrics.csv
qualitative: 0177.HK_Analysis.json (2026-10-11), incl. H1-2026 results and the Aug-2026 Suxichang South announcement</t>
  </si>
  <si>
    <t xml:space="preserve">Scenario narrative: bear</t>
  </si>
  <si>
    <t xml:space="preserve">Toll policy bites: more mandated truck/holiday discounts and differentiated pricing, and the long-pending Toll Highway Regulation revision tightens concession terms. Jiangsu freight softens and the new roads ramp slowly. The Shanghai-Nanjing Expressway, about 57% of tolls, reaches the end of its toll period around 2032 with no extension and falls to a maintenance toll. Meanwhile the whole committed pipeline is still spent with debt, and the related-party Suxichang South deal is overpaid. Terminal 12x at 1% growth.</t>
  </si>
  <si>
    <t xml:space="preserve">Scenario narrative: base</t>
  </si>
  <si>
    <t xml:space="preserve">Tolls grow 3-4%/yr as the Xiyi and Ningyang works finish and Jiangsu traffic keeps growing. Xitai and Danjin open at end-2028 after ~RMB33bn more capex and ramp from a low ~3.5% revenue yield on cost. Core margin drifts from 69% to 72% as tolls take a bigger share than fuel resale. The Shanghai-Nanjing toll period is renewed the way Jiangsu has renewed others: a 2031-34 reconstruction-and-expansion programme that costs a third of revenue for four years. Owner FCF is negative until 2029, so most of the value sits in the terminal and in the non-operating book (Bank of Jiangsu, associates). That book is worth ~RMB5.3/share after deferred tax, or ~RMB2.5 once NCI is deducted at book.</t>
  </si>
  <si>
    <t xml:space="preserve">Scenario narrative: bull</t>
  </si>
  <si>
    <t xml:space="preserve">Yangtze River Delta freight and new-energy vehicle traffic push tolls up 4%+. The new roads ramp faster (+12% in 2029). Service-area 'Transportation+' and YS Energy lift margins to 73%. The Shanghai-Nanjing extension and the Suxichang South profit guarantee land cleanly. The toll-highway regulation revision formalises concession extension for expansion projects, which supports a 17x terminal.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</si>
  <si>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</si>
  <si>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</si>
  <si>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</si>
  <si>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</si>
  <si>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</si>
  <si>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</si>
  <si>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</si>
  <si>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</si>
  <si>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</si>
  <si>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</si>
  <si>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</si>
  <si>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</si>
  <si>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</si>
  <si>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</si>
  <si>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</si>
  <si>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</si>
  <si>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</si>
  <si>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</si>
  <si>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</si>
  <si>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</si>
  <si>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</si>
  <si>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</si>
  <si>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</si>
  <si>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</si>
  <si>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</si>
  <si>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</si>
  <si>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</si>
  <si>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</si>
  <si>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</si>
  <si>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</si>
  <si>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</si>
  <si>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</si>
  <si>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</si>
  <si>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</si>
  <si>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</si>
  <si>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</si>
  <si>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</si>
  <si>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</si>
  <si>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</si>
  <si>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</si>
  <si>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</si>
  <si>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</si>
  <si>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</si>
  <si>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</si>
  <si>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</si>
  <si>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</si>
  <si>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CNY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</si>
  <si>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</si>
  <si>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</si>
  <si>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</si>
  <si>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</si>
  <si>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</si>
  <si>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</si>
  <si>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</si>
  <si>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</si>
  <si>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</si>
  <si>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</si>
  <si>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</si>
  <si>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</si>
  <si>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</si>
  <si>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</si>
  <si>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</si>
  <si>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</si>
  <si>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</si>
  <si>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</si>
  <si>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</si>
  <si>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</si>
  <si>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</si>
  <si>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</si>
  <si>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</si>
  <si>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</si>
  <si>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</si>
  <si>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</si>
  <si>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0177.HK owner-FCF component DCF: bear case (millions, CNY)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</si>
  <si>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</si>
  <si>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</si>
  <si>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</si>
  <si>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</si>
  <si>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</si>
  <si>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</si>
  <si>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</si>
  <si>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</si>
  <si>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</si>
  <si>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</si>
  <si>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</si>
  <si>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</si>
  <si>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</si>
  <si>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</si>
  <si>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</si>
  <si>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</si>
  <si>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</si>
  <si>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</si>
  <si>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</si>
  <si>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</si>
  <si>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</si>
  <si>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</si>
  <si>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</si>
  <si>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</si>
  <si>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</si>
  <si>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</si>
  <si>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</si>
  <si>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</si>
  <si>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</si>
  <si>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</si>
  <si>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0177.HK owner-FCF component DCF: base case (millions, CNY)</t>
  </si>
  <si>
    <t xml:space="preserve">0177.HK owner-FCF component DCF: bull case (millions, CNY)</t>
  </si>
  <si>
    <t xml:space="preserve">0177.HK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</si>
  <si>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</si>
  <si>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</si>
  <si>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</si>
  <si>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</si>
  <si>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</si>
  <si>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</si>
  <si>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</si>
  <si>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</si>
  <si>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</si>
  <si>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</si>
  <si>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</si>
  <si>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</si>
  <si>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</si>
  <si>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</si>
  <si>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6%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</si>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</sst>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11.13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</row>
    <row r="2" customFormat="false" ht="15" hidden="false" customHeight="false" outlineLevel="0" collapsed="false">
      <c r="A2" s="0" t="s">
        <v>64</v>
      </c>
      <c r="B2" s="0" t="n">
        <v>9455.68</v>
      </c>
      <c r="F2" s="0" t="n">
        <v>4724.367</v>
      </c>
      <c r="G2" s="0" t="n">
        <v>50</v>
      </c>
      <c r="I2" s="0" t="n">
        <v>3587.862</v>
      </c>
      <c r="J2" s="0" t="n">
        <v>37.9</v>
      </c>
      <c r="K2" s="0" t="n">
        <v>0.7122</v>
      </c>
      <c r="L2" s="0" t="n">
        <v>5232.105</v>
      </c>
      <c r="M2" s="0" t="n">
        <v>7398.168</v>
      </c>
      <c r="N2" s="0" t="n">
        <v>-2166.063</v>
      </c>
      <c r="O2" s="0" t="n">
        <v>23520.284</v>
      </c>
      <c r="P2" s="0" t="n">
        <v>42532.491</v>
      </c>
      <c r="Q2" s="0" t="n">
        <v>16637.561</v>
      </c>
      <c r="R2" s="0" t="n">
        <v>14310.288</v>
      </c>
      <c r="S2" s="0" t="n">
        <v>269.358</v>
      </c>
      <c r="T2" s="0" t="n">
        <v>5037.7475</v>
      </c>
      <c r="AA2" s="0" t="s">
        <v>18</v>
      </c>
      <c r="AB2" s="0" t="s">
        <v>14</v>
      </c>
    </row>
    <row r="3" customFormat="false" ht="15" hidden="false" customHeight="false" outlineLevel="0" collapsed="false">
      <c r="A3" s="0" t="s">
        <v>65</v>
      </c>
      <c r="B3" s="0" t="n">
        <v>9969.011</v>
      </c>
      <c r="F3" s="0" t="n">
        <v>5660.939</v>
      </c>
      <c r="G3" s="0" t="n">
        <v>56.8</v>
      </c>
      <c r="I3" s="0" t="n">
        <v>4376.604</v>
      </c>
      <c r="J3" s="0" t="n">
        <v>43.9</v>
      </c>
      <c r="K3" s="0" t="n">
        <v>0.8688</v>
      </c>
      <c r="L3" s="0" t="n">
        <v>5715.49</v>
      </c>
      <c r="M3" s="0" t="n">
        <v>3545.159</v>
      </c>
      <c r="N3" s="0" t="n">
        <v>2170.331</v>
      </c>
      <c r="O3" s="0" t="n">
        <v>26137.198</v>
      </c>
      <c r="P3" s="0" t="n">
        <v>48162.729</v>
      </c>
      <c r="Q3" s="0" t="n">
        <v>18808.872</v>
      </c>
      <c r="R3" s="0" t="n">
        <v>15843.294</v>
      </c>
      <c r="S3" s="0" t="n">
        <v>649.762</v>
      </c>
      <c r="T3" s="0" t="n">
        <v>5037.7475</v>
      </c>
      <c r="AA3" s="0" t="s">
        <v>18</v>
      </c>
      <c r="AB3" s="0" t="s">
        <v>14</v>
      </c>
    </row>
    <row r="4" customFormat="false" ht="15" hidden="false" customHeight="false" outlineLevel="0" collapsed="false">
      <c r="A4" s="0" t="s">
        <v>66</v>
      </c>
      <c r="B4" s="0" t="n">
        <v>10078.181</v>
      </c>
      <c r="F4" s="0" t="n">
        <v>5541.967</v>
      </c>
      <c r="G4" s="0" t="n">
        <v>55</v>
      </c>
      <c r="I4" s="0" t="n">
        <v>4199.704</v>
      </c>
      <c r="J4" s="0" t="n">
        <v>41.7</v>
      </c>
      <c r="K4" s="0" t="n">
        <v>0.8336</v>
      </c>
      <c r="L4" s="0" t="n">
        <v>5763.284</v>
      </c>
      <c r="M4" s="0" t="n">
        <v>4849.87</v>
      </c>
      <c r="N4" s="0" t="n">
        <v>913.414</v>
      </c>
      <c r="O4" s="0" t="n">
        <v>28546.984</v>
      </c>
      <c r="P4" s="0" t="n">
        <v>55625.049</v>
      </c>
      <c r="Q4" s="0" t="n">
        <v>22942.211</v>
      </c>
      <c r="R4" s="0" t="n">
        <v>19558.873</v>
      </c>
      <c r="S4" s="0" t="n">
        <v>503.444</v>
      </c>
      <c r="T4" s="0" t="n">
        <v>5037.7475</v>
      </c>
      <c r="AA4" s="0" t="s">
        <v>18</v>
      </c>
      <c r="AB4" s="0" t="s">
        <v>14</v>
      </c>
    </row>
    <row r="5" customFormat="false" ht="15" hidden="false" customHeight="false" outlineLevel="0" collapsed="false">
      <c r="A5" s="0" t="s">
        <v>67</v>
      </c>
      <c r="B5" s="0" t="n">
        <v>8032.467</v>
      </c>
      <c r="F5" s="0" t="n">
        <v>3238.821</v>
      </c>
      <c r="G5" s="0" t="n">
        <v>40.3</v>
      </c>
      <c r="I5" s="0" t="n">
        <v>2464.214</v>
      </c>
      <c r="J5" s="0" t="n">
        <v>30.7</v>
      </c>
      <c r="K5" s="0" t="n">
        <v>0.4891</v>
      </c>
      <c r="L5" s="0" t="n">
        <v>3137.402</v>
      </c>
      <c r="M5" s="0" t="n">
        <v>4245.496</v>
      </c>
      <c r="N5" s="0" t="n">
        <v>-1108.094</v>
      </c>
      <c r="O5" s="0" t="n">
        <v>28209.961</v>
      </c>
      <c r="P5" s="0" t="n">
        <v>61095.561</v>
      </c>
      <c r="Q5" s="0" t="n">
        <v>28046.291</v>
      </c>
      <c r="R5" s="0" t="n">
        <v>24448.37</v>
      </c>
      <c r="S5" s="0" t="n">
        <v>386.713</v>
      </c>
      <c r="T5" s="0" t="n">
        <v>5037.7475</v>
      </c>
      <c r="AA5" s="0" t="s">
        <v>18</v>
      </c>
      <c r="AB5" s="0" t="s">
        <v>14</v>
      </c>
    </row>
    <row r="6" customFormat="false" ht="15" hidden="false" customHeight="false" outlineLevel="0" collapsed="false">
      <c r="A6" s="0" t="s">
        <v>68</v>
      </c>
      <c r="B6" s="0" t="n">
        <v>14260.533</v>
      </c>
      <c r="F6" s="0" t="n">
        <v>5583.121</v>
      </c>
      <c r="G6" s="0" t="n">
        <v>39.2</v>
      </c>
      <c r="I6" s="0" t="n">
        <v>4280.01</v>
      </c>
      <c r="J6" s="0" t="n">
        <v>30</v>
      </c>
      <c r="K6" s="0" t="n">
        <v>0.8496</v>
      </c>
      <c r="L6" s="0" t="n">
        <v>5702.769</v>
      </c>
      <c r="M6" s="0" t="n">
        <v>4777.232</v>
      </c>
      <c r="N6" s="0" t="n">
        <v>925.537</v>
      </c>
      <c r="O6" s="0" t="n">
        <v>32042.388</v>
      </c>
      <c r="P6" s="0" t="n">
        <v>74246.832</v>
      </c>
      <c r="Q6" s="0" t="n">
        <v>36609.247</v>
      </c>
      <c r="R6" s="0" t="n">
        <v>31528.272</v>
      </c>
      <c r="S6" s="0" t="n">
        <v>623.637</v>
      </c>
      <c r="T6" s="0" t="n">
        <v>5037.7475</v>
      </c>
      <c r="AA6" s="0" t="s">
        <v>18</v>
      </c>
      <c r="AB6" s="0" t="s">
        <v>14</v>
      </c>
    </row>
    <row r="7" customFormat="false" ht="15" hidden="false" customHeight="false" outlineLevel="0" collapsed="false">
      <c r="A7" s="0" t="s">
        <v>69</v>
      </c>
      <c r="B7" s="0" t="n">
        <v>13255.603</v>
      </c>
      <c r="F7" s="0" t="n">
        <v>4620.36</v>
      </c>
      <c r="G7" s="0" t="n">
        <v>34.9</v>
      </c>
      <c r="I7" s="0" t="n">
        <v>3724.115</v>
      </c>
      <c r="J7" s="0" t="n">
        <v>28.1</v>
      </c>
      <c r="K7" s="0" t="n">
        <v>0.7392</v>
      </c>
      <c r="L7" s="0" t="n">
        <v>5527.921</v>
      </c>
      <c r="M7" s="0" t="n">
        <v>4039.106</v>
      </c>
      <c r="N7" s="0" t="n">
        <v>1488.815</v>
      </c>
      <c r="O7" s="0" t="n">
        <v>31940.808</v>
      </c>
      <c r="P7" s="0" t="n">
        <v>78458.345</v>
      </c>
      <c r="Q7" s="0" t="n">
        <v>40508.013</v>
      </c>
      <c r="R7" s="0" t="n">
        <v>35655.295</v>
      </c>
      <c r="S7" s="0" t="n">
        <v>932.931</v>
      </c>
      <c r="T7" s="0" t="n">
        <v>5037.7475</v>
      </c>
      <c r="AA7" s="0" t="s">
        <v>18</v>
      </c>
      <c r="AB7" s="0" t="s">
        <v>14</v>
      </c>
    </row>
    <row r="8" customFormat="false" ht="15" hidden="false" customHeight="false" outlineLevel="0" collapsed="false">
      <c r="A8" s="0" t="s">
        <v>70</v>
      </c>
      <c r="B8" s="0" t="n">
        <v>15192.01</v>
      </c>
      <c r="F8" s="0" t="n">
        <v>5697.78</v>
      </c>
      <c r="G8" s="0" t="n">
        <v>37.5</v>
      </c>
      <c r="I8" s="0" t="n">
        <v>4413.272</v>
      </c>
      <c r="J8" s="0" t="n">
        <v>29</v>
      </c>
      <c r="K8" s="0" t="n">
        <v>0.876</v>
      </c>
      <c r="L8" s="0" t="n">
        <v>7392.424</v>
      </c>
      <c r="M8" s="0" t="n">
        <v>3804.377</v>
      </c>
      <c r="N8" s="0" t="n">
        <v>3588.047</v>
      </c>
      <c r="O8" s="0" t="n">
        <v>33987.287</v>
      </c>
      <c r="P8" s="0" t="n">
        <v>78661.444</v>
      </c>
      <c r="Q8" s="0" t="n">
        <v>37772.936</v>
      </c>
      <c r="R8" s="0" t="n">
        <v>33414.295</v>
      </c>
      <c r="S8" s="0" t="n">
        <v>862.161</v>
      </c>
      <c r="T8" s="0" t="n">
        <v>5037.7475</v>
      </c>
      <c r="AA8" s="0" t="s">
        <v>18</v>
      </c>
      <c r="AB8" s="0" t="s">
        <v>14</v>
      </c>
    </row>
    <row r="9" customFormat="false" ht="15" hidden="false" customHeight="false" outlineLevel="0" collapsed="false">
      <c r="A9" s="0" t="s">
        <v>71</v>
      </c>
      <c r="B9" s="0" t="n">
        <v>23198.204</v>
      </c>
      <c r="F9" s="0" t="n">
        <v>6340.199</v>
      </c>
      <c r="G9" s="0" t="n">
        <v>27.3</v>
      </c>
      <c r="I9" s="0" t="n">
        <v>4946.692</v>
      </c>
      <c r="J9" s="0" t="n">
        <v>21.3</v>
      </c>
      <c r="K9" s="0" t="n">
        <v>0.9819</v>
      </c>
      <c r="L9" s="0" t="n">
        <v>6316.202</v>
      </c>
      <c r="M9" s="0" t="n">
        <v>10802.288</v>
      </c>
      <c r="N9" s="0" t="n">
        <v>-4486.086</v>
      </c>
      <c r="O9" s="0" t="n">
        <v>38596.796</v>
      </c>
      <c r="P9" s="0" t="n">
        <v>89886.075</v>
      </c>
      <c r="Q9" s="0" t="n">
        <v>40152.087</v>
      </c>
      <c r="R9" s="0" t="n">
        <v>33597.189</v>
      </c>
      <c r="S9" s="0" t="n">
        <v>864.47</v>
      </c>
      <c r="T9" s="0" t="n">
        <v>5037.7475</v>
      </c>
      <c r="AA9" s="0" t="s">
        <v>18</v>
      </c>
      <c r="AB9" s="0" t="s">
        <v>14</v>
      </c>
    </row>
    <row r="10" customFormat="false" ht="15" hidden="false" customHeight="false" outlineLevel="0" collapsed="false">
      <c r="A10" s="0" t="s">
        <v>72</v>
      </c>
      <c r="B10" s="0" t="n">
        <v>20289.2</v>
      </c>
      <c r="F10" s="0" t="n">
        <v>6139.94</v>
      </c>
      <c r="G10" s="0" t="n">
        <v>30.3</v>
      </c>
      <c r="I10" s="0" t="n">
        <v>4593.871</v>
      </c>
      <c r="J10" s="0" t="n">
        <v>22.6</v>
      </c>
      <c r="K10" s="0" t="n">
        <v>0.9119</v>
      </c>
      <c r="L10" s="0" t="n">
        <v>6761.639</v>
      </c>
      <c r="M10" s="0" t="n">
        <v>7626.33</v>
      </c>
      <c r="N10" s="0" t="n">
        <v>-864.691</v>
      </c>
      <c r="O10" s="0" t="n">
        <v>41442.632</v>
      </c>
      <c r="P10" s="0" t="n">
        <v>96388.991</v>
      </c>
      <c r="Q10" s="0" t="n">
        <v>41408.029</v>
      </c>
      <c r="R10" s="0" t="n">
        <v>32732.304</v>
      </c>
      <c r="S10" s="0" t="n">
        <v>611.259</v>
      </c>
      <c r="T10" s="0" t="n">
        <v>5037.7475</v>
      </c>
      <c r="V10" s="0" t="n">
        <v>0.49</v>
      </c>
      <c r="AA10" s="0" t="s">
        <v>18</v>
      </c>
      <c r="AB10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73</v>
      </c>
      <c r="B1" s="2" t="s">
        <v>74</v>
      </c>
    </row>
    <row r="2" customFormat="false" ht="15" hidden="false" customHeight="false" outlineLevel="0" collapsed="false">
      <c r="A2" s="0" t="s">
        <v>75</v>
      </c>
      <c r="B2" s="3" t="n">
        <v>11.13</v>
      </c>
    </row>
    <row r="3" customFormat="false" ht="15" hidden="false" customHeight="false" outlineLevel="0" collapsed="false">
      <c r="A3" s="0" t="s">
        <v>76</v>
      </c>
      <c r="B3" s="3" t="n">
        <v>5037.748</v>
      </c>
    </row>
    <row r="4" customFormat="false" ht="15" hidden="false" customHeight="false" outlineLevel="0" collapsed="false">
      <c r="A4" s="0" t="s">
        <v>77</v>
      </c>
      <c r="B4" s="3" t="n">
        <v>34452.6</v>
      </c>
    </row>
    <row r="5" customFormat="false" ht="15" hidden="false" customHeight="false" outlineLevel="0" collapsed="false">
      <c r="A5" s="0" t="s">
        <v>78</v>
      </c>
      <c r="B5" s="3" t="n">
        <v>7249</v>
      </c>
    </row>
    <row r="6" customFormat="false" ht="15" hidden="false" customHeight="false" outlineLevel="0" collapsed="false">
      <c r="A6" s="0" t="s">
        <v>79</v>
      </c>
      <c r="B6" s="3" t="n">
        <v>15</v>
      </c>
    </row>
    <row r="7" customFormat="false" ht="15" hidden="false" customHeight="false" outlineLevel="0" collapsed="false">
      <c r="A7" s="0" t="s">
        <v>80</v>
      </c>
      <c r="B7" s="3" t="n">
        <v>12133.6</v>
      </c>
    </row>
    <row r="8" customFormat="false" ht="15" hidden="false" customHeight="false" outlineLevel="0" collapsed="false">
      <c r="A8" s="0" t="s">
        <v>81</v>
      </c>
      <c r="B8" s="3" t="s">
        <v>72</v>
      </c>
    </row>
    <row r="9" customFormat="false" ht="15" hidden="false" customHeight="false" outlineLevel="0" collapsed="false">
      <c r="A9" s="0" t="s">
        <v>82</v>
      </c>
      <c r="B9" s="3" t="s">
        <v>83</v>
      </c>
    </row>
    <row r="10" customFormat="false" ht="15" hidden="false" customHeight="false" outlineLevel="0" collapsed="false">
      <c r="A10" s="0" t="s">
        <v>84</v>
      </c>
      <c r="B10" s="3" t="n">
        <v>1.1721</v>
      </c>
    </row>
    <row r="12" customFormat="false" ht="15" hidden="false" customHeight="false" outlineLevel="0" collapsed="false">
      <c r="A12" s="2" t="s">
        <v>85</v>
      </c>
      <c r="C12" s="2" t="s">
        <v>86</v>
      </c>
      <c r="D12" s="2" t="s">
        <v>87</v>
      </c>
      <c r="E12" s="2" t="s">
        <v>88</v>
      </c>
      <c r="F12" s="2" t="s">
        <v>89</v>
      </c>
      <c r="G12" s="2" t="s">
        <v>90</v>
      </c>
      <c r="H12" s="2" t="s">
        <v>91</v>
      </c>
      <c r="I12" s="2" t="s">
        <v>92</v>
      </c>
      <c r="J12" s="2" t="s">
        <v>93</v>
      </c>
      <c r="K12" s="2" t="s">
        <v>94</v>
      </c>
      <c r="L12" s="2" t="s">
        <v>95</v>
      </c>
    </row>
    <row r="13" customFormat="false" ht="15" hidden="false" customHeight="false" outlineLevel="0" collapsed="false">
      <c r="A13" s="0" t="s">
        <v>96</v>
      </c>
      <c r="C13" s="3" t="n">
        <v>1.5</v>
      </c>
      <c r="D13" s="3" t="n">
        <v>1.5</v>
      </c>
      <c r="E13" s="3" t="n">
        <v>1.5</v>
      </c>
      <c r="F13" s="3" t="n">
        <v>6</v>
      </c>
      <c r="G13" s="3" t="n">
        <v>3</v>
      </c>
      <c r="H13" s="3" t="n">
        <v>2</v>
      </c>
      <c r="I13" s="3" t="n">
        <v>-12</v>
      </c>
      <c r="J13" s="3" t="n">
        <v>-15</v>
      </c>
      <c r="K13" s="3" t="n">
        <v>1</v>
      </c>
      <c r="L13" s="3" t="n">
        <v>1</v>
      </c>
    </row>
    <row r="14" customFormat="false" ht="15" hidden="false" customHeight="false" outlineLevel="0" collapsed="false">
      <c r="A14" s="0" t="s">
        <v>97</v>
      </c>
      <c r="C14" s="3" t="n">
        <v>68</v>
      </c>
      <c r="D14" s="3" t="n">
        <v>68</v>
      </c>
      <c r="E14" s="3" t="n">
        <v>68</v>
      </c>
      <c r="F14" s="3" t="n">
        <v>68.5</v>
      </c>
      <c r="G14" s="3" t="n">
        <v>68.5</v>
      </c>
      <c r="H14" s="3" t="n">
        <v>68.5</v>
      </c>
      <c r="I14" s="3" t="n">
        <v>66</v>
      </c>
      <c r="J14" s="3" t="n">
        <v>64</v>
      </c>
      <c r="K14" s="3" t="n">
        <v>64</v>
      </c>
      <c r="L14" s="3" t="n">
        <v>64</v>
      </c>
    </row>
    <row r="15" customFormat="false" ht="15" hidden="false" customHeight="false" outlineLevel="0" collapsed="false">
      <c r="A15" s="0" t="s">
        <v>98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 customFormat="false" ht="15" hidden="false" customHeight="false" outlineLevel="0" collapsed="false">
      <c r="A16" s="0" t="s">
        <v>99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100</v>
      </c>
      <c r="C17" s="3" t="n">
        <v>21.5</v>
      </c>
      <c r="D17" s="3" t="n">
        <v>21.5</v>
      </c>
      <c r="E17" s="3" t="n">
        <v>21.5</v>
      </c>
      <c r="F17" s="3" t="n">
        <v>23</v>
      </c>
      <c r="G17" s="3" t="n">
        <v>23</v>
      </c>
      <c r="H17" s="3" t="n">
        <v>23</v>
      </c>
      <c r="I17" s="3" t="n">
        <v>22</v>
      </c>
      <c r="J17" s="3" t="n">
        <v>21</v>
      </c>
      <c r="K17" s="3" t="n">
        <v>21</v>
      </c>
      <c r="L17" s="3" t="n">
        <v>21</v>
      </c>
    </row>
    <row r="18" customFormat="false" ht="15" hidden="false" customHeight="false" outlineLevel="0" collapsed="false">
      <c r="A18" s="0" t="s">
        <v>101</v>
      </c>
      <c r="C18" s="3" t="n">
        <v>81</v>
      </c>
      <c r="D18" s="3" t="n">
        <v>85</v>
      </c>
      <c r="E18" s="3" t="n">
        <v>72</v>
      </c>
      <c r="F18" s="3" t="n">
        <v>28</v>
      </c>
      <c r="G18" s="3" t="n">
        <v>20</v>
      </c>
      <c r="H18" s="3" t="n">
        <v>20</v>
      </c>
      <c r="I18" s="3" t="n">
        <v>22</v>
      </c>
      <c r="J18" s="3" t="n">
        <v>25</v>
      </c>
      <c r="K18" s="3" t="n">
        <v>25</v>
      </c>
      <c r="L18" s="3" t="n">
        <v>25</v>
      </c>
    </row>
    <row r="19" customFormat="false" ht="15" hidden="false" customHeight="false" outlineLevel="0" collapsed="false">
      <c r="A19" s="0" t="s">
        <v>102</v>
      </c>
      <c r="C19" s="3" t="n">
        <v>25</v>
      </c>
      <c r="D19" s="3" t="n">
        <v>25</v>
      </c>
      <c r="E19" s="3" t="n">
        <v>25</v>
      </c>
      <c r="F19" s="3" t="n">
        <v>25</v>
      </c>
      <c r="G19" s="3" t="n">
        <v>25</v>
      </c>
      <c r="H19" s="3" t="n">
        <v>25</v>
      </c>
      <c r="I19" s="3" t="n">
        <v>25</v>
      </c>
      <c r="J19" s="3" t="n">
        <v>25</v>
      </c>
      <c r="K19" s="3" t="n">
        <v>25</v>
      </c>
      <c r="L19" s="3" t="n">
        <v>25</v>
      </c>
    </row>
    <row r="20" customFormat="false" ht="15" hidden="false" customHeight="false" outlineLevel="0" collapsed="false">
      <c r="A20" s="0" t="s">
        <v>103</v>
      </c>
      <c r="B20" s="3" t="n">
        <v>6</v>
      </c>
    </row>
    <row r="21" customFormat="false" ht="15" hidden="false" customHeight="false" outlineLevel="0" collapsed="false">
      <c r="A21" s="0" t="s">
        <v>104</v>
      </c>
      <c r="B21" s="3" t="n">
        <v>1</v>
      </c>
    </row>
    <row r="22" customFormat="false" ht="15" hidden="false" customHeight="false" outlineLevel="0" collapsed="false">
      <c r="A22" s="0" t="s">
        <v>105</v>
      </c>
      <c r="B22" s="3" t="n">
        <v>12</v>
      </c>
    </row>
    <row r="23" customFormat="false" ht="15" hidden="false" customHeight="false" outlineLevel="0" collapsed="false">
      <c r="A23" s="0" t="s">
        <v>106</v>
      </c>
      <c r="B23" s="3" t="n">
        <v>0</v>
      </c>
    </row>
    <row r="24" customFormat="false" ht="15" hidden="false" customHeight="false" outlineLevel="0" collapsed="false">
      <c r="A24" s="0" t="s">
        <v>107</v>
      </c>
      <c r="B24" s="3" t="n">
        <v>0.25</v>
      </c>
    </row>
    <row r="26" customFormat="false" ht="15" hidden="false" customHeight="false" outlineLevel="0" collapsed="false">
      <c r="A26" s="2" t="s">
        <v>108</v>
      </c>
      <c r="C26" s="2" t="s">
        <v>86</v>
      </c>
      <c r="D26" s="2" t="s">
        <v>87</v>
      </c>
      <c r="E26" s="2" t="s">
        <v>88</v>
      </c>
      <c r="F26" s="2" t="s">
        <v>89</v>
      </c>
      <c r="G26" s="2" t="s">
        <v>90</v>
      </c>
      <c r="H26" s="2" t="s">
        <v>91</v>
      </c>
      <c r="I26" s="2" t="s">
        <v>92</v>
      </c>
      <c r="J26" s="2" t="s">
        <v>93</v>
      </c>
      <c r="K26" s="2" t="s">
        <v>94</v>
      </c>
      <c r="L26" s="2" t="s">
        <v>95</v>
      </c>
    </row>
    <row r="27" customFormat="false" ht="15" hidden="false" customHeight="false" outlineLevel="0" collapsed="false">
      <c r="A27" s="0" t="s">
        <v>96</v>
      </c>
      <c r="C27" s="3" t="n">
        <v>2.5</v>
      </c>
      <c r="D27" s="3" t="n">
        <v>3</v>
      </c>
      <c r="E27" s="3" t="n">
        <v>3</v>
      </c>
      <c r="F27" s="3" t="n">
        <v>10</v>
      </c>
      <c r="G27" s="3" t="n">
        <v>6</v>
      </c>
      <c r="H27" s="3" t="n">
        <v>4.5</v>
      </c>
      <c r="I27" s="3" t="n">
        <v>3.5</v>
      </c>
      <c r="J27" s="3" t="n">
        <v>3</v>
      </c>
      <c r="K27" s="3" t="n">
        <v>3</v>
      </c>
      <c r="L27" s="3" t="n">
        <v>2.5</v>
      </c>
    </row>
    <row r="28" customFormat="false" ht="15" hidden="false" customHeight="false" outlineLevel="0" collapsed="false">
      <c r="A28" s="0" t="s">
        <v>97</v>
      </c>
      <c r="C28" s="3" t="n">
        <v>69</v>
      </c>
      <c r="D28" s="3" t="n">
        <v>69.5</v>
      </c>
      <c r="E28" s="3" t="n">
        <v>70</v>
      </c>
      <c r="F28" s="3" t="n">
        <v>71</v>
      </c>
      <c r="G28" s="3" t="n">
        <v>71.5</v>
      </c>
      <c r="H28" s="3" t="n">
        <v>72</v>
      </c>
      <c r="I28" s="3" t="n">
        <v>72</v>
      </c>
      <c r="J28" s="3" t="n">
        <v>72</v>
      </c>
      <c r="K28" s="3" t="n">
        <v>72</v>
      </c>
      <c r="L28" s="3" t="n">
        <v>72</v>
      </c>
    </row>
    <row r="29" customFormat="false" ht="15" hidden="false" customHeight="false" outlineLevel="0" collapsed="false">
      <c r="A29" s="0" t="s">
        <v>98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customFormat="false" ht="15" hidden="false" customHeight="false" outlineLevel="0" collapsed="false">
      <c r="A30" s="0" t="s">
        <v>99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100</v>
      </c>
      <c r="C31" s="3" t="n">
        <v>21.5</v>
      </c>
      <c r="D31" s="3" t="n">
        <v>21.5</v>
      </c>
      <c r="E31" s="3" t="n">
        <v>21.5</v>
      </c>
      <c r="F31" s="3" t="n">
        <v>23</v>
      </c>
      <c r="G31" s="3" t="n">
        <v>23</v>
      </c>
      <c r="H31" s="3" t="n">
        <v>23</v>
      </c>
      <c r="I31" s="3" t="n">
        <v>23.5</v>
      </c>
      <c r="J31" s="3" t="n">
        <v>24</v>
      </c>
      <c r="K31" s="3" t="n">
        <v>24</v>
      </c>
      <c r="L31" s="3" t="n">
        <v>24</v>
      </c>
    </row>
    <row r="32" customFormat="false" ht="15" hidden="false" customHeight="false" outlineLevel="0" collapsed="false">
      <c r="A32" s="0" t="s">
        <v>101</v>
      </c>
      <c r="C32" s="3" t="n">
        <v>79</v>
      </c>
      <c r="D32" s="3" t="n">
        <v>82</v>
      </c>
      <c r="E32" s="3" t="n">
        <v>68</v>
      </c>
      <c r="F32" s="3" t="n">
        <v>27</v>
      </c>
      <c r="G32" s="3" t="n">
        <v>20</v>
      </c>
      <c r="H32" s="3" t="n">
        <v>32</v>
      </c>
      <c r="I32" s="3" t="n">
        <v>35</v>
      </c>
      <c r="J32" s="3" t="n">
        <v>35</v>
      </c>
      <c r="K32" s="3" t="n">
        <v>32</v>
      </c>
      <c r="L32" s="3" t="n">
        <v>30</v>
      </c>
    </row>
    <row r="33" customFormat="false" ht="15" hidden="false" customHeight="false" outlineLevel="0" collapsed="false">
      <c r="A33" s="0" t="s">
        <v>102</v>
      </c>
      <c r="C33" s="3" t="n">
        <v>25</v>
      </c>
      <c r="D33" s="3" t="n">
        <v>25</v>
      </c>
      <c r="E33" s="3" t="n">
        <v>25</v>
      </c>
      <c r="F33" s="3" t="n">
        <v>25</v>
      </c>
      <c r="G33" s="3" t="n">
        <v>25</v>
      </c>
      <c r="H33" s="3" t="n">
        <v>25</v>
      </c>
      <c r="I33" s="3" t="n">
        <v>25</v>
      </c>
      <c r="J33" s="3" t="n">
        <v>25</v>
      </c>
      <c r="K33" s="3" t="n">
        <v>25</v>
      </c>
      <c r="L33" s="3" t="n">
        <v>25</v>
      </c>
    </row>
    <row r="34" customFormat="false" ht="15" hidden="false" customHeight="false" outlineLevel="0" collapsed="false">
      <c r="A34" s="0" t="s">
        <v>103</v>
      </c>
      <c r="B34" s="3" t="n">
        <v>6</v>
      </c>
    </row>
    <row r="35" customFormat="false" ht="15" hidden="false" customHeight="false" outlineLevel="0" collapsed="false">
      <c r="A35" s="0" t="s">
        <v>104</v>
      </c>
      <c r="B35" s="3" t="n">
        <v>2</v>
      </c>
    </row>
    <row r="36" customFormat="false" ht="15" hidden="false" customHeight="false" outlineLevel="0" collapsed="false">
      <c r="A36" s="0" t="s">
        <v>105</v>
      </c>
      <c r="B36" s="3" t="n">
        <v>18</v>
      </c>
    </row>
    <row r="37" customFormat="false" ht="15" hidden="false" customHeight="false" outlineLevel="0" collapsed="false">
      <c r="A37" s="0" t="s">
        <v>106</v>
      </c>
      <c r="B37" s="3" t="n">
        <v>0</v>
      </c>
    </row>
    <row r="38" customFormat="false" ht="15" hidden="false" customHeight="false" outlineLevel="0" collapsed="false">
      <c r="A38" s="0" t="s">
        <v>107</v>
      </c>
      <c r="B38" s="3" t="n">
        <v>0.5</v>
      </c>
    </row>
    <row r="40" customFormat="false" ht="15" hidden="false" customHeight="false" outlineLevel="0" collapsed="false">
      <c r="A40" s="2" t="s">
        <v>109</v>
      </c>
      <c r="C40" s="2" t="s">
        <v>86</v>
      </c>
      <c r="D40" s="2" t="s">
        <v>87</v>
      </c>
      <c r="E40" s="2" t="s">
        <v>88</v>
      </c>
      <c r="F40" s="2" t="s">
        <v>89</v>
      </c>
      <c r="G40" s="2" t="s">
        <v>90</v>
      </c>
      <c r="H40" s="2" t="s">
        <v>91</v>
      </c>
      <c r="I40" s="2" t="s">
        <v>92</v>
      </c>
      <c r="J40" s="2" t="s">
        <v>93</v>
      </c>
      <c r="K40" s="2" t="s">
        <v>94</v>
      </c>
      <c r="L40" s="2" t="s">
        <v>95</v>
      </c>
    </row>
    <row r="41" customFormat="false" ht="15" hidden="false" customHeight="false" outlineLevel="0" collapsed="false">
      <c r="A41" s="0" t="s">
        <v>96</v>
      </c>
      <c r="C41" s="3" t="n">
        <v>3.5</v>
      </c>
      <c r="D41" s="3" t="n">
        <v>4</v>
      </c>
      <c r="E41" s="3" t="n">
        <v>4</v>
      </c>
      <c r="F41" s="3" t="n">
        <v>12</v>
      </c>
      <c r="G41" s="3" t="n">
        <v>7</v>
      </c>
      <c r="H41" s="3" t="n">
        <v>5.5</v>
      </c>
      <c r="I41" s="3" t="n">
        <v>4.5</v>
      </c>
      <c r="J41" s="3" t="n">
        <v>4</v>
      </c>
      <c r="K41" s="3" t="n">
        <v>3.5</v>
      </c>
      <c r="L41" s="3" t="n">
        <v>3</v>
      </c>
    </row>
    <row r="42" customFormat="false" ht="15" hidden="false" customHeight="false" outlineLevel="0" collapsed="false">
      <c r="A42" s="0" t="s">
        <v>97</v>
      </c>
      <c r="C42" s="3" t="n">
        <v>69.5</v>
      </c>
      <c r="D42" s="3" t="n">
        <v>70.5</v>
      </c>
      <c r="E42" s="3" t="n">
        <v>71</v>
      </c>
      <c r="F42" s="3" t="n">
        <v>72</v>
      </c>
      <c r="G42" s="3" t="n">
        <v>72.5</v>
      </c>
      <c r="H42" s="3" t="n">
        <v>73</v>
      </c>
      <c r="I42" s="3" t="n">
        <v>73</v>
      </c>
      <c r="J42" s="3" t="n">
        <v>73</v>
      </c>
      <c r="K42" s="3" t="n">
        <v>73</v>
      </c>
      <c r="L42" s="3" t="n">
        <v>73</v>
      </c>
    </row>
    <row r="43" customFormat="false" ht="15" hidden="false" customHeight="false" outlineLevel="0" collapsed="false">
      <c r="A43" s="0" t="s">
        <v>98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 customFormat="false" ht="15" hidden="false" customHeight="false" outlineLevel="0" collapsed="false">
      <c r="A44" s="0" t="s">
        <v>99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100</v>
      </c>
      <c r="C45" s="3" t="n">
        <v>21.5</v>
      </c>
      <c r="D45" s="3" t="n">
        <v>21.5</v>
      </c>
      <c r="E45" s="3" t="n">
        <v>21.5</v>
      </c>
      <c r="F45" s="3" t="n">
        <v>23</v>
      </c>
      <c r="G45" s="3" t="n">
        <v>23</v>
      </c>
      <c r="H45" s="3" t="n">
        <v>23</v>
      </c>
      <c r="I45" s="3" t="n">
        <v>23.5</v>
      </c>
      <c r="J45" s="3" t="n">
        <v>24</v>
      </c>
      <c r="K45" s="3" t="n">
        <v>24</v>
      </c>
      <c r="L45" s="3" t="n">
        <v>24</v>
      </c>
    </row>
    <row r="46" customFormat="false" ht="15" hidden="false" customHeight="false" outlineLevel="0" collapsed="false">
      <c r="A46" s="0" t="s">
        <v>101</v>
      </c>
      <c r="C46" s="3" t="n">
        <v>78</v>
      </c>
      <c r="D46" s="3" t="n">
        <v>80</v>
      </c>
      <c r="E46" s="3" t="n">
        <v>66</v>
      </c>
      <c r="F46" s="3" t="n">
        <v>25</v>
      </c>
      <c r="G46" s="3" t="n">
        <v>19</v>
      </c>
      <c r="H46" s="3" t="n">
        <v>30</v>
      </c>
      <c r="I46" s="3" t="n">
        <v>33</v>
      </c>
      <c r="J46" s="3" t="n">
        <v>33</v>
      </c>
      <c r="K46" s="3" t="n">
        <v>30</v>
      </c>
      <c r="L46" s="3" t="n">
        <v>28</v>
      </c>
    </row>
    <row r="47" customFormat="false" ht="15" hidden="false" customHeight="false" outlineLevel="0" collapsed="false">
      <c r="A47" s="0" t="s">
        <v>102</v>
      </c>
      <c r="C47" s="3" t="n">
        <v>25</v>
      </c>
      <c r="D47" s="3" t="n">
        <v>25</v>
      </c>
      <c r="E47" s="3" t="n">
        <v>25</v>
      </c>
      <c r="F47" s="3" t="n">
        <v>25</v>
      </c>
      <c r="G47" s="3" t="n">
        <v>25</v>
      </c>
      <c r="H47" s="3" t="n">
        <v>25</v>
      </c>
      <c r="I47" s="3" t="n">
        <v>25</v>
      </c>
      <c r="J47" s="3" t="n">
        <v>25</v>
      </c>
      <c r="K47" s="3" t="n">
        <v>25</v>
      </c>
      <c r="L47" s="3" t="n">
        <v>25</v>
      </c>
    </row>
    <row r="48" customFormat="false" ht="15" hidden="false" customHeight="false" outlineLevel="0" collapsed="false">
      <c r="A48" s="0" t="s">
        <v>103</v>
      </c>
      <c r="B48" s="3" t="n">
        <v>6</v>
      </c>
    </row>
    <row r="49" customFormat="false" ht="15" hidden="false" customHeight="false" outlineLevel="0" collapsed="false">
      <c r="A49" s="0" t="s">
        <v>104</v>
      </c>
      <c r="B49" s="3" t="n">
        <v>2.5</v>
      </c>
    </row>
    <row r="50" customFormat="false" ht="15" hidden="false" customHeight="false" outlineLevel="0" collapsed="false">
      <c r="A50" s="0" t="s">
        <v>105</v>
      </c>
      <c r="B50" s="3" t="n">
        <v>20</v>
      </c>
    </row>
    <row r="51" customFormat="false" ht="15" hidden="false" customHeight="false" outlineLevel="0" collapsed="false">
      <c r="A51" s="0" t="s">
        <v>106</v>
      </c>
      <c r="B51" s="3" t="n">
        <v>0</v>
      </c>
    </row>
    <row r="52" customFormat="false" ht="15" hidden="false" customHeight="false" outlineLevel="0" collapsed="false">
      <c r="A52" s="0" t="s">
        <v>107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110</v>
      </c>
    </row>
    <row r="3" customFormat="false" ht="15" hidden="false" customHeight="false" outlineLevel="0" collapsed="false">
      <c r="A3" s="0" t="s">
        <v>111</v>
      </c>
      <c r="B3" s="0" t="s">
        <v>72</v>
      </c>
      <c r="C3" s="2" t="s">
        <v>86</v>
      </c>
      <c r="D3" s="2" t="s">
        <v>87</v>
      </c>
      <c r="E3" s="2" t="s">
        <v>88</v>
      </c>
      <c r="F3" s="2" t="s">
        <v>89</v>
      </c>
      <c r="G3" s="2" t="s">
        <v>90</v>
      </c>
      <c r="H3" s="2" t="s">
        <v>91</v>
      </c>
      <c r="I3" s="2" t="s">
        <v>92</v>
      </c>
      <c r="J3" s="2" t="s">
        <v>93</v>
      </c>
      <c r="K3" s="2" t="s">
        <v>94</v>
      </c>
      <c r="L3" s="2" t="s">
        <v>95</v>
      </c>
    </row>
    <row r="4" customFormat="false" ht="15" hidden="false" customHeight="false" outlineLevel="0" collapsed="false">
      <c r="A4" s="0" t="s">
        <v>112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96</v>
      </c>
      <c r="C5" s="4" t="n">
        <f aca="false">Assumptions!C13</f>
        <v>1.5</v>
      </c>
      <c r="D5" s="4" t="n">
        <f aca="false">Assumptions!D13</f>
        <v>1.5</v>
      </c>
      <c r="E5" s="4" t="n">
        <f aca="false">Assumptions!E13</f>
        <v>1.5</v>
      </c>
      <c r="F5" s="4" t="n">
        <f aca="false">Assumptions!F13</f>
        <v>6</v>
      </c>
      <c r="G5" s="4" t="n">
        <f aca="false">Assumptions!G13</f>
        <v>3</v>
      </c>
      <c r="H5" s="4" t="n">
        <f aca="false">Assumptions!H13</f>
        <v>2</v>
      </c>
      <c r="I5" s="4" t="n">
        <f aca="false">Assumptions!I13</f>
        <v>-12</v>
      </c>
      <c r="J5" s="4" t="n">
        <f aca="false">Assumptions!J13</f>
        <v>-15</v>
      </c>
      <c r="K5" s="4" t="n">
        <f aca="false">Assumptions!K13</f>
        <v>1</v>
      </c>
      <c r="L5" s="4" t="n">
        <f aca="false">Assumptions!L13</f>
        <v>1</v>
      </c>
    </row>
    <row r="6" customFormat="false" ht="15" hidden="false" customHeight="false" outlineLevel="0" collapsed="false">
      <c r="A6" s="0" t="s">
        <v>38</v>
      </c>
      <c r="B6" s="3" t="n">
        <v>12133.6</v>
      </c>
      <c r="C6" s="0" t="n">
        <f aca="false">B6*(1+C5/100)</f>
        <v>12315.604</v>
      </c>
      <c r="D6" s="0" t="n">
        <f aca="false">C6*(1+D5/100)</f>
        <v>12500.33806</v>
      </c>
      <c r="E6" s="0" t="n">
        <f aca="false">D6*(1+E5/100)</f>
        <v>12687.8431309</v>
      </c>
      <c r="F6" s="0" t="n">
        <f aca="false">E6*(1+F5/100)</f>
        <v>13449.113718754</v>
      </c>
      <c r="G6" s="0" t="n">
        <f aca="false">F6*(1+G5/100)</f>
        <v>13852.5871303166</v>
      </c>
      <c r="H6" s="0" t="n">
        <f aca="false">G6*(1+H5/100)</f>
        <v>14129.638872923</v>
      </c>
      <c r="I6" s="0" t="n">
        <f aca="false">H6*(1+I5/100)</f>
        <v>12434.0822081722</v>
      </c>
      <c r="J6" s="0" t="n">
        <f aca="false">I6*(1+J5/100)</f>
        <v>10568.9698769464</v>
      </c>
      <c r="K6" s="0" t="n">
        <f aca="false">J6*(1+K5/100)</f>
        <v>10674.6595757158</v>
      </c>
      <c r="L6" s="0" t="n">
        <f aca="false">K6*(1+L5/100)</f>
        <v>10781.406171473</v>
      </c>
    </row>
    <row r="7" customFormat="false" ht="15" hidden="false" customHeight="false" outlineLevel="0" collapsed="false">
      <c r="A7" s="0" t="s">
        <v>97</v>
      </c>
      <c r="C7" s="4" t="n">
        <f aca="false">Assumptions!C14</f>
        <v>68</v>
      </c>
      <c r="D7" s="4" t="n">
        <f aca="false">Assumptions!D14</f>
        <v>68</v>
      </c>
      <c r="E7" s="4" t="n">
        <f aca="false">Assumptions!E14</f>
        <v>68</v>
      </c>
      <c r="F7" s="4" t="n">
        <f aca="false">Assumptions!F14</f>
        <v>68.5</v>
      </c>
      <c r="G7" s="4" t="n">
        <f aca="false">Assumptions!G14</f>
        <v>68.5</v>
      </c>
      <c r="H7" s="4" t="n">
        <f aca="false">Assumptions!H14</f>
        <v>68.5</v>
      </c>
      <c r="I7" s="4" t="n">
        <f aca="false">Assumptions!I14</f>
        <v>66</v>
      </c>
      <c r="J7" s="4" t="n">
        <f aca="false">Assumptions!J14</f>
        <v>64</v>
      </c>
      <c r="K7" s="4" t="n">
        <f aca="false">Assumptions!K14</f>
        <v>64</v>
      </c>
      <c r="L7" s="4" t="n">
        <f aca="false">Assumptions!L14</f>
        <v>64</v>
      </c>
    </row>
    <row r="8" customFormat="false" ht="15" hidden="false" customHeight="false" outlineLevel="0" collapsed="false">
      <c r="A8" s="0" t="s">
        <v>44</v>
      </c>
      <c r="C8" s="0" t="n">
        <f aca="false">C6*C7/100</f>
        <v>8374.61072</v>
      </c>
      <c r="D8" s="0" t="n">
        <f aca="false">D6*D7/100</f>
        <v>8500.2298808</v>
      </c>
      <c r="E8" s="0" t="n">
        <f aca="false">E6*E7/100</f>
        <v>8627.733329012</v>
      </c>
      <c r="F8" s="0" t="n">
        <f aca="false">F6*F7/100</f>
        <v>9212.64289734649</v>
      </c>
      <c r="G8" s="0" t="n">
        <f aca="false">G6*G7/100</f>
        <v>9489.02218426688</v>
      </c>
      <c r="H8" s="0" t="n">
        <f aca="false">H6*H7/100</f>
        <v>9678.80262795222</v>
      </c>
      <c r="I8" s="0" t="n">
        <f aca="false">I6*I7/100</f>
        <v>8206.49425739365</v>
      </c>
      <c r="J8" s="0" t="n">
        <f aca="false">J6*J7/100</f>
        <v>6764.14072124567</v>
      </c>
      <c r="K8" s="0" t="n">
        <f aca="false">K6*K7/100</f>
        <v>6831.78212845813</v>
      </c>
      <c r="L8" s="0" t="n">
        <f aca="false">L6*L7/100</f>
        <v>6900.09994974271</v>
      </c>
    </row>
    <row r="9" customFormat="false" ht="15" hidden="false" customHeight="false" outlineLevel="0" collapsed="false">
      <c r="A9" s="0" t="s">
        <v>98</v>
      </c>
      <c r="C9" s="4" t="n">
        <f aca="false">Assumptions!C15</f>
        <v>0</v>
      </c>
      <c r="D9" s="4" t="n">
        <f aca="false">Assumptions!D15</f>
        <v>0</v>
      </c>
      <c r="E9" s="4" t="n">
        <f aca="false">Assumptions!E15</f>
        <v>0</v>
      </c>
      <c r="F9" s="4" t="n">
        <f aca="false">Assumptions!F15</f>
        <v>0</v>
      </c>
      <c r="G9" s="4" t="n">
        <f aca="false">Assumptions!G15</f>
        <v>0</v>
      </c>
      <c r="H9" s="4" t="n">
        <f aca="false">Assumptions!H15</f>
        <v>0</v>
      </c>
      <c r="I9" s="4" t="n">
        <f aca="false">Assumptions!I15</f>
        <v>0</v>
      </c>
      <c r="J9" s="4" t="n">
        <f aca="false">Assumptions!J15</f>
        <v>0</v>
      </c>
      <c r="K9" s="4" t="n">
        <f aca="false">Assumptions!K15</f>
        <v>0</v>
      </c>
      <c r="L9" s="4" t="n">
        <f aca="false">Assumptions!L15</f>
        <v>0</v>
      </c>
    </row>
    <row r="10" customFormat="false" ht="15" hidden="false" customHeight="false" outlineLevel="0" collapsed="false">
      <c r="A10" s="0" t="s">
        <v>113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114</v>
      </c>
      <c r="C11" s="0" t="n">
        <f aca="false">C8+C10+C24</f>
        <v>8374.61072</v>
      </c>
      <c r="D11" s="0" t="n">
        <f aca="false">D8+D10+D24</f>
        <v>8500.2298808</v>
      </c>
      <c r="E11" s="0" t="n">
        <f aca="false">E8+E10+E24</f>
        <v>8627.733329012</v>
      </c>
      <c r="F11" s="0" t="n">
        <f aca="false">F8+F10+F24</f>
        <v>9212.64289734649</v>
      </c>
      <c r="G11" s="0" t="n">
        <f aca="false">G8+G10+G24</f>
        <v>9489.02218426688</v>
      </c>
      <c r="H11" s="0" t="n">
        <f aca="false">H8+H10+H24</f>
        <v>9678.80262795222</v>
      </c>
      <c r="I11" s="0" t="n">
        <f aca="false">I8+I10+I24</f>
        <v>8206.49425739365</v>
      </c>
      <c r="J11" s="0" t="n">
        <f aca="false">J8+J10+J24</f>
        <v>6764.14072124567</v>
      </c>
      <c r="K11" s="0" t="n">
        <f aca="false">K8+K10+K24</f>
        <v>6831.78212845813</v>
      </c>
      <c r="L11" s="0" t="n">
        <f aca="false">L8+L10+L24</f>
        <v>6900.09994974271</v>
      </c>
    </row>
    <row r="12" customFormat="false" ht="15" hidden="false" customHeight="false" outlineLevel="0" collapsed="false">
      <c r="A12" s="0" t="s">
        <v>115</v>
      </c>
      <c r="C12" s="4" t="n">
        <f aca="false">-C6*Assumptions!C17/100</f>
        <v>-2647.85486</v>
      </c>
      <c r="D12" s="4" t="n">
        <f aca="false">-D6*Assumptions!D17/100</f>
        <v>-2687.5726829</v>
      </c>
      <c r="E12" s="4" t="n">
        <f aca="false">-E6*Assumptions!E17/100</f>
        <v>-2727.8862731435</v>
      </c>
      <c r="F12" s="4" t="n">
        <f aca="false">-F6*Assumptions!F17/100</f>
        <v>-3093.29615531342</v>
      </c>
      <c r="G12" s="4" t="n">
        <f aca="false">-G6*Assumptions!G17/100</f>
        <v>-3186.09503997282</v>
      </c>
      <c r="H12" s="4" t="n">
        <f aca="false">-H6*Assumptions!H17/100</f>
        <v>-3249.81694077228</v>
      </c>
      <c r="I12" s="4" t="n">
        <f aca="false">-I6*Assumptions!I17/100</f>
        <v>-2735.49808579788</v>
      </c>
      <c r="J12" s="4" t="n">
        <f aca="false">-J6*Assumptions!J17/100</f>
        <v>-2219.48367415874</v>
      </c>
      <c r="K12" s="4" t="n">
        <f aca="false">-K6*Assumptions!K17/100</f>
        <v>-2241.67851090032</v>
      </c>
      <c r="L12" s="4" t="n">
        <f aca="false">-L6*Assumptions!L17/100</f>
        <v>-2264.09529600933</v>
      </c>
    </row>
    <row r="13" customFormat="false" ht="15" hidden="false" customHeight="false" outlineLevel="0" collapsed="false">
      <c r="A13" s="0" t="s">
        <v>116</v>
      </c>
      <c r="C13" s="0" t="n">
        <f aca="false">C11+C12</f>
        <v>5726.75586</v>
      </c>
      <c r="D13" s="0" t="n">
        <f aca="false">D11+D12</f>
        <v>5812.6571979</v>
      </c>
      <c r="E13" s="0" t="n">
        <f aca="false">E11+E12</f>
        <v>5899.8470558685</v>
      </c>
      <c r="F13" s="0" t="n">
        <f aca="false">F11+F12</f>
        <v>6119.34674203307</v>
      </c>
      <c r="G13" s="0" t="n">
        <f aca="false">G11+G12</f>
        <v>6302.92714429406</v>
      </c>
      <c r="H13" s="0" t="n">
        <f aca="false">H11+H12</f>
        <v>6428.98568717994</v>
      </c>
      <c r="I13" s="0" t="n">
        <f aca="false">I11+I12</f>
        <v>5470.99617159577</v>
      </c>
      <c r="J13" s="0" t="n">
        <f aca="false">J11+J12</f>
        <v>4544.65704708694</v>
      </c>
      <c r="K13" s="0" t="n">
        <f aca="false">K11+K12</f>
        <v>4590.10361755781</v>
      </c>
      <c r="L13" s="0" t="n">
        <f aca="false">L11+L12</f>
        <v>4636.00465373339</v>
      </c>
    </row>
    <row r="14" customFormat="false" ht="15" hidden="false" customHeight="false" outlineLevel="0" collapsed="false">
      <c r="A14" s="0" t="s">
        <v>102</v>
      </c>
      <c r="C14" s="4" t="n">
        <f aca="false">Assumptions!C19</f>
        <v>25</v>
      </c>
      <c r="D14" s="4" t="n">
        <f aca="false">Assumptions!D19</f>
        <v>25</v>
      </c>
      <c r="E14" s="4" t="n">
        <f aca="false">Assumptions!E19</f>
        <v>25</v>
      </c>
      <c r="F14" s="4" t="n">
        <f aca="false">Assumptions!F19</f>
        <v>25</v>
      </c>
      <c r="G14" s="4" t="n">
        <f aca="false">Assumptions!G19</f>
        <v>25</v>
      </c>
      <c r="H14" s="4" t="n">
        <f aca="false">Assumptions!H19</f>
        <v>25</v>
      </c>
      <c r="I14" s="4" t="n">
        <f aca="false">Assumptions!I19</f>
        <v>25</v>
      </c>
      <c r="J14" s="4" t="n">
        <f aca="false">Assumptions!J19</f>
        <v>25</v>
      </c>
      <c r="K14" s="4" t="n">
        <f aca="false">Assumptions!K19</f>
        <v>25</v>
      </c>
      <c r="L14" s="4" t="n">
        <f aca="false">Assumptions!L19</f>
        <v>25</v>
      </c>
    </row>
    <row r="15" customFormat="false" ht="15" hidden="false" customHeight="false" outlineLevel="0" collapsed="false">
      <c r="A15" s="0" t="s">
        <v>117</v>
      </c>
      <c r="C15" s="0" t="n">
        <f aca="false">C13-MAX(0,C13)*C14/100</f>
        <v>4295.066895</v>
      </c>
      <c r="D15" s="0" t="n">
        <f aca="false">D13-MAX(0,D13)*D14/100</f>
        <v>4359.492898425</v>
      </c>
      <c r="E15" s="0" t="n">
        <f aca="false">E13-MAX(0,E13)*E14/100</f>
        <v>4424.88529190137</v>
      </c>
      <c r="F15" s="0" t="n">
        <f aca="false">F13-MAX(0,F13)*F14/100</f>
        <v>4589.5100565248</v>
      </c>
      <c r="G15" s="0" t="n">
        <f aca="false">G13-MAX(0,G13)*G14/100</f>
        <v>4727.19535822055</v>
      </c>
      <c r="H15" s="0" t="n">
        <f aca="false">H13-MAX(0,H13)*H14/100</f>
        <v>4821.73926538496</v>
      </c>
      <c r="I15" s="0" t="n">
        <f aca="false">I13-MAX(0,I13)*I14/100</f>
        <v>4103.24712869683</v>
      </c>
      <c r="J15" s="0" t="n">
        <f aca="false">J13-MAX(0,J13)*J14/100</f>
        <v>3408.4927853152</v>
      </c>
      <c r="K15" s="0" t="n">
        <f aca="false">K13-MAX(0,K13)*K14/100</f>
        <v>3442.57771316836</v>
      </c>
      <c r="L15" s="0" t="n">
        <f aca="false">L13-MAX(0,L13)*L14/100</f>
        <v>3477.00349030004</v>
      </c>
    </row>
    <row r="16" customFormat="false" ht="15" hidden="false" customHeight="false" outlineLevel="0" collapsed="false">
      <c r="A16" s="0" t="s">
        <v>118</v>
      </c>
      <c r="C16" s="0" t="n">
        <f aca="false">-C12</f>
        <v>2647.85486</v>
      </c>
      <c r="D16" s="0" t="n">
        <f aca="false">-D12</f>
        <v>2687.5726829</v>
      </c>
      <c r="E16" s="0" t="n">
        <f aca="false">-E12</f>
        <v>2727.8862731435</v>
      </c>
      <c r="F16" s="0" t="n">
        <f aca="false">-F12</f>
        <v>3093.29615531342</v>
      </c>
      <c r="G16" s="0" t="n">
        <f aca="false">-G12</f>
        <v>3186.09503997282</v>
      </c>
      <c r="H16" s="0" t="n">
        <f aca="false">-H12</f>
        <v>3249.81694077228</v>
      </c>
      <c r="I16" s="0" t="n">
        <f aca="false">-I12</f>
        <v>2735.49808579788</v>
      </c>
      <c r="J16" s="0" t="n">
        <f aca="false">-J12</f>
        <v>2219.48367415874</v>
      </c>
      <c r="K16" s="0" t="n">
        <f aca="false">-K12</f>
        <v>2241.67851090032</v>
      </c>
      <c r="L16" s="0" t="n">
        <f aca="false">-L12</f>
        <v>2264.09529600933</v>
      </c>
    </row>
    <row r="17" customFormat="false" ht="15" hidden="false" customHeight="false" outlineLevel="0" collapsed="false">
      <c r="A17" s="0" t="s">
        <v>119</v>
      </c>
      <c r="C17" s="4" t="n">
        <f aca="false">-C6*Assumptions!C18/100</f>
        <v>-9975.63924</v>
      </c>
      <c r="D17" s="4" t="n">
        <f aca="false">-D6*Assumptions!D18/100</f>
        <v>-10625.287351</v>
      </c>
      <c r="E17" s="4" t="n">
        <f aca="false">-E6*Assumptions!E18/100</f>
        <v>-9135.247054248</v>
      </c>
      <c r="F17" s="4" t="n">
        <f aca="false">-F6*Assumptions!F18/100</f>
        <v>-3765.75184125112</v>
      </c>
      <c r="G17" s="4" t="n">
        <f aca="false">-G6*Assumptions!G18/100</f>
        <v>-2770.51742606332</v>
      </c>
      <c r="H17" s="4" t="n">
        <f aca="false">-H6*Assumptions!H18/100</f>
        <v>-2825.92777458459</v>
      </c>
      <c r="I17" s="4" t="n">
        <f aca="false">-I6*Assumptions!I18/100</f>
        <v>-2735.49808579788</v>
      </c>
      <c r="J17" s="4" t="n">
        <f aca="false">-J6*Assumptions!J18/100</f>
        <v>-2642.24246923659</v>
      </c>
      <c r="K17" s="4" t="n">
        <f aca="false">-K6*Assumptions!K18/100</f>
        <v>-2668.66489392896</v>
      </c>
      <c r="L17" s="4" t="n">
        <f aca="false">-L6*Assumptions!L18/100</f>
        <v>-2695.35154286825</v>
      </c>
    </row>
    <row r="18" customFormat="false" ht="15" hidden="false" customHeight="false" outlineLevel="0" collapsed="false">
      <c r="A18" s="0" t="s">
        <v>120</v>
      </c>
      <c r="C18" s="4" t="n">
        <f aca="false">(C6-B6)*Assumptions!$B$23/100</f>
        <v>0</v>
      </c>
      <c r="D18" s="4" t="n">
        <f aca="false">(D6-C6)*Assumptions!$B$23/100</f>
        <v>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-0</v>
      </c>
      <c r="J18" s="4" t="n">
        <f aca="false">(J6-I6)*Assumptions!$B$23/100</f>
        <v>-0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121</v>
      </c>
      <c r="C19" s="0" t="n">
        <f aca="false">C15+C16+C17+C18</f>
        <v>-3032.717485</v>
      </c>
      <c r="D19" s="0" t="n">
        <f aca="false">D15+D16+D17+D18</f>
        <v>-3578.221769675</v>
      </c>
      <c r="E19" s="0" t="n">
        <f aca="false">E15+E16+E17+E18</f>
        <v>-1982.47548920313</v>
      </c>
      <c r="F19" s="0" t="n">
        <f aca="false">F15+F16+F17+F18</f>
        <v>3917.0543705871</v>
      </c>
      <c r="G19" s="0" t="n">
        <f aca="false">G15+G16+G17+G18</f>
        <v>5142.77297213004</v>
      </c>
      <c r="H19" s="0" t="n">
        <f aca="false">H15+H16+H17+H18</f>
        <v>5245.62843157264</v>
      </c>
      <c r="I19" s="0" t="n">
        <f aca="false">I15+I16+I17+I18</f>
        <v>4103.24712869683</v>
      </c>
      <c r="J19" s="0" t="n">
        <f aca="false">J15+J16+J17+J18</f>
        <v>2985.73399023735</v>
      </c>
      <c r="K19" s="0" t="n">
        <f aca="false">K15+K16+K17+K18</f>
        <v>3015.59133013972</v>
      </c>
      <c r="L19" s="0" t="n">
        <f aca="false">L15+L16+L17+L18</f>
        <v>3045.74724344112</v>
      </c>
    </row>
    <row r="20" customFormat="false" ht="15" hidden="false" customHeight="false" outlineLevel="0" collapsed="false">
      <c r="A20" s="0" t="s">
        <v>122</v>
      </c>
      <c r="C20" s="0" t="n">
        <f aca="false">1/(1+$B$27/100)^C4</f>
        <v>0.943396226415094</v>
      </c>
      <c r="D20" s="0" t="n">
        <f aca="false">1/(1+$B$27/100)^D4</f>
        <v>0.88999644001424</v>
      </c>
      <c r="E20" s="0" t="n">
        <f aca="false">1/(1+$B$27/100)^E4</f>
        <v>0.839619283032302</v>
      </c>
      <c r="F20" s="0" t="n">
        <f aca="false">1/(1+$B$27/100)^F4</f>
        <v>0.79209366323802</v>
      </c>
      <c r="G20" s="0" t="n">
        <f aca="false">1/(1+$B$27/100)^G4</f>
        <v>0.747258172866057</v>
      </c>
      <c r="H20" s="0" t="n">
        <f aca="false">1/(1+$B$27/100)^H4</f>
        <v>0.704960540439676</v>
      </c>
      <c r="I20" s="0" t="n">
        <f aca="false">1/(1+$B$27/100)^I4</f>
        <v>0.665057113622336</v>
      </c>
      <c r="J20" s="0" t="n">
        <f aca="false">1/(1+$B$27/100)^J4</f>
        <v>0.627412371341827</v>
      </c>
      <c r="K20" s="0" t="n">
        <f aca="false">1/(1+$B$27/100)^K4</f>
        <v>0.591898463530025</v>
      </c>
      <c r="L20" s="0" t="n">
        <f aca="false">1/(1+$B$27/100)^L4</f>
        <v>0.558394776915118</v>
      </c>
    </row>
    <row r="21" customFormat="false" ht="15" hidden="false" customHeight="false" outlineLevel="0" collapsed="false">
      <c r="A21" s="0" t="s">
        <v>123</v>
      </c>
      <c r="C21" s="0" t="n">
        <f aca="false">C19*C20</f>
        <v>-2861.05423113208</v>
      </c>
      <c r="D21" s="0" t="n">
        <f aca="false">D19*D20</f>
        <v>-3184.6046365922</v>
      </c>
      <c r="E21" s="0" t="n">
        <f aca="false">E19*E20</f>
        <v>-1664.52464887384</v>
      </c>
      <c r="F21" s="0" t="n">
        <f aca="false">F19*F20</f>
        <v>3102.67394550084</v>
      </c>
      <c r="G21" s="0" t="n">
        <f aca="false">G19*G20</f>
        <v>3842.97913461884</v>
      </c>
      <c r="H21" s="0" t="n">
        <f aca="false">H19*H20</f>
        <v>3697.96105406718</v>
      </c>
      <c r="I21" s="0" t="n">
        <f aca="false">I19*I20</f>
        <v>2728.89369189025</v>
      </c>
      <c r="J21" s="0" t="n">
        <f aca="false">J19*J20</f>
        <v>1873.28644301071</v>
      </c>
      <c r="K21" s="0" t="n">
        <f aca="false">K19*K20</f>
        <v>1784.92387494417</v>
      </c>
      <c r="L21" s="0" t="n">
        <f aca="false">L19*L20</f>
        <v>1700.72935254114</v>
      </c>
    </row>
    <row r="23" customFormat="false" ht="15" hidden="false" customHeight="false" outlineLevel="0" collapsed="false">
      <c r="A23" s="0" t="s">
        <v>99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125</v>
      </c>
    </row>
    <row r="27" customFormat="false" ht="15" hidden="false" customHeight="false" outlineLevel="0" collapsed="false">
      <c r="A27" s="0" t="s">
        <v>103</v>
      </c>
      <c r="B27" s="4" t="n">
        <f aca="false">Assumptions!$B$20</f>
        <v>6</v>
      </c>
    </row>
    <row r="28" customFormat="false" ht="15" hidden="false" customHeight="false" outlineLevel="0" collapsed="false">
      <c r="A28" s="0" t="s">
        <v>104</v>
      </c>
      <c r="B28" s="4" t="n">
        <f aca="false">Assumptions!$B$21</f>
        <v>1</v>
      </c>
    </row>
    <row r="29" customFormat="false" ht="15" hidden="false" customHeight="false" outlineLevel="0" collapsed="false">
      <c r="A29" s="0" t="s">
        <v>105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126</v>
      </c>
      <c r="B30" s="0" t="n">
        <f aca="false">SUM(C21:L21)</f>
        <v>11021.263979975</v>
      </c>
    </row>
    <row r="31" customFormat="false" ht="15" hidden="false" customHeight="false" outlineLevel="0" collapsed="false">
      <c r="A31" s="0" t="s">
        <v>127</v>
      </c>
      <c r="B31" s="0" t="n">
        <f aca="false">L19</f>
        <v>3045.74724344112</v>
      </c>
    </row>
    <row r="32" customFormat="false" ht="15" hidden="false" customHeight="false" outlineLevel="0" collapsed="false">
      <c r="A32" s="0" t="s">
        <v>128</v>
      </c>
      <c r="B32" s="0" t="n">
        <f aca="false">IF(B27&gt;B28,B31*(1+B28/100)/((B27-B28)/100),B31*B29)</f>
        <v>61524.0943175106</v>
      </c>
    </row>
    <row r="33" customFormat="false" ht="15" hidden="false" customHeight="false" outlineLevel="0" collapsed="false">
      <c r="A33" s="0" t="s">
        <v>129</v>
      </c>
      <c r="B33" s="0" t="n">
        <f aca="false">B31*B29</f>
        <v>36548.9669212934</v>
      </c>
    </row>
    <row r="34" customFormat="false" ht="15" hidden="false" customHeight="false" outlineLevel="0" collapsed="false">
      <c r="A34" s="0" t="s">
        <v>130</v>
      </c>
      <c r="B34" s="0" t="n">
        <f aca="false">MAX(0,MIN(B32,B33))</f>
        <v>36548.9669212934</v>
      </c>
    </row>
    <row r="35" customFormat="false" ht="15" hidden="false" customHeight="false" outlineLevel="0" collapsed="false">
      <c r="A35" s="0" t="s">
        <v>131</v>
      </c>
      <c r="B35" s="0" t="n">
        <f aca="false">B34/(1+B27/100)^L4</f>
        <v>20408.7522304937</v>
      </c>
    </row>
    <row r="36" customFormat="false" ht="15" hidden="false" customHeight="false" outlineLevel="0" collapsed="false">
      <c r="A36" s="0" t="s">
        <v>132</v>
      </c>
      <c r="B36" s="0" t="n">
        <f aca="false">B30+B35</f>
        <v>31430.0162104687</v>
      </c>
    </row>
    <row r="37" customFormat="false" ht="15" hidden="false" customHeight="false" outlineLevel="0" collapsed="false">
      <c r="A37" s="0" t="s">
        <v>133</v>
      </c>
      <c r="B37" s="0" t="n">
        <f aca="false">B36+Assumptions!$B$5-Assumptions!$B$4</f>
        <v>4226.41621046868</v>
      </c>
    </row>
    <row r="38" customFormat="false" ht="15" hidden="false" customHeight="false" outlineLevel="0" collapsed="false">
      <c r="A38" s="0" t="s">
        <v>134</v>
      </c>
      <c r="B38" s="0" t="n">
        <f aca="false">B37/Assumptions!$B$3*Assumptions!$B$10</f>
        <v>0.983332719359987</v>
      </c>
    </row>
    <row r="39" customFormat="false" ht="15" hidden="false" customHeight="false" outlineLevel="0" collapsed="false">
      <c r="A39" s="0" t="s">
        <v>135</v>
      </c>
      <c r="B39" s="4" t="n">
        <f aca="false">B38/Assumptions!$B$2-1</f>
        <v>-0.911650249832885</v>
      </c>
    </row>
    <row r="41" customFormat="false" ht="15" hidden="false" customHeight="false" outlineLevel="0" collapsed="false">
      <c r="A41" s="0" t="s">
        <v>136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137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138</v>
      </c>
      <c r="B43" s="0" t="n">
        <f aca="false">(B37+B41+B42)/Assumptions!$B$3*Assumptions!$B$10</f>
        <v>0.983332719359987</v>
      </c>
    </row>
    <row r="45" customFormat="false" ht="15" hidden="false" customHeight="false" outlineLevel="0" collapsed="false">
      <c r="A45" s="0" t="s">
        <v>79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139</v>
      </c>
      <c r="B46" s="0" t="n">
        <f aca="false">MAX(0,MIN(IF(B45&gt;B28,B31*(1+B28/100)/((B45-B28)/100),B31*B29),B31*B29))</f>
        <v>21972.8908276824</v>
      </c>
    </row>
    <row r="47" customFormat="false" ht="15" hidden="false" customHeight="false" outlineLevel="0" collapsed="false">
      <c r="A47" s="0" t="s">
        <v>140</v>
      </c>
      <c r="B47" s="0" t="n">
        <f aca="false">(SUMPRODUCT(C19:L19/(1+B45/100)^C4:L4)+B46/(1+B45/100)^L4+Assumptions!$B$5-Assumptions!$B$4)/Assumptions!$B$3*Assumptions!$B$10</f>
        <v>-4.00776143968824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141</v>
      </c>
    </row>
    <row r="3" customFormat="false" ht="15" hidden="false" customHeight="false" outlineLevel="0" collapsed="false">
      <c r="A3" s="0" t="s">
        <v>111</v>
      </c>
      <c r="B3" s="0" t="s">
        <v>72</v>
      </c>
      <c r="C3" s="2" t="s">
        <v>86</v>
      </c>
      <c r="D3" s="2" t="s">
        <v>87</v>
      </c>
      <c r="E3" s="2" t="s">
        <v>88</v>
      </c>
      <c r="F3" s="2" t="s">
        <v>89</v>
      </c>
      <c r="G3" s="2" t="s">
        <v>90</v>
      </c>
      <c r="H3" s="2" t="s">
        <v>91</v>
      </c>
      <c r="I3" s="2" t="s">
        <v>92</v>
      </c>
      <c r="J3" s="2" t="s">
        <v>93</v>
      </c>
      <c r="K3" s="2" t="s">
        <v>94</v>
      </c>
      <c r="L3" s="2" t="s">
        <v>95</v>
      </c>
    </row>
    <row r="4" customFormat="false" ht="15" hidden="false" customHeight="false" outlineLevel="0" collapsed="false">
      <c r="A4" s="0" t="s">
        <v>112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96</v>
      </c>
      <c r="C5" s="4" t="n">
        <f aca="false">Assumptions!C27</f>
        <v>2.5</v>
      </c>
      <c r="D5" s="4" t="n">
        <f aca="false">Assumptions!D27</f>
        <v>3</v>
      </c>
      <c r="E5" s="4" t="n">
        <f aca="false">Assumptions!E27</f>
        <v>3</v>
      </c>
      <c r="F5" s="4" t="n">
        <f aca="false">Assumptions!F27</f>
        <v>10</v>
      </c>
      <c r="G5" s="4" t="n">
        <f aca="false">Assumptions!G27</f>
        <v>6</v>
      </c>
      <c r="H5" s="4" t="n">
        <f aca="false">Assumptions!H27</f>
        <v>4.5</v>
      </c>
      <c r="I5" s="4" t="n">
        <f aca="false">Assumptions!I27</f>
        <v>3.5</v>
      </c>
      <c r="J5" s="4" t="n">
        <f aca="false">Assumptions!J27</f>
        <v>3</v>
      </c>
      <c r="K5" s="4" t="n">
        <f aca="false">Assumptions!K27</f>
        <v>3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38</v>
      </c>
      <c r="B6" s="3" t="n">
        <v>12133.6</v>
      </c>
      <c r="C6" s="0" t="n">
        <f aca="false">B6*(1+C5/100)</f>
        <v>12436.94</v>
      </c>
      <c r="D6" s="0" t="n">
        <f aca="false">C6*(1+D5/100)</f>
        <v>12810.0482</v>
      </c>
      <c r="E6" s="0" t="n">
        <f aca="false">D6*(1+E5/100)</f>
        <v>13194.349646</v>
      </c>
      <c r="F6" s="0" t="n">
        <f aca="false">E6*(1+F5/100)</f>
        <v>14513.7846106</v>
      </c>
      <c r="G6" s="0" t="n">
        <f aca="false">F6*(1+G5/100)</f>
        <v>15384.611687236</v>
      </c>
      <c r="H6" s="0" t="n">
        <f aca="false">G6*(1+H5/100)</f>
        <v>16076.9192131616</v>
      </c>
      <c r="I6" s="0" t="n">
        <f aca="false">H6*(1+I5/100)</f>
        <v>16639.6113856223</v>
      </c>
      <c r="J6" s="0" t="n">
        <f aca="false">I6*(1+J5/100)</f>
        <v>17138.7997271909</v>
      </c>
      <c r="K6" s="0" t="n">
        <f aca="false">J6*(1+K5/100)</f>
        <v>17652.9637190067</v>
      </c>
      <c r="L6" s="0" t="n">
        <f aca="false">K6*(1+L5/100)</f>
        <v>18094.2878119818</v>
      </c>
    </row>
    <row r="7" customFormat="false" ht="15" hidden="false" customHeight="false" outlineLevel="0" collapsed="false">
      <c r="A7" s="0" t="s">
        <v>97</v>
      </c>
      <c r="C7" s="4" t="n">
        <f aca="false">Assumptions!C28</f>
        <v>69</v>
      </c>
      <c r="D7" s="4" t="n">
        <f aca="false">Assumptions!D28</f>
        <v>69.5</v>
      </c>
      <c r="E7" s="4" t="n">
        <f aca="false">Assumptions!E28</f>
        <v>70</v>
      </c>
      <c r="F7" s="4" t="n">
        <f aca="false">Assumptions!F28</f>
        <v>71</v>
      </c>
      <c r="G7" s="4" t="n">
        <f aca="false">Assumptions!G28</f>
        <v>71.5</v>
      </c>
      <c r="H7" s="4" t="n">
        <f aca="false">Assumptions!H28</f>
        <v>72</v>
      </c>
      <c r="I7" s="4" t="n">
        <f aca="false">Assumptions!I28</f>
        <v>72</v>
      </c>
      <c r="J7" s="4" t="n">
        <f aca="false">Assumptions!J28</f>
        <v>72</v>
      </c>
      <c r="K7" s="4" t="n">
        <f aca="false">Assumptions!K28</f>
        <v>72</v>
      </c>
      <c r="L7" s="4" t="n">
        <f aca="false">Assumptions!L28</f>
        <v>72</v>
      </c>
    </row>
    <row r="8" customFormat="false" ht="15" hidden="false" customHeight="false" outlineLevel="0" collapsed="false">
      <c r="A8" s="0" t="s">
        <v>44</v>
      </c>
      <c r="C8" s="0" t="n">
        <f aca="false">C6*C7/100</f>
        <v>8581.4886</v>
      </c>
      <c r="D8" s="0" t="n">
        <f aca="false">D6*D7/100</f>
        <v>8902.983499</v>
      </c>
      <c r="E8" s="0" t="n">
        <f aca="false">E6*E7/100</f>
        <v>9236.0447522</v>
      </c>
      <c r="F8" s="0" t="n">
        <f aca="false">F6*F7/100</f>
        <v>10304.787073526</v>
      </c>
      <c r="G8" s="0" t="n">
        <f aca="false">G6*G7/100</f>
        <v>10999.9973563737</v>
      </c>
      <c r="H8" s="0" t="n">
        <f aca="false">H6*H7/100</f>
        <v>11575.3818334764</v>
      </c>
      <c r="I8" s="0" t="n">
        <f aca="false">I6*I7/100</f>
        <v>11980.520197648</v>
      </c>
      <c r="J8" s="0" t="n">
        <f aca="false">J6*J7/100</f>
        <v>12339.9358035775</v>
      </c>
      <c r="K8" s="0" t="n">
        <f aca="false">K6*K7/100</f>
        <v>12710.1338776848</v>
      </c>
      <c r="L8" s="0" t="n">
        <f aca="false">L6*L7/100</f>
        <v>13027.8872246269</v>
      </c>
    </row>
    <row r="9" customFormat="false" ht="15" hidden="false" customHeight="false" outlineLevel="0" collapsed="false">
      <c r="A9" s="0" t="s">
        <v>98</v>
      </c>
      <c r="C9" s="4" t="n">
        <f aca="false">Assumptions!C29</f>
        <v>0</v>
      </c>
      <c r="D9" s="4" t="n">
        <f aca="false">Assumptions!D29</f>
        <v>0</v>
      </c>
      <c r="E9" s="4" t="n">
        <f aca="false">Assumptions!E29</f>
        <v>0</v>
      </c>
      <c r="F9" s="4" t="n">
        <f aca="false">Assumptions!F29</f>
        <v>0</v>
      </c>
      <c r="G9" s="4" t="n">
        <f aca="false">Assumptions!G29</f>
        <v>0</v>
      </c>
      <c r="H9" s="4" t="n">
        <f aca="false">Assumptions!H29</f>
        <v>0</v>
      </c>
      <c r="I9" s="4" t="n">
        <f aca="false">Assumptions!I29</f>
        <v>0</v>
      </c>
      <c r="J9" s="4" t="n">
        <f aca="false">Assumptions!J29</f>
        <v>0</v>
      </c>
      <c r="K9" s="4" t="n">
        <f aca="false">Assumptions!K29</f>
        <v>0</v>
      </c>
      <c r="L9" s="4" t="n">
        <f aca="false">Assumptions!L29</f>
        <v>0</v>
      </c>
    </row>
    <row r="10" customFormat="false" ht="15" hidden="false" customHeight="false" outlineLevel="0" collapsed="false">
      <c r="A10" s="0" t="s">
        <v>113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114</v>
      </c>
      <c r="C11" s="0" t="n">
        <f aca="false">C8+C10+C24</f>
        <v>8581.4886</v>
      </c>
      <c r="D11" s="0" t="n">
        <f aca="false">D8+D10+D24</f>
        <v>8902.983499</v>
      </c>
      <c r="E11" s="0" t="n">
        <f aca="false">E8+E10+E24</f>
        <v>9236.0447522</v>
      </c>
      <c r="F11" s="0" t="n">
        <f aca="false">F8+F10+F24</f>
        <v>10304.787073526</v>
      </c>
      <c r="G11" s="0" t="n">
        <f aca="false">G8+G10+G24</f>
        <v>10999.9973563737</v>
      </c>
      <c r="H11" s="0" t="n">
        <f aca="false">H8+H10+H24</f>
        <v>11575.3818334764</v>
      </c>
      <c r="I11" s="0" t="n">
        <f aca="false">I8+I10+I24</f>
        <v>11980.520197648</v>
      </c>
      <c r="J11" s="0" t="n">
        <f aca="false">J8+J10+J24</f>
        <v>12339.9358035775</v>
      </c>
      <c r="K11" s="0" t="n">
        <f aca="false">K8+K10+K24</f>
        <v>12710.1338776848</v>
      </c>
      <c r="L11" s="0" t="n">
        <f aca="false">L8+L10+L24</f>
        <v>13027.8872246269</v>
      </c>
    </row>
    <row r="12" customFormat="false" ht="15" hidden="false" customHeight="false" outlineLevel="0" collapsed="false">
      <c r="A12" s="0" t="s">
        <v>115</v>
      </c>
      <c r="C12" s="4" t="n">
        <f aca="false">-C6*Assumptions!C31/100</f>
        <v>-2673.9421</v>
      </c>
      <c r="D12" s="4" t="n">
        <f aca="false">-D6*Assumptions!D31/100</f>
        <v>-2754.160363</v>
      </c>
      <c r="E12" s="4" t="n">
        <f aca="false">-E6*Assumptions!E31/100</f>
        <v>-2836.78517389</v>
      </c>
      <c r="F12" s="4" t="n">
        <f aca="false">-F6*Assumptions!F31/100</f>
        <v>-3338.170460438</v>
      </c>
      <c r="G12" s="4" t="n">
        <f aca="false">-G6*Assumptions!G31/100</f>
        <v>-3538.46068806428</v>
      </c>
      <c r="H12" s="4" t="n">
        <f aca="false">-H6*Assumptions!H31/100</f>
        <v>-3697.69141902717</v>
      </c>
      <c r="I12" s="4" t="n">
        <f aca="false">-I6*Assumptions!I31/100</f>
        <v>-3910.30867562123</v>
      </c>
      <c r="J12" s="4" t="n">
        <f aca="false">-J6*Assumptions!J31/100</f>
        <v>-4113.31193452583</v>
      </c>
      <c r="K12" s="4" t="n">
        <f aca="false">-K6*Assumptions!K31/100</f>
        <v>-4236.7112925616</v>
      </c>
      <c r="L12" s="4" t="n">
        <f aca="false">-L6*Assumptions!L31/100</f>
        <v>-4342.62907487564</v>
      </c>
    </row>
    <row r="13" customFormat="false" ht="15" hidden="false" customHeight="false" outlineLevel="0" collapsed="false">
      <c r="A13" s="0" t="s">
        <v>116</v>
      </c>
      <c r="C13" s="0" t="n">
        <f aca="false">C11+C12</f>
        <v>5907.5465</v>
      </c>
      <c r="D13" s="0" t="n">
        <f aca="false">D11+D12</f>
        <v>6148.823136</v>
      </c>
      <c r="E13" s="0" t="n">
        <f aca="false">E11+E12</f>
        <v>6399.25957831</v>
      </c>
      <c r="F13" s="0" t="n">
        <f aca="false">F11+F12</f>
        <v>6966.616613088</v>
      </c>
      <c r="G13" s="0" t="n">
        <f aca="false">G11+G12</f>
        <v>7461.53666830946</v>
      </c>
      <c r="H13" s="0" t="n">
        <f aca="false">H11+H12</f>
        <v>7877.69041444919</v>
      </c>
      <c r="I13" s="0" t="n">
        <f aca="false">I11+I12</f>
        <v>8070.2115220268</v>
      </c>
      <c r="J13" s="0" t="n">
        <f aca="false">J11+J12</f>
        <v>8226.62386905165</v>
      </c>
      <c r="K13" s="0" t="n">
        <f aca="false">K11+K12</f>
        <v>8473.4225851232</v>
      </c>
      <c r="L13" s="0" t="n">
        <f aca="false">L11+L12</f>
        <v>8685.25814975128</v>
      </c>
    </row>
    <row r="14" customFormat="false" ht="15" hidden="false" customHeight="false" outlineLevel="0" collapsed="false">
      <c r="A14" s="0" t="s">
        <v>102</v>
      </c>
      <c r="C14" s="4" t="n">
        <f aca="false">Assumptions!C33</f>
        <v>25</v>
      </c>
      <c r="D14" s="4" t="n">
        <f aca="false">Assumptions!D33</f>
        <v>25</v>
      </c>
      <c r="E14" s="4" t="n">
        <f aca="false">Assumptions!E33</f>
        <v>25</v>
      </c>
      <c r="F14" s="4" t="n">
        <f aca="false">Assumptions!F33</f>
        <v>25</v>
      </c>
      <c r="G14" s="4" t="n">
        <f aca="false">Assumptions!G33</f>
        <v>25</v>
      </c>
      <c r="H14" s="4" t="n">
        <f aca="false">Assumptions!H33</f>
        <v>25</v>
      </c>
      <c r="I14" s="4" t="n">
        <f aca="false">Assumptions!I33</f>
        <v>25</v>
      </c>
      <c r="J14" s="4" t="n">
        <f aca="false">Assumptions!J33</f>
        <v>25</v>
      </c>
      <c r="K14" s="4" t="n">
        <f aca="false">Assumptions!K33</f>
        <v>25</v>
      </c>
      <c r="L14" s="4" t="n">
        <f aca="false">Assumptions!L33</f>
        <v>25</v>
      </c>
    </row>
    <row r="15" customFormat="false" ht="15" hidden="false" customHeight="false" outlineLevel="0" collapsed="false">
      <c r="A15" s="0" t="s">
        <v>117</v>
      </c>
      <c r="C15" s="0" t="n">
        <f aca="false">C13-MAX(0,C13)*C14/100</f>
        <v>4430.659875</v>
      </c>
      <c r="D15" s="0" t="n">
        <f aca="false">D13-MAX(0,D13)*D14/100</f>
        <v>4611.617352</v>
      </c>
      <c r="E15" s="0" t="n">
        <f aca="false">E13-MAX(0,E13)*E14/100</f>
        <v>4799.4446837325</v>
      </c>
      <c r="F15" s="0" t="n">
        <f aca="false">F13-MAX(0,F13)*F14/100</f>
        <v>5224.962459816</v>
      </c>
      <c r="G15" s="0" t="n">
        <f aca="false">G13-MAX(0,G13)*G14/100</f>
        <v>5596.15250123209</v>
      </c>
      <c r="H15" s="0" t="n">
        <f aca="false">H13-MAX(0,H13)*H14/100</f>
        <v>5908.2678108369</v>
      </c>
      <c r="I15" s="0" t="n">
        <f aca="false">I13-MAX(0,I13)*I14/100</f>
        <v>6052.6586415201</v>
      </c>
      <c r="J15" s="0" t="n">
        <f aca="false">J13-MAX(0,J13)*J14/100</f>
        <v>6169.96790178874</v>
      </c>
      <c r="K15" s="0" t="n">
        <f aca="false">K13-MAX(0,K13)*K14/100</f>
        <v>6355.0669388424</v>
      </c>
      <c r="L15" s="0" t="n">
        <f aca="false">L13-MAX(0,L13)*L14/100</f>
        <v>6513.94361231346</v>
      </c>
    </row>
    <row r="16" customFormat="false" ht="15" hidden="false" customHeight="false" outlineLevel="0" collapsed="false">
      <c r="A16" s="0" t="s">
        <v>118</v>
      </c>
      <c r="C16" s="0" t="n">
        <f aca="false">-C12</f>
        <v>2673.9421</v>
      </c>
      <c r="D16" s="0" t="n">
        <f aca="false">-D12</f>
        <v>2754.160363</v>
      </c>
      <c r="E16" s="0" t="n">
        <f aca="false">-E12</f>
        <v>2836.78517389</v>
      </c>
      <c r="F16" s="0" t="n">
        <f aca="false">-F12</f>
        <v>3338.170460438</v>
      </c>
      <c r="G16" s="0" t="n">
        <f aca="false">-G12</f>
        <v>3538.46068806428</v>
      </c>
      <c r="H16" s="0" t="n">
        <f aca="false">-H12</f>
        <v>3697.69141902717</v>
      </c>
      <c r="I16" s="0" t="n">
        <f aca="false">-I12</f>
        <v>3910.30867562123</v>
      </c>
      <c r="J16" s="0" t="n">
        <f aca="false">-J12</f>
        <v>4113.31193452583</v>
      </c>
      <c r="K16" s="0" t="n">
        <f aca="false">-K12</f>
        <v>4236.7112925616</v>
      </c>
      <c r="L16" s="0" t="n">
        <f aca="false">-L12</f>
        <v>4342.62907487564</v>
      </c>
    </row>
    <row r="17" customFormat="false" ht="15" hidden="false" customHeight="false" outlineLevel="0" collapsed="false">
      <c r="A17" s="0" t="s">
        <v>119</v>
      </c>
      <c r="C17" s="4" t="n">
        <f aca="false">-C6*Assumptions!C32/100</f>
        <v>-9825.1826</v>
      </c>
      <c r="D17" s="4" t="n">
        <f aca="false">-D6*Assumptions!D32/100</f>
        <v>-10504.239524</v>
      </c>
      <c r="E17" s="4" t="n">
        <f aca="false">-E6*Assumptions!E32/100</f>
        <v>-8972.15775928</v>
      </c>
      <c r="F17" s="4" t="n">
        <f aca="false">-F6*Assumptions!F32/100</f>
        <v>-3918.721844862</v>
      </c>
      <c r="G17" s="4" t="n">
        <f aca="false">-G6*Assumptions!G32/100</f>
        <v>-3076.9223374472</v>
      </c>
      <c r="H17" s="4" t="n">
        <f aca="false">-H6*Assumptions!H32/100</f>
        <v>-5144.61414821172</v>
      </c>
      <c r="I17" s="4" t="n">
        <f aca="false">-I6*Assumptions!I32/100</f>
        <v>-5823.8639849678</v>
      </c>
      <c r="J17" s="4" t="n">
        <f aca="false">-J6*Assumptions!J32/100</f>
        <v>-5998.57990451683</v>
      </c>
      <c r="K17" s="4" t="n">
        <f aca="false">-K6*Assumptions!K32/100</f>
        <v>-5648.94839008213</v>
      </c>
      <c r="L17" s="4" t="n">
        <f aca="false">-L6*Assumptions!L32/100</f>
        <v>-5428.28634359455</v>
      </c>
    </row>
    <row r="18" customFormat="false" ht="15" hidden="false" customHeight="false" outlineLevel="0" collapsed="false">
      <c r="A18" s="0" t="s">
        <v>120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121</v>
      </c>
      <c r="C19" s="0" t="n">
        <f aca="false">C15+C16+C17+C18</f>
        <v>-2720.580625</v>
      </c>
      <c r="D19" s="0" t="n">
        <f aca="false">D15+D16+D17+D18</f>
        <v>-3138.461809</v>
      </c>
      <c r="E19" s="0" t="n">
        <f aca="false">E15+E16+E17+E18</f>
        <v>-1335.9279016575</v>
      </c>
      <c r="F19" s="0" t="n">
        <f aca="false">F15+F16+F17+F18</f>
        <v>4644.411075392</v>
      </c>
      <c r="G19" s="0" t="n">
        <f aca="false">G15+G16+G17+G18</f>
        <v>6057.69085184918</v>
      </c>
      <c r="H19" s="0" t="n">
        <f aca="false">H15+H16+H17+H18</f>
        <v>4461.34508165235</v>
      </c>
      <c r="I19" s="0" t="n">
        <f aca="false">I15+I16+I17+I18</f>
        <v>4139.10333217354</v>
      </c>
      <c r="J19" s="0" t="n">
        <f aca="false">J15+J16+J17+J18</f>
        <v>4284.69993179773</v>
      </c>
      <c r="K19" s="0" t="n">
        <f aca="false">K15+K16+K17+K18</f>
        <v>4942.82984132187</v>
      </c>
      <c r="L19" s="0" t="n">
        <f aca="false">L15+L16+L17+L18</f>
        <v>5428.28634359455</v>
      </c>
    </row>
    <row r="20" customFormat="false" ht="15" hidden="false" customHeight="false" outlineLevel="0" collapsed="false">
      <c r="A20" s="0" t="s">
        <v>122</v>
      </c>
      <c r="C20" s="0" t="n">
        <f aca="false">1/(1+$B$27/100)^C4</f>
        <v>0.943396226415094</v>
      </c>
      <c r="D20" s="0" t="n">
        <f aca="false">1/(1+$B$27/100)^D4</f>
        <v>0.88999644001424</v>
      </c>
      <c r="E20" s="0" t="n">
        <f aca="false">1/(1+$B$27/100)^E4</f>
        <v>0.839619283032302</v>
      </c>
      <c r="F20" s="0" t="n">
        <f aca="false">1/(1+$B$27/100)^F4</f>
        <v>0.79209366323802</v>
      </c>
      <c r="G20" s="0" t="n">
        <f aca="false">1/(1+$B$27/100)^G4</f>
        <v>0.747258172866057</v>
      </c>
      <c r="H20" s="0" t="n">
        <f aca="false">1/(1+$B$27/100)^H4</f>
        <v>0.704960540439676</v>
      </c>
      <c r="I20" s="0" t="n">
        <f aca="false">1/(1+$B$27/100)^I4</f>
        <v>0.665057113622336</v>
      </c>
      <c r="J20" s="0" t="n">
        <f aca="false">1/(1+$B$27/100)^J4</f>
        <v>0.627412371341827</v>
      </c>
      <c r="K20" s="0" t="n">
        <f aca="false">1/(1+$B$27/100)^K4</f>
        <v>0.591898463530025</v>
      </c>
      <c r="L20" s="0" t="n">
        <f aca="false">1/(1+$B$27/100)^L4</f>
        <v>0.558394776915118</v>
      </c>
    </row>
    <row r="21" customFormat="false" ht="15" hidden="false" customHeight="false" outlineLevel="0" collapsed="false">
      <c r="A21" s="0" t="s">
        <v>123</v>
      </c>
      <c r="C21" s="0" t="n">
        <f aca="false">C19*C20</f>
        <v>-2566.58549528302</v>
      </c>
      <c r="D21" s="0" t="n">
        <f aca="false">D19*D20</f>
        <v>-2793.21983713065</v>
      </c>
      <c r="E21" s="0" t="n">
        <f aca="false">E19*E20</f>
        <v>-1121.67082697252</v>
      </c>
      <c r="F21" s="0" t="n">
        <f aca="false">F19*F20</f>
        <v>3678.80858229048</v>
      </c>
      <c r="G21" s="0" t="n">
        <f aca="false">G19*G20</f>
        <v>4526.65899774024</v>
      </c>
      <c r="H21" s="0" t="n">
        <f aca="false">H19*H20</f>
        <v>3145.07223984953</v>
      </c>
      <c r="I21" s="0" t="n">
        <f aca="false">I19*I20</f>
        <v>2752.74011507993</v>
      </c>
      <c r="J21" s="0" t="n">
        <f aca="false">J19*J20</f>
        <v>2688.27374469738</v>
      </c>
      <c r="K21" s="0" t="n">
        <f aca="false">K19*K20</f>
        <v>2925.65338856877</v>
      </c>
      <c r="L21" s="0" t="n">
        <f aca="false">L19*L20</f>
        <v>3031.12674186286</v>
      </c>
    </row>
    <row r="23" customFormat="false" ht="15" hidden="false" customHeight="false" outlineLevel="0" collapsed="false">
      <c r="A23" s="0" t="s">
        <v>99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125</v>
      </c>
    </row>
    <row r="27" customFormat="false" ht="15" hidden="false" customHeight="false" outlineLevel="0" collapsed="false">
      <c r="A27" s="0" t="s">
        <v>103</v>
      </c>
      <c r="B27" s="4" t="n">
        <f aca="false">Assumptions!$B$34</f>
        <v>6</v>
      </c>
    </row>
    <row r="28" customFormat="false" ht="15" hidden="false" customHeight="false" outlineLevel="0" collapsed="false">
      <c r="A28" s="0" t="s">
        <v>104</v>
      </c>
      <c r="B28" s="4" t="n">
        <f aca="false">Assumptions!$B$35</f>
        <v>2</v>
      </c>
    </row>
    <row r="29" customFormat="false" ht="15" hidden="false" customHeight="false" outlineLevel="0" collapsed="false">
      <c r="A29" s="0" t="s">
        <v>105</v>
      </c>
      <c r="B29" s="4" t="n">
        <f aca="false">Assumptions!$B$36</f>
        <v>18</v>
      </c>
    </row>
    <row r="30" customFormat="false" ht="15" hidden="false" customHeight="false" outlineLevel="0" collapsed="false">
      <c r="A30" s="0" t="s">
        <v>126</v>
      </c>
      <c r="B30" s="0" t="n">
        <f aca="false">SUM(C21:L21)</f>
        <v>16266.857650703</v>
      </c>
    </row>
    <row r="31" customFormat="false" ht="15" hidden="false" customHeight="false" outlineLevel="0" collapsed="false">
      <c r="A31" s="0" t="s">
        <v>127</v>
      </c>
      <c r="B31" s="0" t="n">
        <f aca="false">L19</f>
        <v>5428.28634359455</v>
      </c>
    </row>
    <row r="32" customFormat="false" ht="15" hidden="false" customHeight="false" outlineLevel="0" collapsed="false">
      <c r="A32" s="0" t="s">
        <v>128</v>
      </c>
      <c r="B32" s="0" t="n">
        <f aca="false">IF(B27&gt;B28,B31*(1+B28/100)/((B27-B28)/100),B31*B29)</f>
        <v>138421.301761661</v>
      </c>
    </row>
    <row r="33" customFormat="false" ht="15" hidden="false" customHeight="false" outlineLevel="0" collapsed="false">
      <c r="A33" s="0" t="s">
        <v>129</v>
      </c>
      <c r="B33" s="0" t="n">
        <f aca="false">B31*B29</f>
        <v>97709.1541847019</v>
      </c>
    </row>
    <row r="34" customFormat="false" ht="15" hidden="false" customHeight="false" outlineLevel="0" collapsed="false">
      <c r="A34" s="0" t="s">
        <v>130</v>
      </c>
      <c r="B34" s="0" t="n">
        <f aca="false">MAX(0,MIN(B32,B33))</f>
        <v>97709.1541847019</v>
      </c>
    </row>
    <row r="35" customFormat="false" ht="15" hidden="false" customHeight="false" outlineLevel="0" collapsed="false">
      <c r="A35" s="0" t="s">
        <v>131</v>
      </c>
      <c r="B35" s="0" t="n">
        <f aca="false">B34/(1+B27/100)^L4</f>
        <v>54560.2813535315</v>
      </c>
    </row>
    <row r="36" customFormat="false" ht="15" hidden="false" customHeight="false" outlineLevel="0" collapsed="false">
      <c r="A36" s="0" t="s">
        <v>132</v>
      </c>
      <c r="B36" s="0" t="n">
        <f aca="false">B30+B35</f>
        <v>70827.1390042345</v>
      </c>
    </row>
    <row r="37" customFormat="false" ht="15" hidden="false" customHeight="false" outlineLevel="0" collapsed="false">
      <c r="A37" s="0" t="s">
        <v>133</v>
      </c>
      <c r="B37" s="0" t="n">
        <f aca="false">B36+Assumptions!$B$5-Assumptions!$B$4</f>
        <v>43623.5390042345</v>
      </c>
    </row>
    <row r="38" customFormat="false" ht="15" hidden="false" customHeight="false" outlineLevel="0" collapsed="false">
      <c r="A38" s="0" t="s">
        <v>134</v>
      </c>
      <c r="B38" s="0" t="n">
        <f aca="false">B37/Assumptions!$B$3*Assumptions!$B$10</f>
        <v>10.1496045587956</v>
      </c>
    </row>
    <row r="39" customFormat="false" ht="15" hidden="false" customHeight="false" outlineLevel="0" collapsed="false">
      <c r="A39" s="0" t="s">
        <v>135</v>
      </c>
      <c r="B39" s="4" t="n">
        <f aca="false">B38/Assumptions!$B$2-1</f>
        <v>-0.0880858437739833</v>
      </c>
    </row>
    <row r="41" customFormat="false" ht="15" hidden="false" customHeight="false" outlineLevel="0" collapsed="false">
      <c r="A41" s="0" t="s">
        <v>136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137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138</v>
      </c>
      <c r="B43" s="0" t="n">
        <f aca="false">(B37+B41+B42)/Assumptions!$B$3*Assumptions!$B$10</f>
        <v>10.1496045587956</v>
      </c>
    </row>
    <row r="45" customFormat="false" ht="15" hidden="false" customHeight="false" outlineLevel="0" collapsed="false">
      <c r="A45" s="0" t="s">
        <v>79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139</v>
      </c>
      <c r="B46" s="0" t="n">
        <f aca="false">MAX(0,MIN(IF(B45&gt;B28,B31*(1+B28/100)/((B45-B28)/100),B31*B29),B31*B29))</f>
        <v>42591.1697728188</v>
      </c>
    </row>
    <row r="47" customFormat="false" ht="15" hidden="false" customHeight="false" outlineLevel="0" collapsed="false">
      <c r="A47" s="0" t="s">
        <v>140</v>
      </c>
      <c r="B47" s="0" t="n">
        <f aca="false">(SUMPRODUCT(C19:L19/(1+B45/100)^C4:L4)+B46/(1+B45/100)^L4+Assumptions!$B$5-Assumptions!$B$4)/Assumptions!$B$3*Assumptions!$B$10</f>
        <v>-2.09244223830249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0" t="s">
        <v>111</v>
      </c>
      <c r="B3" s="0" t="s">
        <v>72</v>
      </c>
      <c r="C3" s="2" t="s">
        <v>86</v>
      </c>
      <c r="D3" s="2" t="s">
        <v>87</v>
      </c>
      <c r="E3" s="2" t="s">
        <v>88</v>
      </c>
      <c r="F3" s="2" t="s">
        <v>89</v>
      </c>
      <c r="G3" s="2" t="s">
        <v>90</v>
      </c>
      <c r="H3" s="2" t="s">
        <v>91</v>
      </c>
      <c r="I3" s="2" t="s">
        <v>92</v>
      </c>
      <c r="J3" s="2" t="s">
        <v>93</v>
      </c>
      <c r="K3" s="2" t="s">
        <v>94</v>
      </c>
      <c r="L3" s="2" t="s">
        <v>95</v>
      </c>
    </row>
    <row r="4" customFormat="false" ht="15" hidden="false" customHeight="false" outlineLevel="0" collapsed="false">
      <c r="A4" s="0" t="s">
        <v>112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96</v>
      </c>
      <c r="C5" s="4" t="n">
        <f aca="false">Assumptions!C41</f>
        <v>3.5</v>
      </c>
      <c r="D5" s="4" t="n">
        <f aca="false">Assumptions!D41</f>
        <v>4</v>
      </c>
      <c r="E5" s="4" t="n">
        <f aca="false">Assumptions!E41</f>
        <v>4</v>
      </c>
      <c r="F5" s="4" t="n">
        <f aca="false">Assumptions!F41</f>
        <v>12</v>
      </c>
      <c r="G5" s="4" t="n">
        <f aca="false">Assumptions!G41</f>
        <v>7</v>
      </c>
      <c r="H5" s="4" t="n">
        <f aca="false">Assumptions!H41</f>
        <v>5.5</v>
      </c>
      <c r="I5" s="4" t="n">
        <f aca="false">Assumptions!I41</f>
        <v>4.5</v>
      </c>
      <c r="J5" s="4" t="n">
        <f aca="false">Assumptions!J41</f>
        <v>4</v>
      </c>
      <c r="K5" s="4" t="n">
        <f aca="false">Assumptions!K41</f>
        <v>3.5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38</v>
      </c>
      <c r="B6" s="3" t="n">
        <v>12133.6</v>
      </c>
      <c r="C6" s="0" t="n">
        <f aca="false">B6*(1+C5/100)</f>
        <v>12558.276</v>
      </c>
      <c r="D6" s="0" t="n">
        <f aca="false">C6*(1+D5/100)</f>
        <v>13060.60704</v>
      </c>
      <c r="E6" s="0" t="n">
        <f aca="false">D6*(1+E5/100)</f>
        <v>13583.0313216</v>
      </c>
      <c r="F6" s="0" t="n">
        <f aca="false">E6*(1+F5/100)</f>
        <v>15212.995080192</v>
      </c>
      <c r="G6" s="0" t="n">
        <f aca="false">F6*(1+G5/100)</f>
        <v>16277.9047358054</v>
      </c>
      <c r="H6" s="0" t="n">
        <f aca="false">G6*(1+H5/100)</f>
        <v>17173.1894962747</v>
      </c>
      <c r="I6" s="0" t="n">
        <f aca="false">H6*(1+I5/100)</f>
        <v>17945.9830236071</v>
      </c>
      <c r="J6" s="0" t="n">
        <f aca="false">I6*(1+J5/100)</f>
        <v>18663.8223445514</v>
      </c>
      <c r="K6" s="0" t="n">
        <f aca="false">J6*(1+K5/100)</f>
        <v>19317.0561266107</v>
      </c>
      <c r="L6" s="0" t="n">
        <f aca="false">K6*(1+L5/100)</f>
        <v>19896.567810409</v>
      </c>
    </row>
    <row r="7" customFormat="false" ht="15" hidden="false" customHeight="false" outlineLevel="0" collapsed="false">
      <c r="A7" s="0" t="s">
        <v>97</v>
      </c>
      <c r="C7" s="4" t="n">
        <f aca="false">Assumptions!C42</f>
        <v>69.5</v>
      </c>
      <c r="D7" s="4" t="n">
        <f aca="false">Assumptions!D42</f>
        <v>70.5</v>
      </c>
      <c r="E7" s="4" t="n">
        <f aca="false">Assumptions!E42</f>
        <v>71</v>
      </c>
      <c r="F7" s="4" t="n">
        <f aca="false">Assumptions!F42</f>
        <v>72</v>
      </c>
      <c r="G7" s="4" t="n">
        <f aca="false">Assumptions!G42</f>
        <v>72.5</v>
      </c>
      <c r="H7" s="4" t="n">
        <f aca="false">Assumptions!H42</f>
        <v>73</v>
      </c>
      <c r="I7" s="4" t="n">
        <f aca="false">Assumptions!I42</f>
        <v>73</v>
      </c>
      <c r="J7" s="4" t="n">
        <f aca="false">Assumptions!J42</f>
        <v>73</v>
      </c>
      <c r="K7" s="4" t="n">
        <f aca="false">Assumptions!K42</f>
        <v>73</v>
      </c>
      <c r="L7" s="4" t="n">
        <f aca="false">Assumptions!L42</f>
        <v>73</v>
      </c>
    </row>
    <row r="8" customFormat="false" ht="15" hidden="false" customHeight="false" outlineLevel="0" collapsed="false">
      <c r="A8" s="0" t="s">
        <v>44</v>
      </c>
      <c r="C8" s="0" t="n">
        <f aca="false">C6*C7/100</f>
        <v>8728.00182</v>
      </c>
      <c r="D8" s="0" t="n">
        <f aca="false">D6*D7/100</f>
        <v>9207.7279632</v>
      </c>
      <c r="E8" s="0" t="n">
        <f aca="false">E6*E7/100</f>
        <v>9643.952238336</v>
      </c>
      <c r="F8" s="0" t="n">
        <f aca="false">F6*F7/100</f>
        <v>10953.3564577382</v>
      </c>
      <c r="G8" s="0" t="n">
        <f aca="false">G6*G7/100</f>
        <v>11801.4809334589</v>
      </c>
      <c r="H8" s="0" t="n">
        <f aca="false">H6*H7/100</f>
        <v>12536.4283322806</v>
      </c>
      <c r="I8" s="0" t="n">
        <f aca="false">I6*I7/100</f>
        <v>13100.5676072332</v>
      </c>
      <c r="J8" s="0" t="n">
        <f aca="false">J6*J7/100</f>
        <v>13624.5903115225</v>
      </c>
      <c r="K8" s="0" t="n">
        <f aca="false">K6*K7/100</f>
        <v>14101.4509724258</v>
      </c>
      <c r="L8" s="0" t="n">
        <f aca="false">L6*L7/100</f>
        <v>14524.4945015986</v>
      </c>
    </row>
    <row r="9" customFormat="false" ht="15" hidden="false" customHeight="false" outlineLevel="0" collapsed="false">
      <c r="A9" s="0" t="s">
        <v>98</v>
      </c>
      <c r="C9" s="4" t="n">
        <f aca="false">Assumptions!C43</f>
        <v>0</v>
      </c>
      <c r="D9" s="4" t="n">
        <f aca="false">Assumptions!D43</f>
        <v>0</v>
      </c>
      <c r="E9" s="4" t="n">
        <f aca="false">Assumptions!E43</f>
        <v>0</v>
      </c>
      <c r="F9" s="4" t="n">
        <f aca="false">Assumptions!F43</f>
        <v>0</v>
      </c>
      <c r="G9" s="4" t="n">
        <f aca="false">Assumptions!G43</f>
        <v>0</v>
      </c>
      <c r="H9" s="4" t="n">
        <f aca="false">Assumptions!H43</f>
        <v>0</v>
      </c>
      <c r="I9" s="4" t="n">
        <f aca="false">Assumptions!I43</f>
        <v>0</v>
      </c>
      <c r="J9" s="4" t="n">
        <f aca="false">Assumptions!J43</f>
        <v>0</v>
      </c>
      <c r="K9" s="4" t="n">
        <f aca="false">Assumptions!K43</f>
        <v>0</v>
      </c>
      <c r="L9" s="4" t="n">
        <f aca="false">Assumptions!L43</f>
        <v>0</v>
      </c>
    </row>
    <row r="10" customFormat="false" ht="15" hidden="false" customHeight="false" outlineLevel="0" collapsed="false">
      <c r="A10" s="0" t="s">
        <v>113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114</v>
      </c>
      <c r="C11" s="0" t="n">
        <f aca="false">C8+C10+C24</f>
        <v>8728.00182</v>
      </c>
      <c r="D11" s="0" t="n">
        <f aca="false">D8+D10+D24</f>
        <v>9207.7279632</v>
      </c>
      <c r="E11" s="0" t="n">
        <f aca="false">E8+E10+E24</f>
        <v>9643.952238336</v>
      </c>
      <c r="F11" s="0" t="n">
        <f aca="false">F8+F10+F24</f>
        <v>10953.3564577382</v>
      </c>
      <c r="G11" s="0" t="n">
        <f aca="false">G8+G10+G24</f>
        <v>11801.4809334589</v>
      </c>
      <c r="H11" s="0" t="n">
        <f aca="false">H8+H10+H24</f>
        <v>12536.4283322806</v>
      </c>
      <c r="I11" s="0" t="n">
        <f aca="false">I8+I10+I24</f>
        <v>13100.5676072332</v>
      </c>
      <c r="J11" s="0" t="n">
        <f aca="false">J8+J10+J24</f>
        <v>13624.5903115225</v>
      </c>
      <c r="K11" s="0" t="n">
        <f aca="false">K8+K10+K24</f>
        <v>14101.4509724258</v>
      </c>
      <c r="L11" s="0" t="n">
        <f aca="false">L8+L10+L24</f>
        <v>14524.4945015986</v>
      </c>
    </row>
    <row r="12" customFormat="false" ht="15" hidden="false" customHeight="false" outlineLevel="0" collapsed="false">
      <c r="A12" s="0" t="s">
        <v>115</v>
      </c>
      <c r="C12" s="4" t="n">
        <f aca="false">-C6*Assumptions!C45/100</f>
        <v>-2700.02934</v>
      </c>
      <c r="D12" s="4" t="n">
        <f aca="false">-D6*Assumptions!D45/100</f>
        <v>-2808.0305136</v>
      </c>
      <c r="E12" s="4" t="n">
        <f aca="false">-E6*Assumptions!E45/100</f>
        <v>-2920.351734144</v>
      </c>
      <c r="F12" s="4" t="n">
        <f aca="false">-F6*Assumptions!F45/100</f>
        <v>-3498.98886844416</v>
      </c>
      <c r="G12" s="4" t="n">
        <f aca="false">-G6*Assumptions!G45/100</f>
        <v>-3743.91808923525</v>
      </c>
      <c r="H12" s="4" t="n">
        <f aca="false">-H6*Assumptions!H45/100</f>
        <v>-3949.83358414319</v>
      </c>
      <c r="I12" s="4" t="n">
        <f aca="false">-I6*Assumptions!I45/100</f>
        <v>-4217.30601054767</v>
      </c>
      <c r="J12" s="4" t="n">
        <f aca="false">-J6*Assumptions!J45/100</f>
        <v>-4479.31736269233</v>
      </c>
      <c r="K12" s="4" t="n">
        <f aca="false">-K6*Assumptions!K45/100</f>
        <v>-4636.09347038657</v>
      </c>
      <c r="L12" s="4" t="n">
        <f aca="false">-L6*Assumptions!L45/100</f>
        <v>-4775.17627449816</v>
      </c>
    </row>
    <row r="13" customFormat="false" ht="15" hidden="false" customHeight="false" outlineLevel="0" collapsed="false">
      <c r="A13" s="0" t="s">
        <v>116</v>
      </c>
      <c r="C13" s="0" t="n">
        <f aca="false">C11+C12</f>
        <v>6027.97248</v>
      </c>
      <c r="D13" s="0" t="n">
        <f aca="false">D11+D12</f>
        <v>6399.6974496</v>
      </c>
      <c r="E13" s="0" t="n">
        <f aca="false">E11+E12</f>
        <v>6723.600504192</v>
      </c>
      <c r="F13" s="0" t="n">
        <f aca="false">F11+F12</f>
        <v>7454.36758929408</v>
      </c>
      <c r="G13" s="0" t="n">
        <f aca="false">G11+G12</f>
        <v>8057.56284422369</v>
      </c>
      <c r="H13" s="0" t="n">
        <f aca="false">H11+H12</f>
        <v>8586.59474813737</v>
      </c>
      <c r="I13" s="0" t="n">
        <f aca="false">I11+I12</f>
        <v>8883.26159668552</v>
      </c>
      <c r="J13" s="0" t="n">
        <f aca="false">J11+J12</f>
        <v>9145.27294883018</v>
      </c>
      <c r="K13" s="0" t="n">
        <f aca="false">K11+K12</f>
        <v>9465.35750203924</v>
      </c>
      <c r="L13" s="0" t="n">
        <f aca="false">L11+L12</f>
        <v>9749.31822710042</v>
      </c>
    </row>
    <row r="14" customFormat="false" ht="15" hidden="false" customHeight="false" outlineLevel="0" collapsed="false">
      <c r="A14" s="0" t="s">
        <v>102</v>
      </c>
      <c r="C14" s="4" t="n">
        <f aca="false">Assumptions!C47</f>
        <v>25</v>
      </c>
      <c r="D14" s="4" t="n">
        <f aca="false">Assumptions!D47</f>
        <v>25</v>
      </c>
      <c r="E14" s="4" t="n">
        <f aca="false">Assumptions!E47</f>
        <v>25</v>
      </c>
      <c r="F14" s="4" t="n">
        <f aca="false">Assumptions!F47</f>
        <v>25</v>
      </c>
      <c r="G14" s="4" t="n">
        <f aca="false">Assumptions!G47</f>
        <v>25</v>
      </c>
      <c r="H14" s="4" t="n">
        <f aca="false">Assumptions!H47</f>
        <v>25</v>
      </c>
      <c r="I14" s="4" t="n">
        <f aca="false">Assumptions!I47</f>
        <v>25</v>
      </c>
      <c r="J14" s="4" t="n">
        <f aca="false">Assumptions!J47</f>
        <v>25</v>
      </c>
      <c r="K14" s="4" t="n">
        <f aca="false">Assumptions!K47</f>
        <v>25</v>
      </c>
      <c r="L14" s="4" t="n">
        <f aca="false">Assumptions!L47</f>
        <v>25</v>
      </c>
    </row>
    <row r="15" customFormat="false" ht="15" hidden="false" customHeight="false" outlineLevel="0" collapsed="false">
      <c r="A15" s="0" t="s">
        <v>117</v>
      </c>
      <c r="C15" s="0" t="n">
        <f aca="false">C13-MAX(0,C13)*C14/100</f>
        <v>4520.97936</v>
      </c>
      <c r="D15" s="0" t="n">
        <f aca="false">D13-MAX(0,D13)*D14/100</f>
        <v>4799.7730872</v>
      </c>
      <c r="E15" s="0" t="n">
        <f aca="false">E13-MAX(0,E13)*E14/100</f>
        <v>5042.700378144</v>
      </c>
      <c r="F15" s="0" t="n">
        <f aca="false">F13-MAX(0,F13)*F14/100</f>
        <v>5590.77569197056</v>
      </c>
      <c r="G15" s="0" t="n">
        <f aca="false">G13-MAX(0,G13)*G14/100</f>
        <v>6043.17213316777</v>
      </c>
      <c r="H15" s="0" t="n">
        <f aca="false">H13-MAX(0,H13)*H14/100</f>
        <v>6439.94606110303</v>
      </c>
      <c r="I15" s="0" t="n">
        <f aca="false">I13-MAX(0,I13)*I14/100</f>
        <v>6662.44619751414</v>
      </c>
      <c r="J15" s="0" t="n">
        <f aca="false">J13-MAX(0,J13)*J14/100</f>
        <v>6858.95471162264</v>
      </c>
      <c r="K15" s="0" t="n">
        <f aca="false">K13-MAX(0,K13)*K14/100</f>
        <v>7099.01812652943</v>
      </c>
      <c r="L15" s="0" t="n">
        <f aca="false">L13-MAX(0,L13)*L14/100</f>
        <v>7311.98867032531</v>
      </c>
    </row>
    <row r="16" customFormat="false" ht="15" hidden="false" customHeight="false" outlineLevel="0" collapsed="false">
      <c r="A16" s="0" t="s">
        <v>118</v>
      </c>
      <c r="C16" s="0" t="n">
        <f aca="false">-C12</f>
        <v>2700.02934</v>
      </c>
      <c r="D16" s="0" t="n">
        <f aca="false">-D12</f>
        <v>2808.0305136</v>
      </c>
      <c r="E16" s="0" t="n">
        <f aca="false">-E12</f>
        <v>2920.351734144</v>
      </c>
      <c r="F16" s="0" t="n">
        <f aca="false">-F12</f>
        <v>3498.98886844416</v>
      </c>
      <c r="G16" s="0" t="n">
        <f aca="false">-G12</f>
        <v>3743.91808923525</v>
      </c>
      <c r="H16" s="0" t="n">
        <f aca="false">-H12</f>
        <v>3949.83358414319</v>
      </c>
      <c r="I16" s="0" t="n">
        <f aca="false">-I12</f>
        <v>4217.30601054767</v>
      </c>
      <c r="J16" s="0" t="n">
        <f aca="false">-J12</f>
        <v>4479.31736269233</v>
      </c>
      <c r="K16" s="0" t="n">
        <f aca="false">-K12</f>
        <v>4636.09347038657</v>
      </c>
      <c r="L16" s="0" t="n">
        <f aca="false">-L12</f>
        <v>4775.17627449816</v>
      </c>
    </row>
    <row r="17" customFormat="false" ht="15" hidden="false" customHeight="false" outlineLevel="0" collapsed="false">
      <c r="A17" s="0" t="s">
        <v>119</v>
      </c>
      <c r="C17" s="4" t="n">
        <f aca="false">-C6*Assumptions!C46/100</f>
        <v>-9795.45528</v>
      </c>
      <c r="D17" s="4" t="n">
        <f aca="false">-D6*Assumptions!D46/100</f>
        <v>-10448.485632</v>
      </c>
      <c r="E17" s="4" t="n">
        <f aca="false">-E6*Assumptions!E46/100</f>
        <v>-8964.800672256</v>
      </c>
      <c r="F17" s="4" t="n">
        <f aca="false">-F6*Assumptions!F46/100</f>
        <v>-3803.248770048</v>
      </c>
      <c r="G17" s="4" t="n">
        <f aca="false">-G6*Assumptions!G46/100</f>
        <v>-3092.80189980303</v>
      </c>
      <c r="H17" s="4" t="n">
        <f aca="false">-H6*Assumptions!H46/100</f>
        <v>-5151.95684888242</v>
      </c>
      <c r="I17" s="4" t="n">
        <f aca="false">-I6*Assumptions!I46/100</f>
        <v>-5922.17439779034</v>
      </c>
      <c r="J17" s="4" t="n">
        <f aca="false">-J6*Assumptions!J46/100</f>
        <v>-6159.06137370196</v>
      </c>
      <c r="K17" s="4" t="n">
        <f aca="false">-K6*Assumptions!K46/100</f>
        <v>-5795.11683798321</v>
      </c>
      <c r="L17" s="4" t="n">
        <f aca="false">-L6*Assumptions!L46/100</f>
        <v>-5571.03898691452</v>
      </c>
    </row>
    <row r="18" customFormat="false" ht="15" hidden="false" customHeight="false" outlineLevel="0" collapsed="false">
      <c r="A18" s="0" t="s">
        <v>120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121</v>
      </c>
      <c r="C19" s="0" t="n">
        <f aca="false">C15+C16+C17+C18</f>
        <v>-2574.44658</v>
      </c>
      <c r="D19" s="0" t="n">
        <f aca="false">D15+D16+D17+D18</f>
        <v>-2840.6820312</v>
      </c>
      <c r="E19" s="0" t="n">
        <f aca="false">E15+E16+E17+E18</f>
        <v>-1001.748559968</v>
      </c>
      <c r="F19" s="0" t="n">
        <f aca="false">F15+F16+F17+F18</f>
        <v>5286.51579036672</v>
      </c>
      <c r="G19" s="0" t="n">
        <f aca="false">G15+G16+G17+G18</f>
        <v>6694.28832259999</v>
      </c>
      <c r="H19" s="0" t="n">
        <f aca="false">H15+H16+H17+H18</f>
        <v>5237.8227963638</v>
      </c>
      <c r="I19" s="0" t="n">
        <f aca="false">I15+I16+I17+I18</f>
        <v>4957.57781027146</v>
      </c>
      <c r="J19" s="0" t="n">
        <f aca="false">J15+J16+J17+J18</f>
        <v>5179.21070061301</v>
      </c>
      <c r="K19" s="0" t="n">
        <f aca="false">K15+K16+K17+K18</f>
        <v>5939.99475893279</v>
      </c>
      <c r="L19" s="0" t="n">
        <f aca="false">L15+L16+L17+L18</f>
        <v>6516.12595790895</v>
      </c>
    </row>
    <row r="20" customFormat="false" ht="15" hidden="false" customHeight="false" outlineLevel="0" collapsed="false">
      <c r="A20" s="0" t="s">
        <v>122</v>
      </c>
      <c r="C20" s="0" t="n">
        <f aca="false">1/(1+$B$27/100)^C4</f>
        <v>0.943396226415094</v>
      </c>
      <c r="D20" s="0" t="n">
        <f aca="false">1/(1+$B$27/100)^D4</f>
        <v>0.88999644001424</v>
      </c>
      <c r="E20" s="0" t="n">
        <f aca="false">1/(1+$B$27/100)^E4</f>
        <v>0.839619283032302</v>
      </c>
      <c r="F20" s="0" t="n">
        <f aca="false">1/(1+$B$27/100)^F4</f>
        <v>0.79209366323802</v>
      </c>
      <c r="G20" s="0" t="n">
        <f aca="false">1/(1+$B$27/100)^G4</f>
        <v>0.747258172866057</v>
      </c>
      <c r="H20" s="0" t="n">
        <f aca="false">1/(1+$B$27/100)^H4</f>
        <v>0.704960540439676</v>
      </c>
      <c r="I20" s="0" t="n">
        <f aca="false">1/(1+$B$27/100)^I4</f>
        <v>0.665057113622336</v>
      </c>
      <c r="J20" s="0" t="n">
        <f aca="false">1/(1+$B$27/100)^J4</f>
        <v>0.627412371341827</v>
      </c>
      <c r="K20" s="0" t="n">
        <f aca="false">1/(1+$B$27/100)^K4</f>
        <v>0.591898463530025</v>
      </c>
      <c r="L20" s="0" t="n">
        <f aca="false">1/(1+$B$27/100)^L4</f>
        <v>0.558394776915118</v>
      </c>
    </row>
    <row r="21" customFormat="false" ht="15" hidden="false" customHeight="false" outlineLevel="0" collapsed="false">
      <c r="A21" s="0" t="s">
        <v>123</v>
      </c>
      <c r="C21" s="0" t="n">
        <f aca="false">C19*C20</f>
        <v>-2428.72318867925</v>
      </c>
      <c r="D21" s="0" t="n">
        <f aca="false">D19*D20</f>
        <v>-2528.19689498042</v>
      </c>
      <c r="E21" s="0" t="n">
        <f aca="false">E19*E20</f>
        <v>-841.087407698975</v>
      </c>
      <c r="F21" s="0" t="n">
        <f aca="false">F19*F20</f>
        <v>4187.41565815721</v>
      </c>
      <c r="G21" s="0" t="n">
        <f aca="false">G19*G20</f>
        <v>5002.36166058465</v>
      </c>
      <c r="H21" s="0" t="n">
        <f aca="false">H19*H20</f>
        <v>3692.45838925188</v>
      </c>
      <c r="I21" s="0" t="n">
        <f aca="false">I19*I20</f>
        <v>3297.07238905728</v>
      </c>
      <c r="J21" s="0" t="n">
        <f aca="false">J19*J20</f>
        <v>3249.50086735057</v>
      </c>
      <c r="K21" s="0" t="n">
        <f aca="false">K19*K20</f>
        <v>3515.87377118872</v>
      </c>
      <c r="L21" s="0" t="n">
        <f aca="false">L19*L20</f>
        <v>3638.57070061738</v>
      </c>
    </row>
    <row r="23" customFormat="false" ht="15" hidden="false" customHeight="false" outlineLevel="0" collapsed="false">
      <c r="A23" s="0" t="s">
        <v>99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125</v>
      </c>
    </row>
    <row r="27" customFormat="false" ht="15" hidden="false" customHeight="false" outlineLevel="0" collapsed="false">
      <c r="A27" s="0" t="s">
        <v>103</v>
      </c>
      <c r="B27" s="4" t="n">
        <f aca="false">Assumptions!$B$48</f>
        <v>6</v>
      </c>
    </row>
    <row r="28" customFormat="false" ht="15" hidden="false" customHeight="false" outlineLevel="0" collapsed="false">
      <c r="A28" s="0" t="s">
        <v>104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105</v>
      </c>
      <c r="B29" s="4" t="n">
        <f aca="false">Assumptions!$B$50</f>
        <v>20</v>
      </c>
    </row>
    <row r="30" customFormat="false" ht="15" hidden="false" customHeight="false" outlineLevel="0" collapsed="false">
      <c r="A30" s="0" t="s">
        <v>126</v>
      </c>
      <c r="B30" s="0" t="n">
        <f aca="false">SUM(C21:L21)</f>
        <v>20785.245944849</v>
      </c>
    </row>
    <row r="31" customFormat="false" ht="15" hidden="false" customHeight="false" outlineLevel="0" collapsed="false">
      <c r="A31" s="0" t="s">
        <v>127</v>
      </c>
      <c r="B31" s="0" t="n">
        <f aca="false">L19</f>
        <v>6516.12595790895</v>
      </c>
    </row>
    <row r="32" customFormat="false" ht="15" hidden="false" customHeight="false" outlineLevel="0" collapsed="false">
      <c r="A32" s="0" t="s">
        <v>128</v>
      </c>
      <c r="B32" s="0" t="n">
        <f aca="false">IF(B27&gt;B28,B31*(1+B28/100)/((B27-B28)/100),B31*B29)</f>
        <v>190829.403053048</v>
      </c>
    </row>
    <row r="33" customFormat="false" ht="15" hidden="false" customHeight="false" outlineLevel="0" collapsed="false">
      <c r="A33" s="0" t="s">
        <v>129</v>
      </c>
      <c r="B33" s="0" t="n">
        <f aca="false">B31*B29</f>
        <v>130322.519158179</v>
      </c>
    </row>
    <row r="34" customFormat="false" ht="15" hidden="false" customHeight="false" outlineLevel="0" collapsed="false">
      <c r="A34" s="0" t="s">
        <v>130</v>
      </c>
      <c r="B34" s="0" t="n">
        <f aca="false">MAX(0,MIN(B32,B33))</f>
        <v>130322.519158179</v>
      </c>
    </row>
    <row r="35" customFormat="false" ht="15" hidden="false" customHeight="false" outlineLevel="0" collapsed="false">
      <c r="A35" s="0" t="s">
        <v>131</v>
      </c>
      <c r="B35" s="0" t="n">
        <f aca="false">B34/(1+B27/100)^L4</f>
        <v>72771.4140123476</v>
      </c>
    </row>
    <row r="36" customFormat="false" ht="15" hidden="false" customHeight="false" outlineLevel="0" collapsed="false">
      <c r="A36" s="0" t="s">
        <v>132</v>
      </c>
      <c r="B36" s="0" t="n">
        <f aca="false">B30+B35</f>
        <v>93556.6599571966</v>
      </c>
    </row>
    <row r="37" customFormat="false" ht="15" hidden="false" customHeight="false" outlineLevel="0" collapsed="false">
      <c r="A37" s="0" t="s">
        <v>133</v>
      </c>
      <c r="B37" s="0" t="n">
        <f aca="false">B36+Assumptions!$B$5-Assumptions!$B$4</f>
        <v>66353.0599571966</v>
      </c>
    </row>
    <row r="38" customFormat="false" ht="15" hidden="false" customHeight="false" outlineLevel="0" collapsed="false">
      <c r="A38" s="0" t="s">
        <v>134</v>
      </c>
      <c r="B38" s="0" t="n">
        <f aca="false">B37/Assumptions!$B$3*Assumptions!$B$10</f>
        <v>15.4379340879754</v>
      </c>
    </row>
    <row r="39" customFormat="false" ht="15" hidden="false" customHeight="false" outlineLevel="0" collapsed="false">
      <c r="A39" s="0" t="s">
        <v>135</v>
      </c>
      <c r="B39" s="4" t="n">
        <f aca="false">B38/Assumptions!$B$2-1</f>
        <v>0.387056072594379</v>
      </c>
    </row>
    <row r="41" customFormat="false" ht="15" hidden="false" customHeight="false" outlineLevel="0" collapsed="false">
      <c r="A41" s="0" t="s">
        <v>136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137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138</v>
      </c>
      <c r="B43" s="0" t="n">
        <f aca="false">(B37+B41+B42)/Assumptions!$B$3*Assumptions!$B$10</f>
        <v>15.4379340879754</v>
      </c>
    </row>
    <row r="45" customFormat="false" ht="15" hidden="false" customHeight="false" outlineLevel="0" collapsed="false">
      <c r="A45" s="0" t="s">
        <v>79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139</v>
      </c>
      <c r="B46" s="0" t="n">
        <f aca="false">MAX(0,MIN(IF(B45&gt;B28,B31*(1+B28/100)/((B45-B28)/100),B31*B29),B31*B29))</f>
        <v>53432.2328548534</v>
      </c>
    </row>
    <row r="47" customFormat="false" ht="15" hidden="false" customHeight="false" outlineLevel="0" collapsed="false">
      <c r="A47" s="0" t="s">
        <v>140</v>
      </c>
      <c r="B47" s="0" t="n">
        <f aca="false">(SUMPRODUCT(C19:L19/(1+B45/100)^C4:L4)+B46/(1+B45/100)^L4+Assumptions!$B$5-Assumptions!$B$4)/Assumptions!$B$3*Assumptions!$B$10</f>
        <v>-0.830592715940143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2" t="s">
        <v>144</v>
      </c>
      <c r="B3" s="2" t="s">
        <v>145</v>
      </c>
      <c r="C3" s="2" t="s">
        <v>135</v>
      </c>
      <c r="D3" s="2" t="s">
        <v>146</v>
      </c>
      <c r="E3" s="2" t="s">
        <v>138</v>
      </c>
      <c r="F3" s="2" t="s">
        <v>147</v>
      </c>
    </row>
    <row r="4" customFormat="false" ht="15" hidden="false" customHeight="false" outlineLevel="0" collapsed="false">
      <c r="A4" s="0" t="s">
        <v>148</v>
      </c>
      <c r="B4" s="4" t="n">
        <f aca="false">DCF_Bear!$B$38</f>
        <v>0.983332719359987</v>
      </c>
      <c r="C4" s="0" t="n">
        <f aca="false">B4/Assumptions!$B$2-1</f>
        <v>-0.911650249832885</v>
      </c>
      <c r="D4" s="4" t="n">
        <f aca="false">Assumptions!$B$24</f>
        <v>0.25</v>
      </c>
      <c r="E4" s="4" t="n">
        <f aca="false">DCF_Bear!$B$43</f>
        <v>0.983332719359987</v>
      </c>
      <c r="F4" s="4" t="n">
        <f aca="false">DCF_Bear!$B$47</f>
        <v>-4.00776143968824</v>
      </c>
    </row>
    <row r="5" customFormat="false" ht="15" hidden="false" customHeight="false" outlineLevel="0" collapsed="false">
      <c r="A5" s="0" t="s">
        <v>149</v>
      </c>
      <c r="B5" s="4" t="n">
        <f aca="false">DCF_Base!$B$38</f>
        <v>10.1496045587956</v>
      </c>
      <c r="C5" s="0" t="n">
        <f aca="false">B5/Assumptions!$B$2-1</f>
        <v>-0.0880858437739833</v>
      </c>
      <c r="D5" s="4" t="n">
        <f aca="false">Assumptions!$B$38</f>
        <v>0.5</v>
      </c>
      <c r="E5" s="4" t="n">
        <f aca="false">DCF_Base!$B$43</f>
        <v>10.1496045587956</v>
      </c>
      <c r="F5" s="4" t="n">
        <f aca="false">DCF_Base!$B$47</f>
        <v>-2.09244223830249</v>
      </c>
    </row>
    <row r="6" customFormat="false" ht="15" hidden="false" customHeight="false" outlineLevel="0" collapsed="false">
      <c r="A6" s="0" t="s">
        <v>150</v>
      </c>
      <c r="B6" s="4" t="n">
        <f aca="false">DCF_Bull!$B$38</f>
        <v>15.4379340879754</v>
      </c>
      <c r="C6" s="0" t="n">
        <f aca="false">B6/Assumptions!$B$2-1</f>
        <v>0.387056072594379</v>
      </c>
      <c r="D6" s="4" t="n">
        <f aca="false">Assumptions!$B$52</f>
        <v>0.25</v>
      </c>
      <c r="E6" s="4" t="n">
        <f aca="false">DCF_Bull!$B$43</f>
        <v>15.4379340879754</v>
      </c>
      <c r="F6" s="4" t="n">
        <f aca="false">DCF_Bull!$B$47</f>
        <v>-0.830592715940143</v>
      </c>
    </row>
    <row r="8" customFormat="false" ht="15" hidden="false" customHeight="false" outlineLevel="0" collapsed="false">
      <c r="A8" s="0" t="s">
        <v>151</v>
      </c>
      <c r="B8" s="0" t="n">
        <f aca="false">SUMPRODUCT(B4:B6,D4:D6)</f>
        <v>9.18011898123164</v>
      </c>
    </row>
    <row r="9" customFormat="false" ht="15" hidden="false" customHeight="false" outlineLevel="0" collapsed="false">
      <c r="A9" s="0" t="s">
        <v>152</v>
      </c>
      <c r="B9" s="0" t="n">
        <f aca="false">SUMPRODUCT(E4:E6,D4:D6)</f>
        <v>9.18011898123164</v>
      </c>
    </row>
    <row r="10" customFormat="false" ht="15" hidden="false" customHeight="false" outlineLevel="0" collapsed="false">
      <c r="A10" s="0" t="s">
        <v>153</v>
      </c>
      <c r="B10" s="0" t="n">
        <f aca="false">1-Assumptions!$B$2/B8</f>
        <v>-0.212402586802503</v>
      </c>
    </row>
    <row r="11" customFormat="false" ht="15" hidden="false" customHeight="false" outlineLevel="0" collapsed="false">
      <c r="A11" s="0" t="s">
        <v>154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155</v>
      </c>
      <c r="B12" s="0" t="n">
        <f aca="false">SUMPRODUCT(F4:F6,D4:D6)</f>
        <v>-2.25580965805834</v>
      </c>
    </row>
    <row r="14" customFormat="false" ht="15" hidden="false" customHeight="false" outlineLevel="0" collapsed="false">
      <c r="A14" s="2" t="s">
        <v>156</v>
      </c>
      <c r="C14" s="0" t="s">
        <v>157</v>
      </c>
    </row>
    <row r="15" customFormat="false" ht="15" hidden="false" customHeight="false" outlineLevel="0" collapsed="false">
      <c r="A15" s="0" t="s">
        <v>158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10.1496045587956</v>
      </c>
      <c r="C15" s="3" t="n">
        <v>6</v>
      </c>
    </row>
    <row r="16" customFormat="false" ht="15" hidden="false" customHeight="false" outlineLevel="0" collapsed="false">
      <c r="A16" s="0" t="s">
        <v>159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4.39964575552486</v>
      </c>
      <c r="C16" s="3" t="n">
        <v>9</v>
      </c>
    </row>
    <row r="17" customFormat="false" ht="15" hidden="false" customHeight="false" outlineLevel="0" collapsed="false">
      <c r="A17" s="0" t="s">
        <v>160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2.59958921889101</v>
      </c>
      <c r="C17" s="3" t="n">
        <v>10</v>
      </c>
    </row>
    <row r="18" customFormat="false" ht="15" hidden="false" customHeight="false" outlineLevel="0" collapsed="false">
      <c r="A18" s="0" t="s">
        <v>161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1.21553765426981</v>
      </c>
      <c r="C18" s="3" t="n">
        <v>11</v>
      </c>
    </row>
    <row r="19" customFormat="false" ht="15" hidden="false" customHeight="false" outlineLevel="0" collapsed="false">
      <c r="A19" s="0" t="s">
        <v>162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0.121877921901956</v>
      </c>
      <c r="C19" s="3" t="n">
        <v>12</v>
      </c>
    </row>
    <row r="20" customFormat="false" ht="15" hidden="false" customHeight="false" outlineLevel="0" collapsed="false">
      <c r="A20" s="0" t="s">
        <v>163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-2.09244223830249</v>
      </c>
      <c r="C20" s="3" t="n">
        <v>15</v>
      </c>
    </row>
    <row r="22" customFormat="false" ht="15" hidden="false" customHeight="false" outlineLevel="0" collapsed="false">
      <c r="A22" s="2" t="s">
        <v>164</v>
      </c>
    </row>
    <row r="23" customFormat="false" ht="15" hidden="false" customHeight="false" outlineLevel="0" collapsed="false">
      <c r="B23" s="3" t="n">
        <v>1</v>
      </c>
      <c r="C23" s="3" t="n">
        <v>1.5</v>
      </c>
      <c r="D23" s="3" t="n">
        <v>2</v>
      </c>
      <c r="E23" s="3" t="n">
        <v>2.5</v>
      </c>
      <c r="F23" s="3" t="n">
        <v>3</v>
      </c>
    </row>
    <row r="24" customFormat="false" ht="15" hidden="false" customHeight="false" outlineLevel="0" collapsed="false">
      <c r="A24" s="3" t="n">
        <v>4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13.4923737708423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13.4923737708423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13.4923737708423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13.4923737708423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13.4923737708423</v>
      </c>
    </row>
    <row r="25" customFormat="false" ht="15" hidden="false" customHeight="false" outlineLevel="0" collapsed="false">
      <c r="A25" s="3" t="n">
        <v>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11.7370332512997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11.7370332512997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11.7370332512997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11.7370332512997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11.7370332512997</v>
      </c>
    </row>
    <row r="26" customFormat="false" ht="15" hidden="false" customHeight="false" outlineLevel="0" collapsed="false">
      <c r="A26" s="3" t="n">
        <v>6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10.1496045587956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10.1496045587956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10.1496045587956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10.1496045587956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10.1496045587956</v>
      </c>
    </row>
    <row r="27" customFormat="false" ht="15" hidden="false" customHeight="false" outlineLevel="0" collapsed="false">
      <c r="A27" s="3" t="n">
        <v>7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7.96348096758748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8.71251230573587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8.71251230573587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8.71251230573587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8.71251230573587</v>
      </c>
    </row>
    <row r="28" customFormat="false" ht="15" hidden="false" customHeight="false" outlineLevel="0" collapsed="false">
      <c r="A28" s="3" t="n">
        <v>8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5.32089911953572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6.01518092427084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6.82517636312848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7.41017306897011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7.41017306897011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2026-10-10T21:39:18Z</dcterms:created>
  <dc:creator>openpyxl</dc:creator>
  <dc:description/>
  <dc:language>en-NZ</dc:language>
  <cp:lastModifiedBy/>
  <dcterms:modified xsi:type="dcterms:W3CDTF">2026-10-10T21:39:18Z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