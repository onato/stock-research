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<sst xmlns="http://schemas.openxmlformats.org/spreadsheetml/2006/main" count="358" uniqueCount="166">
  <si>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</si>
  <si>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CTEC.L</t>
  </si>
  <si>
    <t xml:space="preserve">Company</t>
  </si>
  <si>
    <t xml:space="preserve">Convatec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</si>
  <si>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</si>
  <si>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</si>
  <si>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</si>
  <si>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</si>
  <si>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2026-10-09T15:49:18Z regular LSE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</si>
  <si>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</si>
  <si>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</si>
  <si>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</si>
  <si>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</si>
  <si>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</si>
  <si>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</si>
  <si>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</si>
  <si>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</si>
  <si>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</si>
  <si>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</si>
  <si>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</si>
  <si>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</si>
  <si>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</si>
  <si>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2026-10-09T23:04:57Z</t>
  </si>
  <si>
    <t xml:space="preserve">Drivers file</t>
  </si>
  <si>
    <t xml:space="preserve">CTEC.L_Drivers.json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</si>
  <si>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</si>
  <si>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</si>
  <si>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</si>
  <si>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defensive, recurring-revenue consumables manufacturer on unlevered owner FCF with SBC expensed, leases charged in the flows, the expiring acquired-intangible tax shelter ramped out, and capex normalised after the current capacity build. Risk is charged once, in the bear flows and a 25% bear weight, not in the discount rate. Per-share values are computed in USD and converted to pence at a dated GBPUSD rate, so the headline IV is comparable to the LSE quote.
key_risks_to_valuation: US CMS reimbursement policy: InnovaMatrix lost &gt;90% of revenue on one payment-rate decision; DMEPOS competitive bidding for ostomy/continence (1-2% of group sales) is pending for 2028 or later; FDA Warning Letter (January 2026) at Unomedical, Reynosa, a sole-source Infusion Care plant supplying MiniMed, Tandem and Beta Bionics as well as Convatec's own sets; Growth capex supercycle ($200-230m FY2026) assumed to settle at 5-6% of revenue from 2028; if it does not, the terminal FCF margin is c.1-2pp lower; Cash tax: the model assumes the acquired-intangible deduction expires and the cash rate converges on the 23% book rate; a persistently lower cash rate would be upside; FX: USD flows against a GBp quote; a 5% move in GBPUSD moves the pence IV 5% with no change in the business; Leverage 2.3x at H1 2026 with a further $200m debt-funded buyback; the model does not re-lever for it (value-neutral near IV) but headroom for another shock is thinner; Terminal value is capped at 18x FCF in the base case (Gordon at 8%/2.5% would be 18.6x); the cap, not Gordon, binds</t>
  </si>
  <si>
    <t xml:space="preserve">Data sources</t>
  </si>
  <si>
    <t xml:space="preserve">price: Yahoo Finance chart API (CTEC.L, LSE, GBp) at inputs.price_as_of; 52-week range 193.0-259.3 GBp. FX from Yahoo GBPUSD=X on the valuation date; ADR CNVVY used for the parity check.
financials: CTEC.L_Metrics.csv (USD millions, FY2017-FY2025 and H1 periods to H1 FY2026); FY2025 Annual Report (adjusted-earnings reconciliation, cash flow statement, lease and tax notes); H1 2026 interim report (balance sheet, diluted shares, contingent consideration, FY2026 guidance).
qualitative: CTEC.L_Analysis.json (2026-10-10): Accelerate strategy targets, InnovaMatrix/CMS, Unomedical FDA Warning Letter, DMEPOS competitive bidding, capex and leverage guidance.</t>
  </si>
  <si>
    <t xml:space="preserve">Scenario narrative: bear</t>
  </si>
  <si>
    <t xml:space="preserve">A second reimbursement shock (DMEPOS competitive bidding, GPO pricing) and an escalated Unomedical FDA matter hold growth at 3-4% with margins stalled at c.23%; growth capex already committed is under-utilised, so capex stays at 6% of revenue. Terminal growth 1.5%, cap 15x.</t>
  </si>
  <si>
    <t xml:space="preserve">Scenario narrative: base</t>
  </si>
  <si>
    <t xml:space="preserve">Chronic-care consumables (&gt;90% of revenue recurring) grow at the bottom of the Accelerate 6-8% range in FY2027-28 after a 5% FY2026 held back by the 2.5pp InnovaMatrix headwind, then fade to 2.5%. The adjusted operating margin reaches c.25% by 2030 (midpoint of the 24-26% target) as CBS shared services and automation offset tariffs and FX. Capex normalises from $215m in FY2026 to 5% of revenue once the 2026-28 capacity programme completes, and the cash tax rate rises from 17% to 23% as the BMS-era acquired-intangible tax amortisation expires mid-2026. Leverage returns to 2.0x.</t>
  </si>
  <si>
    <t xml:space="preserve">Scenario narrative: bull</t>
  </si>
  <si>
    <t xml:space="preserve">Wave-2 launches and non-diabetes Infusion Care (Parkinson's via AbbVie, Supernus) deliver 7-7.5% organic growth in FY2027-28, margins reach c.26.5%, the Warning Letter closes without disruption, and competitive bidding favours scale incumbents. Terminal growth 3.0%, cap 20x.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</si>
  <si>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</si>
  <si>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</si>
  <si>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</si>
  <si>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</si>
  <si>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</si>
  <si>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</si>
  <si>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</si>
  <si>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</si>
  <si>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</si>
  <si>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</si>
  <si>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</si>
  <si>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</si>
  <si>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</si>
  <si>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</si>
  <si>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</si>
  <si>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</si>
  <si>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</si>
  <si>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</si>
  <si>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</si>
  <si>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</si>
  <si>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</si>
  <si>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</si>
  <si>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</si>
  <si>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</si>
  <si>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</si>
  <si>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</si>
  <si>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</si>
  <si>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</si>
  <si>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</si>
  <si>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</si>
  <si>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</si>
  <si>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</si>
  <si>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</si>
  <si>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</si>
  <si>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</si>
  <si>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</si>
  <si>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</si>
  <si>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</si>
  <si>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</si>
  <si>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</si>
  <si>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</si>
  <si>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</si>
  <si>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</si>
  <si>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</si>
  <si>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</si>
  <si>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</si>
  <si>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</si>
  <si>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</si>
  <si>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</si>
  <si>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</si>
  <si>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</si>
  <si>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</si>
  <si>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</si>
  <si>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</si>
  <si>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</si>
  <si>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</si>
  <si>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</si>
  <si>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</si>
  <si>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</si>
  <si>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</si>
  <si>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</si>
  <si>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</si>
  <si>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</si>
  <si>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</si>
  <si>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</si>
  <si>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</si>
  <si>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</si>
  <si>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</si>
  <si>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</si>
  <si>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</si>
  <si>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</si>
  <si>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</si>
  <si>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</si>
  <si>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</si>
  <si>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CTEC.L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</si>
  <si>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</si>
  <si>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</si>
  <si>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</si>
  <si>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</si>
  <si>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</si>
  <si>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</si>
  <si>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</si>
  <si>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</si>
  <si>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</si>
  <si>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</si>
  <si>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</si>
  <si>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</si>
  <si>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</si>
  <si>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</si>
  <si>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</si>
  <si>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</si>
  <si>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</si>
  <si>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</si>
  <si>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</si>
  <si>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</si>
  <si>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</si>
  <si>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</si>
  <si>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</si>
  <si>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</si>
  <si>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</si>
  <si>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</si>
  <si>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</si>
  <si>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</si>
  <si>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</si>
  <si>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</si>
  <si>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CTEC.L owner-FCF component DCF: base case (millions, USD)</t>
  </si>
  <si>
    <t xml:space="preserve">CTEC.L owner-FCF component DCF: bull case (millions, USD)</t>
  </si>
  <si>
    <t xml:space="preserve">CTEC.L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</si>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</sst>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1764.6</v>
      </c>
      <c r="C2" s="0" t="n">
        <v>838.3</v>
      </c>
      <c r="D2" s="0" t="n">
        <v>926.3</v>
      </c>
      <c r="E2" s="0" t="n">
        <v>52.5</v>
      </c>
      <c r="F2" s="0" t="n">
        <v>247.8</v>
      </c>
      <c r="G2" s="0" t="n">
        <v>14</v>
      </c>
      <c r="H2" s="0" t="n">
        <v>427.2</v>
      </c>
      <c r="I2" s="0" t="n">
        <v>158.4</v>
      </c>
      <c r="J2" s="0" t="n">
        <v>9</v>
      </c>
      <c r="K2" s="0" t="n">
        <v>0.08</v>
      </c>
      <c r="L2" s="0" t="n">
        <v>306.6</v>
      </c>
      <c r="M2" s="0" t="n">
        <v>84.8</v>
      </c>
      <c r="N2" s="0" t="n">
        <v>221.8</v>
      </c>
      <c r="O2" s="0" t="n">
        <v>1523.8</v>
      </c>
      <c r="P2" s="0" t="n">
        <v>3800.9</v>
      </c>
      <c r="Q2" s="0" t="n">
        <v>2277.1</v>
      </c>
      <c r="R2" s="0" t="n">
        <v>1822.9</v>
      </c>
      <c r="S2" s="0" t="n">
        <v>289.3</v>
      </c>
      <c r="U2" s="0" t="n">
        <v>36.9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1832.1</v>
      </c>
      <c r="C3" s="0" t="n">
        <v>858.3</v>
      </c>
      <c r="D3" s="0" t="n">
        <v>973.8</v>
      </c>
      <c r="E3" s="0" t="n">
        <v>53.2</v>
      </c>
      <c r="F3" s="0" t="n">
        <v>267.7</v>
      </c>
      <c r="G3" s="0" t="n">
        <v>14.6</v>
      </c>
      <c r="H3" s="0" t="n">
        <v>457.7</v>
      </c>
      <c r="I3" s="0" t="n">
        <v>221.6</v>
      </c>
      <c r="J3" s="0" t="n">
        <v>12.1</v>
      </c>
      <c r="K3" s="0" t="n">
        <v>0.11</v>
      </c>
      <c r="L3" s="0" t="n">
        <v>352</v>
      </c>
      <c r="M3" s="0" t="n">
        <v>72.1</v>
      </c>
      <c r="N3" s="0" t="n">
        <v>279.9</v>
      </c>
      <c r="O3" s="0" t="n">
        <v>1617.2</v>
      </c>
      <c r="P3" s="0" t="n">
        <v>3660.4</v>
      </c>
      <c r="Q3" s="0" t="n">
        <v>2043.2</v>
      </c>
      <c r="R3" s="0" t="n">
        <v>1644.5</v>
      </c>
      <c r="S3" s="0" t="n">
        <v>315.6</v>
      </c>
      <c r="U3" s="0" t="n">
        <v>11.2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1827.2</v>
      </c>
      <c r="C4" s="0" t="n">
        <v>871.6</v>
      </c>
      <c r="D4" s="0" t="n">
        <v>955.6</v>
      </c>
      <c r="E4" s="0" t="n">
        <v>52.3</v>
      </c>
      <c r="F4" s="0" t="n">
        <v>96.9</v>
      </c>
      <c r="G4" s="0" t="n">
        <v>5.3</v>
      </c>
      <c r="H4" s="0" t="n">
        <v>306.7</v>
      </c>
      <c r="I4" s="0" t="n">
        <v>9.8</v>
      </c>
      <c r="J4" s="0" t="n">
        <v>0.5</v>
      </c>
      <c r="K4" s="0" t="n">
        <v>0.005</v>
      </c>
      <c r="L4" s="0" t="n">
        <v>401.8</v>
      </c>
      <c r="M4" s="0" t="n">
        <v>61.4</v>
      </c>
      <c r="N4" s="0" t="n">
        <v>340.4</v>
      </c>
      <c r="O4" s="0" t="n">
        <v>1561</v>
      </c>
      <c r="P4" s="0" t="n">
        <v>3609.8</v>
      </c>
      <c r="Q4" s="0" t="n">
        <v>2048.8</v>
      </c>
      <c r="R4" s="0" t="n">
        <v>1486.1</v>
      </c>
      <c r="S4" s="0" t="n">
        <v>385.8</v>
      </c>
      <c r="U4" s="0" t="n">
        <v>14.2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1894.3</v>
      </c>
      <c r="C5" s="0" t="n">
        <v>875.5</v>
      </c>
      <c r="D5" s="0" t="n">
        <v>1018.8</v>
      </c>
      <c r="E5" s="0" t="n">
        <v>53.8</v>
      </c>
      <c r="F5" s="0" t="n">
        <v>211</v>
      </c>
      <c r="G5" s="0" t="n">
        <v>11.1</v>
      </c>
      <c r="H5" s="0" t="n">
        <v>408.7</v>
      </c>
      <c r="I5" s="0" t="n">
        <v>112.5</v>
      </c>
      <c r="J5" s="0" t="n">
        <v>5.9</v>
      </c>
      <c r="K5" s="0" t="n">
        <v>0.056</v>
      </c>
      <c r="L5" s="0" t="n">
        <v>399.5</v>
      </c>
      <c r="M5" s="0" t="n">
        <v>86.2</v>
      </c>
      <c r="N5" s="0" t="n">
        <v>313.3</v>
      </c>
      <c r="O5" s="0" t="n">
        <v>1670.7</v>
      </c>
      <c r="P5" s="0" t="n">
        <v>3766.5</v>
      </c>
      <c r="Q5" s="0" t="n">
        <v>2095.8</v>
      </c>
      <c r="R5" s="0" t="n">
        <v>1456.4</v>
      </c>
      <c r="S5" s="0" t="n">
        <v>565.4</v>
      </c>
      <c r="T5" s="0" t="n">
        <v>2009</v>
      </c>
      <c r="U5" s="0" t="n">
        <v>12.4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2038.3</v>
      </c>
      <c r="C6" s="0" t="n">
        <v>915.2</v>
      </c>
      <c r="D6" s="0" t="n">
        <v>1123.1</v>
      </c>
      <c r="E6" s="0" t="n">
        <v>55.1</v>
      </c>
      <c r="F6" s="0" t="n">
        <v>203.6</v>
      </c>
      <c r="G6" s="0" t="n">
        <v>10</v>
      </c>
      <c r="H6" s="0" t="n">
        <v>414.2</v>
      </c>
      <c r="I6" s="0" t="n">
        <v>117.6</v>
      </c>
      <c r="J6" s="0" t="n">
        <v>5.8</v>
      </c>
      <c r="K6" s="0" t="n">
        <v>0.058</v>
      </c>
      <c r="L6" s="0" t="n">
        <v>305.9</v>
      </c>
      <c r="M6" s="0" t="n">
        <v>94.1</v>
      </c>
      <c r="N6" s="0" t="n">
        <v>211.8</v>
      </c>
      <c r="O6" s="0" t="n">
        <v>1694.8</v>
      </c>
      <c r="P6" s="0" t="n">
        <v>3674</v>
      </c>
      <c r="Q6" s="0" t="n">
        <v>1979.2</v>
      </c>
      <c r="R6" s="0" t="n">
        <v>1344.6</v>
      </c>
      <c r="S6" s="0" t="n">
        <v>463.4</v>
      </c>
      <c r="T6" s="0" t="n">
        <v>2028</v>
      </c>
      <c r="U6" s="0" t="n">
        <v>16.4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2072.5</v>
      </c>
      <c r="C7" s="0" t="n">
        <v>968.6</v>
      </c>
      <c r="D7" s="0" t="n">
        <v>1103.9</v>
      </c>
      <c r="E7" s="0" t="n">
        <v>53.3</v>
      </c>
      <c r="F7" s="0" t="n">
        <v>207.3</v>
      </c>
      <c r="G7" s="0" t="n">
        <v>10</v>
      </c>
      <c r="H7" s="0" t="n">
        <v>416.5</v>
      </c>
      <c r="I7" s="0" t="n">
        <v>62.9</v>
      </c>
      <c r="J7" s="0" t="n">
        <v>3</v>
      </c>
      <c r="K7" s="0" t="n">
        <v>0.031</v>
      </c>
      <c r="L7" s="0" t="n">
        <v>281.7</v>
      </c>
      <c r="M7" s="0" t="n">
        <v>144.2</v>
      </c>
      <c r="N7" s="0" t="n">
        <v>137.5</v>
      </c>
      <c r="O7" s="0" t="n">
        <v>1609.7</v>
      </c>
      <c r="P7" s="0" t="n">
        <v>3592</v>
      </c>
      <c r="Q7" s="0" t="n">
        <v>1982.3</v>
      </c>
      <c r="R7" s="0" t="n">
        <v>1211.9</v>
      </c>
      <c r="S7" s="0" t="n">
        <v>143.8</v>
      </c>
      <c r="T7" s="0" t="n">
        <v>2029</v>
      </c>
      <c r="U7" s="0" t="n">
        <v>16.7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2142.4</v>
      </c>
      <c r="C8" s="0" t="n">
        <v>941.8</v>
      </c>
      <c r="D8" s="0" t="n">
        <v>1200.6</v>
      </c>
      <c r="E8" s="0" t="n">
        <v>56</v>
      </c>
      <c r="F8" s="0" t="n">
        <v>262.7</v>
      </c>
      <c r="G8" s="0" t="n">
        <v>12.3</v>
      </c>
      <c r="H8" s="0" t="n">
        <v>477.5</v>
      </c>
      <c r="I8" s="0" t="n">
        <v>130.3</v>
      </c>
      <c r="J8" s="0" t="n">
        <v>6.1</v>
      </c>
      <c r="K8" s="0" t="n">
        <v>0.063</v>
      </c>
      <c r="L8" s="0" t="n">
        <v>367.4</v>
      </c>
      <c r="M8" s="0" t="n">
        <v>129.2</v>
      </c>
      <c r="N8" s="0" t="n">
        <v>238.2</v>
      </c>
      <c r="O8" s="0" t="n">
        <v>1692.7</v>
      </c>
      <c r="P8" s="0" t="n">
        <v>3713.7</v>
      </c>
      <c r="Q8" s="0" t="n">
        <v>2021</v>
      </c>
      <c r="R8" s="0" t="n">
        <v>1226.9</v>
      </c>
      <c r="S8" s="0" t="n">
        <v>97.6</v>
      </c>
      <c r="T8" s="0" t="n">
        <v>2068</v>
      </c>
      <c r="U8" s="0" t="n">
        <v>14.6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2289.2</v>
      </c>
      <c r="C9" s="0" t="n">
        <v>1005.6</v>
      </c>
      <c r="D9" s="0" t="n">
        <v>1283.6</v>
      </c>
      <c r="E9" s="0" t="n">
        <v>56.1</v>
      </c>
      <c r="F9" s="0" t="n">
        <v>324.9</v>
      </c>
      <c r="G9" s="0" t="n">
        <v>14.2</v>
      </c>
      <c r="H9" s="0" t="n">
        <v>545.7</v>
      </c>
      <c r="I9" s="0" t="n">
        <v>190.5</v>
      </c>
      <c r="J9" s="0" t="n">
        <v>8.3</v>
      </c>
      <c r="K9" s="0" t="n">
        <v>0.093</v>
      </c>
      <c r="L9" s="0" t="n">
        <v>396.2</v>
      </c>
      <c r="M9" s="0" t="n">
        <v>122.1</v>
      </c>
      <c r="N9" s="0" t="n">
        <v>274.1</v>
      </c>
      <c r="O9" s="0" t="n">
        <v>1688.9</v>
      </c>
      <c r="P9" s="0" t="n">
        <v>3515</v>
      </c>
      <c r="Q9" s="0" t="n">
        <v>1826.1</v>
      </c>
      <c r="R9" s="0" t="n">
        <v>1122.8</v>
      </c>
      <c r="S9" s="0" t="n">
        <v>64.7</v>
      </c>
      <c r="T9" s="0" t="n">
        <v>2048</v>
      </c>
      <c r="U9" s="0" t="n">
        <v>19.8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2439</v>
      </c>
      <c r="C10" s="0" t="n">
        <v>1068</v>
      </c>
      <c r="D10" s="0" t="n">
        <v>1371</v>
      </c>
      <c r="E10" s="0" t="n">
        <v>56.2</v>
      </c>
      <c r="F10" s="0" t="n">
        <v>316</v>
      </c>
      <c r="G10" s="0" t="n">
        <v>13</v>
      </c>
      <c r="H10" s="0" t="n">
        <v>540</v>
      </c>
      <c r="I10" s="0" t="n">
        <v>175</v>
      </c>
      <c r="J10" s="0" t="n">
        <v>7.2</v>
      </c>
      <c r="K10" s="0" t="n">
        <v>0.086</v>
      </c>
      <c r="L10" s="0" t="n">
        <v>470</v>
      </c>
      <c r="M10" s="0" t="n">
        <v>185</v>
      </c>
      <c r="N10" s="0" t="n">
        <v>285</v>
      </c>
      <c r="O10" s="0" t="n">
        <v>1518</v>
      </c>
      <c r="P10" s="0" t="n">
        <v>3781</v>
      </c>
      <c r="Q10" s="0" t="n">
        <v>2263</v>
      </c>
      <c r="R10" s="0" t="n">
        <v>1398</v>
      </c>
      <c r="S10" s="0" t="n">
        <v>68</v>
      </c>
      <c r="T10" s="0" t="n">
        <v>2035</v>
      </c>
      <c r="U10" s="0" t="n">
        <v>28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220</v>
      </c>
    </row>
    <row r="3" customFormat="false" ht="15" hidden="false" customHeight="false" outlineLevel="0" collapsed="false">
      <c r="A3" s="0" t="s">
        <v>77</v>
      </c>
      <c r="B3" s="3" t="n">
        <v>1960.4</v>
      </c>
    </row>
    <row r="4" customFormat="false" ht="15" hidden="false" customHeight="false" outlineLevel="0" collapsed="false">
      <c r="A4" s="0" t="s">
        <v>78</v>
      </c>
      <c r="B4" s="3" t="n">
        <v>1534</v>
      </c>
    </row>
    <row r="5" customFormat="false" ht="15" hidden="false" customHeight="false" outlineLevel="0" collapsed="false">
      <c r="A5" s="0" t="s">
        <v>79</v>
      </c>
      <c r="B5" s="3" t="n">
        <v>-59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2439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75.569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3.5</v>
      </c>
      <c r="D13" s="3" t="n">
        <v>4</v>
      </c>
      <c r="E13" s="3" t="n">
        <v>4</v>
      </c>
      <c r="F13" s="3" t="n">
        <v>3.5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26.4</v>
      </c>
      <c r="D14" s="3" t="n">
        <v>26.6</v>
      </c>
      <c r="E14" s="3" t="n">
        <v>26.8</v>
      </c>
      <c r="F14" s="3" t="n">
        <v>27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99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100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101</v>
      </c>
      <c r="C17" s="3" t="n">
        <v>2.8</v>
      </c>
      <c r="D17" s="3" t="n">
        <v>3.1</v>
      </c>
      <c r="E17" s="3" t="n">
        <v>3.4</v>
      </c>
      <c r="F17" s="3" t="n">
        <v>3.7</v>
      </c>
      <c r="G17" s="3" t="n">
        <v>3.9</v>
      </c>
      <c r="H17" s="3" t="n">
        <v>4.1</v>
      </c>
      <c r="I17" s="3" t="n">
        <v>4.2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102</v>
      </c>
      <c r="C18" s="3" t="n">
        <v>8.6</v>
      </c>
      <c r="D18" s="3" t="n">
        <v>7.8</v>
      </c>
      <c r="E18" s="3" t="n">
        <v>7</v>
      </c>
      <c r="F18" s="3" t="n">
        <v>6.5</v>
      </c>
      <c r="G18" s="3" t="n">
        <v>6.5</v>
      </c>
      <c r="H18" s="3" t="n">
        <v>6.25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103</v>
      </c>
      <c r="C19" s="3" t="n">
        <v>17</v>
      </c>
      <c r="D19" s="3" t="n">
        <v>20</v>
      </c>
      <c r="E19" s="3" t="n">
        <v>22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-15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27</v>
      </c>
      <c r="D28" s="3" t="n">
        <v>28</v>
      </c>
      <c r="E28" s="3" t="n">
        <v>28.8</v>
      </c>
      <c r="F28" s="3" t="n">
        <v>29.2</v>
      </c>
      <c r="G28" s="3" t="n">
        <v>29.5</v>
      </c>
      <c r="H28" s="3" t="n">
        <v>29.5</v>
      </c>
      <c r="I28" s="3" t="n">
        <v>29.5</v>
      </c>
      <c r="J28" s="3" t="n">
        <v>29.5</v>
      </c>
      <c r="K28" s="3" t="n">
        <v>29.5</v>
      </c>
      <c r="L28" s="3" t="n">
        <v>29.5</v>
      </c>
    </row>
    <row r="29" customFormat="false" ht="15" hidden="false" customHeight="false" outlineLevel="0" collapsed="false">
      <c r="A29" s="0" t="s">
        <v>99</v>
      </c>
      <c r="C29" s="3" t="n">
        <v>1.15</v>
      </c>
      <c r="D29" s="3" t="n">
        <v>1.15</v>
      </c>
      <c r="E29" s="3" t="n">
        <v>1.1</v>
      </c>
      <c r="F29" s="3" t="n">
        <v>1.1</v>
      </c>
      <c r="G29" s="3" t="n">
        <v>1.1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100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101</v>
      </c>
      <c r="C31" s="3" t="n">
        <v>2.8</v>
      </c>
      <c r="D31" s="3" t="n">
        <v>3.1</v>
      </c>
      <c r="E31" s="3" t="n">
        <v>3.4</v>
      </c>
      <c r="F31" s="3" t="n">
        <v>3.7</v>
      </c>
      <c r="G31" s="3" t="n">
        <v>3.9</v>
      </c>
      <c r="H31" s="3" t="n">
        <v>4.1</v>
      </c>
      <c r="I31" s="3" t="n">
        <v>4.2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102</v>
      </c>
      <c r="C32" s="3" t="n">
        <v>8.4</v>
      </c>
      <c r="D32" s="3" t="n">
        <v>7.5</v>
      </c>
      <c r="E32" s="3" t="n">
        <v>6.5</v>
      </c>
      <c r="F32" s="3" t="n">
        <v>6</v>
      </c>
      <c r="G32" s="3" t="n">
        <v>6</v>
      </c>
      <c r="H32" s="3" t="n">
        <v>5.75</v>
      </c>
      <c r="I32" s="3" t="n">
        <v>5.5</v>
      </c>
      <c r="J32" s="3" t="n">
        <v>5.25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103</v>
      </c>
      <c r="C33" s="3" t="n">
        <v>17</v>
      </c>
      <c r="D33" s="3" t="n">
        <v>20</v>
      </c>
      <c r="E33" s="3" t="n">
        <v>22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-15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5.5</v>
      </c>
      <c r="D41" s="3" t="n">
        <v>7.5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27.3</v>
      </c>
      <c r="D42" s="3" t="n">
        <v>28.6</v>
      </c>
      <c r="E42" s="3" t="n">
        <v>29.6</v>
      </c>
      <c r="F42" s="3" t="n">
        <v>30.3</v>
      </c>
      <c r="G42" s="3" t="n">
        <v>30.8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99</v>
      </c>
      <c r="C43" s="3" t="n">
        <v>1.15</v>
      </c>
      <c r="D43" s="3" t="n">
        <v>1.15</v>
      </c>
      <c r="E43" s="3" t="n">
        <v>1.1</v>
      </c>
      <c r="F43" s="3" t="n">
        <v>1.1</v>
      </c>
      <c r="G43" s="3" t="n">
        <v>1.1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100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101</v>
      </c>
      <c r="C45" s="3" t="n">
        <v>2.8</v>
      </c>
      <c r="D45" s="3" t="n">
        <v>3.1</v>
      </c>
      <c r="E45" s="3" t="n">
        <v>3.4</v>
      </c>
      <c r="F45" s="3" t="n">
        <v>3.7</v>
      </c>
      <c r="G45" s="3" t="n">
        <v>3.9</v>
      </c>
      <c r="H45" s="3" t="n">
        <v>4.1</v>
      </c>
      <c r="I45" s="3" t="n">
        <v>4.2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102</v>
      </c>
      <c r="C46" s="3" t="n">
        <v>8.4</v>
      </c>
      <c r="D46" s="3" t="n">
        <v>7.3</v>
      </c>
      <c r="E46" s="3" t="n">
        <v>6.3</v>
      </c>
      <c r="F46" s="3" t="n">
        <v>5.8</v>
      </c>
      <c r="G46" s="3" t="n">
        <v>5.6</v>
      </c>
      <c r="H46" s="3" t="n">
        <v>5.4</v>
      </c>
      <c r="I46" s="3" t="n">
        <v>5.2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103</v>
      </c>
      <c r="C47" s="3" t="n">
        <v>17</v>
      </c>
      <c r="D47" s="3" t="n">
        <v>20</v>
      </c>
      <c r="E47" s="3" t="n">
        <v>22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-15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3.5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2439</v>
      </c>
      <c r="C6" s="0" t="n">
        <f aca="false">B6*(1+C5/100)</f>
        <v>2524.365</v>
      </c>
      <c r="D6" s="0" t="n">
        <f aca="false">C6*(1+D5/100)</f>
        <v>2625.3396</v>
      </c>
      <c r="E6" s="0" t="n">
        <f aca="false">D6*(1+E5/100)</f>
        <v>2730.353184</v>
      </c>
      <c r="F6" s="0" t="n">
        <f aca="false">E6*(1+F5/100)</f>
        <v>2825.91554544</v>
      </c>
      <c r="G6" s="0" t="n">
        <f aca="false">F6*(1+G5/100)</f>
        <v>2910.6930118032</v>
      </c>
      <c r="H6" s="0" t="n">
        <f aca="false">G6*(1+H5/100)</f>
        <v>2998.0138021573</v>
      </c>
      <c r="I6" s="0" t="n">
        <f aca="false">H6*(1+I5/100)</f>
        <v>3072.96414721123</v>
      </c>
      <c r="J6" s="0" t="n">
        <f aca="false">I6*(1+J5/100)</f>
        <v>3149.78825089151</v>
      </c>
      <c r="K6" s="0" t="n">
        <f aca="false">J6*(1+K5/100)</f>
        <v>3212.78401590934</v>
      </c>
      <c r="L6" s="0" t="n">
        <f aca="false">K6*(1+L5/100)</f>
        <v>3277.03969622753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26.4</v>
      </c>
      <c r="D7" s="4" t="n">
        <f aca="false">Assumptions!D14</f>
        <v>26.6</v>
      </c>
      <c r="E7" s="4" t="n">
        <f aca="false">Assumptions!E14</f>
        <v>26.8</v>
      </c>
      <c r="F7" s="4" t="n">
        <f aca="false">Assumptions!F14</f>
        <v>27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666.43236</v>
      </c>
      <c r="D8" s="0" t="n">
        <f aca="false">D6*D7/100</f>
        <v>698.3403336</v>
      </c>
      <c r="E8" s="0" t="n">
        <f aca="false">E6*E7/100</f>
        <v>731.734653312</v>
      </c>
      <c r="F8" s="0" t="n">
        <f aca="false">F6*F7/100</f>
        <v>762.9971972688</v>
      </c>
      <c r="G8" s="0" t="n">
        <f aca="false">G6*G7/100</f>
        <v>785.887113186864</v>
      </c>
      <c r="H8" s="0" t="n">
        <f aca="false">H6*H7/100</f>
        <v>809.46372658247</v>
      </c>
      <c r="I8" s="0" t="n">
        <f aca="false">I6*I7/100</f>
        <v>829.700319747032</v>
      </c>
      <c r="J8" s="0" t="n">
        <f aca="false">J6*J7/100</f>
        <v>850.442827740707</v>
      </c>
      <c r="K8" s="0" t="n">
        <f aca="false">K6*K7/100</f>
        <v>867.451684295522</v>
      </c>
      <c r="L8" s="0" t="n">
        <f aca="false">L6*L7/100</f>
        <v>884.800717981432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-29.0301975</v>
      </c>
      <c r="D10" s="0" t="n">
        <f aca="false">-D6*D9/100</f>
        <v>-30.1914054</v>
      </c>
      <c r="E10" s="0" t="n">
        <f aca="false">-E6*E9/100</f>
        <v>-31.399061616</v>
      </c>
      <c r="F10" s="0" t="n">
        <f aca="false">-F6*F9/100</f>
        <v>-32.49802877256</v>
      </c>
      <c r="G10" s="0" t="n">
        <f aca="false">-G6*G9/100</f>
        <v>-33.4729696357368</v>
      </c>
      <c r="H10" s="0" t="n">
        <f aca="false">-H6*H9/100</f>
        <v>-34.4771587248089</v>
      </c>
      <c r="I10" s="0" t="n">
        <f aca="false">-I6*I9/100</f>
        <v>-35.3390876929291</v>
      </c>
      <c r="J10" s="0" t="n">
        <f aca="false">-J6*J9/100</f>
        <v>-36.2225648852523</v>
      </c>
      <c r="K10" s="0" t="n">
        <f aca="false">-K6*K9/100</f>
        <v>-36.9470161829574</v>
      </c>
      <c r="L10" s="0" t="n">
        <f aca="false">-L6*L9/100</f>
        <v>-37.6859565066165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604.5854175</v>
      </c>
      <c r="D11" s="0" t="n">
        <f aca="false">D8+D10+D24</f>
        <v>634.0195134</v>
      </c>
      <c r="E11" s="0" t="n">
        <f aca="false">E8+E10+E24</f>
        <v>664.841000304</v>
      </c>
      <c r="F11" s="0" t="n">
        <f aca="false">F8+F10+F24</f>
        <v>693.76226640552</v>
      </c>
      <c r="G11" s="0" t="n">
        <f aca="false">G8+G10+G24</f>
        <v>714.575134397686</v>
      </c>
      <c r="H11" s="0" t="n">
        <f aca="false">H8+H10+H24</f>
        <v>736.012388429616</v>
      </c>
      <c r="I11" s="0" t="n">
        <f aca="false">I8+I10+I24</f>
        <v>754.412698140357</v>
      </c>
      <c r="J11" s="0" t="n">
        <f aca="false">J8+J10+J24</f>
        <v>773.273015593865</v>
      </c>
      <c r="K11" s="0" t="n">
        <f aca="false">K8+K10+K24</f>
        <v>788.738475905743</v>
      </c>
      <c r="L11" s="0" t="n">
        <f aca="false">L8+L10+L24</f>
        <v>804.513245423858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-70.68222</v>
      </c>
      <c r="D12" s="4" t="n">
        <f aca="false">-D6*Assumptions!D17/100</f>
        <v>-81.3855276</v>
      </c>
      <c r="E12" s="4" t="n">
        <f aca="false">-E6*Assumptions!E17/100</f>
        <v>-92.832008256</v>
      </c>
      <c r="F12" s="4" t="n">
        <f aca="false">-F6*Assumptions!F17/100</f>
        <v>-104.55887518128</v>
      </c>
      <c r="G12" s="4" t="n">
        <f aca="false">-G6*Assumptions!G17/100</f>
        <v>-113.517027460325</v>
      </c>
      <c r="H12" s="4" t="n">
        <f aca="false">-H6*Assumptions!H17/100</f>
        <v>-122.918565888449</v>
      </c>
      <c r="I12" s="4" t="n">
        <f aca="false">-I6*Assumptions!I17/100</f>
        <v>-129.064494182872</v>
      </c>
      <c r="J12" s="4" t="n">
        <f aca="false">-J6*Assumptions!J17/100</f>
        <v>-135.440894788335</v>
      </c>
      <c r="K12" s="4" t="n">
        <f aca="false">-K6*Assumptions!K17/100</f>
        <v>-138.149712684102</v>
      </c>
      <c r="L12" s="4" t="n">
        <f aca="false">-L6*Assumptions!L17/100</f>
        <v>-140.912706937784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533.9031975</v>
      </c>
      <c r="D13" s="0" t="n">
        <f aca="false">D11+D12</f>
        <v>552.6339858</v>
      </c>
      <c r="E13" s="0" t="n">
        <f aca="false">E11+E12</f>
        <v>572.008992048</v>
      </c>
      <c r="F13" s="0" t="n">
        <f aca="false">F11+F12</f>
        <v>589.20339122424</v>
      </c>
      <c r="G13" s="0" t="n">
        <f aca="false">G11+G12</f>
        <v>601.058106937361</v>
      </c>
      <c r="H13" s="0" t="n">
        <f aca="false">H11+H12</f>
        <v>613.093822541167</v>
      </c>
      <c r="I13" s="0" t="n">
        <f aca="false">I11+I12</f>
        <v>625.348203957485</v>
      </c>
      <c r="J13" s="0" t="n">
        <f aca="false">J11+J12</f>
        <v>637.832120805531</v>
      </c>
      <c r="K13" s="0" t="n">
        <f aca="false">K11+K12</f>
        <v>650.588763221641</v>
      </c>
      <c r="L13" s="0" t="n">
        <f aca="false">L11+L12</f>
        <v>663.600538486074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17</v>
      </c>
      <c r="D14" s="4" t="n">
        <f aca="false">Assumptions!D19</f>
        <v>20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443.139653925</v>
      </c>
      <c r="D15" s="0" t="n">
        <f aca="false">D13-MAX(0,D13)*D14/100</f>
        <v>442.10718864</v>
      </c>
      <c r="E15" s="0" t="n">
        <f aca="false">E13-MAX(0,E13)*E14/100</f>
        <v>446.16701379744</v>
      </c>
      <c r="F15" s="0" t="n">
        <f aca="false">F13-MAX(0,F13)*F14/100</f>
        <v>453.686611242665</v>
      </c>
      <c r="G15" s="0" t="n">
        <f aca="false">G13-MAX(0,G13)*G14/100</f>
        <v>462.814742341768</v>
      </c>
      <c r="H15" s="0" t="n">
        <f aca="false">H13-MAX(0,H13)*H14/100</f>
        <v>472.082243356699</v>
      </c>
      <c r="I15" s="0" t="n">
        <f aca="false">I13-MAX(0,I13)*I14/100</f>
        <v>481.518117047263</v>
      </c>
      <c r="J15" s="0" t="n">
        <f aca="false">J13-MAX(0,J13)*J14/100</f>
        <v>491.130733020259</v>
      </c>
      <c r="K15" s="0" t="n">
        <f aca="false">K13-MAX(0,K13)*K14/100</f>
        <v>500.953347680664</v>
      </c>
      <c r="L15" s="0" t="n">
        <f aca="false">L13-MAX(0,L13)*L14/100</f>
        <v>510.972414634277</v>
      </c>
    </row>
    <row r="16" customFormat="false" ht="15" hidden="false" customHeight="false" outlineLevel="0" collapsed="false">
      <c r="A16" s="0" t="s">
        <v>119</v>
      </c>
      <c r="C16" s="0" t="n">
        <f aca="false">-C12</f>
        <v>70.68222</v>
      </c>
      <c r="D16" s="0" t="n">
        <f aca="false">-D12</f>
        <v>81.3855276</v>
      </c>
      <c r="E16" s="0" t="n">
        <f aca="false">-E12</f>
        <v>92.832008256</v>
      </c>
      <c r="F16" s="0" t="n">
        <f aca="false">-F12</f>
        <v>104.55887518128</v>
      </c>
      <c r="G16" s="0" t="n">
        <f aca="false">-G12</f>
        <v>113.517027460325</v>
      </c>
      <c r="H16" s="0" t="n">
        <f aca="false">-H12</f>
        <v>122.918565888449</v>
      </c>
      <c r="I16" s="0" t="n">
        <f aca="false">-I12</f>
        <v>129.064494182872</v>
      </c>
      <c r="J16" s="0" t="n">
        <f aca="false">-J12</f>
        <v>135.440894788335</v>
      </c>
      <c r="K16" s="0" t="n">
        <f aca="false">-K12</f>
        <v>138.149712684102</v>
      </c>
      <c r="L16" s="0" t="n">
        <f aca="false">-L12</f>
        <v>140.912706937784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-217.09539</v>
      </c>
      <c r="D17" s="4" t="n">
        <f aca="false">-D6*Assumptions!D18/100</f>
        <v>-204.7764888</v>
      </c>
      <c r="E17" s="4" t="n">
        <f aca="false">-E6*Assumptions!E18/100</f>
        <v>-191.12472288</v>
      </c>
      <c r="F17" s="4" t="n">
        <f aca="false">-F6*Assumptions!F18/100</f>
        <v>-183.6845104536</v>
      </c>
      <c r="G17" s="4" t="n">
        <f aca="false">-G6*Assumptions!G18/100</f>
        <v>-189.195045767208</v>
      </c>
      <c r="H17" s="4" t="n">
        <f aca="false">-H6*Assumptions!H18/100</f>
        <v>-187.375862634831</v>
      </c>
      <c r="I17" s="4" t="n">
        <f aca="false">-I6*Assumptions!I18/100</f>
        <v>-184.377848832674</v>
      </c>
      <c r="J17" s="4" t="n">
        <f aca="false">-J6*Assumptions!J18/100</f>
        <v>-188.987295053491</v>
      </c>
      <c r="K17" s="4" t="n">
        <f aca="false">-K6*Assumptions!K18/100</f>
        <v>-192.76704095456</v>
      </c>
      <c r="L17" s="4" t="n">
        <f aca="false">-L6*Assumptions!L18/100</f>
        <v>-196.622381773652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-12.80475</v>
      </c>
      <c r="D18" s="4" t="n">
        <f aca="false">(D6-C6)*Assumptions!$B$23/100</f>
        <v>-15.14619</v>
      </c>
      <c r="E18" s="4" t="n">
        <f aca="false">(E6-D6)*Assumptions!$B$23/100</f>
        <v>-15.7520376</v>
      </c>
      <c r="F18" s="4" t="n">
        <f aca="false">(F6-E6)*Assumptions!$B$23/100</f>
        <v>-14.334354216</v>
      </c>
      <c r="G18" s="4" t="n">
        <f aca="false">(G6-F6)*Assumptions!$B$23/100</f>
        <v>-12.71661995448</v>
      </c>
      <c r="H18" s="4" t="n">
        <f aca="false">(H6-G6)*Assumptions!$B$23/100</f>
        <v>-13.0981185531144</v>
      </c>
      <c r="I18" s="4" t="n">
        <f aca="false">(I6-H6)*Assumptions!$B$23/100</f>
        <v>-11.2425517580899</v>
      </c>
      <c r="J18" s="4" t="n">
        <f aca="false">(J6-I6)*Assumptions!$B$23/100</f>
        <v>-11.5236155520421</v>
      </c>
      <c r="K18" s="4" t="n">
        <f aca="false">(K6-J6)*Assumptions!$B$23/100</f>
        <v>-9.44936475267455</v>
      </c>
      <c r="L18" s="4" t="n">
        <f aca="false">(L6-K6)*Assumptions!$B$23/100</f>
        <v>-9.63835204772804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283.921733925</v>
      </c>
      <c r="D19" s="0" t="n">
        <f aca="false">D15+D16+D17+D18</f>
        <v>303.57003744</v>
      </c>
      <c r="E19" s="0" t="n">
        <f aca="false">E15+E16+E17+E18</f>
        <v>332.12226157344</v>
      </c>
      <c r="F19" s="0" t="n">
        <f aca="false">F15+F16+F17+F18</f>
        <v>360.226621754345</v>
      </c>
      <c r="G19" s="0" t="n">
        <f aca="false">G15+G16+G17+G18</f>
        <v>374.420104080405</v>
      </c>
      <c r="H19" s="0" t="n">
        <f aca="false">H15+H16+H17+H18</f>
        <v>394.526828057202</v>
      </c>
      <c r="I19" s="0" t="n">
        <f aca="false">I15+I16+I17+I18</f>
        <v>414.962210639371</v>
      </c>
      <c r="J19" s="0" t="n">
        <f aca="false">J15+J16+J17+J18</f>
        <v>426.060717203061</v>
      </c>
      <c r="K19" s="0" t="n">
        <f aca="false">K15+K16+K17+K18</f>
        <v>436.88665465753</v>
      </c>
      <c r="L19" s="0" t="n">
        <f aca="false">L15+L16+L17+L18</f>
        <v>445.624387750681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262.890494375</v>
      </c>
      <c r="D21" s="0" t="n">
        <f aca="false">D19*D20</f>
        <v>260.262377777778</v>
      </c>
      <c r="E21" s="0" t="n">
        <f aca="false">E19*E20</f>
        <v>263.649359197531</v>
      </c>
      <c r="F21" s="0" t="n">
        <f aca="false">F19*F20</f>
        <v>264.77732076146</v>
      </c>
      <c r="G21" s="0" t="n">
        <f aca="false">G19*G20</f>
        <v>254.824031468752</v>
      </c>
      <c r="H21" s="0" t="n">
        <f aca="false">H19*H20</f>
        <v>248.618824032182</v>
      </c>
      <c r="I21" s="0" t="n">
        <f aca="false">I19*I20</f>
        <v>242.126464304816</v>
      </c>
      <c r="J21" s="0" t="n">
        <f aca="false">J19*J20</f>
        <v>230.187348413409</v>
      </c>
      <c r="K21" s="0" t="n">
        <f aca="false">K19*K20</f>
        <v>218.552097745948</v>
      </c>
      <c r="L21" s="0" t="n">
        <f aca="false">L19*L20</f>
        <v>206.41031453784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-32.816745</v>
      </c>
      <c r="D24" s="0" t="n">
        <f aca="false">-D6*D23/100</f>
        <v>-34.1294148</v>
      </c>
      <c r="E24" s="0" t="n">
        <f aca="false">-E6*E23/100</f>
        <v>-35.494591392</v>
      </c>
      <c r="F24" s="0" t="n">
        <f aca="false">-F6*F23/100</f>
        <v>-36.73690209072</v>
      </c>
      <c r="G24" s="0" t="n">
        <f aca="false">-G6*G23/100</f>
        <v>-37.8390091534416</v>
      </c>
      <c r="H24" s="0" t="n">
        <f aca="false">-H6*H23/100</f>
        <v>-38.9741794280448</v>
      </c>
      <c r="I24" s="0" t="n">
        <f aca="false">-I6*I23/100</f>
        <v>-39.948533913746</v>
      </c>
      <c r="J24" s="0" t="n">
        <f aca="false">-J6*J23/100</f>
        <v>-40.9472472615896</v>
      </c>
      <c r="K24" s="0" t="n">
        <f aca="false">-K6*K23/100</f>
        <v>-41.7661922068214</v>
      </c>
      <c r="L24" s="0" t="n">
        <f aca="false">-L6*L23/100</f>
        <v>-42.6015160509578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2452.29863261472</v>
      </c>
    </row>
    <row r="31" customFormat="false" ht="15" hidden="false" customHeight="false" outlineLevel="0" collapsed="false">
      <c r="A31" s="0" t="s">
        <v>128</v>
      </c>
      <c r="B31" s="0" t="n">
        <f aca="false">L19</f>
        <v>445.624387750681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6958.59620872217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6684.36581626021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6684.36581626021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3096.1547180676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5548.45335068231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3955.45335068231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152.473808537906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-0.306937233918608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222.212823381551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272.580430627677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171.546972898355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3350.43521160697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39.4067180328708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2439</v>
      </c>
      <c r="C6" s="0" t="n">
        <f aca="false">B6*(1+C5/100)</f>
        <v>2560.95</v>
      </c>
      <c r="D6" s="0" t="n">
        <f aca="false">C6*(1+D5/100)</f>
        <v>2714.607</v>
      </c>
      <c r="E6" s="0" t="n">
        <f aca="false">D6*(1+E5/100)</f>
        <v>2877.48342</v>
      </c>
      <c r="F6" s="0" t="n">
        <f aca="false">E6*(1+F5/100)</f>
        <v>3035.7450081</v>
      </c>
      <c r="G6" s="0" t="n">
        <f aca="false">F6*(1+G5/100)</f>
        <v>3187.532258505</v>
      </c>
      <c r="H6" s="0" t="n">
        <f aca="false">G6*(1+H5/100)</f>
        <v>3330.97121013773</v>
      </c>
      <c r="I6" s="0" t="n">
        <f aca="false">H6*(1+I5/100)</f>
        <v>3464.21005854323</v>
      </c>
      <c r="J6" s="0" t="n">
        <f aca="false">I6*(1+J5/100)</f>
        <v>3585.45741059225</v>
      </c>
      <c r="K6" s="0" t="n">
        <f aca="false">J6*(1+K5/100)</f>
        <v>3693.02113291001</v>
      </c>
      <c r="L6" s="0" t="n">
        <f aca="false">K6*(1+L5/100)</f>
        <v>3785.34666123276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27</v>
      </c>
      <c r="D7" s="4" t="n">
        <f aca="false">Assumptions!D28</f>
        <v>28</v>
      </c>
      <c r="E7" s="4" t="n">
        <f aca="false">Assumptions!E28</f>
        <v>28.8</v>
      </c>
      <c r="F7" s="4" t="n">
        <f aca="false">Assumptions!F28</f>
        <v>29.2</v>
      </c>
      <c r="G7" s="4" t="n">
        <f aca="false">Assumptions!G28</f>
        <v>29.5</v>
      </c>
      <c r="H7" s="4" t="n">
        <f aca="false">Assumptions!H28</f>
        <v>29.5</v>
      </c>
      <c r="I7" s="4" t="n">
        <f aca="false">Assumptions!I28</f>
        <v>29.5</v>
      </c>
      <c r="J7" s="4" t="n">
        <f aca="false">Assumptions!J28</f>
        <v>29.5</v>
      </c>
      <c r="K7" s="4" t="n">
        <f aca="false">Assumptions!K28</f>
        <v>29.5</v>
      </c>
      <c r="L7" s="4" t="n">
        <f aca="false">Assumptions!L28</f>
        <v>29.5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691.4565</v>
      </c>
      <c r="D8" s="0" t="n">
        <f aca="false">D6*D7/100</f>
        <v>760.08996</v>
      </c>
      <c r="E8" s="0" t="n">
        <f aca="false">E6*E7/100</f>
        <v>828.71522496</v>
      </c>
      <c r="F8" s="0" t="n">
        <f aca="false">F6*F7/100</f>
        <v>886.4375423652</v>
      </c>
      <c r="G8" s="0" t="n">
        <f aca="false">G6*G7/100</f>
        <v>940.322016258975</v>
      </c>
      <c r="H8" s="0" t="n">
        <f aca="false">H6*H7/100</f>
        <v>982.636506990629</v>
      </c>
      <c r="I8" s="0" t="n">
        <f aca="false">I6*I7/100</f>
        <v>1021.94196727025</v>
      </c>
      <c r="J8" s="0" t="n">
        <f aca="false">J6*J7/100</f>
        <v>1057.70993612471</v>
      </c>
      <c r="K8" s="0" t="n">
        <f aca="false">K6*K7/100</f>
        <v>1089.44123420845</v>
      </c>
      <c r="L8" s="0" t="n">
        <f aca="false">L6*L7/100</f>
        <v>1116.67726506367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-29.450925</v>
      </c>
      <c r="D10" s="0" t="n">
        <f aca="false">-D6*D9/100</f>
        <v>-31.2179805</v>
      </c>
      <c r="E10" s="0" t="n">
        <f aca="false">-E6*E9/100</f>
        <v>-31.65231762</v>
      </c>
      <c r="F10" s="0" t="n">
        <f aca="false">-F6*F9/100</f>
        <v>-33.3931950891</v>
      </c>
      <c r="G10" s="0" t="n">
        <f aca="false">-G6*G9/100</f>
        <v>-35.062854843555</v>
      </c>
      <c r="H10" s="0" t="n">
        <f aca="false">-H6*H9/100</f>
        <v>-33.3097121013773</v>
      </c>
      <c r="I10" s="0" t="n">
        <f aca="false">-I6*I9/100</f>
        <v>-34.6421005854323</v>
      </c>
      <c r="J10" s="0" t="n">
        <f aca="false">-J6*J9/100</f>
        <v>-35.8545741059225</v>
      </c>
      <c r="K10" s="0" t="n">
        <f aca="false">-K6*K9/100</f>
        <v>-36.9302113291001</v>
      </c>
      <c r="L10" s="0" t="n">
        <f aca="false">-L6*L9/100</f>
        <v>-37.8534666123276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628.713225</v>
      </c>
      <c r="D11" s="0" t="n">
        <f aca="false">D8+D10+D24</f>
        <v>693.5820885</v>
      </c>
      <c r="E11" s="0" t="n">
        <f aca="false">E8+E10+E24</f>
        <v>759.65562288</v>
      </c>
      <c r="F11" s="0" t="n">
        <f aca="false">F8+F10+F24</f>
        <v>813.5796621708</v>
      </c>
      <c r="G11" s="0" t="n">
        <f aca="false">G8+G10+G24</f>
        <v>863.821242054855</v>
      </c>
      <c r="H11" s="0" t="n">
        <f aca="false">H8+H10+H24</f>
        <v>906.024169157461</v>
      </c>
      <c r="I11" s="0" t="n">
        <f aca="false">I8+I10+I24</f>
        <v>942.26513592376</v>
      </c>
      <c r="J11" s="0" t="n">
        <f aca="false">J8+J10+J24</f>
        <v>975.244415681091</v>
      </c>
      <c r="K11" s="0" t="n">
        <f aca="false">K8+K10+K24</f>
        <v>1004.50174815152</v>
      </c>
      <c r="L11" s="0" t="n">
        <f aca="false">L8+L10+L24</f>
        <v>1029.61429185531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-71.7066</v>
      </c>
      <c r="D12" s="4" t="n">
        <f aca="false">-D6*Assumptions!D31/100</f>
        <v>-84.152817</v>
      </c>
      <c r="E12" s="4" t="n">
        <f aca="false">-E6*Assumptions!E31/100</f>
        <v>-97.83443628</v>
      </c>
      <c r="F12" s="4" t="n">
        <f aca="false">-F6*Assumptions!F31/100</f>
        <v>-112.3225652997</v>
      </c>
      <c r="G12" s="4" t="n">
        <f aca="false">-G6*Assumptions!G31/100</f>
        <v>-124.313758081695</v>
      </c>
      <c r="H12" s="4" t="n">
        <f aca="false">-H6*Assumptions!H31/100</f>
        <v>-136.569819615647</v>
      </c>
      <c r="I12" s="4" t="n">
        <f aca="false">-I6*Assumptions!I31/100</f>
        <v>-145.496822458816</v>
      </c>
      <c r="J12" s="4" t="n">
        <f aca="false">-J6*Assumptions!J31/100</f>
        <v>-154.174668655467</v>
      </c>
      <c r="K12" s="4" t="n">
        <f aca="false">-K6*Assumptions!K31/100</f>
        <v>-158.799908715131</v>
      </c>
      <c r="L12" s="4" t="n">
        <f aca="false">-L6*Assumptions!L31/100</f>
        <v>-162.769906433009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557.006625</v>
      </c>
      <c r="D13" s="0" t="n">
        <f aca="false">D11+D12</f>
        <v>609.4292715</v>
      </c>
      <c r="E13" s="0" t="n">
        <f aca="false">E11+E12</f>
        <v>661.8211866</v>
      </c>
      <c r="F13" s="0" t="n">
        <f aca="false">F11+F12</f>
        <v>701.2570968711</v>
      </c>
      <c r="G13" s="0" t="n">
        <f aca="false">G11+G12</f>
        <v>739.50748397316</v>
      </c>
      <c r="H13" s="0" t="n">
        <f aca="false">H11+H12</f>
        <v>769.454349541815</v>
      </c>
      <c r="I13" s="0" t="n">
        <f aca="false">I11+I12</f>
        <v>796.768313464944</v>
      </c>
      <c r="J13" s="0" t="n">
        <f aca="false">J11+J12</f>
        <v>821.069747025625</v>
      </c>
      <c r="K13" s="0" t="n">
        <f aca="false">K11+K12</f>
        <v>845.701839436393</v>
      </c>
      <c r="L13" s="0" t="n">
        <f aca="false">L11+L12</f>
        <v>866.844385422303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17</v>
      </c>
      <c r="D14" s="4" t="n">
        <f aca="false">Assumptions!D33</f>
        <v>20</v>
      </c>
      <c r="E14" s="4" t="n">
        <f aca="false">Assumptions!E33</f>
        <v>22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462.31549875</v>
      </c>
      <c r="D15" s="0" t="n">
        <f aca="false">D13-MAX(0,D13)*D14/100</f>
        <v>487.5434172</v>
      </c>
      <c r="E15" s="0" t="n">
        <f aca="false">E13-MAX(0,E13)*E14/100</f>
        <v>516.220525548</v>
      </c>
      <c r="F15" s="0" t="n">
        <f aca="false">F13-MAX(0,F13)*F14/100</f>
        <v>539.967964590747</v>
      </c>
      <c r="G15" s="0" t="n">
        <f aca="false">G13-MAX(0,G13)*G14/100</f>
        <v>569.420762659333</v>
      </c>
      <c r="H15" s="0" t="n">
        <f aca="false">H13-MAX(0,H13)*H14/100</f>
        <v>592.479849147197</v>
      </c>
      <c r="I15" s="0" t="n">
        <f aca="false">I13-MAX(0,I13)*I14/100</f>
        <v>613.511601368007</v>
      </c>
      <c r="J15" s="0" t="n">
        <f aca="false">J13-MAX(0,J13)*J14/100</f>
        <v>632.223705209731</v>
      </c>
      <c r="K15" s="0" t="n">
        <f aca="false">K13-MAX(0,K13)*K14/100</f>
        <v>651.190416366023</v>
      </c>
      <c r="L15" s="0" t="n">
        <f aca="false">L13-MAX(0,L13)*L14/100</f>
        <v>667.470176775173</v>
      </c>
    </row>
    <row r="16" customFormat="false" ht="15" hidden="false" customHeight="false" outlineLevel="0" collapsed="false">
      <c r="A16" s="0" t="s">
        <v>119</v>
      </c>
      <c r="C16" s="0" t="n">
        <f aca="false">-C12</f>
        <v>71.7066</v>
      </c>
      <c r="D16" s="0" t="n">
        <f aca="false">-D12</f>
        <v>84.152817</v>
      </c>
      <c r="E16" s="0" t="n">
        <f aca="false">-E12</f>
        <v>97.83443628</v>
      </c>
      <c r="F16" s="0" t="n">
        <f aca="false">-F12</f>
        <v>112.3225652997</v>
      </c>
      <c r="G16" s="0" t="n">
        <f aca="false">-G12</f>
        <v>124.313758081695</v>
      </c>
      <c r="H16" s="0" t="n">
        <f aca="false">-H12</f>
        <v>136.569819615647</v>
      </c>
      <c r="I16" s="0" t="n">
        <f aca="false">-I12</f>
        <v>145.496822458816</v>
      </c>
      <c r="J16" s="0" t="n">
        <f aca="false">-J12</f>
        <v>154.174668655467</v>
      </c>
      <c r="K16" s="0" t="n">
        <f aca="false">-K12</f>
        <v>158.799908715131</v>
      </c>
      <c r="L16" s="0" t="n">
        <f aca="false">-L12</f>
        <v>162.769906433009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-215.1198</v>
      </c>
      <c r="D17" s="4" t="n">
        <f aca="false">-D6*Assumptions!D32/100</f>
        <v>-203.595525</v>
      </c>
      <c r="E17" s="4" t="n">
        <f aca="false">-E6*Assumptions!E32/100</f>
        <v>-187.0364223</v>
      </c>
      <c r="F17" s="4" t="n">
        <f aca="false">-F6*Assumptions!F32/100</f>
        <v>-182.144700486</v>
      </c>
      <c r="G17" s="4" t="n">
        <f aca="false">-G6*Assumptions!G32/100</f>
        <v>-191.2519355103</v>
      </c>
      <c r="H17" s="4" t="n">
        <f aca="false">-H6*Assumptions!H32/100</f>
        <v>-191.530844582919</v>
      </c>
      <c r="I17" s="4" t="n">
        <f aca="false">-I6*Assumptions!I32/100</f>
        <v>-190.531553219878</v>
      </c>
      <c r="J17" s="4" t="n">
        <f aca="false">-J6*Assumptions!J32/100</f>
        <v>-188.236514056093</v>
      </c>
      <c r="K17" s="4" t="n">
        <f aca="false">-K6*Assumptions!K32/100</f>
        <v>-184.651056645501</v>
      </c>
      <c r="L17" s="4" t="n">
        <f aca="false">-L6*Assumptions!L32/100</f>
        <v>-189.267333061638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-18.2925</v>
      </c>
      <c r="D18" s="4" t="n">
        <f aca="false">(D6-C6)*Assumptions!$B$37/100</f>
        <v>-23.04855</v>
      </c>
      <c r="E18" s="4" t="n">
        <f aca="false">(E6-D6)*Assumptions!$B$37/100</f>
        <v>-24.431463</v>
      </c>
      <c r="F18" s="4" t="n">
        <f aca="false">(F6-E6)*Assumptions!$B$37/100</f>
        <v>-23.739238215</v>
      </c>
      <c r="G18" s="4" t="n">
        <f aca="false">(G6-F6)*Assumptions!$B$37/100</f>
        <v>-22.76808756075</v>
      </c>
      <c r="H18" s="4" t="n">
        <f aca="false">(H6-G6)*Assumptions!$B$37/100</f>
        <v>-21.5158427449087</v>
      </c>
      <c r="I18" s="4" t="n">
        <f aca="false">(I6-H6)*Assumptions!$B$37/100</f>
        <v>-19.9858272608264</v>
      </c>
      <c r="J18" s="4" t="n">
        <f aca="false">(J6-I6)*Assumptions!$B$37/100</f>
        <v>-18.187102807352</v>
      </c>
      <c r="K18" s="4" t="n">
        <f aca="false">(K6-J6)*Assumptions!$B$37/100</f>
        <v>-16.1345583476651</v>
      </c>
      <c r="L18" s="4" t="n">
        <f aca="false">(L6-K6)*Assumptions!$B$37/100</f>
        <v>-13.8488292484125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300.60979875</v>
      </c>
      <c r="D19" s="0" t="n">
        <f aca="false">D15+D16+D17+D18</f>
        <v>345.0521592</v>
      </c>
      <c r="E19" s="0" t="n">
        <f aca="false">E15+E16+E17+E18</f>
        <v>402.587076528</v>
      </c>
      <c r="F19" s="0" t="n">
        <f aca="false">F15+F16+F17+F18</f>
        <v>446.406591189447</v>
      </c>
      <c r="G19" s="0" t="n">
        <f aca="false">G15+G16+G17+G18</f>
        <v>479.714497669978</v>
      </c>
      <c r="H19" s="0" t="n">
        <f aca="false">H15+H16+H17+H18</f>
        <v>516.002981435016</v>
      </c>
      <c r="I19" s="0" t="n">
        <f aca="false">I15+I16+I17+I18</f>
        <v>548.491043346118</v>
      </c>
      <c r="J19" s="0" t="n">
        <f aca="false">J15+J16+J17+J18</f>
        <v>579.974757001753</v>
      </c>
      <c r="K19" s="0" t="n">
        <f aca="false">K15+K16+K17+K18</f>
        <v>609.204710087988</v>
      </c>
      <c r="L19" s="0" t="n">
        <f aca="false">L15+L16+L17+L18</f>
        <v>627.123920898132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278.34240625</v>
      </c>
      <c r="D21" s="0" t="n">
        <f aca="false">D19*D20</f>
        <v>295.826611111111</v>
      </c>
      <c r="E21" s="0" t="n">
        <f aca="false">E19*E20</f>
        <v>319.586601165981</v>
      </c>
      <c r="F21" s="0" t="n">
        <f aca="false">F19*F20</f>
        <v>328.122171009346</v>
      </c>
      <c r="G21" s="0" t="n">
        <f aca="false">G19*G20</f>
        <v>326.485626487675</v>
      </c>
      <c r="H21" s="0" t="n">
        <f aca="false">H19*H20</f>
        <v>325.169406281474</v>
      </c>
      <c r="I21" s="0" t="n">
        <f aca="false">I19*I20</f>
        <v>320.039255679767</v>
      </c>
      <c r="J21" s="0" t="n">
        <f aca="false">J19*J20</f>
        <v>313.342315004641</v>
      </c>
      <c r="K21" s="0" t="n">
        <f aca="false">K19*K20</f>
        <v>304.754026993136</v>
      </c>
      <c r="L21" s="0" t="n">
        <f aca="false">L19*L20</f>
        <v>290.479716382149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-33.29235</v>
      </c>
      <c r="D24" s="0" t="n">
        <f aca="false">-D6*D23/100</f>
        <v>-35.289891</v>
      </c>
      <c r="E24" s="0" t="n">
        <f aca="false">-E6*E23/100</f>
        <v>-37.40728446</v>
      </c>
      <c r="F24" s="0" t="n">
        <f aca="false">-F6*F23/100</f>
        <v>-39.4646851053</v>
      </c>
      <c r="G24" s="0" t="n">
        <f aca="false">-G6*G23/100</f>
        <v>-41.437919360565</v>
      </c>
      <c r="H24" s="0" t="n">
        <f aca="false">-H6*H23/100</f>
        <v>-43.3026257317904</v>
      </c>
      <c r="I24" s="0" t="n">
        <f aca="false">-I6*I23/100</f>
        <v>-45.034730761062</v>
      </c>
      <c r="J24" s="0" t="n">
        <f aca="false">-J6*J23/100</f>
        <v>-46.6109463376992</v>
      </c>
      <c r="K24" s="0" t="n">
        <f aca="false">-K6*K23/100</f>
        <v>-48.0092747278302</v>
      </c>
      <c r="L24" s="0" t="n">
        <f aca="false">-L6*L23/100</f>
        <v>-49.2095065960259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3102.14813636528</v>
      </c>
    </row>
    <row r="31" customFormat="false" ht="15" hidden="false" customHeight="false" outlineLevel="0" collapsed="false">
      <c r="A31" s="0" t="s">
        <v>128</v>
      </c>
      <c r="B31" s="0" t="n">
        <f aca="false">L19</f>
        <v>627.123920898132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11687.3094349197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11288.2305761664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11288.2305761664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5228.63489487868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8330.78303124396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6737.78303124396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259.726344566453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0.180574293483878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224.151568797046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326.760294857595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280.962754801363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5142.41615136468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73.4698804116936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5.5</v>
      </c>
      <c r="D5" s="4" t="n">
        <f aca="false">Assumptions!D41</f>
        <v>7.5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2439</v>
      </c>
      <c r="C6" s="0" t="n">
        <f aca="false">B6*(1+C5/100)</f>
        <v>2573.145</v>
      </c>
      <c r="D6" s="0" t="n">
        <f aca="false">C6*(1+D5/100)</f>
        <v>2766.130875</v>
      </c>
      <c r="E6" s="0" t="n">
        <f aca="false">D6*(1+E5/100)</f>
        <v>2973.590690625</v>
      </c>
      <c r="F6" s="0" t="n">
        <f aca="false">E6*(1+F5/100)</f>
        <v>3181.74203896875</v>
      </c>
      <c r="G6" s="0" t="n">
        <f aca="false">F6*(1+G5/100)</f>
        <v>3388.55527150172</v>
      </c>
      <c r="H6" s="0" t="n">
        <f aca="false">G6*(1+H5/100)</f>
        <v>3591.86858779182</v>
      </c>
      <c r="I6" s="0" t="n">
        <f aca="false">H6*(1+I5/100)</f>
        <v>3771.46201718141</v>
      </c>
      <c r="J6" s="0" t="n">
        <f aca="false">I6*(1+J5/100)</f>
        <v>3941.17780795458</v>
      </c>
      <c r="K6" s="0" t="n">
        <f aca="false">J6*(1+K5/100)</f>
        <v>4098.82492027276</v>
      </c>
      <c r="L6" s="0" t="n">
        <f aca="false">K6*(1+L5/100)</f>
        <v>4242.28379248231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27.3</v>
      </c>
      <c r="D7" s="4" t="n">
        <f aca="false">Assumptions!D42</f>
        <v>28.6</v>
      </c>
      <c r="E7" s="4" t="n">
        <f aca="false">Assumptions!E42</f>
        <v>29.6</v>
      </c>
      <c r="F7" s="4" t="n">
        <f aca="false">Assumptions!F42</f>
        <v>30.3</v>
      </c>
      <c r="G7" s="4" t="n">
        <f aca="false">Assumptions!G42</f>
        <v>30.8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44</v>
      </c>
      <c r="C8" s="0" t="n">
        <f aca="false">C6*C7/100</f>
        <v>702.468585</v>
      </c>
      <c r="D8" s="0" t="n">
        <f aca="false">D6*D7/100</f>
        <v>791.11343025</v>
      </c>
      <c r="E8" s="0" t="n">
        <f aca="false">E6*E7/100</f>
        <v>880.182844425</v>
      </c>
      <c r="F8" s="0" t="n">
        <f aca="false">F6*F7/100</f>
        <v>964.067837807531</v>
      </c>
      <c r="G8" s="0" t="n">
        <f aca="false">G6*G7/100</f>
        <v>1043.67502362253</v>
      </c>
      <c r="H8" s="0" t="n">
        <f aca="false">H6*H7/100</f>
        <v>1113.47926221546</v>
      </c>
      <c r="I8" s="0" t="n">
        <f aca="false">I6*I7/100</f>
        <v>1169.15322532624</v>
      </c>
      <c r="J8" s="0" t="n">
        <f aca="false">J6*J7/100</f>
        <v>1221.76512046592</v>
      </c>
      <c r="K8" s="0" t="n">
        <f aca="false">K6*K7/100</f>
        <v>1270.63572528456</v>
      </c>
      <c r="L8" s="0" t="n">
        <f aca="false">L6*L7/100</f>
        <v>1315.10797566951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-29.5911675</v>
      </c>
      <c r="D10" s="0" t="n">
        <f aca="false">-D6*D9/100</f>
        <v>-31.8105050625</v>
      </c>
      <c r="E10" s="0" t="n">
        <f aca="false">-E6*E9/100</f>
        <v>-32.709497596875</v>
      </c>
      <c r="F10" s="0" t="n">
        <f aca="false">-F6*F9/100</f>
        <v>-34.9991624286563</v>
      </c>
      <c r="G10" s="0" t="n">
        <f aca="false">-G6*G9/100</f>
        <v>-37.2741079865189</v>
      </c>
      <c r="H10" s="0" t="n">
        <f aca="false">-H6*H9/100</f>
        <v>-35.9186858779182</v>
      </c>
      <c r="I10" s="0" t="n">
        <f aca="false">-I6*I9/100</f>
        <v>-37.7146201718141</v>
      </c>
      <c r="J10" s="0" t="n">
        <f aca="false">-J6*J9/100</f>
        <v>-39.4117780795458</v>
      </c>
      <c r="K10" s="0" t="n">
        <f aca="false">-K6*K9/100</f>
        <v>-40.9882492027276</v>
      </c>
      <c r="L10" s="0" t="n">
        <f aca="false">-L6*L9/100</f>
        <v>-42.4228379248231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639.4265325</v>
      </c>
      <c r="D11" s="0" t="n">
        <f aca="false">D8+D10+D24</f>
        <v>723.3432238125</v>
      </c>
      <c r="E11" s="0" t="n">
        <f aca="false">E8+E10+E24</f>
        <v>808.81666785</v>
      </c>
      <c r="F11" s="0" t="n">
        <f aca="false">F8+F10+F24</f>
        <v>887.706028872281</v>
      </c>
      <c r="G11" s="0" t="n">
        <f aca="false">G8+G10+G24</f>
        <v>962.349697106488</v>
      </c>
      <c r="H11" s="0" t="n">
        <f aca="false">H8+H10+H24</f>
        <v>1030.86628469625</v>
      </c>
      <c r="I11" s="0" t="n">
        <f aca="false">I8+I10+I24</f>
        <v>1082.40959893107</v>
      </c>
      <c r="J11" s="0" t="n">
        <f aca="false">J8+J10+J24</f>
        <v>1131.11803088296</v>
      </c>
      <c r="K11" s="0" t="n">
        <f aca="false">K8+K10+K24</f>
        <v>1176.36275211828</v>
      </c>
      <c r="L11" s="0" t="n">
        <f aca="false">L8+L10+L24</f>
        <v>1217.53544844242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-72.04806</v>
      </c>
      <c r="D12" s="4" t="n">
        <f aca="false">-D6*Assumptions!D45/100</f>
        <v>-85.750057125</v>
      </c>
      <c r="E12" s="4" t="n">
        <f aca="false">-E6*Assumptions!E45/100</f>
        <v>-101.10208348125</v>
      </c>
      <c r="F12" s="4" t="n">
        <f aca="false">-F6*Assumptions!F45/100</f>
        <v>-117.724455441844</v>
      </c>
      <c r="G12" s="4" t="n">
        <f aca="false">-G6*Assumptions!G45/100</f>
        <v>-132.153655588567</v>
      </c>
      <c r="H12" s="4" t="n">
        <f aca="false">-H6*Assumptions!H45/100</f>
        <v>-147.266612099465</v>
      </c>
      <c r="I12" s="4" t="n">
        <f aca="false">-I6*Assumptions!I45/100</f>
        <v>-158.401404721619</v>
      </c>
      <c r="J12" s="4" t="n">
        <f aca="false">-J6*Assumptions!J45/100</f>
        <v>-169.470645742047</v>
      </c>
      <c r="K12" s="4" t="n">
        <f aca="false">-K6*Assumptions!K45/100</f>
        <v>-176.249471571729</v>
      </c>
      <c r="L12" s="4" t="n">
        <f aca="false">-L6*Assumptions!L45/100</f>
        <v>-182.418203076739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567.3784725</v>
      </c>
      <c r="D13" s="0" t="n">
        <f aca="false">D11+D12</f>
        <v>637.5931666875</v>
      </c>
      <c r="E13" s="0" t="n">
        <f aca="false">E11+E12</f>
        <v>707.71458436875</v>
      </c>
      <c r="F13" s="0" t="n">
        <f aca="false">F11+F12</f>
        <v>769.981573430438</v>
      </c>
      <c r="G13" s="0" t="n">
        <f aca="false">G11+G12</f>
        <v>830.196041517921</v>
      </c>
      <c r="H13" s="0" t="n">
        <f aca="false">H11+H12</f>
        <v>883.599672596788</v>
      </c>
      <c r="I13" s="0" t="n">
        <f aca="false">I11+I12</f>
        <v>924.008194209446</v>
      </c>
      <c r="J13" s="0" t="n">
        <f aca="false">J11+J12</f>
        <v>961.647385140917</v>
      </c>
      <c r="K13" s="0" t="n">
        <f aca="false">K11+K12</f>
        <v>1000.11328054655</v>
      </c>
      <c r="L13" s="0" t="n">
        <f aca="false">L11+L12</f>
        <v>1035.11724536568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17</v>
      </c>
      <c r="D14" s="4" t="n">
        <f aca="false">Assumptions!D47</f>
        <v>20</v>
      </c>
      <c r="E14" s="4" t="n">
        <f aca="false">Assumptions!E47</f>
        <v>22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470.924132175</v>
      </c>
      <c r="D15" s="0" t="n">
        <f aca="false">D13-MAX(0,D13)*D14/100</f>
        <v>510.07453335</v>
      </c>
      <c r="E15" s="0" t="n">
        <f aca="false">E13-MAX(0,E13)*E14/100</f>
        <v>552.017375807625</v>
      </c>
      <c r="F15" s="0" t="n">
        <f aca="false">F13-MAX(0,F13)*F14/100</f>
        <v>592.885811541437</v>
      </c>
      <c r="G15" s="0" t="n">
        <f aca="false">G13-MAX(0,G13)*G14/100</f>
        <v>639.250951968799</v>
      </c>
      <c r="H15" s="0" t="n">
        <f aca="false">H13-MAX(0,H13)*H14/100</f>
        <v>680.371747899527</v>
      </c>
      <c r="I15" s="0" t="n">
        <f aca="false">I13-MAX(0,I13)*I14/100</f>
        <v>711.486309541273</v>
      </c>
      <c r="J15" s="0" t="n">
        <f aca="false">J13-MAX(0,J13)*J14/100</f>
        <v>740.468486558506</v>
      </c>
      <c r="K15" s="0" t="n">
        <f aca="false">K13-MAX(0,K13)*K14/100</f>
        <v>770.087226020846</v>
      </c>
      <c r="L15" s="0" t="n">
        <f aca="false">L13-MAX(0,L13)*L14/100</f>
        <v>797.040278931576</v>
      </c>
    </row>
    <row r="16" customFormat="false" ht="15" hidden="false" customHeight="false" outlineLevel="0" collapsed="false">
      <c r="A16" s="0" t="s">
        <v>119</v>
      </c>
      <c r="C16" s="0" t="n">
        <f aca="false">-C12</f>
        <v>72.04806</v>
      </c>
      <c r="D16" s="0" t="n">
        <f aca="false">-D12</f>
        <v>85.750057125</v>
      </c>
      <c r="E16" s="0" t="n">
        <f aca="false">-E12</f>
        <v>101.10208348125</v>
      </c>
      <c r="F16" s="0" t="n">
        <f aca="false">-F12</f>
        <v>117.724455441844</v>
      </c>
      <c r="G16" s="0" t="n">
        <f aca="false">-G12</f>
        <v>132.153655588567</v>
      </c>
      <c r="H16" s="0" t="n">
        <f aca="false">-H12</f>
        <v>147.266612099465</v>
      </c>
      <c r="I16" s="0" t="n">
        <f aca="false">-I12</f>
        <v>158.401404721619</v>
      </c>
      <c r="J16" s="0" t="n">
        <f aca="false">-J12</f>
        <v>169.470645742047</v>
      </c>
      <c r="K16" s="0" t="n">
        <f aca="false">-K12</f>
        <v>176.249471571729</v>
      </c>
      <c r="L16" s="0" t="n">
        <f aca="false">-L12</f>
        <v>182.418203076739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-216.14418</v>
      </c>
      <c r="D17" s="4" t="n">
        <f aca="false">-D6*Assumptions!D46/100</f>
        <v>-201.927553875</v>
      </c>
      <c r="E17" s="4" t="n">
        <f aca="false">-E6*Assumptions!E46/100</f>
        <v>-187.336213509375</v>
      </c>
      <c r="F17" s="4" t="n">
        <f aca="false">-F6*Assumptions!F46/100</f>
        <v>-184.541038260188</v>
      </c>
      <c r="G17" s="4" t="n">
        <f aca="false">-G6*Assumptions!G46/100</f>
        <v>-189.759095204096</v>
      </c>
      <c r="H17" s="4" t="n">
        <f aca="false">-H6*Assumptions!H46/100</f>
        <v>-193.960903740758</v>
      </c>
      <c r="I17" s="4" t="n">
        <f aca="false">-I6*Assumptions!I46/100</f>
        <v>-196.116024893433</v>
      </c>
      <c r="J17" s="4" t="n">
        <f aca="false">-J6*Assumptions!J46/100</f>
        <v>-197.058890397729</v>
      </c>
      <c r="K17" s="4" t="n">
        <f aca="false">-K6*Assumptions!K46/100</f>
        <v>-204.941246013638</v>
      </c>
      <c r="L17" s="4" t="n">
        <f aca="false">-L6*Assumptions!L46/100</f>
        <v>-212.114189624115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-20.12175</v>
      </c>
      <c r="D18" s="4" t="n">
        <f aca="false">(D6-C6)*Assumptions!$B$51/100</f>
        <v>-28.94788125</v>
      </c>
      <c r="E18" s="4" t="n">
        <f aca="false">(E6-D6)*Assumptions!$B$51/100</f>
        <v>-31.11897234375</v>
      </c>
      <c r="F18" s="4" t="n">
        <f aca="false">(F6-E6)*Assumptions!$B$51/100</f>
        <v>-31.2227022515625</v>
      </c>
      <c r="G18" s="4" t="n">
        <f aca="false">(G6-F6)*Assumptions!$B$51/100</f>
        <v>-31.0219848799453</v>
      </c>
      <c r="H18" s="4" t="n">
        <f aca="false">(H6-G6)*Assumptions!$B$51/100</f>
        <v>-30.4969974435155</v>
      </c>
      <c r="I18" s="4" t="n">
        <f aca="false">(I6-H6)*Assumptions!$B$51/100</f>
        <v>-26.9390144084387</v>
      </c>
      <c r="J18" s="4" t="n">
        <f aca="false">(J6-I6)*Assumptions!$B$51/100</f>
        <v>-25.4573686159745</v>
      </c>
      <c r="K18" s="4" t="n">
        <f aca="false">(K6-J6)*Assumptions!$B$51/100</f>
        <v>-23.6470668477275</v>
      </c>
      <c r="L18" s="4" t="n">
        <f aca="false">(L6-K6)*Assumptions!$B$51/100</f>
        <v>-21.5188308314319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306.706262175</v>
      </c>
      <c r="D19" s="0" t="n">
        <f aca="false">D15+D16+D17+D18</f>
        <v>364.94915535</v>
      </c>
      <c r="E19" s="0" t="n">
        <f aca="false">E15+E16+E17+E18</f>
        <v>434.66427343575</v>
      </c>
      <c r="F19" s="0" t="n">
        <f aca="false">F15+F16+F17+F18</f>
        <v>494.846526471531</v>
      </c>
      <c r="G19" s="0" t="n">
        <f aca="false">G15+G16+G17+G18</f>
        <v>550.623527473325</v>
      </c>
      <c r="H19" s="0" t="n">
        <f aca="false">H15+H16+H17+H18</f>
        <v>603.180458814718</v>
      </c>
      <c r="I19" s="0" t="n">
        <f aca="false">I15+I16+I17+I18</f>
        <v>646.832674961021</v>
      </c>
      <c r="J19" s="0" t="n">
        <f aca="false">J15+J16+J17+J18</f>
        <v>687.422873286849</v>
      </c>
      <c r="K19" s="0" t="n">
        <f aca="false">K15+K16+K17+K18</f>
        <v>717.748384731209</v>
      </c>
      <c r="L19" s="0" t="n">
        <f aca="false">L15+L16+L17+L18</f>
        <v>745.825461552768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283.987279791667</v>
      </c>
      <c r="D21" s="0" t="n">
        <f aca="false">D19*D20</f>
        <v>312.885078317901</v>
      </c>
      <c r="E21" s="0" t="n">
        <f aca="false">E19*E20</f>
        <v>345.050514272905</v>
      </c>
      <c r="F21" s="0" t="n">
        <f aca="false">F19*F20</f>
        <v>363.726969509205</v>
      </c>
      <c r="G21" s="0" t="n">
        <f aca="false">G19*G20</f>
        <v>374.745120689798</v>
      </c>
      <c r="H21" s="0" t="n">
        <f aca="false">H19*H20</f>
        <v>380.10600467445</v>
      </c>
      <c r="I21" s="0" t="n">
        <f aca="false">I19*I20</f>
        <v>377.420653181469</v>
      </c>
      <c r="J21" s="0" t="n">
        <f aca="false">J19*J20</f>
        <v>371.393188931829</v>
      </c>
      <c r="K21" s="0" t="n">
        <f aca="false">K19*K20</f>
        <v>359.05288812206</v>
      </c>
      <c r="L21" s="0" t="n">
        <f aca="false">L19*L20</f>
        <v>345.461497038996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-33.450885</v>
      </c>
      <c r="D24" s="0" t="n">
        <f aca="false">-D6*D23/100</f>
        <v>-35.959701375</v>
      </c>
      <c r="E24" s="0" t="n">
        <f aca="false">-E6*E23/100</f>
        <v>-38.656678978125</v>
      </c>
      <c r="F24" s="0" t="n">
        <f aca="false">-F6*F23/100</f>
        <v>-41.3626465065938</v>
      </c>
      <c r="G24" s="0" t="n">
        <f aca="false">-G6*G23/100</f>
        <v>-44.0512185295223</v>
      </c>
      <c r="H24" s="0" t="n">
        <f aca="false">-H6*H23/100</f>
        <v>-46.6942916412937</v>
      </c>
      <c r="I24" s="0" t="n">
        <f aca="false">-I6*I23/100</f>
        <v>-49.0290062233584</v>
      </c>
      <c r="J24" s="0" t="n">
        <f aca="false">-J6*J23/100</f>
        <v>-51.2353115034095</v>
      </c>
      <c r="K24" s="0" t="n">
        <f aca="false">-K6*K23/100</f>
        <v>-53.2847239635459</v>
      </c>
      <c r="L24" s="0" t="n">
        <f aca="false">-L6*L23/100</f>
        <v>-55.14968930227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3513.82919453028</v>
      </c>
    </row>
    <row r="31" customFormat="false" ht="15" hidden="false" customHeight="false" outlineLevel="0" collapsed="false">
      <c r="A31" s="0" t="s">
        <v>128</v>
      </c>
      <c r="B31" s="0" t="n">
        <f aca="false">L19</f>
        <v>745.825461552768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15364.004507987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14916.5092310554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14916.5092310554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6909.22994077992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10423.0591353102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8830.0591353102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340.378871044816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0.547176686567344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237.819277107455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404.78963482071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365.149995746662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6401.66854499459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96.0448295070936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152.473808537906</v>
      </c>
      <c r="C4" s="0" t="n">
        <f aca="false">B4/Assumptions!$B$2-1</f>
        <v>-0.306937233918608</v>
      </c>
      <c r="D4" s="4" t="n">
        <f aca="false">Assumptions!$B$24</f>
        <v>0.25</v>
      </c>
      <c r="E4" s="4" t="n">
        <f aca="false">DCF_Bear!$B$43</f>
        <v>171.546972898355</v>
      </c>
      <c r="F4" s="4" t="n">
        <f aca="false">DCF_Bear!$B$47</f>
        <v>39.4067180328708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259.726344566453</v>
      </c>
      <c r="C5" s="0" t="n">
        <f aca="false">B5/Assumptions!$B$2-1</f>
        <v>0.180574293483878</v>
      </c>
      <c r="D5" s="4" t="n">
        <f aca="false">Assumptions!$B$38</f>
        <v>0.5</v>
      </c>
      <c r="E5" s="4" t="n">
        <f aca="false">DCF_Base!$B$43</f>
        <v>280.962754801363</v>
      </c>
      <c r="F5" s="4" t="n">
        <f aca="false">DCF_Base!$B$47</f>
        <v>73.4698804116936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340.378871044816</v>
      </c>
      <c r="C6" s="0" t="n">
        <f aca="false">B6/Assumptions!$B$2-1</f>
        <v>0.547176686567344</v>
      </c>
      <c r="D6" s="4" t="n">
        <f aca="false">Assumptions!$B$52</f>
        <v>0.25</v>
      </c>
      <c r="E6" s="4" t="n">
        <f aca="false">DCF_Bull!$B$43</f>
        <v>365.149995746662</v>
      </c>
      <c r="F6" s="4" t="n">
        <f aca="false">DCF_Bull!$B$47</f>
        <v>96.0448295070936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253.076342178907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274.655619561936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0.13069709279868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-153.278265957693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70.5978270908379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259.726344566453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213.308930279077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174.177966499962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144.364590163146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120.919943356529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73.4698804116936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314.328246446981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314.328246446981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314.328246446981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314.328246446981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314.328246446981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285.717227394645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285.717227394645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285.717227394645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285.717227394645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285.717227394645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233.024999773956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248.529006427664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259.726344566453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259.726344566453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259.726344566453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190.477177847942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201.077634333826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213.308930279077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227.578775548536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236.088316305554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158.096042972579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165.63444462604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174.177966499962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183.941991498731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195.208174189618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2026-10-09T23:04:57Z</dcterms:created>
  <dc:creator>openpyxl</dc:creator>
  <dc:description/>
  <dc:language>en-NZ</dc:language>
  <cp:lastModifiedBy/>
  <dcterms:modified xsi:type="dcterms:W3CDTF">2026-10-09T23:04:57Z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