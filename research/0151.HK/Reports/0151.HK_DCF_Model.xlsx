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<sst xmlns="http://schemas.openxmlformats.org/spreadsheetml/2006/main" count="357" uniqueCount="166">
  <si>
    <t xml:space="preserve">Ticker</t>
  </si>
  <si>
    <t xml:space="preserve">0151.HK</t>
  </si>
  <si>
    <t xml:space="preserve">Company</t>
  </si>
  <si>
    <t xml:space="preserve">Want Want China Holdings Limited</t>
  </si>
  <si>
    <t xml:space="preserve">Valuation date</t>
  </si>
  <si>
    <t xml:space="preserve">2026-10-11</t>
  </si>
  <si>
    <t xml:space="preserve">Current price</t>
  </si>
  <si>
    <t xml:space="preserve">Price as of</t>
  </si>
  <si>
    <t xml:space="preserve">2026-10-09T08:08:05Z regular close (HKEX)</t>
  </si>
  <si>
    <t xml:space="preserve">Balance sheet date</t>
  </si>
  <si>
    <t xml:space="preserve">2026-03-31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</si>
  <si>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</si>
  <si>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</si>
  <si>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</si>
  <si>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</si>
  <si>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</si>
  <si>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</si>
  <si>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</si>
  <si>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</si>
  <si>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</si>
  <si>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</si>
  <si>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</si>
  <si>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2026-10-10T22:37:47Z</t>
  </si>
  <si>
    <t xml:space="preserve">Drivers file</t>
  </si>
  <si>
    <t xml:space="preserve">0151.HK_Drivers.json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</si>
  <si>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</si>
  <si>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</si>
  <si>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</si>
  <si>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Cheap but decelerating. At the current price the market capitalisation is roughly twice RMB13.2bn of net cash, so the operating business is priced at roughly 4.5-5x owner FCF. The DCF says even a no-growth, lower-margin path is worth more than that; the gap is the market's discount for (i) structural channel decline and (ii) a controlling family that has chosen to retain rather than distribute the cash pile. The model carries the cash at face - the bear case is a flows case, not a cash-haircut case.
key_risks_to_valuation: Cash pile valued at face: if the controlling shareholder keeps retaining cash (payout cut to ~30%) and reinvests it at low returns, minority holders will not realise RMB13.2bn; a 50% haircut removes ~RMB0.56/share (~HK$0.66).; Structural channel disruption: legacy wholesale/modern trade (70-80% of revenue) declining high-single-digit as discount snack chains and e-commerce take share.; Unhedged input costs (whole milk powder, palm oil, sugar) drove gross margin -1.3pp in FY2026 and -1.1pp in H1 FY2026.; Repatriation: most cash and profit is in PRC subsidiaries; dividends upstream bear withholding tax (5-10%), only partly captured in the 25.5% cash-tax rate.; CNY/HKD: the HKD value moves one-for-one with the RMB; CNY has appreciated ~6% against HKD over the past year, which flatters the HKD conversion.</t>
  </si>
  <si>
    <t xml:space="preserve">Data sources</t>
  </si>
  <si>
    <t xml:space="preserve">price: Yahoo Finance chart API at inputs.price_as_of; 52-week range 2.675-5.35 HKD
fx: Yahoo CNYHKD=X, cross-checked against HKD=X and CNY=X
financials: 0151.HK_Annual_FY2026.txt (balance sheet, income statement, cash flow, Notes 9/23/24/26/30), 0151.HK_Metrics.csv FY2018-FY2026
qualitative: 0151.HK_Analysis.json (2026-10-11)</t>
  </si>
  <si>
    <t xml:space="preserve">Scenario narrative: bear</t>
  </si>
  <si>
    <t xml:space="preserve">Structural share loss: legacy wholesale shrinks faster than snack-retail and e-commerce grow, revenue falls ~1%/yr for five years and EBITDA margin settles at 19% under promotional pressure from discount chains and private label.</t>
  </si>
  <si>
    <t xml:space="preserve">Scenario narrative: base</t>
  </si>
  <si>
    <t xml:space="preserve">Mature, ex-growth Chinese FMCG brand house: ~2% revenue growth decaying to 1%, margin compression stops at ~22% EBITDA and partially recovers to 23.5% (below the FY2022-25 average) as input costs stabilise but channel-transition spending persists.</t>
  </si>
  <si>
    <t xml:space="preserve">Scenario narrative: bull</t>
  </si>
  <si>
    <t xml:space="preserve">Channel transition succeeds and commodities ease: emerging channels plus overseas lift growth to 4-4.5%, gross margin rebuilds and EBITDA margin returns to ~26%.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</si>
  <si>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</si>
  <si>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</si>
  <si>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</si>
  <si>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</si>
  <si>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</si>
  <si>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</si>
  <si>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</si>
  <si>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</si>
  <si>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</si>
  <si>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</si>
  <si>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</si>
  <si>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</si>
  <si>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</si>
  <si>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</si>
  <si>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</si>
  <si>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</si>
  <si>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</si>
  <si>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</si>
  <si>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</si>
  <si>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</si>
  <si>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</si>
  <si>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</si>
  <si>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</si>
  <si>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</si>
  <si>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</si>
  <si>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</si>
  <si>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</si>
  <si>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</si>
  <si>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</si>
  <si>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</si>
  <si>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</si>
  <si>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</si>
  <si>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</si>
  <si>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</si>
  <si>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</si>
  <si>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</si>
  <si>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</si>
  <si>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</si>
  <si>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</si>
  <si>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</si>
  <si>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</si>
  <si>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</si>
  <si>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</si>
  <si>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</si>
  <si>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</si>
  <si>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 (year ended 31 March 2026; the company labels it '2025FY')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</si>
  <si>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</si>
  <si>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</si>
  <si>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</si>
  <si>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</si>
  <si>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</si>
  <si>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</si>
  <si>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</si>
  <si>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</si>
  <si>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</si>
  <si>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</si>
  <si>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</si>
  <si>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</si>
  <si>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</si>
  <si>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</si>
  <si>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</si>
  <si>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</si>
  <si>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</si>
  <si>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</si>
  <si>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</si>
  <si>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</si>
  <si>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</si>
  <si>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</si>
  <si>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</si>
  <si>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</si>
  <si>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</si>
  <si>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</si>
  <si>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</si>
  <si>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</si>
  <si>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0151.HK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</si>
  <si>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</si>
  <si>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</si>
  <si>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</si>
  <si>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</si>
  <si>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</si>
  <si>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</si>
  <si>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</si>
  <si>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</si>
  <si>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</si>
  <si>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</si>
  <si>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</si>
  <si>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</si>
  <si>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</si>
  <si>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</si>
  <si>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</si>
  <si>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</si>
  <si>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</si>
  <si>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</si>
  <si>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</si>
  <si>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</si>
  <si>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</si>
  <si>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</si>
  <si>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</si>
  <si>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</si>
  <si>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</si>
  <si>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</si>
  <si>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</si>
  <si>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</si>
  <si>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</si>
  <si>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</si>
  <si>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0151.HK owner-FCF component DCF: base case (millions, CNY)</t>
  </si>
  <si>
    <t xml:space="preserve">0151.HK owner-FCF component DCF: bull case (millions, CNY)</t>
  </si>
  <si>
    <t xml:space="preserve">0151.HK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</si>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</sst>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2.82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46.2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20149.781</v>
      </c>
      <c r="C2" s="0" t="n">
        <v>11539.379</v>
      </c>
      <c r="D2" s="0" t="n">
        <v>8610.402</v>
      </c>
      <c r="E2" s="0" t="n">
        <v>42.7</v>
      </c>
      <c r="F2" s="0" t="n">
        <v>4192.076</v>
      </c>
      <c r="G2" s="0" t="n">
        <v>20.8</v>
      </c>
      <c r="I2" s="0" t="n">
        <v>3115.834</v>
      </c>
      <c r="J2" s="0" t="n">
        <v>15.5</v>
      </c>
      <c r="K2" s="0" t="n">
        <v>0.2493</v>
      </c>
      <c r="O2" s="0" t="n">
        <v>14488.197</v>
      </c>
      <c r="P2" s="0" t="n">
        <v>26683.103</v>
      </c>
      <c r="Q2" s="0" t="n">
        <v>12072.203</v>
      </c>
      <c r="R2" s="0" t="n">
        <v>6904.113</v>
      </c>
      <c r="S2" s="0" t="n">
        <v>12499.692</v>
      </c>
      <c r="T2" s="0" t="n">
        <v>12498.3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20712.027</v>
      </c>
      <c r="C3" s="0" t="n">
        <v>11311.856</v>
      </c>
      <c r="D3" s="0" t="n">
        <v>9400.171</v>
      </c>
      <c r="E3" s="0" t="n">
        <v>45.4</v>
      </c>
      <c r="F3" s="0" t="n">
        <v>4586.483</v>
      </c>
      <c r="G3" s="0" t="n">
        <v>22.1</v>
      </c>
      <c r="I3" s="0" t="n">
        <v>3476.599</v>
      </c>
      <c r="J3" s="0" t="n">
        <v>16.8</v>
      </c>
      <c r="K3" s="0" t="n">
        <v>0.2793</v>
      </c>
      <c r="L3" s="0" t="n">
        <v>4353.231</v>
      </c>
      <c r="M3" s="0" t="n">
        <v>381.812</v>
      </c>
      <c r="N3" s="0" t="n">
        <v>3971.419</v>
      </c>
      <c r="O3" s="0" t="n">
        <v>15362.29</v>
      </c>
      <c r="P3" s="0" t="n">
        <v>29874.405</v>
      </c>
      <c r="Q3" s="0" t="n">
        <v>14414.578</v>
      </c>
      <c r="R3" s="0" t="n">
        <v>9517.36</v>
      </c>
      <c r="S3" s="0" t="n">
        <v>17160.428</v>
      </c>
      <c r="T3" s="0" t="n">
        <v>12449.3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20094.531</v>
      </c>
      <c r="C4" s="0" t="n">
        <v>10439.499</v>
      </c>
      <c r="D4" s="0" t="n">
        <v>9655.032</v>
      </c>
      <c r="E4" s="0" t="n">
        <v>48</v>
      </c>
      <c r="F4" s="0" t="n">
        <v>4805.934</v>
      </c>
      <c r="G4" s="0" t="n">
        <v>23.9</v>
      </c>
      <c r="I4" s="0" t="n">
        <v>3649.215</v>
      </c>
      <c r="J4" s="0" t="n">
        <v>18.2</v>
      </c>
      <c r="K4" s="0" t="n">
        <v>0.2938</v>
      </c>
      <c r="L4" s="0" t="n">
        <v>4845.332</v>
      </c>
      <c r="M4" s="0" t="n">
        <v>296.148</v>
      </c>
      <c r="N4" s="0" t="n">
        <v>4549.184</v>
      </c>
      <c r="O4" s="0" t="n">
        <v>15272.682</v>
      </c>
      <c r="P4" s="0" t="n">
        <v>29824.99</v>
      </c>
      <c r="Q4" s="0" t="n">
        <v>14470.776</v>
      </c>
      <c r="R4" s="0" t="n">
        <v>8880.651</v>
      </c>
      <c r="S4" s="0" t="n">
        <v>17256.927</v>
      </c>
      <c r="T4" s="0" t="n">
        <v>12422.3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21998.4</v>
      </c>
      <c r="C5" s="0" t="n">
        <v>11392.876</v>
      </c>
      <c r="D5" s="0" t="n">
        <v>10605.524</v>
      </c>
      <c r="E5" s="0" t="n">
        <v>48.2</v>
      </c>
      <c r="F5" s="0" t="n">
        <v>5736.178</v>
      </c>
      <c r="G5" s="0" t="n">
        <v>26.1</v>
      </c>
      <c r="I5" s="0" t="n">
        <v>4157.809</v>
      </c>
      <c r="J5" s="0" t="n">
        <v>18.9</v>
      </c>
      <c r="K5" s="0" t="n">
        <v>0.3383</v>
      </c>
      <c r="L5" s="0" t="n">
        <v>5415.568</v>
      </c>
      <c r="M5" s="0" t="n">
        <v>317.31</v>
      </c>
      <c r="N5" s="0" t="n">
        <v>5098.258</v>
      </c>
      <c r="O5" s="0" t="n">
        <v>14898.977</v>
      </c>
      <c r="P5" s="0" t="n">
        <v>31243.018</v>
      </c>
      <c r="Q5" s="0" t="n">
        <v>16271.378</v>
      </c>
      <c r="R5" s="0" t="n">
        <v>9833.112</v>
      </c>
      <c r="S5" s="0" t="n">
        <v>16081.07</v>
      </c>
      <c r="T5" s="0" t="n">
        <v>12288.6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23984.891</v>
      </c>
      <c r="C6" s="0" t="n">
        <v>13237.497</v>
      </c>
      <c r="D6" s="0" t="n">
        <v>10747.394</v>
      </c>
      <c r="E6" s="0" t="n">
        <v>44.8</v>
      </c>
      <c r="F6" s="0" t="n">
        <v>5456.813</v>
      </c>
      <c r="G6" s="0" t="n">
        <v>22.8</v>
      </c>
      <c r="I6" s="0" t="n">
        <v>4202.655</v>
      </c>
      <c r="J6" s="0" t="n">
        <v>17.5</v>
      </c>
      <c r="K6" s="0" t="n">
        <v>0.3516</v>
      </c>
      <c r="L6" s="0" t="n">
        <v>3910.453</v>
      </c>
      <c r="M6" s="0" t="n">
        <v>424.045</v>
      </c>
      <c r="N6" s="0" t="n">
        <v>3486.408</v>
      </c>
      <c r="O6" s="0" t="n">
        <v>16633.595</v>
      </c>
      <c r="P6" s="0" t="n">
        <v>29857.981</v>
      </c>
      <c r="Q6" s="0" t="n">
        <v>13149.203</v>
      </c>
      <c r="R6" s="0" t="n">
        <v>6902.214</v>
      </c>
      <c r="S6" s="0" t="n">
        <v>11265.819</v>
      </c>
      <c r="T6" s="0" t="n">
        <v>11953.2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22928.219</v>
      </c>
      <c r="C7" s="0" t="n">
        <v>12857.191</v>
      </c>
      <c r="D7" s="0" t="n">
        <v>10071.028</v>
      </c>
      <c r="E7" s="0" t="n">
        <v>43.9</v>
      </c>
      <c r="F7" s="0" t="n">
        <v>4846.711</v>
      </c>
      <c r="G7" s="0" t="n">
        <v>21.1</v>
      </c>
      <c r="I7" s="0" t="n">
        <v>3371.584</v>
      </c>
      <c r="J7" s="0" t="n">
        <v>14.7</v>
      </c>
      <c r="K7" s="0" t="n">
        <v>0.2835</v>
      </c>
      <c r="L7" s="0" t="n">
        <v>4218.709</v>
      </c>
      <c r="M7" s="0" t="n">
        <v>538.899</v>
      </c>
      <c r="N7" s="0" t="n">
        <v>3679.81</v>
      </c>
      <c r="O7" s="0" t="n">
        <v>14651.773</v>
      </c>
      <c r="P7" s="0" t="n">
        <v>25974.077</v>
      </c>
      <c r="Q7" s="0" t="n">
        <v>11270.007</v>
      </c>
      <c r="R7" s="0" t="n">
        <v>5342.321</v>
      </c>
      <c r="S7" s="0" t="n">
        <v>7907.599</v>
      </c>
      <c r="T7" s="0" t="n">
        <v>11891.2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23586.327</v>
      </c>
      <c r="C8" s="0" t="n">
        <v>12595.406</v>
      </c>
      <c r="D8" s="0" t="n">
        <v>10990.921</v>
      </c>
      <c r="E8" s="0" t="n">
        <v>46.6</v>
      </c>
      <c r="F8" s="0" t="n">
        <v>5609.825</v>
      </c>
      <c r="G8" s="0" t="n">
        <v>23.8</v>
      </c>
      <c r="I8" s="0" t="n">
        <v>3990.474</v>
      </c>
      <c r="J8" s="0" t="n">
        <v>16.9</v>
      </c>
      <c r="K8" s="0" t="n">
        <v>0.3365</v>
      </c>
      <c r="L8" s="0" t="n">
        <v>5151.44</v>
      </c>
      <c r="M8" s="0" t="n">
        <v>440.319</v>
      </c>
      <c r="N8" s="0" t="n">
        <v>4711.121</v>
      </c>
      <c r="O8" s="0" t="n">
        <v>16365.427</v>
      </c>
      <c r="P8" s="0" t="n">
        <v>27457.068</v>
      </c>
      <c r="Q8" s="0" t="n">
        <v>11051.33</v>
      </c>
      <c r="R8" s="0" t="n">
        <v>5351.124</v>
      </c>
      <c r="S8" s="0" t="n">
        <v>8421.346</v>
      </c>
      <c r="T8" s="0" t="n">
        <v>11859.7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23510.737</v>
      </c>
      <c r="C9" s="0" t="n">
        <v>12321.539</v>
      </c>
      <c r="D9" s="0" t="n">
        <v>11189.198</v>
      </c>
      <c r="E9" s="0" t="n">
        <v>47.6</v>
      </c>
      <c r="F9" s="0" t="n">
        <v>5837.435</v>
      </c>
      <c r="G9" s="0" t="n">
        <v>24.8</v>
      </c>
      <c r="I9" s="0" t="n">
        <v>4335.565</v>
      </c>
      <c r="J9" s="0" t="n">
        <v>18.4</v>
      </c>
      <c r="K9" s="0" t="n">
        <v>0.3671</v>
      </c>
      <c r="L9" s="0" t="n">
        <v>4161.62</v>
      </c>
      <c r="M9" s="0" t="n">
        <v>640.573</v>
      </c>
      <c r="N9" s="0" t="n">
        <v>3521.047</v>
      </c>
      <c r="O9" s="0" t="n">
        <v>17747.254</v>
      </c>
      <c r="P9" s="0" t="n">
        <v>27211.758</v>
      </c>
      <c r="Q9" s="0" t="n">
        <v>9460.617</v>
      </c>
      <c r="R9" s="0" t="n">
        <v>4154.749</v>
      </c>
      <c r="S9" s="0" t="n">
        <v>8346.506</v>
      </c>
      <c r="T9" s="0" t="n">
        <v>11809.8</v>
      </c>
      <c r="AA9" s="0" t="s">
        <v>18</v>
      </c>
      <c r="AB9" s="0" t="s">
        <v>14</v>
      </c>
    </row>
    <row r="10" customFormat="false" ht="15" hidden="false" customHeight="false" outlineLevel="0" collapsed="false">
      <c r="A10" s="0" t="s">
        <v>72</v>
      </c>
      <c r="B10" s="0" t="n">
        <v>24400.665</v>
      </c>
      <c r="C10" s="0" t="n">
        <v>13102.814</v>
      </c>
      <c r="D10" s="0" t="n">
        <v>11297.851</v>
      </c>
      <c r="E10" s="0" t="n">
        <v>46.3</v>
      </c>
      <c r="F10" s="0" t="n">
        <v>5020.603</v>
      </c>
      <c r="G10" s="0" t="n">
        <v>20.6</v>
      </c>
      <c r="I10" s="0" t="n">
        <v>3837.07</v>
      </c>
      <c r="J10" s="0" t="n">
        <v>15.7</v>
      </c>
      <c r="K10" s="0" t="n">
        <v>0.3251</v>
      </c>
      <c r="L10" s="0" t="n">
        <v>4525.964</v>
      </c>
      <c r="M10" s="0" t="n">
        <v>1010.482</v>
      </c>
      <c r="N10" s="0" t="n">
        <v>3515.482</v>
      </c>
      <c r="O10" s="0" t="n">
        <v>19895.818</v>
      </c>
      <c r="P10" s="0" t="n">
        <v>28601.666</v>
      </c>
      <c r="Q10" s="0" t="n">
        <v>8704.224</v>
      </c>
      <c r="R10" s="0" t="n">
        <v>2656.678</v>
      </c>
      <c r="S10" s="0" t="n">
        <v>11383.395</v>
      </c>
      <c r="T10" s="0" t="n">
        <v>11803.1</v>
      </c>
      <c r="AA10" s="0" t="s">
        <v>18</v>
      </c>
      <c r="AB1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2.82</v>
      </c>
    </row>
    <row r="3" customFormat="false" ht="15" hidden="false" customHeight="false" outlineLevel="0" collapsed="false">
      <c r="A3" s="0" t="s">
        <v>76</v>
      </c>
      <c r="B3" s="3" t="n">
        <v>11803.1</v>
      </c>
    </row>
    <row r="4" customFormat="false" ht="15" hidden="false" customHeight="false" outlineLevel="0" collapsed="false">
      <c r="A4" s="0" t="s">
        <v>77</v>
      </c>
      <c r="B4" s="3" t="n">
        <v>-13202.717</v>
      </c>
    </row>
    <row r="5" customFormat="false" ht="15" hidden="false" customHeight="false" outlineLevel="0" collapsed="false">
      <c r="A5" s="0" t="s">
        <v>78</v>
      </c>
      <c r="B5" s="3" t="n">
        <v>452.48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24400.665</v>
      </c>
    </row>
    <row r="8" customFormat="false" ht="15" hidden="false" customHeight="false" outlineLevel="0" collapsed="false">
      <c r="A8" s="0" t="s">
        <v>81</v>
      </c>
      <c r="B8" s="3" t="s">
        <v>82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1.1721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</v>
      </c>
      <c r="D13" s="3" t="n">
        <v>-1</v>
      </c>
      <c r="E13" s="3" t="n">
        <v>-1.5</v>
      </c>
      <c r="F13" s="3" t="n">
        <v>-1.5</v>
      </c>
      <c r="G13" s="3" t="n">
        <v>-1</v>
      </c>
      <c r="H13" s="3" t="n">
        <v>-1</v>
      </c>
      <c r="I13" s="3" t="n">
        <v>-0.5</v>
      </c>
      <c r="J13" s="3" t="n">
        <v>0</v>
      </c>
      <c r="K13" s="3" t="n">
        <v>0</v>
      </c>
      <c r="L13" s="3" t="n">
        <v>0</v>
      </c>
    </row>
    <row r="14" customFormat="false" ht="15" hidden="false" customHeight="false" outlineLevel="0" collapsed="false">
      <c r="A14" s="0" t="s">
        <v>98</v>
      </c>
      <c r="C14" s="3" t="n">
        <v>21</v>
      </c>
      <c r="D14" s="3" t="n">
        <v>20</v>
      </c>
      <c r="E14" s="3" t="n">
        <v>19.5</v>
      </c>
      <c r="F14" s="3" t="n">
        <v>19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99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100</v>
      </c>
      <c r="C16" s="3" t="n">
        <v>0.58</v>
      </c>
      <c r="D16" s="3" t="n">
        <v>0.58</v>
      </c>
      <c r="E16" s="3" t="n">
        <v>0.58</v>
      </c>
      <c r="F16" s="3" t="n">
        <v>0.58</v>
      </c>
      <c r="G16" s="3" t="n">
        <v>0.58</v>
      </c>
      <c r="H16" s="3" t="n">
        <v>0.58</v>
      </c>
      <c r="I16" s="3" t="n">
        <v>0.58</v>
      </c>
      <c r="J16" s="3" t="n">
        <v>0.58</v>
      </c>
      <c r="K16" s="3" t="n">
        <v>0.58</v>
      </c>
      <c r="L16" s="3" t="n">
        <v>0.58</v>
      </c>
    </row>
    <row r="17" customFormat="false" ht="15" hidden="false" customHeight="false" outlineLevel="0" collapsed="false">
      <c r="A17" s="0" t="s">
        <v>101</v>
      </c>
      <c r="C17" s="3" t="n">
        <v>2.85</v>
      </c>
      <c r="D17" s="3" t="n">
        <v>2.9</v>
      </c>
      <c r="E17" s="3" t="n">
        <v>2.9</v>
      </c>
      <c r="F17" s="3" t="n">
        <v>2.9</v>
      </c>
      <c r="G17" s="3" t="n">
        <v>2.9</v>
      </c>
      <c r="H17" s="3" t="n">
        <v>2.9</v>
      </c>
      <c r="I17" s="3" t="n">
        <v>2.9</v>
      </c>
      <c r="J17" s="3" t="n">
        <v>2.9</v>
      </c>
      <c r="K17" s="3" t="n">
        <v>2.9</v>
      </c>
      <c r="L17" s="3" t="n">
        <v>2.9</v>
      </c>
    </row>
    <row r="18" customFormat="false" ht="15" hidden="false" customHeight="false" outlineLevel="0" collapsed="false">
      <c r="A18" s="0" t="s">
        <v>102</v>
      </c>
      <c r="C18" s="3" t="n">
        <v>3.5</v>
      </c>
      <c r="D18" s="3" t="n">
        <v>3</v>
      </c>
      <c r="E18" s="3" t="n">
        <v>2.8</v>
      </c>
      <c r="F18" s="3" t="n">
        <v>2.8</v>
      </c>
      <c r="G18" s="3" t="n">
        <v>2.8</v>
      </c>
      <c r="H18" s="3" t="n">
        <v>2.8</v>
      </c>
      <c r="I18" s="3" t="n">
        <v>2.8</v>
      </c>
      <c r="J18" s="3" t="n">
        <v>2.8</v>
      </c>
      <c r="K18" s="3" t="n">
        <v>2.8</v>
      </c>
      <c r="L18" s="3" t="n">
        <v>2.8</v>
      </c>
    </row>
    <row r="19" customFormat="false" ht="15" hidden="false" customHeight="false" outlineLevel="0" collapsed="false">
      <c r="A19" s="0" t="s">
        <v>103</v>
      </c>
      <c r="C19" s="3" t="n">
        <v>25.5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104</v>
      </c>
      <c r="B20" s="3" t="n">
        <v>8.5</v>
      </c>
    </row>
    <row r="21" customFormat="false" ht="15" hidden="false" customHeight="false" outlineLevel="0" collapsed="false">
      <c r="A21" s="0" t="s">
        <v>105</v>
      </c>
      <c r="B21" s="3" t="n">
        <v>0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-5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2.5</v>
      </c>
      <c r="D27" s="3" t="n">
        <v>2</v>
      </c>
      <c r="E27" s="3" t="n">
        <v>2</v>
      </c>
      <c r="F27" s="3" t="n">
        <v>2</v>
      </c>
      <c r="G27" s="3" t="n">
        <v>1.5</v>
      </c>
      <c r="H27" s="3" t="n">
        <v>1.5</v>
      </c>
      <c r="I27" s="3" t="n">
        <v>1.5</v>
      </c>
      <c r="J27" s="3" t="n">
        <v>1</v>
      </c>
      <c r="K27" s="3" t="n">
        <v>1</v>
      </c>
      <c r="L27" s="3" t="n">
        <v>1</v>
      </c>
    </row>
    <row r="28" customFormat="false" ht="15" hidden="false" customHeight="false" outlineLevel="0" collapsed="false">
      <c r="A28" s="0" t="s">
        <v>98</v>
      </c>
      <c r="C28" s="3" t="n">
        <v>22</v>
      </c>
      <c r="D28" s="3" t="n">
        <v>22.5</v>
      </c>
      <c r="E28" s="3" t="n">
        <v>23</v>
      </c>
      <c r="F28" s="3" t="n">
        <v>23.5</v>
      </c>
      <c r="G28" s="3" t="n">
        <v>23.5</v>
      </c>
      <c r="H28" s="3" t="n">
        <v>23.5</v>
      </c>
      <c r="I28" s="3" t="n">
        <v>23.5</v>
      </c>
      <c r="J28" s="3" t="n">
        <v>23.5</v>
      </c>
      <c r="K28" s="3" t="n">
        <v>23.5</v>
      </c>
      <c r="L28" s="3" t="n">
        <v>23.5</v>
      </c>
    </row>
    <row r="29" customFormat="false" ht="15" hidden="false" customHeight="false" outlineLevel="0" collapsed="false">
      <c r="A29" s="0" t="s">
        <v>99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100</v>
      </c>
      <c r="C30" s="3" t="n">
        <v>0.58</v>
      </c>
      <c r="D30" s="3" t="n">
        <v>0.58</v>
      </c>
      <c r="E30" s="3" t="n">
        <v>0.58</v>
      </c>
      <c r="F30" s="3" t="n">
        <v>0.58</v>
      </c>
      <c r="G30" s="3" t="n">
        <v>0.58</v>
      </c>
      <c r="H30" s="3" t="n">
        <v>0.58</v>
      </c>
      <c r="I30" s="3" t="n">
        <v>0.58</v>
      </c>
      <c r="J30" s="3" t="n">
        <v>0.58</v>
      </c>
      <c r="K30" s="3" t="n">
        <v>0.58</v>
      </c>
      <c r="L30" s="3" t="n">
        <v>0.58</v>
      </c>
    </row>
    <row r="31" customFormat="false" ht="15" hidden="false" customHeight="false" outlineLevel="0" collapsed="false">
      <c r="A31" s="0" t="s">
        <v>101</v>
      </c>
      <c r="C31" s="3" t="n">
        <v>2.85</v>
      </c>
      <c r="D31" s="3" t="n">
        <v>2.9</v>
      </c>
      <c r="E31" s="3" t="n">
        <v>2.9</v>
      </c>
      <c r="F31" s="3" t="n">
        <v>2.9</v>
      </c>
      <c r="G31" s="3" t="n">
        <v>2.9</v>
      </c>
      <c r="H31" s="3" t="n">
        <v>2.9</v>
      </c>
      <c r="I31" s="3" t="n">
        <v>2.9</v>
      </c>
      <c r="J31" s="3" t="n">
        <v>2.9</v>
      </c>
      <c r="K31" s="3" t="n">
        <v>2.9</v>
      </c>
      <c r="L31" s="3" t="n">
        <v>2.9</v>
      </c>
    </row>
    <row r="32" customFormat="false" ht="15" hidden="false" customHeight="false" outlineLevel="0" collapsed="false">
      <c r="A32" s="0" t="s">
        <v>102</v>
      </c>
      <c r="C32" s="3" t="n">
        <v>3.8</v>
      </c>
      <c r="D32" s="3" t="n">
        <v>3.3</v>
      </c>
      <c r="E32" s="3" t="n">
        <v>3</v>
      </c>
      <c r="F32" s="3" t="n">
        <v>3</v>
      </c>
      <c r="G32" s="3" t="n">
        <v>3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103</v>
      </c>
      <c r="C33" s="3" t="n">
        <v>25.5</v>
      </c>
      <c r="D33" s="3" t="n">
        <v>25.5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104</v>
      </c>
      <c r="B34" s="3" t="n">
        <v>8.5</v>
      </c>
    </row>
    <row r="35" customFormat="false" ht="15" hidden="false" customHeight="false" outlineLevel="0" collapsed="false">
      <c r="A35" s="0" t="s">
        <v>105</v>
      </c>
      <c r="B35" s="3" t="n">
        <v>1</v>
      </c>
    </row>
    <row r="36" customFormat="false" ht="15" hidden="false" customHeight="false" outlineLevel="0" collapsed="false">
      <c r="A36" s="0" t="s">
        <v>106</v>
      </c>
      <c r="B36" s="3" t="n">
        <v>12</v>
      </c>
    </row>
    <row r="37" customFormat="false" ht="15" hidden="false" customHeight="false" outlineLevel="0" collapsed="false">
      <c r="A37" s="0" t="s">
        <v>107</v>
      </c>
      <c r="B37" s="3" t="n">
        <v>-5</v>
      </c>
    </row>
    <row r="38" customFormat="false" ht="15" hidden="false" customHeight="false" outlineLevel="0" collapsed="false">
      <c r="A38" s="0" t="s">
        <v>108</v>
      </c>
      <c r="B38" s="3" t="n">
        <v>0.55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4.5</v>
      </c>
      <c r="D41" s="3" t="n">
        <v>4.5</v>
      </c>
      <c r="E41" s="3" t="n">
        <v>4</v>
      </c>
      <c r="F41" s="3" t="n">
        <v>4</v>
      </c>
      <c r="G41" s="3" t="n">
        <v>3.5</v>
      </c>
      <c r="H41" s="3" t="n">
        <v>3</v>
      </c>
      <c r="I41" s="3" t="n">
        <v>2.5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98</v>
      </c>
      <c r="C42" s="3" t="n">
        <v>23</v>
      </c>
      <c r="D42" s="3" t="n">
        <v>24</v>
      </c>
      <c r="E42" s="3" t="n">
        <v>25</v>
      </c>
      <c r="F42" s="3" t="n">
        <v>25.5</v>
      </c>
      <c r="G42" s="3" t="n">
        <v>26</v>
      </c>
      <c r="H42" s="3" t="n">
        <v>26</v>
      </c>
      <c r="I42" s="3" t="n">
        <v>26</v>
      </c>
      <c r="J42" s="3" t="n">
        <v>26</v>
      </c>
      <c r="K42" s="3" t="n">
        <v>26</v>
      </c>
      <c r="L42" s="3" t="n">
        <v>26</v>
      </c>
    </row>
    <row r="43" customFormat="false" ht="15" hidden="false" customHeight="false" outlineLevel="0" collapsed="false">
      <c r="A43" s="0" t="s">
        <v>99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100</v>
      </c>
      <c r="C44" s="3" t="n">
        <v>0.58</v>
      </c>
      <c r="D44" s="3" t="n">
        <v>0.58</v>
      </c>
      <c r="E44" s="3" t="n">
        <v>0.58</v>
      </c>
      <c r="F44" s="3" t="n">
        <v>0.58</v>
      </c>
      <c r="G44" s="3" t="n">
        <v>0.58</v>
      </c>
      <c r="H44" s="3" t="n">
        <v>0.58</v>
      </c>
      <c r="I44" s="3" t="n">
        <v>0.58</v>
      </c>
      <c r="J44" s="3" t="n">
        <v>0.58</v>
      </c>
      <c r="K44" s="3" t="n">
        <v>0.58</v>
      </c>
      <c r="L44" s="3" t="n">
        <v>0.58</v>
      </c>
    </row>
    <row r="45" customFormat="false" ht="15" hidden="false" customHeight="false" outlineLevel="0" collapsed="false">
      <c r="A45" s="0" t="s">
        <v>101</v>
      </c>
      <c r="C45" s="3" t="n">
        <v>2.85</v>
      </c>
      <c r="D45" s="3" t="n">
        <v>2.9</v>
      </c>
      <c r="E45" s="3" t="n">
        <v>2.9</v>
      </c>
      <c r="F45" s="3" t="n">
        <v>2.9</v>
      </c>
      <c r="G45" s="3" t="n">
        <v>2.9</v>
      </c>
      <c r="H45" s="3" t="n">
        <v>2.9</v>
      </c>
      <c r="I45" s="3" t="n">
        <v>2.9</v>
      </c>
      <c r="J45" s="3" t="n">
        <v>2.9</v>
      </c>
      <c r="K45" s="3" t="n">
        <v>2.9</v>
      </c>
      <c r="L45" s="3" t="n">
        <v>2.9</v>
      </c>
    </row>
    <row r="46" customFormat="false" ht="15" hidden="false" customHeight="false" outlineLevel="0" collapsed="false">
      <c r="A46" s="0" t="s">
        <v>102</v>
      </c>
      <c r="C46" s="3" t="n">
        <v>3.8</v>
      </c>
      <c r="D46" s="3" t="n">
        <v>3.3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103</v>
      </c>
      <c r="C47" s="3" t="n">
        <v>25.5</v>
      </c>
      <c r="D47" s="3" t="n">
        <v>25.5</v>
      </c>
      <c r="E47" s="3" t="n">
        <v>25.5</v>
      </c>
      <c r="F47" s="3" t="n">
        <v>25.5</v>
      </c>
      <c r="G47" s="3" t="n">
        <v>25.5</v>
      </c>
      <c r="H47" s="3" t="n">
        <v>25.5</v>
      </c>
      <c r="I47" s="3" t="n">
        <v>25.5</v>
      </c>
      <c r="J47" s="3" t="n">
        <v>25.5</v>
      </c>
      <c r="K47" s="3" t="n">
        <v>25.5</v>
      </c>
      <c r="L47" s="3" t="n">
        <v>25.5</v>
      </c>
    </row>
    <row r="48" customFormat="false" ht="15" hidden="false" customHeight="false" outlineLevel="0" collapsed="false">
      <c r="A48" s="0" t="s">
        <v>104</v>
      </c>
      <c r="B48" s="3" t="n">
        <v>8.5</v>
      </c>
    </row>
    <row r="49" customFormat="false" ht="15" hidden="false" customHeight="false" outlineLevel="0" collapsed="false">
      <c r="A49" s="0" t="s">
        <v>105</v>
      </c>
      <c r="B49" s="3" t="n">
        <v>2</v>
      </c>
    </row>
    <row r="50" customFormat="false" ht="15" hidden="false" customHeight="false" outlineLevel="0" collapsed="false">
      <c r="A50" s="0" t="s">
        <v>106</v>
      </c>
      <c r="B50" s="3" t="n">
        <v>12</v>
      </c>
    </row>
    <row r="51" customFormat="false" ht="15" hidden="false" customHeight="false" outlineLevel="0" collapsed="false">
      <c r="A51" s="0" t="s">
        <v>107</v>
      </c>
      <c r="B51" s="3" t="n">
        <v>-5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</v>
      </c>
      <c r="D5" s="4" t="n">
        <f aca="false">Assumptions!D13</f>
        <v>-1</v>
      </c>
      <c r="E5" s="4" t="n">
        <f aca="false">Assumptions!E13</f>
        <v>-1.5</v>
      </c>
      <c r="F5" s="4" t="n">
        <f aca="false">Assumptions!F13</f>
        <v>-1.5</v>
      </c>
      <c r="G5" s="4" t="n">
        <f aca="false">Assumptions!G13</f>
        <v>-1</v>
      </c>
      <c r="H5" s="4" t="n">
        <f aca="false">Assumptions!H13</f>
        <v>-1</v>
      </c>
      <c r="I5" s="4" t="n">
        <f aca="false">Assumptions!I13</f>
        <v>-0.5</v>
      </c>
      <c r="J5" s="4" t="n">
        <f aca="false">Assumptions!J13</f>
        <v>0</v>
      </c>
      <c r="K5" s="4" t="n">
        <f aca="false">Assumptions!K13</f>
        <v>0</v>
      </c>
      <c r="L5" s="4" t="n">
        <f aca="false">Assumptions!L13</f>
        <v>0</v>
      </c>
    </row>
    <row r="6" customFormat="false" ht="15" hidden="false" customHeight="false" outlineLevel="0" collapsed="false">
      <c r="A6" s="0" t="s">
        <v>38</v>
      </c>
      <c r="B6" s="3" t="n">
        <v>24400.665</v>
      </c>
      <c r="C6" s="0" t="n">
        <f aca="false">B6*(1+C5/100)</f>
        <v>24400.665</v>
      </c>
      <c r="D6" s="0" t="n">
        <f aca="false">C6*(1+D5/100)</f>
        <v>24156.65835</v>
      </c>
      <c r="E6" s="0" t="n">
        <f aca="false">D6*(1+E5/100)</f>
        <v>23794.30847475</v>
      </c>
      <c r="F6" s="0" t="n">
        <f aca="false">E6*(1+F5/100)</f>
        <v>23437.3938476287</v>
      </c>
      <c r="G6" s="0" t="n">
        <f aca="false">F6*(1+G5/100)</f>
        <v>23203.0199091525</v>
      </c>
      <c r="H6" s="0" t="n">
        <f aca="false">G6*(1+H5/100)</f>
        <v>22970.9897100609</v>
      </c>
      <c r="I6" s="0" t="n">
        <f aca="false">H6*(1+I5/100)</f>
        <v>22856.1347615106</v>
      </c>
      <c r="J6" s="0" t="n">
        <f aca="false">I6*(1+J5/100)</f>
        <v>22856.1347615106</v>
      </c>
      <c r="K6" s="0" t="n">
        <f aca="false">J6*(1+K5/100)</f>
        <v>22856.1347615106</v>
      </c>
      <c r="L6" s="0" t="n">
        <f aca="false">K6*(1+L5/100)</f>
        <v>22856.1347615106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21</v>
      </c>
      <c r="D7" s="4" t="n">
        <f aca="false">Assumptions!D14</f>
        <v>20</v>
      </c>
      <c r="E7" s="4" t="n">
        <f aca="false">Assumptions!E14</f>
        <v>19.5</v>
      </c>
      <c r="F7" s="4" t="n">
        <f aca="false">Assumptions!F14</f>
        <v>19</v>
      </c>
      <c r="G7" s="4" t="n">
        <f aca="false">Assumptions!G14</f>
        <v>19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44</v>
      </c>
      <c r="C8" s="0" t="n">
        <f aca="false">C6*C7/100</f>
        <v>5124.13965</v>
      </c>
      <c r="D8" s="0" t="n">
        <f aca="false">D6*D7/100</f>
        <v>4831.33167</v>
      </c>
      <c r="E8" s="0" t="n">
        <f aca="false">E6*E7/100</f>
        <v>4639.89015257625</v>
      </c>
      <c r="F8" s="0" t="n">
        <f aca="false">F6*F7/100</f>
        <v>4453.10483104946</v>
      </c>
      <c r="G8" s="0" t="n">
        <f aca="false">G6*G7/100</f>
        <v>4408.57378273897</v>
      </c>
      <c r="H8" s="0" t="n">
        <f aca="false">H6*H7/100</f>
        <v>4364.48804491158</v>
      </c>
      <c r="I8" s="0" t="n">
        <f aca="false">I6*I7/100</f>
        <v>4342.66560468702</v>
      </c>
      <c r="J8" s="0" t="n">
        <f aca="false">J6*J7/100</f>
        <v>4342.66560468702</v>
      </c>
      <c r="K8" s="0" t="n">
        <f aca="false">K6*K7/100</f>
        <v>4342.66560468702</v>
      </c>
      <c r="L8" s="0" t="n">
        <f aca="false">L6*L7/100</f>
        <v>4342.66560468702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4982.615793</v>
      </c>
      <c r="D11" s="0" t="n">
        <f aca="false">D8+D10+D24</f>
        <v>4691.22305157</v>
      </c>
      <c r="E11" s="0" t="n">
        <f aca="false">E8+E10+E24</f>
        <v>4501.8831634227</v>
      </c>
      <c r="F11" s="0" t="n">
        <f aca="false">F8+F10+F24</f>
        <v>4317.16794673322</v>
      </c>
      <c r="G11" s="0" t="n">
        <f aca="false">G8+G10+G24</f>
        <v>4273.99626726588</v>
      </c>
      <c r="H11" s="0" t="n">
        <f aca="false">H8+H10+H24</f>
        <v>4231.25630459322</v>
      </c>
      <c r="I11" s="0" t="n">
        <f aca="false">I8+I10+I24</f>
        <v>4210.10002307026</v>
      </c>
      <c r="J11" s="0" t="n">
        <f aca="false">J8+J10+J24</f>
        <v>4210.10002307026</v>
      </c>
      <c r="K11" s="0" t="n">
        <f aca="false">K8+K10+K24</f>
        <v>4210.10002307026</v>
      </c>
      <c r="L11" s="0" t="n">
        <f aca="false">L8+L10+L24</f>
        <v>4210.10002307026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-695.4189525</v>
      </c>
      <c r="D12" s="4" t="n">
        <f aca="false">-D6*Assumptions!D17/100</f>
        <v>-700.54309215</v>
      </c>
      <c r="E12" s="4" t="n">
        <f aca="false">-E6*Assumptions!E17/100</f>
        <v>-690.03494576775</v>
      </c>
      <c r="F12" s="4" t="n">
        <f aca="false">-F6*Assumptions!F17/100</f>
        <v>-679.684421581234</v>
      </c>
      <c r="G12" s="4" t="n">
        <f aca="false">-G6*Assumptions!G17/100</f>
        <v>-672.887577365421</v>
      </c>
      <c r="H12" s="4" t="n">
        <f aca="false">-H6*Assumptions!H17/100</f>
        <v>-666.158701591767</v>
      </c>
      <c r="I12" s="4" t="n">
        <f aca="false">-I6*Assumptions!I17/100</f>
        <v>-662.827908083808</v>
      </c>
      <c r="J12" s="4" t="n">
        <f aca="false">-J6*Assumptions!J17/100</f>
        <v>-662.827908083808</v>
      </c>
      <c r="K12" s="4" t="n">
        <f aca="false">-K6*Assumptions!K17/100</f>
        <v>-662.827908083808</v>
      </c>
      <c r="L12" s="4" t="n">
        <f aca="false">-L6*Assumptions!L17/100</f>
        <v>-662.827908083808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4287.1968405</v>
      </c>
      <c r="D13" s="0" t="n">
        <f aca="false">D11+D12</f>
        <v>3990.67995942</v>
      </c>
      <c r="E13" s="0" t="n">
        <f aca="false">E11+E12</f>
        <v>3811.84821765495</v>
      </c>
      <c r="F13" s="0" t="n">
        <f aca="false">F11+F12</f>
        <v>3637.48352515198</v>
      </c>
      <c r="G13" s="0" t="n">
        <f aca="false">G11+G12</f>
        <v>3601.10868990046</v>
      </c>
      <c r="H13" s="0" t="n">
        <f aca="false">H11+H12</f>
        <v>3565.09760300146</v>
      </c>
      <c r="I13" s="0" t="n">
        <f aca="false">I11+I12</f>
        <v>3547.27211498645</v>
      </c>
      <c r="J13" s="0" t="n">
        <f aca="false">J11+J12</f>
        <v>3547.27211498645</v>
      </c>
      <c r="K13" s="0" t="n">
        <f aca="false">K11+K12</f>
        <v>3547.27211498645</v>
      </c>
      <c r="L13" s="0" t="n">
        <f aca="false">L11+L12</f>
        <v>3547.27211498645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25.5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3193.9616461725</v>
      </c>
      <c r="D15" s="0" t="n">
        <f aca="false">D13-MAX(0,D13)*D14/100</f>
        <v>2973.0565697679</v>
      </c>
      <c r="E15" s="0" t="n">
        <f aca="false">E13-MAX(0,E13)*E14/100</f>
        <v>2839.82692215294</v>
      </c>
      <c r="F15" s="0" t="n">
        <f aca="false">F13-MAX(0,F13)*F14/100</f>
        <v>2709.92522623823</v>
      </c>
      <c r="G15" s="0" t="n">
        <f aca="false">G13-MAX(0,G13)*G14/100</f>
        <v>2682.82597397584</v>
      </c>
      <c r="H15" s="0" t="n">
        <f aca="false">H13-MAX(0,H13)*H14/100</f>
        <v>2655.99771423609</v>
      </c>
      <c r="I15" s="0" t="n">
        <f aca="false">I13-MAX(0,I13)*I14/100</f>
        <v>2642.7177256649</v>
      </c>
      <c r="J15" s="0" t="n">
        <f aca="false">J13-MAX(0,J13)*J14/100</f>
        <v>2642.7177256649</v>
      </c>
      <c r="K15" s="0" t="n">
        <f aca="false">K13-MAX(0,K13)*K14/100</f>
        <v>2642.7177256649</v>
      </c>
      <c r="L15" s="0" t="n">
        <f aca="false">L13-MAX(0,L13)*L14/100</f>
        <v>2642.7177256649</v>
      </c>
    </row>
    <row r="16" customFormat="false" ht="15" hidden="false" customHeight="false" outlineLevel="0" collapsed="false">
      <c r="A16" s="0" t="s">
        <v>119</v>
      </c>
      <c r="C16" s="0" t="n">
        <f aca="false">-C12</f>
        <v>695.4189525</v>
      </c>
      <c r="D16" s="0" t="n">
        <f aca="false">-D12</f>
        <v>700.54309215</v>
      </c>
      <c r="E16" s="0" t="n">
        <f aca="false">-E12</f>
        <v>690.03494576775</v>
      </c>
      <c r="F16" s="0" t="n">
        <f aca="false">-F12</f>
        <v>679.684421581234</v>
      </c>
      <c r="G16" s="0" t="n">
        <f aca="false">-G12</f>
        <v>672.887577365421</v>
      </c>
      <c r="H16" s="0" t="n">
        <f aca="false">-H12</f>
        <v>666.158701591767</v>
      </c>
      <c r="I16" s="0" t="n">
        <f aca="false">-I12</f>
        <v>662.827908083808</v>
      </c>
      <c r="J16" s="0" t="n">
        <f aca="false">-J12</f>
        <v>662.827908083808</v>
      </c>
      <c r="K16" s="0" t="n">
        <f aca="false">-K12</f>
        <v>662.827908083808</v>
      </c>
      <c r="L16" s="0" t="n">
        <f aca="false">-L12</f>
        <v>662.827908083808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-854.023275</v>
      </c>
      <c r="D17" s="4" t="n">
        <f aca="false">-D6*Assumptions!D18/100</f>
        <v>-724.6997505</v>
      </c>
      <c r="E17" s="4" t="n">
        <f aca="false">-E6*Assumptions!E18/100</f>
        <v>-666.240637293</v>
      </c>
      <c r="F17" s="4" t="n">
        <f aca="false">-F6*Assumptions!F18/100</f>
        <v>-656.247027733605</v>
      </c>
      <c r="G17" s="4" t="n">
        <f aca="false">-G6*Assumptions!G18/100</f>
        <v>-649.684557456269</v>
      </c>
      <c r="H17" s="4" t="n">
        <f aca="false">-H6*Assumptions!H18/100</f>
        <v>-643.187711881706</v>
      </c>
      <c r="I17" s="4" t="n">
        <f aca="false">-I6*Assumptions!I18/100</f>
        <v>-639.971773322298</v>
      </c>
      <c r="J17" s="4" t="n">
        <f aca="false">-J6*Assumptions!J18/100</f>
        <v>-639.971773322298</v>
      </c>
      <c r="K17" s="4" t="n">
        <f aca="false">-K6*Assumptions!K18/100</f>
        <v>-639.971773322298</v>
      </c>
      <c r="L17" s="4" t="n">
        <f aca="false">-L6*Assumptions!L18/100</f>
        <v>-639.971773322298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-0</v>
      </c>
      <c r="D18" s="4" t="n">
        <f aca="false">(D6-C6)*Assumptions!$B$23/100</f>
        <v>12.2003325</v>
      </c>
      <c r="E18" s="4" t="n">
        <f aca="false">(E6-D6)*Assumptions!$B$23/100</f>
        <v>18.1174937625001</v>
      </c>
      <c r="F18" s="4" t="n">
        <f aca="false">(F6-E6)*Assumptions!$B$23/100</f>
        <v>17.8457313560626</v>
      </c>
      <c r="G18" s="4" t="n">
        <f aca="false">(G6-F6)*Assumptions!$B$23/100</f>
        <v>11.7186969238144</v>
      </c>
      <c r="H18" s="4" t="n">
        <f aca="false">(H6-G6)*Assumptions!$B$23/100</f>
        <v>11.6015099545763</v>
      </c>
      <c r="I18" s="4" t="n">
        <f aca="false">(I6-H6)*Assumptions!$B$23/100</f>
        <v>5.74274742751531</v>
      </c>
      <c r="J18" s="4" t="n">
        <f aca="false">(J6-I6)*Assumptions!$B$23/100</f>
        <v>-0</v>
      </c>
      <c r="K18" s="4" t="n">
        <f aca="false">(K6-J6)*Assumptions!$B$23/100</f>
        <v>-0</v>
      </c>
      <c r="L18" s="4" t="n">
        <f aca="false">(L6-K6)*Assumptions!$B$23/100</f>
        <v>-0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3035.3573236725</v>
      </c>
      <c r="D19" s="0" t="n">
        <f aca="false">D15+D16+D17+D18</f>
        <v>2961.1002439179</v>
      </c>
      <c r="E19" s="0" t="n">
        <f aca="false">E15+E16+E17+E18</f>
        <v>2881.73872439019</v>
      </c>
      <c r="F19" s="0" t="n">
        <f aca="false">F15+F16+F17+F18</f>
        <v>2751.20835144192</v>
      </c>
      <c r="G19" s="0" t="n">
        <f aca="false">G15+G16+G17+G18</f>
        <v>2717.74769080881</v>
      </c>
      <c r="H19" s="0" t="n">
        <f aca="false">H15+H16+H17+H18</f>
        <v>2690.57021390072</v>
      </c>
      <c r="I19" s="0" t="n">
        <f aca="false">I15+I16+I17+I18</f>
        <v>2671.31660785393</v>
      </c>
      <c r="J19" s="0" t="n">
        <f aca="false">J15+J16+J17+J18</f>
        <v>2665.57386042642</v>
      </c>
      <c r="K19" s="0" t="n">
        <f aca="false">K15+K16+K17+K18</f>
        <v>2665.57386042642</v>
      </c>
      <c r="L19" s="0" t="n">
        <f aca="false">L15+L16+L17+L18</f>
        <v>2665.57386042642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2797.56435361521</v>
      </c>
      <c r="D21" s="0" t="n">
        <f aca="false">D19*D20</f>
        <v>2515.32225693296</v>
      </c>
      <c r="E21" s="0" t="n">
        <f aca="false">E19*E20</f>
        <v>2256.13658488652</v>
      </c>
      <c r="F21" s="0" t="n">
        <f aca="false">F19*F20</f>
        <v>1985.20119706372</v>
      </c>
      <c r="G21" s="0" t="n">
        <f aca="false">G19*G20</f>
        <v>1807.42566342512</v>
      </c>
      <c r="H21" s="0" t="n">
        <f aca="false">H19*H20</f>
        <v>1649.17180349388</v>
      </c>
      <c r="I21" s="0" t="n">
        <f aca="false">I19*I20</f>
        <v>1509.09714303353</v>
      </c>
      <c r="J21" s="0" t="n">
        <f aca="false">J19*J20</f>
        <v>1387.88286975658</v>
      </c>
      <c r="K21" s="0" t="n">
        <f aca="false">K19*K20</f>
        <v>1279.15471866966</v>
      </c>
      <c r="L21" s="0" t="n">
        <f aca="false">L19*L20</f>
        <v>1178.9444411702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0.58</v>
      </c>
      <c r="D23" s="4" t="n">
        <f aca="false">Assumptions!D16</f>
        <v>0.58</v>
      </c>
      <c r="E23" s="4" t="n">
        <f aca="false">Assumptions!E16</f>
        <v>0.58</v>
      </c>
      <c r="F23" s="4" t="n">
        <f aca="false">Assumptions!F16</f>
        <v>0.58</v>
      </c>
      <c r="G23" s="4" t="n">
        <f aca="false">Assumptions!G16</f>
        <v>0.58</v>
      </c>
      <c r="H23" s="4" t="n">
        <f aca="false">Assumptions!H16</f>
        <v>0.58</v>
      </c>
      <c r="I23" s="4" t="n">
        <f aca="false">Assumptions!I16</f>
        <v>0.58</v>
      </c>
      <c r="J23" s="4" t="n">
        <f aca="false">Assumptions!J16</f>
        <v>0.58</v>
      </c>
      <c r="K23" s="4" t="n">
        <f aca="false">Assumptions!K16</f>
        <v>0.58</v>
      </c>
      <c r="L23" s="4" t="n">
        <f aca="false">Assumptions!L16</f>
        <v>0.58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-141.523857</v>
      </c>
      <c r="D24" s="0" t="n">
        <f aca="false">-D6*D23/100</f>
        <v>-140.10861843</v>
      </c>
      <c r="E24" s="0" t="n">
        <f aca="false">-E6*E23/100</f>
        <v>-138.00698915355</v>
      </c>
      <c r="F24" s="0" t="n">
        <f aca="false">-F6*F23/100</f>
        <v>-135.936884316247</v>
      </c>
      <c r="G24" s="0" t="n">
        <f aca="false">-G6*G23/100</f>
        <v>-134.577515473084</v>
      </c>
      <c r="H24" s="0" t="n">
        <f aca="false">-H6*H23/100</f>
        <v>-133.231740318353</v>
      </c>
      <c r="I24" s="0" t="n">
        <f aca="false">-I6*I23/100</f>
        <v>-132.565581616762</v>
      </c>
      <c r="J24" s="0" t="n">
        <f aca="false">-J6*J23/100</f>
        <v>-132.565581616762</v>
      </c>
      <c r="K24" s="0" t="n">
        <f aca="false">-K6*K23/100</f>
        <v>-132.565581616762</v>
      </c>
      <c r="L24" s="0" t="n">
        <f aca="false">-L6*L23/100</f>
        <v>-132.565581616762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0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18365.9010320474</v>
      </c>
    </row>
    <row r="31" customFormat="false" ht="15" hidden="false" customHeight="false" outlineLevel="0" collapsed="false">
      <c r="A31" s="0" t="s">
        <v>128</v>
      </c>
      <c r="B31" s="0" t="n">
        <f aca="false">L19</f>
        <v>2665.57386042642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31359.6924756049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31986.886325117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31359.6924756049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13869.9346020023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32235.8356340497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45891.0326340497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4.55718238008401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0.616022120597168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4.55718238008401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17770.4924028428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3.19767178711132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2.5</v>
      </c>
      <c r="D5" s="4" t="n">
        <f aca="false">Assumptions!D27</f>
        <v>2</v>
      </c>
      <c r="E5" s="4" t="n">
        <f aca="false">Assumptions!E27</f>
        <v>2</v>
      </c>
      <c r="F5" s="4" t="n">
        <f aca="false">Assumptions!F27</f>
        <v>2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</v>
      </c>
      <c r="K5" s="4" t="n">
        <f aca="false">Assumptions!K27</f>
        <v>1</v>
      </c>
      <c r="L5" s="4" t="n">
        <f aca="false">Assumptions!L27</f>
        <v>1</v>
      </c>
    </row>
    <row r="6" customFormat="false" ht="15" hidden="false" customHeight="false" outlineLevel="0" collapsed="false">
      <c r="A6" s="0" t="s">
        <v>38</v>
      </c>
      <c r="B6" s="3" t="n">
        <v>24400.665</v>
      </c>
      <c r="C6" s="0" t="n">
        <f aca="false">B6*(1+C5/100)</f>
        <v>25010.681625</v>
      </c>
      <c r="D6" s="0" t="n">
        <f aca="false">C6*(1+D5/100)</f>
        <v>25510.8952575</v>
      </c>
      <c r="E6" s="0" t="n">
        <f aca="false">D6*(1+E5/100)</f>
        <v>26021.11316265</v>
      </c>
      <c r="F6" s="0" t="n">
        <f aca="false">E6*(1+F5/100)</f>
        <v>26541.535425903</v>
      </c>
      <c r="G6" s="0" t="n">
        <f aca="false">F6*(1+G5/100)</f>
        <v>26939.6584572915</v>
      </c>
      <c r="H6" s="0" t="n">
        <f aca="false">G6*(1+H5/100)</f>
        <v>27343.7533341509</v>
      </c>
      <c r="I6" s="0" t="n">
        <f aca="false">H6*(1+I5/100)</f>
        <v>27753.9096341632</v>
      </c>
      <c r="J6" s="0" t="n">
        <f aca="false">I6*(1+J5/100)</f>
        <v>28031.4487305048</v>
      </c>
      <c r="K6" s="0" t="n">
        <f aca="false">J6*(1+K5/100)</f>
        <v>28311.7632178099</v>
      </c>
      <c r="L6" s="0" t="n">
        <f aca="false">K6*(1+L5/100)</f>
        <v>28594.880849988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22</v>
      </c>
      <c r="D7" s="4" t="n">
        <f aca="false">Assumptions!D28</f>
        <v>22.5</v>
      </c>
      <c r="E7" s="4" t="n">
        <f aca="false">Assumptions!E28</f>
        <v>23</v>
      </c>
      <c r="F7" s="4" t="n">
        <f aca="false">Assumptions!F28</f>
        <v>23.5</v>
      </c>
      <c r="G7" s="4" t="n">
        <f aca="false">Assumptions!G28</f>
        <v>23.5</v>
      </c>
      <c r="H7" s="4" t="n">
        <f aca="false">Assumptions!H28</f>
        <v>23.5</v>
      </c>
      <c r="I7" s="4" t="n">
        <f aca="false">Assumptions!I28</f>
        <v>23.5</v>
      </c>
      <c r="J7" s="4" t="n">
        <f aca="false">Assumptions!J28</f>
        <v>23.5</v>
      </c>
      <c r="K7" s="4" t="n">
        <f aca="false">Assumptions!K28</f>
        <v>23.5</v>
      </c>
      <c r="L7" s="4" t="n">
        <f aca="false">Assumptions!L28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5502.3499575</v>
      </c>
      <c r="D8" s="0" t="n">
        <f aca="false">D6*D7/100</f>
        <v>5739.9514329375</v>
      </c>
      <c r="E8" s="0" t="n">
        <f aca="false">E6*E7/100</f>
        <v>5984.8560274095</v>
      </c>
      <c r="F8" s="0" t="n">
        <f aca="false">F6*F7/100</f>
        <v>6237.2608250872</v>
      </c>
      <c r="G8" s="0" t="n">
        <f aca="false">G6*G7/100</f>
        <v>6330.81973746351</v>
      </c>
      <c r="H8" s="0" t="n">
        <f aca="false">H6*H7/100</f>
        <v>6425.78203352546</v>
      </c>
      <c r="I8" s="0" t="n">
        <f aca="false">I6*I7/100</f>
        <v>6522.16876402835</v>
      </c>
      <c r="J8" s="0" t="n">
        <f aca="false">J6*J7/100</f>
        <v>6587.39045166863</v>
      </c>
      <c r="K8" s="0" t="n">
        <f aca="false">K6*K7/100</f>
        <v>6653.26435618532</v>
      </c>
      <c r="L8" s="0" t="n">
        <f aca="false">L6*L7/100</f>
        <v>6719.79699974717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5357.288004075</v>
      </c>
      <c r="D11" s="0" t="n">
        <f aca="false">D8+D10+D24</f>
        <v>5591.988240444</v>
      </c>
      <c r="E11" s="0" t="n">
        <f aca="false">E8+E10+E24</f>
        <v>5833.93357106613</v>
      </c>
      <c r="F11" s="0" t="n">
        <f aca="false">F8+F10+F24</f>
        <v>6083.31991961697</v>
      </c>
      <c r="G11" s="0" t="n">
        <f aca="false">G8+G10+G24</f>
        <v>6174.56971841122</v>
      </c>
      <c r="H11" s="0" t="n">
        <f aca="false">H8+H10+H24</f>
        <v>6267.18826418739</v>
      </c>
      <c r="I11" s="0" t="n">
        <f aca="false">I8+I10+I24</f>
        <v>6361.1960881502</v>
      </c>
      <c r="J11" s="0" t="n">
        <f aca="false">J8+J10+J24</f>
        <v>6424.8080490317</v>
      </c>
      <c r="K11" s="0" t="n">
        <f aca="false">K8+K10+K24</f>
        <v>6489.05612952202</v>
      </c>
      <c r="L11" s="0" t="n">
        <f aca="false">L8+L10+L24</f>
        <v>6553.94669081724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-712.8044263125</v>
      </c>
      <c r="D12" s="4" t="n">
        <f aca="false">-D6*Assumptions!D31/100</f>
        <v>-739.8159624675</v>
      </c>
      <c r="E12" s="4" t="n">
        <f aca="false">-E6*Assumptions!E31/100</f>
        <v>-754.61228171685</v>
      </c>
      <c r="F12" s="4" t="n">
        <f aca="false">-F6*Assumptions!F31/100</f>
        <v>-769.704527351187</v>
      </c>
      <c r="G12" s="4" t="n">
        <f aca="false">-G6*Assumptions!G31/100</f>
        <v>-781.250095261455</v>
      </c>
      <c r="H12" s="4" t="n">
        <f aca="false">-H6*Assumptions!H31/100</f>
        <v>-792.968846690376</v>
      </c>
      <c r="I12" s="4" t="n">
        <f aca="false">-I6*Assumptions!I31/100</f>
        <v>-804.863379390732</v>
      </c>
      <c r="J12" s="4" t="n">
        <f aca="false">-J6*Assumptions!J31/100</f>
        <v>-812.912013184639</v>
      </c>
      <c r="K12" s="4" t="n">
        <f aca="false">-K6*Assumptions!K31/100</f>
        <v>-821.041133316486</v>
      </c>
      <c r="L12" s="4" t="n">
        <f aca="false">-L6*Assumptions!L31/100</f>
        <v>-829.25154464965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4644.4835777625</v>
      </c>
      <c r="D13" s="0" t="n">
        <f aca="false">D11+D12</f>
        <v>4852.1722779765</v>
      </c>
      <c r="E13" s="0" t="n">
        <f aca="false">E11+E12</f>
        <v>5079.32128934928</v>
      </c>
      <c r="F13" s="0" t="n">
        <f aca="false">F11+F12</f>
        <v>5313.61539226578</v>
      </c>
      <c r="G13" s="0" t="n">
        <f aca="false">G11+G12</f>
        <v>5393.31962314977</v>
      </c>
      <c r="H13" s="0" t="n">
        <f aca="false">H11+H12</f>
        <v>5474.21941749701</v>
      </c>
      <c r="I13" s="0" t="n">
        <f aca="false">I11+I12</f>
        <v>5556.33270875947</v>
      </c>
      <c r="J13" s="0" t="n">
        <f aca="false">J11+J12</f>
        <v>5611.89603584706</v>
      </c>
      <c r="K13" s="0" t="n">
        <f aca="false">K11+K12</f>
        <v>5668.01499620553</v>
      </c>
      <c r="L13" s="0" t="n">
        <f aca="false">L11+L12</f>
        <v>5724.69514616759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25.5</v>
      </c>
      <c r="D14" s="4" t="n">
        <f aca="false">Assumptions!D33</f>
        <v>25.5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3460.14026543306</v>
      </c>
      <c r="D15" s="0" t="n">
        <f aca="false">D13-MAX(0,D13)*D14/100</f>
        <v>3614.86834709249</v>
      </c>
      <c r="E15" s="0" t="n">
        <f aca="false">E13-MAX(0,E13)*E14/100</f>
        <v>3784.09436056521</v>
      </c>
      <c r="F15" s="0" t="n">
        <f aca="false">F13-MAX(0,F13)*F14/100</f>
        <v>3958.64346723801</v>
      </c>
      <c r="G15" s="0" t="n">
        <f aca="false">G13-MAX(0,G13)*G14/100</f>
        <v>4018.02311924658</v>
      </c>
      <c r="H15" s="0" t="n">
        <f aca="false">H13-MAX(0,H13)*H14/100</f>
        <v>4078.29346603527</v>
      </c>
      <c r="I15" s="0" t="n">
        <f aca="false">I13-MAX(0,I13)*I14/100</f>
        <v>4139.4678680258</v>
      </c>
      <c r="J15" s="0" t="n">
        <f aca="false">J13-MAX(0,J13)*J14/100</f>
        <v>4180.86254670606</v>
      </c>
      <c r="K15" s="0" t="n">
        <f aca="false">K13-MAX(0,K13)*K14/100</f>
        <v>4222.67117217312</v>
      </c>
      <c r="L15" s="0" t="n">
        <f aca="false">L13-MAX(0,L13)*L14/100</f>
        <v>4264.89788389485</v>
      </c>
    </row>
    <row r="16" customFormat="false" ht="15" hidden="false" customHeight="false" outlineLevel="0" collapsed="false">
      <c r="A16" s="0" t="s">
        <v>119</v>
      </c>
      <c r="C16" s="0" t="n">
        <f aca="false">-C12</f>
        <v>712.8044263125</v>
      </c>
      <c r="D16" s="0" t="n">
        <f aca="false">-D12</f>
        <v>739.8159624675</v>
      </c>
      <c r="E16" s="0" t="n">
        <f aca="false">-E12</f>
        <v>754.61228171685</v>
      </c>
      <c r="F16" s="0" t="n">
        <f aca="false">-F12</f>
        <v>769.704527351187</v>
      </c>
      <c r="G16" s="0" t="n">
        <f aca="false">-G12</f>
        <v>781.250095261455</v>
      </c>
      <c r="H16" s="0" t="n">
        <f aca="false">-H12</f>
        <v>792.968846690376</v>
      </c>
      <c r="I16" s="0" t="n">
        <f aca="false">-I12</f>
        <v>804.863379390732</v>
      </c>
      <c r="J16" s="0" t="n">
        <f aca="false">-J12</f>
        <v>812.912013184639</v>
      </c>
      <c r="K16" s="0" t="n">
        <f aca="false">-K12</f>
        <v>821.041133316486</v>
      </c>
      <c r="L16" s="0" t="n">
        <f aca="false">-L12</f>
        <v>829.25154464965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-950.40590175</v>
      </c>
      <c r="D17" s="4" t="n">
        <f aca="false">-D6*Assumptions!D32/100</f>
        <v>-841.8595434975</v>
      </c>
      <c r="E17" s="4" t="n">
        <f aca="false">-E6*Assumptions!E32/100</f>
        <v>-780.6333948795</v>
      </c>
      <c r="F17" s="4" t="n">
        <f aca="false">-F6*Assumptions!F32/100</f>
        <v>-796.24606277709</v>
      </c>
      <c r="G17" s="4" t="n">
        <f aca="false">-G6*Assumptions!G32/100</f>
        <v>-808.189753718746</v>
      </c>
      <c r="H17" s="4" t="n">
        <f aca="false">-H6*Assumptions!H32/100</f>
        <v>-820.312600024527</v>
      </c>
      <c r="I17" s="4" t="n">
        <f aca="false">-I6*Assumptions!I32/100</f>
        <v>-832.617289024895</v>
      </c>
      <c r="J17" s="4" t="n">
        <f aca="false">-J6*Assumptions!J32/100</f>
        <v>-840.943461915144</v>
      </c>
      <c r="K17" s="4" t="n">
        <f aca="false">-K6*Assumptions!K32/100</f>
        <v>-849.352896534296</v>
      </c>
      <c r="L17" s="4" t="n">
        <f aca="false">-L6*Assumptions!L32/100</f>
        <v>-857.846425499638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-30.5008312499998</v>
      </c>
      <c r="D18" s="4" t="n">
        <f aca="false">(D6-C6)*Assumptions!$B$37/100</f>
        <v>-25.010681625</v>
      </c>
      <c r="E18" s="4" t="n">
        <f aca="false">(E6-D6)*Assumptions!$B$37/100</f>
        <v>-25.5108952574999</v>
      </c>
      <c r="F18" s="4" t="n">
        <f aca="false">(F6-E6)*Assumptions!$B$37/100</f>
        <v>-26.02111316265</v>
      </c>
      <c r="G18" s="4" t="n">
        <f aca="false">(G6-F6)*Assumptions!$B$37/100</f>
        <v>-19.9061515694271</v>
      </c>
      <c r="H18" s="4" t="n">
        <f aca="false">(H6-G6)*Assumptions!$B$37/100</f>
        <v>-20.2047438429685</v>
      </c>
      <c r="I18" s="4" t="n">
        <f aca="false">(I6-H6)*Assumptions!$B$37/100</f>
        <v>-20.5078150006131</v>
      </c>
      <c r="J18" s="4" t="n">
        <f aca="false">(J6-I6)*Assumptions!$B$37/100</f>
        <v>-13.8769548170816</v>
      </c>
      <c r="K18" s="4" t="n">
        <f aca="false">(K6-J6)*Assumptions!$B$37/100</f>
        <v>-14.0157243652524</v>
      </c>
      <c r="L18" s="4" t="n">
        <f aca="false">(L6-K6)*Assumptions!$B$37/100</f>
        <v>-14.1558816089049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3192.03795874556</v>
      </c>
      <c r="D19" s="0" t="n">
        <f aca="false">D15+D16+D17+D18</f>
        <v>3487.81408443749</v>
      </c>
      <c r="E19" s="0" t="n">
        <f aca="false">E15+E16+E17+E18</f>
        <v>3732.56235214506</v>
      </c>
      <c r="F19" s="0" t="n">
        <f aca="false">F15+F16+F17+F18</f>
        <v>3906.08081864945</v>
      </c>
      <c r="G19" s="0" t="n">
        <f aca="false">G15+G16+G17+G18</f>
        <v>3971.17730921986</v>
      </c>
      <c r="H19" s="0" t="n">
        <f aca="false">H15+H16+H17+H18</f>
        <v>4030.74496885815</v>
      </c>
      <c r="I19" s="0" t="n">
        <f aca="false">I15+I16+I17+I18</f>
        <v>4091.20614339103</v>
      </c>
      <c r="J19" s="0" t="n">
        <f aca="false">J15+J16+J17+J18</f>
        <v>4138.95414315848</v>
      </c>
      <c r="K19" s="0" t="n">
        <f aca="false">K15+K16+K17+K18</f>
        <v>4180.34368459006</v>
      </c>
      <c r="L19" s="0" t="n">
        <f aca="false">L15+L16+L17+L18</f>
        <v>4222.14712143596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2941.97046888992</v>
      </c>
      <c r="D21" s="0" t="n">
        <f aca="false">D19*D20</f>
        <v>2962.74211339166</v>
      </c>
      <c r="E21" s="0" t="n">
        <f aca="false">E19*E20</f>
        <v>2922.25329339202</v>
      </c>
      <c r="F21" s="0" t="n">
        <f aca="false">F19*F20</f>
        <v>2818.52747100976</v>
      </c>
      <c r="G21" s="0" t="n">
        <f aca="false">G19*G20</f>
        <v>2641.01329456355</v>
      </c>
      <c r="H21" s="0" t="n">
        <f aca="false">H19*H20</f>
        <v>2470.62534007558</v>
      </c>
      <c r="I21" s="0" t="n">
        <f aca="false">I19*I20</f>
        <v>2311.2301568449</v>
      </c>
      <c r="J21" s="0" t="n">
        <f aca="false">J19*J20</f>
        <v>2155.02696784352</v>
      </c>
      <c r="K21" s="0" t="n">
        <f aca="false">K19*K20</f>
        <v>2006.06197006632</v>
      </c>
      <c r="L21" s="0" t="n">
        <f aca="false">L19*L20</f>
        <v>1867.39409195114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0.58</v>
      </c>
      <c r="D23" s="4" t="n">
        <f aca="false">Assumptions!D30</f>
        <v>0.58</v>
      </c>
      <c r="E23" s="4" t="n">
        <f aca="false">Assumptions!E30</f>
        <v>0.58</v>
      </c>
      <c r="F23" s="4" t="n">
        <f aca="false">Assumptions!F30</f>
        <v>0.58</v>
      </c>
      <c r="G23" s="4" t="n">
        <f aca="false">Assumptions!G30</f>
        <v>0.58</v>
      </c>
      <c r="H23" s="4" t="n">
        <f aca="false">Assumptions!H30</f>
        <v>0.58</v>
      </c>
      <c r="I23" s="4" t="n">
        <f aca="false">Assumptions!I30</f>
        <v>0.58</v>
      </c>
      <c r="J23" s="4" t="n">
        <f aca="false">Assumptions!J30</f>
        <v>0.58</v>
      </c>
      <c r="K23" s="4" t="n">
        <f aca="false">Assumptions!K30</f>
        <v>0.58</v>
      </c>
      <c r="L23" s="4" t="n">
        <f aca="false">Assumptions!L30</f>
        <v>0.58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-145.061953425</v>
      </c>
      <c r="D24" s="0" t="n">
        <f aca="false">-D6*D23/100</f>
        <v>-147.9631924935</v>
      </c>
      <c r="E24" s="0" t="n">
        <f aca="false">-E6*E23/100</f>
        <v>-150.92245634337</v>
      </c>
      <c r="F24" s="0" t="n">
        <f aca="false">-F6*F23/100</f>
        <v>-153.940905470237</v>
      </c>
      <c r="G24" s="0" t="n">
        <f aca="false">-G6*G23/100</f>
        <v>-156.250019052291</v>
      </c>
      <c r="H24" s="0" t="n">
        <f aca="false">-H6*H23/100</f>
        <v>-158.593769338075</v>
      </c>
      <c r="I24" s="0" t="n">
        <f aca="false">-I6*I23/100</f>
        <v>-160.972675878146</v>
      </c>
      <c r="J24" s="0" t="n">
        <f aca="false">-J6*J23/100</f>
        <v>-162.582402636928</v>
      </c>
      <c r="K24" s="0" t="n">
        <f aca="false">-K6*K23/100</f>
        <v>-164.208226663297</v>
      </c>
      <c r="L24" s="0" t="n">
        <f aca="false">-L6*L23/100</f>
        <v>-165.85030892993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25096.8451680284</v>
      </c>
    </row>
    <row r="31" customFormat="false" ht="15" hidden="false" customHeight="false" outlineLevel="0" collapsed="false">
      <c r="A31" s="0" t="s">
        <v>128</v>
      </c>
      <c r="B31" s="0" t="n">
        <f aca="false">L19</f>
        <v>4222.14712143596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56858.2479020043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50665.7654572315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50665.7654572315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22408.7291034136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47505.574271442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61160.771271442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6.07353491940737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1.15373578702389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6.07353491940737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30459.775661788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3.98458067135685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82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4.5</v>
      </c>
      <c r="D5" s="4" t="n">
        <f aca="false">Assumptions!D41</f>
        <v>4.5</v>
      </c>
      <c r="E5" s="4" t="n">
        <f aca="false">Assumptions!E41</f>
        <v>4</v>
      </c>
      <c r="F5" s="4" t="n">
        <f aca="false">Assumptions!F41</f>
        <v>4</v>
      </c>
      <c r="G5" s="4" t="n">
        <f aca="false">Assumptions!G41</f>
        <v>3.5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24400.665</v>
      </c>
      <c r="C6" s="0" t="n">
        <f aca="false">B6*(1+C5/100)</f>
        <v>25498.694925</v>
      </c>
      <c r="D6" s="0" t="n">
        <f aca="false">C6*(1+D5/100)</f>
        <v>26646.136196625</v>
      </c>
      <c r="E6" s="0" t="n">
        <f aca="false">D6*(1+E5/100)</f>
        <v>27711.98164449</v>
      </c>
      <c r="F6" s="0" t="n">
        <f aca="false">E6*(1+F5/100)</f>
        <v>28820.4609102696</v>
      </c>
      <c r="G6" s="0" t="n">
        <f aca="false">F6*(1+G5/100)</f>
        <v>29829.177042129</v>
      </c>
      <c r="H6" s="0" t="n">
        <f aca="false">G6*(1+H5/100)</f>
        <v>30724.0523533929</v>
      </c>
      <c r="I6" s="0" t="n">
        <f aca="false">H6*(1+I5/100)</f>
        <v>31492.1536622277</v>
      </c>
      <c r="J6" s="0" t="n">
        <f aca="false">I6*(1+J5/100)</f>
        <v>32121.9967354723</v>
      </c>
      <c r="K6" s="0" t="n">
        <f aca="false">J6*(1+K5/100)</f>
        <v>32764.4366701817</v>
      </c>
      <c r="L6" s="0" t="n">
        <f aca="false">K6*(1+L5/100)</f>
        <v>33419.7254035854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23</v>
      </c>
      <c r="D7" s="4" t="n">
        <f aca="false">Assumptions!D42</f>
        <v>24</v>
      </c>
      <c r="E7" s="4" t="n">
        <f aca="false">Assumptions!E42</f>
        <v>25</v>
      </c>
      <c r="F7" s="4" t="n">
        <f aca="false">Assumptions!F42</f>
        <v>25.5</v>
      </c>
      <c r="G7" s="4" t="n">
        <f aca="false">Assumptions!G42</f>
        <v>26</v>
      </c>
      <c r="H7" s="4" t="n">
        <f aca="false">Assumptions!H42</f>
        <v>26</v>
      </c>
      <c r="I7" s="4" t="n">
        <f aca="false">Assumptions!I42</f>
        <v>26</v>
      </c>
      <c r="J7" s="4" t="n">
        <f aca="false">Assumptions!J42</f>
        <v>26</v>
      </c>
      <c r="K7" s="4" t="n">
        <f aca="false">Assumptions!K42</f>
        <v>26</v>
      </c>
      <c r="L7" s="4" t="n">
        <f aca="false">Assumptions!L42</f>
        <v>26</v>
      </c>
    </row>
    <row r="8" customFormat="false" ht="15" hidden="false" customHeight="false" outlineLevel="0" collapsed="false">
      <c r="A8" s="0" t="s">
        <v>44</v>
      </c>
      <c r="C8" s="0" t="n">
        <f aca="false">C6*C7/100</f>
        <v>5864.69983275</v>
      </c>
      <c r="D8" s="0" t="n">
        <f aca="false">D6*D7/100</f>
        <v>6395.07268719</v>
      </c>
      <c r="E8" s="0" t="n">
        <f aca="false">E6*E7/100</f>
        <v>6927.9954111225</v>
      </c>
      <c r="F8" s="0" t="n">
        <f aca="false">F6*F7/100</f>
        <v>7349.21753211875</v>
      </c>
      <c r="G8" s="0" t="n">
        <f aca="false">G6*G7/100</f>
        <v>7755.58603095355</v>
      </c>
      <c r="H8" s="0" t="n">
        <f aca="false">H6*H7/100</f>
        <v>7988.25361188216</v>
      </c>
      <c r="I8" s="0" t="n">
        <f aca="false">I6*I7/100</f>
        <v>8187.95995217921</v>
      </c>
      <c r="J8" s="0" t="n">
        <f aca="false">J6*J7/100</f>
        <v>8351.71915122279</v>
      </c>
      <c r="K8" s="0" t="n">
        <f aca="false">K6*K7/100</f>
        <v>8518.75353424725</v>
      </c>
      <c r="L8" s="0" t="n">
        <f aca="false">L6*L7/100</f>
        <v>8689.1286049322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5716.807402185</v>
      </c>
      <c r="D11" s="0" t="n">
        <f aca="false">D8+D10+D24</f>
        <v>6240.52509724958</v>
      </c>
      <c r="E11" s="0" t="n">
        <f aca="false">E8+E10+E24</f>
        <v>6767.26591758446</v>
      </c>
      <c r="F11" s="0" t="n">
        <f aca="false">F8+F10+F24</f>
        <v>7182.05885883919</v>
      </c>
      <c r="G11" s="0" t="n">
        <f aca="false">G8+G10+G24</f>
        <v>7582.5768041092</v>
      </c>
      <c r="H11" s="0" t="n">
        <f aca="false">H8+H10+H24</f>
        <v>7810.05410823248</v>
      </c>
      <c r="I11" s="0" t="n">
        <f aca="false">I8+I10+I24</f>
        <v>8005.30546093829</v>
      </c>
      <c r="J11" s="0" t="n">
        <f aca="false">J8+J10+J24</f>
        <v>8165.41157015705</v>
      </c>
      <c r="K11" s="0" t="n">
        <f aca="false">K8+K10+K24</f>
        <v>8328.7198015602</v>
      </c>
      <c r="L11" s="0" t="n">
        <f aca="false">L8+L10+L24</f>
        <v>8495.2941975914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-726.7128053625</v>
      </c>
      <c r="D12" s="4" t="n">
        <f aca="false">-D6*Assumptions!D45/100</f>
        <v>-772.737949702125</v>
      </c>
      <c r="E12" s="4" t="n">
        <f aca="false">-E6*Assumptions!E45/100</f>
        <v>-803.64746769021</v>
      </c>
      <c r="F12" s="4" t="n">
        <f aca="false">-F6*Assumptions!F45/100</f>
        <v>-835.793366397818</v>
      </c>
      <c r="G12" s="4" t="n">
        <f aca="false">-G6*Assumptions!G45/100</f>
        <v>-865.046134221742</v>
      </c>
      <c r="H12" s="4" t="n">
        <f aca="false">-H6*Assumptions!H45/100</f>
        <v>-890.997518248394</v>
      </c>
      <c r="I12" s="4" t="n">
        <f aca="false">-I6*Assumptions!I45/100</f>
        <v>-913.272456204604</v>
      </c>
      <c r="J12" s="4" t="n">
        <f aca="false">-J6*Assumptions!J45/100</f>
        <v>-931.537905328696</v>
      </c>
      <c r="K12" s="4" t="n">
        <f aca="false">-K6*Assumptions!K45/100</f>
        <v>-950.16866343527</v>
      </c>
      <c r="L12" s="4" t="n">
        <f aca="false">-L6*Assumptions!L45/100</f>
        <v>-969.172036703976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4990.0945968225</v>
      </c>
      <c r="D13" s="0" t="n">
        <f aca="false">D11+D12</f>
        <v>5467.78714754745</v>
      </c>
      <c r="E13" s="0" t="n">
        <f aca="false">E11+E12</f>
        <v>5963.61844989425</v>
      </c>
      <c r="F13" s="0" t="n">
        <f aca="false">F11+F12</f>
        <v>6346.26549244137</v>
      </c>
      <c r="G13" s="0" t="n">
        <f aca="false">G11+G12</f>
        <v>6717.53066988746</v>
      </c>
      <c r="H13" s="0" t="n">
        <f aca="false">H11+H12</f>
        <v>6919.05658998408</v>
      </c>
      <c r="I13" s="0" t="n">
        <f aca="false">I11+I12</f>
        <v>7092.03300473368</v>
      </c>
      <c r="J13" s="0" t="n">
        <f aca="false">J11+J12</f>
        <v>7233.87366482836</v>
      </c>
      <c r="K13" s="0" t="n">
        <f aca="false">K11+K12</f>
        <v>7378.55113812493</v>
      </c>
      <c r="L13" s="0" t="n">
        <f aca="false">L11+L12</f>
        <v>7526.12216088742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25.5</v>
      </c>
      <c r="D14" s="4" t="n">
        <f aca="false">Assumptions!D47</f>
        <v>25.5</v>
      </c>
      <c r="E14" s="4" t="n">
        <f aca="false">Assumptions!E47</f>
        <v>25.5</v>
      </c>
      <c r="F14" s="4" t="n">
        <f aca="false">Assumptions!F47</f>
        <v>25.5</v>
      </c>
      <c r="G14" s="4" t="n">
        <f aca="false">Assumptions!G47</f>
        <v>25.5</v>
      </c>
      <c r="H14" s="4" t="n">
        <f aca="false">Assumptions!H47</f>
        <v>25.5</v>
      </c>
      <c r="I14" s="4" t="n">
        <f aca="false">Assumptions!I47</f>
        <v>25.5</v>
      </c>
      <c r="J14" s="4" t="n">
        <f aca="false">Assumptions!J47</f>
        <v>25.5</v>
      </c>
      <c r="K14" s="4" t="n">
        <f aca="false">Assumptions!K47</f>
        <v>25.5</v>
      </c>
      <c r="L14" s="4" t="n">
        <f aca="false">Assumptions!L47</f>
        <v>25.5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3717.62047463276</v>
      </c>
      <c r="D15" s="0" t="n">
        <f aca="false">D13-MAX(0,D13)*D14/100</f>
        <v>4073.50142492285</v>
      </c>
      <c r="E15" s="0" t="n">
        <f aca="false">E13-MAX(0,E13)*E14/100</f>
        <v>4442.89574517121</v>
      </c>
      <c r="F15" s="0" t="n">
        <f aca="false">F13-MAX(0,F13)*F14/100</f>
        <v>4727.96779186882</v>
      </c>
      <c r="G15" s="0" t="n">
        <f aca="false">G13-MAX(0,G13)*G14/100</f>
        <v>5004.56034906616</v>
      </c>
      <c r="H15" s="0" t="n">
        <f aca="false">H13-MAX(0,H13)*H14/100</f>
        <v>5154.69715953814</v>
      </c>
      <c r="I15" s="0" t="n">
        <f aca="false">I13-MAX(0,I13)*I14/100</f>
        <v>5283.5645885266</v>
      </c>
      <c r="J15" s="0" t="n">
        <f aca="false">J13-MAX(0,J13)*J14/100</f>
        <v>5389.23588029713</v>
      </c>
      <c r="K15" s="0" t="n">
        <f aca="false">K13-MAX(0,K13)*K14/100</f>
        <v>5497.02059790307</v>
      </c>
      <c r="L15" s="0" t="n">
        <f aca="false">L13-MAX(0,L13)*L14/100</f>
        <v>5606.96100986113</v>
      </c>
    </row>
    <row r="16" customFormat="false" ht="15" hidden="false" customHeight="false" outlineLevel="0" collapsed="false">
      <c r="A16" s="0" t="s">
        <v>119</v>
      </c>
      <c r="C16" s="0" t="n">
        <f aca="false">-C12</f>
        <v>726.7128053625</v>
      </c>
      <c r="D16" s="0" t="n">
        <f aca="false">-D12</f>
        <v>772.737949702125</v>
      </c>
      <c r="E16" s="0" t="n">
        <f aca="false">-E12</f>
        <v>803.64746769021</v>
      </c>
      <c r="F16" s="0" t="n">
        <f aca="false">-F12</f>
        <v>835.793366397818</v>
      </c>
      <c r="G16" s="0" t="n">
        <f aca="false">-G12</f>
        <v>865.046134221742</v>
      </c>
      <c r="H16" s="0" t="n">
        <f aca="false">-H12</f>
        <v>890.997518248394</v>
      </c>
      <c r="I16" s="0" t="n">
        <f aca="false">-I12</f>
        <v>913.272456204604</v>
      </c>
      <c r="J16" s="0" t="n">
        <f aca="false">-J12</f>
        <v>931.537905328696</v>
      </c>
      <c r="K16" s="0" t="n">
        <f aca="false">-K12</f>
        <v>950.16866343527</v>
      </c>
      <c r="L16" s="0" t="n">
        <f aca="false">-L12</f>
        <v>969.172036703976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-968.95040715</v>
      </c>
      <c r="D17" s="4" t="n">
        <f aca="false">-D6*Assumptions!D46/100</f>
        <v>-879.322494488625</v>
      </c>
      <c r="E17" s="4" t="n">
        <f aca="false">-E6*Assumptions!E46/100</f>
        <v>-831.3594493347</v>
      </c>
      <c r="F17" s="4" t="n">
        <f aca="false">-F6*Assumptions!F46/100</f>
        <v>-864.613827308088</v>
      </c>
      <c r="G17" s="4" t="n">
        <f aca="false">-G6*Assumptions!G46/100</f>
        <v>-894.875311263871</v>
      </c>
      <c r="H17" s="4" t="n">
        <f aca="false">-H6*Assumptions!H46/100</f>
        <v>-921.721570601787</v>
      </c>
      <c r="I17" s="4" t="n">
        <f aca="false">-I6*Assumptions!I46/100</f>
        <v>-944.764609866832</v>
      </c>
      <c r="J17" s="4" t="n">
        <f aca="false">-J6*Assumptions!J46/100</f>
        <v>-963.659902064168</v>
      </c>
      <c r="K17" s="4" t="n">
        <f aca="false">-K6*Assumptions!K46/100</f>
        <v>-982.933100105452</v>
      </c>
      <c r="L17" s="4" t="n">
        <f aca="false">-L6*Assumptions!L46/100</f>
        <v>-1002.59176210756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-54.9014962499999</v>
      </c>
      <c r="D18" s="4" t="n">
        <f aca="false">(D6-C6)*Assumptions!$B$51/100</f>
        <v>-57.3720635812499</v>
      </c>
      <c r="E18" s="4" t="n">
        <f aca="false">(E6-D6)*Assumptions!$B$51/100</f>
        <v>-53.2922723932501</v>
      </c>
      <c r="F18" s="4" t="n">
        <f aca="false">(F6-E6)*Assumptions!$B$51/100</f>
        <v>-55.4239632889801</v>
      </c>
      <c r="G18" s="4" t="n">
        <f aca="false">(G6-F6)*Assumptions!$B$51/100</f>
        <v>-50.4358065929717</v>
      </c>
      <c r="H18" s="4" t="n">
        <f aca="false">(H6-G6)*Assumptions!$B$51/100</f>
        <v>-44.7437655631937</v>
      </c>
      <c r="I18" s="4" t="n">
        <f aca="false">(I6-H6)*Assumptions!$B$51/100</f>
        <v>-38.405065441741</v>
      </c>
      <c r="J18" s="4" t="n">
        <f aca="false">(J6-I6)*Assumptions!$B$51/100</f>
        <v>-31.4921536622278</v>
      </c>
      <c r="K18" s="4" t="n">
        <f aca="false">(K6-J6)*Assumptions!$B$51/100</f>
        <v>-32.1219967354724</v>
      </c>
      <c r="L18" s="4" t="n">
        <f aca="false">(L6-K6)*Assumptions!$B$51/100</f>
        <v>-32.7644366701819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3420.48137659526</v>
      </c>
      <c r="D19" s="0" t="n">
        <f aca="false">D15+D16+D17+D18</f>
        <v>3909.5448165551</v>
      </c>
      <c r="E19" s="0" t="n">
        <f aca="false">E15+E16+E17+E18</f>
        <v>4361.89149113347</v>
      </c>
      <c r="F19" s="0" t="n">
        <f aca="false">F15+F16+F17+F18</f>
        <v>4643.72336766957</v>
      </c>
      <c r="G19" s="0" t="n">
        <f aca="false">G15+G16+G17+G18</f>
        <v>4924.29536543106</v>
      </c>
      <c r="H19" s="0" t="n">
        <f aca="false">H15+H16+H17+H18</f>
        <v>5079.22934162156</v>
      </c>
      <c r="I19" s="0" t="n">
        <f aca="false">I15+I16+I17+I18</f>
        <v>5213.66736942263</v>
      </c>
      <c r="J19" s="0" t="n">
        <f aca="false">J15+J16+J17+J18</f>
        <v>5325.62172989943</v>
      </c>
      <c r="K19" s="0" t="n">
        <f aca="false">K15+K16+K17+K18</f>
        <v>5432.13416449741</v>
      </c>
      <c r="L19" s="0" t="n">
        <f aca="false">L15+L16+L17+L18</f>
        <v>5540.77684778736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3152.51739778365</v>
      </c>
      <c r="D21" s="0" t="n">
        <f aca="false">D19*D20</f>
        <v>3320.98351339387</v>
      </c>
      <c r="E21" s="0" t="n">
        <f aca="false">E19*E20</f>
        <v>3414.96017288449</v>
      </c>
      <c r="F21" s="0" t="n">
        <f aca="false">F19*F20</f>
        <v>3350.79136536454</v>
      </c>
      <c r="G21" s="0" t="n">
        <f aca="false">G19*G20</f>
        <v>3274.88009570038</v>
      </c>
      <c r="H21" s="0" t="n">
        <f aca="false">H19*H20</f>
        <v>3113.28868891959</v>
      </c>
      <c r="I21" s="0" t="n">
        <f aca="false">I19*I20</f>
        <v>2945.33808115082</v>
      </c>
      <c r="J21" s="0" t="n">
        <f aca="false">J19*J20</f>
        <v>2772.88852485537</v>
      </c>
      <c r="K21" s="0" t="n">
        <f aca="false">K19*K20</f>
        <v>2606.77077912671</v>
      </c>
      <c r="L21" s="0" t="n">
        <f aca="false">L19*L20</f>
        <v>2450.60478775045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0.58</v>
      </c>
      <c r="D23" s="4" t="n">
        <f aca="false">Assumptions!D44</f>
        <v>0.58</v>
      </c>
      <c r="E23" s="4" t="n">
        <f aca="false">Assumptions!E44</f>
        <v>0.58</v>
      </c>
      <c r="F23" s="4" t="n">
        <f aca="false">Assumptions!F44</f>
        <v>0.58</v>
      </c>
      <c r="G23" s="4" t="n">
        <f aca="false">Assumptions!G44</f>
        <v>0.58</v>
      </c>
      <c r="H23" s="4" t="n">
        <f aca="false">Assumptions!H44</f>
        <v>0.58</v>
      </c>
      <c r="I23" s="4" t="n">
        <f aca="false">Assumptions!I44</f>
        <v>0.58</v>
      </c>
      <c r="J23" s="4" t="n">
        <f aca="false">Assumptions!J44</f>
        <v>0.58</v>
      </c>
      <c r="K23" s="4" t="n">
        <f aca="false">Assumptions!K44</f>
        <v>0.58</v>
      </c>
      <c r="L23" s="4" t="n">
        <f aca="false">Assumptions!L44</f>
        <v>0.58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-147.892430565</v>
      </c>
      <c r="D24" s="0" t="n">
        <f aca="false">-D6*D23/100</f>
        <v>-154.547589940425</v>
      </c>
      <c r="E24" s="0" t="n">
        <f aca="false">-E6*E23/100</f>
        <v>-160.729493538042</v>
      </c>
      <c r="F24" s="0" t="n">
        <f aca="false">-F6*F23/100</f>
        <v>-167.158673279564</v>
      </c>
      <c r="G24" s="0" t="n">
        <f aca="false">-G6*G23/100</f>
        <v>-173.009226844348</v>
      </c>
      <c r="H24" s="0" t="n">
        <f aca="false">-H6*H23/100</f>
        <v>-178.199503649679</v>
      </c>
      <c r="I24" s="0" t="n">
        <f aca="false">-I6*I23/100</f>
        <v>-182.654491240921</v>
      </c>
      <c r="J24" s="0" t="n">
        <f aca="false">-J6*J23/100</f>
        <v>-186.307581065739</v>
      </c>
      <c r="K24" s="0" t="n">
        <f aca="false">-K6*K23/100</f>
        <v>-190.033732687054</v>
      </c>
      <c r="L24" s="0" t="n">
        <f aca="false">-L6*L23/100</f>
        <v>-193.834407340795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30403.0234069299</v>
      </c>
    </row>
    <row r="31" customFormat="false" ht="15" hidden="false" customHeight="false" outlineLevel="0" collapsed="false">
      <c r="A31" s="0" t="s">
        <v>128</v>
      </c>
      <c r="B31" s="0" t="n">
        <f aca="false">L19</f>
        <v>5540.77684778736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86947.575149894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66489.3221734484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66489.3221734484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29407.2574530055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59810.2808599353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73465.4778599353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7.29544667075855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1.58703782651012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7.29544667075855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43473.787574947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4.67859754036922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4.55718238008401</v>
      </c>
      <c r="C4" s="0" t="n">
        <f aca="false">B4/Assumptions!$B$2-1</f>
        <v>0.616022120597168</v>
      </c>
      <c r="D4" s="4" t="n">
        <f aca="false">Assumptions!$B$24</f>
        <v>0.25</v>
      </c>
      <c r="E4" s="4" t="n">
        <f aca="false">DCF_Bear!$B$43</f>
        <v>4.55718238008401</v>
      </c>
      <c r="F4" s="4" t="n">
        <f aca="false">DCF_Bear!$B$47</f>
        <v>3.19767178711132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6.07353491940737</v>
      </c>
      <c r="C5" s="0" t="n">
        <f aca="false">B5/Assumptions!$B$2-1</f>
        <v>1.15373578702389</v>
      </c>
      <c r="D5" s="4" t="n">
        <f aca="false">Assumptions!$B$38</f>
        <v>0.55</v>
      </c>
      <c r="E5" s="4" t="n">
        <f aca="false">DCF_Base!$B$43</f>
        <v>6.07353491940737</v>
      </c>
      <c r="F5" s="4" t="n">
        <f aca="false">DCF_Base!$B$47</f>
        <v>3.98458067135685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7.29544667075855</v>
      </c>
      <c r="C6" s="0" t="n">
        <f aca="false">B6/Assumptions!$B$2-1</f>
        <v>1.58703782651012</v>
      </c>
      <c r="D6" s="4" t="n">
        <f aca="false">Assumptions!$B$52</f>
        <v>0.2</v>
      </c>
      <c r="E6" s="4" t="n">
        <f aca="false">DCF_Bull!$B$43</f>
        <v>7.29544667075855</v>
      </c>
      <c r="F6" s="4" t="n">
        <f aca="false">DCF_Bull!$B$47</f>
        <v>4.67859754036922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5.93882913484677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5.93882913484677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0.525158926790245</v>
      </c>
    </row>
    <row r="11" customFormat="false" ht="15" hidden="false" customHeight="false" outlineLevel="0" collapsed="false">
      <c r="A11" s="0" t="s">
        <v>155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3.92665682409794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6.07353491940737</v>
      </c>
      <c r="C15" s="3" t="n">
        <v>8.5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5.91638893727612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5.49665463792552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5.0726539630283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4.72603937034432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3.98458067135685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6.77854067874491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6.77854067874491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6.77854067874491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6.77854067874491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6.77854067874491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6.40994299064207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6.40994299064207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6.40994299064207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6.40994299064207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6.40994299064207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6.02990186358154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6.07353491940737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6.07353491940737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6.07353491940737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6.07353491940737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5.51679524648563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5.62513273377854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5.74621580781179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5.76611987477616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5.76611987477616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5.10232171793652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5.18360891428336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5.27345265761407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5.37327903909264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5.48484970074515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2026-10-10T22:37:47Z</dcterms:created>
  <dc:creator>openpyxl</dc:creator>
  <dc:description/>
  <dc:language>en-NZ</dc:language>
  <cp:lastModifiedBy/>
  <dcterms:modified xsi:type="dcterms:W3CDTF">2026-10-10T22:37:47Z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