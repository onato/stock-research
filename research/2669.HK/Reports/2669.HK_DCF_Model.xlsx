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<sst xmlns="http://schemas.openxmlformats.org/spreadsheetml/2006/main" count="354" uniqueCount="164">
  <si>
    <t xml:space="preserve">Ticker</t>
  </si>
  <si>
    <t xml:space="preserve">2669.HK</t>
  </si>
  <si>
    <t xml:space="preserve">Company</t>
  </si>
  <si>
    <t xml:space="preserve">China Overseas Property Holdings Limited</t>
  </si>
  <si>
    <t xml:space="preserve">Valuation date</t>
  </si>
  <si>
    <t xml:space="preserve">2026-10-22</t>
  </si>
  <si>
    <t xml:space="preserve">Current price</t>
  </si>
  <si>
    <t xml:space="preserve">Price as of</t>
  </si>
  <si>
    <t xml:space="preserve">2026-10-22T03:57:40Z regular session (intraday, HKEX)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</si>
  <si>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</si>
  <si>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</si>
  <si>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</si>
  <si>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</si>
  <si>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</si>
  <si>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</si>
  <si>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</si>
  <si>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</si>
  <si>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</si>
  <si>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</si>
  <si>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</si>
  <si>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</si>
  <si>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</si>
  <si>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2026-10-22T04:24:04Z</t>
  </si>
  <si>
    <t xml:space="preserve">Drivers file</t>
  </si>
  <si>
    <t xml:space="preserve">2669.HK_Drivers.json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</si>
  <si>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</si>
  <si>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</si>
  <si>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</si>
  <si>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recurring-fee property manager valued on owner free cash flow in RMB with the HKD quote bridged at spot. The valuation is dominated by two things the market is discounting hard: RMB5.7bn of net cash credited at face (about two-thirds of the share price) and a terminal multiple of 12-15x on a cash flow stream whose margin has compressed for two years. The upside the model shows is therefore mostly a judgment that SOE cash will eventually reach shareholders and that margins stabilise rather than halve; the 30% bear weight is where governance and sector-derating risk are charged, not the discount rate.
key_risks_to_valuation: Cash credited at face: RMB5.73bn (~HK$2.05/share) sits in PRC subsidiaries and HK; payout ~42% and sister-company acquisitions (CCPM Dec-2025, Project Supervision up to HK$950m announced 2026) mean minority holders may never see it at par; Margin compression not yet proven to have troughed: lump-sum gross margin 14.0% -&gt; 12.4% in FY2025, H1 FY2026 operating profit -10.5%; each 1pp of EBITDA margin is worth roughly RMB0.85/share (~HK$1.0) at the base multiple; Receivables: impairment rate raised to 11.1% in FY2025; H1 FY2026 OCF RMB-502m; the -25% WC capture may be too kind if collections from developers and public bodies keep slipping; Parent linkage: 57% of GFA sourced from the CSCEC/COLI group; a deeper China property downturn shrinks the captive pipeline and the developer-facing value-added segment at the same time; FX: all per-share values are RMB x 1.175; a 5% RMB depreciation against the HKD peg moves every HKD value 5% with no change in the business; Horizon and terminal: ~55-60% of EV is terminal value at a 15x cap; a China PM sector that stays at 6-8x earnings never pays that multiple, so realisation depends on cash return rather than re-rating</t>
  </si>
  <si>
    <t xml:space="preserve">Data sources</t>
  </si>
  <si>
    <t xml:space="preserve">price: Yahoo Finance chart API, regular HKEX session print at inputs.price_as_of; 52-week range HK$3.15-5.15; the last five closes are within 4% of the print so it is not an outlier
fx: Yahoo Finance CNYHKD=X at 2026-10-22T04:18Z, recorded in inputs.fx_rate and inputs.fx_note
financials: 2669.HK_Metrics.csv (core_metrics export, RMB from FY2023; HKD FY2018-FY2022 unused), 2669.HK_Annual_FY2025.txt (income statement 5662-5694, cash flow 6007-6132, lease notes 6089/9376, SBC 8582), 2669.HK_HalfYear_H1-2026.txt (balance sheet 1277-1333, cash flow 1443-1484, shares 2707, EPS 1193), 2669.HK_Annual_FY2024.txt and FY2023 for the restated margin history
qualitative: 2669.HK_Analysis.json (2026-10-22): business model, segment margins, related-party transactions, Project Supervision deal and analyst reaction, H1 FY2026 interim commentary</t>
  </si>
  <si>
    <t xml:space="preserve">Scenario narrative: bear</t>
  </si>
  <si>
    <t xml:space="preserve">Fee-rate compression and contract withdrawals continue, margins drift to 8.5%, revenue flat for three years, receivables consume a third of any growth, terminal multiple capped at 12x; the cash pile stays trapped behind a ~42% payout and sister-company acquisitions.</t>
  </si>
  <si>
    <t xml:space="preserve">Scenario narrative: base</t>
  </si>
  <si>
    <t xml:space="preserve">Margin reset completes in FY2026 (ex-interest EBITDA ~11.2% vs 12.3% FY2025, 14.4% FY2024), then stabilises at 11% as the mix shifts from residential to urban-space and public-sector contracts; revenue +4% fading to +2.5%; receivables absorb ~25% of incremental revenue; cash at face, NCI at book.</t>
  </si>
  <si>
    <t xml:space="preserve">Scenario narrative: bull</t>
  </si>
  <si>
    <t xml:space="preserve">Third-party and non-residential wins lift growth to ~6%; procurement and digital efficiency recover margins to 12.5% by year 6; collections normalise as the property cycle troughs; no further elevated related-party transactions.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</si>
  <si>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</si>
  <si>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</si>
  <si>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</si>
  <si>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</si>
  <si>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</si>
  <si>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</si>
  <si>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</si>
  <si>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</si>
  <si>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</si>
  <si>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</si>
  <si>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</si>
  <si>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</si>
  <si>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</si>
  <si>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</si>
  <si>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</si>
  <si>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</si>
  <si>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</si>
  <si>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</si>
  <si>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</si>
  <si>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</si>
  <si>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</si>
  <si>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</si>
  <si>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</si>
  <si>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</si>
  <si>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</si>
  <si>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</si>
  <si>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</si>
  <si>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</si>
  <si>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</si>
  <si>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</si>
  <si>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</si>
  <si>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</si>
  <si>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</si>
  <si>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</si>
  <si>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</si>
  <si>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</si>
  <si>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</si>
  <si>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</si>
  <si>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</si>
  <si>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</si>
  <si>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</si>
  <si>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</si>
  <si>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</si>
  <si>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</si>
  <si>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</si>
  <si>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</si>
  <si>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</si>
  <si>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</si>
  <si>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</si>
  <si>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</si>
  <si>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</si>
  <si>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</si>
  <si>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</si>
  <si>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</si>
  <si>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</si>
  <si>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</si>
  <si>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</si>
  <si>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</si>
  <si>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</si>
  <si>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</si>
  <si>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</si>
  <si>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</si>
  <si>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</si>
  <si>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</si>
  <si>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</si>
  <si>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</si>
  <si>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</si>
  <si>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</si>
  <si>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</si>
  <si>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</si>
  <si>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</si>
  <si>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</si>
  <si>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2669.HK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</si>
  <si>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</si>
  <si>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</si>
  <si>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</si>
  <si>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</si>
  <si>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</si>
  <si>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</si>
  <si>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</si>
  <si>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</si>
  <si>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</si>
  <si>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</si>
  <si>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</si>
  <si>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</si>
  <si>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</si>
  <si>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</si>
  <si>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</si>
  <si>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</si>
  <si>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</si>
  <si>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</si>
  <si>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</si>
  <si>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</si>
  <si>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</si>
  <si>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</si>
  <si>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</si>
  <si>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</si>
  <si>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</si>
  <si>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</si>
  <si>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</si>
  <si>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</si>
  <si>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</si>
  <si>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</si>
  <si>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2669.HK owner-FCF component DCF: base case (millions, CNY)</t>
  </si>
  <si>
    <t xml:space="preserve">2669.HK owner-FCF component DCF: bull case (millions, CNY)</t>
  </si>
  <si>
    <t xml:space="preserve">2669.HK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</si>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</sst>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3.205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4154.67</v>
      </c>
      <c r="C2" s="0" t="n">
        <v>3305.88</v>
      </c>
      <c r="D2" s="0" t="n">
        <v>848.79</v>
      </c>
      <c r="E2" s="0" t="n">
        <v>20.4</v>
      </c>
      <c r="F2" s="0" t="n">
        <v>557.973</v>
      </c>
      <c r="G2" s="0" t="n">
        <v>13.4</v>
      </c>
      <c r="H2" s="0" t="n">
        <v>575.854</v>
      </c>
      <c r="I2" s="0" t="n">
        <v>402.058</v>
      </c>
      <c r="J2" s="0" t="n">
        <v>9.7</v>
      </c>
      <c r="K2" s="0" t="n">
        <v>0.1223</v>
      </c>
      <c r="L2" s="0" t="n">
        <v>229.045</v>
      </c>
      <c r="M2" s="0" t="n">
        <v>28.422</v>
      </c>
      <c r="N2" s="0" t="n">
        <v>200.623</v>
      </c>
      <c r="O2" s="0" t="n">
        <v>1119.753</v>
      </c>
      <c r="R2" s="0" t="n">
        <v>0</v>
      </c>
      <c r="S2" s="0" t="n">
        <v>2398.334</v>
      </c>
      <c r="T2" s="0" t="n">
        <v>3286.86</v>
      </c>
      <c r="U2" s="0" t="n">
        <v>0.5</v>
      </c>
      <c r="AA2" s="0" t="s">
        <v>18</v>
      </c>
      <c r="AB2" s="0" t="s">
        <v>16</v>
      </c>
    </row>
    <row r="3" customFormat="false" ht="15" hidden="false" customHeight="false" outlineLevel="0" collapsed="false">
      <c r="A3" s="0" t="s">
        <v>65</v>
      </c>
      <c r="B3" s="0" t="n">
        <v>5465.521</v>
      </c>
      <c r="C3" s="0" t="n">
        <v>4375.097</v>
      </c>
      <c r="D3" s="0" t="n">
        <v>1090.424</v>
      </c>
      <c r="E3" s="0" t="n">
        <v>20</v>
      </c>
      <c r="F3" s="0" t="n">
        <v>762.528</v>
      </c>
      <c r="G3" s="0" t="n">
        <v>14</v>
      </c>
      <c r="H3" s="0" t="n">
        <v>803.354</v>
      </c>
      <c r="I3" s="0" t="n">
        <v>537.84</v>
      </c>
      <c r="J3" s="0" t="n">
        <v>9.8</v>
      </c>
      <c r="K3" s="0" t="n">
        <v>0.1636</v>
      </c>
      <c r="L3" s="0" t="n">
        <v>307.225</v>
      </c>
      <c r="M3" s="0" t="n">
        <v>45.337</v>
      </c>
      <c r="N3" s="0" t="n">
        <v>261.888</v>
      </c>
      <c r="O3" s="0" t="n">
        <v>1513.873</v>
      </c>
      <c r="R3" s="0" t="n">
        <v>54.505</v>
      </c>
      <c r="S3" s="0" t="n">
        <v>2495.693</v>
      </c>
      <c r="T3" s="0" t="n">
        <v>3286.86</v>
      </c>
      <c r="U3" s="0" t="n">
        <v>4.225</v>
      </c>
      <c r="AA3" s="0" t="s">
        <v>18</v>
      </c>
      <c r="AB3" s="0" t="s">
        <v>16</v>
      </c>
    </row>
    <row r="4" customFormat="false" ht="15" hidden="false" customHeight="false" outlineLevel="0" collapsed="false">
      <c r="A4" s="0" t="s">
        <v>66</v>
      </c>
      <c r="B4" s="0" t="n">
        <v>6544.877</v>
      </c>
      <c r="C4" s="0" t="n">
        <v>5349.433</v>
      </c>
      <c r="D4" s="0" t="n">
        <v>1195.444</v>
      </c>
      <c r="E4" s="0" t="n">
        <v>18.3</v>
      </c>
      <c r="F4" s="0" t="n">
        <v>934.061</v>
      </c>
      <c r="G4" s="0" t="n">
        <v>14.3</v>
      </c>
      <c r="H4" s="0" t="n">
        <v>983.699</v>
      </c>
      <c r="I4" s="0" t="n">
        <v>700.008</v>
      </c>
      <c r="J4" s="0" t="n">
        <v>10.7</v>
      </c>
      <c r="K4" s="0" t="n">
        <v>0.213</v>
      </c>
      <c r="L4" s="0" t="n">
        <v>1220.091</v>
      </c>
      <c r="M4" s="0" t="n">
        <v>46.644</v>
      </c>
      <c r="N4" s="0" t="n">
        <v>1173.447</v>
      </c>
      <c r="O4" s="0" t="n">
        <v>2148.831</v>
      </c>
      <c r="R4" s="0" t="n">
        <v>63.406</v>
      </c>
      <c r="S4" s="0" t="n">
        <v>3705.703</v>
      </c>
      <c r="T4" s="0" t="n">
        <v>3286.86</v>
      </c>
      <c r="U4" s="0" t="n">
        <v>4.189</v>
      </c>
      <c r="AA4" s="0" t="s">
        <v>18</v>
      </c>
      <c r="AB4" s="0" t="s">
        <v>16</v>
      </c>
    </row>
    <row r="5" customFormat="false" ht="15" hidden="false" customHeight="false" outlineLevel="0" collapsed="false">
      <c r="A5" s="0" t="s">
        <v>67</v>
      </c>
      <c r="B5" s="0" t="n">
        <v>9442.035</v>
      </c>
      <c r="C5" s="0" t="n">
        <v>7800.427</v>
      </c>
      <c r="D5" s="0" t="n">
        <v>1641.608</v>
      </c>
      <c r="E5" s="0" t="n">
        <v>17.4</v>
      </c>
      <c r="F5" s="0" t="n">
        <v>1319.323</v>
      </c>
      <c r="G5" s="0" t="n">
        <v>14</v>
      </c>
      <c r="H5" s="0" t="n">
        <v>1385.928</v>
      </c>
      <c r="I5" s="0" t="n">
        <v>983.872</v>
      </c>
      <c r="J5" s="0" t="n">
        <v>10.4</v>
      </c>
      <c r="K5" s="0" t="n">
        <v>0.2993</v>
      </c>
      <c r="L5" s="0" t="n">
        <v>769.592</v>
      </c>
      <c r="M5" s="0" t="n">
        <v>109.993</v>
      </c>
      <c r="N5" s="0" t="n">
        <v>659.599</v>
      </c>
      <c r="O5" s="0" t="n">
        <v>3000.038</v>
      </c>
      <c r="R5" s="0" t="n">
        <v>74.084</v>
      </c>
      <c r="S5" s="0" t="n">
        <v>4283.374</v>
      </c>
      <c r="T5" s="0" t="n">
        <v>3286.86</v>
      </c>
      <c r="U5" s="0" t="n">
        <v>8.048</v>
      </c>
      <c r="AA5" s="0" t="s">
        <v>18</v>
      </c>
      <c r="AB5" s="0" t="s">
        <v>16</v>
      </c>
    </row>
    <row r="6" customFormat="false" ht="15" hidden="false" customHeight="false" outlineLevel="0" collapsed="false">
      <c r="A6" s="0" t="s">
        <v>68</v>
      </c>
      <c r="B6" s="0" t="n">
        <v>12688.968</v>
      </c>
      <c r="C6" s="0" t="n">
        <v>10668.584</v>
      </c>
      <c r="D6" s="0" t="n">
        <v>2020.384</v>
      </c>
      <c r="E6" s="0" t="n">
        <v>15.9</v>
      </c>
      <c r="F6" s="0" t="n">
        <v>1687.467</v>
      </c>
      <c r="G6" s="0" t="n">
        <v>13.3</v>
      </c>
      <c r="H6" s="0" t="n">
        <v>1772.728</v>
      </c>
      <c r="I6" s="0" t="n">
        <v>1273.146</v>
      </c>
      <c r="J6" s="0" t="n">
        <v>10</v>
      </c>
      <c r="K6" s="0" t="n">
        <v>0.3873</v>
      </c>
      <c r="L6" s="0" t="n">
        <v>1210.73</v>
      </c>
      <c r="M6" s="0" t="n">
        <v>118.993</v>
      </c>
      <c r="N6" s="0" t="n">
        <v>1091.737</v>
      </c>
      <c r="O6" s="0" t="n">
        <v>3611.35</v>
      </c>
      <c r="R6" s="0" t="n">
        <v>206.549</v>
      </c>
      <c r="S6" s="0" t="n">
        <v>4691.12</v>
      </c>
      <c r="T6" s="0" t="n">
        <v>3286.86</v>
      </c>
      <c r="U6" s="0" t="n">
        <v>6.3</v>
      </c>
      <c r="AA6" s="0" t="s">
        <v>18</v>
      </c>
      <c r="AB6" s="0" t="s">
        <v>16</v>
      </c>
    </row>
    <row r="7" customFormat="false" ht="15" hidden="false" customHeight="false" outlineLevel="0" collapsed="false">
      <c r="A7" s="0" t="s">
        <v>69</v>
      </c>
      <c r="B7" s="0" t="n">
        <v>13051.25</v>
      </c>
      <c r="C7" s="0" t="n">
        <v>10981.43</v>
      </c>
      <c r="D7" s="0" t="n">
        <v>2069.82</v>
      </c>
      <c r="E7" s="0" t="n">
        <v>15.9</v>
      </c>
      <c r="F7" s="0" t="n">
        <v>1803.427</v>
      </c>
      <c r="G7" s="0" t="n">
        <v>13.8</v>
      </c>
      <c r="H7" s="0" t="n">
        <v>1886.167</v>
      </c>
      <c r="I7" s="0" t="n">
        <v>1342.503</v>
      </c>
      <c r="J7" s="0" t="n">
        <v>10.3</v>
      </c>
      <c r="K7" s="0" t="n">
        <v>0.4084</v>
      </c>
      <c r="L7" s="0" t="n">
        <v>1504.676</v>
      </c>
      <c r="M7" s="0" t="n">
        <v>143.43</v>
      </c>
      <c r="N7" s="0" t="n">
        <v>1361.246</v>
      </c>
      <c r="O7" s="0" t="n">
        <v>4121.365</v>
      </c>
      <c r="R7" s="0" t="n">
        <v>153.632</v>
      </c>
      <c r="S7" s="0" t="n">
        <v>5130.66</v>
      </c>
      <c r="T7" s="0" t="n">
        <v>3286.86</v>
      </c>
      <c r="U7" s="0" t="n">
        <v>0.61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14023.767</v>
      </c>
      <c r="C8" s="0" t="n">
        <v>11698.259</v>
      </c>
      <c r="D8" s="0" t="n">
        <v>2325.508</v>
      </c>
      <c r="E8" s="0" t="n">
        <v>16.6</v>
      </c>
      <c r="F8" s="0" t="n">
        <v>2012.35</v>
      </c>
      <c r="G8" s="0" t="n">
        <v>14.3</v>
      </c>
      <c r="H8" s="0" t="n">
        <v>2115.391</v>
      </c>
      <c r="I8" s="0" t="n">
        <v>1510.918</v>
      </c>
      <c r="J8" s="0" t="n">
        <v>10.8</v>
      </c>
      <c r="K8" s="0" t="n">
        <v>0.46</v>
      </c>
      <c r="L8" s="0" t="n">
        <v>1313.056</v>
      </c>
      <c r="M8" s="0" t="n">
        <v>138.089</v>
      </c>
      <c r="N8" s="0" t="n">
        <v>1174.967</v>
      </c>
      <c r="O8" s="0" t="n">
        <v>5110.482</v>
      </c>
      <c r="R8" s="0" t="n">
        <v>172.155</v>
      </c>
      <c r="S8" s="0" t="n">
        <v>5803.46</v>
      </c>
      <c r="T8" s="0" t="n">
        <v>3284.4</v>
      </c>
      <c r="U8" s="0" t="n">
        <v>-2.392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14959.871</v>
      </c>
      <c r="C9" s="0" t="n">
        <v>12712.593</v>
      </c>
      <c r="D9" s="0" t="n">
        <v>2247.278</v>
      </c>
      <c r="E9" s="0" t="n">
        <v>15</v>
      </c>
      <c r="F9" s="0" t="n">
        <v>1828.109</v>
      </c>
      <c r="G9" s="0" t="n">
        <v>12.2</v>
      </c>
      <c r="H9" s="0" t="n">
        <v>1941.58</v>
      </c>
      <c r="I9" s="0" t="n">
        <v>1366.779</v>
      </c>
      <c r="J9" s="0" t="n">
        <v>9.1</v>
      </c>
      <c r="K9" s="0" t="n">
        <v>0.4162</v>
      </c>
      <c r="L9" s="0" t="n">
        <v>1153.458</v>
      </c>
      <c r="M9" s="0" t="n">
        <v>120.233</v>
      </c>
      <c r="N9" s="0" t="n">
        <v>1033.225</v>
      </c>
      <c r="O9" s="0" t="n">
        <v>5854.473</v>
      </c>
      <c r="R9" s="0" t="n">
        <v>145.936</v>
      </c>
      <c r="S9" s="0" t="n">
        <v>6270.725</v>
      </c>
      <c r="T9" s="0" t="n">
        <v>3284.4</v>
      </c>
      <c r="U9" s="0" t="n">
        <v>0</v>
      </c>
      <c r="AA9" s="0" t="s">
        <v>18</v>
      </c>
      <c r="AB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72</v>
      </c>
      <c r="B1" s="2" t="s">
        <v>73</v>
      </c>
    </row>
    <row r="2" customFormat="false" ht="15" hidden="false" customHeight="false" outlineLevel="0" collapsed="false">
      <c r="A2" s="0" t="s">
        <v>74</v>
      </c>
      <c r="B2" s="3" t="n">
        <v>3.205</v>
      </c>
    </row>
    <row r="3" customFormat="false" ht="15" hidden="false" customHeight="false" outlineLevel="0" collapsed="false">
      <c r="A3" s="0" t="s">
        <v>75</v>
      </c>
      <c r="B3" s="3" t="n">
        <v>3283.96</v>
      </c>
    </row>
    <row r="4" customFormat="false" ht="15" hidden="false" customHeight="false" outlineLevel="0" collapsed="false">
      <c r="A4" s="0" t="s">
        <v>76</v>
      </c>
      <c r="B4" s="3" t="n">
        <v>-5733.322</v>
      </c>
    </row>
    <row r="5" customFormat="false" ht="15" hidden="false" customHeight="false" outlineLevel="0" collapsed="false">
      <c r="A5" s="0" t="s">
        <v>77</v>
      </c>
      <c r="B5" s="3" t="n">
        <v>-76.196</v>
      </c>
    </row>
    <row r="6" customFormat="false" ht="15" hidden="false" customHeight="false" outlineLevel="0" collapsed="false">
      <c r="A6" s="0" t="s">
        <v>78</v>
      </c>
      <c r="B6" s="3" t="n">
        <v>15</v>
      </c>
    </row>
    <row r="7" customFormat="false" ht="15" hidden="false" customHeight="false" outlineLevel="0" collapsed="false">
      <c r="A7" s="0" t="s">
        <v>79</v>
      </c>
      <c r="B7" s="3" t="n">
        <v>14959.871</v>
      </c>
    </row>
    <row r="8" customFormat="false" ht="15" hidden="false" customHeight="false" outlineLevel="0" collapsed="false">
      <c r="A8" s="0" t="s">
        <v>80</v>
      </c>
      <c r="B8" s="3" t="s">
        <v>71</v>
      </c>
    </row>
    <row r="9" customFormat="false" ht="15" hidden="false" customHeight="false" outlineLevel="0" collapsed="false">
      <c r="A9" s="0" t="s">
        <v>81</v>
      </c>
      <c r="B9" s="3" t="s">
        <v>82</v>
      </c>
    </row>
    <row r="10" customFormat="false" ht="15" hidden="false" customHeight="false" outlineLevel="0" collapsed="false">
      <c r="A10" s="0" t="s">
        <v>83</v>
      </c>
      <c r="B10" s="3" t="n">
        <v>1.175</v>
      </c>
    </row>
    <row r="12" customFormat="false" ht="15" hidden="false" customHeight="false" outlineLevel="0" collapsed="false">
      <c r="A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  <c r="J12" s="2" t="s">
        <v>92</v>
      </c>
      <c r="K12" s="2" t="s">
        <v>93</v>
      </c>
      <c r="L12" s="2" t="s">
        <v>94</v>
      </c>
    </row>
    <row r="13" customFormat="false" ht="15" hidden="false" customHeight="false" outlineLevel="0" collapsed="false">
      <c r="A13" s="0" t="s">
        <v>95</v>
      </c>
      <c r="C13" s="3" t="n">
        <v>2</v>
      </c>
      <c r="D13" s="3" t="n">
        <v>0.5</v>
      </c>
      <c r="E13" s="3" t="n">
        <v>0</v>
      </c>
      <c r="F13" s="3" t="n">
        <v>0</v>
      </c>
      <c r="G13" s="3" t="n">
        <v>0.5</v>
      </c>
      <c r="H13" s="3" t="n">
        <v>1</v>
      </c>
      <c r="I13" s="3" t="n">
        <v>1</v>
      </c>
      <c r="J13" s="3" t="n">
        <v>1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96</v>
      </c>
      <c r="C14" s="3" t="n">
        <v>10.8</v>
      </c>
      <c r="D14" s="3" t="n">
        <v>10</v>
      </c>
      <c r="E14" s="3" t="n">
        <v>9.4</v>
      </c>
      <c r="F14" s="3" t="n">
        <v>9</v>
      </c>
      <c r="G14" s="3" t="n">
        <v>8.8</v>
      </c>
      <c r="H14" s="3" t="n">
        <v>8.6</v>
      </c>
      <c r="I14" s="3" t="n">
        <v>8.5</v>
      </c>
      <c r="J14" s="3" t="n">
        <v>8.5</v>
      </c>
      <c r="K14" s="3" t="n">
        <v>8.5</v>
      </c>
      <c r="L14" s="3" t="n">
        <v>8.5</v>
      </c>
    </row>
    <row r="15" customFormat="false" ht="15" hidden="false" customHeight="false" outlineLevel="0" collapsed="false">
      <c r="A15" s="0" t="s">
        <v>97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98</v>
      </c>
      <c r="C16" s="3" t="n">
        <v>0.4</v>
      </c>
      <c r="D16" s="3" t="n">
        <v>0.4</v>
      </c>
      <c r="E16" s="3" t="n">
        <v>0.4</v>
      </c>
      <c r="F16" s="3" t="n">
        <v>0.4</v>
      </c>
      <c r="G16" s="3" t="n">
        <v>0.4</v>
      </c>
      <c r="H16" s="3" t="n">
        <v>0.4</v>
      </c>
      <c r="I16" s="3" t="n">
        <v>0.4</v>
      </c>
      <c r="J16" s="3" t="n">
        <v>0.4</v>
      </c>
      <c r="K16" s="3" t="n">
        <v>0.4</v>
      </c>
      <c r="L16" s="3" t="n">
        <v>0.4</v>
      </c>
    </row>
    <row r="17" customFormat="false" ht="15" hidden="false" customHeight="false" outlineLevel="0" collapsed="false">
      <c r="A17" s="0" t="s">
        <v>99</v>
      </c>
      <c r="C17" s="3" t="n">
        <v>0.45</v>
      </c>
      <c r="D17" s="3" t="n">
        <v>0.5</v>
      </c>
      <c r="E17" s="3" t="n">
        <v>0.55</v>
      </c>
      <c r="F17" s="3" t="n">
        <v>0.6</v>
      </c>
      <c r="G17" s="3" t="n">
        <v>0.65</v>
      </c>
      <c r="H17" s="3" t="n">
        <v>0.7</v>
      </c>
      <c r="I17" s="3" t="n">
        <v>0.7</v>
      </c>
      <c r="J17" s="3" t="n">
        <v>0.7</v>
      </c>
      <c r="K17" s="3" t="n">
        <v>0.7</v>
      </c>
      <c r="L17" s="3" t="n">
        <v>0.7</v>
      </c>
    </row>
    <row r="18" customFormat="false" ht="15" hidden="false" customHeight="false" outlineLevel="0" collapsed="false">
      <c r="A18" s="0" t="s">
        <v>100</v>
      </c>
      <c r="C18" s="3" t="n">
        <v>0.8</v>
      </c>
      <c r="D18" s="3" t="n">
        <v>0.8</v>
      </c>
      <c r="E18" s="3" t="n">
        <v>0.78</v>
      </c>
      <c r="F18" s="3" t="n">
        <v>0.76</v>
      </c>
      <c r="G18" s="3" t="n">
        <v>0.75</v>
      </c>
      <c r="H18" s="3" t="n">
        <v>0.75</v>
      </c>
      <c r="I18" s="3" t="n">
        <v>0.75</v>
      </c>
      <c r="J18" s="3" t="n">
        <v>0.75</v>
      </c>
      <c r="K18" s="3" t="n">
        <v>0.75</v>
      </c>
      <c r="L18" s="3" t="n">
        <v>0.75</v>
      </c>
    </row>
    <row r="19" customFormat="false" ht="15" hidden="false" customHeight="false" outlineLevel="0" collapsed="false">
      <c r="A19" s="0" t="s">
        <v>101</v>
      </c>
      <c r="C19" s="3" t="n">
        <v>28</v>
      </c>
      <c r="D19" s="3" t="n">
        <v>28</v>
      </c>
      <c r="E19" s="3" t="n">
        <v>28</v>
      </c>
      <c r="F19" s="3" t="n">
        <v>28</v>
      </c>
      <c r="G19" s="3" t="n">
        <v>28</v>
      </c>
      <c r="H19" s="3" t="n">
        <v>28</v>
      </c>
      <c r="I19" s="3" t="n">
        <v>28</v>
      </c>
      <c r="J19" s="3" t="n">
        <v>28</v>
      </c>
      <c r="K19" s="3" t="n">
        <v>28</v>
      </c>
      <c r="L19" s="3" t="n">
        <v>28</v>
      </c>
    </row>
    <row r="20" customFormat="false" ht="15" hidden="false" customHeight="false" outlineLevel="0" collapsed="false">
      <c r="A20" s="0" t="s">
        <v>102</v>
      </c>
      <c r="B20" s="3" t="n">
        <v>9.5</v>
      </c>
    </row>
    <row r="21" customFormat="false" ht="15" hidden="false" customHeight="false" outlineLevel="0" collapsed="false">
      <c r="A21" s="0" t="s">
        <v>103</v>
      </c>
      <c r="B21" s="3" t="n">
        <v>2</v>
      </c>
    </row>
    <row r="22" customFormat="false" ht="15" hidden="false" customHeight="false" outlineLevel="0" collapsed="false">
      <c r="A22" s="0" t="s">
        <v>104</v>
      </c>
      <c r="B22" s="3" t="n">
        <v>12</v>
      </c>
    </row>
    <row r="23" customFormat="false" ht="15" hidden="false" customHeight="false" outlineLevel="0" collapsed="false">
      <c r="A23" s="0" t="s">
        <v>105</v>
      </c>
      <c r="B23" s="3" t="n">
        <v>-35</v>
      </c>
    </row>
    <row r="24" customFormat="false" ht="15" hidden="false" customHeight="false" outlineLevel="0" collapsed="false">
      <c r="A24" s="0" t="s">
        <v>106</v>
      </c>
      <c r="B24" s="3" t="n">
        <v>0.3</v>
      </c>
    </row>
    <row r="26" customFormat="false" ht="15" hidden="false" customHeight="false" outlineLevel="0" collapsed="false">
      <c r="A26" s="2" t="s">
        <v>107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90</v>
      </c>
      <c r="I26" s="2" t="s">
        <v>91</v>
      </c>
      <c r="J26" s="2" t="s">
        <v>92</v>
      </c>
      <c r="K26" s="2" t="s">
        <v>93</v>
      </c>
      <c r="L26" s="2" t="s">
        <v>94</v>
      </c>
    </row>
    <row r="27" customFormat="false" ht="15" hidden="false" customHeight="false" outlineLevel="0" collapsed="false">
      <c r="A27" s="0" t="s">
        <v>95</v>
      </c>
      <c r="C27" s="3" t="n">
        <v>4</v>
      </c>
      <c r="D27" s="3" t="n">
        <v>4</v>
      </c>
      <c r="E27" s="3" t="n">
        <v>3.5</v>
      </c>
      <c r="F27" s="3" t="n">
        <v>3.5</v>
      </c>
      <c r="G27" s="3" t="n">
        <v>3</v>
      </c>
      <c r="H27" s="3" t="n">
        <v>3</v>
      </c>
      <c r="I27" s="3" t="n">
        <v>3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96</v>
      </c>
      <c r="C28" s="3" t="n">
        <v>11.2</v>
      </c>
      <c r="D28" s="3" t="n">
        <v>11</v>
      </c>
      <c r="E28" s="3" t="n">
        <v>11</v>
      </c>
      <c r="F28" s="3" t="n">
        <v>11</v>
      </c>
      <c r="G28" s="3" t="n">
        <v>11</v>
      </c>
      <c r="H28" s="3" t="n">
        <v>11</v>
      </c>
      <c r="I28" s="3" t="n">
        <v>11</v>
      </c>
      <c r="J28" s="3" t="n">
        <v>11</v>
      </c>
      <c r="K28" s="3" t="n">
        <v>11</v>
      </c>
      <c r="L28" s="3" t="n">
        <v>11</v>
      </c>
    </row>
    <row r="29" customFormat="false" ht="15" hidden="false" customHeight="false" outlineLevel="0" collapsed="false">
      <c r="A29" s="0" t="s">
        <v>97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98</v>
      </c>
      <c r="C30" s="3" t="n">
        <v>0.4</v>
      </c>
      <c r="D30" s="3" t="n">
        <v>0.4</v>
      </c>
      <c r="E30" s="3" t="n">
        <v>0.4</v>
      </c>
      <c r="F30" s="3" t="n">
        <v>0.4</v>
      </c>
      <c r="G30" s="3" t="n">
        <v>0.4</v>
      </c>
      <c r="H30" s="3" t="n">
        <v>0.4</v>
      </c>
      <c r="I30" s="3" t="n">
        <v>0.4</v>
      </c>
      <c r="J30" s="3" t="n">
        <v>0.4</v>
      </c>
      <c r="K30" s="3" t="n">
        <v>0.4</v>
      </c>
      <c r="L30" s="3" t="n">
        <v>0.4</v>
      </c>
    </row>
    <row r="31" customFormat="false" ht="15" hidden="false" customHeight="false" outlineLevel="0" collapsed="false">
      <c r="A31" s="0" t="s">
        <v>99</v>
      </c>
      <c r="C31" s="3" t="n">
        <v>0.45</v>
      </c>
      <c r="D31" s="3" t="n">
        <v>0.5</v>
      </c>
      <c r="E31" s="3" t="n">
        <v>0.55</v>
      </c>
      <c r="F31" s="3" t="n">
        <v>0.6</v>
      </c>
      <c r="G31" s="3" t="n">
        <v>0.65</v>
      </c>
      <c r="H31" s="3" t="n">
        <v>0.7</v>
      </c>
      <c r="I31" s="3" t="n">
        <v>0.7</v>
      </c>
      <c r="J31" s="3" t="n">
        <v>0.7</v>
      </c>
      <c r="K31" s="3" t="n">
        <v>0.7</v>
      </c>
      <c r="L31" s="3" t="n">
        <v>0.7</v>
      </c>
    </row>
    <row r="32" customFormat="false" ht="15" hidden="false" customHeight="false" outlineLevel="0" collapsed="false">
      <c r="A32" s="0" t="s">
        <v>100</v>
      </c>
      <c r="C32" s="3" t="n">
        <v>0.8</v>
      </c>
      <c r="D32" s="3" t="n">
        <v>0.8</v>
      </c>
      <c r="E32" s="3" t="n">
        <v>0.78</v>
      </c>
      <c r="F32" s="3" t="n">
        <v>0.76</v>
      </c>
      <c r="G32" s="3" t="n">
        <v>0.75</v>
      </c>
      <c r="H32" s="3" t="n">
        <v>0.75</v>
      </c>
      <c r="I32" s="3" t="n">
        <v>0.75</v>
      </c>
      <c r="J32" s="3" t="n">
        <v>0.75</v>
      </c>
      <c r="K32" s="3" t="n">
        <v>0.75</v>
      </c>
      <c r="L32" s="3" t="n">
        <v>0.75</v>
      </c>
    </row>
    <row r="33" customFormat="false" ht="15" hidden="false" customHeight="false" outlineLevel="0" collapsed="false">
      <c r="A33" s="0" t="s">
        <v>101</v>
      </c>
      <c r="C33" s="3" t="n">
        <v>27</v>
      </c>
      <c r="D33" s="3" t="n">
        <v>27</v>
      </c>
      <c r="E33" s="3" t="n">
        <v>27</v>
      </c>
      <c r="F33" s="3" t="n">
        <v>27</v>
      </c>
      <c r="G33" s="3" t="n">
        <v>27</v>
      </c>
      <c r="H33" s="3" t="n">
        <v>27</v>
      </c>
      <c r="I33" s="3" t="n">
        <v>27</v>
      </c>
      <c r="J33" s="3" t="n">
        <v>27</v>
      </c>
      <c r="K33" s="3" t="n">
        <v>27</v>
      </c>
      <c r="L33" s="3" t="n">
        <v>27</v>
      </c>
    </row>
    <row r="34" customFormat="false" ht="15" hidden="false" customHeight="false" outlineLevel="0" collapsed="false">
      <c r="A34" s="0" t="s">
        <v>102</v>
      </c>
      <c r="B34" s="3" t="n">
        <v>9.5</v>
      </c>
    </row>
    <row r="35" customFormat="false" ht="15" hidden="false" customHeight="false" outlineLevel="0" collapsed="false">
      <c r="A35" s="0" t="s">
        <v>103</v>
      </c>
      <c r="B35" s="3" t="n">
        <v>2.5</v>
      </c>
    </row>
    <row r="36" customFormat="false" ht="15" hidden="false" customHeight="false" outlineLevel="0" collapsed="false">
      <c r="A36" s="0" t="s">
        <v>104</v>
      </c>
      <c r="B36" s="3" t="n">
        <v>15</v>
      </c>
    </row>
    <row r="37" customFormat="false" ht="15" hidden="false" customHeight="false" outlineLevel="0" collapsed="false">
      <c r="A37" s="0" t="s">
        <v>105</v>
      </c>
      <c r="B37" s="3" t="n">
        <v>-25</v>
      </c>
    </row>
    <row r="38" customFormat="false" ht="15" hidden="false" customHeight="false" outlineLevel="0" collapsed="false">
      <c r="A38" s="0" t="s">
        <v>106</v>
      </c>
      <c r="B38" s="3" t="n">
        <v>0.5</v>
      </c>
    </row>
    <row r="40" customFormat="false" ht="15" hidden="false" customHeight="false" outlineLevel="0" collapsed="false">
      <c r="A40" s="2" t="s">
        <v>108</v>
      </c>
      <c r="C40" s="2" t="s">
        <v>85</v>
      </c>
      <c r="D40" s="2" t="s">
        <v>86</v>
      </c>
      <c r="E40" s="2" t="s">
        <v>87</v>
      </c>
      <c r="F40" s="2" t="s">
        <v>88</v>
      </c>
      <c r="G40" s="2" t="s">
        <v>89</v>
      </c>
      <c r="H40" s="2" t="s">
        <v>90</v>
      </c>
      <c r="I40" s="2" t="s">
        <v>91</v>
      </c>
      <c r="J40" s="2" t="s">
        <v>92</v>
      </c>
      <c r="K40" s="2" t="s">
        <v>93</v>
      </c>
      <c r="L40" s="2" t="s">
        <v>94</v>
      </c>
    </row>
    <row r="41" customFormat="false" ht="15" hidden="false" customHeight="false" outlineLevel="0" collapsed="false">
      <c r="A41" s="0" t="s">
        <v>95</v>
      </c>
      <c r="C41" s="3" t="n">
        <v>6</v>
      </c>
      <c r="D41" s="3" t="n">
        <v>6</v>
      </c>
      <c r="E41" s="3" t="n">
        <v>5.5</v>
      </c>
      <c r="F41" s="3" t="n">
        <v>5</v>
      </c>
      <c r="G41" s="3" t="n">
        <v>4.5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96</v>
      </c>
      <c r="C42" s="3" t="n">
        <v>11.6</v>
      </c>
      <c r="D42" s="3" t="n">
        <v>11.8</v>
      </c>
      <c r="E42" s="3" t="n">
        <v>12</v>
      </c>
      <c r="F42" s="3" t="n">
        <v>12.2</v>
      </c>
      <c r="G42" s="3" t="n">
        <v>12.4</v>
      </c>
      <c r="H42" s="3" t="n">
        <v>12.5</v>
      </c>
      <c r="I42" s="3" t="n">
        <v>12.5</v>
      </c>
      <c r="J42" s="3" t="n">
        <v>12.5</v>
      </c>
      <c r="K42" s="3" t="n">
        <v>12.5</v>
      </c>
      <c r="L42" s="3" t="n">
        <v>12.5</v>
      </c>
    </row>
    <row r="43" customFormat="false" ht="15" hidden="false" customHeight="false" outlineLevel="0" collapsed="false">
      <c r="A43" s="0" t="s">
        <v>97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98</v>
      </c>
      <c r="C44" s="3" t="n">
        <v>0.4</v>
      </c>
      <c r="D44" s="3" t="n">
        <v>0.4</v>
      </c>
      <c r="E44" s="3" t="n">
        <v>0.4</v>
      </c>
      <c r="F44" s="3" t="n">
        <v>0.4</v>
      </c>
      <c r="G44" s="3" t="n">
        <v>0.4</v>
      </c>
      <c r="H44" s="3" t="n">
        <v>0.4</v>
      </c>
      <c r="I44" s="3" t="n">
        <v>0.4</v>
      </c>
      <c r="J44" s="3" t="n">
        <v>0.4</v>
      </c>
      <c r="K44" s="3" t="n">
        <v>0.4</v>
      </c>
      <c r="L44" s="3" t="n">
        <v>0.4</v>
      </c>
    </row>
    <row r="45" customFormat="false" ht="15" hidden="false" customHeight="false" outlineLevel="0" collapsed="false">
      <c r="A45" s="0" t="s">
        <v>99</v>
      </c>
      <c r="C45" s="3" t="n">
        <v>0.45</v>
      </c>
      <c r="D45" s="3" t="n">
        <v>0.5</v>
      </c>
      <c r="E45" s="3" t="n">
        <v>0.55</v>
      </c>
      <c r="F45" s="3" t="n">
        <v>0.6</v>
      </c>
      <c r="G45" s="3" t="n">
        <v>0.65</v>
      </c>
      <c r="H45" s="3" t="n">
        <v>0.7</v>
      </c>
      <c r="I45" s="3" t="n">
        <v>0.7</v>
      </c>
      <c r="J45" s="3" t="n">
        <v>0.7</v>
      </c>
      <c r="K45" s="3" t="n">
        <v>0.7</v>
      </c>
      <c r="L45" s="3" t="n">
        <v>0.7</v>
      </c>
    </row>
    <row r="46" customFormat="false" ht="15" hidden="false" customHeight="false" outlineLevel="0" collapsed="false">
      <c r="A46" s="0" t="s">
        <v>100</v>
      </c>
      <c r="C46" s="3" t="n">
        <v>0.8</v>
      </c>
      <c r="D46" s="3" t="n">
        <v>0.8</v>
      </c>
      <c r="E46" s="3" t="n">
        <v>0.78</v>
      </c>
      <c r="F46" s="3" t="n">
        <v>0.76</v>
      </c>
      <c r="G46" s="3" t="n">
        <v>0.75</v>
      </c>
      <c r="H46" s="3" t="n">
        <v>0.75</v>
      </c>
      <c r="I46" s="3" t="n">
        <v>0.75</v>
      </c>
      <c r="J46" s="3" t="n">
        <v>0.75</v>
      </c>
      <c r="K46" s="3" t="n">
        <v>0.75</v>
      </c>
      <c r="L46" s="3" t="n">
        <v>0.75</v>
      </c>
    </row>
    <row r="47" customFormat="false" ht="15" hidden="false" customHeight="false" outlineLevel="0" collapsed="false">
      <c r="A47" s="0" t="s">
        <v>101</v>
      </c>
      <c r="C47" s="3" t="n">
        <v>26</v>
      </c>
      <c r="D47" s="3" t="n">
        <v>26</v>
      </c>
      <c r="E47" s="3" t="n">
        <v>26</v>
      </c>
      <c r="F47" s="3" t="n">
        <v>26</v>
      </c>
      <c r="G47" s="3" t="n">
        <v>26</v>
      </c>
      <c r="H47" s="3" t="n">
        <v>26</v>
      </c>
      <c r="I47" s="3" t="n">
        <v>26</v>
      </c>
      <c r="J47" s="3" t="n">
        <v>26</v>
      </c>
      <c r="K47" s="3" t="n">
        <v>26</v>
      </c>
      <c r="L47" s="3" t="n">
        <v>26</v>
      </c>
    </row>
    <row r="48" customFormat="false" ht="15" hidden="false" customHeight="false" outlineLevel="0" collapsed="false">
      <c r="A48" s="0" t="s">
        <v>102</v>
      </c>
      <c r="B48" s="3" t="n">
        <v>9.5</v>
      </c>
    </row>
    <row r="49" customFormat="false" ht="15" hidden="false" customHeight="false" outlineLevel="0" collapsed="false">
      <c r="A49" s="0" t="s">
        <v>103</v>
      </c>
      <c r="B49" s="3" t="n">
        <v>2.5</v>
      </c>
    </row>
    <row r="50" customFormat="false" ht="15" hidden="false" customHeight="false" outlineLevel="0" collapsed="false">
      <c r="A50" s="0" t="s">
        <v>104</v>
      </c>
      <c r="B50" s="3" t="n">
        <v>15</v>
      </c>
    </row>
    <row r="51" customFormat="false" ht="15" hidden="false" customHeight="false" outlineLevel="0" collapsed="false">
      <c r="A51" s="0" t="s">
        <v>105</v>
      </c>
      <c r="B51" s="3" t="n">
        <v>-15</v>
      </c>
    </row>
    <row r="52" customFormat="false" ht="15" hidden="false" customHeight="false" outlineLevel="0" collapsed="false">
      <c r="A52" s="0" t="s">
        <v>106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109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Assumptions!C13</f>
        <v>2</v>
      </c>
      <c r="D5" s="4" t="n">
        <f aca="false">Assumptions!D13</f>
        <v>0.5</v>
      </c>
      <c r="E5" s="4" t="n">
        <f aca="false">Assumptions!E13</f>
        <v>0</v>
      </c>
      <c r="F5" s="4" t="n">
        <f aca="false">Assumptions!F13</f>
        <v>0</v>
      </c>
      <c r="G5" s="4" t="n">
        <f aca="false">Assumptions!G13</f>
        <v>0.5</v>
      </c>
      <c r="H5" s="4" t="n">
        <f aca="false">Assumptions!H13</f>
        <v>1</v>
      </c>
      <c r="I5" s="4" t="n">
        <f aca="false">Assumptions!I13</f>
        <v>1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38</v>
      </c>
      <c r="B6" s="3" t="n">
        <v>14959.871</v>
      </c>
      <c r="C6" s="0" t="n">
        <f aca="false">B6*(1+C5/100)</f>
        <v>15259.06842</v>
      </c>
      <c r="D6" s="0" t="n">
        <f aca="false">C6*(1+D5/100)</f>
        <v>15335.3637621</v>
      </c>
      <c r="E6" s="0" t="n">
        <f aca="false">D6*(1+E5/100)</f>
        <v>15335.3637621</v>
      </c>
      <c r="F6" s="0" t="n">
        <f aca="false">E6*(1+F5/100)</f>
        <v>15335.3637621</v>
      </c>
      <c r="G6" s="0" t="n">
        <f aca="false">F6*(1+G5/100)</f>
        <v>15412.0405809105</v>
      </c>
      <c r="H6" s="0" t="n">
        <f aca="false">G6*(1+H5/100)</f>
        <v>15566.1609867196</v>
      </c>
      <c r="I6" s="0" t="n">
        <f aca="false">H6*(1+I5/100)</f>
        <v>15721.8225965868</v>
      </c>
      <c r="J6" s="0" t="n">
        <f aca="false">I6*(1+J5/100)</f>
        <v>15879.0408225527</v>
      </c>
      <c r="K6" s="0" t="n">
        <f aca="false">J6*(1+K5/100)</f>
        <v>16037.8312307782</v>
      </c>
      <c r="L6" s="0" t="n">
        <f aca="false">K6*(1+L5/100)</f>
        <v>16198.209543086</v>
      </c>
    </row>
    <row r="7" customFormat="false" ht="15" hidden="false" customHeight="false" outlineLevel="0" collapsed="false">
      <c r="A7" s="0" t="s">
        <v>96</v>
      </c>
      <c r="C7" s="4" t="n">
        <f aca="false">Assumptions!C14</f>
        <v>10.8</v>
      </c>
      <c r="D7" s="4" t="n">
        <f aca="false">Assumptions!D14</f>
        <v>10</v>
      </c>
      <c r="E7" s="4" t="n">
        <f aca="false">Assumptions!E14</f>
        <v>9.4</v>
      </c>
      <c r="F7" s="4" t="n">
        <f aca="false">Assumptions!F14</f>
        <v>9</v>
      </c>
      <c r="G7" s="4" t="n">
        <f aca="false">Assumptions!G14</f>
        <v>8.8</v>
      </c>
      <c r="H7" s="4" t="n">
        <f aca="false">Assumptions!H14</f>
        <v>8.6</v>
      </c>
      <c r="I7" s="4" t="n">
        <f aca="false">Assumptions!I14</f>
        <v>8.5</v>
      </c>
      <c r="J7" s="4" t="n">
        <f aca="false">Assumptions!J14</f>
        <v>8.5</v>
      </c>
      <c r="K7" s="4" t="n">
        <f aca="false">Assumptions!K14</f>
        <v>8.5</v>
      </c>
      <c r="L7" s="4" t="n">
        <f aca="false">Assumptions!L14</f>
        <v>8.5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1647.97938936</v>
      </c>
      <c r="D8" s="0" t="n">
        <f aca="false">D6*D7/100</f>
        <v>1533.53637621</v>
      </c>
      <c r="E8" s="0" t="n">
        <f aca="false">E6*E7/100</f>
        <v>1441.5241936374</v>
      </c>
      <c r="F8" s="0" t="n">
        <f aca="false">F6*F7/100</f>
        <v>1380.182738589</v>
      </c>
      <c r="G8" s="0" t="n">
        <f aca="false">G6*G7/100</f>
        <v>1356.25957112012</v>
      </c>
      <c r="H8" s="0" t="n">
        <f aca="false">H6*H7/100</f>
        <v>1338.68984485789</v>
      </c>
      <c r="I8" s="0" t="n">
        <f aca="false">I6*I7/100</f>
        <v>1336.35492070988</v>
      </c>
      <c r="J8" s="0" t="n">
        <f aca="false">J6*J7/100</f>
        <v>1349.71846991698</v>
      </c>
      <c r="K8" s="0" t="n">
        <f aca="false">K6*K7/100</f>
        <v>1363.21565461615</v>
      </c>
      <c r="L8" s="0" t="n">
        <f aca="false">L6*L7/100</f>
        <v>1376.84781116231</v>
      </c>
    </row>
    <row r="9" customFormat="false" ht="15" hidden="false" customHeight="false" outlineLevel="0" collapsed="false">
      <c r="A9" s="0" t="s">
        <v>97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1586.94311568</v>
      </c>
      <c r="D11" s="0" t="n">
        <f aca="false">D8+D10+D24</f>
        <v>1472.1949211616</v>
      </c>
      <c r="E11" s="0" t="n">
        <f aca="false">E8+E10+E24</f>
        <v>1380.182738589</v>
      </c>
      <c r="F11" s="0" t="n">
        <f aca="false">F8+F10+F24</f>
        <v>1318.8412835406</v>
      </c>
      <c r="G11" s="0" t="n">
        <f aca="false">G8+G10+G24</f>
        <v>1294.61140879648</v>
      </c>
      <c r="H11" s="0" t="n">
        <f aca="false">H8+H10+H24</f>
        <v>1276.42520091101</v>
      </c>
      <c r="I11" s="0" t="n">
        <f aca="false">I8+I10+I24</f>
        <v>1273.46763032353</v>
      </c>
      <c r="J11" s="0" t="n">
        <f aca="false">J8+J10+J24</f>
        <v>1286.20230662677</v>
      </c>
      <c r="K11" s="0" t="n">
        <f aca="false">K8+K10+K24</f>
        <v>1299.06432969303</v>
      </c>
      <c r="L11" s="0" t="n">
        <f aca="false">L8+L10+L24</f>
        <v>1312.05497298996</v>
      </c>
    </row>
    <row r="12" customFormat="false" ht="15" hidden="false" customHeight="false" outlineLevel="0" collapsed="false">
      <c r="A12" s="0" t="s">
        <v>114</v>
      </c>
      <c r="C12" s="4" t="n">
        <f aca="false">-C6*Assumptions!C17/100</f>
        <v>-68.66580789</v>
      </c>
      <c r="D12" s="4" t="n">
        <f aca="false">-D6*Assumptions!D17/100</f>
        <v>-76.6768188105</v>
      </c>
      <c r="E12" s="4" t="n">
        <f aca="false">-E6*Assumptions!E17/100</f>
        <v>-84.34450069155</v>
      </c>
      <c r="F12" s="4" t="n">
        <f aca="false">-F6*Assumptions!F17/100</f>
        <v>-92.0121825726</v>
      </c>
      <c r="G12" s="4" t="n">
        <f aca="false">-G6*Assumptions!G17/100</f>
        <v>-100.178263775918</v>
      </c>
      <c r="H12" s="4" t="n">
        <f aca="false">-H6*Assumptions!H17/100</f>
        <v>-108.963126907037</v>
      </c>
      <c r="I12" s="4" t="n">
        <f aca="false">-I6*Assumptions!I17/100</f>
        <v>-110.052758176108</v>
      </c>
      <c r="J12" s="4" t="n">
        <f aca="false">-J6*Assumptions!J17/100</f>
        <v>-111.153285757869</v>
      </c>
      <c r="K12" s="4" t="n">
        <f aca="false">-K6*Assumptions!K17/100</f>
        <v>-112.264818615447</v>
      </c>
      <c r="L12" s="4" t="n">
        <f aca="false">-L6*Assumptions!L17/100</f>
        <v>-113.387466801602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1518.27730779</v>
      </c>
      <c r="D13" s="0" t="n">
        <f aca="false">D11+D12</f>
        <v>1395.5181023511</v>
      </c>
      <c r="E13" s="0" t="n">
        <f aca="false">E11+E12</f>
        <v>1295.83823789745</v>
      </c>
      <c r="F13" s="0" t="n">
        <f aca="false">F11+F12</f>
        <v>1226.829100968</v>
      </c>
      <c r="G13" s="0" t="n">
        <f aca="false">G11+G12</f>
        <v>1194.43314502056</v>
      </c>
      <c r="H13" s="0" t="n">
        <f aca="false">H11+H12</f>
        <v>1167.46207400397</v>
      </c>
      <c r="I13" s="0" t="n">
        <f aca="false">I11+I12</f>
        <v>1163.41487214742</v>
      </c>
      <c r="J13" s="0" t="n">
        <f aca="false">J11+J12</f>
        <v>1175.0490208689</v>
      </c>
      <c r="K13" s="0" t="n">
        <f aca="false">K11+K12</f>
        <v>1186.79951107759</v>
      </c>
      <c r="L13" s="0" t="n">
        <f aca="false">L11+L12</f>
        <v>1198.66750618836</v>
      </c>
    </row>
    <row r="14" customFormat="false" ht="15" hidden="false" customHeight="false" outlineLevel="0" collapsed="false">
      <c r="A14" s="0" t="s">
        <v>101</v>
      </c>
      <c r="C14" s="4" t="n">
        <f aca="false">Assumptions!C19</f>
        <v>28</v>
      </c>
      <c r="D14" s="4" t="n">
        <f aca="false">Assumptions!D19</f>
        <v>28</v>
      </c>
      <c r="E14" s="4" t="n">
        <f aca="false">Assumptions!E19</f>
        <v>28</v>
      </c>
      <c r="F14" s="4" t="n">
        <f aca="false">Assumptions!F19</f>
        <v>28</v>
      </c>
      <c r="G14" s="4" t="n">
        <f aca="false">Assumptions!G19</f>
        <v>28</v>
      </c>
      <c r="H14" s="4" t="n">
        <f aca="false">Assumptions!H19</f>
        <v>28</v>
      </c>
      <c r="I14" s="4" t="n">
        <f aca="false">Assumptions!I19</f>
        <v>28</v>
      </c>
      <c r="J14" s="4" t="n">
        <f aca="false">Assumptions!J19</f>
        <v>28</v>
      </c>
      <c r="K14" s="4" t="n">
        <f aca="false">Assumptions!K19</f>
        <v>28</v>
      </c>
      <c r="L14" s="4" t="n">
        <f aca="false">Assumptions!L19</f>
        <v>28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1093.1596616088</v>
      </c>
      <c r="D15" s="0" t="n">
        <f aca="false">D13-MAX(0,D13)*D14/100</f>
        <v>1004.77303369279</v>
      </c>
      <c r="E15" s="0" t="n">
        <f aca="false">E13-MAX(0,E13)*E14/100</f>
        <v>933.003531286164</v>
      </c>
      <c r="F15" s="0" t="n">
        <f aca="false">F13-MAX(0,F13)*F14/100</f>
        <v>883.31695269696</v>
      </c>
      <c r="G15" s="0" t="n">
        <f aca="false">G13-MAX(0,G13)*G14/100</f>
        <v>859.991864414806</v>
      </c>
      <c r="H15" s="0" t="n">
        <f aca="false">H13-MAX(0,H13)*H14/100</f>
        <v>840.572693282859</v>
      </c>
      <c r="I15" s="0" t="n">
        <f aca="false">I13-MAX(0,I13)*I14/100</f>
        <v>837.658707946145</v>
      </c>
      <c r="J15" s="0" t="n">
        <f aca="false">J13-MAX(0,J13)*J14/100</f>
        <v>846.035295025606</v>
      </c>
      <c r="K15" s="0" t="n">
        <f aca="false">K13-MAX(0,K13)*K14/100</f>
        <v>854.495647975862</v>
      </c>
      <c r="L15" s="0" t="n">
        <f aca="false">L13-MAX(0,L13)*L14/100</f>
        <v>863.040604455621</v>
      </c>
    </row>
    <row r="16" customFormat="false" ht="15" hidden="false" customHeight="false" outlineLevel="0" collapsed="false">
      <c r="A16" s="0" t="s">
        <v>117</v>
      </c>
      <c r="C16" s="0" t="n">
        <f aca="false">-C12</f>
        <v>68.66580789</v>
      </c>
      <c r="D16" s="0" t="n">
        <f aca="false">-D12</f>
        <v>76.6768188105</v>
      </c>
      <c r="E16" s="0" t="n">
        <f aca="false">-E12</f>
        <v>84.34450069155</v>
      </c>
      <c r="F16" s="0" t="n">
        <f aca="false">-F12</f>
        <v>92.0121825726</v>
      </c>
      <c r="G16" s="0" t="n">
        <f aca="false">-G12</f>
        <v>100.178263775918</v>
      </c>
      <c r="H16" s="0" t="n">
        <f aca="false">-H12</f>
        <v>108.963126907037</v>
      </c>
      <c r="I16" s="0" t="n">
        <f aca="false">-I12</f>
        <v>110.052758176108</v>
      </c>
      <c r="J16" s="0" t="n">
        <f aca="false">-J12</f>
        <v>111.153285757869</v>
      </c>
      <c r="K16" s="0" t="n">
        <f aca="false">-K12</f>
        <v>112.264818615447</v>
      </c>
      <c r="L16" s="0" t="n">
        <f aca="false">-L12</f>
        <v>113.387466801602</v>
      </c>
    </row>
    <row r="17" customFormat="false" ht="15" hidden="false" customHeight="false" outlineLevel="0" collapsed="false">
      <c r="A17" s="0" t="s">
        <v>118</v>
      </c>
      <c r="C17" s="4" t="n">
        <f aca="false">-C6*Assumptions!C18/100</f>
        <v>-122.07254736</v>
      </c>
      <c r="D17" s="4" t="n">
        <f aca="false">-D6*Assumptions!D18/100</f>
        <v>-122.6829100968</v>
      </c>
      <c r="E17" s="4" t="n">
        <f aca="false">-E6*Assumptions!E18/100</f>
        <v>-119.61583734438</v>
      </c>
      <c r="F17" s="4" t="n">
        <f aca="false">-F6*Assumptions!F18/100</f>
        <v>-116.54876459196</v>
      </c>
      <c r="G17" s="4" t="n">
        <f aca="false">-G6*Assumptions!G18/100</f>
        <v>-115.590304356829</v>
      </c>
      <c r="H17" s="4" t="n">
        <f aca="false">-H6*Assumptions!H18/100</f>
        <v>-116.746207400397</v>
      </c>
      <c r="I17" s="4" t="n">
        <f aca="false">-I6*Assumptions!I18/100</f>
        <v>-117.913669474401</v>
      </c>
      <c r="J17" s="4" t="n">
        <f aca="false">-J6*Assumptions!J18/100</f>
        <v>-119.092806169145</v>
      </c>
      <c r="K17" s="4" t="n">
        <f aca="false">-K6*Assumptions!K18/100</f>
        <v>-120.283734230836</v>
      </c>
      <c r="L17" s="4" t="n">
        <f aca="false">-L6*Assumptions!L18/100</f>
        <v>-121.486571573145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(C6-B6)*Assumptions!$B$23/100</f>
        <v>-104.719097</v>
      </c>
      <c r="D18" s="4" t="n">
        <f aca="false">(D6-C6)*Assumptions!$B$23/100</f>
        <v>-26.7033697349994</v>
      </c>
      <c r="E18" s="4" t="n">
        <f aca="false">(E6-D6)*Assumptions!$B$23/100</f>
        <v>-0</v>
      </c>
      <c r="F18" s="4" t="n">
        <f aca="false">(F6-E6)*Assumptions!$B$23/100</f>
        <v>-0</v>
      </c>
      <c r="G18" s="4" t="n">
        <f aca="false">(G6-F6)*Assumptions!$B$23/100</f>
        <v>-26.8368865836743</v>
      </c>
      <c r="H18" s="4" t="n">
        <f aca="false">(H6-G6)*Assumptions!$B$23/100</f>
        <v>-53.9421420331865</v>
      </c>
      <c r="I18" s="4" t="n">
        <f aca="false">(I6-H6)*Assumptions!$B$23/100</f>
        <v>-54.4815634535188</v>
      </c>
      <c r="J18" s="4" t="n">
        <f aca="false">(J6-I6)*Assumptions!$B$23/100</f>
        <v>-55.0263790880536</v>
      </c>
      <c r="K18" s="4" t="n">
        <f aca="false">(K6-J6)*Assumptions!$B$23/100</f>
        <v>-55.5766428789342</v>
      </c>
      <c r="L18" s="4" t="n">
        <f aca="false">(L6-K6)*Assumptions!$B$23/100</f>
        <v>-56.132409307724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935.0338251388</v>
      </c>
      <c r="D19" s="0" t="n">
        <f aca="false">D15+D16+D17+D18</f>
        <v>932.063572671492</v>
      </c>
      <c r="E19" s="0" t="n">
        <f aca="false">E15+E16+E17+E18</f>
        <v>897.732194633334</v>
      </c>
      <c r="F19" s="0" t="n">
        <f aca="false">F15+F16+F17+F18</f>
        <v>858.7803706776</v>
      </c>
      <c r="G19" s="0" t="n">
        <f aca="false">G15+G16+G17+G18</f>
        <v>817.742937250221</v>
      </c>
      <c r="H19" s="0" t="n">
        <f aca="false">H15+H16+H17+H18</f>
        <v>778.847470756312</v>
      </c>
      <c r="I19" s="0" t="n">
        <f aca="false">I15+I16+I17+I18</f>
        <v>775.316233194332</v>
      </c>
      <c r="J19" s="0" t="n">
        <f aca="false">J15+J16+J17+J18</f>
        <v>783.069395526276</v>
      </c>
      <c r="K19" s="0" t="n">
        <f aca="false">K15+K16+K17+K18</f>
        <v>790.900089481539</v>
      </c>
      <c r="L19" s="0" t="n">
        <f aca="false">L15+L16+L17+L18</f>
        <v>798.809090376354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853.91216907653</v>
      </c>
      <c r="D21" s="0" t="n">
        <f aca="false">D19*D20</f>
        <v>777.351241776854</v>
      </c>
      <c r="E21" s="0" t="n">
        <f aca="false">E19*E20</f>
        <v>683.761183536459</v>
      </c>
      <c r="F21" s="0" t="n">
        <f aca="false">F19*F20</f>
        <v>597.345549591689</v>
      </c>
      <c r="G21" s="0" t="n">
        <f aca="false">G19*G20</f>
        <v>519.45293683019</v>
      </c>
      <c r="H21" s="0" t="n">
        <f aca="false">H19*H20</f>
        <v>451.822338318918</v>
      </c>
      <c r="I21" s="0" t="n">
        <f aca="false">I19*I20</f>
        <v>410.752336829643</v>
      </c>
      <c r="J21" s="0" t="n">
        <f aca="false">J19*J20</f>
        <v>378.867452235562</v>
      </c>
      <c r="K21" s="0" t="n">
        <f aca="false">K19*K20</f>
        <v>349.45765000723</v>
      </c>
      <c r="L21" s="0" t="n">
        <f aca="false">L19*L20</f>
        <v>322.33080046329</v>
      </c>
    </row>
    <row r="23" customFormat="false" ht="15" hidden="false" customHeight="false" outlineLevel="0" collapsed="false">
      <c r="A23" s="0" t="s">
        <v>98</v>
      </c>
      <c r="C23" s="4" t="n">
        <f aca="false">Assumptions!C16</f>
        <v>0.4</v>
      </c>
      <c r="D23" s="4" t="n">
        <f aca="false">Assumptions!D16</f>
        <v>0.4</v>
      </c>
      <c r="E23" s="4" t="n">
        <f aca="false">Assumptions!E16</f>
        <v>0.4</v>
      </c>
      <c r="F23" s="4" t="n">
        <f aca="false">Assumptions!F16</f>
        <v>0.4</v>
      </c>
      <c r="G23" s="4" t="n">
        <f aca="false">Assumptions!G16</f>
        <v>0.4</v>
      </c>
      <c r="H23" s="4" t="n">
        <f aca="false">Assumptions!H16</f>
        <v>0.4</v>
      </c>
      <c r="I23" s="4" t="n">
        <f aca="false">Assumptions!I16</f>
        <v>0.4</v>
      </c>
      <c r="J23" s="4" t="n">
        <f aca="false">Assumptions!J16</f>
        <v>0.4</v>
      </c>
      <c r="K23" s="4" t="n">
        <f aca="false">Assumptions!K16</f>
        <v>0.4</v>
      </c>
      <c r="L23" s="4" t="n">
        <f aca="false">Assumptions!L16</f>
        <v>0.4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-61.03627368</v>
      </c>
      <c r="D24" s="0" t="n">
        <f aca="false">-D6*D23/100</f>
        <v>-61.3414550484</v>
      </c>
      <c r="E24" s="0" t="n">
        <f aca="false">-E6*E23/100</f>
        <v>-61.3414550484</v>
      </c>
      <c r="F24" s="0" t="n">
        <f aca="false">-F6*F23/100</f>
        <v>-61.3414550484</v>
      </c>
      <c r="G24" s="0" t="n">
        <f aca="false">-G6*G23/100</f>
        <v>-61.648162323642</v>
      </c>
      <c r="H24" s="0" t="n">
        <f aca="false">-H6*H23/100</f>
        <v>-62.2646439468784</v>
      </c>
      <c r="I24" s="0" t="n">
        <f aca="false">-I6*I23/100</f>
        <v>-62.8872903863472</v>
      </c>
      <c r="J24" s="0" t="n">
        <f aca="false">-J6*J23/100</f>
        <v>-63.5161632902107</v>
      </c>
      <c r="K24" s="0" t="n">
        <f aca="false">-K6*K23/100</f>
        <v>-64.1513249231128</v>
      </c>
      <c r="L24" s="0" t="n">
        <f aca="false">-L6*L23/100</f>
        <v>-64.7928381723439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103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104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5345.05365866636</v>
      </c>
    </row>
    <row r="31" customFormat="false" ht="15" hidden="false" customHeight="false" outlineLevel="0" collapsed="false">
      <c r="A31" s="0" t="s">
        <v>126</v>
      </c>
      <c r="B31" s="0" t="n">
        <f aca="false">L19</f>
        <v>798.809090376354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10863.8036291184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9585.70908451625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9585.70908451625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3867.96960555948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9213.02326422584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14870.1492642258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5.32053538577369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0.660073443299123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5.32053538577369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6267.57901679908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4.12132331675457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Assumptions!C27</f>
        <v>4</v>
      </c>
      <c r="D5" s="4" t="n">
        <f aca="false">Assumptions!D27</f>
        <v>4</v>
      </c>
      <c r="E5" s="4" t="n">
        <f aca="false">Assumptions!E27</f>
        <v>3.5</v>
      </c>
      <c r="F5" s="4" t="n">
        <f aca="false">Assumptions!F27</f>
        <v>3.5</v>
      </c>
      <c r="G5" s="4" t="n">
        <f aca="false">Assumptions!G27</f>
        <v>3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14959.871</v>
      </c>
      <c r="C6" s="0" t="n">
        <f aca="false">B6*(1+C5/100)</f>
        <v>15558.26584</v>
      </c>
      <c r="D6" s="0" t="n">
        <f aca="false">C6*(1+D5/100)</f>
        <v>16180.5964736</v>
      </c>
      <c r="E6" s="0" t="n">
        <f aca="false">D6*(1+E5/100)</f>
        <v>16746.917350176</v>
      </c>
      <c r="F6" s="0" t="n">
        <f aca="false">E6*(1+F5/100)</f>
        <v>17333.0594574322</v>
      </c>
      <c r="G6" s="0" t="n">
        <f aca="false">F6*(1+G5/100)</f>
        <v>17853.0512411551</v>
      </c>
      <c r="H6" s="0" t="n">
        <f aca="false">G6*(1+H5/100)</f>
        <v>18388.6427783898</v>
      </c>
      <c r="I6" s="0" t="n">
        <f aca="false">H6*(1+I5/100)</f>
        <v>18940.3020617415</v>
      </c>
      <c r="J6" s="0" t="n">
        <f aca="false">I6*(1+J5/100)</f>
        <v>19413.809613285</v>
      </c>
      <c r="K6" s="0" t="n">
        <f aca="false">J6*(1+K5/100)</f>
        <v>19899.1548536171</v>
      </c>
      <c r="L6" s="0" t="n">
        <f aca="false">K6*(1+L5/100)</f>
        <v>20396.6337249576</v>
      </c>
    </row>
    <row r="7" customFormat="false" ht="15" hidden="false" customHeight="false" outlineLevel="0" collapsed="false">
      <c r="A7" s="0" t="s">
        <v>96</v>
      </c>
      <c r="C7" s="4" t="n">
        <f aca="false">Assumptions!C28</f>
        <v>11.2</v>
      </c>
      <c r="D7" s="4" t="n">
        <f aca="false">Assumptions!D28</f>
        <v>11</v>
      </c>
      <c r="E7" s="4" t="n">
        <f aca="false">Assumptions!E28</f>
        <v>11</v>
      </c>
      <c r="F7" s="4" t="n">
        <f aca="false">Assumptions!F28</f>
        <v>11</v>
      </c>
      <c r="G7" s="4" t="n">
        <f aca="false">Assumptions!G28</f>
        <v>11</v>
      </c>
      <c r="H7" s="4" t="n">
        <f aca="false">Assumptions!H28</f>
        <v>11</v>
      </c>
      <c r="I7" s="4" t="n">
        <f aca="false">Assumptions!I28</f>
        <v>11</v>
      </c>
      <c r="J7" s="4" t="n">
        <f aca="false">Assumptions!J28</f>
        <v>11</v>
      </c>
      <c r="K7" s="4" t="n">
        <f aca="false">Assumptions!K28</f>
        <v>11</v>
      </c>
      <c r="L7" s="4" t="n">
        <f aca="false">Assumptions!L28</f>
        <v>11</v>
      </c>
    </row>
    <row r="8" customFormat="false" ht="15" hidden="false" customHeight="false" outlineLevel="0" collapsed="false">
      <c r="A8" s="0" t="s">
        <v>44</v>
      </c>
      <c r="C8" s="0" t="n">
        <f aca="false">C6*C7/100</f>
        <v>1742.52577408</v>
      </c>
      <c r="D8" s="0" t="n">
        <f aca="false">D6*D7/100</f>
        <v>1779.865612096</v>
      </c>
      <c r="E8" s="0" t="n">
        <f aca="false">E6*E7/100</f>
        <v>1842.16090851936</v>
      </c>
      <c r="F8" s="0" t="n">
        <f aca="false">F6*F7/100</f>
        <v>1906.63654031754</v>
      </c>
      <c r="G8" s="0" t="n">
        <f aca="false">G6*G7/100</f>
        <v>1963.83563652706</v>
      </c>
      <c r="H8" s="0" t="n">
        <f aca="false">H6*H7/100</f>
        <v>2022.75070562288</v>
      </c>
      <c r="I8" s="0" t="n">
        <f aca="false">I6*I7/100</f>
        <v>2083.43322679156</v>
      </c>
      <c r="J8" s="0" t="n">
        <f aca="false">J6*J7/100</f>
        <v>2135.51905746135</v>
      </c>
      <c r="K8" s="0" t="n">
        <f aca="false">K6*K7/100</f>
        <v>2188.90703389788</v>
      </c>
      <c r="L8" s="0" t="n">
        <f aca="false">L6*L7/100</f>
        <v>2243.62970974533</v>
      </c>
    </row>
    <row r="9" customFormat="false" ht="15" hidden="false" customHeight="false" outlineLevel="0" collapsed="false">
      <c r="A9" s="0" t="s">
        <v>97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1680.29271072</v>
      </c>
      <c r="D11" s="0" t="n">
        <f aca="false">D8+D10+D24</f>
        <v>1715.1432262016</v>
      </c>
      <c r="E11" s="0" t="n">
        <f aca="false">E8+E10+E24</f>
        <v>1775.17323911866</v>
      </c>
      <c r="F11" s="0" t="n">
        <f aca="false">F8+F10+F24</f>
        <v>1837.30430248781</v>
      </c>
      <c r="G11" s="0" t="n">
        <f aca="false">G8+G10+G24</f>
        <v>1892.42343156244</v>
      </c>
      <c r="H11" s="0" t="n">
        <f aca="false">H8+H10+H24</f>
        <v>1949.19613450932</v>
      </c>
      <c r="I11" s="0" t="n">
        <f aca="false">I8+I10+I24</f>
        <v>2007.6720185446</v>
      </c>
      <c r="J11" s="0" t="n">
        <f aca="false">J8+J10+J24</f>
        <v>2057.86381900821</v>
      </c>
      <c r="K11" s="0" t="n">
        <f aca="false">K8+K10+K24</f>
        <v>2109.31041448342</v>
      </c>
      <c r="L11" s="0" t="n">
        <f aca="false">L8+L10+L24</f>
        <v>2162.0431748455</v>
      </c>
    </row>
    <row r="12" customFormat="false" ht="15" hidden="false" customHeight="false" outlineLevel="0" collapsed="false">
      <c r="A12" s="0" t="s">
        <v>114</v>
      </c>
      <c r="C12" s="4" t="n">
        <f aca="false">-C6*Assumptions!C31/100</f>
        <v>-70.01219628</v>
      </c>
      <c r="D12" s="4" t="n">
        <f aca="false">-D6*Assumptions!D31/100</f>
        <v>-80.902982368</v>
      </c>
      <c r="E12" s="4" t="n">
        <f aca="false">-E6*Assumptions!E31/100</f>
        <v>-92.108045425968</v>
      </c>
      <c r="F12" s="4" t="n">
        <f aca="false">-F6*Assumptions!F31/100</f>
        <v>-103.998356744593</v>
      </c>
      <c r="G12" s="4" t="n">
        <f aca="false">-G6*Assumptions!G31/100</f>
        <v>-116.044833067508</v>
      </c>
      <c r="H12" s="4" t="n">
        <f aca="false">-H6*Assumptions!H31/100</f>
        <v>-128.720499448728</v>
      </c>
      <c r="I12" s="4" t="n">
        <f aca="false">-I6*Assumptions!I31/100</f>
        <v>-132.58211443219</v>
      </c>
      <c r="J12" s="4" t="n">
        <f aca="false">-J6*Assumptions!J31/100</f>
        <v>-135.896667292995</v>
      </c>
      <c r="K12" s="4" t="n">
        <f aca="false">-K6*Assumptions!K31/100</f>
        <v>-139.29408397532</v>
      </c>
      <c r="L12" s="4" t="n">
        <f aca="false">-L6*Assumptions!L31/100</f>
        <v>-142.776436074703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1610.28051444</v>
      </c>
      <c r="D13" s="0" t="n">
        <f aca="false">D11+D12</f>
        <v>1634.2402438336</v>
      </c>
      <c r="E13" s="0" t="n">
        <f aca="false">E11+E12</f>
        <v>1683.06519369269</v>
      </c>
      <c r="F13" s="0" t="n">
        <f aca="false">F11+F12</f>
        <v>1733.30594574322</v>
      </c>
      <c r="G13" s="0" t="n">
        <f aca="false">G11+G12</f>
        <v>1776.37859849493</v>
      </c>
      <c r="H13" s="0" t="n">
        <f aca="false">H11+H12</f>
        <v>1820.47563506059</v>
      </c>
      <c r="I13" s="0" t="n">
        <f aca="false">I11+I12</f>
        <v>1875.08990411241</v>
      </c>
      <c r="J13" s="0" t="n">
        <f aca="false">J11+J12</f>
        <v>1921.96715171522</v>
      </c>
      <c r="K13" s="0" t="n">
        <f aca="false">K11+K12</f>
        <v>1970.0163305081</v>
      </c>
      <c r="L13" s="0" t="n">
        <f aca="false">L11+L12</f>
        <v>2019.2667387708</v>
      </c>
    </row>
    <row r="14" customFormat="false" ht="15" hidden="false" customHeight="false" outlineLevel="0" collapsed="false">
      <c r="A14" s="0" t="s">
        <v>101</v>
      </c>
      <c r="C14" s="4" t="n">
        <f aca="false">Assumptions!C33</f>
        <v>27</v>
      </c>
      <c r="D14" s="4" t="n">
        <f aca="false">Assumptions!D33</f>
        <v>27</v>
      </c>
      <c r="E14" s="4" t="n">
        <f aca="false">Assumptions!E33</f>
        <v>27</v>
      </c>
      <c r="F14" s="4" t="n">
        <f aca="false">Assumptions!F33</f>
        <v>27</v>
      </c>
      <c r="G14" s="4" t="n">
        <f aca="false">Assumptions!G33</f>
        <v>27</v>
      </c>
      <c r="H14" s="4" t="n">
        <f aca="false">Assumptions!H33</f>
        <v>27</v>
      </c>
      <c r="I14" s="4" t="n">
        <f aca="false">Assumptions!I33</f>
        <v>27</v>
      </c>
      <c r="J14" s="4" t="n">
        <f aca="false">Assumptions!J33</f>
        <v>27</v>
      </c>
      <c r="K14" s="4" t="n">
        <f aca="false">Assumptions!K33</f>
        <v>27</v>
      </c>
      <c r="L14" s="4" t="n">
        <f aca="false">Assumptions!L33</f>
        <v>27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1175.5047755412</v>
      </c>
      <c r="D15" s="0" t="n">
        <f aca="false">D13-MAX(0,D13)*D14/100</f>
        <v>1192.99537799853</v>
      </c>
      <c r="E15" s="0" t="n">
        <f aca="false">E13-MAX(0,E13)*E14/100</f>
        <v>1228.63759139566</v>
      </c>
      <c r="F15" s="0" t="n">
        <f aca="false">F13-MAX(0,F13)*F14/100</f>
        <v>1265.31334039255</v>
      </c>
      <c r="G15" s="0" t="n">
        <f aca="false">G13-MAX(0,G13)*G14/100</f>
        <v>1296.7563769013</v>
      </c>
      <c r="H15" s="0" t="n">
        <f aca="false">H13-MAX(0,H13)*H14/100</f>
        <v>1328.94721359423</v>
      </c>
      <c r="I15" s="0" t="n">
        <f aca="false">I13-MAX(0,I13)*I14/100</f>
        <v>1368.81563000206</v>
      </c>
      <c r="J15" s="0" t="n">
        <f aca="false">J13-MAX(0,J13)*J14/100</f>
        <v>1403.03602075211</v>
      </c>
      <c r="K15" s="0" t="n">
        <f aca="false">K13-MAX(0,K13)*K14/100</f>
        <v>1438.11192127091</v>
      </c>
      <c r="L15" s="0" t="n">
        <f aca="false">L13-MAX(0,L13)*L14/100</f>
        <v>1474.06471930268</v>
      </c>
    </row>
    <row r="16" customFormat="false" ht="15" hidden="false" customHeight="false" outlineLevel="0" collapsed="false">
      <c r="A16" s="0" t="s">
        <v>117</v>
      </c>
      <c r="C16" s="0" t="n">
        <f aca="false">-C12</f>
        <v>70.01219628</v>
      </c>
      <c r="D16" s="0" t="n">
        <f aca="false">-D12</f>
        <v>80.902982368</v>
      </c>
      <c r="E16" s="0" t="n">
        <f aca="false">-E12</f>
        <v>92.108045425968</v>
      </c>
      <c r="F16" s="0" t="n">
        <f aca="false">-F12</f>
        <v>103.998356744593</v>
      </c>
      <c r="G16" s="0" t="n">
        <f aca="false">-G12</f>
        <v>116.044833067508</v>
      </c>
      <c r="H16" s="0" t="n">
        <f aca="false">-H12</f>
        <v>128.720499448728</v>
      </c>
      <c r="I16" s="0" t="n">
        <f aca="false">-I12</f>
        <v>132.58211443219</v>
      </c>
      <c r="J16" s="0" t="n">
        <f aca="false">-J12</f>
        <v>135.896667292995</v>
      </c>
      <c r="K16" s="0" t="n">
        <f aca="false">-K12</f>
        <v>139.29408397532</v>
      </c>
      <c r="L16" s="0" t="n">
        <f aca="false">-L12</f>
        <v>142.776436074703</v>
      </c>
    </row>
    <row r="17" customFormat="false" ht="15" hidden="false" customHeight="false" outlineLevel="0" collapsed="false">
      <c r="A17" s="0" t="s">
        <v>118</v>
      </c>
      <c r="C17" s="4" t="n">
        <f aca="false">-C6*Assumptions!C32/100</f>
        <v>-124.46612672</v>
      </c>
      <c r="D17" s="4" t="n">
        <f aca="false">-D6*Assumptions!D32/100</f>
        <v>-129.4447717888</v>
      </c>
      <c r="E17" s="4" t="n">
        <f aca="false">-E6*Assumptions!E32/100</f>
        <v>-130.625955331373</v>
      </c>
      <c r="F17" s="4" t="n">
        <f aca="false">-F6*Assumptions!F32/100</f>
        <v>-131.731251876484</v>
      </c>
      <c r="G17" s="4" t="n">
        <f aca="false">-G6*Assumptions!G32/100</f>
        <v>-133.897884308663</v>
      </c>
      <c r="H17" s="4" t="n">
        <f aca="false">-H6*Assumptions!H32/100</f>
        <v>-137.914820837923</v>
      </c>
      <c r="I17" s="4" t="n">
        <f aca="false">-I6*Assumptions!I32/100</f>
        <v>-142.052265463061</v>
      </c>
      <c r="J17" s="4" t="n">
        <f aca="false">-J6*Assumptions!J32/100</f>
        <v>-145.603572099638</v>
      </c>
      <c r="K17" s="4" t="n">
        <f aca="false">-K6*Assumptions!K32/100</f>
        <v>-149.243661402128</v>
      </c>
      <c r="L17" s="4" t="n">
        <f aca="false">-L6*Assumptions!L32/100</f>
        <v>-152.974752937182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(C6-B6)*Assumptions!$B$37/100</f>
        <v>-149.59871</v>
      </c>
      <c r="D18" s="4" t="n">
        <f aca="false">(D6-C6)*Assumptions!$B$37/100</f>
        <v>-155.5826584</v>
      </c>
      <c r="E18" s="4" t="n">
        <f aca="false">(E6-D6)*Assumptions!$B$37/100</f>
        <v>-141.580219143999</v>
      </c>
      <c r="F18" s="4" t="n">
        <f aca="false">(F6-E6)*Assumptions!$B$37/100</f>
        <v>-146.535526814039</v>
      </c>
      <c r="G18" s="4" t="n">
        <f aca="false">(G6-F6)*Assumptions!$B$37/100</f>
        <v>-129.997945930741</v>
      </c>
      <c r="H18" s="4" t="n">
        <f aca="false">(H6-G6)*Assumptions!$B$37/100</f>
        <v>-133.897884308663</v>
      </c>
      <c r="I18" s="4" t="n">
        <f aca="false">(I6-H6)*Assumptions!$B$37/100</f>
        <v>-137.914820837924</v>
      </c>
      <c r="J18" s="4" t="n">
        <f aca="false">(J6-I6)*Assumptions!$B$37/100</f>
        <v>-118.376887885884</v>
      </c>
      <c r="K18" s="4" t="n">
        <f aca="false">(K6-J6)*Assumptions!$B$37/100</f>
        <v>-121.336310083031</v>
      </c>
      <c r="L18" s="4" t="n">
        <f aca="false">(L6-K6)*Assumptions!$B$37/100</f>
        <v>-124.369717835107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971.4521351012</v>
      </c>
      <c r="D19" s="0" t="n">
        <f aca="false">D15+D16+D17+D18</f>
        <v>988.870930177728</v>
      </c>
      <c r="E19" s="0" t="n">
        <f aca="false">E15+E16+E17+E18</f>
        <v>1048.53946234626</v>
      </c>
      <c r="F19" s="0" t="n">
        <f aca="false">F15+F16+F17+F18</f>
        <v>1091.04491844662</v>
      </c>
      <c r="G19" s="0" t="n">
        <f aca="false">G15+G16+G17+G18</f>
        <v>1148.90537972941</v>
      </c>
      <c r="H19" s="0" t="n">
        <f aca="false">H15+H16+H17+H18</f>
        <v>1185.85500789637</v>
      </c>
      <c r="I19" s="0" t="n">
        <f aca="false">I15+I16+I17+I18</f>
        <v>1221.43065813326</v>
      </c>
      <c r="J19" s="0" t="n">
        <f aca="false">J15+J16+J17+J18</f>
        <v>1274.95222805958</v>
      </c>
      <c r="K19" s="0" t="n">
        <f aca="false">K15+K16+K17+K18</f>
        <v>1306.82603376107</v>
      </c>
      <c r="L19" s="0" t="n">
        <f aca="false">L15+L16+L17+L18</f>
        <v>1339.4966846051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887.170899635799</v>
      </c>
      <c r="D21" s="0" t="n">
        <f aca="false">D19*D20</f>
        <v>824.729200957218</v>
      </c>
      <c r="E21" s="0" t="n">
        <f aca="false">E19*E20</f>
        <v>798.624119803778</v>
      </c>
      <c r="F21" s="0" t="n">
        <f aca="false">F19*F20</f>
        <v>758.902798307419</v>
      </c>
      <c r="G21" s="0" t="n">
        <f aca="false">G19*G20</f>
        <v>729.816481995281</v>
      </c>
      <c r="H21" s="0" t="n">
        <f aca="false">H19*H20</f>
        <v>687.934162583393</v>
      </c>
      <c r="I21" s="0" t="n">
        <f aca="false">I19*I20</f>
        <v>647.097888092141</v>
      </c>
      <c r="J21" s="0" t="n">
        <f aca="false">J19*J20</f>
        <v>616.851973945875</v>
      </c>
      <c r="K21" s="0" t="n">
        <f aca="false">K19*K20</f>
        <v>577.41851442422</v>
      </c>
      <c r="L21" s="0" t="n">
        <f aca="false">L19*L20</f>
        <v>540.505915328608</v>
      </c>
    </row>
    <row r="23" customFormat="false" ht="15" hidden="false" customHeight="false" outlineLevel="0" collapsed="false">
      <c r="A23" s="0" t="s">
        <v>98</v>
      </c>
      <c r="C23" s="4" t="n">
        <f aca="false">Assumptions!C30</f>
        <v>0.4</v>
      </c>
      <c r="D23" s="4" t="n">
        <f aca="false">Assumptions!D30</f>
        <v>0.4</v>
      </c>
      <c r="E23" s="4" t="n">
        <f aca="false">Assumptions!E30</f>
        <v>0.4</v>
      </c>
      <c r="F23" s="4" t="n">
        <f aca="false">Assumptions!F30</f>
        <v>0.4</v>
      </c>
      <c r="G23" s="4" t="n">
        <f aca="false">Assumptions!G30</f>
        <v>0.4</v>
      </c>
      <c r="H23" s="4" t="n">
        <f aca="false">Assumptions!H30</f>
        <v>0.4</v>
      </c>
      <c r="I23" s="4" t="n">
        <f aca="false">Assumptions!I30</f>
        <v>0.4</v>
      </c>
      <c r="J23" s="4" t="n">
        <f aca="false">Assumptions!J30</f>
        <v>0.4</v>
      </c>
      <c r="K23" s="4" t="n">
        <f aca="false">Assumptions!K30</f>
        <v>0.4</v>
      </c>
      <c r="L23" s="4" t="n">
        <f aca="false">Assumptions!L30</f>
        <v>0.4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-62.23306336</v>
      </c>
      <c r="D24" s="0" t="n">
        <f aca="false">-D6*D23/100</f>
        <v>-64.7223858944</v>
      </c>
      <c r="E24" s="0" t="n">
        <f aca="false">-E6*E23/100</f>
        <v>-66.987669400704</v>
      </c>
      <c r="F24" s="0" t="n">
        <f aca="false">-F6*F23/100</f>
        <v>-69.3322378297286</v>
      </c>
      <c r="G24" s="0" t="n">
        <f aca="false">-G6*G23/100</f>
        <v>-71.4122049646205</v>
      </c>
      <c r="H24" s="0" t="n">
        <f aca="false">-H6*H23/100</f>
        <v>-73.5545711135591</v>
      </c>
      <c r="I24" s="0" t="n">
        <f aca="false">-I6*I23/100</f>
        <v>-75.7612082469659</v>
      </c>
      <c r="J24" s="0" t="n">
        <f aca="false">-J6*J23/100</f>
        <v>-77.65523845314</v>
      </c>
      <c r="K24" s="0" t="n">
        <f aca="false">-K6*K23/100</f>
        <v>-79.5966194144685</v>
      </c>
      <c r="L24" s="0" t="n">
        <f aca="false">-L6*L23/100</f>
        <v>-81.5865348998302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103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104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7069.05195507373</v>
      </c>
    </row>
    <row r="31" customFormat="false" ht="15" hidden="false" customHeight="false" outlineLevel="0" collapsed="false">
      <c r="A31" s="0" t="s">
        <v>126</v>
      </c>
      <c r="B31" s="0" t="n">
        <f aca="false">L19</f>
        <v>1339.4966846051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19614.0585960032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20092.4502690765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19614.0585960032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7914.55090302605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14983.6028580998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20640.7288580998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7.38524720406681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1.30428929924081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7.38524720406681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10983.8728137618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4.98784190302933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Assumptions!C41</f>
        <v>6</v>
      </c>
      <c r="D5" s="4" t="n">
        <f aca="false">Assumptions!D41</f>
        <v>6</v>
      </c>
      <c r="E5" s="4" t="n">
        <f aca="false">Assumptions!E41</f>
        <v>5.5</v>
      </c>
      <c r="F5" s="4" t="n">
        <f aca="false">Assumptions!F41</f>
        <v>5</v>
      </c>
      <c r="G5" s="4" t="n">
        <f aca="false">Assumptions!G41</f>
        <v>4.5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14959.871</v>
      </c>
      <c r="C6" s="0" t="n">
        <f aca="false">B6*(1+C5/100)</f>
        <v>15857.46326</v>
      </c>
      <c r="D6" s="0" t="n">
        <f aca="false">C6*(1+D5/100)</f>
        <v>16808.9110556</v>
      </c>
      <c r="E6" s="0" t="n">
        <f aca="false">D6*(1+E5/100)</f>
        <v>17733.401163658</v>
      </c>
      <c r="F6" s="0" t="n">
        <f aca="false">E6*(1+F5/100)</f>
        <v>18620.0712218409</v>
      </c>
      <c r="G6" s="0" t="n">
        <f aca="false">F6*(1+G5/100)</f>
        <v>19457.9744268237</v>
      </c>
      <c r="H6" s="0" t="n">
        <f aca="false">G6*(1+H5/100)</f>
        <v>20236.2934038967</v>
      </c>
      <c r="I6" s="0" t="n">
        <f aca="false">H6*(1+I5/100)</f>
        <v>20944.5636730331</v>
      </c>
      <c r="J6" s="0" t="n">
        <f aca="false">I6*(1+J5/100)</f>
        <v>21572.9005832241</v>
      </c>
      <c r="K6" s="0" t="n">
        <f aca="false">J6*(1+K5/100)</f>
        <v>22220.0876007208</v>
      </c>
      <c r="L6" s="0" t="n">
        <f aca="false">K6*(1+L5/100)</f>
        <v>22886.6902287424</v>
      </c>
    </row>
    <row r="7" customFormat="false" ht="15" hidden="false" customHeight="false" outlineLevel="0" collapsed="false">
      <c r="A7" s="0" t="s">
        <v>96</v>
      </c>
      <c r="C7" s="4" t="n">
        <f aca="false">Assumptions!C42</f>
        <v>11.6</v>
      </c>
      <c r="D7" s="4" t="n">
        <f aca="false">Assumptions!D42</f>
        <v>11.8</v>
      </c>
      <c r="E7" s="4" t="n">
        <f aca="false">Assumptions!E42</f>
        <v>12</v>
      </c>
      <c r="F7" s="4" t="n">
        <f aca="false">Assumptions!F42</f>
        <v>12.2</v>
      </c>
      <c r="G7" s="4" t="n">
        <f aca="false">Assumptions!G42</f>
        <v>12.4</v>
      </c>
      <c r="H7" s="4" t="n">
        <f aca="false">Assumptions!H42</f>
        <v>12.5</v>
      </c>
      <c r="I7" s="4" t="n">
        <f aca="false">Assumptions!I42</f>
        <v>12.5</v>
      </c>
      <c r="J7" s="4" t="n">
        <f aca="false">Assumptions!J42</f>
        <v>12.5</v>
      </c>
      <c r="K7" s="4" t="n">
        <f aca="false">Assumptions!K42</f>
        <v>12.5</v>
      </c>
      <c r="L7" s="4" t="n">
        <f aca="false">Assumptions!L42</f>
        <v>12.5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1839.46573816</v>
      </c>
      <c r="D8" s="0" t="n">
        <f aca="false">D6*D7/100</f>
        <v>1983.4515045608</v>
      </c>
      <c r="E8" s="0" t="n">
        <f aca="false">E6*E7/100</f>
        <v>2128.00813963896</v>
      </c>
      <c r="F8" s="0" t="n">
        <f aca="false">F6*F7/100</f>
        <v>2271.64868906459</v>
      </c>
      <c r="G8" s="0" t="n">
        <f aca="false">G6*G7/100</f>
        <v>2412.78882892614</v>
      </c>
      <c r="H8" s="0" t="n">
        <f aca="false">H6*H7/100</f>
        <v>2529.53667548709</v>
      </c>
      <c r="I8" s="0" t="n">
        <f aca="false">I6*I7/100</f>
        <v>2618.07045912913</v>
      </c>
      <c r="J8" s="0" t="n">
        <f aca="false">J6*J7/100</f>
        <v>2696.61257290301</v>
      </c>
      <c r="K8" s="0" t="n">
        <f aca="false">K6*K7/100</f>
        <v>2777.5109500901</v>
      </c>
      <c r="L8" s="0" t="n">
        <f aca="false">L6*L7/100</f>
        <v>2860.8362785928</v>
      </c>
    </row>
    <row r="9" customFormat="false" ht="15" hidden="false" customHeight="false" outlineLevel="0" collapsed="false">
      <c r="A9" s="0" t="s">
        <v>97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1776.03588512</v>
      </c>
      <c r="D11" s="0" t="n">
        <f aca="false">D8+D10+D24</f>
        <v>1916.2158603384</v>
      </c>
      <c r="E11" s="0" t="n">
        <f aca="false">E8+E10+E24</f>
        <v>2057.07453498433</v>
      </c>
      <c r="F11" s="0" t="n">
        <f aca="false">F8+F10+F24</f>
        <v>2197.16840417723</v>
      </c>
      <c r="G11" s="0" t="n">
        <f aca="false">G8+G10+G24</f>
        <v>2334.95693121885</v>
      </c>
      <c r="H11" s="0" t="n">
        <f aca="false">H8+H10+H24</f>
        <v>2448.5915018715</v>
      </c>
      <c r="I11" s="0" t="n">
        <f aca="false">I8+I10+I24</f>
        <v>2534.292204437</v>
      </c>
      <c r="J11" s="0" t="n">
        <f aca="false">J8+J10+J24</f>
        <v>2610.32097057011</v>
      </c>
      <c r="K11" s="0" t="n">
        <f aca="false">K8+K10+K24</f>
        <v>2688.63059968721</v>
      </c>
      <c r="L11" s="0" t="n">
        <f aca="false">L8+L10+L24</f>
        <v>2769.28951767783</v>
      </c>
    </row>
    <row r="12" customFormat="false" ht="15" hidden="false" customHeight="false" outlineLevel="0" collapsed="false">
      <c r="A12" s="0" t="s">
        <v>114</v>
      </c>
      <c r="C12" s="4" t="n">
        <f aca="false">-C6*Assumptions!C45/100</f>
        <v>-71.35858467</v>
      </c>
      <c r="D12" s="4" t="n">
        <f aca="false">-D6*Assumptions!D45/100</f>
        <v>-84.044555278</v>
      </c>
      <c r="E12" s="4" t="n">
        <f aca="false">-E6*Assumptions!E45/100</f>
        <v>-97.533706400119</v>
      </c>
      <c r="F12" s="4" t="n">
        <f aca="false">-F6*Assumptions!F45/100</f>
        <v>-111.720427331045</v>
      </c>
      <c r="G12" s="4" t="n">
        <f aca="false">-G6*Assumptions!G45/100</f>
        <v>-126.476833774354</v>
      </c>
      <c r="H12" s="4" t="n">
        <f aca="false">-H6*Assumptions!H45/100</f>
        <v>-141.654053827277</v>
      </c>
      <c r="I12" s="4" t="n">
        <f aca="false">-I6*Assumptions!I45/100</f>
        <v>-146.611945711231</v>
      </c>
      <c r="J12" s="4" t="n">
        <f aca="false">-J6*Assumptions!J45/100</f>
        <v>-151.010304082568</v>
      </c>
      <c r="K12" s="4" t="n">
        <f aca="false">-K6*Assumptions!K45/100</f>
        <v>-155.540613205045</v>
      </c>
      <c r="L12" s="4" t="n">
        <f aca="false">-L6*Assumptions!L45/100</f>
        <v>-160.206831601197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1704.67730045</v>
      </c>
      <c r="D13" s="0" t="n">
        <f aca="false">D11+D12</f>
        <v>1832.1713050604</v>
      </c>
      <c r="E13" s="0" t="n">
        <f aca="false">E11+E12</f>
        <v>1959.54082858421</v>
      </c>
      <c r="F13" s="0" t="n">
        <f aca="false">F11+F12</f>
        <v>2085.44797684618</v>
      </c>
      <c r="G13" s="0" t="n">
        <f aca="false">G11+G12</f>
        <v>2208.48009744449</v>
      </c>
      <c r="H13" s="0" t="n">
        <f aca="false">H11+H12</f>
        <v>2306.93744804422</v>
      </c>
      <c r="I13" s="0" t="n">
        <f aca="false">I11+I12</f>
        <v>2387.68025872577</v>
      </c>
      <c r="J13" s="0" t="n">
        <f aca="false">J11+J12</f>
        <v>2459.31066648754</v>
      </c>
      <c r="K13" s="0" t="n">
        <f aca="false">K11+K12</f>
        <v>2533.08998648217</v>
      </c>
      <c r="L13" s="0" t="n">
        <f aca="false">L11+L12</f>
        <v>2609.08268607663</v>
      </c>
    </row>
    <row r="14" customFormat="false" ht="15" hidden="false" customHeight="false" outlineLevel="0" collapsed="false">
      <c r="A14" s="0" t="s">
        <v>101</v>
      </c>
      <c r="C14" s="4" t="n">
        <f aca="false">Assumptions!C47</f>
        <v>26</v>
      </c>
      <c r="D14" s="4" t="n">
        <f aca="false">Assumptions!D47</f>
        <v>26</v>
      </c>
      <c r="E14" s="4" t="n">
        <f aca="false">Assumptions!E47</f>
        <v>26</v>
      </c>
      <c r="F14" s="4" t="n">
        <f aca="false">Assumptions!F47</f>
        <v>26</v>
      </c>
      <c r="G14" s="4" t="n">
        <f aca="false">Assumptions!G47</f>
        <v>26</v>
      </c>
      <c r="H14" s="4" t="n">
        <f aca="false">Assumptions!H47</f>
        <v>26</v>
      </c>
      <c r="I14" s="4" t="n">
        <f aca="false">Assumptions!I47</f>
        <v>26</v>
      </c>
      <c r="J14" s="4" t="n">
        <f aca="false">Assumptions!J47</f>
        <v>26</v>
      </c>
      <c r="K14" s="4" t="n">
        <f aca="false">Assumptions!K47</f>
        <v>26</v>
      </c>
      <c r="L14" s="4" t="n">
        <f aca="false">Assumptions!L47</f>
        <v>26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1261.461202333</v>
      </c>
      <c r="D15" s="0" t="n">
        <f aca="false">D13-MAX(0,D13)*D14/100</f>
        <v>1355.8067657447</v>
      </c>
      <c r="E15" s="0" t="n">
        <f aca="false">E13-MAX(0,E13)*E14/100</f>
        <v>1450.06021315231</v>
      </c>
      <c r="F15" s="0" t="n">
        <f aca="false">F13-MAX(0,F13)*F14/100</f>
        <v>1543.23150286617</v>
      </c>
      <c r="G15" s="0" t="n">
        <f aca="false">G13-MAX(0,G13)*G14/100</f>
        <v>1634.27527210893</v>
      </c>
      <c r="H15" s="0" t="n">
        <f aca="false">H13-MAX(0,H13)*H14/100</f>
        <v>1707.13371155273</v>
      </c>
      <c r="I15" s="0" t="n">
        <f aca="false">I13-MAX(0,I13)*I14/100</f>
        <v>1766.88339145707</v>
      </c>
      <c r="J15" s="0" t="n">
        <f aca="false">J13-MAX(0,J13)*J14/100</f>
        <v>1819.88989320078</v>
      </c>
      <c r="K15" s="0" t="n">
        <f aca="false">K13-MAX(0,K13)*K14/100</f>
        <v>1874.48658999681</v>
      </c>
      <c r="L15" s="0" t="n">
        <f aca="false">L13-MAX(0,L13)*L14/100</f>
        <v>1930.72118769671</v>
      </c>
    </row>
    <row r="16" customFormat="false" ht="15" hidden="false" customHeight="false" outlineLevel="0" collapsed="false">
      <c r="A16" s="0" t="s">
        <v>117</v>
      </c>
      <c r="C16" s="0" t="n">
        <f aca="false">-C12</f>
        <v>71.35858467</v>
      </c>
      <c r="D16" s="0" t="n">
        <f aca="false">-D12</f>
        <v>84.044555278</v>
      </c>
      <c r="E16" s="0" t="n">
        <f aca="false">-E12</f>
        <v>97.533706400119</v>
      </c>
      <c r="F16" s="0" t="n">
        <f aca="false">-F12</f>
        <v>111.720427331045</v>
      </c>
      <c r="G16" s="0" t="n">
        <f aca="false">-G12</f>
        <v>126.476833774354</v>
      </c>
      <c r="H16" s="0" t="n">
        <f aca="false">-H12</f>
        <v>141.654053827277</v>
      </c>
      <c r="I16" s="0" t="n">
        <f aca="false">-I12</f>
        <v>146.611945711231</v>
      </c>
      <c r="J16" s="0" t="n">
        <f aca="false">-J12</f>
        <v>151.010304082568</v>
      </c>
      <c r="K16" s="0" t="n">
        <f aca="false">-K12</f>
        <v>155.540613205045</v>
      </c>
      <c r="L16" s="0" t="n">
        <f aca="false">-L12</f>
        <v>160.206831601197</v>
      </c>
    </row>
    <row r="17" customFormat="false" ht="15" hidden="false" customHeight="false" outlineLevel="0" collapsed="false">
      <c r="A17" s="0" t="s">
        <v>118</v>
      </c>
      <c r="C17" s="4" t="n">
        <f aca="false">-C6*Assumptions!C46/100</f>
        <v>-126.85970608</v>
      </c>
      <c r="D17" s="4" t="n">
        <f aca="false">-D6*Assumptions!D46/100</f>
        <v>-134.4712884448</v>
      </c>
      <c r="E17" s="4" t="n">
        <f aca="false">-E6*Assumptions!E46/100</f>
        <v>-138.320529076532</v>
      </c>
      <c r="F17" s="4" t="n">
        <f aca="false">-F6*Assumptions!F46/100</f>
        <v>-141.512541285991</v>
      </c>
      <c r="G17" s="4" t="n">
        <f aca="false">-G6*Assumptions!G46/100</f>
        <v>-145.934808201178</v>
      </c>
      <c r="H17" s="4" t="n">
        <f aca="false">-H6*Assumptions!H46/100</f>
        <v>-151.772200529225</v>
      </c>
      <c r="I17" s="4" t="n">
        <f aca="false">-I6*Assumptions!I46/100</f>
        <v>-157.084227547748</v>
      </c>
      <c r="J17" s="4" t="n">
        <f aca="false">-J6*Assumptions!J46/100</f>
        <v>-161.79675437418</v>
      </c>
      <c r="K17" s="4" t="n">
        <f aca="false">-K6*Assumptions!K46/100</f>
        <v>-166.650657005406</v>
      </c>
      <c r="L17" s="4" t="n">
        <f aca="false">-L6*Assumptions!L46/100</f>
        <v>-171.650176715568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(C6-B6)*Assumptions!$B$51/100</f>
        <v>-134.638839</v>
      </c>
      <c r="D18" s="4" t="n">
        <f aca="false">(D6-C6)*Assumptions!$B$51/100</f>
        <v>-142.71716934</v>
      </c>
      <c r="E18" s="4" t="n">
        <f aca="false">(E6-D6)*Assumptions!$B$51/100</f>
        <v>-138.6735162087</v>
      </c>
      <c r="F18" s="4" t="n">
        <f aca="false">(F6-E6)*Assumptions!$B$51/100</f>
        <v>-133.000508727435</v>
      </c>
      <c r="G18" s="4" t="n">
        <f aca="false">(G6-F6)*Assumptions!$B$51/100</f>
        <v>-125.685480747426</v>
      </c>
      <c r="H18" s="4" t="n">
        <f aca="false">(H6-G6)*Assumptions!$B$51/100</f>
        <v>-116.747846560943</v>
      </c>
      <c r="I18" s="4" t="n">
        <f aca="false">(I6-H6)*Assumptions!$B$51/100</f>
        <v>-106.240540370457</v>
      </c>
      <c r="J18" s="4" t="n">
        <f aca="false">(J6-I6)*Assumptions!$B$51/100</f>
        <v>-94.2505365286488</v>
      </c>
      <c r="K18" s="4" t="n">
        <f aca="false">(K6-J6)*Assumptions!$B$51/100</f>
        <v>-97.0780526245084</v>
      </c>
      <c r="L18" s="4" t="n">
        <f aca="false">(L6-K6)*Assumptions!$B$51/100</f>
        <v>-99.9903942032437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1071.321241923</v>
      </c>
      <c r="D19" s="0" t="n">
        <f aca="false">D15+D16+D17+D18</f>
        <v>1162.6628632379</v>
      </c>
      <c r="E19" s="0" t="n">
        <f aca="false">E15+E16+E17+E18</f>
        <v>1270.5998742672</v>
      </c>
      <c r="F19" s="0" t="n">
        <f aca="false">F15+F16+F17+F18</f>
        <v>1380.43888018379</v>
      </c>
      <c r="G19" s="0" t="n">
        <f aca="false">G15+G16+G17+G18</f>
        <v>1489.13181693468</v>
      </c>
      <c r="H19" s="0" t="n">
        <f aca="false">H15+H16+H17+H18</f>
        <v>1580.26771828983</v>
      </c>
      <c r="I19" s="0" t="n">
        <f aca="false">I15+I16+I17+I18</f>
        <v>1650.1705692501</v>
      </c>
      <c r="J19" s="0" t="n">
        <f aca="false">J15+J16+J17+J18</f>
        <v>1714.85290638052</v>
      </c>
      <c r="K19" s="0" t="n">
        <f aca="false">K15+K16+K17+K18</f>
        <v>1766.29849357194</v>
      </c>
      <c r="L19" s="0" t="n">
        <f aca="false">L15+L16+L17+L18</f>
        <v>1819.28744837909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978.3755634</v>
      </c>
      <c r="D21" s="0" t="n">
        <f aca="false">D19*D20</f>
        <v>969.673579147971</v>
      </c>
      <c r="E21" s="0" t="n">
        <f aca="false">E19*E20</f>
        <v>967.75728777897</v>
      </c>
      <c r="F21" s="0" t="n">
        <f aca="false">F19*F20</f>
        <v>960.197798781187</v>
      </c>
      <c r="G21" s="0" t="n">
        <f aca="false">G19*G20</f>
        <v>945.937727368351</v>
      </c>
      <c r="H21" s="0" t="n">
        <f aca="false">H19*H20</f>
        <v>916.739518912827</v>
      </c>
      <c r="I21" s="0" t="n">
        <f aca="false">I19*I20</f>
        <v>874.238650588252</v>
      </c>
      <c r="J21" s="0" t="n">
        <f aca="false">J19*J20</f>
        <v>829.686302786092</v>
      </c>
      <c r="K21" s="0" t="n">
        <f aca="false">K19*K20</f>
        <v>780.435517689201</v>
      </c>
      <c r="L21" s="0" t="n">
        <f aca="false">L19*L20</f>
        <v>734.10829517797</v>
      </c>
    </row>
    <row r="23" customFormat="false" ht="15" hidden="false" customHeight="false" outlineLevel="0" collapsed="false">
      <c r="A23" s="0" t="s">
        <v>98</v>
      </c>
      <c r="C23" s="4" t="n">
        <f aca="false">Assumptions!C44</f>
        <v>0.4</v>
      </c>
      <c r="D23" s="4" t="n">
        <f aca="false">Assumptions!D44</f>
        <v>0.4</v>
      </c>
      <c r="E23" s="4" t="n">
        <f aca="false">Assumptions!E44</f>
        <v>0.4</v>
      </c>
      <c r="F23" s="4" t="n">
        <f aca="false">Assumptions!F44</f>
        <v>0.4</v>
      </c>
      <c r="G23" s="4" t="n">
        <f aca="false">Assumptions!G44</f>
        <v>0.4</v>
      </c>
      <c r="H23" s="4" t="n">
        <f aca="false">Assumptions!H44</f>
        <v>0.4</v>
      </c>
      <c r="I23" s="4" t="n">
        <f aca="false">Assumptions!I44</f>
        <v>0.4</v>
      </c>
      <c r="J23" s="4" t="n">
        <f aca="false">Assumptions!J44</f>
        <v>0.4</v>
      </c>
      <c r="K23" s="4" t="n">
        <f aca="false">Assumptions!K44</f>
        <v>0.4</v>
      </c>
      <c r="L23" s="4" t="n">
        <f aca="false">Assumptions!L44</f>
        <v>0.4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-63.42985304</v>
      </c>
      <c r="D24" s="0" t="n">
        <f aca="false">-D6*D23/100</f>
        <v>-67.2356442224</v>
      </c>
      <c r="E24" s="0" t="n">
        <f aca="false">-E6*E23/100</f>
        <v>-70.933604654632</v>
      </c>
      <c r="F24" s="0" t="n">
        <f aca="false">-F6*F23/100</f>
        <v>-74.4802848873636</v>
      </c>
      <c r="G24" s="0" t="n">
        <f aca="false">-G6*G23/100</f>
        <v>-77.831897707295</v>
      </c>
      <c r="H24" s="0" t="n">
        <f aca="false">-H6*H23/100</f>
        <v>-80.9451736155868</v>
      </c>
      <c r="I24" s="0" t="n">
        <f aca="false">-I6*I23/100</f>
        <v>-83.7782546921323</v>
      </c>
      <c r="J24" s="0" t="n">
        <f aca="false">-J6*J23/100</f>
        <v>-86.2916023328963</v>
      </c>
      <c r="K24" s="0" t="n">
        <f aca="false">-K6*K23/100</f>
        <v>-88.8803504028831</v>
      </c>
      <c r="L24" s="0" t="n">
        <f aca="false">-L6*L23/100</f>
        <v>-91.5467609149696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103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104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8957.15024163082</v>
      </c>
    </row>
    <row r="31" customFormat="false" ht="15" hidden="false" customHeight="false" outlineLevel="0" collapsed="false">
      <c r="A31" s="0" t="s">
        <v>126</v>
      </c>
      <c r="B31" s="0" t="n">
        <f aca="false">L19</f>
        <v>1819.28744837909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26639.5662084082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27289.3117256864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26639.5662084082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10749.4428936774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19706.5931353082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25363.7191353082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9.07513184813066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1.83155439879272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9.07513184813066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14918.1570767086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5.84515829083177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2" t="s">
        <v>143</v>
      </c>
      <c r="B3" s="2" t="s">
        <v>144</v>
      </c>
      <c r="C3" s="2" t="s">
        <v>134</v>
      </c>
      <c r="D3" s="2" t="s">
        <v>145</v>
      </c>
      <c r="E3" s="2" t="s">
        <v>137</v>
      </c>
      <c r="F3" s="2" t="s">
        <v>146</v>
      </c>
    </row>
    <row r="4" customFormat="false" ht="15" hidden="false" customHeight="false" outlineLevel="0" collapsed="false">
      <c r="A4" s="0" t="s">
        <v>147</v>
      </c>
      <c r="B4" s="4" t="n">
        <f aca="false">DCF_Bear!$B$38</f>
        <v>5.32053538577369</v>
      </c>
      <c r="C4" s="0" t="n">
        <f aca="false">B4/Assumptions!$B$2-1</f>
        <v>0.660073443299123</v>
      </c>
      <c r="D4" s="4" t="n">
        <f aca="false">Assumptions!$B$24</f>
        <v>0.3</v>
      </c>
      <c r="E4" s="4" t="n">
        <f aca="false">DCF_Bear!$B$43</f>
        <v>5.32053538577369</v>
      </c>
      <c r="F4" s="4" t="n">
        <f aca="false">DCF_Bear!$B$47</f>
        <v>4.12132331675457</v>
      </c>
    </row>
    <row r="5" customFormat="false" ht="15" hidden="false" customHeight="false" outlineLevel="0" collapsed="false">
      <c r="A5" s="0" t="s">
        <v>148</v>
      </c>
      <c r="B5" s="4" t="n">
        <f aca="false">DCF_Base!$B$38</f>
        <v>7.38524720406681</v>
      </c>
      <c r="C5" s="0" t="n">
        <f aca="false">B5/Assumptions!$B$2-1</f>
        <v>1.30428929924081</v>
      </c>
      <c r="D5" s="4" t="n">
        <f aca="false">Assumptions!$B$38</f>
        <v>0.5</v>
      </c>
      <c r="E5" s="4" t="n">
        <f aca="false">DCF_Base!$B$43</f>
        <v>7.38524720406681</v>
      </c>
      <c r="F5" s="4" t="n">
        <f aca="false">DCF_Base!$B$47</f>
        <v>4.98784190302933</v>
      </c>
    </row>
    <row r="6" customFormat="false" ht="15" hidden="false" customHeight="false" outlineLevel="0" collapsed="false">
      <c r="A6" s="0" t="s">
        <v>149</v>
      </c>
      <c r="B6" s="4" t="n">
        <f aca="false">DCF_Bull!$B$38</f>
        <v>9.07513184813066</v>
      </c>
      <c r="C6" s="0" t="n">
        <f aca="false">B6/Assumptions!$B$2-1</f>
        <v>1.83155439879272</v>
      </c>
      <c r="D6" s="4" t="n">
        <f aca="false">Assumptions!$B$52</f>
        <v>0.2</v>
      </c>
      <c r="E6" s="4" t="n">
        <f aca="false">DCF_Bull!$B$43</f>
        <v>9.07513184813066</v>
      </c>
      <c r="F6" s="4" t="n">
        <f aca="false">DCF_Bull!$B$47</f>
        <v>5.84515829083177</v>
      </c>
    </row>
    <row r="8" customFormat="false" ht="15" hidden="false" customHeight="false" outlineLevel="0" collapsed="false">
      <c r="A8" s="0" t="s">
        <v>150</v>
      </c>
      <c r="B8" s="0" t="n">
        <f aca="false">SUMPRODUCT(B4:B6,D4:D6)</f>
        <v>7.10381058739164</v>
      </c>
    </row>
    <row r="9" customFormat="false" ht="15" hidden="false" customHeight="false" outlineLevel="0" collapsed="false">
      <c r="A9" s="0" t="s">
        <v>151</v>
      </c>
      <c r="B9" s="0" t="n">
        <f aca="false">SUMPRODUCT(E4:E6,D4:D6)</f>
        <v>7.10381058739164</v>
      </c>
    </row>
    <row r="10" customFormat="false" ht="15" hidden="false" customHeight="false" outlineLevel="0" collapsed="false">
      <c r="A10" s="0" t="s">
        <v>152</v>
      </c>
      <c r="B10" s="0" t="n">
        <f aca="false">1-Assumptions!$B$2/B8</f>
        <v>0.548833691358767</v>
      </c>
    </row>
    <row r="11" customFormat="false" ht="15" hidden="false" customHeight="false" outlineLevel="0" collapsed="false">
      <c r="A11" s="0" t="s">
        <v>153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154</v>
      </c>
      <c r="B12" s="0" t="n">
        <f aca="false">SUMPRODUCT(F4:F6,D4:D6)</f>
        <v>4.89934960470739</v>
      </c>
    </row>
    <row r="14" customFormat="false" ht="15" hidden="false" customHeight="false" outlineLevel="0" collapsed="false">
      <c r="A14" s="2" t="s">
        <v>155</v>
      </c>
      <c r="C14" s="0" t="s">
        <v>156</v>
      </c>
    </row>
    <row r="15" customFormat="false" ht="15" hidden="false" customHeight="false" outlineLevel="0" collapsed="false">
      <c r="A15" s="0" t="s">
        <v>157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7.64971140148715</v>
      </c>
      <c r="C15" s="3" t="n">
        <v>9</v>
      </c>
    </row>
    <row r="16" customFormat="false" ht="15" hidden="false" customHeight="false" outlineLevel="0" collapsed="false">
      <c r="A16" s="0" t="s">
        <v>158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7.38524720406681</v>
      </c>
      <c r="C16" s="3" t="n">
        <v>9.5</v>
      </c>
    </row>
    <row r="17" customFormat="false" ht="15" hidden="false" customHeight="false" outlineLevel="0" collapsed="false">
      <c r="A17" s="0" t="s">
        <v>159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7.02124967424864</v>
      </c>
      <c r="C17" s="3" t="n">
        <v>10</v>
      </c>
    </row>
    <row r="18" customFormat="false" ht="15" hidden="false" customHeight="false" outlineLevel="0" collapsed="false">
      <c r="A18" s="0" t="s">
        <v>160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6.42215800193718</v>
      </c>
      <c r="C18" s="3" t="n">
        <v>11</v>
      </c>
    </row>
    <row r="19" customFormat="false" ht="15" hidden="false" customHeight="false" outlineLevel="0" collapsed="false">
      <c r="A19" s="0" t="s">
        <v>161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5.94968119537492</v>
      </c>
      <c r="C19" s="3" t="n">
        <v>12</v>
      </c>
    </row>
    <row r="20" customFormat="false" ht="15" hidden="false" customHeight="false" outlineLevel="0" collapsed="false">
      <c r="A20" s="0" t="s">
        <v>162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4.98784190302933</v>
      </c>
      <c r="C20" s="3" t="n">
        <v>15</v>
      </c>
    </row>
    <row r="22" customFormat="false" ht="15" hidden="false" customHeight="false" outlineLevel="0" collapsed="false">
      <c r="A22" s="2" t="s">
        <v>163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8.29291834938302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8.29291834938302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8.29291834938302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8.29291834938302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8.29291834938302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7.74828818216413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7.85427559070931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7.85427559070931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7.85427559070931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7.85427559070931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7.00709507365236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7.18356606784577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7.38524720406681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7.45431608633429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7.45431608633429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6.43189499897007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6.55943009632619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6.70290708085182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6.86551432998088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7.05135118612837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5.97280842514191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6.06750935506806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6.17273261054156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6.29033507254135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6.42263784229111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2026-10-22T04:24:04Z</dcterms:created>
  <dc:creator>openpyxl</dc:creator>
  <dc:description/>
  <dc:language>en-NZ</dc:language>
  <cp:lastModifiedBy/>
  <dcterms:modified xsi:type="dcterms:W3CDTF">2026-10-22T04:24:04Z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