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<sst xmlns="http://schemas.openxmlformats.org/spreadsheetml/2006/main" count="368" uniqueCount="168">
  <si>
    <t xml:space="preserve">Ticker</t>
  </si>
  <si>
    <t xml:space="preserve">TTD</t>
  </si>
  <si>
    <t xml:space="preserve">Company</t>
  </si>
  <si>
    <t xml:space="preserve">The Trade Desk,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</si>
  <si>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</si>
  <si>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</si>
  <si>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</si>
  <si>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</si>
  <si>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2026-10-01T20:00:01Z regular close (Yahoo chart API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</si>
  <si>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</si>
  <si>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</si>
  <si>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</si>
  <si>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</si>
  <si>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</si>
  <si>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</si>
  <si>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</si>
  <si>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</si>
  <si>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</si>
  <si>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</si>
  <si>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</si>
  <si>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</si>
  <si>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2026-10-02T09:54:45Z</t>
  </si>
  <si>
    <t xml:space="preserve">Drivers file</t>
  </si>
  <si>
    <t xml:space="preserve">TTD_Drivers.json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</si>
  <si>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</si>
  <si>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</si>
  <si>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</si>
  <si>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TTD as what it has become in 2026 -- a cash-generative but ex-hypergrowth independent DSP facing walled-garden competition -- not as the 25%-growth compounder of 2017-2024. Owner FCF fully charges SBC and the cash taxes on net-share settlement, strips interest on the $1.5B cash pile, and builds margins from components off a trough year rather than the FY2025 peak. Recovery is held as optionality in a 20%-weighted bull case, not baked into the base.
key_risks_to_valuation: Revenue trough depth: Q3-2026 guided -12% YoY with 'limited visibility'; a second year of decline moves the base toward the bear case; Take-rate / pricing power: Amazon DSP's low-fee, retail-data offering (now with Netflix inventory) could force platform-fee cuts that cap the margin recovery; SBC persistence: retention grants after an ~80% drawdown could keep SBC near 15%+ of revenue, the single largest owner-FCF deduction; Governance and guidance credibility: four CFOs in ~14 months and successive 2026 misses lower confidence in every forward input; Upside: TTD has historically beaten its own guidance; a cyclical ad recovery plus Kokai gains could make the base case conservative, and the founder bought ~$148M of stock at ~2x today's price</t>
  </si>
  <si>
    <t xml:space="preserve">Data sources</t>
  </si>
  <si>
    <t xml:space="preserve">price: Yahoo Finance chart API at inputs.price_as_of (regular close); 52-week range 11.85-56.39. To be refreshed at the next regular close.
financials: SEC XBRL companyfacts (CIK 1671933): FY2020-FY2025 10-Ks and Q1/Q2 2026 10-Qs; research/TTD/Reports/TTD_Metrics.csv and TTD.duckdb core_metrics/kpis
qualitative: research/TTD/Reports/TTD_Analysis.json (2026-10-02): Q3-2026 revenue guide &gt;=$650M and adj. EBITDA ~$160M, Sept-2026 RIF ($39-51M charges), S&amp;P 500 removal 2026-09-21, CFO turnover, CEO share purchase March 2026</t>
  </si>
  <si>
    <t xml:space="preserve">Scenario narrative: bear</t>
  </si>
  <si>
    <t xml:space="preserve">Structural share loss to Amazon DSP (with Netflix inventory) and Google DV360: revenue falls another ~13% over two years, growth never re-accelerates past ~3%, take-rate pressure and sticky retention SBC hold margins in the high-20s, and governance churn persists. Net cash and positive owner FCF mean survival, not distress -- the floor is a cheap ex-growth ad-tech utility.</t>
  </si>
  <si>
    <t xml:space="preserve">Scenario narrative: base</t>
  </si>
  <si>
    <t xml:space="preserve">Cyclical-plus-structural reset: 2026 is the trough (Y1 revenue -5.5% from the Q3 guide of &gt;=$650M), growth recovers to ~7% by Y4-Y5 on CTV/retail media and Kokai, then fades to 3.5%; adj. EBITDA margin recovers from ~25% to a 36% plateau (5pp below the FY2025 peak) on post-RIF costs, SBC incl. withholding taxes fades from 16% to 11% of revenue. TTD ends as a mid-single-digit grower with a smaller wallet share as walled gardens take performance budgets.</t>
  </si>
  <si>
    <t xml:space="preserve">Scenario narrative: bull</t>
  </si>
  <si>
    <t xml:space="preserve">Recovery: the 2026 slump proves mostly cyclical and migration-driven; Kokai performance, JBP growth, international CTV and Ventura bring growth back to low-teens by Y3-Y4 and margins to 42% on the leaner cost base. Founder buying at ~$24.68 is consistent with this case. Requires macro, competition and execution to all turn, so weighted 20%.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</si>
  <si>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</si>
  <si>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</si>
  <si>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</si>
  <si>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</si>
  <si>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</si>
  <si>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</si>
  <si>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</si>
  <si>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</si>
  <si>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</si>
  <si>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</si>
  <si>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</si>
  <si>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</si>
  <si>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</si>
  <si>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</si>
  <si>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</si>
  <si>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</si>
  <si>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</si>
  <si>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</si>
  <si>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</si>
  <si>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</si>
  <si>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</si>
  <si>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</si>
  <si>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</si>
  <si>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</si>
  <si>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</si>
  <si>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</si>
  <si>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</si>
  <si>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</si>
  <si>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</si>
  <si>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</si>
  <si>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</si>
  <si>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</si>
  <si>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</si>
  <si>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</si>
  <si>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</si>
  <si>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</si>
  <si>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</si>
  <si>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</si>
  <si>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</si>
  <si>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</si>
  <si>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</si>
  <si>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</si>
  <si>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</si>
  <si>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</si>
  <si>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</si>
  <si>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</si>
  <si>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</si>
  <si>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</si>
  <si>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</si>
  <si>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</si>
  <si>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</si>
  <si>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</si>
  <si>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</si>
  <si>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</si>
  <si>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</si>
  <si>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</si>
  <si>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</si>
  <si>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</si>
  <si>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</si>
  <si>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</si>
  <si>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</si>
  <si>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</si>
  <si>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</si>
  <si>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</si>
  <si>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</si>
  <si>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</si>
  <si>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</si>
  <si>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</si>
  <si>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</si>
  <si>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</si>
  <si>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</si>
  <si>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</si>
  <si>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</si>
  <si>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</si>
  <si>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</si>
  <si>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</si>
  <si>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</si>
  <si>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</si>
  <si>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TTD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</si>
  <si>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</si>
  <si>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</si>
  <si>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</si>
  <si>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</si>
  <si>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</si>
  <si>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</si>
  <si>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</si>
  <si>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</si>
  <si>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</si>
  <si>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</si>
  <si>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</si>
  <si>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</si>
  <si>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</si>
  <si>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</si>
  <si>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</si>
  <si>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</si>
  <si>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</si>
  <si>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</si>
  <si>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</si>
  <si>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</si>
  <si>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</si>
  <si>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</si>
  <si>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</si>
  <si>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</si>
  <si>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</si>
  <si>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</si>
  <si>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</si>
  <si>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</si>
  <si>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</si>
  <si>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</si>
  <si>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TTD owner-FCF component DCF: base case (millions, USD)</t>
  </si>
  <si>
    <t xml:space="preserve">TTD owner-FCF component DCF: bull case (millions, USD)</t>
  </si>
  <si>
    <t xml:space="preserve">TTD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</si>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</sst>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-5.687</v>
      </c>
      <c r="S2" s="0" t="n">
        <v>6.365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F3" s="0" t="n">
        <v>0.764</v>
      </c>
      <c r="H3" s="0" t="n">
        <v>1.444</v>
      </c>
      <c r="I3" s="0" t="n">
        <v>0.005</v>
      </c>
      <c r="M3" s="0" t="n">
        <v>0.832</v>
      </c>
      <c r="O3" s="0" t="n">
        <v>-6.131</v>
      </c>
      <c r="S3" s="0" t="n">
        <v>17.315</v>
      </c>
      <c r="T3" s="0" t="n">
        <v>13.134</v>
      </c>
      <c r="U3" s="0" t="n">
        <v>4.545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F4" s="0" t="n">
        <v>37.98</v>
      </c>
      <c r="H4" s="0" t="n">
        <v>39.808</v>
      </c>
      <c r="I4" s="0" t="n">
        <v>15.929</v>
      </c>
      <c r="K4" s="0" t="n">
        <v>0.85</v>
      </c>
      <c r="M4" s="0" t="n">
        <v>5.128</v>
      </c>
      <c r="O4" s="0" t="n">
        <v>14.142</v>
      </c>
      <c r="P4" s="0" t="n">
        <v>210.231</v>
      </c>
      <c r="Q4" s="0" t="n">
        <v>171.885</v>
      </c>
      <c r="S4" s="0" t="n">
        <v>4.047</v>
      </c>
      <c r="T4" s="0" t="n">
        <v>16.779</v>
      </c>
      <c r="U4" s="0" t="n">
        <v>0.374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202.926</v>
      </c>
      <c r="C5" s="0" t="n">
        <v>39.876</v>
      </c>
      <c r="F5" s="0" t="n">
        <v>57.518</v>
      </c>
      <c r="G5" s="0" t="n">
        <v>28.3443225609335</v>
      </c>
      <c r="H5" s="0" t="n">
        <v>61.316</v>
      </c>
      <c r="I5" s="0" t="n">
        <v>20.482</v>
      </c>
      <c r="J5" s="0" t="n">
        <v>10.0933345160305</v>
      </c>
      <c r="K5" s="0" t="n">
        <v>-1.46</v>
      </c>
      <c r="L5" s="0" t="n">
        <v>75.031</v>
      </c>
      <c r="M5" s="0" t="n">
        <v>6.884</v>
      </c>
      <c r="N5" s="0" t="n">
        <v>68.147</v>
      </c>
      <c r="O5" s="0" t="n">
        <v>164.38</v>
      </c>
      <c r="P5" s="0" t="n">
        <v>537.596</v>
      </c>
      <c r="Q5" s="0" t="n">
        <v>373.216</v>
      </c>
      <c r="S5" s="0" t="n">
        <v>133.4</v>
      </c>
      <c r="T5" s="0" t="n">
        <v>18.28</v>
      </c>
      <c r="U5" s="0" t="n">
        <v>5.056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308.217</v>
      </c>
      <c r="C6" s="0" t="n">
        <v>66.23</v>
      </c>
      <c r="F6" s="0" t="n">
        <v>69.356</v>
      </c>
      <c r="G6" s="0" t="n">
        <v>22.5023279053394</v>
      </c>
      <c r="H6" s="0" t="n">
        <v>76.565</v>
      </c>
      <c r="I6" s="0" t="n">
        <v>50.798</v>
      </c>
      <c r="J6" s="0" t="n">
        <v>16.4812453563561</v>
      </c>
      <c r="K6" s="0" t="n">
        <v>1.26</v>
      </c>
      <c r="L6" s="0" t="n">
        <v>31.224</v>
      </c>
      <c r="M6" s="0" t="n">
        <v>10.11</v>
      </c>
      <c r="N6" s="0" t="n">
        <v>21.114</v>
      </c>
      <c r="O6" s="0" t="n">
        <v>245.583</v>
      </c>
      <c r="P6" s="0" t="n">
        <v>797.164</v>
      </c>
      <c r="Q6" s="0" t="n">
        <v>551.581</v>
      </c>
      <c r="S6" s="0" t="n">
        <v>155.95</v>
      </c>
      <c r="T6" s="0" t="n">
        <v>44.056</v>
      </c>
      <c r="U6" s="0" t="n">
        <v>21.317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477.294</v>
      </c>
      <c r="C7" s="0" t="n">
        <v>114.098</v>
      </c>
      <c r="F7" s="0" t="n">
        <v>107.323</v>
      </c>
      <c r="G7" s="0" t="n">
        <v>22.4857215887901</v>
      </c>
      <c r="H7" s="0" t="n">
        <v>119.145</v>
      </c>
      <c r="I7" s="0" t="n">
        <v>88.14</v>
      </c>
      <c r="J7" s="0" t="n">
        <v>18.4666054884411</v>
      </c>
      <c r="K7" s="0" t="n">
        <v>2.08</v>
      </c>
      <c r="L7" s="0" t="n">
        <v>86.603</v>
      </c>
      <c r="M7" s="0" t="n">
        <v>19.795</v>
      </c>
      <c r="N7" s="0" t="n">
        <v>66.808</v>
      </c>
      <c r="O7" s="0" t="n">
        <v>394.567</v>
      </c>
      <c r="P7" s="0" t="n">
        <v>1117.872</v>
      </c>
      <c r="Q7" s="0" t="n">
        <v>723.305</v>
      </c>
      <c r="S7" s="0" t="n">
        <v>207.232</v>
      </c>
      <c r="T7" s="0" t="n">
        <v>45.793</v>
      </c>
      <c r="U7" s="0" t="n">
        <v>42.21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661.058</v>
      </c>
      <c r="C8" s="0" t="n">
        <v>156.18</v>
      </c>
      <c r="F8" s="0" t="n">
        <v>112.196</v>
      </c>
      <c r="G8" s="0" t="n">
        <v>16.9721870093093</v>
      </c>
      <c r="H8" s="0" t="n">
        <v>133.858</v>
      </c>
      <c r="I8" s="0" t="n">
        <v>108.318</v>
      </c>
      <c r="J8" s="0" t="n">
        <v>16.3855516459978</v>
      </c>
      <c r="K8" s="0" t="n">
        <v>0.24</v>
      </c>
      <c r="L8" s="0" t="n">
        <v>60.205</v>
      </c>
      <c r="M8" s="0" t="n">
        <v>35.693</v>
      </c>
      <c r="N8" s="0" t="n">
        <v>24.512</v>
      </c>
      <c r="O8" s="0" t="n">
        <v>612.517</v>
      </c>
      <c r="P8" s="0" t="n">
        <v>1728.761</v>
      </c>
      <c r="Q8" s="0" t="n">
        <v>1116.244</v>
      </c>
      <c r="S8" s="0" t="n">
        <v>130.876</v>
      </c>
      <c r="T8" s="0" t="n">
        <v>478.061</v>
      </c>
      <c r="U8" s="0" t="n">
        <v>80.758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836.033</v>
      </c>
      <c r="C9" s="0" t="n">
        <v>178.812</v>
      </c>
      <c r="F9" s="0" t="n">
        <v>144.208</v>
      </c>
      <c r="G9" s="0" t="n">
        <v>17.2490798808181</v>
      </c>
      <c r="H9" s="0" t="n">
        <v>172.84</v>
      </c>
      <c r="I9" s="0" t="n">
        <v>242.317</v>
      </c>
      <c r="J9" s="0" t="n">
        <v>28.984142970433</v>
      </c>
      <c r="K9" s="0" t="n">
        <v>0.52</v>
      </c>
      <c r="L9" s="0" t="n">
        <v>405.069</v>
      </c>
      <c r="M9" s="0" t="n">
        <v>74.061</v>
      </c>
      <c r="N9" s="0" t="n">
        <v>331.008</v>
      </c>
      <c r="O9" s="0" t="n">
        <v>1013.145</v>
      </c>
      <c r="P9" s="0" t="n">
        <v>2753.645</v>
      </c>
      <c r="Q9" s="0" t="n">
        <v>1740.5</v>
      </c>
      <c r="S9" s="0" t="n">
        <v>437.353</v>
      </c>
      <c r="T9" s="0" t="n">
        <v>489.881</v>
      </c>
      <c r="U9" s="0" t="n">
        <v>111.775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1196.467</v>
      </c>
      <c r="C10" s="0" t="n">
        <v>221.554</v>
      </c>
      <c r="F10" s="0" t="n">
        <v>124.817</v>
      </c>
      <c r="G10" s="0" t="n">
        <v>10.4321305978351</v>
      </c>
      <c r="H10" s="0" t="n">
        <v>167.036</v>
      </c>
      <c r="I10" s="0" t="n">
        <v>137.762</v>
      </c>
      <c r="J10" s="0" t="n">
        <v>11.5140659959698</v>
      </c>
      <c r="K10" s="0" t="n">
        <v>0.29</v>
      </c>
      <c r="L10" s="0" t="n">
        <v>378.513</v>
      </c>
      <c r="M10" s="0" t="n">
        <v>54.804</v>
      </c>
      <c r="N10" s="0" t="n">
        <v>323.709</v>
      </c>
      <c r="O10" s="0" t="n">
        <v>1527.306</v>
      </c>
      <c r="P10" s="0" t="n">
        <v>3577.34</v>
      </c>
      <c r="Q10" s="0" t="n">
        <v>2050.034</v>
      </c>
      <c r="S10" s="0" t="n">
        <v>754.154</v>
      </c>
      <c r="T10" s="0" t="n">
        <v>498.54</v>
      </c>
      <c r="U10" s="0" t="n">
        <v>337.413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1577.795</v>
      </c>
      <c r="C11" s="0" t="n">
        <v>281.123</v>
      </c>
      <c r="F11" s="0" t="n">
        <v>113.654</v>
      </c>
      <c r="G11" s="0" t="n">
        <v>7.20334390716158</v>
      </c>
      <c r="H11" s="0" t="n">
        <v>168.079</v>
      </c>
      <c r="I11" s="0" t="n">
        <v>53.385</v>
      </c>
      <c r="J11" s="0" t="n">
        <v>3.38351940524593</v>
      </c>
      <c r="K11" s="0" t="n">
        <v>0.11</v>
      </c>
      <c r="L11" s="0" t="n">
        <v>548.734</v>
      </c>
      <c r="M11" s="0" t="n">
        <v>84.16</v>
      </c>
      <c r="N11" s="0" t="n">
        <v>464.574</v>
      </c>
      <c r="O11" s="0" t="n">
        <v>2115.339</v>
      </c>
      <c r="P11" s="0" t="n">
        <v>4380.679</v>
      </c>
      <c r="Q11" s="0" t="n">
        <v>2265.34</v>
      </c>
      <c r="S11" s="0" t="n">
        <v>1030.506</v>
      </c>
      <c r="T11" s="0" t="n">
        <v>499.925</v>
      </c>
      <c r="U11" s="0" t="n">
        <v>498.642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1946.12</v>
      </c>
      <c r="C12" s="0" t="n">
        <v>365.598</v>
      </c>
      <c r="F12" s="0" t="n">
        <v>200.48</v>
      </c>
      <c r="G12" s="0" t="n">
        <v>10.3015230304401</v>
      </c>
      <c r="H12" s="0" t="n">
        <v>280.898</v>
      </c>
      <c r="I12" s="0" t="n">
        <v>178.94</v>
      </c>
      <c r="J12" s="0" t="n">
        <v>9.1947053624648</v>
      </c>
      <c r="K12" s="0" t="n">
        <v>0.37</v>
      </c>
      <c r="L12" s="0" t="n">
        <v>598.322</v>
      </c>
      <c r="M12" s="0" t="n">
        <v>46.79</v>
      </c>
      <c r="N12" s="0" t="n">
        <v>551.532</v>
      </c>
      <c r="O12" s="0" t="n">
        <v>2164.219</v>
      </c>
      <c r="P12" s="0" t="n">
        <v>4888.687</v>
      </c>
      <c r="Q12" s="0" t="n">
        <v>2724.468</v>
      </c>
      <c r="S12" s="0" t="n">
        <v>895.129</v>
      </c>
      <c r="T12" s="0" t="n">
        <v>500.182</v>
      </c>
      <c r="U12" s="0" t="n">
        <v>491.621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2444.831</v>
      </c>
      <c r="C13" s="0" t="n">
        <v>472.012</v>
      </c>
      <c r="F13" s="0" t="n">
        <v>427.167</v>
      </c>
      <c r="G13" s="0" t="n">
        <v>17.4722506381832</v>
      </c>
      <c r="H13" s="0" t="n">
        <v>514.657</v>
      </c>
      <c r="I13" s="0" t="n">
        <v>393.076</v>
      </c>
      <c r="J13" s="0" t="n">
        <v>16.0778393271355</v>
      </c>
      <c r="K13" s="0" t="n">
        <v>0.8</v>
      </c>
      <c r="L13" s="0" t="n">
        <v>739.456</v>
      </c>
      <c r="M13" s="0" t="n">
        <v>98.238</v>
      </c>
      <c r="N13" s="0" t="n">
        <v>641.218</v>
      </c>
      <c r="O13" s="0" t="n">
        <v>2949.145</v>
      </c>
      <c r="P13" s="0" t="n">
        <v>6111.951</v>
      </c>
      <c r="Q13" s="0" t="n">
        <v>3162.806</v>
      </c>
      <c r="S13" s="0" t="n">
        <v>1369.463</v>
      </c>
      <c r="T13" s="0" t="n">
        <v>501.924</v>
      </c>
      <c r="U13" s="0" t="n">
        <v>494.699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2896.284</v>
      </c>
      <c r="C14" s="0" t="n">
        <v>619.067</v>
      </c>
      <c r="F14" s="0" t="n">
        <v>589.321</v>
      </c>
      <c r="G14" s="0" t="n">
        <v>20.3474866415034</v>
      </c>
      <c r="H14" s="0" t="n">
        <v>705.105</v>
      </c>
      <c r="I14" s="0" t="n">
        <v>443.304</v>
      </c>
      <c r="J14" s="0" t="n">
        <v>15.3059575649349</v>
      </c>
      <c r="K14" s="0" t="n">
        <v>0.91</v>
      </c>
      <c r="L14" s="0" t="n">
        <v>992.721</v>
      </c>
      <c r="M14" s="0" t="n">
        <v>197.011</v>
      </c>
      <c r="N14" s="0" t="n">
        <v>795.71</v>
      </c>
      <c r="O14" s="0" t="n">
        <v>2484.391</v>
      </c>
      <c r="P14" s="0" t="n">
        <v>6153.22</v>
      </c>
      <c r="Q14" s="0" t="n">
        <v>3668.829</v>
      </c>
      <c r="S14" s="0" t="n">
        <v>658.175</v>
      </c>
      <c r="T14" s="0" t="n">
        <v>493.551</v>
      </c>
      <c r="U14" s="0" t="n">
        <v>490.627</v>
      </c>
      <c r="AA14" s="0" t="s">
        <v>17</v>
      </c>
      <c r="AB14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12.1</v>
      </c>
    </row>
    <row r="3" customFormat="false" ht="15" hidden="false" customHeight="false" outlineLevel="0" collapsed="false">
      <c r="A3" s="0" t="s">
        <v>79</v>
      </c>
      <c r="B3" s="3" t="n">
        <v>469.9</v>
      </c>
    </row>
    <row r="4" customFormat="false" ht="15" hidden="false" customHeight="false" outlineLevel="0" collapsed="false">
      <c r="A4" s="0" t="s">
        <v>80</v>
      </c>
      <c r="B4" s="3" t="n">
        <v>-1485.4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2990.1</v>
      </c>
    </row>
    <row r="8" customFormat="false" ht="15" hidden="false" customHeight="false" outlineLevel="0" collapsed="false">
      <c r="A8" s="0" t="s">
        <v>84</v>
      </c>
      <c r="B8" s="3" t="s">
        <v>85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-9</v>
      </c>
      <c r="D13" s="3" t="n">
        <v>-4</v>
      </c>
      <c r="E13" s="3" t="n">
        <v>1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23</v>
      </c>
      <c r="D14" s="3" t="n">
        <v>24.5</v>
      </c>
      <c r="E14" s="3" t="n">
        <v>25.5</v>
      </c>
      <c r="F14" s="3" t="n">
        <v>26.5</v>
      </c>
      <c r="G14" s="3" t="n">
        <v>27</v>
      </c>
      <c r="H14" s="3" t="n">
        <v>27.5</v>
      </c>
      <c r="I14" s="3" t="n">
        <v>28</v>
      </c>
      <c r="J14" s="3" t="n">
        <v>28</v>
      </c>
      <c r="K14" s="3" t="n">
        <v>28</v>
      </c>
      <c r="L14" s="3" t="n">
        <v>28</v>
      </c>
    </row>
    <row r="15" customFormat="false" ht="15" hidden="false" customHeight="false" outlineLevel="0" collapsed="false">
      <c r="A15" s="0" t="s">
        <v>102</v>
      </c>
      <c r="C15" s="3" t="n">
        <v>16.5</v>
      </c>
      <c r="D15" s="3" t="n">
        <v>15.5</v>
      </c>
      <c r="E15" s="3" t="n">
        <v>14.5</v>
      </c>
      <c r="F15" s="3" t="n">
        <v>14</v>
      </c>
      <c r="G15" s="3" t="n">
        <v>13.5</v>
      </c>
      <c r="H15" s="3" t="n">
        <v>13</v>
      </c>
      <c r="I15" s="3" t="n">
        <v>12.5</v>
      </c>
      <c r="J15" s="3" t="n">
        <v>12</v>
      </c>
      <c r="K15" s="3" t="n">
        <v>12</v>
      </c>
      <c r="L15" s="3" t="n">
        <v>12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4.6</v>
      </c>
      <c r="D17" s="3" t="n">
        <v>4.6</v>
      </c>
      <c r="E17" s="3" t="n">
        <v>4.5</v>
      </c>
      <c r="F17" s="3" t="n">
        <v>4.5</v>
      </c>
      <c r="G17" s="3" t="n">
        <v>4.5</v>
      </c>
      <c r="H17" s="3" t="n">
        <v>4.5</v>
      </c>
      <c r="I17" s="3" t="n">
        <v>4.5</v>
      </c>
      <c r="J17" s="3" t="n">
        <v>4.5</v>
      </c>
      <c r="K17" s="3" t="n">
        <v>4.5</v>
      </c>
      <c r="L17" s="3" t="n">
        <v>4.5</v>
      </c>
    </row>
    <row r="18" customFormat="false" ht="15" hidden="false" customHeight="false" outlineLevel="0" collapsed="false">
      <c r="A18" s="0" t="s">
        <v>105</v>
      </c>
      <c r="C18" s="3" t="n">
        <v>6</v>
      </c>
      <c r="D18" s="3" t="n">
        <v>5.5</v>
      </c>
      <c r="E18" s="3" t="n">
        <v>5</v>
      </c>
      <c r="F18" s="3" t="n">
        <v>5</v>
      </c>
      <c r="G18" s="3" t="n">
        <v>4.8</v>
      </c>
      <c r="H18" s="3" t="n">
        <v>4.8</v>
      </c>
      <c r="I18" s="3" t="n">
        <v>4.8</v>
      </c>
      <c r="J18" s="3" t="n">
        <v>4.8</v>
      </c>
      <c r="K18" s="3" t="n">
        <v>4.8</v>
      </c>
      <c r="L18" s="3" t="n">
        <v>4.8</v>
      </c>
    </row>
    <row r="19" customFormat="false" ht="15" hidden="false" customHeight="false" outlineLevel="0" collapsed="false">
      <c r="A19" s="0" t="s">
        <v>106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107</v>
      </c>
      <c r="B20" s="3" t="n">
        <v>11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12</v>
      </c>
    </row>
    <row r="23" customFormat="false" ht="15" hidden="false" customHeight="false" outlineLevel="0" collapsed="false">
      <c r="A23" s="0" t="s">
        <v>110</v>
      </c>
      <c r="B23" s="3" t="n">
        <v>-20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-5.5</v>
      </c>
      <c r="D27" s="3" t="n">
        <v>3</v>
      </c>
      <c r="E27" s="3" t="n">
        <v>6</v>
      </c>
      <c r="F27" s="3" t="n">
        <v>7</v>
      </c>
      <c r="G27" s="3" t="n">
        <v>7</v>
      </c>
      <c r="H27" s="3" t="n">
        <v>6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101</v>
      </c>
      <c r="C28" s="3" t="n">
        <v>26.5</v>
      </c>
      <c r="D28" s="3" t="n">
        <v>30</v>
      </c>
      <c r="E28" s="3" t="n">
        <v>32.5</v>
      </c>
      <c r="F28" s="3" t="n">
        <v>34</v>
      </c>
      <c r="G28" s="3" t="n">
        <v>35</v>
      </c>
      <c r="H28" s="3" t="n">
        <v>35.5</v>
      </c>
      <c r="I28" s="3" t="n">
        <v>36</v>
      </c>
      <c r="J28" s="3" t="n">
        <v>36</v>
      </c>
      <c r="K28" s="3" t="n">
        <v>36</v>
      </c>
      <c r="L28" s="3" t="n">
        <v>36</v>
      </c>
    </row>
    <row r="29" customFormat="false" ht="15" hidden="false" customHeight="false" outlineLevel="0" collapsed="false">
      <c r="A29" s="0" t="s">
        <v>102</v>
      </c>
      <c r="C29" s="3" t="n">
        <v>16</v>
      </c>
      <c r="D29" s="3" t="n">
        <v>15</v>
      </c>
      <c r="E29" s="3" t="n">
        <v>14</v>
      </c>
      <c r="F29" s="3" t="n">
        <v>13</v>
      </c>
      <c r="G29" s="3" t="n">
        <v>12.5</v>
      </c>
      <c r="H29" s="3" t="n">
        <v>12</v>
      </c>
      <c r="I29" s="3" t="n">
        <v>11.5</v>
      </c>
      <c r="J29" s="3" t="n">
        <v>11</v>
      </c>
      <c r="K29" s="3" t="n">
        <v>11</v>
      </c>
      <c r="L29" s="3" t="n">
        <v>11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4.5</v>
      </c>
      <c r="D31" s="3" t="n">
        <v>4.5</v>
      </c>
      <c r="E31" s="3" t="n">
        <v>4.4</v>
      </c>
      <c r="F31" s="3" t="n">
        <v>4.3</v>
      </c>
      <c r="G31" s="3" t="n">
        <v>4.2</v>
      </c>
      <c r="H31" s="3" t="n">
        <v>4.1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105</v>
      </c>
      <c r="C32" s="3" t="n">
        <v>6</v>
      </c>
      <c r="D32" s="3" t="n">
        <v>5.5</v>
      </c>
      <c r="E32" s="3" t="n">
        <v>5</v>
      </c>
      <c r="F32" s="3" t="n">
        <v>4.8</v>
      </c>
      <c r="G32" s="3" t="n">
        <v>4.6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106</v>
      </c>
      <c r="C33" s="3" t="n">
        <v>25</v>
      </c>
      <c r="D33" s="3" t="n">
        <v>25</v>
      </c>
      <c r="E33" s="3" t="n">
        <v>24</v>
      </c>
      <c r="F33" s="3" t="n">
        <v>24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107</v>
      </c>
      <c r="B34" s="3" t="n">
        <v>11</v>
      </c>
    </row>
    <row r="35" customFormat="false" ht="15" hidden="false" customHeight="false" outlineLevel="0" collapsed="false">
      <c r="A35" s="0" t="s">
        <v>108</v>
      </c>
      <c r="B35" s="3" t="n">
        <v>3</v>
      </c>
    </row>
    <row r="36" customFormat="false" ht="15" hidden="false" customHeight="false" outlineLevel="0" collapsed="false">
      <c r="A36" s="0" t="s">
        <v>109</v>
      </c>
      <c r="B36" s="3" t="n">
        <v>15</v>
      </c>
    </row>
    <row r="37" customFormat="false" ht="15" hidden="false" customHeight="false" outlineLevel="0" collapsed="false">
      <c r="A37" s="0" t="s">
        <v>110</v>
      </c>
      <c r="B37" s="3" t="n">
        <v>-20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-3</v>
      </c>
      <c r="D41" s="3" t="n">
        <v>9</v>
      </c>
      <c r="E41" s="3" t="n">
        <v>13</v>
      </c>
      <c r="F41" s="3" t="n">
        <v>13</v>
      </c>
      <c r="G41" s="3" t="n">
        <v>12</v>
      </c>
      <c r="H41" s="3" t="n">
        <v>11</v>
      </c>
      <c r="I41" s="3" t="n">
        <v>9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101</v>
      </c>
      <c r="C42" s="3" t="n">
        <v>28</v>
      </c>
      <c r="D42" s="3" t="n">
        <v>33</v>
      </c>
      <c r="E42" s="3" t="n">
        <v>36.5</v>
      </c>
      <c r="F42" s="3" t="n">
        <v>38.5</v>
      </c>
      <c r="G42" s="3" t="n">
        <v>40</v>
      </c>
      <c r="H42" s="3" t="n">
        <v>41</v>
      </c>
      <c r="I42" s="3" t="n">
        <v>41.5</v>
      </c>
      <c r="J42" s="3" t="n">
        <v>42</v>
      </c>
      <c r="K42" s="3" t="n">
        <v>42</v>
      </c>
      <c r="L42" s="3" t="n">
        <v>42</v>
      </c>
    </row>
    <row r="43" customFormat="false" ht="15" hidden="false" customHeight="false" outlineLevel="0" collapsed="false">
      <c r="A43" s="0" t="s">
        <v>102</v>
      </c>
      <c r="C43" s="3" t="n">
        <v>15.5</v>
      </c>
      <c r="D43" s="3" t="n">
        <v>14</v>
      </c>
      <c r="E43" s="3" t="n">
        <v>13</v>
      </c>
      <c r="F43" s="3" t="n">
        <v>12</v>
      </c>
      <c r="G43" s="3" t="n">
        <v>11</v>
      </c>
      <c r="H43" s="3" t="n">
        <v>10.5</v>
      </c>
      <c r="I43" s="3" t="n">
        <v>10</v>
      </c>
      <c r="J43" s="3" t="n">
        <v>9.5</v>
      </c>
      <c r="K43" s="3" t="n">
        <v>9</v>
      </c>
      <c r="L43" s="3" t="n">
        <v>9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4.5</v>
      </c>
      <c r="D45" s="3" t="n">
        <v>4.5</v>
      </c>
      <c r="E45" s="3" t="n">
        <v>4.4</v>
      </c>
      <c r="F45" s="3" t="n">
        <v>4.3</v>
      </c>
      <c r="G45" s="3" t="n">
        <v>4.2</v>
      </c>
      <c r="H45" s="3" t="n">
        <v>4.1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105</v>
      </c>
      <c r="C46" s="3" t="n">
        <v>6</v>
      </c>
      <c r="D46" s="3" t="n">
        <v>5.5</v>
      </c>
      <c r="E46" s="3" t="n">
        <v>5</v>
      </c>
      <c r="F46" s="3" t="n">
        <v>4.8</v>
      </c>
      <c r="G46" s="3" t="n">
        <v>4.6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106</v>
      </c>
      <c r="C47" s="3" t="n">
        <v>25</v>
      </c>
      <c r="D47" s="3" t="n">
        <v>25</v>
      </c>
      <c r="E47" s="3" t="n">
        <v>24</v>
      </c>
      <c r="F47" s="3" t="n">
        <v>24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107</v>
      </c>
      <c r="B48" s="3" t="n">
        <v>11</v>
      </c>
    </row>
    <row r="49" customFormat="false" ht="15" hidden="false" customHeight="false" outlineLevel="0" collapsed="false">
      <c r="A49" s="0" t="s">
        <v>108</v>
      </c>
      <c r="B49" s="3" t="n">
        <v>3.5</v>
      </c>
    </row>
    <row r="50" customFormat="false" ht="15" hidden="false" customHeight="false" outlineLevel="0" collapsed="false">
      <c r="A50" s="0" t="s">
        <v>109</v>
      </c>
      <c r="B50" s="3" t="n">
        <v>18</v>
      </c>
    </row>
    <row r="51" customFormat="false" ht="15" hidden="false" customHeight="false" outlineLevel="0" collapsed="false">
      <c r="A51" s="0" t="s">
        <v>110</v>
      </c>
      <c r="B51" s="3" t="n">
        <v>-20</v>
      </c>
    </row>
    <row r="52" customFormat="false" ht="15" hidden="false" customHeight="false" outlineLevel="0" collapsed="false">
      <c r="A52" s="0" t="s">
        <v>111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-9</v>
      </c>
      <c r="D5" s="4" t="n">
        <f aca="false">Assumptions!D13</f>
        <v>-4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2990.1</v>
      </c>
      <c r="C6" s="0" t="n">
        <f aca="false">B6*(1+C5/100)</f>
        <v>2720.991</v>
      </c>
      <c r="D6" s="0" t="n">
        <f aca="false">C6*(1+D5/100)</f>
        <v>2612.15136</v>
      </c>
      <c r="E6" s="0" t="n">
        <f aca="false">D6*(1+E5/100)</f>
        <v>2638.2728736</v>
      </c>
      <c r="F6" s="0" t="n">
        <f aca="false">E6*(1+F5/100)</f>
        <v>2691.038331072</v>
      </c>
      <c r="G6" s="0" t="n">
        <f aca="false">F6*(1+G5/100)</f>
        <v>2771.76948100416</v>
      </c>
      <c r="H6" s="0" t="n">
        <f aca="false">G6*(1+H5/100)</f>
        <v>2854.92256543429</v>
      </c>
      <c r="I6" s="0" t="n">
        <f aca="false">H6*(1+I5/100)</f>
        <v>2940.57024239731</v>
      </c>
      <c r="J6" s="0" t="n">
        <f aca="false">I6*(1+J5/100)</f>
        <v>3014.08449845725</v>
      </c>
      <c r="K6" s="0" t="n">
        <f aca="false">J6*(1+K5/100)</f>
        <v>3089.43661091868</v>
      </c>
      <c r="L6" s="0" t="n">
        <f aca="false">K6*(1+L5/100)</f>
        <v>3151.22534313705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23</v>
      </c>
      <c r="D7" s="4" t="n">
        <f aca="false">Assumptions!D14</f>
        <v>24.5</v>
      </c>
      <c r="E7" s="4" t="n">
        <f aca="false">Assumptions!E14</f>
        <v>25.5</v>
      </c>
      <c r="F7" s="4" t="n">
        <f aca="false">Assumptions!F14</f>
        <v>26.5</v>
      </c>
      <c r="G7" s="4" t="n">
        <f aca="false">Assumptions!G14</f>
        <v>27</v>
      </c>
      <c r="H7" s="4" t="n">
        <f aca="false">Assumptions!H14</f>
        <v>27.5</v>
      </c>
      <c r="I7" s="4" t="n">
        <f aca="false">Assumptions!I14</f>
        <v>28</v>
      </c>
      <c r="J7" s="4" t="n">
        <f aca="false">Assumptions!J14</f>
        <v>28</v>
      </c>
      <c r="K7" s="4" t="n">
        <f aca="false">Assumptions!K14</f>
        <v>28</v>
      </c>
      <c r="L7" s="4" t="n">
        <f aca="false">Assumptions!L14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625.82793</v>
      </c>
      <c r="D8" s="0" t="n">
        <f aca="false">D6*D7/100</f>
        <v>639.9770832</v>
      </c>
      <c r="E8" s="0" t="n">
        <f aca="false">E6*E7/100</f>
        <v>672.759582768</v>
      </c>
      <c r="F8" s="0" t="n">
        <f aca="false">F6*F7/100</f>
        <v>713.12515773408</v>
      </c>
      <c r="G8" s="0" t="n">
        <f aca="false">G6*G7/100</f>
        <v>748.377759871123</v>
      </c>
      <c r="H8" s="0" t="n">
        <f aca="false">H6*H7/100</f>
        <v>785.103705494428</v>
      </c>
      <c r="I8" s="0" t="n">
        <f aca="false">I6*I7/100</f>
        <v>823.359667871248</v>
      </c>
      <c r="J8" s="0" t="n">
        <f aca="false">J6*J7/100</f>
        <v>843.943659568029</v>
      </c>
      <c r="K8" s="0" t="n">
        <f aca="false">K6*K7/100</f>
        <v>865.04225105723</v>
      </c>
      <c r="L8" s="0" t="n">
        <f aca="false">L6*L7/100</f>
        <v>882.343096078374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16.5</v>
      </c>
      <c r="D9" s="4" t="n">
        <f aca="false">Assumptions!D15</f>
        <v>15.5</v>
      </c>
      <c r="E9" s="4" t="n">
        <f aca="false">Assumptions!E15</f>
        <v>14.5</v>
      </c>
      <c r="F9" s="4" t="n">
        <f aca="false">Assumptions!F15</f>
        <v>14</v>
      </c>
      <c r="G9" s="4" t="n">
        <f aca="false">Assumptions!G15</f>
        <v>13.5</v>
      </c>
      <c r="H9" s="4" t="n">
        <f aca="false">Assumptions!H15</f>
        <v>13</v>
      </c>
      <c r="I9" s="4" t="n">
        <f aca="false">Assumptions!I15</f>
        <v>12.5</v>
      </c>
      <c r="J9" s="4" t="n">
        <f aca="false">Assumptions!J15</f>
        <v>12</v>
      </c>
      <c r="K9" s="4" t="n">
        <f aca="false">Assumptions!K15</f>
        <v>12</v>
      </c>
      <c r="L9" s="4" t="n">
        <f aca="false">Assumptions!L15</f>
        <v>12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-448.963515</v>
      </c>
      <c r="D10" s="0" t="n">
        <f aca="false">-D6*D9/100</f>
        <v>-404.8834608</v>
      </c>
      <c r="E10" s="0" t="n">
        <f aca="false">-E6*E9/100</f>
        <v>-382.549566672</v>
      </c>
      <c r="F10" s="0" t="n">
        <f aca="false">-F6*F9/100</f>
        <v>-376.74536635008</v>
      </c>
      <c r="G10" s="0" t="n">
        <f aca="false">-G6*G9/100</f>
        <v>-374.188879935562</v>
      </c>
      <c r="H10" s="0" t="n">
        <f aca="false">-H6*H9/100</f>
        <v>-371.139933506457</v>
      </c>
      <c r="I10" s="0" t="n">
        <f aca="false">-I6*I9/100</f>
        <v>-367.571280299664</v>
      </c>
      <c r="J10" s="0" t="n">
        <f aca="false">-J6*J9/100</f>
        <v>-361.69013981487</v>
      </c>
      <c r="K10" s="0" t="n">
        <f aca="false">-K6*K9/100</f>
        <v>-370.732393310241</v>
      </c>
      <c r="L10" s="0" t="n">
        <f aca="false">-L6*L9/100</f>
        <v>-378.147041176446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176.864415</v>
      </c>
      <c r="D11" s="0" t="n">
        <f aca="false">D8+D10+D24</f>
        <v>235.0936224</v>
      </c>
      <c r="E11" s="0" t="n">
        <f aca="false">E8+E10+E24</f>
        <v>290.210016096</v>
      </c>
      <c r="F11" s="0" t="n">
        <f aca="false">F8+F10+F24</f>
        <v>336.379791384</v>
      </c>
      <c r="G11" s="0" t="n">
        <f aca="false">G8+G10+G24</f>
        <v>374.188879935562</v>
      </c>
      <c r="H11" s="0" t="n">
        <f aca="false">H8+H10+H24</f>
        <v>413.963771987971</v>
      </c>
      <c r="I11" s="0" t="n">
        <f aca="false">I8+I10+I24</f>
        <v>455.788387571584</v>
      </c>
      <c r="J11" s="0" t="n">
        <f aca="false">J8+J10+J24</f>
        <v>482.253519753159</v>
      </c>
      <c r="K11" s="0" t="n">
        <f aca="false">K8+K10+K24</f>
        <v>494.309857746988</v>
      </c>
      <c r="L11" s="0" t="n">
        <f aca="false">L8+L10+L24</f>
        <v>504.196054901928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-125.165586</v>
      </c>
      <c r="D12" s="4" t="n">
        <f aca="false">-D6*Assumptions!D17/100</f>
        <v>-120.15896256</v>
      </c>
      <c r="E12" s="4" t="n">
        <f aca="false">-E6*Assumptions!E17/100</f>
        <v>-118.722279312</v>
      </c>
      <c r="F12" s="4" t="n">
        <f aca="false">-F6*Assumptions!F17/100</f>
        <v>-121.09672489824</v>
      </c>
      <c r="G12" s="4" t="n">
        <f aca="false">-G6*Assumptions!G17/100</f>
        <v>-124.729626645187</v>
      </c>
      <c r="H12" s="4" t="n">
        <f aca="false">-H6*Assumptions!H17/100</f>
        <v>-128.471515444543</v>
      </c>
      <c r="I12" s="4" t="n">
        <f aca="false">-I6*Assumptions!I17/100</f>
        <v>-132.325660907879</v>
      </c>
      <c r="J12" s="4" t="n">
        <f aca="false">-J6*Assumptions!J17/100</f>
        <v>-135.633802430576</v>
      </c>
      <c r="K12" s="4" t="n">
        <f aca="false">-K6*Assumptions!K17/100</f>
        <v>-139.02464749134</v>
      </c>
      <c r="L12" s="4" t="n">
        <f aca="false">-L6*Assumptions!L17/100</f>
        <v>-141.805140441167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51.698829</v>
      </c>
      <c r="D13" s="0" t="n">
        <f aca="false">D11+D12</f>
        <v>114.93465984</v>
      </c>
      <c r="E13" s="0" t="n">
        <f aca="false">E11+E12</f>
        <v>171.487736784</v>
      </c>
      <c r="F13" s="0" t="n">
        <f aca="false">F11+F12</f>
        <v>215.28306648576</v>
      </c>
      <c r="G13" s="0" t="n">
        <f aca="false">G11+G12</f>
        <v>249.459253290374</v>
      </c>
      <c r="H13" s="0" t="n">
        <f aca="false">H11+H12</f>
        <v>285.492256543428</v>
      </c>
      <c r="I13" s="0" t="n">
        <f aca="false">I11+I12</f>
        <v>323.462726663704</v>
      </c>
      <c r="J13" s="0" t="n">
        <f aca="false">J11+J12</f>
        <v>346.619717322583</v>
      </c>
      <c r="K13" s="0" t="n">
        <f aca="false">K11+K12</f>
        <v>355.285210255648</v>
      </c>
      <c r="L13" s="0" t="n">
        <f aca="false">L11+L12</f>
        <v>362.390914460761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38.77412175</v>
      </c>
      <c r="D15" s="0" t="n">
        <f aca="false">D13-MAX(0,D13)*D14/100</f>
        <v>86.20099488</v>
      </c>
      <c r="E15" s="0" t="n">
        <f aca="false">E13-MAX(0,E13)*E14/100</f>
        <v>128.615802588</v>
      </c>
      <c r="F15" s="0" t="n">
        <f aca="false">F13-MAX(0,F13)*F14/100</f>
        <v>161.46229986432</v>
      </c>
      <c r="G15" s="0" t="n">
        <f aca="false">G13-MAX(0,G13)*G14/100</f>
        <v>187.094439967781</v>
      </c>
      <c r="H15" s="0" t="n">
        <f aca="false">H13-MAX(0,H13)*H14/100</f>
        <v>214.119192407571</v>
      </c>
      <c r="I15" s="0" t="n">
        <f aca="false">I13-MAX(0,I13)*I14/100</f>
        <v>242.597044997778</v>
      </c>
      <c r="J15" s="0" t="n">
        <f aca="false">J13-MAX(0,J13)*J14/100</f>
        <v>259.964787991937</v>
      </c>
      <c r="K15" s="0" t="n">
        <f aca="false">K13-MAX(0,K13)*K14/100</f>
        <v>266.463907691736</v>
      </c>
      <c r="L15" s="0" t="n">
        <f aca="false">L13-MAX(0,L13)*L14/100</f>
        <v>271.793185845571</v>
      </c>
    </row>
    <row r="16" customFormat="false" ht="15" hidden="false" customHeight="false" outlineLevel="0" collapsed="false">
      <c r="A16" s="0" t="s">
        <v>122</v>
      </c>
      <c r="C16" s="0" t="n">
        <f aca="false">-C12</f>
        <v>125.165586</v>
      </c>
      <c r="D16" s="0" t="n">
        <f aca="false">-D12</f>
        <v>120.15896256</v>
      </c>
      <c r="E16" s="0" t="n">
        <f aca="false">-E12</f>
        <v>118.722279312</v>
      </c>
      <c r="F16" s="0" t="n">
        <f aca="false">-F12</f>
        <v>121.09672489824</v>
      </c>
      <c r="G16" s="0" t="n">
        <f aca="false">-G12</f>
        <v>124.729626645187</v>
      </c>
      <c r="H16" s="0" t="n">
        <f aca="false">-H12</f>
        <v>128.471515444543</v>
      </c>
      <c r="I16" s="0" t="n">
        <f aca="false">-I12</f>
        <v>132.325660907879</v>
      </c>
      <c r="J16" s="0" t="n">
        <f aca="false">-J12</f>
        <v>135.633802430576</v>
      </c>
      <c r="K16" s="0" t="n">
        <f aca="false">-K12</f>
        <v>139.02464749134</v>
      </c>
      <c r="L16" s="0" t="n">
        <f aca="false">-L12</f>
        <v>141.805140441167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-163.25946</v>
      </c>
      <c r="D17" s="4" t="n">
        <f aca="false">-D6*Assumptions!D18/100</f>
        <v>-143.6683248</v>
      </c>
      <c r="E17" s="4" t="n">
        <f aca="false">-E6*Assumptions!E18/100</f>
        <v>-131.91364368</v>
      </c>
      <c r="F17" s="4" t="n">
        <f aca="false">-F6*Assumptions!F18/100</f>
        <v>-134.5519165536</v>
      </c>
      <c r="G17" s="4" t="n">
        <f aca="false">-G6*Assumptions!G18/100</f>
        <v>-133.0449350882</v>
      </c>
      <c r="H17" s="4" t="n">
        <f aca="false">-H6*Assumptions!H18/100</f>
        <v>-137.036283140846</v>
      </c>
      <c r="I17" s="4" t="n">
        <f aca="false">-I6*Assumptions!I18/100</f>
        <v>-141.147371635071</v>
      </c>
      <c r="J17" s="4" t="n">
        <f aca="false">-J6*Assumptions!J18/100</f>
        <v>-144.676055925948</v>
      </c>
      <c r="K17" s="4" t="n">
        <f aca="false">-K6*Assumptions!K18/100</f>
        <v>-148.292957324096</v>
      </c>
      <c r="L17" s="4" t="n">
        <f aca="false">-L6*Assumptions!L18/100</f>
        <v>-151.258816470578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53.8218</v>
      </c>
      <c r="D18" s="4" t="n">
        <f aca="false">(D6-C6)*Assumptions!$B$23/100</f>
        <v>21.767928</v>
      </c>
      <c r="E18" s="4" t="n">
        <f aca="false">(E6-D6)*Assumptions!$B$23/100</f>
        <v>-5.22430272000001</v>
      </c>
      <c r="F18" s="4" t="n">
        <f aca="false">(F6-E6)*Assumptions!$B$23/100</f>
        <v>-10.5530914944</v>
      </c>
      <c r="G18" s="4" t="n">
        <f aca="false">(G6-F6)*Assumptions!$B$23/100</f>
        <v>-16.146229986432</v>
      </c>
      <c r="H18" s="4" t="n">
        <f aca="false">(H6-G6)*Assumptions!$B$23/100</f>
        <v>-16.630616886025</v>
      </c>
      <c r="I18" s="4" t="n">
        <f aca="false">(I6-H6)*Assumptions!$B$23/100</f>
        <v>-17.1295353926057</v>
      </c>
      <c r="J18" s="4" t="n">
        <f aca="false">(J6-I6)*Assumptions!$B$23/100</f>
        <v>-14.7028512119865</v>
      </c>
      <c r="K18" s="4" t="n">
        <f aca="false">(K6-J6)*Assumptions!$B$23/100</f>
        <v>-15.0704224922862</v>
      </c>
      <c r="L18" s="4" t="n">
        <f aca="false">(L6-K6)*Assumptions!$B$23/100</f>
        <v>-12.3577464436748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54.50204775</v>
      </c>
      <c r="D19" s="0" t="n">
        <f aca="false">D15+D16+D17+D18</f>
        <v>84.45956064</v>
      </c>
      <c r="E19" s="0" t="n">
        <f aca="false">E15+E16+E17+E18</f>
        <v>110.2001355</v>
      </c>
      <c r="F19" s="0" t="n">
        <f aca="false">F15+F16+F17+F18</f>
        <v>137.45401671456</v>
      </c>
      <c r="G19" s="0" t="n">
        <f aca="false">G15+G16+G17+G18</f>
        <v>162.632901538336</v>
      </c>
      <c r="H19" s="0" t="n">
        <f aca="false">H15+H16+H17+H18</f>
        <v>188.923807825243</v>
      </c>
      <c r="I19" s="0" t="n">
        <f aca="false">I15+I16+I17+I18</f>
        <v>216.645798877981</v>
      </c>
      <c r="J19" s="0" t="n">
        <f aca="false">J15+J16+J17+J18</f>
        <v>236.219683284579</v>
      </c>
      <c r="K19" s="0" t="n">
        <f aca="false">K15+K16+K17+K18</f>
        <v>242.125175366694</v>
      </c>
      <c r="L19" s="0" t="n">
        <f aca="false">L15+L16+L17+L18</f>
        <v>249.981763372485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49.1009439189189</v>
      </c>
      <c r="D21" s="0" t="n">
        <f aca="false">D19*D20</f>
        <v>68.5492741173606</v>
      </c>
      <c r="E21" s="0" t="n">
        <f aca="false">E19*E20</f>
        <v>80.5773892957969</v>
      </c>
      <c r="F21" s="0" t="n">
        <f aca="false">F19*F20</f>
        <v>90.5452183305252</v>
      </c>
      <c r="G21" s="0" t="n">
        <f aca="false">G19*G20</f>
        <v>96.5147114039425</v>
      </c>
      <c r="H21" s="0" t="n">
        <f aca="false">H19*H20</f>
        <v>101.006382572766</v>
      </c>
      <c r="I21" s="0" t="n">
        <f aca="false">I19*I20</f>
        <v>104.349271213737</v>
      </c>
      <c r="J21" s="0" t="n">
        <f aca="false">J19*J20</f>
        <v>102.501979524306</v>
      </c>
      <c r="K21" s="0" t="n">
        <f aca="false">K19*K20</f>
        <v>94.6527288400119</v>
      </c>
      <c r="L21" s="0" t="n">
        <f aca="false">L19*L20</f>
        <v>88.0396970364606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875.837596253825</v>
      </c>
    </row>
    <row r="31" customFormat="false" ht="15" hidden="false" customHeight="false" outlineLevel="0" collapsed="false">
      <c r="A31" s="0" t="s">
        <v>131</v>
      </c>
      <c r="B31" s="0" t="n">
        <f aca="false">L19</f>
        <v>249.981763372485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2833.12665155483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2999.78116046982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2833.12665155483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997.783233079887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1873.62082933371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3359.02082933371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7.14837375895661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-0.409225309177139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2293.56110371018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1509.34521076411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15.2413857071888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1961.39537415334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5.71259966747235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-5.5</v>
      </c>
      <c r="D5" s="4" t="n">
        <f aca="false">Assumptions!D27</f>
        <v>3</v>
      </c>
      <c r="E5" s="4" t="n">
        <f aca="false">Assumptions!E27</f>
        <v>6</v>
      </c>
      <c r="F5" s="4" t="n">
        <f aca="false">Assumptions!F27</f>
        <v>7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2990.1</v>
      </c>
      <c r="C6" s="0" t="n">
        <f aca="false">B6*(1+C5/100)</f>
        <v>2825.6445</v>
      </c>
      <c r="D6" s="0" t="n">
        <f aca="false">C6*(1+D5/100)</f>
        <v>2910.413835</v>
      </c>
      <c r="E6" s="0" t="n">
        <f aca="false">D6*(1+E5/100)</f>
        <v>3085.0386651</v>
      </c>
      <c r="F6" s="0" t="n">
        <f aca="false">E6*(1+F5/100)</f>
        <v>3300.991371657</v>
      </c>
      <c r="G6" s="0" t="n">
        <f aca="false">F6*(1+G5/100)</f>
        <v>3532.06076767299</v>
      </c>
      <c r="H6" s="0" t="n">
        <f aca="false">G6*(1+H5/100)</f>
        <v>3743.98441373337</v>
      </c>
      <c r="I6" s="0" t="n">
        <f aca="false">H6*(1+I5/100)</f>
        <v>3931.18363442004</v>
      </c>
      <c r="J6" s="0" t="n">
        <f aca="false">I6*(1+J5/100)</f>
        <v>4108.08689796894</v>
      </c>
      <c r="K6" s="0" t="n">
        <f aca="false">J6*(1+K5/100)</f>
        <v>4272.4103738877</v>
      </c>
      <c r="L6" s="0" t="n">
        <f aca="false">K6*(1+L5/100)</f>
        <v>4421.94473697377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26.5</v>
      </c>
      <c r="D7" s="4" t="n">
        <f aca="false">Assumptions!D28</f>
        <v>30</v>
      </c>
      <c r="E7" s="4" t="n">
        <f aca="false">Assumptions!E28</f>
        <v>32.5</v>
      </c>
      <c r="F7" s="4" t="n">
        <f aca="false">Assumptions!F28</f>
        <v>34</v>
      </c>
      <c r="G7" s="4" t="n">
        <f aca="false">Assumptions!G28</f>
        <v>35</v>
      </c>
      <c r="H7" s="4" t="n">
        <f aca="false">Assumptions!H28</f>
        <v>35.5</v>
      </c>
      <c r="I7" s="4" t="n">
        <f aca="false">Assumptions!I28</f>
        <v>36</v>
      </c>
      <c r="J7" s="4" t="n">
        <f aca="false">Assumptions!J28</f>
        <v>36</v>
      </c>
      <c r="K7" s="4" t="n">
        <f aca="false">Assumptions!K28</f>
        <v>36</v>
      </c>
      <c r="L7" s="4" t="n">
        <f aca="false">Assumptions!L28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748.7957925</v>
      </c>
      <c r="D8" s="0" t="n">
        <f aca="false">D6*D7/100</f>
        <v>873.1241505</v>
      </c>
      <c r="E8" s="0" t="n">
        <f aca="false">E6*E7/100</f>
        <v>1002.6375661575</v>
      </c>
      <c r="F8" s="0" t="n">
        <f aca="false">F6*F7/100</f>
        <v>1122.33706636338</v>
      </c>
      <c r="G8" s="0" t="n">
        <f aca="false">G6*G7/100</f>
        <v>1236.22126868555</v>
      </c>
      <c r="H8" s="0" t="n">
        <f aca="false">H6*H7/100</f>
        <v>1329.11446687535</v>
      </c>
      <c r="I8" s="0" t="n">
        <f aca="false">I6*I7/100</f>
        <v>1415.22610839121</v>
      </c>
      <c r="J8" s="0" t="n">
        <f aca="false">J6*J7/100</f>
        <v>1478.91128326882</v>
      </c>
      <c r="K8" s="0" t="n">
        <f aca="false">K6*K7/100</f>
        <v>1538.06773459957</v>
      </c>
      <c r="L8" s="0" t="n">
        <f aca="false">L6*L7/100</f>
        <v>1591.90010531056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16</v>
      </c>
      <c r="D9" s="4" t="n">
        <f aca="false">Assumptions!D29</f>
        <v>15</v>
      </c>
      <c r="E9" s="4" t="n">
        <f aca="false">Assumptions!E29</f>
        <v>14</v>
      </c>
      <c r="F9" s="4" t="n">
        <f aca="false">Assumptions!F29</f>
        <v>13</v>
      </c>
      <c r="G9" s="4" t="n">
        <f aca="false">Assumptions!G29</f>
        <v>12.5</v>
      </c>
      <c r="H9" s="4" t="n">
        <f aca="false">Assumptions!H29</f>
        <v>12</v>
      </c>
      <c r="I9" s="4" t="n">
        <f aca="false">Assumptions!I29</f>
        <v>11.5</v>
      </c>
      <c r="J9" s="4" t="n">
        <f aca="false">Assumptions!J29</f>
        <v>11</v>
      </c>
      <c r="K9" s="4" t="n">
        <f aca="false">Assumptions!K29</f>
        <v>11</v>
      </c>
      <c r="L9" s="4" t="n">
        <f aca="false">Assumptions!L29</f>
        <v>11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-452.10312</v>
      </c>
      <c r="D10" s="0" t="n">
        <f aca="false">-D6*D9/100</f>
        <v>-436.56207525</v>
      </c>
      <c r="E10" s="0" t="n">
        <f aca="false">-E6*E9/100</f>
        <v>-431.905413114</v>
      </c>
      <c r="F10" s="0" t="n">
        <f aca="false">-F6*F9/100</f>
        <v>-429.12887831541</v>
      </c>
      <c r="G10" s="0" t="n">
        <f aca="false">-G6*G9/100</f>
        <v>-441.507595959124</v>
      </c>
      <c r="H10" s="0" t="n">
        <f aca="false">-H6*H9/100</f>
        <v>-449.278129648004</v>
      </c>
      <c r="I10" s="0" t="n">
        <f aca="false">-I6*I9/100</f>
        <v>-452.086117958304</v>
      </c>
      <c r="J10" s="0" t="n">
        <f aca="false">-J6*J9/100</f>
        <v>-451.889558776583</v>
      </c>
      <c r="K10" s="0" t="n">
        <f aca="false">-K6*K9/100</f>
        <v>-469.965141127647</v>
      </c>
      <c r="L10" s="0" t="n">
        <f aca="false">-L6*L9/100</f>
        <v>-486.413921067114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296.6926725</v>
      </c>
      <c r="D11" s="0" t="n">
        <f aca="false">D8+D10+D24</f>
        <v>436.56207525</v>
      </c>
      <c r="E11" s="0" t="n">
        <f aca="false">E8+E10+E24</f>
        <v>570.7321530435</v>
      </c>
      <c r="F11" s="0" t="n">
        <f aca="false">F8+F10+F24</f>
        <v>693.20818804797</v>
      </c>
      <c r="G11" s="0" t="n">
        <f aca="false">G8+G10+G24</f>
        <v>794.713672726423</v>
      </c>
      <c r="H11" s="0" t="n">
        <f aca="false">H8+H10+H24</f>
        <v>879.836337227342</v>
      </c>
      <c r="I11" s="0" t="n">
        <f aca="false">I8+I10+I24</f>
        <v>963.13999043291</v>
      </c>
      <c r="J11" s="0" t="n">
        <f aca="false">J8+J10+J24</f>
        <v>1027.02172449223</v>
      </c>
      <c r="K11" s="0" t="n">
        <f aca="false">K8+K10+K24</f>
        <v>1068.10259347192</v>
      </c>
      <c r="L11" s="0" t="n">
        <f aca="false">L8+L10+L24</f>
        <v>1105.48618424344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-127.1540025</v>
      </c>
      <c r="D12" s="4" t="n">
        <f aca="false">-D6*Assumptions!D31/100</f>
        <v>-130.968622575</v>
      </c>
      <c r="E12" s="4" t="n">
        <f aca="false">-E6*Assumptions!E31/100</f>
        <v>-135.7417012644</v>
      </c>
      <c r="F12" s="4" t="n">
        <f aca="false">-F6*Assumptions!F31/100</f>
        <v>-141.942628981251</v>
      </c>
      <c r="G12" s="4" t="n">
        <f aca="false">-G6*Assumptions!G31/100</f>
        <v>-148.346552242266</v>
      </c>
      <c r="H12" s="4" t="n">
        <f aca="false">-H6*Assumptions!H31/100</f>
        <v>-153.503360963068</v>
      </c>
      <c r="I12" s="4" t="n">
        <f aca="false">-I6*Assumptions!I31/100</f>
        <v>-157.247345376802</v>
      </c>
      <c r="J12" s="4" t="n">
        <f aca="false">-J6*Assumptions!J31/100</f>
        <v>-164.323475918758</v>
      </c>
      <c r="K12" s="4" t="n">
        <f aca="false">-K6*Assumptions!K31/100</f>
        <v>-170.896414955508</v>
      </c>
      <c r="L12" s="4" t="n">
        <f aca="false">-L6*Assumptions!L31/100</f>
        <v>-176.877789478951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169.53867</v>
      </c>
      <c r="D13" s="0" t="n">
        <f aca="false">D11+D12</f>
        <v>305.593452675</v>
      </c>
      <c r="E13" s="0" t="n">
        <f aca="false">E11+E12</f>
        <v>434.9904517791</v>
      </c>
      <c r="F13" s="0" t="n">
        <f aca="false">F11+F12</f>
        <v>551.265559066719</v>
      </c>
      <c r="G13" s="0" t="n">
        <f aca="false">G11+G12</f>
        <v>646.367120484157</v>
      </c>
      <c r="H13" s="0" t="n">
        <f aca="false">H11+H12</f>
        <v>726.332976264274</v>
      </c>
      <c r="I13" s="0" t="n">
        <f aca="false">I11+I12</f>
        <v>805.892645056108</v>
      </c>
      <c r="J13" s="0" t="n">
        <f aca="false">J11+J12</f>
        <v>862.698248573477</v>
      </c>
      <c r="K13" s="0" t="n">
        <f aca="false">K11+K12</f>
        <v>897.206178516416</v>
      </c>
      <c r="L13" s="0" t="n">
        <f aca="false">L11+L12</f>
        <v>928.608394764491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127.1540025</v>
      </c>
      <c r="D15" s="0" t="n">
        <f aca="false">D13-MAX(0,D13)*D14/100</f>
        <v>229.19508950625</v>
      </c>
      <c r="E15" s="0" t="n">
        <f aca="false">E13-MAX(0,E13)*E14/100</f>
        <v>330.592743352116</v>
      </c>
      <c r="F15" s="0" t="n">
        <f aca="false">F13-MAX(0,F13)*F14/100</f>
        <v>418.961824890706</v>
      </c>
      <c r="G15" s="0" t="n">
        <f aca="false">G13-MAX(0,G13)*G14/100</f>
        <v>497.702682772801</v>
      </c>
      <c r="H15" s="0" t="n">
        <f aca="false">H13-MAX(0,H13)*H14/100</f>
        <v>559.276391723491</v>
      </c>
      <c r="I15" s="0" t="n">
        <f aca="false">I13-MAX(0,I13)*I14/100</f>
        <v>620.537336693203</v>
      </c>
      <c r="J15" s="0" t="n">
        <f aca="false">J13-MAX(0,J13)*J14/100</f>
        <v>664.277651401577</v>
      </c>
      <c r="K15" s="0" t="n">
        <f aca="false">K13-MAX(0,K13)*K14/100</f>
        <v>690.848757457641</v>
      </c>
      <c r="L15" s="0" t="n">
        <f aca="false">L13-MAX(0,L13)*L14/100</f>
        <v>715.028463968658</v>
      </c>
    </row>
    <row r="16" customFormat="false" ht="15" hidden="false" customHeight="false" outlineLevel="0" collapsed="false">
      <c r="A16" s="0" t="s">
        <v>122</v>
      </c>
      <c r="C16" s="0" t="n">
        <f aca="false">-C12</f>
        <v>127.1540025</v>
      </c>
      <c r="D16" s="0" t="n">
        <f aca="false">-D12</f>
        <v>130.968622575</v>
      </c>
      <c r="E16" s="0" t="n">
        <f aca="false">-E12</f>
        <v>135.7417012644</v>
      </c>
      <c r="F16" s="0" t="n">
        <f aca="false">-F12</f>
        <v>141.942628981251</v>
      </c>
      <c r="G16" s="0" t="n">
        <f aca="false">-G12</f>
        <v>148.346552242266</v>
      </c>
      <c r="H16" s="0" t="n">
        <f aca="false">-H12</f>
        <v>153.503360963068</v>
      </c>
      <c r="I16" s="0" t="n">
        <f aca="false">-I12</f>
        <v>157.247345376802</v>
      </c>
      <c r="J16" s="0" t="n">
        <f aca="false">-J12</f>
        <v>164.323475918758</v>
      </c>
      <c r="K16" s="0" t="n">
        <f aca="false">-K12</f>
        <v>170.896414955508</v>
      </c>
      <c r="L16" s="0" t="n">
        <f aca="false">-L12</f>
        <v>176.877789478951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-169.53867</v>
      </c>
      <c r="D17" s="4" t="n">
        <f aca="false">-D6*Assumptions!D32/100</f>
        <v>-160.072760925</v>
      </c>
      <c r="E17" s="4" t="n">
        <f aca="false">-E6*Assumptions!E32/100</f>
        <v>-154.251933255</v>
      </c>
      <c r="F17" s="4" t="n">
        <f aca="false">-F6*Assumptions!F32/100</f>
        <v>-158.447585839536</v>
      </c>
      <c r="G17" s="4" t="n">
        <f aca="false">-G6*Assumptions!G32/100</f>
        <v>-162.474795312958</v>
      </c>
      <c r="H17" s="4" t="n">
        <f aca="false">-H6*Assumptions!H32/100</f>
        <v>-168.479298618002</v>
      </c>
      <c r="I17" s="4" t="n">
        <f aca="false">-I6*Assumptions!I32/100</f>
        <v>-176.903263548902</v>
      </c>
      <c r="J17" s="4" t="n">
        <f aca="false">-J6*Assumptions!J32/100</f>
        <v>-184.863910408602</v>
      </c>
      <c r="K17" s="4" t="n">
        <f aca="false">-K6*Assumptions!K32/100</f>
        <v>-192.258466824946</v>
      </c>
      <c r="L17" s="4" t="n">
        <f aca="false">-L6*Assumptions!L32/100</f>
        <v>-198.98751316382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32.8911</v>
      </c>
      <c r="D18" s="4" t="n">
        <f aca="false">(D6-C6)*Assumptions!$B$37/100</f>
        <v>-16.953867</v>
      </c>
      <c r="E18" s="4" t="n">
        <f aca="false">(E6-D6)*Assumptions!$B$37/100</f>
        <v>-34.92496602</v>
      </c>
      <c r="F18" s="4" t="n">
        <f aca="false">(F6-E6)*Assumptions!$B$37/100</f>
        <v>-43.1905413114</v>
      </c>
      <c r="G18" s="4" t="n">
        <f aca="false">(G6-F6)*Assumptions!$B$37/100</f>
        <v>-46.213879203198</v>
      </c>
      <c r="H18" s="4" t="n">
        <f aca="false">(H6-G6)*Assumptions!$B$37/100</f>
        <v>-42.3847292120759</v>
      </c>
      <c r="I18" s="4" t="n">
        <f aca="false">(I6-H6)*Assumptions!$B$37/100</f>
        <v>-37.4398441373337</v>
      </c>
      <c r="J18" s="4" t="n">
        <f aca="false">(J6-I6)*Assumptions!$B$37/100</f>
        <v>-35.3806527097802</v>
      </c>
      <c r="K18" s="4" t="n">
        <f aca="false">(K6-J6)*Assumptions!$B$37/100</f>
        <v>-32.8646951837516</v>
      </c>
      <c r="L18" s="4" t="n">
        <f aca="false">(L6-K6)*Assumptions!$B$37/100</f>
        <v>-29.9068726172138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117.660435</v>
      </c>
      <c r="D19" s="0" t="n">
        <f aca="false">D15+D16+D17+D18</f>
        <v>183.13708415625</v>
      </c>
      <c r="E19" s="0" t="n">
        <f aca="false">E15+E16+E17+E18</f>
        <v>277.157545341516</v>
      </c>
      <c r="F19" s="0" t="n">
        <f aca="false">F15+F16+F17+F18</f>
        <v>359.266326721021</v>
      </c>
      <c r="G19" s="0" t="n">
        <f aca="false">G15+G16+G17+G18</f>
        <v>437.360560498911</v>
      </c>
      <c r="H19" s="0" t="n">
        <f aca="false">H15+H16+H17+H18</f>
        <v>501.915724856481</v>
      </c>
      <c r="I19" s="0" t="n">
        <f aca="false">I15+I16+I17+I18</f>
        <v>563.441574383769</v>
      </c>
      <c r="J19" s="0" t="n">
        <f aca="false">J15+J16+J17+J18</f>
        <v>608.356564201952</v>
      </c>
      <c r="K19" s="0" t="n">
        <f aca="false">K15+K16+K17+K18</f>
        <v>636.622010404451</v>
      </c>
      <c r="L19" s="0" t="n">
        <f aca="false">L15+L16+L17+L18</f>
        <v>663.011867666575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106.000391891892</v>
      </c>
      <c r="D21" s="0" t="n">
        <f aca="false">D19*D20</f>
        <v>148.638165860117</v>
      </c>
      <c r="E21" s="0" t="n">
        <f aca="false">E19*E20</f>
        <v>202.655208416244</v>
      </c>
      <c r="F21" s="0" t="n">
        <f aca="false">F19*F20</f>
        <v>236.659857378434</v>
      </c>
      <c r="G21" s="0" t="n">
        <f aca="false">G19*G20</f>
        <v>259.552205468514</v>
      </c>
      <c r="H21" s="0" t="n">
        <f aca="false">H19*H20</f>
        <v>268.344642783381</v>
      </c>
      <c r="I21" s="0" t="n">
        <f aca="false">I19*I20</f>
        <v>271.386373347499</v>
      </c>
      <c r="J21" s="0" t="n">
        <f aca="false">J19*J20</f>
        <v>263.982032404055</v>
      </c>
      <c r="K21" s="0" t="n">
        <f aca="false">K19*K20</f>
        <v>248.871313910816</v>
      </c>
      <c r="L21" s="0" t="n">
        <f aca="false">L19*L20</f>
        <v>233.502489035439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2239.59268049639</v>
      </c>
    </row>
    <row r="31" customFormat="false" ht="15" hidden="false" customHeight="false" outlineLevel="0" collapsed="false">
      <c r="A31" s="0" t="s">
        <v>131</v>
      </c>
      <c r="B31" s="0" t="n">
        <f aca="false">L19</f>
        <v>663.011867666575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8536.27779620716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9945.17801499863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8536.27779620716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3006.34454633127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5245.93722682766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6731.33722682766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14.3250419809059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0.183887767017013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2631.1917683333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2205.5832032182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24.6182426013602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5690.85186413811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10.0245013852641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-3</v>
      </c>
      <c r="D5" s="4" t="n">
        <f aca="false">Assumptions!D41</f>
        <v>9</v>
      </c>
      <c r="E5" s="4" t="n">
        <f aca="false">Assumptions!E41</f>
        <v>13</v>
      </c>
      <c r="F5" s="4" t="n">
        <f aca="false">Assumptions!F41</f>
        <v>13</v>
      </c>
      <c r="G5" s="4" t="n">
        <f aca="false">Assumptions!G41</f>
        <v>12</v>
      </c>
      <c r="H5" s="4" t="n">
        <f aca="false">Assumptions!H41</f>
        <v>11</v>
      </c>
      <c r="I5" s="4" t="n">
        <f aca="false">Assumptions!I41</f>
        <v>9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2990.1</v>
      </c>
      <c r="C6" s="0" t="n">
        <f aca="false">B6*(1+C5/100)</f>
        <v>2900.397</v>
      </c>
      <c r="D6" s="0" t="n">
        <f aca="false">C6*(1+D5/100)</f>
        <v>3161.43273</v>
      </c>
      <c r="E6" s="0" t="n">
        <f aca="false">D6*(1+E5/100)</f>
        <v>3572.4189849</v>
      </c>
      <c r="F6" s="0" t="n">
        <f aca="false">E6*(1+F5/100)</f>
        <v>4036.833452937</v>
      </c>
      <c r="G6" s="0" t="n">
        <f aca="false">F6*(1+G5/100)</f>
        <v>4521.25346728944</v>
      </c>
      <c r="H6" s="0" t="n">
        <f aca="false">G6*(1+H5/100)</f>
        <v>5018.59134869128</v>
      </c>
      <c r="I6" s="0" t="n">
        <f aca="false">H6*(1+I5/100)</f>
        <v>5470.26457007349</v>
      </c>
      <c r="J6" s="0" t="n">
        <f aca="false">I6*(1+J5/100)</f>
        <v>5853.18308997864</v>
      </c>
      <c r="K6" s="0" t="n">
        <f aca="false">J6*(1+K5/100)</f>
        <v>6204.37407537736</v>
      </c>
      <c r="L6" s="0" t="n">
        <f aca="false">K6*(1+L5/100)</f>
        <v>6514.59277914622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28</v>
      </c>
      <c r="D7" s="4" t="n">
        <f aca="false">Assumptions!D42</f>
        <v>33</v>
      </c>
      <c r="E7" s="4" t="n">
        <f aca="false">Assumptions!E42</f>
        <v>36.5</v>
      </c>
      <c r="F7" s="4" t="n">
        <f aca="false">Assumptions!F42</f>
        <v>38.5</v>
      </c>
      <c r="G7" s="4" t="n">
        <f aca="false">Assumptions!G42</f>
        <v>40</v>
      </c>
      <c r="H7" s="4" t="n">
        <f aca="false">Assumptions!H42</f>
        <v>41</v>
      </c>
      <c r="I7" s="4" t="n">
        <f aca="false">Assumptions!I42</f>
        <v>41.5</v>
      </c>
      <c r="J7" s="4" t="n">
        <f aca="false">Assumptions!J42</f>
        <v>42</v>
      </c>
      <c r="K7" s="4" t="n">
        <f aca="false">Assumptions!K42</f>
        <v>42</v>
      </c>
      <c r="L7" s="4" t="n">
        <f aca="false">Assumptions!L42</f>
        <v>42</v>
      </c>
    </row>
    <row r="8" customFormat="false" ht="15" hidden="false" customHeight="false" outlineLevel="0" collapsed="false">
      <c r="A8" s="0" t="s">
        <v>43</v>
      </c>
      <c r="C8" s="0" t="n">
        <f aca="false">C6*C7/100</f>
        <v>812.11116</v>
      </c>
      <c r="D8" s="0" t="n">
        <f aca="false">D6*D7/100</f>
        <v>1043.2728009</v>
      </c>
      <c r="E8" s="0" t="n">
        <f aca="false">E6*E7/100</f>
        <v>1303.9329294885</v>
      </c>
      <c r="F8" s="0" t="n">
        <f aca="false">F6*F7/100</f>
        <v>1554.18087938074</v>
      </c>
      <c r="G8" s="0" t="n">
        <f aca="false">G6*G7/100</f>
        <v>1808.50138691578</v>
      </c>
      <c r="H8" s="0" t="n">
        <f aca="false">H6*H7/100</f>
        <v>2057.62245296342</v>
      </c>
      <c r="I8" s="0" t="n">
        <f aca="false">I6*I7/100</f>
        <v>2270.1597965805</v>
      </c>
      <c r="J8" s="0" t="n">
        <f aca="false">J6*J7/100</f>
        <v>2458.33689779103</v>
      </c>
      <c r="K8" s="0" t="n">
        <f aca="false">K6*K7/100</f>
        <v>2605.83711165849</v>
      </c>
      <c r="L8" s="0" t="n">
        <f aca="false">L6*L7/100</f>
        <v>2736.12896724141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15.5</v>
      </c>
      <c r="D9" s="4" t="n">
        <f aca="false">Assumptions!D43</f>
        <v>14</v>
      </c>
      <c r="E9" s="4" t="n">
        <f aca="false">Assumptions!E43</f>
        <v>13</v>
      </c>
      <c r="F9" s="4" t="n">
        <f aca="false">Assumptions!F43</f>
        <v>12</v>
      </c>
      <c r="G9" s="4" t="n">
        <f aca="false">Assumptions!G43</f>
        <v>11</v>
      </c>
      <c r="H9" s="4" t="n">
        <f aca="false">Assumptions!H43</f>
        <v>10.5</v>
      </c>
      <c r="I9" s="4" t="n">
        <f aca="false">Assumptions!I43</f>
        <v>10</v>
      </c>
      <c r="J9" s="4" t="n">
        <f aca="false">Assumptions!J43</f>
        <v>9.5</v>
      </c>
      <c r="K9" s="4" t="n">
        <f aca="false">Assumptions!K43</f>
        <v>9</v>
      </c>
      <c r="L9" s="4" t="n">
        <f aca="false">Assumptions!L43</f>
        <v>9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-449.561535</v>
      </c>
      <c r="D10" s="0" t="n">
        <f aca="false">-D6*D9/100</f>
        <v>-442.6005822</v>
      </c>
      <c r="E10" s="0" t="n">
        <f aca="false">-E6*E9/100</f>
        <v>-464.414468037</v>
      </c>
      <c r="F10" s="0" t="n">
        <f aca="false">-F6*F9/100</f>
        <v>-484.42001435244</v>
      </c>
      <c r="G10" s="0" t="n">
        <f aca="false">-G6*G9/100</f>
        <v>-497.337881401838</v>
      </c>
      <c r="H10" s="0" t="n">
        <f aca="false">-H6*H9/100</f>
        <v>-526.952091612584</v>
      </c>
      <c r="I10" s="0" t="n">
        <f aca="false">-I6*I9/100</f>
        <v>-547.026457007349</v>
      </c>
      <c r="J10" s="0" t="n">
        <f aca="false">-J6*J9/100</f>
        <v>-556.052393547971</v>
      </c>
      <c r="K10" s="0" t="n">
        <f aca="false">-K6*K9/100</f>
        <v>-558.393666783962</v>
      </c>
      <c r="L10" s="0" t="n">
        <f aca="false">-L6*L9/100</f>
        <v>-586.31335012316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362.549625</v>
      </c>
      <c r="D11" s="0" t="n">
        <f aca="false">D8+D10+D24</f>
        <v>600.6722187</v>
      </c>
      <c r="E11" s="0" t="n">
        <f aca="false">E8+E10+E24</f>
        <v>839.5184614515</v>
      </c>
      <c r="F11" s="0" t="n">
        <f aca="false">F8+F10+F24</f>
        <v>1069.7608650283</v>
      </c>
      <c r="G11" s="0" t="n">
        <f aca="false">G8+G10+G24</f>
        <v>1311.16350551394</v>
      </c>
      <c r="H11" s="0" t="n">
        <f aca="false">H8+H10+H24</f>
        <v>1530.67036135084</v>
      </c>
      <c r="I11" s="0" t="n">
        <f aca="false">I8+I10+I24</f>
        <v>1723.13333957315</v>
      </c>
      <c r="J11" s="0" t="n">
        <f aca="false">J8+J10+J24</f>
        <v>1902.28450424306</v>
      </c>
      <c r="K11" s="0" t="n">
        <f aca="false">K8+K10+K24</f>
        <v>2047.44344487453</v>
      </c>
      <c r="L11" s="0" t="n">
        <f aca="false">L8+L10+L24</f>
        <v>2149.81561711825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-130.517865</v>
      </c>
      <c r="D12" s="4" t="n">
        <f aca="false">-D6*Assumptions!D45/100</f>
        <v>-142.26447285</v>
      </c>
      <c r="E12" s="4" t="n">
        <f aca="false">-E6*Assumptions!E45/100</f>
        <v>-157.1864353356</v>
      </c>
      <c r="F12" s="4" t="n">
        <f aca="false">-F6*Assumptions!F45/100</f>
        <v>-173.583838476291</v>
      </c>
      <c r="G12" s="4" t="n">
        <f aca="false">-G6*Assumptions!G45/100</f>
        <v>-189.892645626156</v>
      </c>
      <c r="H12" s="4" t="n">
        <f aca="false">-H6*Assumptions!H45/100</f>
        <v>-205.762245296342</v>
      </c>
      <c r="I12" s="4" t="n">
        <f aca="false">-I6*Assumptions!I45/100</f>
        <v>-218.81058280294</v>
      </c>
      <c r="J12" s="4" t="n">
        <f aca="false">-J6*Assumptions!J45/100</f>
        <v>-234.127323599145</v>
      </c>
      <c r="K12" s="4" t="n">
        <f aca="false">-K6*Assumptions!K45/100</f>
        <v>-248.174963015094</v>
      </c>
      <c r="L12" s="4" t="n">
        <f aca="false">-L6*Assumptions!L45/100</f>
        <v>-260.583711165849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232.03176</v>
      </c>
      <c r="D13" s="0" t="n">
        <f aca="false">D11+D12</f>
        <v>458.40774585</v>
      </c>
      <c r="E13" s="0" t="n">
        <f aca="false">E11+E12</f>
        <v>682.3320261159</v>
      </c>
      <c r="F13" s="0" t="n">
        <f aca="false">F11+F12</f>
        <v>896.177026552014</v>
      </c>
      <c r="G13" s="0" t="n">
        <f aca="false">G11+G12</f>
        <v>1121.27085988778</v>
      </c>
      <c r="H13" s="0" t="n">
        <f aca="false">H11+H12</f>
        <v>1324.9081160545</v>
      </c>
      <c r="I13" s="0" t="n">
        <f aca="false">I11+I12</f>
        <v>1504.32275677021</v>
      </c>
      <c r="J13" s="0" t="n">
        <f aca="false">J11+J12</f>
        <v>1668.15718064391</v>
      </c>
      <c r="K13" s="0" t="n">
        <f aca="false">K11+K12</f>
        <v>1799.26848185943</v>
      </c>
      <c r="L13" s="0" t="n">
        <f aca="false">L11+L12</f>
        <v>1889.2319059524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174.02382</v>
      </c>
      <c r="D15" s="0" t="n">
        <f aca="false">D13-MAX(0,D13)*D14/100</f>
        <v>343.8058093875</v>
      </c>
      <c r="E15" s="0" t="n">
        <f aca="false">E13-MAX(0,E13)*E14/100</f>
        <v>518.572339848084</v>
      </c>
      <c r="F15" s="0" t="n">
        <f aca="false">F13-MAX(0,F13)*F14/100</f>
        <v>681.09454017953</v>
      </c>
      <c r="G15" s="0" t="n">
        <f aca="false">G13-MAX(0,G13)*G14/100</f>
        <v>863.378562113591</v>
      </c>
      <c r="H15" s="0" t="n">
        <f aca="false">H13-MAX(0,H13)*H14/100</f>
        <v>1020.17924936196</v>
      </c>
      <c r="I15" s="0" t="n">
        <f aca="false">I13-MAX(0,I13)*I14/100</f>
        <v>1158.32852271306</v>
      </c>
      <c r="J15" s="0" t="n">
        <f aca="false">J13-MAX(0,J13)*J14/100</f>
        <v>1284.48102909581</v>
      </c>
      <c r="K15" s="0" t="n">
        <f aca="false">K13-MAX(0,K13)*K14/100</f>
        <v>1385.43673103176</v>
      </c>
      <c r="L15" s="0" t="n">
        <f aca="false">L13-MAX(0,L13)*L14/100</f>
        <v>1454.70856758335</v>
      </c>
    </row>
    <row r="16" customFormat="false" ht="15" hidden="false" customHeight="false" outlineLevel="0" collapsed="false">
      <c r="A16" s="0" t="s">
        <v>122</v>
      </c>
      <c r="C16" s="0" t="n">
        <f aca="false">-C12</f>
        <v>130.517865</v>
      </c>
      <c r="D16" s="0" t="n">
        <f aca="false">-D12</f>
        <v>142.26447285</v>
      </c>
      <c r="E16" s="0" t="n">
        <f aca="false">-E12</f>
        <v>157.1864353356</v>
      </c>
      <c r="F16" s="0" t="n">
        <f aca="false">-F12</f>
        <v>173.583838476291</v>
      </c>
      <c r="G16" s="0" t="n">
        <f aca="false">-G12</f>
        <v>189.892645626156</v>
      </c>
      <c r="H16" s="0" t="n">
        <f aca="false">-H12</f>
        <v>205.762245296342</v>
      </c>
      <c r="I16" s="0" t="n">
        <f aca="false">-I12</f>
        <v>218.81058280294</v>
      </c>
      <c r="J16" s="0" t="n">
        <f aca="false">-J12</f>
        <v>234.127323599145</v>
      </c>
      <c r="K16" s="0" t="n">
        <f aca="false">-K12</f>
        <v>248.174963015094</v>
      </c>
      <c r="L16" s="0" t="n">
        <f aca="false">-L12</f>
        <v>260.583711165849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-174.02382</v>
      </c>
      <c r="D17" s="4" t="n">
        <f aca="false">-D6*Assumptions!D46/100</f>
        <v>-173.87880015</v>
      </c>
      <c r="E17" s="4" t="n">
        <f aca="false">-E6*Assumptions!E46/100</f>
        <v>-178.620949245</v>
      </c>
      <c r="F17" s="4" t="n">
        <f aca="false">-F6*Assumptions!F46/100</f>
        <v>-193.768005740976</v>
      </c>
      <c r="G17" s="4" t="n">
        <f aca="false">-G6*Assumptions!G46/100</f>
        <v>-207.977659495314</v>
      </c>
      <c r="H17" s="4" t="n">
        <f aca="false">-H6*Assumptions!H46/100</f>
        <v>-225.836610691108</v>
      </c>
      <c r="I17" s="4" t="n">
        <f aca="false">-I6*Assumptions!I46/100</f>
        <v>-246.161905653307</v>
      </c>
      <c r="J17" s="4" t="n">
        <f aca="false">-J6*Assumptions!J46/100</f>
        <v>-263.393239049039</v>
      </c>
      <c r="K17" s="4" t="n">
        <f aca="false">-K6*Assumptions!K46/100</f>
        <v>-279.196833391981</v>
      </c>
      <c r="L17" s="4" t="n">
        <f aca="false">-L6*Assumptions!L46/100</f>
        <v>-293.15667506158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17.9406</v>
      </c>
      <c r="D18" s="4" t="n">
        <f aca="false">(D6-C6)*Assumptions!$B$51/100</f>
        <v>-52.207146</v>
      </c>
      <c r="E18" s="4" t="n">
        <f aca="false">(E6-D6)*Assumptions!$B$51/100</f>
        <v>-82.1972509799999</v>
      </c>
      <c r="F18" s="4" t="n">
        <f aca="false">(F6-E6)*Assumptions!$B$51/100</f>
        <v>-92.8828936073999</v>
      </c>
      <c r="G18" s="4" t="n">
        <f aca="false">(G6-F6)*Assumptions!$B$51/100</f>
        <v>-96.884002870488</v>
      </c>
      <c r="H18" s="4" t="n">
        <f aca="false">(H6-G6)*Assumptions!$B$51/100</f>
        <v>-99.4675762803678</v>
      </c>
      <c r="I18" s="4" t="n">
        <f aca="false">(I6-H6)*Assumptions!$B$51/100</f>
        <v>-90.334644276443</v>
      </c>
      <c r="J18" s="4" t="n">
        <f aca="false">(J6-I6)*Assumptions!$B$51/100</f>
        <v>-76.5837039810289</v>
      </c>
      <c r="K18" s="4" t="n">
        <f aca="false">(K6-J6)*Assumptions!$B$51/100</f>
        <v>-70.2381970797436</v>
      </c>
      <c r="L18" s="4" t="n">
        <f aca="false">(L6-K6)*Assumptions!$B$51/100</f>
        <v>-62.0437407537736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148.458465</v>
      </c>
      <c r="D19" s="0" t="n">
        <f aca="false">D15+D16+D17+D18</f>
        <v>259.9843360875</v>
      </c>
      <c r="E19" s="0" t="n">
        <f aca="false">E15+E16+E17+E18</f>
        <v>414.940574958684</v>
      </c>
      <c r="F19" s="0" t="n">
        <f aca="false">F15+F16+F17+F18</f>
        <v>568.027479307446</v>
      </c>
      <c r="G19" s="0" t="n">
        <f aca="false">G15+G16+G17+G18</f>
        <v>748.409545373946</v>
      </c>
      <c r="H19" s="0" t="n">
        <f aca="false">H15+H16+H17+H18</f>
        <v>900.63730768683</v>
      </c>
      <c r="I19" s="0" t="n">
        <f aca="false">I15+I16+I17+I18</f>
        <v>1040.64255558625</v>
      </c>
      <c r="J19" s="0" t="n">
        <f aca="false">J15+J16+J17+J18</f>
        <v>1178.63140966489</v>
      </c>
      <c r="K19" s="0" t="n">
        <f aca="false">K15+K16+K17+K18</f>
        <v>1284.17666357513</v>
      </c>
      <c r="L19" s="0" t="n">
        <f aca="false">L15+L16+L17+L18</f>
        <v>1360.09186293385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133.746364864865</v>
      </c>
      <c r="D21" s="0" t="n">
        <f aca="false">D19*D20</f>
        <v>211.009119460677</v>
      </c>
      <c r="E21" s="0" t="n">
        <f aca="false">E19*E20</f>
        <v>303.400972161851</v>
      </c>
      <c r="F21" s="0" t="n">
        <f aca="false">F19*F20</f>
        <v>374.177294785323</v>
      </c>
      <c r="G21" s="0" t="n">
        <f aca="false">G19*G20</f>
        <v>444.14463863387</v>
      </c>
      <c r="H21" s="0" t="n">
        <f aca="false">H19*H20</f>
        <v>481.517483194445</v>
      </c>
      <c r="I21" s="0" t="n">
        <f aca="false">I19*I20</f>
        <v>501.234239629018</v>
      </c>
      <c r="J21" s="0" t="n">
        <f aca="false">J19*J20</f>
        <v>511.439398022683</v>
      </c>
      <c r="K21" s="0" t="n">
        <f aca="false">K19*K20</f>
        <v>502.016468696252</v>
      </c>
      <c r="L21" s="0" t="n">
        <f aca="false">L19*L20</f>
        <v>479.003243832751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3941.68922328173</v>
      </c>
    </row>
    <row r="31" customFormat="false" ht="15" hidden="false" customHeight="false" outlineLevel="0" collapsed="false">
      <c r="A31" s="0" t="s">
        <v>131</v>
      </c>
      <c r="B31" s="0" t="n">
        <f aca="false">L19</f>
        <v>1360.09186293385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18769.2677084871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24481.6535328092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18769.2677084871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6610.24476489196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10551.9339881737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12037.3339881737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25.6167992938363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1.11709085073028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2929.33534981266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2849.56837024059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37.9149557527707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12240.8267664046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16.3303654657059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7.14837375895661</v>
      </c>
      <c r="C4" s="0" t="n">
        <f aca="false">B4/Assumptions!$B$2-1</f>
        <v>-0.409225309177139</v>
      </c>
      <c r="D4" s="4" t="n">
        <f aca="false">Assumptions!$B$24</f>
        <v>0.3</v>
      </c>
      <c r="E4" s="4" t="n">
        <f aca="false">DCF_Bear!$B$43</f>
        <v>15.2413857071888</v>
      </c>
      <c r="F4" s="4" t="n">
        <f aca="false">DCF_Bear!$B$47</f>
        <v>5.71259966747235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14.3250419809059</v>
      </c>
      <c r="C5" s="0" t="n">
        <f aca="false">B5/Assumptions!$B$2-1</f>
        <v>0.183887767017013</v>
      </c>
      <c r="D5" s="4" t="n">
        <f aca="false">Assumptions!$B$38</f>
        <v>0.5</v>
      </c>
      <c r="E5" s="4" t="n">
        <f aca="false">DCF_Base!$B$43</f>
        <v>24.6182426013602</v>
      </c>
      <c r="F5" s="4" t="n">
        <f aca="false">DCF_Base!$B$47</f>
        <v>10.0245013852641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25.6167992938363</v>
      </c>
      <c r="C6" s="0" t="n">
        <f aca="false">B6/Assumptions!$B$2-1</f>
        <v>1.11709085073028</v>
      </c>
      <c r="D6" s="4" t="n">
        <f aca="false">Assumptions!$B$52</f>
        <v>0.2</v>
      </c>
      <c r="E6" s="4" t="n">
        <f aca="false">DCF_Bull!$B$43</f>
        <v>37.9149557527707</v>
      </c>
      <c r="F6" s="4" t="n">
        <f aca="false">DCF_Bull!$B$47</f>
        <v>16.3303654657059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14.4303929769072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24.4645281633909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0.161491996831721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-23.2246519864143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9.99210368601495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17.4233161642849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16.1992501780606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14.3250419809059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12.8776176545975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10.0245013852641</v>
      </c>
      <c r="C19" s="3" t="n">
        <v>15</v>
      </c>
    </row>
    <row r="21" customFormat="false" ht="15" hidden="false" customHeight="false" outlineLevel="0" collapsed="false">
      <c r="A21" s="2" t="s">
        <v>167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17.1678848767747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17.4233161642849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17.4233161642849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17.4233161642849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17.4233161642849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15.1307030934602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15.6293583996071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16.1992501780606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16.3546752085479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16.3546752085479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13.5589576992935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13.919467949464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14.3250419809059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14.7846925498733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15.310007485836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12.3122757942435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12.5800693070428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12.8776176545975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13.2101716900999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13.5842949800401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11.3013813614386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11.5047096878107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11.7283708468201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11.9755752857251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12.2502468845085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2026-10-02T09:54:45Z</dcterms:created>
  <dc:creator>openpyxl</dc:creator>
  <dc:description/>
  <dc:language>en-NZ</dc:language>
  <cp:lastModifiedBy/>
  <dcterms:modified xsi:type="dcterms:W3CDTF">2026-10-02T09:54:45Z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