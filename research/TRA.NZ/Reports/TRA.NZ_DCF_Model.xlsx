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TRA.NZ Turners Automotive Group - distributable-earnings (FCFE) DCF</t>
        </is>
      </c>
      <c r="B1" t="inlineStr"/>
    </row>
    <row r="2">
      <c r="A2" s="1" t="inlineStr">
        <is>
          <t>Version</t>
        </is>
      </c>
      <c r="B2" t="inlineStr">
        <is>
          <t>v1 2026-09-13. Fresh build; supersedes nothing (first TRA.NZ valuation).</t>
        </is>
      </c>
    </row>
    <row r="3">
      <c r="A3" s="1" t="inlineStr">
        <is>
          <t>Built by</t>
        </is>
      </c>
      <c r="B3" t="inlineStr">
        <is>
          <t>dcf-analyst agent (Claude Fable 5.1) on 2026-09-13 at the orchestrator's request.</t>
        </is>
      </c>
    </row>
    <row r="4">
      <c r="A4" s="1" t="inlineStr">
        <is>
          <t>Price</t>
        </is>
      </c>
      <c r="B4" t="inlineStr">
        <is>
          <t>NZ$7.50 NZX regular close Fri 11-Sep-2026 (Yahoo regularMarketTime 2026-09-11T04:59:51Z). Goes stale daily.</t>
        </is>
      </c>
    </row>
    <row r="5">
      <c r="A5" s="1" t="inlineStr">
        <is>
          <t>Balance sheet</t>
        </is>
      </c>
      <c r="B5" t="inlineStr">
        <is>
          <t>31-Mar-2026 FY2026 annual report (authorised 25-Jun-2026): borrowings 586.322, cash 20.243, lease liabilities 20.065, equity 317.866, finance receivables 566.023.</t>
        </is>
      </c>
    </row>
    <row r="6">
      <c r="A6" s="1" t="inlineStr">
        <is>
          <t>Share count</t>
        </is>
      </c>
      <c r="B6" t="inlineStr">
        <is>
          <t>91,025,265 shares on issue 31-Mar-2026 (note 10.1); option dilution 36k shares immaterial. Held flat. July-2026 DRP issuance (~0.5-0.9m) not yet in a filing.</t>
        </is>
      </c>
    </row>
    <row r="7">
      <c r="A7" s="1" t="inlineStr">
        <is>
          <t>Guidance</t>
        </is>
      </c>
      <c r="B7" t="inlineStr">
        <is>
          <t>FY28 NPBT target NZ$65m expected in FY27; FY31 NPBT NZ$100m (March-2026 investor day). FY26 normalised NPBT 63.224 (ex 7.474 EC Credit goodwill write-down).</t>
        </is>
      </c>
    </row>
    <row r="8">
      <c r="A8" s="1" t="inlineStr">
        <is>
          <t>Model choice</t>
        </is>
      </c>
      <c r="B8" t="inlineStr">
        <is>
          <t>Post-interest earnings at 11% NZD cost of equity, net debt = 0 (borrowings fund the loan book/property and all interest is inside the flows). Reason: retailer + NZ$566m finance book + insurer share one syndicated facility; an EV/WACC DCF or a debt split by segment cannot be done without inventing an allocation.</t>
        </is>
      </c>
    </row>
    <row r="9">
      <c r="A9" s="1" t="inlineStr">
        <is>
          <t>Margin driver</t>
        </is>
      </c>
      <c r="B9" t="inlineStr">
        <is>
          <t>Row 7 'adj margin' = (NPBT + D&amp;A + SBC)/revenue - post-interest, pre-D&amp;A EARNINGS margin, not EBITDA. FY26 normalised 16.70%.</t>
        </is>
      </c>
    </row>
    <row r="10">
      <c r="A10" s="1" t="inlineStr">
        <is>
          <t>Leases</t>
        </is>
      </c>
      <c r="B10" t="inlineStr">
        <is>
          <t>Treatment B: lease principal (1.543% of revenue) charged in row 11; lease interest already inside NPBT; ROU depreciation inside D&amp;A; lease liabilities excluded from any bridge.</t>
        </is>
      </c>
    </row>
    <row r="11">
      <c r="A11" s="1" t="inlineStr">
        <is>
          <t>Capital retention</t>
        </is>
      </c>
      <c r="B11" t="inlineStr">
        <is>
          <t>Row 20 'WC' uses a NEGATIVE capture rate: equity retained to fund finance-receivables growth, scaled to the change in revenue (base -15%, bull -12%, bear -20%).</t>
        </is>
      </c>
    </row>
    <row r="12">
      <c r="A12" s="1" t="inlineStr">
        <is>
          <t>Capex</t>
        </is>
      </c>
      <c r="B12" t="inlineStr">
        <is>
          <t>Row 18 per-year driver: Auto Retail branch/property programme 7.5% of revenue tapering to 3.0% (maintenance) by FY36. Largest single lever (~NZ$0.65/share if held at 4.5%).</t>
        </is>
      </c>
    </row>
    <row r="13">
      <c r="A13" s="1" t="inlineStr">
        <is>
          <t>Terminal value</t>
        </is>
      </c>
      <c r="B13" t="inlineStr">
        <is>
          <t>MAX(0, MIN(Gordon, 15 x FCF_10)); 15x rather than 20x because used-car and consumer-credit cycles are in the flows. Gordon binds at 11%.</t>
        </is>
      </c>
    </row>
    <row r="14">
      <c r="A14" s="1" t="inlineStr">
        <is>
          <t>Scenario drivers</t>
        </is>
      </c>
      <c r="B14" t="inlineStr">
        <is>
          <t>Judgment of the dcf-analyst agent, set 2026-09-13 from the FY2026 annual report and H1 FY26 presentation; no Analysis.json existed at build time. Weights 20/50/30.</t>
        </is>
      </c>
    </row>
    <row r="15">
      <c r="A15" s="1" t="inlineStr">
        <is>
          <t>Refresh after next print</t>
        </is>
      </c>
      <c r="B15" t="inlineStr">
        <is>
          <t>H1 FY27 (Nov-2026): loan book, arrears, NIM, Auto Retail margin, capex run-rate, share count post-DRP, FY27 NPBT guidance; then re-judge year-1 growth and margin only.</t>
        </is>
      </c>
    </row>
    <row r="16">
      <c r="A16" s="1" t="inlineStr">
        <is>
          <t>Colour legend</t>
        </is>
      </c>
      <c r="B16" t="inlineStr">
        <is>
          <t>Blue = hardcoded input; yellow fill = key driver row; black = formula; green = cross-sheet link.</t>
        </is>
      </c>
    </row>
    <row r="17">
      <c r="A17" s="1" t="inlineStr">
        <is>
          <t>Warning</t>
        </is>
      </c>
      <c r="B17" t="inlineStr">
        <is>
          <t>All figures go stale. The workbook and TRA.NZ_DCF.json were verified to agree at build time; the workbook is authoritative once drivers are edited.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9" max="9"/>
  </cols>
  <sheetData>
    <row r="1">
      <c r="A1" s="1" t="inlineStr">
        <is>
          <t>Metric (NZ$m)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FY2026</t>
        </is>
      </c>
      <c r="I1" s="1" t="inlineStr">
        <is>
          <t>Source</t>
        </is>
      </c>
    </row>
    <row r="2">
      <c r="A2" t="inlineStr">
        <is>
          <t>Revenue</t>
        </is>
      </c>
      <c r="B2" s="2" t="n">
        <v>332.174</v>
      </c>
      <c r="C2" s="2" t="n">
        <v>296.512</v>
      </c>
      <c r="D2" s="2" t="n">
        <v>342.029</v>
      </c>
      <c r="E2" s="2" t="n">
        <v>389.027</v>
      </c>
      <c r="F2" s="2" t="n">
        <v>416.145</v>
      </c>
      <c r="G2" s="2" t="n">
        <v>412.904</v>
      </c>
      <c r="H2" s="2" t="n">
        <v>450.171</v>
      </c>
      <c r="I2" t="inlineStr">
        <is>
          <t>core_metrics / annual reports</t>
        </is>
      </c>
    </row>
    <row r="3">
      <c r="A3" t="inlineStr">
        <is>
          <t>Profit before tax (reported)</t>
        </is>
      </c>
      <c r="B3" s="2" t="n">
        <v>29.065</v>
      </c>
      <c r="C3" s="2" t="n">
        <v>37.375</v>
      </c>
      <c r="D3" s="2" t="n">
        <v>43.12</v>
      </c>
      <c r="E3" s="2" t="n">
        <v>45.545</v>
      </c>
      <c r="F3" s="2" t="n">
        <v>49.139</v>
      </c>
      <c r="G3" s="2" t="n">
        <v>54.274</v>
      </c>
      <c r="H3" s="2" t="n">
        <v>55.75</v>
      </c>
      <c r="I3" t="inlineStr">
        <is>
          <t>kpis ProfitBeforeTax</t>
        </is>
      </c>
    </row>
    <row r="4">
      <c r="A4" t="inlineStr">
        <is>
          <t>Profit before tax (normalised)</t>
        </is>
      </c>
      <c r="B4" s="2" t="n">
        <v>29.065</v>
      </c>
      <c r="C4" s="2" t="n">
        <v>37.375</v>
      </c>
      <c r="D4" s="2" t="n">
        <v>43.12</v>
      </c>
      <c r="E4" s="2" t="n">
        <v>45.545</v>
      </c>
      <c r="F4" s="2" t="n">
        <v>49.139</v>
      </c>
      <c r="G4" s="2" t="n">
        <v>54.274</v>
      </c>
      <c r="H4" s="2" t="n">
        <v>63.224</v>
      </c>
      <c r="I4" t="inlineStr">
        <is>
          <t>FY26 ex EC Credit goodwill write-down 7.474</t>
        </is>
      </c>
    </row>
    <row r="5">
      <c r="A5" t="inlineStr">
        <is>
          <t>Net profit (reported)</t>
        </is>
      </c>
      <c r="B5" s="2" t="n">
        <v>20.953</v>
      </c>
      <c r="C5" s="2" t="n">
        <v>26.864</v>
      </c>
      <c r="D5" s="2" t="n">
        <v>31.281</v>
      </c>
      <c r="E5" s="2" t="n">
        <v>32.566</v>
      </c>
      <c r="F5" s="2" t="n">
        <v>32.966</v>
      </c>
      <c r="G5" s="2" t="n">
        <v>38.587</v>
      </c>
      <c r="H5" s="2" t="n">
        <v>38.172</v>
      </c>
      <c r="I5" t="inlineStr">
        <is>
          <t>core_metrics</t>
        </is>
      </c>
    </row>
    <row r="6">
      <c r="A6" t="inlineStr">
        <is>
          <t>Net profit (normalised)</t>
        </is>
      </c>
      <c r="B6" s="2" t="n">
        <v>20.953</v>
      </c>
      <c r="C6" s="2" t="n">
        <v>26.864</v>
      </c>
      <c r="D6" s="2" t="n">
        <v>31.281</v>
      </c>
      <c r="E6" s="2" t="n">
        <v>32.566</v>
      </c>
      <c r="F6" s="2" t="n">
        <v>32.966</v>
      </c>
      <c r="G6" s="2" t="n">
        <v>38.587</v>
      </c>
      <c r="H6" s="2" t="n">
        <v>45.6</v>
      </c>
      <c r="I6" t="inlineStr">
        <is>
          <t>FY26 AR p.10</t>
        </is>
      </c>
    </row>
    <row r="7">
      <c r="A7" t="inlineStr">
        <is>
          <t>Depreciation &amp; amortisation</t>
        </is>
      </c>
      <c r="B7" s="2" t="n">
        <v>11.919</v>
      </c>
      <c r="C7" s="2" t="n">
        <v>11.418</v>
      </c>
      <c r="D7" s="2" t="n">
        <v>10.702</v>
      </c>
      <c r="E7" s="2" t="n">
        <v>11.478</v>
      </c>
      <c r="F7" s="2" t="n">
        <v>11.968</v>
      </c>
      <c r="G7" s="2" t="n">
        <v>11.651</v>
      </c>
      <c r="H7" s="2" t="n">
        <v>11.097</v>
      </c>
      <c r="I7" t="inlineStr">
        <is>
          <t>kpis Depreciation</t>
        </is>
      </c>
    </row>
    <row r="8">
      <c r="A8" t="inlineStr">
        <is>
          <t>Capex (PP&amp;E + intangibles)</t>
        </is>
      </c>
      <c r="B8" s="2" t="n">
        <v>19.245</v>
      </c>
      <c r="C8" s="2" t="n">
        <v>8.641</v>
      </c>
      <c r="D8" s="2" t="n">
        <v>16.121</v>
      </c>
      <c r="E8" s="2" t="n">
        <v>44.177</v>
      </c>
      <c r="F8" s="2" t="n">
        <v>18.641</v>
      </c>
      <c r="G8" s="2" t="n">
        <v>32.136</v>
      </c>
      <c r="H8" s="2" t="n">
        <v>41.7</v>
      </c>
      <c r="I8" t="inlineStr">
        <is>
          <t>cash flow statements</t>
        </is>
      </c>
    </row>
    <row r="9">
      <c r="A9" t="inlineStr">
        <is>
          <t>Lease principal paid</t>
        </is>
      </c>
      <c r="B9" s="2" t="n">
        <v>6.998</v>
      </c>
      <c r="C9" s="2" t="n">
        <v>6.346</v>
      </c>
      <c r="D9" s="2" t="n">
        <v>5.563</v>
      </c>
      <c r="E9" s="2" t="n">
        <v>7.501</v>
      </c>
      <c r="F9" s="2" t="n">
        <v>6.303</v>
      </c>
      <c r="G9" s="2" t="n">
        <v>6.676</v>
      </c>
      <c r="H9" s="2" t="n">
        <v>6.944</v>
      </c>
      <c r="I9" t="inlineStr">
        <is>
          <t>cash flow statements</t>
        </is>
      </c>
    </row>
    <row r="10">
      <c r="A10" t="inlineStr">
        <is>
          <t>Stock-based comp</t>
        </is>
      </c>
      <c r="G10" s="2" t="n">
        <v>0.993</v>
      </c>
      <c r="H10" s="2" t="n">
        <v>0.862</v>
      </c>
      <c r="I10" t="inlineStr">
        <is>
          <t>kpis StockBasedComp</t>
        </is>
      </c>
    </row>
    <row r="11">
      <c r="A11" t="inlineStr">
        <is>
          <t>Interest expense</t>
        </is>
      </c>
      <c r="B11" s="2" t="n">
        <v>14.853</v>
      </c>
      <c r="D11" s="2" t="n">
        <v>10.932</v>
      </c>
      <c r="E11" s="2" t="n">
        <v>19.933</v>
      </c>
      <c r="F11" s="2" t="n">
        <v>27.842</v>
      </c>
      <c r="G11" s="2" t="n">
        <v>27.451</v>
      </c>
      <c r="H11" s="2" t="n">
        <v>28.067</v>
      </c>
      <c r="I11" t="inlineStr">
        <is>
          <t>kpis InterestExpense</t>
        </is>
      </c>
    </row>
    <row r="12">
      <c r="A12" t="inlineStr">
        <is>
          <t>Cash taxes paid</t>
        </is>
      </c>
      <c r="B12" s="2" t="n">
        <v>11.46</v>
      </c>
      <c r="C12" s="2" t="n">
        <v>8.166</v>
      </c>
      <c r="D12" s="2" t="n">
        <v>9.326000000000001</v>
      </c>
      <c r="E12" s="2" t="n">
        <v>10.394</v>
      </c>
      <c r="F12" s="2" t="n">
        <v>15.259</v>
      </c>
      <c r="G12" s="2" t="n">
        <v>14.451</v>
      </c>
      <c r="H12" s="2" t="n">
        <v>17.512</v>
      </c>
      <c r="I12" t="inlineStr">
        <is>
          <t>kpis CashTaxesPaid</t>
        </is>
      </c>
    </row>
    <row r="13">
      <c r="A13" t="inlineStr">
        <is>
          <t>Finance receivables</t>
        </is>
      </c>
      <c r="C13" s="2" t="n">
        <v>377</v>
      </c>
      <c r="D13" s="2" t="n">
        <v>422.87</v>
      </c>
      <c r="E13" s="2" t="n">
        <v>424.621</v>
      </c>
      <c r="F13" s="2" t="n">
        <v>430.299</v>
      </c>
      <c r="G13" s="2" t="n">
        <v>447.218</v>
      </c>
      <c r="H13" s="2" t="n">
        <v>566.023</v>
      </c>
      <c r="I13" t="inlineStr">
        <is>
          <t>kpis FinanceReceivables</t>
        </is>
      </c>
    </row>
    <row r="14">
      <c r="A14" t="inlineStr">
        <is>
          <t>Shareholders' equity</t>
        </is>
      </c>
      <c r="B14" s="2" t="n">
        <v>223.055</v>
      </c>
      <c r="C14" s="2" t="n">
        <v>233.57</v>
      </c>
      <c r="D14" s="2" t="n">
        <v>252.397</v>
      </c>
      <c r="E14" s="2" t="n">
        <v>270.413</v>
      </c>
      <c r="F14" s="2" t="n">
        <v>278.224</v>
      </c>
      <c r="G14" s="2" t="n">
        <v>298.493</v>
      </c>
      <c r="H14" s="2" t="n">
        <v>317.866</v>
      </c>
      <c r="I14" t="inlineStr">
        <is>
          <t>core_metrics</t>
        </is>
      </c>
    </row>
    <row r="15">
      <c r="A15" t="inlineStr">
        <is>
          <t>Total borrowings</t>
        </is>
      </c>
      <c r="B15" s="2" t="n">
        <v>350.364</v>
      </c>
      <c r="C15" s="2" t="n">
        <v>339.611</v>
      </c>
      <c r="D15" s="2" t="n">
        <v>412.761</v>
      </c>
      <c r="E15" s="2" t="n">
        <v>412.035</v>
      </c>
      <c r="F15" s="2" t="n">
        <v>425.318</v>
      </c>
      <c r="G15" s="2" t="n">
        <v>446.059</v>
      </c>
      <c r="H15" s="2" t="n">
        <v>586.322</v>
      </c>
      <c r="I15" t="inlineStr">
        <is>
          <t>core_metrics</t>
        </is>
      </c>
    </row>
    <row r="16">
      <c r="A16" t="inlineStr">
        <is>
          <t>Shares outstanding (m, period end)</t>
        </is>
      </c>
      <c r="B16" s="2" t="n">
        <v>86.05549999999999</v>
      </c>
      <c r="C16" s="2" t="n">
        <v>85.5514</v>
      </c>
      <c r="D16" s="2" t="n">
        <v>85.9686</v>
      </c>
      <c r="E16" s="2" t="n">
        <v>86.5183</v>
      </c>
      <c r="F16" s="2" t="n">
        <v>87.4233</v>
      </c>
      <c r="G16" s="2" t="n">
        <v>89.8938</v>
      </c>
      <c r="H16" s="2" t="n">
        <v>91.0253</v>
      </c>
      <c r="I16" t="inlineStr">
        <is>
          <t>FY26 note 10.1 for FY25/26</t>
        </is>
      </c>
    </row>
    <row r="17">
      <c r="A17" t="inlineStr">
        <is>
          <t>EPS reported (cents)</t>
        </is>
      </c>
      <c r="B17" s="2" t="n">
        <v>24.35</v>
      </c>
      <c r="C17" s="2" t="n">
        <v>31.4</v>
      </c>
      <c r="D17" s="2" t="n">
        <v>36.39</v>
      </c>
      <c r="E17" s="2" t="n">
        <v>37.64</v>
      </c>
      <c r="F17" s="2" t="n">
        <v>37.71</v>
      </c>
      <c r="G17" s="2" t="n">
        <v>43.37</v>
      </c>
      <c r="H17" s="2" t="n">
        <v>42.17</v>
      </c>
      <c r="I17" t="inlineStr">
        <is>
          <t>core_metrics</t>
        </is>
      </c>
    </row>
    <row r="18">
      <c r="A18" t="inlineStr">
        <is>
          <t>DPS (cents)</t>
        </is>
      </c>
      <c r="B18" s="2" t="n">
        <v>14</v>
      </c>
      <c r="C18" s="2" t="n">
        <v>20</v>
      </c>
      <c r="D18" s="2" t="n">
        <v>23</v>
      </c>
      <c r="E18" s="2" t="n">
        <v>23</v>
      </c>
      <c r="F18" s="2" t="n">
        <v>25.5</v>
      </c>
      <c r="G18" s="2" t="n">
        <v>29</v>
      </c>
      <c r="H18" s="2" t="n">
        <v>33</v>
      </c>
      <c r="I18" t="inlineStr">
        <is>
          <t>H1 FY26 presentation p.14 / FY26 AR</t>
        </is>
      </c>
    </row>
    <row r="19">
      <c r="A19" t="inlineStr">
        <is>
          <t>Segment NPBT FY26: Auto Retail 32.567 / Finance 19.245 / Insurance 17.290 / Credit Mgmt 1.840 norm (-5.634 rep) / Corporate -7.498 / JV -0.220</t>
        </is>
      </c>
      <c r="I19" t="inlineStr">
        <is>
          <t>FY26 AR note 2</t>
        </is>
      </c>
    </row>
    <row r="20">
      <c r="A20" t="inlineStr">
        <is>
          <t>Guidance: FY27 NPBT target NZ$65m (was FY28); FY31 NPBT NZ$100m</t>
        </is>
      </c>
      <c r="I20" t="inlineStr">
        <is>
          <t>FY26 AR p.12, p.20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3" max="3"/>
    <col width="20" customWidth="1" min="4" max="4"/>
  </cols>
  <sheetData>
    <row r="1">
      <c r="A1" s="1" t="inlineStr">
        <is>
          <t>Global inputs</t>
        </is>
      </c>
    </row>
    <row r="3">
      <c r="A3" t="inlineStr">
        <is>
          <t>Current price (NZ$)</t>
        </is>
      </c>
      <c r="B3" s="2" t="n">
        <v>7.5</v>
      </c>
      <c r="C3" t="inlineStr">
        <is>
          <t>NZX close 11-Sep-2026</t>
        </is>
      </c>
    </row>
    <row r="4">
      <c r="A4" t="inlineStr">
        <is>
          <t>Diluted shares (m)</t>
        </is>
      </c>
      <c r="B4" s="2" t="n">
        <v>91.025265</v>
      </c>
      <c r="C4" t="inlineStr">
        <is>
          <t>31-Mar-2026 shares on issue; flat</t>
        </is>
      </c>
    </row>
    <row r="5">
      <c r="A5" t="inlineStr">
        <is>
          <t>Net debt (NZ$m)</t>
        </is>
      </c>
      <c r="B5" s="2" t="n">
        <v>0</v>
      </c>
      <c r="C5" t="inlineStr">
        <is>
          <t>Zero by construction: post-interest flows at cost of equity</t>
        </is>
      </c>
    </row>
    <row r="6">
      <c r="A6" t="inlineStr">
        <is>
          <t>Cost of equity</t>
        </is>
      </c>
      <c r="B6" s="2" t="n">
        <v>0.11</v>
      </c>
      <c r="C6" t="inlineStr">
        <is>
          <t>NZ 10yr ~4.5% + 1.1 x 5.5% ERP + 0.4% size; same in all scenarios</t>
        </is>
      </c>
    </row>
    <row r="7">
      <c r="A7" t="inlineStr">
        <is>
          <t>D&amp;A % revenue</t>
        </is>
      </c>
      <c r="B7" s="2" t="n">
        <v>0.02465063275955137</v>
      </c>
      <c r="C7" t="inlineStr">
        <is>
          <t>FY26 11.097 / 450.171, incl. ROU depreciation</t>
        </is>
      </c>
    </row>
    <row r="8">
      <c r="A8" t="inlineStr">
        <is>
          <t>Lease principal % revenue</t>
        </is>
      </c>
      <c r="B8" s="2" t="n">
        <v>0.01542524951629492</v>
      </c>
      <c r="C8" t="inlineStr">
        <is>
          <t>FY26 6.944 / 450.171 (treatment B)</t>
        </is>
      </c>
    </row>
    <row r="9">
      <c r="A9" t="inlineStr">
        <is>
          <t>Cash tax rate</t>
        </is>
      </c>
      <c r="B9" s="2" t="n">
        <v>0.28</v>
      </c>
      <c r="C9" t="inlineStr">
        <is>
          <t>NZ statutory; FY26 normalised effective 27.8%</t>
        </is>
      </c>
    </row>
    <row r="10">
      <c r="A10" t="inlineStr">
        <is>
          <t>Terminal cap multiple (x FCF_10)</t>
        </is>
      </c>
      <c r="B10" s="2" t="n">
        <v>15</v>
      </c>
      <c r="C10" t="inlineStr">
        <is>
          <t>Cyclical: 15x not 20x</t>
        </is>
      </c>
    </row>
    <row r="11">
      <c r="A11" t="inlineStr">
        <is>
          <t>Hurdle rate</t>
        </is>
      </c>
      <c r="B11" s="2" t="n">
        <v>0.15</v>
      </c>
      <c r="C11" t="inlineStr">
        <is>
          <t>Entry price IRR</t>
        </is>
      </c>
    </row>
    <row r="12">
      <c r="A12" t="inlineStr">
        <is>
          <t>SBC % revenue</t>
        </is>
      </c>
      <c r="B12" s="2" t="n">
        <v>0.001914827920945596</v>
      </c>
      <c r="C12" t="inlineStr">
        <is>
          <t>FY26 0.862 / 450.171; flat</t>
        </is>
      </c>
    </row>
    <row r="14">
      <c r="A14" s="1" t="inlineStr">
        <is>
          <t>Scenario</t>
        </is>
      </c>
      <c r="B14" s="1" t="inlineStr">
        <is>
          <t>Terminal growth</t>
        </is>
      </c>
      <c r="C14" s="1" t="inlineStr">
        <is>
          <t>Probability</t>
        </is>
      </c>
      <c r="D14" s="1" t="inlineStr">
        <is>
          <t>Capital retention (% of revenue change, negative)</t>
        </is>
      </c>
    </row>
    <row r="15">
      <c r="A15" t="inlineStr">
        <is>
          <t>Bear</t>
        </is>
      </c>
      <c r="B15" s="2" t="n">
        <v>0.02</v>
      </c>
      <c r="C15" s="2" t="n">
        <v>0.2</v>
      </c>
      <c r="D15" s="2" t="n">
        <v>-0.2</v>
      </c>
    </row>
    <row r="16">
      <c r="A16" t="inlineStr">
        <is>
          <t>Base</t>
        </is>
      </c>
      <c r="B16" s="2" t="n">
        <v>0.03</v>
      </c>
      <c r="C16" s="2" t="n">
        <v>0.5</v>
      </c>
      <c r="D16" s="2" t="n">
        <v>-0.15</v>
      </c>
    </row>
    <row r="17">
      <c r="A17" t="inlineStr">
        <is>
          <t>Bull</t>
        </is>
      </c>
      <c r="B17" s="2" t="n">
        <v>0.035</v>
      </c>
      <c r="C17" s="2" t="n">
        <v>0.3</v>
      </c>
      <c r="D17" s="2" t="n">
        <v>-0.12</v>
      </c>
    </row>
    <row r="18">
      <c r="A18" t="inlineStr">
        <is>
          <t>Weights sum</t>
        </is>
      </c>
      <c r="C18">
        <f>SUM(C15:C17)</f>
        <v/>
      </c>
    </row>
    <row r="20">
      <c r="A20" s="1" t="inlineStr">
        <is>
          <t>Scenario narratives</t>
        </is>
      </c>
    </row>
    <row r="21">
      <c r="A21" t="inlineStr">
        <is>
          <t>Bear</t>
        </is>
      </c>
      <c r="B21" t="inlineStr">
        <is>
          <t>Narrative: The late-March 2026 demand shock persists into a NZ recession: used-car margins compress, a NZ$566m book grown 27% in one year seasons badly (impairments double), NIM is squeezed as hedges roll, and the branch programme is slowed. NPBT troughs at ~NZ$53m in FY28 and only regains FY26's normalised level by FY31; mature margin 15.5%, retention 20% of revenue growth, terminal growth 2%. Note the bear case distributes MORE cash in years 1-2 than base because growth capex and loan-book retention stop: the loss is in the terminal, not the interim flows.</t>
        </is>
      </c>
    </row>
    <row r="22">
      <c r="A22" t="inlineStr">
        <is>
          <t>Base</t>
        </is>
      </c>
      <c r="B22" t="inlineStr">
        <is>
          <t>Narrative: Auto Retail keeps its wholesale-to-retail and lower-price-point mix, opens the FY28 branch cohort and grows mid-single digits with owned-stock margins holding; Oxford Finance grows the book low-double digits on stable 5.7% NIM with arrears at 2.5-3%; Autosure compounds premium mid-single digits with MBI loss ratios near 58%; corporate interest keeps falling after the securitisation term-out. NPBT reaches ~NZ$97m by FY31 (target NZ$100m), then growth fades to 3%. Property capex tapers from 7.5% to 3.0% of revenue by FY36; 15% of each revenue dollar added is retained as loan-book equity.</t>
        </is>
      </c>
    </row>
    <row r="23">
      <c r="A23" t="inlineStr">
        <is>
          <t>Bull</t>
        </is>
      </c>
      <c r="B23" t="inlineStr">
        <is>
          <t>Narrative: The NZ consumer recovery arrives: used-car prices lift, lease-unit and import volumes recover, the 15-branch programme delivers Christchurch-style +22% local sourcing gains, Oxford Finance keeps taking share with the term-out structure requiring only 1.4% capital, and direct-to-consumer insurance scales. NPBT NZ$114m by FY31 (target beaten a year early, as every prior target has been), mature post-interest margin 19.5%, retention 12% of revenue growth, terminal growth 3.5%.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Bear case - distributable earnings (NZ$m)</t>
        </is>
      </c>
    </row>
    <row r="3">
      <c r="A3" t="inlineStr">
        <is>
          <t>Year</t>
        </is>
      </c>
      <c r="B3" t="inlineStr">
        <is>
          <t>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3" t="inlineStr">
        <is>
          <t>Revenue growth</t>
        </is>
      </c>
      <c r="C5" s="4" t="n">
        <v>0.02</v>
      </c>
      <c r="D5" s="4" t="n">
        <v>0.01</v>
      </c>
      <c r="E5" s="4" t="n">
        <v>0.03</v>
      </c>
      <c r="F5" s="4" t="n">
        <v>0.03</v>
      </c>
      <c r="G5" s="4" t="n">
        <v>0.03</v>
      </c>
      <c r="H5" s="4" t="n">
        <v>0.03</v>
      </c>
      <c r="I5" s="4" t="n">
        <v>0.03</v>
      </c>
      <c r="J5" s="4" t="n">
        <v>0.03</v>
      </c>
      <c r="K5" s="4" t="n">
        <v>0.03</v>
      </c>
      <c r="L5" s="4" t="n">
        <v>0.03</v>
      </c>
    </row>
    <row r="6">
      <c r="A6" t="inlineStr">
        <is>
          <t>Revenue</t>
        </is>
      </c>
      <c r="B6" s="2" t="n">
        <v>450.171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3" t="inlineStr">
        <is>
          <t>Adj margin (NPBT+D&amp;A+SBC)/rev</t>
        </is>
      </c>
      <c r="C7" s="4" t="n">
        <v>0.15</v>
      </c>
      <c r="D7" s="4" t="n">
        <v>0.14</v>
      </c>
      <c r="E7" s="4" t="n">
        <v>0.143</v>
      </c>
      <c r="F7" s="4" t="n">
        <v>0.148</v>
      </c>
      <c r="G7" s="4" t="n">
        <v>0.152</v>
      </c>
      <c r="H7" s="4" t="n">
        <v>0.155</v>
      </c>
      <c r="I7" s="4" t="n">
        <v>0.155</v>
      </c>
      <c r="J7" s="4" t="n">
        <v>0.155</v>
      </c>
      <c r="K7" s="4" t="n">
        <v>0.155</v>
      </c>
      <c r="L7" s="4" t="n">
        <v>0.155</v>
      </c>
    </row>
    <row r="8">
      <c r="A8" t="inlineStr">
        <is>
          <t>Adj earnings pre-D&amp;A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3" t="inlineStr">
        <is>
          <t>SBC % revenue</t>
        </is>
      </c>
      <c r="C9" s="5">
        <f>Assumptions!$B$12</f>
        <v/>
      </c>
      <c r="D9" s="5">
        <f>Assumptions!$B$12</f>
        <v/>
      </c>
      <c r="E9" s="5">
        <f>Assumptions!$B$12</f>
        <v/>
      </c>
      <c r="F9" s="5">
        <f>Assumptions!$B$12</f>
        <v/>
      </c>
      <c r="G9" s="5">
        <f>Assumptions!$B$12</f>
        <v/>
      </c>
      <c r="H9" s="5">
        <f>Assumptions!$B$12</f>
        <v/>
      </c>
      <c r="I9" s="5">
        <f>Assumptions!$B$12</f>
        <v/>
      </c>
      <c r="J9" s="5">
        <f>Assumptions!$B$12</f>
        <v/>
      </c>
      <c r="K9" s="5">
        <f>Assumptions!$B$12</f>
        <v/>
      </c>
      <c r="L9" s="5">
        <f>Assumptions!$B$12</f>
        <v/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principal</t>
        </is>
      </c>
      <c r="C11" s="6">
        <f>-C6*Assumptions!$B$8</f>
        <v/>
      </c>
      <c r="D11" s="6">
        <f>-D6*Assumptions!$B$8</f>
        <v/>
      </c>
      <c r="E11" s="6">
        <f>-E6*Assumptions!$B$8</f>
        <v/>
      </c>
      <c r="F11" s="6">
        <f>-F6*Assumptions!$B$8</f>
        <v/>
      </c>
      <c r="G11" s="6">
        <f>-G6*Assumptions!$B$8</f>
        <v/>
      </c>
      <c r="H11" s="6">
        <f>-H6*Assumptions!$B$8</f>
        <v/>
      </c>
      <c r="I11" s="6">
        <f>-I6*Assumptions!$B$8</f>
        <v/>
      </c>
      <c r="J11" s="6">
        <f>-J6*Assumptions!$B$8</f>
        <v/>
      </c>
      <c r="K11" s="6">
        <f>-K6*Assumptions!$B$8</f>
        <v/>
      </c>
      <c r="L11" s="6">
        <f>-L6*Assumptions!$B$8</f>
        <v/>
      </c>
    </row>
    <row r="12">
      <c r="A12" t="inlineStr">
        <is>
          <t>Owner earnings pre-D&amp;A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</t>
        </is>
      </c>
      <c r="C13" s="6">
        <f>-C6*Assumptions!$B$7</f>
        <v/>
      </c>
      <c r="D13" s="6">
        <f>-D6*Assumptions!$B$7</f>
        <v/>
      </c>
      <c r="E13" s="6">
        <f>-E6*Assumptions!$B$7</f>
        <v/>
      </c>
      <c r="F13" s="6">
        <f>-F6*Assumptions!$B$7</f>
        <v/>
      </c>
      <c r="G13" s="6">
        <f>-G6*Assumptions!$B$7</f>
        <v/>
      </c>
      <c r="H13" s="6">
        <f>-H6*Assumptions!$B$7</f>
        <v/>
      </c>
      <c r="I13" s="6">
        <f>-I6*Assumptions!$B$7</f>
        <v/>
      </c>
      <c r="J13" s="6">
        <f>-J6*Assumptions!$B$7</f>
        <v/>
      </c>
      <c r="K13" s="6">
        <f>-K6*Assumptions!$B$7</f>
        <v/>
      </c>
      <c r="L13" s="6">
        <f>-L6*Assumptions!$B$7</f>
        <v/>
      </c>
    </row>
    <row r="14">
      <c r="A14" t="inlineStr">
        <is>
          <t>EBIT (pre-tax profit after lease principal)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s="3" t="inlineStr">
        <is>
          <t>Cash tax rate</t>
        </is>
      </c>
      <c r="C15" s="5">
        <f>Assumptions!$B$9</f>
        <v/>
      </c>
      <c r="D15" s="5">
        <f>Assumptions!$B$9</f>
        <v/>
      </c>
      <c r="E15" s="5">
        <f>Assumptions!$B$9</f>
        <v/>
      </c>
      <c r="F15" s="5">
        <f>Assumptions!$B$9</f>
        <v/>
      </c>
      <c r="G15" s="5">
        <f>Assumptions!$B$9</f>
        <v/>
      </c>
      <c r="H15" s="5">
        <f>Assumptions!$B$9</f>
        <v/>
      </c>
      <c r="I15" s="5">
        <f>Assumptions!$B$9</f>
        <v/>
      </c>
      <c r="J15" s="5">
        <f>Assumptions!$B$9</f>
        <v/>
      </c>
      <c r="K15" s="5">
        <f>Assumptions!$B$9</f>
        <v/>
      </c>
      <c r="L15" s="5">
        <f>Assumptions!$B$9</f>
        <v/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s="3" t="inlineStr">
        <is>
          <t>Capex % revenue</t>
        </is>
      </c>
      <c r="C18" s="4" t="n">
        <v>0.065</v>
      </c>
      <c r="D18" s="4" t="n">
        <v>0.055</v>
      </c>
      <c r="E18" s="4" t="n">
        <v>0.05</v>
      </c>
      <c r="F18" s="4" t="n">
        <v>0.045</v>
      </c>
      <c r="G18" s="4" t="n">
        <v>0.04</v>
      </c>
      <c r="H18" s="4" t="n">
        <v>0.035</v>
      </c>
      <c r="I18" s="4" t="n">
        <v>0.035</v>
      </c>
      <c r="J18" s="4" t="n">
        <v>0.03</v>
      </c>
      <c r="K18" s="4" t="n">
        <v>0.03</v>
      </c>
      <c r="L18" s="4" t="n">
        <v>0.03</v>
      </c>
    </row>
    <row r="19">
      <c r="A19" t="inlineStr">
        <is>
          <t>Capex</t>
        </is>
      </c>
      <c r="C19">
        <f>-C6*C18</f>
        <v/>
      </c>
      <c r="D19">
        <f>-D6*D18</f>
        <v/>
      </c>
      <c r="E19">
        <f>-E6*E18</f>
        <v/>
      </c>
      <c r="F19">
        <f>-F6*F18</f>
        <v/>
      </c>
      <c r="G19">
        <f>-G6*G18</f>
        <v/>
      </c>
      <c r="H19">
        <f>-H6*H18</f>
        <v/>
      </c>
      <c r="I19">
        <f>-I6*I18</f>
        <v/>
      </c>
      <c r="J19">
        <f>-J6*J18</f>
        <v/>
      </c>
      <c r="K19">
        <f>-K6*K18</f>
        <v/>
      </c>
      <c r="L19">
        <f>-L6*L18</f>
        <v/>
      </c>
    </row>
    <row r="20">
      <c r="A20" t="inlineStr">
        <is>
          <t>Capital retained for loan-book growth (WC)</t>
        </is>
      </c>
      <c r="C20" s="6">
        <f>Assumptions!$D$15*(C6-B6)</f>
        <v/>
      </c>
      <c r="D20" s="6">
        <f>Assumptions!$D$15*(D6-C6)</f>
        <v/>
      </c>
      <c r="E20" s="6">
        <f>Assumptions!$D$15*(E6-D6)</f>
        <v/>
      </c>
      <c r="F20" s="6">
        <f>Assumptions!$D$15*(F6-E6)</f>
        <v/>
      </c>
      <c r="G20" s="6">
        <f>Assumptions!$D$15*(G6-F6)</f>
        <v/>
      </c>
      <c r="H20" s="6">
        <f>Assumptions!$D$15*(H6-G6)</f>
        <v/>
      </c>
      <c r="I20" s="6">
        <f>Assumptions!$D$15*(I6-H6)</f>
        <v/>
      </c>
      <c r="J20" s="6">
        <f>Assumptions!$D$15*(J6-I6)</f>
        <v/>
      </c>
      <c r="K20" s="6">
        <f>Assumptions!$D$15*(K6-J6)</f>
        <v/>
      </c>
      <c r="L20" s="6">
        <f>Assumptions!$D$15*(L6-K6)</f>
        <v/>
      </c>
    </row>
    <row r="21">
      <c r="A21" t="inlineStr">
        <is>
          <t>Distributable FCF</t>
        </is>
      </c>
      <c r="C21" s="1">
        <f>C16+C17+C19+C20</f>
        <v/>
      </c>
      <c r="D21" s="1">
        <f>D16+D17+D19+D20</f>
        <v/>
      </c>
      <c r="E21" s="1">
        <f>E16+E17+E19+E20</f>
        <v/>
      </c>
      <c r="F21" s="1">
        <f>F16+F17+F19+F20</f>
        <v/>
      </c>
      <c r="G21" s="1">
        <f>G16+G17+G19+G20</f>
        <v/>
      </c>
      <c r="H21" s="1">
        <f>H16+H17+H19+H20</f>
        <v/>
      </c>
      <c r="I21" s="1">
        <f>I16+I17+I19+I20</f>
        <v/>
      </c>
      <c r="J21" s="1">
        <f>J16+J17+J19+J20</f>
        <v/>
      </c>
      <c r="K21" s="1">
        <f>K16+K17+K19+K20</f>
        <v/>
      </c>
      <c r="L21" s="1">
        <f>L16+L17+L19+L20</f>
        <v/>
      </c>
    </row>
    <row r="22">
      <c r="A22" t="inlineStr">
        <is>
          <t>Discount factor</t>
        </is>
      </c>
      <c r="C22" s="5">
        <f>1/(1+Assumptions!$B$6)^C4</f>
        <v/>
      </c>
      <c r="D22" s="5">
        <f>1/(1+Assumptions!$B$6)^D4</f>
        <v/>
      </c>
      <c r="E22" s="5">
        <f>1/(1+Assumptions!$B$6)^E4</f>
        <v/>
      </c>
      <c r="F22" s="5">
        <f>1/(1+Assumptions!$B$6)^F4</f>
        <v/>
      </c>
      <c r="G22" s="5">
        <f>1/(1+Assumptions!$B$6)^G4</f>
        <v/>
      </c>
      <c r="H22" s="5">
        <f>1/(1+Assumptions!$B$6)^H4</f>
        <v/>
      </c>
      <c r="I22" s="5">
        <f>1/(1+Assumptions!$B$6)^I4</f>
        <v/>
      </c>
      <c r="J22" s="5">
        <f>1/(1+Assumptions!$B$6)^J4</f>
        <v/>
      </c>
      <c r="K22" s="5">
        <f>1/(1+Assumptions!$B$6)^K4</f>
        <v/>
      </c>
      <c r="L22" s="5">
        <f>1/(1+Assumptions!$B$6)^L4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distributable FCF margin</t>
        </is>
      </c>
      <c r="C26" s="7">
        <f>C21/C6</f>
        <v/>
      </c>
      <c r="D26" s="7">
        <f>D21/D6</f>
        <v/>
      </c>
      <c r="E26" s="7">
        <f>E21/E6</f>
        <v/>
      </c>
      <c r="F26" s="7">
        <f>F21/F6</f>
        <v/>
      </c>
      <c r="G26" s="7">
        <f>G21/G6</f>
        <v/>
      </c>
      <c r="H26" s="7">
        <f>H21/H6</f>
        <v/>
      </c>
      <c r="I26" s="7">
        <f>I21/I6</f>
        <v/>
      </c>
      <c r="J26" s="7">
        <f>J21/J6</f>
        <v/>
      </c>
      <c r="K26" s="7">
        <f>K21/K6</f>
        <v/>
      </c>
      <c r="L26" s="7">
        <f>L21/L6</f>
        <v/>
      </c>
    </row>
    <row r="27">
      <c r="A27" t="inlineStr">
        <is>
          <t>Memo: NPBT-equivalent</t>
        </is>
      </c>
      <c r="C27">
        <f>C8+C10+C13</f>
        <v/>
      </c>
      <c r="D27">
        <f>D8+D10+D13</f>
        <v/>
      </c>
      <c r="E27">
        <f>E8+E10+E13</f>
        <v/>
      </c>
      <c r="F27">
        <f>F8+F10+F13</f>
        <v/>
      </c>
      <c r="G27">
        <f>G8+G10+G13</f>
        <v/>
      </c>
      <c r="H27">
        <f>H8+H10+H13</f>
        <v/>
      </c>
      <c r="I27">
        <f>I8+I10+I13</f>
        <v/>
      </c>
      <c r="J27">
        <f>J8+J10+J13</f>
        <v/>
      </c>
      <c r="K27">
        <f>K8+K10+K13</f>
        <v/>
      </c>
      <c r="L27">
        <f>L8+L10+L13</f>
        <v/>
      </c>
    </row>
    <row r="28">
      <c r="A28" t="inlineStr">
        <is>
          <t>Memo: NPAT-equivalent</t>
        </is>
      </c>
      <c r="C28">
        <f>C27*(1-C15)</f>
        <v/>
      </c>
      <c r="D28">
        <f>D27*(1-D15)</f>
        <v/>
      </c>
      <c r="E28">
        <f>E27*(1-E15)</f>
        <v/>
      </c>
      <c r="F28">
        <f>F27*(1-F15)</f>
        <v/>
      </c>
      <c r="G28">
        <f>G27*(1-G15)</f>
        <v/>
      </c>
      <c r="H28">
        <f>H27*(1-H15)</f>
        <v/>
      </c>
      <c r="I28">
        <f>I27*(1-I15)</f>
        <v/>
      </c>
      <c r="J28">
        <f>J27*(1-J15)</f>
        <v/>
      </c>
      <c r="K28">
        <f>K27*(1-K15)</f>
        <v/>
      </c>
      <c r="L28">
        <f>L27*(1-L15)</f>
        <v/>
      </c>
    </row>
    <row r="30">
      <c r="A30" t="inlineStr">
        <is>
          <t>Sum of PV of FCF</t>
        </is>
      </c>
      <c r="B30">
        <f>SUM(C23:L23)</f>
        <v/>
      </c>
    </row>
    <row r="31">
      <c r="A31" t="inlineStr">
        <is>
          <t>Terminal growth</t>
        </is>
      </c>
      <c r="B31" s="5">
        <f>Assumptions!$B$15</f>
        <v/>
      </c>
    </row>
    <row r="32">
      <c r="A32" t="inlineStr">
        <is>
          <t>Terminal FCF (yr 11)</t>
        </is>
      </c>
      <c r="B32">
        <f>L21*(1+B31)</f>
        <v/>
      </c>
    </row>
    <row r="33">
      <c r="A33" t="inlineStr">
        <is>
          <t>Gordon TV</t>
        </is>
      </c>
      <c r="B33">
        <f>IF(Assumptions!$B$6&gt;B31,B32/(Assumptions!$B$6-B31),0)</f>
        <v/>
      </c>
    </row>
    <row r="34">
      <c r="A34" t="inlineStr">
        <is>
          <t>Cap TV</t>
        </is>
      </c>
      <c r="B34">
        <f>Assumptions!$B$10*L21</f>
        <v/>
      </c>
    </row>
    <row r="35">
      <c r="A35" t="inlineStr">
        <is>
          <t>TV used</t>
        </is>
      </c>
      <c r="B35">
        <f>MAX(0,MIN(B33,B34))</f>
        <v/>
      </c>
    </row>
    <row r="36">
      <c r="A36" t="inlineStr">
        <is>
          <t>Implied exit multiple (x FCF_10)</t>
        </is>
      </c>
      <c r="B36">
        <f>IF(L21&lt;&gt;0,B35/L21,0)</f>
        <v/>
      </c>
    </row>
    <row r="37">
      <c r="A37" t="inlineStr">
        <is>
          <t>PV of TV</t>
        </is>
      </c>
      <c r="B37">
        <f>B35*L22</f>
        <v/>
      </c>
    </row>
    <row r="38">
      <c r="A38" t="inlineStr">
        <is>
          <t>Equity value (EV; no bridge)</t>
        </is>
      </c>
      <c r="B38">
        <f>B30+B37</f>
        <v/>
      </c>
    </row>
    <row r="39">
      <c r="A39" t="inlineStr">
        <is>
          <t>less net debt</t>
        </is>
      </c>
      <c r="B39" s="6">
        <f>-Assumptions!$B$5</f>
        <v/>
      </c>
    </row>
    <row r="40">
      <c r="A40" t="inlineStr">
        <is>
          <t>Equity value</t>
        </is>
      </c>
      <c r="B40">
        <f>B38+B39</f>
        <v/>
      </c>
    </row>
    <row r="41">
      <c r="A41" t="inlineStr">
        <is>
          <t>Diluted shares (m)</t>
        </is>
      </c>
      <c r="B41" s="6">
        <f>Assumptions!$B$4</f>
        <v/>
      </c>
    </row>
    <row r="42">
      <c r="A42" t="inlineStr">
        <is>
          <t>Value per share (NZ$)</t>
        </is>
      </c>
      <c r="B42" s="8">
        <f>B40/B41</f>
        <v/>
      </c>
    </row>
    <row r="43">
      <c r="A43" t="inlineStr">
        <is>
          <t>Upside vs price</t>
        </is>
      </c>
      <c r="B43" s="7">
        <f>B42/Assumptions!$B$3-1</f>
        <v/>
      </c>
    </row>
    <row r="45">
      <c r="A45" t="inlineStr">
        <is>
          <t>Street: PV of explicit SBC</t>
        </is>
      </c>
      <c r="B45">
        <f>SUMPRODUCT(-C10:L10/(1+Assumptions!$B$6)^C4:L4)</f>
        <v/>
      </c>
    </row>
    <row r="46">
      <c r="A46" t="inlineStr">
        <is>
          <t>Street: PV of terminal SBC</t>
        </is>
      </c>
      <c r="B46">
        <f>IF(Assumptions!$B$6&gt;B31,(-L10*(1+B31)/(Assumptions!$B$6-B31))*L22,0)</f>
        <v/>
      </c>
    </row>
    <row r="47">
      <c r="A47" t="inlineStr">
        <is>
          <t>Street value per share</t>
        </is>
      </c>
      <c r="B47">
        <f>(B40+B45+B46)/B41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Base case - distributable earnings (NZ$m)</t>
        </is>
      </c>
    </row>
    <row r="3">
      <c r="A3" t="inlineStr">
        <is>
          <t>Year</t>
        </is>
      </c>
      <c r="B3" t="inlineStr">
        <is>
          <t>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3" t="inlineStr">
        <is>
          <t>Revenue growth</t>
        </is>
      </c>
      <c r="C5" s="4" t="n">
        <v>0.07000000000000001</v>
      </c>
      <c r="D5" s="4" t="n">
        <v>0.08</v>
      </c>
      <c r="E5" s="4" t="n">
        <v>0.08</v>
      </c>
      <c r="F5" s="4" t="n">
        <v>0.07000000000000001</v>
      </c>
      <c r="G5" s="4" t="n">
        <v>0.06</v>
      </c>
      <c r="H5" s="4" t="n">
        <v>0.05</v>
      </c>
      <c r="I5" s="4" t="n">
        <v>0.045</v>
      </c>
      <c r="J5" s="4" t="n">
        <v>0.04</v>
      </c>
      <c r="K5" s="4" t="n">
        <v>0.035</v>
      </c>
      <c r="L5" s="4" t="n">
        <v>0.03</v>
      </c>
    </row>
    <row r="6">
      <c r="A6" t="inlineStr">
        <is>
          <t>Revenue</t>
        </is>
      </c>
      <c r="B6" s="2" t="n">
        <v>450.171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3" t="inlineStr">
        <is>
          <t>Adj margin (NPBT+D&amp;A+SBC)/rev</t>
        </is>
      </c>
      <c r="C7" s="4" t="n">
        <v>0.165</v>
      </c>
      <c r="D7" s="4" t="n">
        <v>0.169</v>
      </c>
      <c r="E7" s="4" t="n">
        <v>0.173</v>
      </c>
      <c r="F7" s="4" t="n">
        <v>0.176</v>
      </c>
      <c r="G7" s="4" t="n">
        <v>0.179</v>
      </c>
      <c r="H7" s="4" t="n">
        <v>0.18</v>
      </c>
      <c r="I7" s="4" t="n">
        <v>0.18</v>
      </c>
      <c r="J7" s="4" t="n">
        <v>0.18</v>
      </c>
      <c r="K7" s="4" t="n">
        <v>0.18</v>
      </c>
      <c r="L7" s="4" t="n">
        <v>0.18</v>
      </c>
    </row>
    <row r="8">
      <c r="A8" t="inlineStr">
        <is>
          <t>Adj earnings pre-D&amp;A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3" t="inlineStr">
        <is>
          <t>SBC % revenue</t>
        </is>
      </c>
      <c r="C9" s="5">
        <f>Assumptions!$B$12</f>
        <v/>
      </c>
      <c r="D9" s="5">
        <f>Assumptions!$B$12</f>
        <v/>
      </c>
      <c r="E9" s="5">
        <f>Assumptions!$B$12</f>
        <v/>
      </c>
      <c r="F9" s="5">
        <f>Assumptions!$B$12</f>
        <v/>
      </c>
      <c r="G9" s="5">
        <f>Assumptions!$B$12</f>
        <v/>
      </c>
      <c r="H9" s="5">
        <f>Assumptions!$B$12</f>
        <v/>
      </c>
      <c r="I9" s="5">
        <f>Assumptions!$B$12</f>
        <v/>
      </c>
      <c r="J9" s="5">
        <f>Assumptions!$B$12</f>
        <v/>
      </c>
      <c r="K9" s="5">
        <f>Assumptions!$B$12</f>
        <v/>
      </c>
      <c r="L9" s="5">
        <f>Assumptions!$B$12</f>
        <v/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principal</t>
        </is>
      </c>
      <c r="C11" s="6">
        <f>-C6*Assumptions!$B$8</f>
        <v/>
      </c>
      <c r="D11" s="6">
        <f>-D6*Assumptions!$B$8</f>
        <v/>
      </c>
      <c r="E11" s="6">
        <f>-E6*Assumptions!$B$8</f>
        <v/>
      </c>
      <c r="F11" s="6">
        <f>-F6*Assumptions!$B$8</f>
        <v/>
      </c>
      <c r="G11" s="6">
        <f>-G6*Assumptions!$B$8</f>
        <v/>
      </c>
      <c r="H11" s="6">
        <f>-H6*Assumptions!$B$8</f>
        <v/>
      </c>
      <c r="I11" s="6">
        <f>-I6*Assumptions!$B$8</f>
        <v/>
      </c>
      <c r="J11" s="6">
        <f>-J6*Assumptions!$B$8</f>
        <v/>
      </c>
      <c r="K11" s="6">
        <f>-K6*Assumptions!$B$8</f>
        <v/>
      </c>
      <c r="L11" s="6">
        <f>-L6*Assumptions!$B$8</f>
        <v/>
      </c>
    </row>
    <row r="12">
      <c r="A12" t="inlineStr">
        <is>
          <t>Owner earnings pre-D&amp;A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</t>
        </is>
      </c>
      <c r="C13" s="6">
        <f>-C6*Assumptions!$B$7</f>
        <v/>
      </c>
      <c r="D13" s="6">
        <f>-D6*Assumptions!$B$7</f>
        <v/>
      </c>
      <c r="E13" s="6">
        <f>-E6*Assumptions!$B$7</f>
        <v/>
      </c>
      <c r="F13" s="6">
        <f>-F6*Assumptions!$B$7</f>
        <v/>
      </c>
      <c r="G13" s="6">
        <f>-G6*Assumptions!$B$7</f>
        <v/>
      </c>
      <c r="H13" s="6">
        <f>-H6*Assumptions!$B$7</f>
        <v/>
      </c>
      <c r="I13" s="6">
        <f>-I6*Assumptions!$B$7</f>
        <v/>
      </c>
      <c r="J13" s="6">
        <f>-J6*Assumptions!$B$7</f>
        <v/>
      </c>
      <c r="K13" s="6">
        <f>-K6*Assumptions!$B$7</f>
        <v/>
      </c>
      <c r="L13" s="6">
        <f>-L6*Assumptions!$B$7</f>
        <v/>
      </c>
    </row>
    <row r="14">
      <c r="A14" t="inlineStr">
        <is>
          <t>EBIT (pre-tax profit after lease principal)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s="3" t="inlineStr">
        <is>
          <t>Cash tax rate</t>
        </is>
      </c>
      <c r="C15" s="5">
        <f>Assumptions!$B$9</f>
        <v/>
      </c>
      <c r="D15" s="5">
        <f>Assumptions!$B$9</f>
        <v/>
      </c>
      <c r="E15" s="5">
        <f>Assumptions!$B$9</f>
        <v/>
      </c>
      <c r="F15" s="5">
        <f>Assumptions!$B$9</f>
        <v/>
      </c>
      <c r="G15" s="5">
        <f>Assumptions!$B$9</f>
        <v/>
      </c>
      <c r="H15" s="5">
        <f>Assumptions!$B$9</f>
        <v/>
      </c>
      <c r="I15" s="5">
        <f>Assumptions!$B$9</f>
        <v/>
      </c>
      <c r="J15" s="5">
        <f>Assumptions!$B$9</f>
        <v/>
      </c>
      <c r="K15" s="5">
        <f>Assumptions!$B$9</f>
        <v/>
      </c>
      <c r="L15" s="5">
        <f>Assumptions!$B$9</f>
        <v/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s="3" t="inlineStr">
        <is>
          <t>Capex % revenue</t>
        </is>
      </c>
      <c r="C18" s="4" t="n">
        <v>0.075</v>
      </c>
      <c r="D18" s="4" t="n">
        <v>0.075</v>
      </c>
      <c r="E18" s="4" t="n">
        <v>0.07000000000000001</v>
      </c>
      <c r="F18" s="4" t="n">
        <v>0.065</v>
      </c>
      <c r="G18" s="4" t="n">
        <v>0.06</v>
      </c>
      <c r="H18" s="4" t="n">
        <v>0.05</v>
      </c>
      <c r="I18" s="4" t="n">
        <v>0.045</v>
      </c>
      <c r="J18" s="4" t="n">
        <v>0.04</v>
      </c>
      <c r="K18" s="4" t="n">
        <v>0.035</v>
      </c>
      <c r="L18" s="4" t="n">
        <v>0.03</v>
      </c>
    </row>
    <row r="19">
      <c r="A19" t="inlineStr">
        <is>
          <t>Capex</t>
        </is>
      </c>
      <c r="C19">
        <f>-C6*C18</f>
        <v/>
      </c>
      <c r="D19">
        <f>-D6*D18</f>
        <v/>
      </c>
      <c r="E19">
        <f>-E6*E18</f>
        <v/>
      </c>
      <c r="F19">
        <f>-F6*F18</f>
        <v/>
      </c>
      <c r="G19">
        <f>-G6*G18</f>
        <v/>
      </c>
      <c r="H19">
        <f>-H6*H18</f>
        <v/>
      </c>
      <c r="I19">
        <f>-I6*I18</f>
        <v/>
      </c>
      <c r="J19">
        <f>-J6*J18</f>
        <v/>
      </c>
      <c r="K19">
        <f>-K6*K18</f>
        <v/>
      </c>
      <c r="L19">
        <f>-L6*L18</f>
        <v/>
      </c>
    </row>
    <row r="20">
      <c r="A20" t="inlineStr">
        <is>
          <t>Capital retained for loan-book growth (WC)</t>
        </is>
      </c>
      <c r="C20" s="6">
        <f>Assumptions!$D$16*(C6-B6)</f>
        <v/>
      </c>
      <c r="D20" s="6">
        <f>Assumptions!$D$16*(D6-C6)</f>
        <v/>
      </c>
      <c r="E20" s="6">
        <f>Assumptions!$D$16*(E6-D6)</f>
        <v/>
      </c>
      <c r="F20" s="6">
        <f>Assumptions!$D$16*(F6-E6)</f>
        <v/>
      </c>
      <c r="G20" s="6">
        <f>Assumptions!$D$16*(G6-F6)</f>
        <v/>
      </c>
      <c r="H20" s="6">
        <f>Assumptions!$D$16*(H6-G6)</f>
        <v/>
      </c>
      <c r="I20" s="6">
        <f>Assumptions!$D$16*(I6-H6)</f>
        <v/>
      </c>
      <c r="J20" s="6">
        <f>Assumptions!$D$16*(J6-I6)</f>
        <v/>
      </c>
      <c r="K20" s="6">
        <f>Assumptions!$D$16*(K6-J6)</f>
        <v/>
      </c>
      <c r="L20" s="6">
        <f>Assumptions!$D$16*(L6-K6)</f>
        <v/>
      </c>
    </row>
    <row r="21">
      <c r="A21" t="inlineStr">
        <is>
          <t>Distributable FCF</t>
        </is>
      </c>
      <c r="C21" s="1">
        <f>C16+C17+C19+C20</f>
        <v/>
      </c>
      <c r="D21" s="1">
        <f>D16+D17+D19+D20</f>
        <v/>
      </c>
      <c r="E21" s="1">
        <f>E16+E17+E19+E20</f>
        <v/>
      </c>
      <c r="F21" s="1">
        <f>F16+F17+F19+F20</f>
        <v/>
      </c>
      <c r="G21" s="1">
        <f>G16+G17+G19+G20</f>
        <v/>
      </c>
      <c r="H21" s="1">
        <f>H16+H17+H19+H20</f>
        <v/>
      </c>
      <c r="I21" s="1">
        <f>I16+I17+I19+I20</f>
        <v/>
      </c>
      <c r="J21" s="1">
        <f>J16+J17+J19+J20</f>
        <v/>
      </c>
      <c r="K21" s="1">
        <f>K16+K17+K19+K20</f>
        <v/>
      </c>
      <c r="L21" s="1">
        <f>L16+L17+L19+L20</f>
        <v/>
      </c>
    </row>
    <row r="22">
      <c r="A22" t="inlineStr">
        <is>
          <t>Discount factor</t>
        </is>
      </c>
      <c r="C22" s="5">
        <f>1/(1+Assumptions!$B$6)^C4</f>
        <v/>
      </c>
      <c r="D22" s="5">
        <f>1/(1+Assumptions!$B$6)^D4</f>
        <v/>
      </c>
      <c r="E22" s="5">
        <f>1/(1+Assumptions!$B$6)^E4</f>
        <v/>
      </c>
      <c r="F22" s="5">
        <f>1/(1+Assumptions!$B$6)^F4</f>
        <v/>
      </c>
      <c r="G22" s="5">
        <f>1/(1+Assumptions!$B$6)^G4</f>
        <v/>
      </c>
      <c r="H22" s="5">
        <f>1/(1+Assumptions!$B$6)^H4</f>
        <v/>
      </c>
      <c r="I22" s="5">
        <f>1/(1+Assumptions!$B$6)^I4</f>
        <v/>
      </c>
      <c r="J22" s="5">
        <f>1/(1+Assumptions!$B$6)^J4</f>
        <v/>
      </c>
      <c r="K22" s="5">
        <f>1/(1+Assumptions!$B$6)^K4</f>
        <v/>
      </c>
      <c r="L22" s="5">
        <f>1/(1+Assumptions!$B$6)^L4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distributable FCF margin</t>
        </is>
      </c>
      <c r="C26" s="7">
        <f>C21/C6</f>
        <v/>
      </c>
      <c r="D26" s="7">
        <f>D21/D6</f>
        <v/>
      </c>
      <c r="E26" s="7">
        <f>E21/E6</f>
        <v/>
      </c>
      <c r="F26" s="7">
        <f>F21/F6</f>
        <v/>
      </c>
      <c r="G26" s="7">
        <f>G21/G6</f>
        <v/>
      </c>
      <c r="H26" s="7">
        <f>H21/H6</f>
        <v/>
      </c>
      <c r="I26" s="7">
        <f>I21/I6</f>
        <v/>
      </c>
      <c r="J26" s="7">
        <f>J21/J6</f>
        <v/>
      </c>
      <c r="K26" s="7">
        <f>K21/K6</f>
        <v/>
      </c>
      <c r="L26" s="7">
        <f>L21/L6</f>
        <v/>
      </c>
    </row>
    <row r="27">
      <c r="A27" t="inlineStr">
        <is>
          <t>Memo: NPBT-equivalent</t>
        </is>
      </c>
      <c r="C27">
        <f>C8+C10+C13</f>
        <v/>
      </c>
      <c r="D27">
        <f>D8+D10+D13</f>
        <v/>
      </c>
      <c r="E27">
        <f>E8+E10+E13</f>
        <v/>
      </c>
      <c r="F27">
        <f>F8+F10+F13</f>
        <v/>
      </c>
      <c r="G27">
        <f>G8+G10+G13</f>
        <v/>
      </c>
      <c r="H27">
        <f>H8+H10+H13</f>
        <v/>
      </c>
      <c r="I27">
        <f>I8+I10+I13</f>
        <v/>
      </c>
      <c r="J27">
        <f>J8+J10+J13</f>
        <v/>
      </c>
      <c r="K27">
        <f>K8+K10+K13</f>
        <v/>
      </c>
      <c r="L27">
        <f>L8+L10+L13</f>
        <v/>
      </c>
    </row>
    <row r="28">
      <c r="A28" t="inlineStr">
        <is>
          <t>Memo: NPAT-equivalent</t>
        </is>
      </c>
      <c r="C28">
        <f>C27*(1-C15)</f>
        <v/>
      </c>
      <c r="D28">
        <f>D27*(1-D15)</f>
        <v/>
      </c>
      <c r="E28">
        <f>E27*(1-E15)</f>
        <v/>
      </c>
      <c r="F28">
        <f>F27*(1-F15)</f>
        <v/>
      </c>
      <c r="G28">
        <f>G27*(1-G15)</f>
        <v/>
      </c>
      <c r="H28">
        <f>H27*(1-H15)</f>
        <v/>
      </c>
      <c r="I28">
        <f>I27*(1-I15)</f>
        <v/>
      </c>
      <c r="J28">
        <f>J27*(1-J15)</f>
        <v/>
      </c>
      <c r="K28">
        <f>K27*(1-K15)</f>
        <v/>
      </c>
      <c r="L28">
        <f>L27*(1-L15)</f>
        <v/>
      </c>
    </row>
    <row r="30">
      <c r="A30" t="inlineStr">
        <is>
          <t>Sum of PV of FCF</t>
        </is>
      </c>
      <c r="B30">
        <f>SUM(C23:L23)</f>
        <v/>
      </c>
    </row>
    <row r="31">
      <c r="A31" t="inlineStr">
        <is>
          <t>Terminal growth</t>
        </is>
      </c>
      <c r="B31" s="5">
        <f>Assumptions!$B$16</f>
        <v/>
      </c>
    </row>
    <row r="32">
      <c r="A32" t="inlineStr">
        <is>
          <t>Terminal FCF (yr 11)</t>
        </is>
      </c>
      <c r="B32">
        <f>L21*(1+B31)</f>
        <v/>
      </c>
    </row>
    <row r="33">
      <c r="A33" t="inlineStr">
        <is>
          <t>Gordon TV</t>
        </is>
      </c>
      <c r="B33">
        <f>IF(Assumptions!$B$6&gt;B31,B32/(Assumptions!$B$6-B31),0)</f>
        <v/>
      </c>
    </row>
    <row r="34">
      <c r="A34" t="inlineStr">
        <is>
          <t>Cap TV</t>
        </is>
      </c>
      <c r="B34">
        <f>Assumptions!$B$10*L21</f>
        <v/>
      </c>
    </row>
    <row r="35">
      <c r="A35" t="inlineStr">
        <is>
          <t>TV used</t>
        </is>
      </c>
      <c r="B35">
        <f>MAX(0,MIN(B33,B34))</f>
        <v/>
      </c>
    </row>
    <row r="36">
      <c r="A36" t="inlineStr">
        <is>
          <t>Implied exit multiple (x FCF_10)</t>
        </is>
      </c>
      <c r="B36">
        <f>IF(L21&lt;&gt;0,B35/L21,0)</f>
        <v/>
      </c>
    </row>
    <row r="37">
      <c r="A37" t="inlineStr">
        <is>
          <t>PV of TV</t>
        </is>
      </c>
      <c r="B37">
        <f>B35*L22</f>
        <v/>
      </c>
    </row>
    <row r="38">
      <c r="A38" t="inlineStr">
        <is>
          <t>Equity value (EV; no bridge)</t>
        </is>
      </c>
      <c r="B38">
        <f>B30+B37</f>
        <v/>
      </c>
    </row>
    <row r="39">
      <c r="A39" t="inlineStr">
        <is>
          <t>less net debt</t>
        </is>
      </c>
      <c r="B39" s="6">
        <f>-Assumptions!$B$5</f>
        <v/>
      </c>
    </row>
    <row r="40">
      <c r="A40" t="inlineStr">
        <is>
          <t>Equity value</t>
        </is>
      </c>
      <c r="B40">
        <f>B38+B39</f>
        <v/>
      </c>
    </row>
    <row r="41">
      <c r="A41" t="inlineStr">
        <is>
          <t>Diluted shares (m)</t>
        </is>
      </c>
      <c r="B41" s="6">
        <f>Assumptions!$B$4</f>
        <v/>
      </c>
    </row>
    <row r="42">
      <c r="A42" t="inlineStr">
        <is>
          <t>Value per share (NZ$)</t>
        </is>
      </c>
      <c r="B42" s="8">
        <f>B40/B41</f>
        <v/>
      </c>
    </row>
    <row r="43">
      <c r="A43" t="inlineStr">
        <is>
          <t>Upside vs price</t>
        </is>
      </c>
      <c r="B43" s="7">
        <f>B42/Assumptions!$B$3-1</f>
        <v/>
      </c>
    </row>
    <row r="45">
      <c r="A45" t="inlineStr">
        <is>
          <t>Street: PV of explicit SBC</t>
        </is>
      </c>
      <c r="B45">
        <f>SUMPRODUCT(-C10:L10/(1+Assumptions!$B$6)^C4:L4)</f>
        <v/>
      </c>
    </row>
    <row r="46">
      <c r="A46" t="inlineStr">
        <is>
          <t>Street: PV of terminal SBC</t>
        </is>
      </c>
      <c r="B46">
        <f>IF(Assumptions!$B$6&gt;B31,(-L10*(1+B31)/(Assumptions!$B$6-B31))*L22,0)</f>
        <v/>
      </c>
    </row>
    <row r="47">
      <c r="A47" t="inlineStr">
        <is>
          <t>Street value per share</t>
        </is>
      </c>
      <c r="B47">
        <f>(B40+B45+B46)/B41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Bull case - distributable earnings (NZ$m)</t>
        </is>
      </c>
    </row>
    <row r="3">
      <c r="A3" t="inlineStr">
        <is>
          <t>Year</t>
        </is>
      </c>
      <c r="B3" t="inlineStr">
        <is>
          <t>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3" t="inlineStr">
        <is>
          <t>Revenue growth</t>
        </is>
      </c>
      <c r="C5" s="4" t="n">
        <v>0.09</v>
      </c>
      <c r="D5" s="4" t="n">
        <v>0.1</v>
      </c>
      <c r="E5" s="4" t="n">
        <v>0.1</v>
      </c>
      <c r="F5" s="4" t="n">
        <v>0.09</v>
      </c>
      <c r="G5" s="4" t="n">
        <v>0.08</v>
      </c>
      <c r="H5" s="4" t="n">
        <v>0.065</v>
      </c>
      <c r="I5" s="4" t="n">
        <v>0.055</v>
      </c>
      <c r="J5" s="4" t="n">
        <v>0.045</v>
      </c>
      <c r="K5" s="4" t="n">
        <v>0.04</v>
      </c>
      <c r="L5" s="4" t="n">
        <v>0.035</v>
      </c>
    </row>
    <row r="6">
      <c r="A6" t="inlineStr">
        <is>
          <t>Revenue</t>
        </is>
      </c>
      <c r="B6" s="2" t="n">
        <v>450.171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3" t="inlineStr">
        <is>
          <t>Adj margin (NPBT+D&amp;A+SBC)/rev</t>
        </is>
      </c>
      <c r="C7" s="4" t="n">
        <v>0.168</v>
      </c>
      <c r="D7" s="4" t="n">
        <v>0.174</v>
      </c>
      <c r="E7" s="4" t="n">
        <v>0.18</v>
      </c>
      <c r="F7" s="4" t="n">
        <v>0.185</v>
      </c>
      <c r="G7" s="4" t="n">
        <v>0.19</v>
      </c>
      <c r="H7" s="4" t="n">
        <v>0.193</v>
      </c>
      <c r="I7" s="4" t="n">
        <v>0.195</v>
      </c>
      <c r="J7" s="4" t="n">
        <v>0.195</v>
      </c>
      <c r="K7" s="4" t="n">
        <v>0.195</v>
      </c>
      <c r="L7" s="4" t="n">
        <v>0.195</v>
      </c>
    </row>
    <row r="8">
      <c r="A8" t="inlineStr">
        <is>
          <t>Adj earnings pre-D&amp;A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3" t="inlineStr">
        <is>
          <t>SBC % revenue</t>
        </is>
      </c>
      <c r="C9" s="5">
        <f>Assumptions!$B$12</f>
        <v/>
      </c>
      <c r="D9" s="5">
        <f>Assumptions!$B$12</f>
        <v/>
      </c>
      <c r="E9" s="5">
        <f>Assumptions!$B$12</f>
        <v/>
      </c>
      <c r="F9" s="5">
        <f>Assumptions!$B$12</f>
        <v/>
      </c>
      <c r="G9" s="5">
        <f>Assumptions!$B$12</f>
        <v/>
      </c>
      <c r="H9" s="5">
        <f>Assumptions!$B$12</f>
        <v/>
      </c>
      <c r="I9" s="5">
        <f>Assumptions!$B$12</f>
        <v/>
      </c>
      <c r="J9" s="5">
        <f>Assumptions!$B$12</f>
        <v/>
      </c>
      <c r="K9" s="5">
        <f>Assumptions!$B$12</f>
        <v/>
      </c>
      <c r="L9" s="5">
        <f>Assumptions!$B$12</f>
        <v/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principal</t>
        </is>
      </c>
      <c r="C11" s="6">
        <f>-C6*Assumptions!$B$8</f>
        <v/>
      </c>
      <c r="D11" s="6">
        <f>-D6*Assumptions!$B$8</f>
        <v/>
      </c>
      <c r="E11" s="6">
        <f>-E6*Assumptions!$B$8</f>
        <v/>
      </c>
      <c r="F11" s="6">
        <f>-F6*Assumptions!$B$8</f>
        <v/>
      </c>
      <c r="G11" s="6">
        <f>-G6*Assumptions!$B$8</f>
        <v/>
      </c>
      <c r="H11" s="6">
        <f>-H6*Assumptions!$B$8</f>
        <v/>
      </c>
      <c r="I11" s="6">
        <f>-I6*Assumptions!$B$8</f>
        <v/>
      </c>
      <c r="J11" s="6">
        <f>-J6*Assumptions!$B$8</f>
        <v/>
      </c>
      <c r="K11" s="6">
        <f>-K6*Assumptions!$B$8</f>
        <v/>
      </c>
      <c r="L11" s="6">
        <f>-L6*Assumptions!$B$8</f>
        <v/>
      </c>
    </row>
    <row r="12">
      <c r="A12" t="inlineStr">
        <is>
          <t>Owner earnings pre-D&amp;A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</t>
        </is>
      </c>
      <c r="C13" s="6">
        <f>-C6*Assumptions!$B$7</f>
        <v/>
      </c>
      <c r="D13" s="6">
        <f>-D6*Assumptions!$B$7</f>
        <v/>
      </c>
      <c r="E13" s="6">
        <f>-E6*Assumptions!$B$7</f>
        <v/>
      </c>
      <c r="F13" s="6">
        <f>-F6*Assumptions!$B$7</f>
        <v/>
      </c>
      <c r="G13" s="6">
        <f>-G6*Assumptions!$B$7</f>
        <v/>
      </c>
      <c r="H13" s="6">
        <f>-H6*Assumptions!$B$7</f>
        <v/>
      </c>
      <c r="I13" s="6">
        <f>-I6*Assumptions!$B$7</f>
        <v/>
      </c>
      <c r="J13" s="6">
        <f>-J6*Assumptions!$B$7</f>
        <v/>
      </c>
      <c r="K13" s="6">
        <f>-K6*Assumptions!$B$7</f>
        <v/>
      </c>
      <c r="L13" s="6">
        <f>-L6*Assumptions!$B$7</f>
        <v/>
      </c>
    </row>
    <row r="14">
      <c r="A14" t="inlineStr">
        <is>
          <t>EBIT (pre-tax profit after lease principal)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s="3" t="inlineStr">
        <is>
          <t>Cash tax rate</t>
        </is>
      </c>
      <c r="C15" s="5">
        <f>Assumptions!$B$9</f>
        <v/>
      </c>
      <c r="D15" s="5">
        <f>Assumptions!$B$9</f>
        <v/>
      </c>
      <c r="E15" s="5">
        <f>Assumptions!$B$9</f>
        <v/>
      </c>
      <c r="F15" s="5">
        <f>Assumptions!$B$9</f>
        <v/>
      </c>
      <c r="G15" s="5">
        <f>Assumptions!$B$9</f>
        <v/>
      </c>
      <c r="H15" s="5">
        <f>Assumptions!$B$9</f>
        <v/>
      </c>
      <c r="I15" s="5">
        <f>Assumptions!$B$9</f>
        <v/>
      </c>
      <c r="J15" s="5">
        <f>Assumptions!$B$9</f>
        <v/>
      </c>
      <c r="K15" s="5">
        <f>Assumptions!$B$9</f>
        <v/>
      </c>
      <c r="L15" s="5">
        <f>Assumptions!$B$9</f>
        <v/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s="3" t="inlineStr">
        <is>
          <t>Capex % revenue</t>
        </is>
      </c>
      <c r="C18" s="4" t="n">
        <v>0.08</v>
      </c>
      <c r="D18" s="4" t="n">
        <v>0.08</v>
      </c>
      <c r="E18" s="4" t="n">
        <v>0.075</v>
      </c>
      <c r="F18" s="4" t="n">
        <v>0.07000000000000001</v>
      </c>
      <c r="G18" s="4" t="n">
        <v>0.06</v>
      </c>
      <c r="H18" s="4" t="n">
        <v>0.05</v>
      </c>
      <c r="I18" s="4" t="n">
        <v>0.045</v>
      </c>
      <c r="J18" s="4" t="n">
        <v>0.04</v>
      </c>
      <c r="K18" s="4" t="n">
        <v>0.035</v>
      </c>
      <c r="L18" s="4" t="n">
        <v>0.03</v>
      </c>
    </row>
    <row r="19">
      <c r="A19" t="inlineStr">
        <is>
          <t>Capex</t>
        </is>
      </c>
      <c r="C19">
        <f>-C6*C18</f>
        <v/>
      </c>
      <c r="D19">
        <f>-D6*D18</f>
        <v/>
      </c>
      <c r="E19">
        <f>-E6*E18</f>
        <v/>
      </c>
      <c r="F19">
        <f>-F6*F18</f>
        <v/>
      </c>
      <c r="G19">
        <f>-G6*G18</f>
        <v/>
      </c>
      <c r="H19">
        <f>-H6*H18</f>
        <v/>
      </c>
      <c r="I19">
        <f>-I6*I18</f>
        <v/>
      </c>
      <c r="J19">
        <f>-J6*J18</f>
        <v/>
      </c>
      <c r="K19">
        <f>-K6*K18</f>
        <v/>
      </c>
      <c r="L19">
        <f>-L6*L18</f>
        <v/>
      </c>
    </row>
    <row r="20">
      <c r="A20" t="inlineStr">
        <is>
          <t>Capital retained for loan-book growth (WC)</t>
        </is>
      </c>
      <c r="C20" s="6">
        <f>Assumptions!$D$17*(C6-B6)</f>
        <v/>
      </c>
      <c r="D20" s="6">
        <f>Assumptions!$D$17*(D6-C6)</f>
        <v/>
      </c>
      <c r="E20" s="6">
        <f>Assumptions!$D$17*(E6-D6)</f>
        <v/>
      </c>
      <c r="F20" s="6">
        <f>Assumptions!$D$17*(F6-E6)</f>
        <v/>
      </c>
      <c r="G20" s="6">
        <f>Assumptions!$D$17*(G6-F6)</f>
        <v/>
      </c>
      <c r="H20" s="6">
        <f>Assumptions!$D$17*(H6-G6)</f>
        <v/>
      </c>
      <c r="I20" s="6">
        <f>Assumptions!$D$17*(I6-H6)</f>
        <v/>
      </c>
      <c r="J20" s="6">
        <f>Assumptions!$D$17*(J6-I6)</f>
        <v/>
      </c>
      <c r="K20" s="6">
        <f>Assumptions!$D$17*(K6-J6)</f>
        <v/>
      </c>
      <c r="L20" s="6">
        <f>Assumptions!$D$17*(L6-K6)</f>
        <v/>
      </c>
    </row>
    <row r="21">
      <c r="A21" t="inlineStr">
        <is>
          <t>Distributable FCF</t>
        </is>
      </c>
      <c r="C21" s="1">
        <f>C16+C17+C19+C20</f>
        <v/>
      </c>
      <c r="D21" s="1">
        <f>D16+D17+D19+D20</f>
        <v/>
      </c>
      <c r="E21" s="1">
        <f>E16+E17+E19+E20</f>
        <v/>
      </c>
      <c r="F21" s="1">
        <f>F16+F17+F19+F20</f>
        <v/>
      </c>
      <c r="G21" s="1">
        <f>G16+G17+G19+G20</f>
        <v/>
      </c>
      <c r="H21" s="1">
        <f>H16+H17+H19+H20</f>
        <v/>
      </c>
      <c r="I21" s="1">
        <f>I16+I17+I19+I20</f>
        <v/>
      </c>
      <c r="J21" s="1">
        <f>J16+J17+J19+J20</f>
        <v/>
      </c>
      <c r="K21" s="1">
        <f>K16+K17+K19+K20</f>
        <v/>
      </c>
      <c r="L21" s="1">
        <f>L16+L17+L19+L20</f>
        <v/>
      </c>
    </row>
    <row r="22">
      <c r="A22" t="inlineStr">
        <is>
          <t>Discount factor</t>
        </is>
      </c>
      <c r="C22" s="5">
        <f>1/(1+Assumptions!$B$6)^C4</f>
        <v/>
      </c>
      <c r="D22" s="5">
        <f>1/(1+Assumptions!$B$6)^D4</f>
        <v/>
      </c>
      <c r="E22" s="5">
        <f>1/(1+Assumptions!$B$6)^E4</f>
        <v/>
      </c>
      <c r="F22" s="5">
        <f>1/(1+Assumptions!$B$6)^F4</f>
        <v/>
      </c>
      <c r="G22" s="5">
        <f>1/(1+Assumptions!$B$6)^G4</f>
        <v/>
      </c>
      <c r="H22" s="5">
        <f>1/(1+Assumptions!$B$6)^H4</f>
        <v/>
      </c>
      <c r="I22" s="5">
        <f>1/(1+Assumptions!$B$6)^I4</f>
        <v/>
      </c>
      <c r="J22" s="5">
        <f>1/(1+Assumptions!$B$6)^J4</f>
        <v/>
      </c>
      <c r="K22" s="5">
        <f>1/(1+Assumptions!$B$6)^K4</f>
        <v/>
      </c>
      <c r="L22" s="5">
        <f>1/(1+Assumptions!$B$6)^L4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distributable FCF margin</t>
        </is>
      </c>
      <c r="C26" s="7">
        <f>C21/C6</f>
        <v/>
      </c>
      <c r="D26" s="7">
        <f>D21/D6</f>
        <v/>
      </c>
      <c r="E26" s="7">
        <f>E21/E6</f>
        <v/>
      </c>
      <c r="F26" s="7">
        <f>F21/F6</f>
        <v/>
      </c>
      <c r="G26" s="7">
        <f>G21/G6</f>
        <v/>
      </c>
      <c r="H26" s="7">
        <f>H21/H6</f>
        <v/>
      </c>
      <c r="I26" s="7">
        <f>I21/I6</f>
        <v/>
      </c>
      <c r="J26" s="7">
        <f>J21/J6</f>
        <v/>
      </c>
      <c r="K26" s="7">
        <f>K21/K6</f>
        <v/>
      </c>
      <c r="L26" s="7">
        <f>L21/L6</f>
        <v/>
      </c>
    </row>
    <row r="27">
      <c r="A27" t="inlineStr">
        <is>
          <t>Memo: NPBT-equivalent</t>
        </is>
      </c>
      <c r="C27">
        <f>C8+C10+C13</f>
        <v/>
      </c>
      <c r="D27">
        <f>D8+D10+D13</f>
        <v/>
      </c>
      <c r="E27">
        <f>E8+E10+E13</f>
        <v/>
      </c>
      <c r="F27">
        <f>F8+F10+F13</f>
        <v/>
      </c>
      <c r="G27">
        <f>G8+G10+G13</f>
        <v/>
      </c>
      <c r="H27">
        <f>H8+H10+H13</f>
        <v/>
      </c>
      <c r="I27">
        <f>I8+I10+I13</f>
        <v/>
      </c>
      <c r="J27">
        <f>J8+J10+J13</f>
        <v/>
      </c>
      <c r="K27">
        <f>K8+K10+K13</f>
        <v/>
      </c>
      <c r="L27">
        <f>L8+L10+L13</f>
        <v/>
      </c>
    </row>
    <row r="28">
      <c r="A28" t="inlineStr">
        <is>
          <t>Memo: NPAT-equivalent</t>
        </is>
      </c>
      <c r="C28">
        <f>C27*(1-C15)</f>
        <v/>
      </c>
      <c r="D28">
        <f>D27*(1-D15)</f>
        <v/>
      </c>
      <c r="E28">
        <f>E27*(1-E15)</f>
        <v/>
      </c>
      <c r="F28">
        <f>F27*(1-F15)</f>
        <v/>
      </c>
      <c r="G28">
        <f>G27*(1-G15)</f>
        <v/>
      </c>
      <c r="H28">
        <f>H27*(1-H15)</f>
        <v/>
      </c>
      <c r="I28">
        <f>I27*(1-I15)</f>
        <v/>
      </c>
      <c r="J28">
        <f>J27*(1-J15)</f>
        <v/>
      </c>
      <c r="K28">
        <f>K27*(1-K15)</f>
        <v/>
      </c>
      <c r="L28">
        <f>L27*(1-L15)</f>
        <v/>
      </c>
    </row>
    <row r="30">
      <c r="A30" t="inlineStr">
        <is>
          <t>Sum of PV of FCF</t>
        </is>
      </c>
      <c r="B30">
        <f>SUM(C23:L23)</f>
        <v/>
      </c>
    </row>
    <row r="31">
      <c r="A31" t="inlineStr">
        <is>
          <t>Terminal growth</t>
        </is>
      </c>
      <c r="B31" s="5">
        <f>Assumptions!$B$17</f>
        <v/>
      </c>
    </row>
    <row r="32">
      <c r="A32" t="inlineStr">
        <is>
          <t>Terminal FCF (yr 11)</t>
        </is>
      </c>
      <c r="B32">
        <f>L21*(1+B31)</f>
        <v/>
      </c>
    </row>
    <row r="33">
      <c r="A33" t="inlineStr">
        <is>
          <t>Gordon TV</t>
        </is>
      </c>
      <c r="B33">
        <f>IF(Assumptions!$B$6&gt;B31,B32/(Assumptions!$B$6-B31),0)</f>
        <v/>
      </c>
    </row>
    <row r="34">
      <c r="A34" t="inlineStr">
        <is>
          <t>Cap TV</t>
        </is>
      </c>
      <c r="B34">
        <f>Assumptions!$B$10*L21</f>
        <v/>
      </c>
    </row>
    <row r="35">
      <c r="A35" t="inlineStr">
        <is>
          <t>TV used</t>
        </is>
      </c>
      <c r="B35">
        <f>MAX(0,MIN(B33,B34))</f>
        <v/>
      </c>
    </row>
    <row r="36">
      <c r="A36" t="inlineStr">
        <is>
          <t>Implied exit multiple (x FCF_10)</t>
        </is>
      </c>
      <c r="B36">
        <f>IF(L21&lt;&gt;0,B35/L21,0)</f>
        <v/>
      </c>
    </row>
    <row r="37">
      <c r="A37" t="inlineStr">
        <is>
          <t>PV of TV</t>
        </is>
      </c>
      <c r="B37">
        <f>B35*L22</f>
        <v/>
      </c>
    </row>
    <row r="38">
      <c r="A38" t="inlineStr">
        <is>
          <t>Equity value (EV; no bridge)</t>
        </is>
      </c>
      <c r="B38">
        <f>B30+B37</f>
        <v/>
      </c>
    </row>
    <row r="39">
      <c r="A39" t="inlineStr">
        <is>
          <t>less net debt</t>
        </is>
      </c>
      <c r="B39" s="6">
        <f>-Assumptions!$B$5</f>
        <v/>
      </c>
    </row>
    <row r="40">
      <c r="A40" t="inlineStr">
        <is>
          <t>Equity value</t>
        </is>
      </c>
      <c r="B40">
        <f>B38+B39</f>
        <v/>
      </c>
    </row>
    <row r="41">
      <c r="A41" t="inlineStr">
        <is>
          <t>Diluted shares (m)</t>
        </is>
      </c>
      <c r="B41" s="6">
        <f>Assumptions!$B$4</f>
        <v/>
      </c>
    </row>
    <row r="42">
      <c r="A42" t="inlineStr">
        <is>
          <t>Value per share (NZ$)</t>
        </is>
      </c>
      <c r="B42" s="8">
        <f>B40/B41</f>
        <v/>
      </c>
    </row>
    <row r="43">
      <c r="A43" t="inlineStr">
        <is>
          <t>Upside vs price</t>
        </is>
      </c>
      <c r="B43" s="7">
        <f>B42/Assumptions!$B$3-1</f>
        <v/>
      </c>
    </row>
    <row r="45">
      <c r="A45" t="inlineStr">
        <is>
          <t>Street: PV of explicit SBC</t>
        </is>
      </c>
      <c r="B45">
        <f>SUMPRODUCT(-C10:L10/(1+Assumptions!$B$6)^C4:L4)</f>
        <v/>
      </c>
    </row>
    <row r="46">
      <c r="A46" t="inlineStr">
        <is>
          <t>Street: PV of terminal SBC</t>
        </is>
      </c>
      <c r="B46">
        <f>IF(Assumptions!$B$6&gt;B31,(-L10*(1+B31)/(Assumptions!$B$6-B31))*L22,0)</f>
        <v/>
      </c>
    </row>
    <row r="47">
      <c r="A47" t="inlineStr">
        <is>
          <t>Street value per share</t>
        </is>
      </c>
      <c r="B47">
        <f>(B40+B45+B46)/B41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Reported FCF reconciled to distributable owner FCF (NZ$m)</t>
        </is>
      </c>
    </row>
    <row r="2">
      <c r="B2" s="1" t="inlineStr">
        <is>
          <t>FY2021</t>
        </is>
      </c>
      <c r="C2" s="1" t="inlineStr">
        <is>
          <t>FY2022</t>
        </is>
      </c>
      <c r="D2" s="1" t="inlineStr">
        <is>
          <t>FY2023</t>
        </is>
      </c>
      <c r="E2" s="1" t="inlineStr">
        <is>
          <t>FY2024</t>
        </is>
      </c>
      <c r="F2" s="1" t="inlineStr">
        <is>
          <t>FY2025</t>
        </is>
      </c>
      <c r="G2" s="1" t="inlineStr">
        <is>
          <t>FY2026</t>
        </is>
      </c>
    </row>
    <row r="3">
      <c r="A3" t="inlineStr">
        <is>
          <t>Operating cash flow (reported)</t>
        </is>
      </c>
      <c r="B3" s="2" t="n">
        <v>10.878</v>
      </c>
      <c r="C3" s="2" t="n">
        <v>-43.941</v>
      </c>
      <c r="D3" s="2" t="n">
        <v>68.31699999999999</v>
      </c>
      <c r="E3" s="2" t="n">
        <v>29.671</v>
      </c>
      <c r="F3" s="2" t="n">
        <v>33.457</v>
      </c>
      <c r="G3" s="2" t="n">
        <v>-74.98099999999999</v>
      </c>
    </row>
    <row r="4">
      <c r="A4" t="inlineStr">
        <is>
          <t>less capex</t>
        </is>
      </c>
      <c r="B4" s="2" t="n">
        <v>-8.641</v>
      </c>
      <c r="C4" s="2" t="n">
        <v>-16.121</v>
      </c>
      <c r="D4" s="2" t="n">
        <v>-44.177</v>
      </c>
      <c r="E4" s="2" t="n">
        <v>-18.641</v>
      </c>
      <c r="F4" s="2" t="n">
        <v>-32.136</v>
      </c>
      <c r="G4" s="2" t="n">
        <v>-41.7</v>
      </c>
    </row>
    <row r="5">
      <c r="A5" t="inlineStr">
        <is>
          <t>Equals: Reported FCF</t>
        </is>
      </c>
      <c r="B5">
        <f>B3+B4</f>
        <v/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t="inlineStr">
        <is>
          <t>of which: net increase in finance receivables (loan-book growth, debt-funded)</t>
        </is>
      </c>
      <c r="B6" s="2" t="n"/>
      <c r="C6" s="2" t="n"/>
      <c r="D6" s="2" t="n"/>
      <c r="E6" s="2" t="n"/>
      <c r="F6" s="2" t="n">
        <v>-20.062</v>
      </c>
      <c r="G6" s="2" t="n">
        <v>-116.121</v>
      </c>
    </row>
    <row r="7">
      <c r="A7" t="inlineStr">
        <is>
          <t>Normalised NPAT</t>
        </is>
      </c>
      <c r="B7" s="2" t="n">
        <v>26.864</v>
      </c>
      <c r="C7" s="2" t="n">
        <v>31.281</v>
      </c>
      <c r="D7" s="2" t="n">
        <v>32.566</v>
      </c>
      <c r="E7" s="2" t="n">
        <v>32.966</v>
      </c>
      <c r="F7" s="2" t="n">
        <v>38.587</v>
      </c>
      <c r="G7" s="2" t="n">
        <v>45.6</v>
      </c>
    </row>
    <row r="8">
      <c r="A8" t="inlineStr">
        <is>
          <t>add D&amp;A</t>
        </is>
      </c>
      <c r="B8" s="2" t="n">
        <v>11.418</v>
      </c>
      <c r="C8" s="2" t="n">
        <v>10.702</v>
      </c>
      <c r="D8" s="2" t="n">
        <v>11.478</v>
      </c>
      <c r="E8" s="2" t="n">
        <v>11.968</v>
      </c>
      <c r="F8" s="2" t="n">
        <v>11.651</v>
      </c>
      <c r="G8" s="2" t="n">
        <v>11.097</v>
      </c>
    </row>
    <row r="9">
      <c r="A9" t="inlineStr">
        <is>
          <t>less capex</t>
        </is>
      </c>
      <c r="B9" s="2" t="n">
        <v>-8.641</v>
      </c>
      <c r="C9" s="2" t="n">
        <v>-16.121</v>
      </c>
      <c r="D9" s="2" t="n">
        <v>-44.177</v>
      </c>
      <c r="E9" s="2" t="n">
        <v>-18.641</v>
      </c>
      <c r="F9" s="2" t="n">
        <v>-32.136</v>
      </c>
      <c r="G9" s="2" t="n">
        <v>-41.7</v>
      </c>
    </row>
    <row r="10">
      <c r="A10" t="inlineStr">
        <is>
          <t>add PP&amp;E disposal proceeds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6.456</v>
      </c>
      <c r="G10" s="2" t="n">
        <v>3.304</v>
      </c>
    </row>
    <row r="11">
      <c r="A11" t="inlineStr">
        <is>
          <t>less lease principal</t>
        </is>
      </c>
      <c r="B11" s="2" t="n">
        <v>-6.346</v>
      </c>
      <c r="C11" s="2" t="n">
        <v>-5.563</v>
      </c>
      <c r="D11" s="2" t="n">
        <v>-7.501</v>
      </c>
      <c r="E11" s="2" t="n">
        <v>-6.303</v>
      </c>
      <c r="F11" s="2" t="n">
        <v>-6.676</v>
      </c>
      <c r="G11" s="2" t="n">
        <v>-6.944</v>
      </c>
    </row>
    <row r="12">
      <c r="A12" t="inlineStr">
        <is>
          <t>Equals: Distributable owner FCF (before loan-book equity retention)</t>
        </is>
      </c>
      <c r="B12">
        <f>SUM(B7:B11)</f>
        <v/>
      </c>
      <c r="C12">
        <f>SUM(C7:C11)</f>
        <v/>
      </c>
      <c r="D12">
        <f>SUM(D7:D11)</f>
        <v/>
      </c>
      <c r="E12">
        <f>SUM(E7:E11)</f>
        <v/>
      </c>
      <c r="F12">
        <f>SUM(F7:F11)</f>
        <v/>
      </c>
      <c r="G12">
        <f>SUM(G7:G11)</f>
        <v/>
      </c>
    </row>
    <row r="13">
      <c r="A13" t="inlineStr">
        <is>
          <t>Reported FCF margin</t>
        </is>
      </c>
      <c r="B13" s="7">
        <f>B5/B16</f>
        <v/>
      </c>
      <c r="C13" s="7">
        <f>C5/C16</f>
        <v/>
      </c>
      <c r="D13" s="7">
        <f>D5/D16</f>
        <v/>
      </c>
      <c r="E13" s="7">
        <f>E5/E16</f>
        <v/>
      </c>
      <c r="F13" s="7">
        <f>F5/F16</f>
        <v/>
      </c>
      <c r="G13" s="7">
        <f>G5/G16</f>
        <v/>
      </c>
    </row>
    <row r="14">
      <c r="A14" t="inlineStr">
        <is>
          <t>Distributable FCF margin</t>
        </is>
      </c>
      <c r="B14" s="7">
        <f>B12/B16</f>
        <v/>
      </c>
      <c r="C14" s="7">
        <f>C12/C16</f>
        <v/>
      </c>
      <c r="D14" s="7">
        <f>D12/D16</f>
        <v/>
      </c>
      <c r="E14" s="7">
        <f>E12/E16</f>
        <v/>
      </c>
      <c r="F14" s="7">
        <f>F12/F16</f>
        <v/>
      </c>
      <c r="G14" s="7">
        <f>G12/G16</f>
        <v/>
      </c>
    </row>
    <row r="15">
      <c r="A15" t="inlineStr">
        <is>
          <t>Cash tax rate (paid / normalised PBT)</t>
        </is>
      </c>
      <c r="B15" s="7">
        <f>8.166/37.375</f>
        <v/>
      </c>
      <c r="C15" s="7">
        <f>9.326/43.12</f>
        <v/>
      </c>
      <c r="D15" s="7">
        <f>10.394/45.545</f>
        <v/>
      </c>
      <c r="E15" s="7">
        <f>15.259/49.139</f>
        <v/>
      </c>
      <c r="F15" s="7">
        <f>14.451/54.274</f>
        <v/>
      </c>
      <c r="G15" s="7">
        <f>17.512/63.224</f>
        <v/>
      </c>
    </row>
    <row r="16">
      <c r="A16" t="inlineStr">
        <is>
          <t>Revenue</t>
        </is>
      </c>
      <c r="B16" s="2" t="n">
        <v>296.512</v>
      </c>
      <c r="C16" s="2" t="n">
        <v>342.029</v>
      </c>
      <c r="D16" s="2" t="n">
        <v>389.027</v>
      </c>
      <c r="E16" s="2" t="n">
        <v>416.145</v>
      </c>
      <c r="F16" s="2" t="n">
        <v>412.904</v>
      </c>
      <c r="G16" s="2" t="n">
        <v>450.171</v>
      </c>
    </row>
    <row r="18">
      <c r="A18" t="inlineStr">
        <is>
          <t>Note: FY2026 NPAT normalised for the 7.474 EC Credit goodwill write-down. FY2023 and FY2026 distributable FCF are depressed by branch-property capex peaks; the model's year-1 FCF is component-built (see DCF tabs), not a carry-forward.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Valuation summary (NZ$ per share)</t>
        </is>
      </c>
    </row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value/share</t>
        </is>
      </c>
      <c r="F3" s="1" t="inlineStr">
        <is>
          <t>Entry price @ hurdle</t>
        </is>
      </c>
    </row>
    <row r="4">
      <c r="A4" t="inlineStr">
        <is>
          <t>Bear</t>
        </is>
      </c>
      <c r="B4" s="6">
        <f>DCF_Bear!B42</f>
        <v/>
      </c>
      <c r="C4" s="7">
        <f>B4/Assumptions!$B$3-1</f>
        <v/>
      </c>
      <c r="D4" s="6">
        <f>Assumptions!C15</f>
        <v/>
      </c>
      <c r="E4" s="6">
        <f>DCF_Bear!B47</f>
        <v/>
      </c>
      <c r="F4">
        <f>(SUMPRODUCT(DCF_Bear!$C$21:$L$21/(1+Assumptions!$B$11)^DCF_Bear!$C$4:$L$4)+MAX(0,MIN(IF(Assumptions!$B$11&gt;Assumptions!$B$15,DCF_Bear!$L$21*(1+Assumptions!$B$15)/(Assumptions!$B$11-Assumptions!$B$15),0),Assumptions!$B$10*DCF_Bear!$L$21))/(1+Assumptions!$B$11)^10-Assumptions!$B$5)/Assumptions!$B$4</f>
        <v/>
      </c>
    </row>
    <row r="5">
      <c r="A5" t="inlineStr">
        <is>
          <t>Base</t>
        </is>
      </c>
      <c r="B5" s="6">
        <f>DCF_Base!B42</f>
        <v/>
      </c>
      <c r="C5" s="7">
        <f>B5/Assumptions!$B$3-1</f>
        <v/>
      </c>
      <c r="D5" s="6">
        <f>Assumptions!C16</f>
        <v/>
      </c>
      <c r="E5" s="6">
        <f>DCF_Base!B47</f>
        <v/>
      </c>
      <c r="F5">
        <f>(SUMPRODUCT(DCF_Base!$C$21:$L$21/(1+Assumptions!$B$11)^DCF_Base!$C$4:$L$4)+MAX(0,MIN(IF(Assumptions!$B$11&gt;Assumptions!$B$16,DCF_Base!$L$21*(1+Assumptions!$B$16)/(Assumptions!$B$11-Assumptions!$B$16),0),Assumptions!$B$10*DCF_Base!$L$21))/(1+Assumptions!$B$11)^10-Assumptions!$B$5)/Assumptions!$B$4</f>
        <v/>
      </c>
    </row>
    <row r="6">
      <c r="A6" t="inlineStr">
        <is>
          <t>Bull</t>
        </is>
      </c>
      <c r="B6" s="6">
        <f>DCF_Bull!B42</f>
        <v/>
      </c>
      <c r="C6" s="7">
        <f>B6/Assumptions!$B$3-1</f>
        <v/>
      </c>
      <c r="D6" s="6">
        <f>Assumptions!C17</f>
        <v/>
      </c>
      <c r="E6" s="6">
        <f>DCF_Bull!B47</f>
        <v/>
      </c>
      <c r="F6">
        <f>(SUMPRODUCT(DCF_Bull!$C$21:$L$21/(1+Assumptions!$B$11)^DCF_Bull!$C$4:$L$4)+MAX(0,MIN(IF(Assumptions!$B$11&gt;Assumptions!$B$17,DCF_Bull!$L$21*(1+Assumptions!$B$17)/(Assumptions!$B$11-Assumptions!$B$17),0),Assumptions!$B$10*DCF_Bull!$L$21))/(1+Assumptions!$B$11)^10-Assumptions!$B$5)/Assumptions!$B$4</f>
        <v/>
      </c>
    </row>
    <row r="8">
      <c r="A8" t="inlineStr">
        <is>
          <t>Probability-weighted value</t>
        </is>
      </c>
      <c r="B8" s="8">
        <f>SUMPRODUCT(B4:B6,D4:D6)</f>
        <v/>
      </c>
    </row>
    <row r="9">
      <c r="A9" t="inlineStr">
        <is>
          <t>Current price</t>
        </is>
      </c>
      <c r="B9" s="6">
        <f>Assumptions!B3</f>
        <v/>
      </c>
    </row>
    <row r="10">
      <c r="A10" t="inlineStr">
        <is>
          <t>Margin of safety</t>
        </is>
      </c>
      <c r="B10" s="7">
        <f>1-B9/B8</f>
        <v/>
      </c>
    </row>
    <row r="11">
      <c r="A11" t="inlineStr">
        <is>
          <t>Street weighted value</t>
        </is>
      </c>
      <c r="B11">
        <f>SUMPRODUCT(E4:E6,D4:D6)</f>
        <v/>
      </c>
    </row>
    <row r="12">
      <c r="A12" t="inlineStr">
        <is>
          <t>Band position (0%=house,100%=street)</t>
        </is>
      </c>
      <c r="B12" s="7">
        <f>IF(ABS(B11-B8)&lt;0.0001,"n/a",(B9-B8)/(B11-B8))</f>
        <v/>
      </c>
    </row>
    <row r="13">
      <c r="A13" t="inlineStr">
        <is>
          <t>Weighted entry price (15% hurdle)</t>
        </is>
      </c>
      <c r="B13" s="9">
        <f>SUMPRODUCT(F4:F6,D4:D6)</f>
        <v/>
      </c>
    </row>
    <row r="15">
      <c r="A15" s="1" t="inlineStr">
        <is>
          <t>Required-return table (base case, TV rebuilt at each rate)</t>
        </is>
      </c>
    </row>
    <row r="16">
      <c r="A16" t="inlineStr">
        <is>
          <t>Required return</t>
        </is>
      </c>
      <c r="B16" t="inlineStr">
        <is>
          <t>Value/share</t>
        </is>
      </c>
    </row>
    <row r="17">
      <c r="A17" s="10" t="n">
        <v>0.09</v>
      </c>
      <c r="B17">
        <f>(SUMPRODUCT(DCF_Base!$C$21:$L$21/(1+$A17)^DCF_Base!$C$4:$L$4)+MAX(0,MIN(IF($A17&gt;Assumptions!$B$16,DCF_Base!$L$21*(1+Assumptions!$B$16)/($A17-Assumptions!$B$16),0),Assumptions!$B$10*DCF_Base!$L$21))/(1+$A17)^10-Assumptions!$B$5)/Assumptions!$B$4</f>
        <v/>
      </c>
    </row>
    <row r="18">
      <c r="A18" s="10" t="n">
        <v>0.1</v>
      </c>
      <c r="B18">
        <f>(SUMPRODUCT(DCF_Base!$C$21:$L$21/(1+$A18)^DCF_Base!$C$4:$L$4)+MAX(0,MIN(IF($A18&gt;Assumptions!$B$16,DCF_Base!$L$21*(1+Assumptions!$B$16)/($A18-Assumptions!$B$16),0),Assumptions!$B$10*DCF_Base!$L$21))/(1+$A18)^10-Assumptions!$B$5)/Assumptions!$B$4</f>
        <v/>
      </c>
    </row>
    <row r="19">
      <c r="A19" s="10" t="n">
        <v>0.11</v>
      </c>
      <c r="B19">
        <f>(SUMPRODUCT(DCF_Base!$C$21:$L$21/(1+$A19)^DCF_Base!$C$4:$L$4)+MAX(0,MIN(IF($A19&gt;Assumptions!$B$16,DCF_Base!$L$21*(1+Assumptions!$B$16)/($A19-Assumptions!$B$16),0),Assumptions!$B$10*DCF_Base!$L$21))/(1+$A19)^10-Assumptions!$B$5)/Assumptions!$B$4</f>
        <v/>
      </c>
    </row>
    <row r="20">
      <c r="A20" s="10" t="n">
        <v>0.12</v>
      </c>
      <c r="B20">
        <f>(SUMPRODUCT(DCF_Base!$C$21:$L$21/(1+$A20)^DCF_Base!$C$4:$L$4)+MAX(0,MIN(IF($A20&gt;Assumptions!$B$16,DCF_Base!$L$21*(1+Assumptions!$B$16)/($A20-Assumptions!$B$16),0),Assumptions!$B$10*DCF_Base!$L$21))/(1+$A20)^10-Assumptions!$B$5)/Assumptions!$B$4</f>
        <v/>
      </c>
    </row>
    <row r="21">
      <c r="A21" s="10" t="n">
        <v>0.15</v>
      </c>
      <c r="B21">
        <f>(SUMPRODUCT(DCF_Base!$C$21:$L$21/(1+$A21)^DCF_Base!$C$4:$L$4)+MAX(0,MIN(IF($A21&gt;Assumptions!$B$16,DCF_Base!$L$21*(1+Assumptions!$B$16)/($A21-Assumptions!$B$16),0),Assumptions!$B$10*DCF_Base!$L$21))/(1+$A21)^10-Assumptions!$B$5)/Assumptions!$B$4</f>
        <v/>
      </c>
    </row>
    <row r="22">
      <c r="A22" s="5">
        <f>Assumptions!B6</f>
        <v/>
      </c>
      <c r="B22">
        <f>(SUMPRODUCT(DCF_Base!$C$21:$L$21/(1+$A22)^DCF_Base!$C$4:$L$4)+MAX(0,MIN(IF($A22&gt;Assumptions!$B$16,DCF_Base!$L$21*(1+Assumptions!$B$16)/($A22-Assumptions!$B$16),0),Assumptions!$B$10*DCF_Base!$L$21))/(1+$A22)^10-Assumptions!$B$5)/Assumptions!$B$4</f>
        <v/>
      </c>
      <c r="C22" t="inlineStr">
        <is>
          <t>model cost of equity (must equal DCF_Base!B42)</t>
        </is>
      </c>
    </row>
    <row r="24">
      <c r="A24" s="1" t="inlineStr">
        <is>
          <t>Sensitivity: cost of equity (rows) x terminal growth (cols), base case</t>
        </is>
      </c>
    </row>
    <row r="25">
      <c r="B25" s="4" t="n">
        <v>0.02</v>
      </c>
      <c r="C25" s="4" t="n">
        <v>0.025</v>
      </c>
      <c r="D25" s="4" t="n">
        <v>0.03</v>
      </c>
      <c r="E25" s="4" t="n">
        <v>0.035</v>
      </c>
      <c r="F25" s="4" t="n">
        <v>0.04</v>
      </c>
    </row>
    <row r="26">
      <c r="A26" s="4" t="n">
        <v>0.09</v>
      </c>
      <c r="B26">
        <f>IF($A26&gt;B$25,(SUMPRODUCT(DCF_Base!$C$21:$L$21/(1+$A26)^DCF_Base!$C$4:$L$4)+MAX(0,MIN(IF($A26&gt;B$25,DCF_Base!$L$21*(1+B$25)/($A26-B$25),0),Assumptions!$B$10*DCF_Base!$L$21))/(1+$A26)^10-Assumptions!$B$5)/Assumptions!$B$4,"n/a")</f>
        <v/>
      </c>
      <c r="C26">
        <f>IF($A26&gt;C$25,(SUMPRODUCT(DCF_Base!$C$21:$L$21/(1+$A26)^DCF_Base!$C$4:$L$4)+MAX(0,MIN(IF($A26&gt;C$25,DCF_Base!$L$21*(1+C$25)/($A26-C$25),0),Assumptions!$B$10*DCF_Base!$L$21))/(1+$A26)^10-Assumptions!$B$5)/Assumptions!$B$4,"n/a")</f>
        <v/>
      </c>
      <c r="D26">
        <f>IF($A26&gt;D$25,(SUMPRODUCT(DCF_Base!$C$21:$L$21/(1+$A26)^DCF_Base!$C$4:$L$4)+MAX(0,MIN(IF($A26&gt;D$25,DCF_Base!$L$21*(1+D$25)/($A26-D$25),0),Assumptions!$B$10*DCF_Base!$L$21))/(1+$A26)^10-Assumptions!$B$5)/Assumptions!$B$4,"n/a")</f>
        <v/>
      </c>
      <c r="E26">
        <f>IF($A26&gt;E$25,(SUMPRODUCT(DCF_Base!$C$21:$L$21/(1+$A26)^DCF_Base!$C$4:$L$4)+MAX(0,MIN(IF($A26&gt;E$25,DCF_Base!$L$21*(1+E$25)/($A26-E$25),0),Assumptions!$B$10*DCF_Base!$L$21))/(1+$A26)^10-Assumptions!$B$5)/Assumptions!$B$4,"n/a")</f>
        <v/>
      </c>
      <c r="F26">
        <f>IF($A26&gt;F$25,(SUMPRODUCT(DCF_Base!$C$21:$L$21/(1+$A26)^DCF_Base!$C$4:$L$4)+MAX(0,MIN(IF($A26&gt;F$25,DCF_Base!$L$21*(1+F$25)/($A26-F$25),0),Assumptions!$B$10*DCF_Base!$L$21))/(1+$A26)^10-Assumptions!$B$5)/Assumptions!$B$4,"n/a")</f>
        <v/>
      </c>
    </row>
    <row r="27">
      <c r="A27" s="4" t="n">
        <v>0.1</v>
      </c>
      <c r="B27">
        <f>IF($A27&gt;B$25,(SUMPRODUCT(DCF_Base!$C$21:$L$21/(1+$A27)^DCF_Base!$C$4:$L$4)+MAX(0,MIN(IF($A27&gt;B$25,DCF_Base!$L$21*(1+B$25)/($A27-B$25),0),Assumptions!$B$10*DCF_Base!$L$21))/(1+$A27)^10-Assumptions!$B$5)/Assumptions!$B$4,"n/a")</f>
        <v/>
      </c>
      <c r="C27">
        <f>IF($A27&gt;C$25,(SUMPRODUCT(DCF_Base!$C$21:$L$21/(1+$A27)^DCF_Base!$C$4:$L$4)+MAX(0,MIN(IF($A27&gt;C$25,DCF_Base!$L$21*(1+C$25)/($A27-C$25),0),Assumptions!$B$10*DCF_Base!$L$21))/(1+$A27)^10-Assumptions!$B$5)/Assumptions!$B$4,"n/a")</f>
        <v/>
      </c>
      <c r="D27">
        <f>IF($A27&gt;D$25,(SUMPRODUCT(DCF_Base!$C$21:$L$21/(1+$A27)^DCF_Base!$C$4:$L$4)+MAX(0,MIN(IF($A27&gt;D$25,DCF_Base!$L$21*(1+D$25)/($A27-D$25),0),Assumptions!$B$10*DCF_Base!$L$21))/(1+$A27)^10-Assumptions!$B$5)/Assumptions!$B$4,"n/a")</f>
        <v/>
      </c>
      <c r="E27">
        <f>IF($A27&gt;E$25,(SUMPRODUCT(DCF_Base!$C$21:$L$21/(1+$A27)^DCF_Base!$C$4:$L$4)+MAX(0,MIN(IF($A27&gt;E$25,DCF_Base!$L$21*(1+E$25)/($A27-E$25),0),Assumptions!$B$10*DCF_Base!$L$21))/(1+$A27)^10-Assumptions!$B$5)/Assumptions!$B$4,"n/a")</f>
        <v/>
      </c>
      <c r="F27">
        <f>IF($A27&gt;F$25,(SUMPRODUCT(DCF_Base!$C$21:$L$21/(1+$A27)^DCF_Base!$C$4:$L$4)+MAX(0,MIN(IF($A27&gt;F$25,DCF_Base!$L$21*(1+F$25)/($A27-F$25),0),Assumptions!$B$10*DCF_Base!$L$21))/(1+$A27)^10-Assumptions!$B$5)/Assumptions!$B$4,"n/a")</f>
        <v/>
      </c>
    </row>
    <row r="28">
      <c r="A28" s="4" t="n">
        <v>0.11</v>
      </c>
      <c r="B28">
        <f>IF($A28&gt;B$25,(SUMPRODUCT(DCF_Base!$C$21:$L$21/(1+$A28)^DCF_Base!$C$4:$L$4)+MAX(0,MIN(IF($A28&gt;B$25,DCF_Base!$L$21*(1+B$25)/($A28-B$25),0),Assumptions!$B$10*DCF_Base!$L$21))/(1+$A28)^10-Assumptions!$B$5)/Assumptions!$B$4,"n/a")</f>
        <v/>
      </c>
      <c r="C28">
        <f>IF($A28&gt;C$25,(SUMPRODUCT(DCF_Base!$C$21:$L$21/(1+$A28)^DCF_Base!$C$4:$L$4)+MAX(0,MIN(IF($A28&gt;C$25,DCF_Base!$L$21*(1+C$25)/($A28-C$25),0),Assumptions!$B$10*DCF_Base!$L$21))/(1+$A28)^10-Assumptions!$B$5)/Assumptions!$B$4,"n/a")</f>
        <v/>
      </c>
      <c r="D28" s="9">
        <f>IF($A28&gt;D$25,(SUMPRODUCT(DCF_Base!$C$21:$L$21/(1+$A28)^DCF_Base!$C$4:$L$4)+MAX(0,MIN(IF($A28&gt;D$25,DCF_Base!$L$21*(1+D$25)/($A28-D$25),0),Assumptions!$B$10*DCF_Base!$L$21))/(1+$A28)^10-Assumptions!$B$5)/Assumptions!$B$4,"n/a")</f>
        <v/>
      </c>
      <c r="E28">
        <f>IF($A28&gt;E$25,(SUMPRODUCT(DCF_Base!$C$21:$L$21/(1+$A28)^DCF_Base!$C$4:$L$4)+MAX(0,MIN(IF($A28&gt;E$25,DCF_Base!$L$21*(1+E$25)/($A28-E$25),0),Assumptions!$B$10*DCF_Base!$L$21))/(1+$A28)^10-Assumptions!$B$5)/Assumptions!$B$4,"n/a")</f>
        <v/>
      </c>
      <c r="F28">
        <f>IF($A28&gt;F$25,(SUMPRODUCT(DCF_Base!$C$21:$L$21/(1+$A28)^DCF_Base!$C$4:$L$4)+MAX(0,MIN(IF($A28&gt;F$25,DCF_Base!$L$21*(1+F$25)/($A28-F$25),0),Assumptions!$B$10*DCF_Base!$L$21))/(1+$A28)^10-Assumptions!$B$5)/Assumptions!$B$4,"n/a")</f>
        <v/>
      </c>
    </row>
    <row r="29">
      <c r="A29" s="4" t="n">
        <v>0.12</v>
      </c>
      <c r="B29">
        <f>IF($A29&gt;B$25,(SUMPRODUCT(DCF_Base!$C$21:$L$21/(1+$A29)^DCF_Base!$C$4:$L$4)+MAX(0,MIN(IF($A29&gt;B$25,DCF_Base!$L$21*(1+B$25)/($A29-B$25),0),Assumptions!$B$10*DCF_Base!$L$21))/(1+$A29)^10-Assumptions!$B$5)/Assumptions!$B$4,"n/a")</f>
        <v/>
      </c>
      <c r="C29">
        <f>IF($A29&gt;C$25,(SUMPRODUCT(DCF_Base!$C$21:$L$21/(1+$A29)^DCF_Base!$C$4:$L$4)+MAX(0,MIN(IF($A29&gt;C$25,DCF_Base!$L$21*(1+C$25)/($A29-C$25),0),Assumptions!$B$10*DCF_Base!$L$21))/(1+$A29)^10-Assumptions!$B$5)/Assumptions!$B$4,"n/a")</f>
        <v/>
      </c>
      <c r="D29">
        <f>IF($A29&gt;D$25,(SUMPRODUCT(DCF_Base!$C$21:$L$21/(1+$A29)^DCF_Base!$C$4:$L$4)+MAX(0,MIN(IF($A29&gt;D$25,DCF_Base!$L$21*(1+D$25)/($A29-D$25),0),Assumptions!$B$10*DCF_Base!$L$21))/(1+$A29)^10-Assumptions!$B$5)/Assumptions!$B$4,"n/a")</f>
        <v/>
      </c>
      <c r="E29">
        <f>IF($A29&gt;E$25,(SUMPRODUCT(DCF_Base!$C$21:$L$21/(1+$A29)^DCF_Base!$C$4:$L$4)+MAX(0,MIN(IF($A29&gt;E$25,DCF_Base!$L$21*(1+E$25)/($A29-E$25),0),Assumptions!$B$10*DCF_Base!$L$21))/(1+$A29)^10-Assumptions!$B$5)/Assumptions!$B$4,"n/a")</f>
        <v/>
      </c>
      <c r="F29">
        <f>IF($A29&gt;F$25,(SUMPRODUCT(DCF_Base!$C$21:$L$21/(1+$A29)^DCF_Base!$C$4:$L$4)+MAX(0,MIN(IF($A29&gt;F$25,DCF_Base!$L$21*(1+F$25)/($A29-F$25),0),Assumptions!$B$10*DCF_Base!$L$21))/(1+$A29)^10-Assumptions!$B$5)/Assumptions!$B$4,"n/a")</f>
        <v/>
      </c>
    </row>
    <row r="30">
      <c r="A30" s="4" t="n">
        <v>0.13</v>
      </c>
      <c r="B30">
        <f>IF($A30&gt;B$25,(SUMPRODUCT(DCF_Base!$C$21:$L$21/(1+$A30)^DCF_Base!$C$4:$L$4)+MAX(0,MIN(IF($A30&gt;B$25,DCF_Base!$L$21*(1+B$25)/($A30-B$25),0),Assumptions!$B$10*DCF_Base!$L$21))/(1+$A30)^10-Assumptions!$B$5)/Assumptions!$B$4,"n/a")</f>
        <v/>
      </c>
      <c r="C30">
        <f>IF($A30&gt;C$25,(SUMPRODUCT(DCF_Base!$C$21:$L$21/(1+$A30)^DCF_Base!$C$4:$L$4)+MAX(0,MIN(IF($A30&gt;C$25,DCF_Base!$L$21*(1+C$25)/($A30-C$25),0),Assumptions!$B$10*DCF_Base!$L$21))/(1+$A30)^10-Assumptions!$B$5)/Assumptions!$B$4,"n/a")</f>
        <v/>
      </c>
      <c r="D30">
        <f>IF($A30&gt;D$25,(SUMPRODUCT(DCF_Base!$C$21:$L$21/(1+$A30)^DCF_Base!$C$4:$L$4)+MAX(0,MIN(IF($A30&gt;D$25,DCF_Base!$L$21*(1+D$25)/($A30-D$25),0),Assumptions!$B$10*DCF_Base!$L$21))/(1+$A30)^10-Assumptions!$B$5)/Assumptions!$B$4,"n/a")</f>
        <v/>
      </c>
      <c r="E30">
        <f>IF($A30&gt;E$25,(SUMPRODUCT(DCF_Base!$C$21:$L$21/(1+$A30)^DCF_Base!$C$4:$L$4)+MAX(0,MIN(IF($A30&gt;E$25,DCF_Base!$L$21*(1+E$25)/($A30-E$25),0),Assumptions!$B$10*DCF_Base!$L$21))/(1+$A30)^10-Assumptions!$B$5)/Assumptions!$B$4,"n/a")</f>
        <v/>
      </c>
      <c r="F30">
        <f>IF($A30&gt;F$25,(SUMPRODUCT(DCF_Base!$C$21:$L$21/(1+$A30)^DCF_Base!$C$4:$L$4)+MAX(0,MIN(IF($A30&gt;F$25,DCF_Base!$L$21*(1+F$25)/($A30-F$25),0),Assumptions!$B$10*DCF_Base!$L$21))/(1+$A30)^10-Assumptions!$B$5)/Assumptions!$B$4,"n/a")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2026-09-13T04:23:17Z</dcterms:created>
  <dcterms:modified xmlns:dcterms="http://purl.org/dc/terms/" xmlns:xsi="http://www.w3.org/2001/XMLSchema-instance" xsi:type="dcterms:W3CDTF">2026-09-13T04:23:17Z</dcterms:modified>
</cp:coreProperties>
</file>