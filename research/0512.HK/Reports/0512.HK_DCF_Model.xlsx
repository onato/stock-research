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<sst xmlns="http://schemas.openxmlformats.org/spreadsheetml/2006/main" count="359" uniqueCount="166">
  <si>
    <t xml:space="preserve">Ticker</t>
  </si>
  <si>
    <t xml:space="preserve">0512.HK</t>
  </si>
  <si>
    <t xml:space="preserve">Company</t>
  </si>
  <si>
    <t xml:space="preserve">Grand Pharmaceutical Group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</si>
  <si>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</si>
  <si>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</si>
  <si>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</si>
  <si>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</si>
  <si>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(HKEX regular close, Friday; 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</si>
  <si>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</si>
  <si>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</si>
  <si>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</si>
  <si>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</si>
  <si>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</si>
  <si>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</si>
  <si>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</si>
  <si>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</si>
  <si>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</si>
  <si>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</si>
  <si>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</si>
  <si>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</si>
  <si>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2026-10-10T22:54:00Z</t>
  </si>
  <si>
    <t xml:space="preserve">Drivers file</t>
  </si>
  <si>
    <t xml:space="preserve">0512.HK_Drivers.json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</si>
  <si>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</si>
  <si>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</si>
  <si>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</si>
  <si>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consolidated pharma operating business on owner FCF (no SBC exists to expense), and value the equity-accounted Sirtex/Grand Pharma Sphere and Xudong Haipu stakes separately on what they earn, not at book. Reported EPS is noise from the Telix mark-to-market (now fully exited); the question is whether VBP-adjusted operating margins and receivables stabilise. The market at the time of valuation is pricing roughly the bear-to-base path.
key_risks_to_valuation: Associate value (HK$3.6bn in the bridge, ~HK$1.03/share) is a judgment with no quoted price; at book it would be HK$2.26/share, at zero it would remove HK$1.03/share.; Receivables: +HK$1.65bn in 18 months against ~HK$0.6bn of revenue growth. If this is channel stuffing or collection weakness rather than mix, the WC capture is too mild and owner FCF stays near FY2025's HK$127m.; Licensing/M&amp;A spend: modelled at ~2.5% of revenue; FY2024 also spent HK$1.18bn on subsidiary acquisitions and FY2025 HK$0.32bn, which the model does not charge as recurring.; Further VBP rounds hitting the respiratory/emergency franchise.; RMB/HKD translation: ~84% of cash and nearly all operations are RMB; the group does not hedge.</t>
  </si>
  <si>
    <t xml:space="preserve">Data sources</t>
  </si>
  <si>
    <t xml:space="preserve">price: Yahoo Finance chart API at inputs.price_as_of; 52-week range 4.53-8.97
financials: 0512.HK_Metrics.csv (core_metrics, HKD millions); FY2025 Annual Report consolidated statements (income statement p.~88, cash flow p.91, share award scheme p.71); H1 FY2026 Interim Report (balance sheet pp.66-68, cash flow p.70, notes 11-12, MD&amp;A significant investments p.51)
qualitative: 0512.HK_Analysis.json (2026-10-11)</t>
  </si>
  <si>
    <t xml:space="preserve">Scenario narrative: bear</t>
  </si>
  <si>
    <t xml:space="preserve">VBP keeps widening (the 12th round's ~RMB60bn across 65 categories reaches more of the respiratory/emergency portfolio), the ENT/cardio-emergency declines of H1 FY2026 prove structural rather than a sales-strategy blip, and the radiopharma pipeline slips into 2028+ with TheraSphere competing hard on Y-90. Revenue grows 2-3%, EBITDA margin slides to 17%, receivables stretch further (35% capture) as hospital payment cycles lengthen, and licensing spend stays high to refill the pipeline. Leverage (gearing ~29% of equity) is serviceable but dividends (HK$0.9bn paid FY2025, HK$0.6bn in H1 FY2026) run ahead of owner FCF.</t>
  </si>
  <si>
    <t xml:space="preserve">Scenario narrative: base</t>
  </si>
  <si>
    <t xml:space="preserve">The VBP shock to the legacy cardio-emergency and ENT books is largely absorbed as management claims, but not reversed: the sales-force reset holds H1 FY2026 cost savings while revenue grows mid-single digits in FY2026 and ~7% for three years as YiGanTai (FDA HCC approval Jul-2025) scales from the new Chengdu plant, biotech amino acids keep growing, and innovative/barrier products climb past 50% of revenue. EBITDA margin recovers from 18.7% to 21.5%, not to FY2023's 27%, because further VBP rounds keep eating the generic tail and in-licensed launches carry heavy promotion. Licensing spend recurs at ~2.5% of revenue and receivables keep absorbing a quarter of incremental revenue. The associates are worth materially less than their HK$7.9bn book on what they earn today.</t>
  </si>
  <si>
    <t xml:space="preserve">Scenario narrative: bull</t>
  </si>
  <si>
    <t xml:space="preserve">The radiopharma thesis lands: TLX591-CDx is approved in China in 2026, ITM-11 and TLX250-CDx follow, GPN01530 progresses under FDA Fast Track, and YiGanTai keeps its ~15x-in-four-years trajectory. Innovative products pass 65% of revenue, VBP becomes a rounding error, growth runs at double digits through FY2030 and EBITDA margin returns to 25% as distribution spend scales. Receivables normalise. The bull value still carries the associates at 45% of book; marking Sirtex/GPS at book would add ~HK$1.2/share on top.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</si>
  <si>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</si>
  <si>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</si>
  <si>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</si>
  <si>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</si>
  <si>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</si>
  <si>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</si>
  <si>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</si>
  <si>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</si>
  <si>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</si>
  <si>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</si>
  <si>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</si>
  <si>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</si>
  <si>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</si>
  <si>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</si>
  <si>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</si>
  <si>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</si>
  <si>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</si>
  <si>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</si>
  <si>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</si>
  <si>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</si>
  <si>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</si>
  <si>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</si>
  <si>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</si>
  <si>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</si>
  <si>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</si>
  <si>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</si>
  <si>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</si>
  <si>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CapexPPE</t>
  </si>
  <si>
    <t xml:space="preserve">TotalEquityInclNCI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</si>
  <si>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</si>
  <si>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</si>
  <si>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</si>
  <si>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</si>
  <si>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</si>
  <si>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</si>
  <si>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</si>
  <si>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</si>
  <si>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</si>
  <si>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</si>
  <si>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</si>
  <si>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</si>
  <si>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</si>
  <si>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</si>
  <si>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</si>
  <si>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</si>
  <si>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</si>
  <si>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</si>
  <si>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</si>
  <si>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</si>
  <si>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</si>
  <si>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</si>
  <si>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</si>
  <si>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</si>
  <si>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</si>
  <si>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</si>
  <si>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</si>
  <si>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</si>
  <si>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</si>
  <si>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</si>
  <si>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</si>
  <si>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</si>
  <si>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</si>
  <si>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</si>
  <si>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</si>
  <si>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</si>
  <si>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</si>
  <si>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</si>
  <si>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</si>
  <si>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</si>
  <si>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</si>
  <si>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</si>
  <si>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</si>
  <si>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</si>
  <si>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</si>
  <si>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</si>
  <si>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0512.HK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</si>
  <si>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</si>
  <si>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</si>
  <si>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</si>
  <si>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</si>
  <si>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</si>
  <si>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</si>
  <si>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</si>
  <si>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</si>
  <si>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</si>
  <si>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</si>
  <si>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</si>
  <si>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</si>
  <si>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</si>
  <si>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</si>
  <si>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</si>
  <si>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</si>
  <si>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</si>
  <si>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</si>
  <si>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</si>
  <si>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</si>
  <si>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</si>
  <si>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</si>
  <si>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</si>
  <si>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</si>
  <si>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</si>
  <si>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</si>
  <si>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</si>
  <si>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</si>
  <si>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</si>
  <si>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</si>
  <si>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0512.HK owner-FCF component DCF: base case (millions, HKD)</t>
  </si>
  <si>
    <t xml:space="preserve">0512.HK owner-FCF component DCF: bull case (millions, HKD)</t>
  </si>
  <si>
    <t xml:space="preserve">0512.HK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</si>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</sst>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4.74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4770.85</v>
      </c>
      <c r="C2" s="0" t="n">
        <v>-2291.353</v>
      </c>
      <c r="D2" s="0" t="n">
        <v>2479.497</v>
      </c>
      <c r="E2" s="0" t="n">
        <v>52</v>
      </c>
      <c r="F2" s="0" t="n">
        <v>735.157</v>
      </c>
      <c r="G2" s="0" t="n">
        <v>15.4</v>
      </c>
      <c r="H2" s="0" t="n">
        <v>986.991</v>
      </c>
      <c r="I2" s="0" t="n">
        <v>460.811</v>
      </c>
      <c r="J2" s="0" t="n">
        <v>9.7</v>
      </c>
      <c r="K2" s="0" t="n">
        <v>0.2054</v>
      </c>
      <c r="L2" s="0" t="n">
        <v>719.724</v>
      </c>
      <c r="M2" s="0" t="n">
        <v>328.979</v>
      </c>
      <c r="N2" s="0" t="n">
        <v>390.745</v>
      </c>
      <c r="O2" s="0" t="n">
        <v>2233.886</v>
      </c>
      <c r="P2" s="0" t="n">
        <v>8062.791</v>
      </c>
      <c r="Q2" s="0" t="n">
        <v>5603.19</v>
      </c>
      <c r="R2" s="0" t="n">
        <v>2857.601</v>
      </c>
      <c r="S2" s="0" t="n">
        <v>640.842</v>
      </c>
      <c r="T2" s="0" t="n">
        <v>2243.5</v>
      </c>
      <c r="AA2" s="0" t="s">
        <v>17</v>
      </c>
      <c r="AB2" s="0" t="s">
        <v>14</v>
      </c>
      <c r="AC2" s="0" t="n">
        <v>294.369</v>
      </c>
      <c r="AD2" s="0" t="n">
        <v>2459.601</v>
      </c>
    </row>
    <row r="3" customFormat="false" ht="15" hidden="false" customHeight="false" outlineLevel="0" collapsed="false">
      <c r="A3" s="0" t="s">
        <v>66</v>
      </c>
      <c r="B3" s="0" t="n">
        <v>5958.355</v>
      </c>
      <c r="C3" s="0" t="n">
        <v>-2796.841</v>
      </c>
      <c r="D3" s="0" t="n">
        <v>3161.514</v>
      </c>
      <c r="E3" s="0" t="n">
        <v>53.1</v>
      </c>
      <c r="F3" s="0" t="n">
        <v>1018.016</v>
      </c>
      <c r="G3" s="0" t="n">
        <v>17.1</v>
      </c>
      <c r="H3" s="0" t="n">
        <v>1261.427</v>
      </c>
      <c r="I3" s="0" t="n">
        <v>712.667</v>
      </c>
      <c r="J3" s="0" t="n">
        <v>12</v>
      </c>
      <c r="K3" s="0" t="n">
        <v>0.2774</v>
      </c>
      <c r="L3" s="0" t="n">
        <v>1408.303</v>
      </c>
      <c r="M3" s="0" t="n">
        <v>374.162</v>
      </c>
      <c r="N3" s="0" t="n">
        <v>1034.141</v>
      </c>
      <c r="O3" s="0" t="n">
        <v>7190.959</v>
      </c>
      <c r="P3" s="0" t="n">
        <v>13496.659</v>
      </c>
      <c r="Q3" s="0" t="n">
        <v>6062.032</v>
      </c>
      <c r="R3" s="0" t="n">
        <v>2553.125</v>
      </c>
      <c r="S3" s="0" t="n">
        <v>912.244</v>
      </c>
      <c r="T3" s="0" t="n">
        <v>2569.1</v>
      </c>
      <c r="AA3" s="0" t="s">
        <v>17</v>
      </c>
      <c r="AB3" s="0" t="s">
        <v>14</v>
      </c>
      <c r="AC3" s="0" t="n">
        <v>372.858</v>
      </c>
      <c r="AD3" s="0" t="n">
        <v>7434.627</v>
      </c>
    </row>
    <row r="4" customFormat="false" ht="15" hidden="false" customHeight="false" outlineLevel="0" collapsed="false">
      <c r="A4" s="0" t="s">
        <v>67</v>
      </c>
      <c r="B4" s="0" t="n">
        <v>6590.635</v>
      </c>
      <c r="C4" s="0" t="n">
        <v>-2549.27</v>
      </c>
      <c r="D4" s="0" t="n">
        <v>4041.365</v>
      </c>
      <c r="E4" s="0" t="n">
        <v>61.3</v>
      </c>
      <c r="F4" s="0" t="n">
        <v>1387.513</v>
      </c>
      <c r="G4" s="0" t="n">
        <v>21.1</v>
      </c>
      <c r="H4" s="0" t="n">
        <v>1864.649</v>
      </c>
      <c r="I4" s="0" t="n">
        <v>1150.948</v>
      </c>
      <c r="J4" s="0" t="n">
        <v>17.5</v>
      </c>
      <c r="K4" s="0" t="n">
        <v>0.3512</v>
      </c>
      <c r="L4" s="0" t="n">
        <v>1303.945</v>
      </c>
      <c r="M4" s="0" t="n">
        <v>567.186</v>
      </c>
      <c r="N4" s="0" t="n">
        <v>736.759</v>
      </c>
      <c r="O4" s="0" t="n">
        <v>8375.267</v>
      </c>
      <c r="P4" s="0" t="n">
        <v>13813.307</v>
      </c>
      <c r="Q4" s="0" t="n">
        <v>5302.3</v>
      </c>
      <c r="R4" s="0" t="n">
        <v>2030.297</v>
      </c>
      <c r="S4" s="0" t="n">
        <v>1059.269</v>
      </c>
      <c r="T4" s="0" t="n">
        <v>3277.2</v>
      </c>
      <c r="AA4" s="0" t="s">
        <v>17</v>
      </c>
      <c r="AB4" s="0" t="s">
        <v>14</v>
      </c>
      <c r="AC4" s="0" t="n">
        <v>566.038</v>
      </c>
      <c r="AD4" s="0" t="n">
        <v>8511.007</v>
      </c>
    </row>
    <row r="5" customFormat="false" ht="15" hidden="false" customHeight="false" outlineLevel="0" collapsed="false">
      <c r="A5" s="0" t="s">
        <v>68</v>
      </c>
      <c r="B5" s="0" t="n">
        <v>6352.919</v>
      </c>
      <c r="C5" s="0" t="n">
        <v>-2317.725</v>
      </c>
      <c r="D5" s="0" t="n">
        <v>4035.194</v>
      </c>
      <c r="E5" s="0" t="n">
        <v>63.5</v>
      </c>
      <c r="F5" s="0" t="n">
        <v>1855.616</v>
      </c>
      <c r="G5" s="0" t="n">
        <v>29.2</v>
      </c>
      <c r="H5" s="0" t="n">
        <v>2142.677</v>
      </c>
      <c r="I5" s="0" t="n">
        <v>1792.661</v>
      </c>
      <c r="J5" s="0" t="n">
        <v>28.2</v>
      </c>
      <c r="K5" s="0" t="n">
        <v>0.5203</v>
      </c>
      <c r="L5" s="0" t="n">
        <v>1455.946</v>
      </c>
      <c r="M5" s="0" t="n">
        <v>258.571</v>
      </c>
      <c r="N5" s="0" t="n">
        <v>1197.375</v>
      </c>
      <c r="O5" s="0" t="n">
        <v>11239.504</v>
      </c>
      <c r="P5" s="0" t="n">
        <v>16984.345</v>
      </c>
      <c r="Q5" s="0" t="n">
        <v>5640.136</v>
      </c>
      <c r="R5" s="0" t="n">
        <v>2367.016</v>
      </c>
      <c r="S5" s="0" t="n">
        <v>1836.695</v>
      </c>
      <c r="T5" s="0" t="n">
        <v>3445.4</v>
      </c>
      <c r="AA5" s="0" t="s">
        <v>17</v>
      </c>
      <c r="AB5" s="0" t="s">
        <v>14</v>
      </c>
      <c r="AC5" s="0" t="n">
        <v>209.011</v>
      </c>
      <c r="AD5" s="0" t="n">
        <v>11344.209</v>
      </c>
    </row>
    <row r="6" customFormat="false" ht="15" hidden="false" customHeight="false" outlineLevel="0" collapsed="false">
      <c r="A6" s="0" t="s">
        <v>69</v>
      </c>
      <c r="B6" s="0" t="n">
        <v>8597.975</v>
      </c>
      <c r="C6" s="0" t="n">
        <v>-3350.737</v>
      </c>
      <c r="D6" s="0" t="n">
        <v>5247.238</v>
      </c>
      <c r="E6" s="0" t="n">
        <v>61</v>
      </c>
      <c r="F6" s="0" t="n">
        <v>2288.436</v>
      </c>
      <c r="G6" s="0" t="n">
        <v>26.6</v>
      </c>
      <c r="H6" s="0" t="n">
        <v>2627.955</v>
      </c>
      <c r="I6" s="0" t="n">
        <v>2402.563</v>
      </c>
      <c r="J6" s="0" t="n">
        <v>27.9</v>
      </c>
      <c r="K6" s="0" t="n">
        <v>0.6772</v>
      </c>
      <c r="L6" s="0" t="n">
        <v>2005.675</v>
      </c>
      <c r="M6" s="0" t="n">
        <v>536.367</v>
      </c>
      <c r="N6" s="0" t="n">
        <v>1469.308</v>
      </c>
      <c r="O6" s="0" t="n">
        <v>13392.631</v>
      </c>
      <c r="P6" s="0" t="n">
        <v>21057.03</v>
      </c>
      <c r="Q6" s="0" t="n">
        <v>7614.168</v>
      </c>
      <c r="R6" s="0" t="n">
        <v>3626.541</v>
      </c>
      <c r="S6" s="0" t="n">
        <v>1752.86</v>
      </c>
      <c r="T6" s="0" t="n">
        <v>3547.8</v>
      </c>
      <c r="AA6" s="0" t="s">
        <v>17</v>
      </c>
      <c r="AB6" s="0" t="s">
        <v>14</v>
      </c>
      <c r="AC6" s="0" t="n">
        <v>471.57</v>
      </c>
      <c r="AD6" s="0" t="n">
        <v>13442.862</v>
      </c>
    </row>
    <row r="7" customFormat="false" ht="15" hidden="false" customHeight="false" outlineLevel="0" collapsed="false">
      <c r="A7" s="0" t="s">
        <v>70</v>
      </c>
      <c r="B7" s="0" t="n">
        <v>9562.285</v>
      </c>
      <c r="C7" s="0" t="n">
        <v>-3610.806</v>
      </c>
      <c r="D7" s="0" t="n">
        <v>5951.479</v>
      </c>
      <c r="E7" s="0" t="n">
        <v>62.2</v>
      </c>
      <c r="F7" s="0" t="n">
        <v>2753.075</v>
      </c>
      <c r="G7" s="0" t="n">
        <v>28.8</v>
      </c>
      <c r="H7" s="0" t="n">
        <v>3147.987</v>
      </c>
      <c r="I7" s="0" t="n">
        <v>2079.419</v>
      </c>
      <c r="J7" s="0" t="n">
        <v>21.7</v>
      </c>
      <c r="K7" s="0" t="n">
        <v>0.587</v>
      </c>
      <c r="L7" s="0" t="n">
        <v>1842.676</v>
      </c>
      <c r="M7" s="0" t="n">
        <v>1057.583</v>
      </c>
      <c r="N7" s="0" t="n">
        <v>785.093</v>
      </c>
      <c r="O7" s="0" t="n">
        <v>14140.338</v>
      </c>
      <c r="P7" s="0" t="n">
        <v>22371.061</v>
      </c>
      <c r="Q7" s="0" t="n">
        <v>8162.401</v>
      </c>
      <c r="R7" s="0" t="n">
        <v>4405.414</v>
      </c>
      <c r="S7" s="0" t="n">
        <v>1444.014</v>
      </c>
      <c r="T7" s="0" t="n">
        <v>3542.5</v>
      </c>
      <c r="AA7" s="0" t="s">
        <v>17</v>
      </c>
      <c r="AB7" s="0" t="s">
        <v>14</v>
      </c>
      <c r="AC7" s="0" t="n">
        <v>626.215</v>
      </c>
      <c r="AD7" s="0" t="n">
        <v>14208.66</v>
      </c>
    </row>
    <row r="8" customFormat="false" ht="15" hidden="false" customHeight="false" outlineLevel="0" collapsed="false">
      <c r="A8" s="0" t="s">
        <v>71</v>
      </c>
      <c r="B8" s="0" t="n">
        <v>10529.59</v>
      </c>
      <c r="C8" s="0" t="n">
        <v>-4005.524</v>
      </c>
      <c r="D8" s="0" t="n">
        <v>6524.066</v>
      </c>
      <c r="E8" s="0" t="n">
        <v>62</v>
      </c>
      <c r="F8" s="0" t="n">
        <v>2456.799</v>
      </c>
      <c r="G8" s="0" t="n">
        <v>23.3</v>
      </c>
      <c r="H8" s="0" t="n">
        <v>2849.009</v>
      </c>
      <c r="I8" s="0" t="n">
        <v>1879.998</v>
      </c>
      <c r="J8" s="0" t="n">
        <v>17.9</v>
      </c>
      <c r="K8" s="0" t="n">
        <v>0.536</v>
      </c>
      <c r="L8" s="0" t="n">
        <v>2424.895</v>
      </c>
      <c r="M8" s="0" t="n">
        <v>488.032</v>
      </c>
      <c r="N8" s="0" t="n">
        <v>1936.863</v>
      </c>
      <c r="O8" s="0" t="n">
        <v>15157.718</v>
      </c>
      <c r="P8" s="0" t="n">
        <v>22515.326</v>
      </c>
      <c r="Q8" s="0" t="n">
        <v>7244.81</v>
      </c>
      <c r="R8" s="0" t="n">
        <v>3308.014</v>
      </c>
      <c r="S8" s="0" t="n">
        <v>1339.708</v>
      </c>
      <c r="T8" s="0" t="n">
        <v>3507.5</v>
      </c>
      <c r="AA8" s="0" t="s">
        <v>17</v>
      </c>
      <c r="AB8" s="0" t="s">
        <v>14</v>
      </c>
      <c r="AC8" s="0" t="n">
        <v>487.727</v>
      </c>
      <c r="AD8" s="0" t="n">
        <v>15270.516</v>
      </c>
    </row>
    <row r="9" customFormat="false" ht="15" hidden="false" customHeight="false" outlineLevel="0" collapsed="false">
      <c r="A9" s="0" t="s">
        <v>72</v>
      </c>
      <c r="B9" s="0" t="n">
        <v>11644.892</v>
      </c>
      <c r="C9" s="0" t="n">
        <v>-4906.576</v>
      </c>
      <c r="D9" s="0" t="n">
        <v>6738.316</v>
      </c>
      <c r="E9" s="0" t="n">
        <v>57.9</v>
      </c>
      <c r="F9" s="0" t="n">
        <v>2235.34</v>
      </c>
      <c r="G9" s="0" t="n">
        <v>19.2</v>
      </c>
      <c r="H9" s="0" t="n">
        <v>2739.088</v>
      </c>
      <c r="I9" s="0" t="n">
        <v>2468.375</v>
      </c>
      <c r="J9" s="0" t="n">
        <v>21.2</v>
      </c>
      <c r="K9" s="0" t="n">
        <v>0.7049</v>
      </c>
      <c r="L9" s="0" t="n">
        <v>1898.097</v>
      </c>
      <c r="M9" s="0" t="n">
        <v>597.035</v>
      </c>
      <c r="N9" s="0" t="n">
        <v>1301.062</v>
      </c>
      <c r="O9" s="0" t="n">
        <v>16473.21</v>
      </c>
      <c r="P9" s="0" t="n">
        <v>24991.165</v>
      </c>
      <c r="Q9" s="0" t="n">
        <v>8465.827</v>
      </c>
      <c r="R9" s="0" t="n">
        <v>4383.627</v>
      </c>
      <c r="S9" s="0" t="n">
        <v>1340.979</v>
      </c>
      <c r="T9" s="0" t="n">
        <v>3501.7</v>
      </c>
      <c r="AA9" s="0" t="s">
        <v>17</v>
      </c>
      <c r="AB9" s="0" t="s">
        <v>14</v>
      </c>
      <c r="AC9" s="0" t="n">
        <v>555.781</v>
      </c>
      <c r="AD9" s="0" t="n">
        <v>16525.338</v>
      </c>
    </row>
    <row r="10" customFormat="false" ht="15" hidden="false" customHeight="false" outlineLevel="0" collapsed="false">
      <c r="A10" s="0" t="s">
        <v>73</v>
      </c>
      <c r="B10" s="0" t="n">
        <v>12283.271</v>
      </c>
      <c r="C10" s="0" t="n">
        <v>-5502.91</v>
      </c>
      <c r="D10" s="0" t="n">
        <v>6780.361</v>
      </c>
      <c r="E10" s="0" t="n">
        <v>55.2</v>
      </c>
      <c r="F10" s="0" t="n">
        <v>1769.673</v>
      </c>
      <c r="G10" s="0" t="n">
        <v>14.4</v>
      </c>
      <c r="H10" s="0" t="n">
        <v>2351.568</v>
      </c>
      <c r="I10" s="0" t="n">
        <v>1240.871</v>
      </c>
      <c r="J10" s="0" t="n">
        <v>10.1</v>
      </c>
      <c r="K10" s="0" t="n">
        <v>0.3544</v>
      </c>
      <c r="L10" s="0" t="n">
        <v>1649.523</v>
      </c>
      <c r="M10" s="0" t="n">
        <v>1522.106</v>
      </c>
      <c r="N10" s="0" t="n">
        <v>127.417</v>
      </c>
      <c r="O10" s="0" t="n">
        <v>17017.039</v>
      </c>
      <c r="P10" s="0" t="n">
        <v>27166.804</v>
      </c>
      <c r="Q10" s="0" t="n">
        <v>9987.119</v>
      </c>
      <c r="R10" s="0" t="n">
        <v>4669.483</v>
      </c>
      <c r="S10" s="0" t="n">
        <v>1142.37</v>
      </c>
      <c r="T10" s="0" t="n">
        <v>3501.3</v>
      </c>
      <c r="AA10" s="0" t="s">
        <v>17</v>
      </c>
      <c r="AB10" s="0" t="s">
        <v>14</v>
      </c>
      <c r="AC10" s="0" t="n">
        <v>726.153</v>
      </c>
      <c r="AD10" s="0" t="n">
        <v>17179.685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4.74</v>
      </c>
    </row>
    <row r="3" customFormat="false" ht="15" hidden="false" customHeight="false" outlineLevel="0" collapsed="false">
      <c r="A3" s="0" t="s">
        <v>77</v>
      </c>
      <c r="B3" s="3" t="n">
        <v>3501.8</v>
      </c>
    </row>
    <row r="4" customFormat="false" ht="15" hidden="false" customHeight="false" outlineLevel="0" collapsed="false">
      <c r="A4" s="0" t="s">
        <v>78</v>
      </c>
      <c r="B4" s="3" t="n">
        <v>4384.4</v>
      </c>
    </row>
    <row r="5" customFormat="false" ht="15" hidden="false" customHeight="false" outlineLevel="0" collapsed="false">
      <c r="A5" s="0" t="s">
        <v>79</v>
      </c>
      <c r="B5" s="3" t="n">
        <v>3672.1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12283.271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2</v>
      </c>
      <c r="D13" s="3" t="n">
        <v>2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98</v>
      </c>
      <c r="C14" s="3" t="n">
        <v>18</v>
      </c>
      <c r="D14" s="3" t="n">
        <v>17.5</v>
      </c>
      <c r="E14" s="3" t="n">
        <v>17</v>
      </c>
      <c r="F14" s="3" t="n">
        <v>17</v>
      </c>
      <c r="G14" s="3" t="n">
        <v>17</v>
      </c>
      <c r="H14" s="3" t="n">
        <v>17</v>
      </c>
      <c r="I14" s="3" t="n">
        <v>17</v>
      </c>
      <c r="J14" s="3" t="n">
        <v>17</v>
      </c>
      <c r="K14" s="3" t="n">
        <v>17</v>
      </c>
      <c r="L14" s="3" t="n">
        <v>17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4.8</v>
      </c>
      <c r="D17" s="3" t="n">
        <v>4.9</v>
      </c>
      <c r="E17" s="3" t="n">
        <v>5</v>
      </c>
      <c r="F17" s="3" t="n">
        <v>5</v>
      </c>
      <c r="G17" s="3" t="n">
        <v>5</v>
      </c>
      <c r="H17" s="3" t="n">
        <v>5</v>
      </c>
      <c r="I17" s="3" t="n">
        <v>5</v>
      </c>
      <c r="J17" s="3" t="n">
        <v>5</v>
      </c>
      <c r="K17" s="3" t="n">
        <v>5</v>
      </c>
      <c r="L17" s="3" t="n">
        <v>5</v>
      </c>
    </row>
    <row r="18" customFormat="false" ht="15" hidden="false" customHeight="false" outlineLevel="0" collapsed="false">
      <c r="A18" s="0" t="s">
        <v>102</v>
      </c>
      <c r="C18" s="3" t="n">
        <v>7</v>
      </c>
      <c r="D18" s="3" t="n">
        <v>7</v>
      </c>
      <c r="E18" s="3" t="n">
        <v>6.8</v>
      </c>
      <c r="F18" s="3" t="n">
        <v>6.6</v>
      </c>
      <c r="G18" s="3" t="n">
        <v>6.5</v>
      </c>
      <c r="H18" s="3" t="n">
        <v>6.5</v>
      </c>
      <c r="I18" s="3" t="n">
        <v>6.5</v>
      </c>
      <c r="J18" s="3" t="n">
        <v>6.5</v>
      </c>
      <c r="K18" s="3" t="n">
        <v>6.5</v>
      </c>
      <c r="L18" s="3" t="n">
        <v>6.5</v>
      </c>
    </row>
    <row r="19" customFormat="false" ht="15" hidden="false" customHeight="false" outlineLevel="0" collapsed="false">
      <c r="A19" s="0" t="s">
        <v>103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104</v>
      </c>
      <c r="B20" s="3" t="n">
        <v>9.5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10</v>
      </c>
    </row>
    <row r="23" customFormat="false" ht="15" hidden="false" customHeight="false" outlineLevel="0" collapsed="false">
      <c r="A23" s="0" t="s">
        <v>107</v>
      </c>
      <c r="B23" s="3" t="n">
        <v>-35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5</v>
      </c>
      <c r="D27" s="3" t="n">
        <v>7</v>
      </c>
      <c r="E27" s="3" t="n">
        <v>7</v>
      </c>
      <c r="F27" s="3" t="n">
        <v>7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98</v>
      </c>
      <c r="C28" s="3" t="n">
        <v>19.5</v>
      </c>
      <c r="D28" s="3" t="n">
        <v>20</v>
      </c>
      <c r="E28" s="3" t="n">
        <v>20.5</v>
      </c>
      <c r="F28" s="3" t="n">
        <v>21</v>
      </c>
      <c r="G28" s="3" t="n">
        <v>21.5</v>
      </c>
      <c r="H28" s="3" t="n">
        <v>21.5</v>
      </c>
      <c r="I28" s="3" t="n">
        <v>21.5</v>
      </c>
      <c r="J28" s="3" t="n">
        <v>21.5</v>
      </c>
      <c r="K28" s="3" t="n">
        <v>21.5</v>
      </c>
      <c r="L28" s="3" t="n">
        <v>21.5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4.8</v>
      </c>
      <c r="D31" s="3" t="n">
        <v>4.9</v>
      </c>
      <c r="E31" s="3" t="n">
        <v>5</v>
      </c>
      <c r="F31" s="3" t="n">
        <v>5</v>
      </c>
      <c r="G31" s="3" t="n">
        <v>5</v>
      </c>
      <c r="H31" s="3" t="n">
        <v>5</v>
      </c>
      <c r="I31" s="3" t="n">
        <v>5</v>
      </c>
      <c r="J31" s="3" t="n">
        <v>5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102</v>
      </c>
      <c r="C32" s="3" t="n">
        <v>6.5</v>
      </c>
      <c r="D32" s="3" t="n">
        <v>6.5</v>
      </c>
      <c r="E32" s="3" t="n">
        <v>6.3</v>
      </c>
      <c r="F32" s="3" t="n">
        <v>6.2</v>
      </c>
      <c r="G32" s="3" t="n">
        <v>6</v>
      </c>
      <c r="H32" s="3" t="n">
        <v>6</v>
      </c>
      <c r="I32" s="3" t="n">
        <v>6</v>
      </c>
      <c r="J32" s="3" t="n">
        <v>6</v>
      </c>
      <c r="K32" s="3" t="n">
        <v>6</v>
      </c>
      <c r="L32" s="3" t="n">
        <v>6</v>
      </c>
    </row>
    <row r="33" customFormat="false" ht="15" hidden="false" customHeight="false" outlineLevel="0" collapsed="false">
      <c r="A33" s="0" t="s">
        <v>103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104</v>
      </c>
      <c r="B34" s="3" t="n">
        <v>9.5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-25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7</v>
      </c>
      <c r="D41" s="3" t="n">
        <v>10</v>
      </c>
      <c r="E41" s="3" t="n">
        <v>11</v>
      </c>
      <c r="F41" s="3" t="n">
        <v>11</v>
      </c>
      <c r="G41" s="3" t="n">
        <v>10</v>
      </c>
      <c r="H41" s="3" t="n">
        <v>9</v>
      </c>
      <c r="I41" s="3" t="n">
        <v>8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98</v>
      </c>
      <c r="C42" s="3" t="n">
        <v>20.5</v>
      </c>
      <c r="D42" s="3" t="n">
        <v>22</v>
      </c>
      <c r="E42" s="3" t="n">
        <v>23</v>
      </c>
      <c r="F42" s="3" t="n">
        <v>24</v>
      </c>
      <c r="G42" s="3" t="n">
        <v>24.5</v>
      </c>
      <c r="H42" s="3" t="n">
        <v>25</v>
      </c>
      <c r="I42" s="3" t="n">
        <v>25</v>
      </c>
      <c r="J42" s="3" t="n">
        <v>25</v>
      </c>
      <c r="K42" s="3" t="n">
        <v>25</v>
      </c>
      <c r="L42" s="3" t="n">
        <v>25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4.8</v>
      </c>
      <c r="D45" s="3" t="n">
        <v>4.9</v>
      </c>
      <c r="E45" s="3" t="n">
        <v>5</v>
      </c>
      <c r="F45" s="3" t="n">
        <v>5</v>
      </c>
      <c r="G45" s="3" t="n">
        <v>5</v>
      </c>
      <c r="H45" s="3" t="n">
        <v>5</v>
      </c>
      <c r="I45" s="3" t="n">
        <v>5</v>
      </c>
      <c r="J45" s="3" t="n">
        <v>5</v>
      </c>
      <c r="K45" s="3" t="n">
        <v>5</v>
      </c>
      <c r="L45" s="3" t="n">
        <v>5</v>
      </c>
    </row>
    <row r="46" customFormat="false" ht="15" hidden="false" customHeight="false" outlineLevel="0" collapsed="false">
      <c r="A46" s="0" t="s">
        <v>102</v>
      </c>
      <c r="C46" s="3" t="n">
        <v>6.5</v>
      </c>
      <c r="D46" s="3" t="n">
        <v>6.3</v>
      </c>
      <c r="E46" s="3" t="n">
        <v>6</v>
      </c>
      <c r="F46" s="3" t="n">
        <v>5.8</v>
      </c>
      <c r="G46" s="3" t="n">
        <v>5.5</v>
      </c>
      <c r="H46" s="3" t="n">
        <v>5.5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103</v>
      </c>
      <c r="C47" s="3" t="n">
        <v>19</v>
      </c>
      <c r="D47" s="3" t="n">
        <v>19</v>
      </c>
      <c r="E47" s="3" t="n">
        <v>19</v>
      </c>
      <c r="F47" s="3" t="n">
        <v>19</v>
      </c>
      <c r="G47" s="3" t="n">
        <v>19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104</v>
      </c>
      <c r="B48" s="3" t="n">
        <v>9.5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13</v>
      </c>
    </row>
    <row r="51" customFormat="false" ht="15" hidden="false" customHeight="false" outlineLevel="0" collapsed="false">
      <c r="A51" s="0" t="s">
        <v>107</v>
      </c>
      <c r="B51" s="3" t="n">
        <v>-20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2</v>
      </c>
      <c r="D5" s="4" t="n">
        <f aca="false">Assumptions!D13</f>
        <v>2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12283.271</v>
      </c>
      <c r="C6" s="0" t="n">
        <f aca="false">B6*(1+C5/100)</f>
        <v>12528.93642</v>
      </c>
      <c r="D6" s="0" t="n">
        <f aca="false">C6*(1+D5/100)</f>
        <v>12779.5151484</v>
      </c>
      <c r="E6" s="0" t="n">
        <f aca="false">D6*(1+E5/100)</f>
        <v>13162.900602852</v>
      </c>
      <c r="F6" s="0" t="n">
        <f aca="false">E6*(1+F5/100)</f>
        <v>13557.7876209376</v>
      </c>
      <c r="G6" s="0" t="n">
        <f aca="false">F6*(1+G5/100)</f>
        <v>13964.5212495657</v>
      </c>
      <c r="H6" s="0" t="n">
        <f aca="false">G6*(1+H5/100)</f>
        <v>14383.4568870527</v>
      </c>
      <c r="I6" s="0" t="n">
        <f aca="false">H6*(1+I5/100)</f>
        <v>14814.9605936642</v>
      </c>
      <c r="J6" s="0" t="n">
        <f aca="false">I6*(1+J5/100)</f>
        <v>15185.3346085058</v>
      </c>
      <c r="K6" s="0" t="n">
        <f aca="false">J6*(1+K5/100)</f>
        <v>15564.9679737185</v>
      </c>
      <c r="L6" s="0" t="n">
        <f aca="false">K6*(1+L5/100)</f>
        <v>15954.0921730615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18</v>
      </c>
      <c r="D7" s="4" t="n">
        <f aca="false">Assumptions!D14</f>
        <v>17.5</v>
      </c>
      <c r="E7" s="4" t="n">
        <f aca="false">Assumptions!E14</f>
        <v>17</v>
      </c>
      <c r="F7" s="4" t="n">
        <f aca="false">Assumptions!F14</f>
        <v>17</v>
      </c>
      <c r="G7" s="4" t="n">
        <f aca="false">Assumptions!G14</f>
        <v>17</v>
      </c>
      <c r="H7" s="4" t="n">
        <f aca="false">Assumptions!H14</f>
        <v>17</v>
      </c>
      <c r="I7" s="4" t="n">
        <f aca="false">Assumptions!I14</f>
        <v>17</v>
      </c>
      <c r="J7" s="4" t="n">
        <f aca="false">Assumptions!J14</f>
        <v>17</v>
      </c>
      <c r="K7" s="4" t="n">
        <f aca="false">Assumptions!K14</f>
        <v>17</v>
      </c>
      <c r="L7" s="4" t="n">
        <f aca="false">Assumptions!L14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2255.2085556</v>
      </c>
      <c r="D8" s="0" t="n">
        <f aca="false">D6*D7/100</f>
        <v>2236.41515097</v>
      </c>
      <c r="E8" s="0" t="n">
        <f aca="false">E6*E7/100</f>
        <v>2237.69310248484</v>
      </c>
      <c r="F8" s="0" t="n">
        <f aca="false">F6*F7/100</f>
        <v>2304.82389555939</v>
      </c>
      <c r="G8" s="0" t="n">
        <f aca="false">G6*G7/100</f>
        <v>2373.96861242617</v>
      </c>
      <c r="H8" s="0" t="n">
        <f aca="false">H6*H7/100</f>
        <v>2445.18767079895</v>
      </c>
      <c r="I8" s="0" t="n">
        <f aca="false">I6*I7/100</f>
        <v>2518.54330092292</v>
      </c>
      <c r="J8" s="0" t="n">
        <f aca="false">J6*J7/100</f>
        <v>2581.50688344599</v>
      </c>
      <c r="K8" s="0" t="n">
        <f aca="false">K6*K7/100</f>
        <v>2646.04455553214</v>
      </c>
      <c r="L8" s="0" t="n">
        <f aca="false">L6*L7/100</f>
        <v>2712.19566942045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2255.2085556</v>
      </c>
      <c r="D11" s="0" t="n">
        <f aca="false">D8+D10+D24</f>
        <v>2236.41515097</v>
      </c>
      <c r="E11" s="0" t="n">
        <f aca="false">E8+E10+E24</f>
        <v>2237.69310248484</v>
      </c>
      <c r="F11" s="0" t="n">
        <f aca="false">F8+F10+F24</f>
        <v>2304.82389555939</v>
      </c>
      <c r="G11" s="0" t="n">
        <f aca="false">G8+G10+G24</f>
        <v>2373.96861242617</v>
      </c>
      <c r="H11" s="0" t="n">
        <f aca="false">H8+H10+H24</f>
        <v>2445.18767079895</v>
      </c>
      <c r="I11" s="0" t="n">
        <f aca="false">I8+I10+I24</f>
        <v>2518.54330092292</v>
      </c>
      <c r="J11" s="0" t="n">
        <f aca="false">J8+J10+J24</f>
        <v>2581.50688344599</v>
      </c>
      <c r="K11" s="0" t="n">
        <f aca="false">K8+K10+K24</f>
        <v>2646.04455553214</v>
      </c>
      <c r="L11" s="0" t="n">
        <f aca="false">L8+L10+L24</f>
        <v>2712.19566942045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-601.38894816</v>
      </c>
      <c r="D12" s="4" t="n">
        <f aca="false">-D6*Assumptions!D17/100</f>
        <v>-626.1962422716</v>
      </c>
      <c r="E12" s="4" t="n">
        <f aca="false">-E6*Assumptions!E17/100</f>
        <v>-658.1450301426</v>
      </c>
      <c r="F12" s="4" t="n">
        <f aca="false">-F6*Assumptions!F17/100</f>
        <v>-677.889381046878</v>
      </c>
      <c r="G12" s="4" t="n">
        <f aca="false">-G6*Assumptions!G17/100</f>
        <v>-698.226062478285</v>
      </c>
      <c r="H12" s="4" t="n">
        <f aca="false">-H6*Assumptions!H17/100</f>
        <v>-719.172844352633</v>
      </c>
      <c r="I12" s="4" t="n">
        <f aca="false">-I6*Assumptions!I17/100</f>
        <v>-740.748029683212</v>
      </c>
      <c r="J12" s="4" t="n">
        <f aca="false">-J6*Assumptions!J17/100</f>
        <v>-759.266730425292</v>
      </c>
      <c r="K12" s="4" t="n">
        <f aca="false">-K6*Assumptions!K17/100</f>
        <v>-778.248398685925</v>
      </c>
      <c r="L12" s="4" t="n">
        <f aca="false">-L6*Assumptions!L17/100</f>
        <v>-797.704608653073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1653.81960744</v>
      </c>
      <c r="D13" s="0" t="n">
        <f aca="false">D11+D12</f>
        <v>1610.2189086984</v>
      </c>
      <c r="E13" s="0" t="n">
        <f aca="false">E11+E12</f>
        <v>1579.54807234224</v>
      </c>
      <c r="F13" s="0" t="n">
        <f aca="false">F11+F12</f>
        <v>1626.93451451251</v>
      </c>
      <c r="G13" s="0" t="n">
        <f aca="false">G11+G12</f>
        <v>1675.74254994788</v>
      </c>
      <c r="H13" s="0" t="n">
        <f aca="false">H11+H12</f>
        <v>1726.01482644632</v>
      </c>
      <c r="I13" s="0" t="n">
        <f aca="false">I11+I12</f>
        <v>1777.79527123971</v>
      </c>
      <c r="J13" s="0" t="n">
        <f aca="false">J11+J12</f>
        <v>1822.2401530207</v>
      </c>
      <c r="K13" s="0" t="n">
        <f aca="false">K11+K12</f>
        <v>1867.79615684622</v>
      </c>
      <c r="L13" s="0" t="n">
        <f aca="false">L11+L12</f>
        <v>1914.49106076737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1306.5174898776</v>
      </c>
      <c r="D15" s="0" t="n">
        <f aca="false">D13-MAX(0,D13)*D14/100</f>
        <v>1272.07293787174</v>
      </c>
      <c r="E15" s="0" t="n">
        <f aca="false">E13-MAX(0,E13)*E14/100</f>
        <v>1247.84297715037</v>
      </c>
      <c r="F15" s="0" t="n">
        <f aca="false">F13-MAX(0,F13)*F14/100</f>
        <v>1285.27826646488</v>
      </c>
      <c r="G15" s="0" t="n">
        <f aca="false">G13-MAX(0,G13)*G14/100</f>
        <v>1323.83661445883</v>
      </c>
      <c r="H15" s="0" t="n">
        <f aca="false">H13-MAX(0,H13)*H14/100</f>
        <v>1363.55171289259</v>
      </c>
      <c r="I15" s="0" t="n">
        <f aca="false">I13-MAX(0,I13)*I14/100</f>
        <v>1404.45826427937</v>
      </c>
      <c r="J15" s="0" t="n">
        <f aca="false">J13-MAX(0,J13)*J14/100</f>
        <v>1439.56972088635</v>
      </c>
      <c r="K15" s="0" t="n">
        <f aca="false">K13-MAX(0,K13)*K14/100</f>
        <v>1475.55896390851</v>
      </c>
      <c r="L15" s="0" t="n">
        <f aca="false">L13-MAX(0,L13)*L14/100</f>
        <v>1512.44793800623</v>
      </c>
    </row>
    <row r="16" customFormat="false" ht="15" hidden="false" customHeight="false" outlineLevel="0" collapsed="false">
      <c r="A16" s="0" t="s">
        <v>119</v>
      </c>
      <c r="C16" s="0" t="n">
        <f aca="false">-C12</f>
        <v>601.38894816</v>
      </c>
      <c r="D16" s="0" t="n">
        <f aca="false">-D12</f>
        <v>626.1962422716</v>
      </c>
      <c r="E16" s="0" t="n">
        <f aca="false">-E12</f>
        <v>658.1450301426</v>
      </c>
      <c r="F16" s="0" t="n">
        <f aca="false">-F12</f>
        <v>677.889381046878</v>
      </c>
      <c r="G16" s="0" t="n">
        <f aca="false">-G12</f>
        <v>698.226062478285</v>
      </c>
      <c r="H16" s="0" t="n">
        <f aca="false">-H12</f>
        <v>719.172844352633</v>
      </c>
      <c r="I16" s="0" t="n">
        <f aca="false">-I12</f>
        <v>740.748029683212</v>
      </c>
      <c r="J16" s="0" t="n">
        <f aca="false">-J12</f>
        <v>759.266730425292</v>
      </c>
      <c r="K16" s="0" t="n">
        <f aca="false">-K12</f>
        <v>778.248398685925</v>
      </c>
      <c r="L16" s="0" t="n">
        <f aca="false">-L12</f>
        <v>797.704608653073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-877.0255494</v>
      </c>
      <c r="D17" s="4" t="n">
        <f aca="false">-D6*Assumptions!D18/100</f>
        <v>-894.566060388</v>
      </c>
      <c r="E17" s="4" t="n">
        <f aca="false">-E6*Assumptions!E18/100</f>
        <v>-895.077240993936</v>
      </c>
      <c r="F17" s="4" t="n">
        <f aca="false">-F6*Assumptions!F18/100</f>
        <v>-894.813982981879</v>
      </c>
      <c r="G17" s="4" t="n">
        <f aca="false">-G6*Assumptions!G18/100</f>
        <v>-907.69388122177</v>
      </c>
      <c r="H17" s="4" t="n">
        <f aca="false">-H6*Assumptions!H18/100</f>
        <v>-934.924697658423</v>
      </c>
      <c r="I17" s="4" t="n">
        <f aca="false">-I6*Assumptions!I18/100</f>
        <v>-962.972438588176</v>
      </c>
      <c r="J17" s="4" t="n">
        <f aca="false">-J6*Assumptions!J18/100</f>
        <v>-987.04674955288</v>
      </c>
      <c r="K17" s="4" t="n">
        <f aca="false">-K6*Assumptions!K18/100</f>
        <v>-1011.7229182917</v>
      </c>
      <c r="L17" s="4" t="n">
        <f aca="false">-L6*Assumptions!L18/100</f>
        <v>-1037.01599124899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-85.9828969999998</v>
      </c>
      <c r="D18" s="4" t="n">
        <f aca="false">(D6-C6)*Assumptions!$B$23/100</f>
        <v>-87.7025549399999</v>
      </c>
      <c r="E18" s="4" t="n">
        <f aca="false">(E6-D6)*Assumptions!$B$23/100</f>
        <v>-134.1849090582</v>
      </c>
      <c r="F18" s="4" t="n">
        <f aca="false">(F6-E6)*Assumptions!$B$23/100</f>
        <v>-138.210456329946</v>
      </c>
      <c r="G18" s="4" t="n">
        <f aca="false">(G6-F6)*Assumptions!$B$23/100</f>
        <v>-142.356770019845</v>
      </c>
      <c r="H18" s="4" t="n">
        <f aca="false">(H6-G6)*Assumptions!$B$23/100</f>
        <v>-146.62747312044</v>
      </c>
      <c r="I18" s="4" t="n">
        <f aca="false">(I6-H6)*Assumptions!$B$23/100</f>
        <v>-151.026297314053</v>
      </c>
      <c r="J18" s="4" t="n">
        <f aca="false">(J6-I6)*Assumptions!$B$23/100</f>
        <v>-129.630905194562</v>
      </c>
      <c r="K18" s="4" t="n">
        <f aca="false">(K6-J6)*Assumptions!$B$23/100</f>
        <v>-132.871677824426</v>
      </c>
      <c r="L18" s="4" t="n">
        <f aca="false">(L6-K6)*Assumptions!$B$23/100</f>
        <v>-136.193469770036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944.897991637601</v>
      </c>
      <c r="D19" s="0" t="n">
        <f aca="false">D15+D16+D17+D18</f>
        <v>916.000564815336</v>
      </c>
      <c r="E19" s="0" t="n">
        <f aca="false">E15+E16+E17+E18</f>
        <v>876.725857240834</v>
      </c>
      <c r="F19" s="0" t="n">
        <f aca="false">F15+F16+F17+F18</f>
        <v>930.143208199934</v>
      </c>
      <c r="G19" s="0" t="n">
        <f aca="false">G15+G16+G17+G18</f>
        <v>972.012025695497</v>
      </c>
      <c r="H19" s="0" t="n">
        <f aca="false">H15+H16+H17+H18</f>
        <v>1001.17238646636</v>
      </c>
      <c r="I19" s="0" t="n">
        <f aca="false">I15+I16+I17+I18</f>
        <v>1031.20755806035</v>
      </c>
      <c r="J19" s="0" t="n">
        <f aca="false">J15+J16+J17+J18</f>
        <v>1082.15879656421</v>
      </c>
      <c r="K19" s="0" t="n">
        <f aca="false">K15+K16+K17+K18</f>
        <v>1109.21276647831</v>
      </c>
      <c r="L19" s="0" t="n">
        <f aca="false">L15+L16+L17+L18</f>
        <v>1136.94308564027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862.920540308311</v>
      </c>
      <c r="D21" s="0" t="n">
        <f aca="false">D19*D20</f>
        <v>763.95451705789</v>
      </c>
      <c r="E21" s="0" t="n">
        <f aca="false">E19*E20</f>
        <v>667.761625758397</v>
      </c>
      <c r="F21" s="0" t="n">
        <f aca="false">F19*F20</f>
        <v>646.983704882274</v>
      </c>
      <c r="G21" s="0" t="n">
        <f aca="false">G19*G20</f>
        <v>617.448929708443</v>
      </c>
      <c r="H21" s="0" t="n">
        <f aca="false">H19*H20</f>
        <v>580.79671013671</v>
      </c>
      <c r="I21" s="0" t="n">
        <f aca="false">I19*I20</f>
        <v>546.320193096631</v>
      </c>
      <c r="J21" s="0" t="n">
        <f aca="false">J19*J20</f>
        <v>523.573962296199</v>
      </c>
      <c r="K21" s="0" t="n">
        <f aca="false">K19*K20</f>
        <v>490.103480688223</v>
      </c>
      <c r="L21" s="0" t="n">
        <f aca="false">L19*L20</f>
        <v>458.772664571167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6158.63632850424</v>
      </c>
    </row>
    <row r="31" customFormat="false" ht="15" hidden="false" customHeight="false" outlineLevel="0" collapsed="false">
      <c r="A31" s="0" t="s">
        <v>128</v>
      </c>
      <c r="B31" s="0" t="n">
        <f aca="false">L19</f>
        <v>1136.94308564027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15462.4259647076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11369.4308564027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11369.4308564027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4587.72664571167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10746.3629742159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10034.0629742159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2.8654015004329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-0.395484915520486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2.8654015004329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8920.63036425441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1.8188254989261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5</v>
      </c>
      <c r="D5" s="4" t="n">
        <f aca="false">Assumptions!D27</f>
        <v>7</v>
      </c>
      <c r="E5" s="4" t="n">
        <f aca="false">Assumptions!E27</f>
        <v>7</v>
      </c>
      <c r="F5" s="4" t="n">
        <f aca="false">Assumptions!F27</f>
        <v>7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12283.271</v>
      </c>
      <c r="C6" s="0" t="n">
        <f aca="false">B6*(1+C5/100)</f>
        <v>12897.43455</v>
      </c>
      <c r="D6" s="0" t="n">
        <f aca="false">C6*(1+D5/100)</f>
        <v>13800.2549685</v>
      </c>
      <c r="E6" s="0" t="n">
        <f aca="false">D6*(1+E5/100)</f>
        <v>14766.272816295</v>
      </c>
      <c r="F6" s="0" t="n">
        <f aca="false">E6*(1+F5/100)</f>
        <v>15799.9119134357</v>
      </c>
      <c r="G6" s="0" t="n">
        <f aca="false">F6*(1+G5/100)</f>
        <v>16747.9066282418</v>
      </c>
      <c r="H6" s="0" t="n">
        <f aca="false">G6*(1+H5/100)</f>
        <v>17669.0414927951</v>
      </c>
      <c r="I6" s="0" t="n">
        <f aca="false">H6*(1+I5/100)</f>
        <v>18552.4935674348</v>
      </c>
      <c r="J6" s="0" t="n">
        <f aca="false">I6*(1+J5/100)</f>
        <v>19387.3557779694</v>
      </c>
      <c r="K6" s="0" t="n">
        <f aca="false">J6*(1+K5/100)</f>
        <v>20162.8500090882</v>
      </c>
      <c r="L6" s="0" t="n">
        <f aca="false">K6*(1+L5/100)</f>
        <v>20868.5497594063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19.5</v>
      </c>
      <c r="D7" s="4" t="n">
        <f aca="false">Assumptions!D28</f>
        <v>20</v>
      </c>
      <c r="E7" s="4" t="n">
        <f aca="false">Assumptions!E28</f>
        <v>20.5</v>
      </c>
      <c r="F7" s="4" t="n">
        <f aca="false">Assumptions!F28</f>
        <v>21</v>
      </c>
      <c r="G7" s="4" t="n">
        <f aca="false">Assumptions!G28</f>
        <v>21.5</v>
      </c>
      <c r="H7" s="4" t="n">
        <f aca="false">Assumptions!H28</f>
        <v>21.5</v>
      </c>
      <c r="I7" s="4" t="n">
        <f aca="false">Assumptions!I28</f>
        <v>21.5</v>
      </c>
      <c r="J7" s="4" t="n">
        <f aca="false">Assumptions!J28</f>
        <v>21.5</v>
      </c>
      <c r="K7" s="4" t="n">
        <f aca="false">Assumptions!K28</f>
        <v>21.5</v>
      </c>
      <c r="L7" s="4" t="n">
        <f aca="false">Assumptions!L28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2514.99973725</v>
      </c>
      <c r="D8" s="0" t="n">
        <f aca="false">D6*D7/100</f>
        <v>2760.0509937</v>
      </c>
      <c r="E8" s="0" t="n">
        <f aca="false">E6*E7/100</f>
        <v>3027.08592734048</v>
      </c>
      <c r="F8" s="0" t="n">
        <f aca="false">F6*F7/100</f>
        <v>3317.98150182149</v>
      </c>
      <c r="G8" s="0" t="n">
        <f aca="false">G6*G7/100</f>
        <v>3600.79992507199</v>
      </c>
      <c r="H8" s="0" t="n">
        <f aca="false">H6*H7/100</f>
        <v>3798.84392095094</v>
      </c>
      <c r="I8" s="0" t="n">
        <f aca="false">I6*I7/100</f>
        <v>3988.78611699849</v>
      </c>
      <c r="J8" s="0" t="n">
        <f aca="false">J6*J7/100</f>
        <v>4168.28149226342</v>
      </c>
      <c r="K8" s="0" t="n">
        <f aca="false">K6*K7/100</f>
        <v>4335.01275195396</v>
      </c>
      <c r="L8" s="0" t="n">
        <f aca="false">L6*L7/100</f>
        <v>4486.73819827235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2514.99973725</v>
      </c>
      <c r="D11" s="0" t="n">
        <f aca="false">D8+D10+D24</f>
        <v>2760.0509937</v>
      </c>
      <c r="E11" s="0" t="n">
        <f aca="false">E8+E10+E24</f>
        <v>3027.08592734048</v>
      </c>
      <c r="F11" s="0" t="n">
        <f aca="false">F8+F10+F24</f>
        <v>3317.98150182149</v>
      </c>
      <c r="G11" s="0" t="n">
        <f aca="false">G8+G10+G24</f>
        <v>3600.79992507199</v>
      </c>
      <c r="H11" s="0" t="n">
        <f aca="false">H8+H10+H24</f>
        <v>3798.84392095094</v>
      </c>
      <c r="I11" s="0" t="n">
        <f aca="false">I8+I10+I24</f>
        <v>3988.78611699849</v>
      </c>
      <c r="J11" s="0" t="n">
        <f aca="false">J8+J10+J24</f>
        <v>4168.28149226342</v>
      </c>
      <c r="K11" s="0" t="n">
        <f aca="false">K8+K10+K24</f>
        <v>4335.01275195396</v>
      </c>
      <c r="L11" s="0" t="n">
        <f aca="false">L8+L10+L24</f>
        <v>4486.73819827235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-619.0768584</v>
      </c>
      <c r="D12" s="4" t="n">
        <f aca="false">-D6*Assumptions!D31/100</f>
        <v>-676.2124934565</v>
      </c>
      <c r="E12" s="4" t="n">
        <f aca="false">-E6*Assumptions!E31/100</f>
        <v>-738.31364081475</v>
      </c>
      <c r="F12" s="4" t="n">
        <f aca="false">-F6*Assumptions!F31/100</f>
        <v>-789.995595671783</v>
      </c>
      <c r="G12" s="4" t="n">
        <f aca="false">-G6*Assumptions!G31/100</f>
        <v>-837.39533141209</v>
      </c>
      <c r="H12" s="4" t="n">
        <f aca="false">-H6*Assumptions!H31/100</f>
        <v>-883.452074639755</v>
      </c>
      <c r="I12" s="4" t="n">
        <f aca="false">-I6*Assumptions!I31/100</f>
        <v>-927.624678371742</v>
      </c>
      <c r="J12" s="4" t="n">
        <f aca="false">-J6*Assumptions!J31/100</f>
        <v>-969.367788898471</v>
      </c>
      <c r="K12" s="4" t="n">
        <f aca="false">-K6*Assumptions!K31/100</f>
        <v>-1008.14250045441</v>
      </c>
      <c r="L12" s="4" t="n">
        <f aca="false">-L6*Assumptions!L31/100</f>
        <v>-1043.42748797031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1895.92287885</v>
      </c>
      <c r="D13" s="0" t="n">
        <f aca="false">D11+D12</f>
        <v>2083.8385002435</v>
      </c>
      <c r="E13" s="0" t="n">
        <f aca="false">E11+E12</f>
        <v>2288.77228652573</v>
      </c>
      <c r="F13" s="0" t="n">
        <f aca="false">F11+F12</f>
        <v>2527.9859061497</v>
      </c>
      <c r="G13" s="0" t="n">
        <f aca="false">G11+G12</f>
        <v>2763.4045936599</v>
      </c>
      <c r="H13" s="0" t="n">
        <f aca="false">H11+H12</f>
        <v>2915.39184631119</v>
      </c>
      <c r="I13" s="0" t="n">
        <f aca="false">I11+I12</f>
        <v>3061.16143862675</v>
      </c>
      <c r="J13" s="0" t="n">
        <f aca="false">J11+J12</f>
        <v>3198.91370336495</v>
      </c>
      <c r="K13" s="0" t="n">
        <f aca="false">K11+K12</f>
        <v>3326.87025149955</v>
      </c>
      <c r="L13" s="0" t="n">
        <f aca="false">L11+L12</f>
        <v>3443.31071030204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1516.73830308</v>
      </c>
      <c r="D15" s="0" t="n">
        <f aca="false">D13-MAX(0,D13)*D14/100</f>
        <v>1667.0708001948</v>
      </c>
      <c r="E15" s="0" t="n">
        <f aca="false">E13-MAX(0,E13)*E14/100</f>
        <v>1831.01782922058</v>
      </c>
      <c r="F15" s="0" t="n">
        <f aca="false">F13-MAX(0,F13)*F14/100</f>
        <v>2022.38872491976</v>
      </c>
      <c r="G15" s="0" t="n">
        <f aca="false">G13-MAX(0,G13)*G14/100</f>
        <v>2210.72367492792</v>
      </c>
      <c r="H15" s="0" t="n">
        <f aca="false">H13-MAX(0,H13)*H14/100</f>
        <v>2332.31347704895</v>
      </c>
      <c r="I15" s="0" t="n">
        <f aca="false">I13-MAX(0,I13)*I14/100</f>
        <v>2448.9291509014</v>
      </c>
      <c r="J15" s="0" t="n">
        <f aca="false">J13-MAX(0,J13)*J14/100</f>
        <v>2559.13096269196</v>
      </c>
      <c r="K15" s="0" t="n">
        <f aca="false">K13-MAX(0,K13)*K14/100</f>
        <v>2661.49620119964</v>
      </c>
      <c r="L15" s="0" t="n">
        <f aca="false">L13-MAX(0,L13)*L14/100</f>
        <v>2754.64856824163</v>
      </c>
    </row>
    <row r="16" customFormat="false" ht="15" hidden="false" customHeight="false" outlineLevel="0" collapsed="false">
      <c r="A16" s="0" t="s">
        <v>119</v>
      </c>
      <c r="C16" s="0" t="n">
        <f aca="false">-C12</f>
        <v>619.0768584</v>
      </c>
      <c r="D16" s="0" t="n">
        <f aca="false">-D12</f>
        <v>676.2124934565</v>
      </c>
      <c r="E16" s="0" t="n">
        <f aca="false">-E12</f>
        <v>738.31364081475</v>
      </c>
      <c r="F16" s="0" t="n">
        <f aca="false">-F12</f>
        <v>789.995595671783</v>
      </c>
      <c r="G16" s="0" t="n">
        <f aca="false">-G12</f>
        <v>837.39533141209</v>
      </c>
      <c r="H16" s="0" t="n">
        <f aca="false">-H12</f>
        <v>883.452074639755</v>
      </c>
      <c r="I16" s="0" t="n">
        <f aca="false">-I12</f>
        <v>927.624678371742</v>
      </c>
      <c r="J16" s="0" t="n">
        <f aca="false">-J12</f>
        <v>969.367788898471</v>
      </c>
      <c r="K16" s="0" t="n">
        <f aca="false">-K12</f>
        <v>1008.14250045441</v>
      </c>
      <c r="L16" s="0" t="n">
        <f aca="false">-L12</f>
        <v>1043.42748797031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-838.33324575</v>
      </c>
      <c r="D17" s="4" t="n">
        <f aca="false">-D6*Assumptions!D32/100</f>
        <v>-897.0165729525</v>
      </c>
      <c r="E17" s="4" t="n">
        <f aca="false">-E6*Assumptions!E32/100</f>
        <v>-930.275187426585</v>
      </c>
      <c r="F17" s="4" t="n">
        <f aca="false">-F6*Assumptions!F32/100</f>
        <v>-979.594538633011</v>
      </c>
      <c r="G17" s="4" t="n">
        <f aca="false">-G6*Assumptions!G32/100</f>
        <v>-1004.87439769451</v>
      </c>
      <c r="H17" s="4" t="n">
        <f aca="false">-H6*Assumptions!H32/100</f>
        <v>-1060.14248956771</v>
      </c>
      <c r="I17" s="4" t="n">
        <f aca="false">-I6*Assumptions!I32/100</f>
        <v>-1113.14961404609</v>
      </c>
      <c r="J17" s="4" t="n">
        <f aca="false">-J6*Assumptions!J32/100</f>
        <v>-1163.24134667816</v>
      </c>
      <c r="K17" s="4" t="n">
        <f aca="false">-K6*Assumptions!K32/100</f>
        <v>-1209.77100054529</v>
      </c>
      <c r="L17" s="4" t="n">
        <f aca="false">-L6*Assumptions!L32/100</f>
        <v>-1252.11298556438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-153.5408875</v>
      </c>
      <c r="D18" s="4" t="n">
        <f aca="false">(D6-C6)*Assumptions!$B$37/100</f>
        <v>-225.705104625</v>
      </c>
      <c r="E18" s="4" t="n">
        <f aca="false">(E6-D6)*Assumptions!$B$37/100</f>
        <v>-241.50446194875</v>
      </c>
      <c r="F18" s="4" t="n">
        <f aca="false">(F6-E6)*Assumptions!$B$37/100</f>
        <v>-258.409774285163</v>
      </c>
      <c r="G18" s="4" t="n">
        <f aca="false">(G6-F6)*Assumptions!$B$37/100</f>
        <v>-236.998678701535</v>
      </c>
      <c r="H18" s="4" t="n">
        <f aca="false">(H6-G6)*Assumptions!$B$37/100</f>
        <v>-230.283716138324</v>
      </c>
      <c r="I18" s="4" t="n">
        <f aca="false">(I6-H6)*Assumptions!$B$37/100</f>
        <v>-220.863018659938</v>
      </c>
      <c r="J18" s="4" t="n">
        <f aca="false">(J6-I6)*Assumptions!$B$37/100</f>
        <v>-208.715552633642</v>
      </c>
      <c r="K18" s="4" t="n">
        <f aca="false">(K6-J6)*Assumptions!$B$37/100</f>
        <v>-193.873557779694</v>
      </c>
      <c r="L18" s="4" t="n">
        <f aca="false">(L6-K6)*Assumptions!$B$37/100</f>
        <v>-176.424937579522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1143.94102823</v>
      </c>
      <c r="D19" s="0" t="n">
        <f aca="false">D15+D16+D17+D18</f>
        <v>1220.5616160738</v>
      </c>
      <c r="E19" s="0" t="n">
        <f aca="false">E15+E16+E17+E18</f>
        <v>1397.55182066</v>
      </c>
      <c r="F19" s="0" t="n">
        <f aca="false">F15+F16+F17+F18</f>
        <v>1574.38000767337</v>
      </c>
      <c r="G19" s="0" t="n">
        <f aca="false">G15+G16+G17+G18</f>
        <v>1806.24592994396</v>
      </c>
      <c r="H19" s="0" t="n">
        <f aca="false">H15+H16+H17+H18</f>
        <v>1925.33934598268</v>
      </c>
      <c r="I19" s="0" t="n">
        <f aca="false">I15+I16+I17+I18</f>
        <v>2042.54119656711</v>
      </c>
      <c r="J19" s="0" t="n">
        <f aca="false">J15+J16+J17+J18</f>
        <v>2156.54185227863</v>
      </c>
      <c r="K19" s="0" t="n">
        <f aca="false">K15+K16+K17+K18</f>
        <v>2265.99414332907</v>
      </c>
      <c r="L19" s="0" t="n">
        <f aca="false">L15+L16+L17+L18</f>
        <v>2369.53813306804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1044.69500294977</v>
      </c>
      <c r="D21" s="0" t="n">
        <f aca="false">D19*D20</f>
        <v>1017.96177400288</v>
      </c>
      <c r="E21" s="0" t="n">
        <f aca="false">E19*E20</f>
        <v>1064.45072668727</v>
      </c>
      <c r="F21" s="0" t="n">
        <f aca="false">F19*F20</f>
        <v>1095.09826151217</v>
      </c>
      <c r="G21" s="0" t="n">
        <f aca="false">G19*G20</f>
        <v>1147.37738500317</v>
      </c>
      <c r="H21" s="0" t="n">
        <f aca="false">H19*H20</f>
        <v>1116.92129463368</v>
      </c>
      <c r="I21" s="0" t="n">
        <f aca="false">I19*I20</f>
        <v>1082.11144516365</v>
      </c>
      <c r="J21" s="0" t="n">
        <f aca="false">J19*J20</f>
        <v>1043.38583767924</v>
      </c>
      <c r="K21" s="0" t="n">
        <f aca="false">K19*K20</f>
        <v>1001.22505837244</v>
      </c>
      <c r="L21" s="0" t="n">
        <f aca="false">L19*L20</f>
        <v>956.142252713054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10569.3690387173</v>
      </c>
    </row>
    <row r="31" customFormat="false" ht="15" hidden="false" customHeight="false" outlineLevel="0" collapsed="false">
      <c r="A31" s="0" t="s">
        <v>128</v>
      </c>
      <c r="B31" s="0" t="n">
        <f aca="false">L19</f>
        <v>2369.53813306804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34696.8083770678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28434.4575968165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28434.4575968165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11473.7070325566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22043.076071274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21330.776071274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6.09137474192529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0.285100156524322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6.09137474192529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19430.212691158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3.50116173049169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7</v>
      </c>
      <c r="D5" s="4" t="n">
        <f aca="false">Assumptions!D41</f>
        <v>10</v>
      </c>
      <c r="E5" s="4" t="n">
        <f aca="false">Assumptions!E41</f>
        <v>11</v>
      </c>
      <c r="F5" s="4" t="n">
        <f aca="false">Assumptions!F41</f>
        <v>11</v>
      </c>
      <c r="G5" s="4" t="n">
        <f aca="false">Assumptions!G41</f>
        <v>10</v>
      </c>
      <c r="H5" s="4" t="n">
        <f aca="false">Assumptions!H41</f>
        <v>9</v>
      </c>
      <c r="I5" s="4" t="n">
        <f aca="false">Assumptions!I41</f>
        <v>8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12283.271</v>
      </c>
      <c r="C6" s="0" t="n">
        <f aca="false">B6*(1+C5/100)</f>
        <v>13143.09997</v>
      </c>
      <c r="D6" s="0" t="n">
        <f aca="false">C6*(1+D5/100)</f>
        <v>14457.409967</v>
      </c>
      <c r="E6" s="0" t="n">
        <f aca="false">D6*(1+E5/100)</f>
        <v>16047.72506337</v>
      </c>
      <c r="F6" s="0" t="n">
        <f aca="false">E6*(1+F5/100)</f>
        <v>17812.9748203407</v>
      </c>
      <c r="G6" s="0" t="n">
        <f aca="false">F6*(1+G5/100)</f>
        <v>19594.2723023748</v>
      </c>
      <c r="H6" s="0" t="n">
        <f aca="false">G6*(1+H5/100)</f>
        <v>21357.7568095885</v>
      </c>
      <c r="I6" s="0" t="n">
        <f aca="false">H6*(1+I5/100)</f>
        <v>23066.3773543556</v>
      </c>
      <c r="J6" s="0" t="n">
        <f aca="false">I6*(1+J5/100)</f>
        <v>24450.3599956169</v>
      </c>
      <c r="K6" s="0" t="n">
        <f aca="false">J6*(1+K5/100)</f>
        <v>25672.8779953978</v>
      </c>
      <c r="L6" s="0" t="n">
        <f aca="false">K6*(1+L5/100)</f>
        <v>26699.7931152137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20.5</v>
      </c>
      <c r="D7" s="4" t="n">
        <f aca="false">Assumptions!D42</f>
        <v>22</v>
      </c>
      <c r="E7" s="4" t="n">
        <f aca="false">Assumptions!E42</f>
        <v>23</v>
      </c>
      <c r="F7" s="4" t="n">
        <f aca="false">Assumptions!F42</f>
        <v>24</v>
      </c>
      <c r="G7" s="4" t="n">
        <f aca="false">Assumptions!G42</f>
        <v>24.5</v>
      </c>
      <c r="H7" s="4" t="n">
        <f aca="false">Assumptions!H42</f>
        <v>25</v>
      </c>
      <c r="I7" s="4" t="n">
        <f aca="false">Assumptions!I42</f>
        <v>25</v>
      </c>
      <c r="J7" s="4" t="n">
        <f aca="false">Assumptions!J42</f>
        <v>25</v>
      </c>
      <c r="K7" s="4" t="n">
        <f aca="false">Assumptions!K42</f>
        <v>25</v>
      </c>
      <c r="L7" s="4" t="n">
        <f aca="false">Assumptions!L42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2694.33549385</v>
      </c>
      <c r="D8" s="0" t="n">
        <f aca="false">D6*D7/100</f>
        <v>3180.63019274</v>
      </c>
      <c r="E8" s="0" t="n">
        <f aca="false">E6*E7/100</f>
        <v>3690.9767645751</v>
      </c>
      <c r="F8" s="0" t="n">
        <f aca="false">F6*F7/100</f>
        <v>4275.11395688177</v>
      </c>
      <c r="G8" s="0" t="n">
        <f aca="false">G6*G7/100</f>
        <v>4800.59671408182</v>
      </c>
      <c r="H8" s="0" t="n">
        <f aca="false">H6*H7/100</f>
        <v>5339.43920239713</v>
      </c>
      <c r="I8" s="0" t="n">
        <f aca="false">I6*I7/100</f>
        <v>5766.5943385889</v>
      </c>
      <c r="J8" s="0" t="n">
        <f aca="false">J6*J7/100</f>
        <v>6112.58999890423</v>
      </c>
      <c r="K8" s="0" t="n">
        <f aca="false">K6*K7/100</f>
        <v>6418.21949884945</v>
      </c>
      <c r="L8" s="0" t="n">
        <f aca="false">L6*L7/100</f>
        <v>6674.94827880342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2694.33549385</v>
      </c>
      <c r="D11" s="0" t="n">
        <f aca="false">D8+D10+D24</f>
        <v>3180.63019274</v>
      </c>
      <c r="E11" s="0" t="n">
        <f aca="false">E8+E10+E24</f>
        <v>3690.9767645751</v>
      </c>
      <c r="F11" s="0" t="n">
        <f aca="false">F8+F10+F24</f>
        <v>4275.11395688177</v>
      </c>
      <c r="G11" s="0" t="n">
        <f aca="false">G8+G10+G24</f>
        <v>4800.59671408182</v>
      </c>
      <c r="H11" s="0" t="n">
        <f aca="false">H8+H10+H24</f>
        <v>5339.43920239713</v>
      </c>
      <c r="I11" s="0" t="n">
        <f aca="false">I8+I10+I24</f>
        <v>5766.5943385889</v>
      </c>
      <c r="J11" s="0" t="n">
        <f aca="false">J8+J10+J24</f>
        <v>6112.58999890423</v>
      </c>
      <c r="K11" s="0" t="n">
        <f aca="false">K8+K10+K24</f>
        <v>6418.21949884945</v>
      </c>
      <c r="L11" s="0" t="n">
        <f aca="false">L8+L10+L24</f>
        <v>6674.94827880342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-630.86879856</v>
      </c>
      <c r="D12" s="4" t="n">
        <f aca="false">-D6*Assumptions!D45/100</f>
        <v>-708.413088383</v>
      </c>
      <c r="E12" s="4" t="n">
        <f aca="false">-E6*Assumptions!E45/100</f>
        <v>-802.3862531685</v>
      </c>
      <c r="F12" s="4" t="n">
        <f aca="false">-F6*Assumptions!F45/100</f>
        <v>-890.648741017035</v>
      </c>
      <c r="G12" s="4" t="n">
        <f aca="false">-G6*Assumptions!G45/100</f>
        <v>-979.713615118739</v>
      </c>
      <c r="H12" s="4" t="n">
        <f aca="false">-H6*Assumptions!H45/100</f>
        <v>-1067.88784047943</v>
      </c>
      <c r="I12" s="4" t="n">
        <f aca="false">-I6*Assumptions!I45/100</f>
        <v>-1153.31886771778</v>
      </c>
      <c r="J12" s="4" t="n">
        <f aca="false">-J6*Assumptions!J45/100</f>
        <v>-1222.51799978085</v>
      </c>
      <c r="K12" s="4" t="n">
        <f aca="false">-K6*Assumptions!K45/100</f>
        <v>-1283.64389976989</v>
      </c>
      <c r="L12" s="4" t="n">
        <f aca="false">-L6*Assumptions!L45/100</f>
        <v>-1334.98965576068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2063.46669529</v>
      </c>
      <c r="D13" s="0" t="n">
        <f aca="false">D11+D12</f>
        <v>2472.217104357</v>
      </c>
      <c r="E13" s="0" t="n">
        <f aca="false">E11+E12</f>
        <v>2888.5905114066</v>
      </c>
      <c r="F13" s="0" t="n">
        <f aca="false">F11+F12</f>
        <v>3384.46521586473</v>
      </c>
      <c r="G13" s="0" t="n">
        <f aca="false">G11+G12</f>
        <v>3820.88309896308</v>
      </c>
      <c r="H13" s="0" t="n">
        <f aca="false">H11+H12</f>
        <v>4271.5513619177</v>
      </c>
      <c r="I13" s="0" t="n">
        <f aca="false">I11+I12</f>
        <v>4613.27547087112</v>
      </c>
      <c r="J13" s="0" t="n">
        <f aca="false">J11+J12</f>
        <v>4890.07199912339</v>
      </c>
      <c r="K13" s="0" t="n">
        <f aca="false">K11+K12</f>
        <v>5134.57559907956</v>
      </c>
      <c r="L13" s="0" t="n">
        <f aca="false">L11+L12</f>
        <v>5339.95862304274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19</v>
      </c>
      <c r="D14" s="4" t="n">
        <f aca="false">Assumptions!D47</f>
        <v>19</v>
      </c>
      <c r="E14" s="4" t="n">
        <f aca="false">Assumptions!E47</f>
        <v>19</v>
      </c>
      <c r="F14" s="4" t="n">
        <f aca="false">Assumptions!F47</f>
        <v>19</v>
      </c>
      <c r="G14" s="4" t="n">
        <f aca="false">Assumptions!G47</f>
        <v>19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1671.4080231849</v>
      </c>
      <c r="D15" s="0" t="n">
        <f aca="false">D13-MAX(0,D13)*D14/100</f>
        <v>2002.49585452917</v>
      </c>
      <c r="E15" s="0" t="n">
        <f aca="false">E13-MAX(0,E13)*E14/100</f>
        <v>2339.75831423935</v>
      </c>
      <c r="F15" s="0" t="n">
        <f aca="false">F13-MAX(0,F13)*F14/100</f>
        <v>2741.41682485043</v>
      </c>
      <c r="G15" s="0" t="n">
        <f aca="false">G13-MAX(0,G13)*G14/100</f>
        <v>3094.9153101601</v>
      </c>
      <c r="H15" s="0" t="n">
        <f aca="false">H13-MAX(0,H13)*H14/100</f>
        <v>3459.95660315334</v>
      </c>
      <c r="I15" s="0" t="n">
        <f aca="false">I13-MAX(0,I13)*I14/100</f>
        <v>3736.75313140561</v>
      </c>
      <c r="J15" s="0" t="n">
        <f aca="false">J13-MAX(0,J13)*J14/100</f>
        <v>3960.95831928994</v>
      </c>
      <c r="K15" s="0" t="n">
        <f aca="false">K13-MAX(0,K13)*K14/100</f>
        <v>4159.00623525444</v>
      </c>
      <c r="L15" s="0" t="n">
        <f aca="false">L13-MAX(0,L13)*L14/100</f>
        <v>4325.36648466462</v>
      </c>
    </row>
    <row r="16" customFormat="false" ht="15" hidden="false" customHeight="false" outlineLevel="0" collapsed="false">
      <c r="A16" s="0" t="s">
        <v>119</v>
      </c>
      <c r="C16" s="0" t="n">
        <f aca="false">-C12</f>
        <v>630.86879856</v>
      </c>
      <c r="D16" s="0" t="n">
        <f aca="false">-D12</f>
        <v>708.413088383</v>
      </c>
      <c r="E16" s="0" t="n">
        <f aca="false">-E12</f>
        <v>802.3862531685</v>
      </c>
      <c r="F16" s="0" t="n">
        <f aca="false">-F12</f>
        <v>890.648741017035</v>
      </c>
      <c r="G16" s="0" t="n">
        <f aca="false">-G12</f>
        <v>979.713615118739</v>
      </c>
      <c r="H16" s="0" t="n">
        <f aca="false">-H12</f>
        <v>1067.88784047943</v>
      </c>
      <c r="I16" s="0" t="n">
        <f aca="false">-I12</f>
        <v>1153.31886771778</v>
      </c>
      <c r="J16" s="0" t="n">
        <f aca="false">-J12</f>
        <v>1222.51799978085</v>
      </c>
      <c r="K16" s="0" t="n">
        <f aca="false">-K12</f>
        <v>1283.64389976989</v>
      </c>
      <c r="L16" s="0" t="n">
        <f aca="false">-L12</f>
        <v>1334.98965576068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-854.30149805</v>
      </c>
      <c r="D17" s="4" t="n">
        <f aca="false">-D6*Assumptions!D46/100</f>
        <v>-910.816827921</v>
      </c>
      <c r="E17" s="4" t="n">
        <f aca="false">-E6*Assumptions!E46/100</f>
        <v>-962.8635038022</v>
      </c>
      <c r="F17" s="4" t="n">
        <f aca="false">-F6*Assumptions!F46/100</f>
        <v>-1033.15253957976</v>
      </c>
      <c r="G17" s="4" t="n">
        <f aca="false">-G6*Assumptions!G46/100</f>
        <v>-1077.68497663061</v>
      </c>
      <c r="H17" s="4" t="n">
        <f aca="false">-H6*Assumptions!H46/100</f>
        <v>-1174.67662452737</v>
      </c>
      <c r="I17" s="4" t="n">
        <f aca="false">-I6*Assumptions!I46/100</f>
        <v>-1268.65075448956</v>
      </c>
      <c r="J17" s="4" t="n">
        <f aca="false">-J6*Assumptions!J46/100</f>
        <v>-1344.76979975893</v>
      </c>
      <c r="K17" s="4" t="n">
        <f aca="false">-K6*Assumptions!K46/100</f>
        <v>-1412.00828974688</v>
      </c>
      <c r="L17" s="4" t="n">
        <f aca="false">-L6*Assumptions!L46/100</f>
        <v>-1468.48862133675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-171.965794</v>
      </c>
      <c r="D18" s="4" t="n">
        <f aca="false">(D6-C6)*Assumptions!$B$51/100</f>
        <v>-262.8619994</v>
      </c>
      <c r="E18" s="4" t="n">
        <f aca="false">(E6-D6)*Assumptions!$B$51/100</f>
        <v>-318.063019274</v>
      </c>
      <c r="F18" s="4" t="n">
        <f aca="false">(F6-E6)*Assumptions!$B$51/100</f>
        <v>-353.049951394141</v>
      </c>
      <c r="G18" s="4" t="n">
        <f aca="false">(G6-F6)*Assumptions!$B$51/100</f>
        <v>-356.259496406814</v>
      </c>
      <c r="H18" s="4" t="n">
        <f aca="false">(H6-G6)*Assumptions!$B$51/100</f>
        <v>-352.696901442747</v>
      </c>
      <c r="I18" s="4" t="n">
        <f aca="false">(I6-H6)*Assumptions!$B$51/100</f>
        <v>-341.724108953417</v>
      </c>
      <c r="J18" s="4" t="n">
        <f aca="false">(J6-I6)*Assumptions!$B$51/100</f>
        <v>-276.796528252267</v>
      </c>
      <c r="K18" s="4" t="n">
        <f aca="false">(K6-J6)*Assumptions!$B$51/100</f>
        <v>-244.50359995617</v>
      </c>
      <c r="L18" s="4" t="n">
        <f aca="false">(L6-K6)*Assumptions!$B$51/100</f>
        <v>-205.383023963183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1276.0095296949</v>
      </c>
      <c r="D19" s="0" t="n">
        <f aca="false">D15+D16+D17+D18</f>
        <v>1537.23011559117</v>
      </c>
      <c r="E19" s="0" t="n">
        <f aca="false">E15+E16+E17+E18</f>
        <v>1861.21804433165</v>
      </c>
      <c r="F19" s="0" t="n">
        <f aca="false">F15+F16+F17+F18</f>
        <v>2245.86307489357</v>
      </c>
      <c r="G19" s="0" t="n">
        <f aca="false">G15+G16+G17+G18</f>
        <v>2640.68445224141</v>
      </c>
      <c r="H19" s="0" t="n">
        <f aca="false">H15+H16+H17+H18</f>
        <v>3000.47091766265</v>
      </c>
      <c r="I19" s="0" t="n">
        <f aca="false">I15+I16+I17+I18</f>
        <v>3279.69713568041</v>
      </c>
      <c r="J19" s="0" t="n">
        <f aca="false">J15+J16+J17+J18</f>
        <v>3561.90999105959</v>
      </c>
      <c r="K19" s="0" t="n">
        <f aca="false">K15+K16+K17+K18</f>
        <v>3786.13824532128</v>
      </c>
      <c r="L19" s="0" t="n">
        <f aca="false">L15+L16+L17+L18</f>
        <v>3986.48449512537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1165.30550657068</v>
      </c>
      <c r="D21" s="0" t="n">
        <f aca="false">D19*D20</f>
        <v>1282.06677558113</v>
      </c>
      <c r="E21" s="0" t="n">
        <f aca="false">E19*E20</f>
        <v>1417.60389169446</v>
      </c>
      <c r="F21" s="0" t="n">
        <f aca="false">F19*F20</f>
        <v>1562.16462158009</v>
      </c>
      <c r="G21" s="0" t="n">
        <f aca="false">G19*G20</f>
        <v>1677.43581934342</v>
      </c>
      <c r="H21" s="0" t="n">
        <f aca="false">H19*H20</f>
        <v>1740.62295504381</v>
      </c>
      <c r="I21" s="0" t="n">
        <f aca="false">I19*I20</f>
        <v>1737.54038016712</v>
      </c>
      <c r="J21" s="0" t="n">
        <f aca="false">J19*J20</f>
        <v>1723.33610675487</v>
      </c>
      <c r="K21" s="0" t="n">
        <f aca="false">K19*K20</f>
        <v>1672.8977419636</v>
      </c>
      <c r="L21" s="0" t="n">
        <f aca="false">L19*L20</f>
        <v>1608.60304899992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15587.5768476991</v>
      </c>
    </row>
    <row r="31" customFormat="false" ht="15" hidden="false" customHeight="false" outlineLevel="0" collapsed="false">
      <c r="A31" s="0" t="s">
        <v>128</v>
      </c>
      <c r="B31" s="0" t="n">
        <f aca="false">L19</f>
        <v>3986.48449512537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63170.4466150635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51824.2984366298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51824.2984366298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20911.8396369989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36499.416484698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35787.116484698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10.2196346121132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1.15604105740785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10.2196346121132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34217.3252498261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5.5955744916482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2.8654015004329</v>
      </c>
      <c r="C4" s="0" t="n">
        <f aca="false">B4/Assumptions!$B$2-1</f>
        <v>-0.395484915520486</v>
      </c>
      <c r="D4" s="4" t="n">
        <f aca="false">Assumptions!$B$24</f>
        <v>0.25</v>
      </c>
      <c r="E4" s="4" t="n">
        <f aca="false">DCF_Bear!$B$43</f>
        <v>2.8654015004329</v>
      </c>
      <c r="F4" s="4" t="n">
        <f aca="false">DCF_Bear!$B$47</f>
        <v>1.8188254989261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6.09137474192529</v>
      </c>
      <c r="C5" s="0" t="n">
        <f aca="false">B5/Assumptions!$B$2-1</f>
        <v>0.285100156524322</v>
      </c>
      <c r="D5" s="4" t="n">
        <f aca="false">Assumptions!$B$38</f>
        <v>0.5</v>
      </c>
      <c r="E5" s="4" t="n">
        <f aca="false">DCF_Base!$B$43</f>
        <v>6.09137474192529</v>
      </c>
      <c r="F5" s="4" t="n">
        <f aca="false">DCF_Base!$B$47</f>
        <v>3.50116173049169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10.2196346121132</v>
      </c>
      <c r="C6" s="0" t="n">
        <f aca="false">B6/Assumptions!$B$2-1</f>
        <v>1.15604105740785</v>
      </c>
      <c r="D6" s="4" t="n">
        <f aca="false">Assumptions!$B$52</f>
        <v>0.25</v>
      </c>
      <c r="E6" s="4" t="n">
        <f aca="false">DCF_Bull!$B$43</f>
        <v>10.2196346121132</v>
      </c>
      <c r="F6" s="4" t="n">
        <f aca="false">DCF_Bull!$B$47</f>
        <v>5.5955744916482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6.31694639909917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6.31694639909917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0.249637451304645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3.60418086288942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6.32128111822898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6.09137474192529</v>
      </c>
      <c r="C16" s="3" t="n">
        <v>9.5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5.8716961053975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5.46098512692536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4.82161669200987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3.50116173049169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7.07800045541051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7.07800045541051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7.07800045541051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7.07800045541051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7.07800045541051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6.56196215376343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6.56196215376343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6.56196215376343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6.56196215376343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6.56196215376343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6.09137474192529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6.09137474192529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6.09137474192529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6.09137474192529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6.09137474192529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5.4816674882081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5.66172880872856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5.66172880872856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5.66172880872856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5.66172880872856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4.84750638187008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4.98121055311796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5.12977074339338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5.26900428495196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5.26900428495196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2026-10-10T22:54:00Z</dcterms:created>
  <dc:creator>openpyxl</dc:creator>
  <dc:description/>
  <dc:language>en-NZ</dc:language>
  <cp:lastModifiedBy/>
  <dcterms:modified xsi:type="dcterms:W3CDTF">2026-10-10T22:54:00Z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