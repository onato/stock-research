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<sst xmlns="http://schemas.openxmlformats.org/spreadsheetml/2006/main" count="356" uniqueCount="164">
  <si>
    <t xml:space="preserve">Ticker</t>
  </si>
  <si>
    <t xml:space="preserve">1530.HK</t>
  </si>
  <si>
    <t xml:space="preserve">Company</t>
  </si>
  <si>
    <t xml:space="preserve">3SBio Inc.</t>
  </si>
  <si>
    <t xml:space="preserve">Valuation date</t>
  </si>
  <si>
    <t xml:space="preserve">2026-10-17</t>
  </si>
  <si>
    <t xml:space="preserve">Current price</t>
  </si>
  <si>
    <t xml:space="preserve">Price as of</t>
  </si>
  <si>
    <t xml:space="preserve">2026-10-16T08:08:14Z (HKEX regular close 16:08 HKT; not an after-hours print)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</si>
  <si>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</si>
  <si>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</si>
  <si>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</si>
  <si>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</si>
  <si>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</si>
  <si>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</si>
  <si>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</si>
  <si>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</si>
  <si>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</si>
  <si>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</si>
  <si>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</si>
  <si>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</si>
  <si>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</si>
  <si>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2026-10-16T13:59:31Z</t>
  </si>
  <si>
    <t xml:space="preserve">Drivers file</t>
  </si>
  <si>
    <t xml:space="preserve">1530.HK_Drivers.json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</si>
  <si>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</si>
  <si>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</si>
  <si>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</si>
  <si>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the business a buyer actually gets in October 2026: a shrinking but still very profitable China biologics franchise, RMB17.8bn of cash, deposits and bank WMPs, and a risk-adjusted claim on Pfizer's development of 707. The RMB9.4bn licence upfront of FY2025 is treated as a balance-sheet event (it is in the June cash), never as an earnings base; the product business is projected from its own FY2025 revenue and a component margin build anchored on FY2024 and H1 FY2026, discounted at a CNY cost of equity of 9%. SBC is expensed and the count held flat; interest and FV income on the cash pile are stripped because the pile is added back; leases are an operating cost; NCI is deducted once at book. The 707 economics are the hardest input and are shown as a single, separately-auditable bridge line with its PoS, discount rate and per-share sensitivity, so a reader who disagrees can substitute their own number.
key_risks_to_valuation: Legacy price erosion worse than the bear path: another national VBP round on rhEPO/TNF-alpha or an NRDL price cut on TPIAO (the single biggest product) in the FY2027 negotiation.; 707 clinical risk: PF-08634404 is a later entrant behind ivonescimab (Akeso/Summit) and pumitamig (BioNTech/BMS); a class-wide OS failure or a Pfizer deprioritisation removes HK$3.7/share of bridge value.; Capital allocation of the RMB19bn pile: ~80% of the placement/subscription proceeds are earmarked for R&amp;D and capacity; in-licensing or M&amp;A at full prices would convert cash counted at par into assets worth less.; Mandi spin-off: a distribution in specie transfers value to the same holders, but a global offering at a low price or a loss of the consumer cash flows without an equivalent dividend would leave the remaining entity more dependent on the pipeline.; Currency: milestones and royalties are USD, the quote is HKD, the flows are RMB; a 5% move in CNY/HKD moves every per-share figure by 5%.; SBC is rising (2.7% of product revenue in FY2025 from 0.4% in FY2024) under the 2024/2025 award schemes and the Mandi and Sunshine Guojian subsidiary plans; the path assumes it fades to 1.5%.</t>
  </si>
  <si>
    <t xml:space="preserve">Data sources</t>
  </si>
  <si>
    <t xml:space="preserve">price: Yahoo Finance chart API (query1.finance.yahoo.com/v8/finance/chart/1530.HK) at inputs.price_as_of; 52-week range 14.09-35.42 HKD. FX from Yahoo CNYHKD=X, see inputs.fx_note.
financials: research/1530.HK/Reports/1530.HK_Metrics.csv (core_metrics, millions of CNY) for the FY2018-H1 FY2026 history; 1530.HK_Annual_FY2025.txt (P&amp;L lines 4828-4860, MD&amp;A revenue split 1140-1170, licence terms 436-456, EPS note 8895-8925, D&amp;A 5163-5165) and 1530.HK_HalfYear_H1-2026.txt (balance sheet 2241-2337, cash flow 2437-2499, P&amp;L 2140-2175, MD&amp;A 757-900, EPS note 3017-3025, dividends note 2931-2948) for the anchors.
qualitative: research/1530.HK/Reports/1530.HK_Analysis.json (2026-10-17): business model, VBP/NRDL risk, 707 competitive position, pipeline approvals, Mandi spin-off status, bull/bear points.</t>
  </si>
  <si>
    <t xml:space="preserve">Scenario narrative: bear</t>
  </si>
  <si>
    <t xml:space="preserve">VBP and NRDL price cuts keep running at the H1 FY2026 pace through FY2028 (product revenue -12%, -6%, -4%), TPIAO's next NRDL negotiation cuts price again, the new launches are themselves NRDL-priced and replace only half the lost revenue, and management keeps R&amp;D at ~RMB1.4-1.5bn so the margin falls to ~22.5%; a no-growth franchise exits at 12x. The bear value shown still includes the RMB8.2bn 707 rNPV; a Phase-3 failure or a class-wide overall-survival miss for PD-1/VEGF bispecifics (ivonescimab's OS data were mixed) would remove it and take the bear ~HK$3.7/share lower. Even then the cash pile (HK$8.1/share before the NCI and dividend deductions) limits the downside.</t>
  </si>
  <si>
    <t xml:space="preserve">Scenario narrative: base</t>
  </si>
  <si>
    <t xml:space="preserve">Three axes decide this name: (1) how fast the legacy biologics franchise (TPIAO ~60% value share of China thrombocytopenia, EPIAO/SEPO ~40% of rhEPO, Yisaipu) deflates under VBP and NRDL renegotiation; (2) whether the 2026 launch wave (Yisaituo IL-17A, NuPIAO, 613 IL-1beta, 611 IL-4R NDA) can refill it; (3) what the Pfizer 707 contingent economics are worth. Base: product revenue troughs at ~RMB7.4bn in FY2026 (-10%), flat FY2027, then 4-5% growth to FY2030 as new products ramp, fading to 2.5%; pre-SBC EBITDA margin recovers from 27.5% to 29.5% with R&amp;D held at ~18% of product revenue; capex settles at 6.5%; 15x terminal cap. 707 enters at a 40%-PoS rNPV of RMB8.2bn (HK$3.7/share). Net cash plus deposits and WMPs of RMB17.8bn (HK$8.1/share, 56% of the market cap) is the floor under the value.</t>
  </si>
  <si>
    <t xml:space="preserve">Scenario narrative: bull</t>
  </si>
  <si>
    <t xml:space="preserve">The VBP/NRDL resets of FY2025-26 are a step-down, not a trend: legacy sales stabilise in FY2027, the four 2026 approvals each reach RMB0.5-1bn by FY2030, TPIAO wins an ex-China registration off the FDA-approved CLDT bridging trial, CDMO keeps growing 40%+, and the S&amp;D cut proves structural so the FY2024 margin (~33-34%) is recovered. Revenue compounds ~5% over the decade. Not in the bull flows but implied by the strategy: a second out-licensing deal from the 25-candidate pipeline, and 707 approvals that would lift the bridge item toward RMB15-20bn (another HK$3-5/share). The bull does not require the 707 class to win on overall survival, only to be approved.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</si>
  <si>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</si>
  <si>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</si>
  <si>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</si>
  <si>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</si>
  <si>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</si>
  <si>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</si>
  <si>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</si>
  <si>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</si>
  <si>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</si>
  <si>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</si>
  <si>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</si>
  <si>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</si>
  <si>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</si>
  <si>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</si>
  <si>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</si>
  <si>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</si>
  <si>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</si>
  <si>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</si>
  <si>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</si>
  <si>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</si>
  <si>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</si>
  <si>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</si>
  <si>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</si>
  <si>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</si>
  <si>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</si>
  <si>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</si>
  <si>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</si>
  <si>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</si>
  <si>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</si>
  <si>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</si>
  <si>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</si>
  <si>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</si>
  <si>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</si>
  <si>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</si>
  <si>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</si>
  <si>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</si>
  <si>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</si>
  <si>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</si>
  <si>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</si>
  <si>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</si>
  <si>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</si>
  <si>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</si>
  <si>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</si>
  <si>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</si>
  <si>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</si>
  <si>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</si>
  <si>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</si>
  <si>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</si>
  <si>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</si>
  <si>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</si>
  <si>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</si>
  <si>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</si>
  <si>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</si>
  <si>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</si>
  <si>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</si>
  <si>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</si>
  <si>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</si>
  <si>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</si>
  <si>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</si>
  <si>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</si>
  <si>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</si>
  <si>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</si>
  <si>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</si>
  <si>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</si>
  <si>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</si>
  <si>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</si>
  <si>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</si>
  <si>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</si>
  <si>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</si>
  <si>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</si>
  <si>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</si>
  <si>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</si>
  <si>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</si>
  <si>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1530.HK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</si>
  <si>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</si>
  <si>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</si>
  <si>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</si>
  <si>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</si>
  <si>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</si>
  <si>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</si>
  <si>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</si>
  <si>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</si>
  <si>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</si>
  <si>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</si>
  <si>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</si>
  <si>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</si>
  <si>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</si>
  <si>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</si>
  <si>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</si>
  <si>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</si>
  <si>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</si>
  <si>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</si>
  <si>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</si>
  <si>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</si>
  <si>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</si>
  <si>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</si>
  <si>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</si>
  <si>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</si>
  <si>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</si>
  <si>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</si>
  <si>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</si>
  <si>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</si>
  <si>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</si>
  <si>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</si>
  <si>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1530.HK owner-FCF component DCF: base case (millions, CNY)</t>
  </si>
  <si>
    <t xml:space="preserve">1530.HK owner-FCF component DCF: bull case (millions, CNY)</t>
  </si>
  <si>
    <t xml:space="preserve">1530.HK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</si>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</sst>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14.47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3734.33</v>
      </c>
      <c r="C2" s="0" t="n">
        <v>676.235</v>
      </c>
      <c r="D2" s="0" t="n">
        <v>3058.095</v>
      </c>
      <c r="E2" s="0" t="n">
        <v>81.9</v>
      </c>
      <c r="L2" s="0" t="n">
        <v>1074.1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4583.869</v>
      </c>
      <c r="C3" s="0" t="n">
        <v>877.255</v>
      </c>
      <c r="D3" s="0" t="n">
        <v>3706.614</v>
      </c>
      <c r="E3" s="0" t="n">
        <v>80.9</v>
      </c>
      <c r="F3" s="0" t="n">
        <v>1633.893</v>
      </c>
      <c r="G3" s="0" t="n">
        <v>35.6</v>
      </c>
      <c r="H3" s="0" t="n">
        <v>1957.595</v>
      </c>
      <c r="I3" s="0" t="n">
        <v>1277.167</v>
      </c>
      <c r="J3" s="0" t="n">
        <v>27.9</v>
      </c>
      <c r="K3" s="0" t="n">
        <v>0.49</v>
      </c>
      <c r="L3" s="0" t="n">
        <v>1150.251</v>
      </c>
      <c r="M3" s="0" t="n">
        <v>433.437</v>
      </c>
      <c r="N3" s="0" t="n">
        <v>716.814</v>
      </c>
      <c r="O3" s="0" t="n">
        <v>8614.433</v>
      </c>
      <c r="P3" s="0" t="n">
        <v>13839.655</v>
      </c>
      <c r="Q3" s="0" t="n">
        <v>4932.285</v>
      </c>
      <c r="R3" s="0" t="n">
        <v>3294.671</v>
      </c>
      <c r="S3" s="0" t="n">
        <v>1792.605</v>
      </c>
      <c r="T3" s="0" t="n">
        <v>2754.038</v>
      </c>
      <c r="U3" s="0" t="n">
        <v>17.487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5318.091</v>
      </c>
      <c r="C4" s="0" t="n">
        <v>925.347</v>
      </c>
      <c r="D4" s="0" t="n">
        <v>4392.744</v>
      </c>
      <c r="E4" s="0" t="n">
        <v>82.6</v>
      </c>
      <c r="F4" s="0" t="n">
        <v>1332.489</v>
      </c>
      <c r="G4" s="0" t="n">
        <v>25.1</v>
      </c>
      <c r="H4" s="0" t="n">
        <v>1670.237</v>
      </c>
      <c r="I4" s="0" t="n">
        <v>973.717</v>
      </c>
      <c r="J4" s="0" t="n">
        <v>18.3</v>
      </c>
      <c r="K4" s="0" t="n">
        <v>0.38</v>
      </c>
      <c r="L4" s="0" t="n">
        <v>1887.384</v>
      </c>
      <c r="M4" s="0" t="n">
        <v>486.253</v>
      </c>
      <c r="N4" s="0" t="n">
        <v>1401.131</v>
      </c>
      <c r="O4" s="0" t="n">
        <v>9625.041</v>
      </c>
      <c r="P4" s="0" t="n">
        <v>14809.306</v>
      </c>
      <c r="Q4" s="0" t="n">
        <v>4449.987</v>
      </c>
      <c r="R4" s="0" t="n">
        <v>2801.993</v>
      </c>
      <c r="S4" s="0" t="n">
        <v>2082.847</v>
      </c>
      <c r="T4" s="0" t="n">
        <v>2537.738</v>
      </c>
      <c r="U4" s="0" t="n">
        <v>346.111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5587.636</v>
      </c>
      <c r="C5" s="0" t="n">
        <v>1062.911</v>
      </c>
      <c r="D5" s="0" t="n">
        <v>4524.725</v>
      </c>
      <c r="E5" s="0" t="n">
        <v>81</v>
      </c>
      <c r="F5" s="0" t="n">
        <v>1060.195</v>
      </c>
      <c r="G5" s="0" t="n">
        <v>19</v>
      </c>
      <c r="H5" s="0" t="n">
        <v>1427.513</v>
      </c>
      <c r="I5" s="0" t="n">
        <v>835.791</v>
      </c>
      <c r="J5" s="0" t="n">
        <v>15</v>
      </c>
      <c r="K5" s="0" t="n">
        <v>0.33</v>
      </c>
      <c r="L5" s="0" t="n">
        <v>1344.561</v>
      </c>
      <c r="M5" s="0" t="n">
        <v>981.473</v>
      </c>
      <c r="N5" s="0" t="n">
        <v>363.088</v>
      </c>
      <c r="O5" s="0" t="n">
        <v>10689.314</v>
      </c>
      <c r="P5" s="0" t="n">
        <v>17678.195</v>
      </c>
      <c r="Q5" s="0" t="n">
        <v>4584.86</v>
      </c>
      <c r="R5" s="0" t="n">
        <v>2874.893</v>
      </c>
      <c r="S5" s="0" t="n">
        <v>3090.835</v>
      </c>
      <c r="T5" s="0" t="n">
        <v>2750.82</v>
      </c>
      <c r="U5" s="0" t="n">
        <v>101.3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6382.009</v>
      </c>
      <c r="C6" s="0" t="n">
        <v>1106.286</v>
      </c>
      <c r="D6" s="0" t="n">
        <v>5275.723</v>
      </c>
      <c r="E6" s="0" t="n">
        <v>82.7</v>
      </c>
      <c r="F6" s="0" t="n">
        <v>1935.291</v>
      </c>
      <c r="G6" s="0" t="n">
        <v>30.3</v>
      </c>
      <c r="H6" s="0" t="n">
        <v>2273.615</v>
      </c>
      <c r="I6" s="0" t="n">
        <v>1651.247</v>
      </c>
      <c r="J6" s="0" t="n">
        <v>25.9</v>
      </c>
      <c r="K6" s="0" t="n">
        <v>0.62</v>
      </c>
      <c r="L6" s="0" t="n">
        <v>1578.345</v>
      </c>
      <c r="M6" s="0" t="n">
        <v>1108.979</v>
      </c>
      <c r="N6" s="0" t="n">
        <v>469.366</v>
      </c>
      <c r="O6" s="0" t="n">
        <v>12227.45</v>
      </c>
      <c r="P6" s="0" t="n">
        <v>19212.575</v>
      </c>
      <c r="Q6" s="0" t="n">
        <v>4554.778</v>
      </c>
      <c r="R6" s="0" t="n">
        <v>2585.935</v>
      </c>
      <c r="S6" s="0" t="n">
        <v>2868.077</v>
      </c>
      <c r="T6" s="0" t="n">
        <v>2770.119</v>
      </c>
      <c r="U6" s="0" t="n">
        <v>30.267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6865.735</v>
      </c>
      <c r="C7" s="0" t="n">
        <v>1194.161</v>
      </c>
      <c r="D7" s="0" t="n">
        <v>5671.574</v>
      </c>
      <c r="E7" s="0" t="n">
        <v>82.6</v>
      </c>
      <c r="F7" s="0" t="n">
        <v>2382.344</v>
      </c>
      <c r="G7" s="0" t="n">
        <v>34.7</v>
      </c>
      <c r="H7" s="0" t="n">
        <v>2780.501</v>
      </c>
      <c r="I7" s="0" t="n">
        <v>1915.727</v>
      </c>
      <c r="J7" s="0" t="n">
        <v>27.9</v>
      </c>
      <c r="K7" s="0" t="n">
        <v>0.74</v>
      </c>
      <c r="L7" s="0" t="n">
        <v>2134.263</v>
      </c>
      <c r="M7" s="0" t="n">
        <v>974.778</v>
      </c>
      <c r="N7" s="0" t="n">
        <v>1159.485</v>
      </c>
      <c r="O7" s="0" t="n">
        <v>12925.805</v>
      </c>
      <c r="P7" s="0" t="n">
        <v>22008.962</v>
      </c>
      <c r="Q7" s="0" t="n">
        <v>6645.381</v>
      </c>
      <c r="R7" s="0" t="n">
        <v>4478.742</v>
      </c>
      <c r="S7" s="0" t="n">
        <v>2151.746</v>
      </c>
      <c r="T7" s="0" t="n">
        <v>2648.209</v>
      </c>
      <c r="U7" s="0" t="n">
        <v>10.738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7815.938</v>
      </c>
      <c r="C8" s="0" t="n">
        <v>1174.298</v>
      </c>
      <c r="D8" s="0" t="n">
        <v>6641.64</v>
      </c>
      <c r="E8" s="0" t="n">
        <v>85</v>
      </c>
      <c r="F8" s="0" t="n">
        <v>2190.755</v>
      </c>
      <c r="G8" s="0" t="n">
        <v>28</v>
      </c>
      <c r="H8" s="0" t="n">
        <v>2542.217</v>
      </c>
      <c r="I8" s="0" t="n">
        <v>1549.239</v>
      </c>
      <c r="J8" s="0" t="n">
        <v>19.8</v>
      </c>
      <c r="K8" s="0" t="n">
        <v>0.62</v>
      </c>
      <c r="L8" s="0" t="n">
        <v>2082.857</v>
      </c>
      <c r="M8" s="0" t="n">
        <v>704.336</v>
      </c>
      <c r="N8" s="0" t="n">
        <v>1378.521</v>
      </c>
      <c r="O8" s="0" t="n">
        <v>14033.771</v>
      </c>
      <c r="P8" s="0" t="n">
        <v>23625.028</v>
      </c>
      <c r="Q8" s="0" t="n">
        <v>7111.428</v>
      </c>
      <c r="R8" s="0" t="n">
        <v>4800.295</v>
      </c>
      <c r="S8" s="0" t="n">
        <v>2611.161</v>
      </c>
      <c r="T8" s="0" t="n">
        <v>2441.666</v>
      </c>
      <c r="U8" s="0" t="n">
        <v>-4.656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9107.978</v>
      </c>
      <c r="C9" s="0" t="n">
        <v>1279.602</v>
      </c>
      <c r="D9" s="0" t="n">
        <v>7828.376</v>
      </c>
      <c r="E9" s="0" t="n">
        <v>86</v>
      </c>
      <c r="F9" s="0" t="n">
        <v>2908.931</v>
      </c>
      <c r="G9" s="0" t="n">
        <v>31.9</v>
      </c>
      <c r="H9" s="0" t="n">
        <v>3321.553</v>
      </c>
      <c r="I9" s="0" t="n">
        <v>2090.32</v>
      </c>
      <c r="J9" s="0" t="n">
        <v>23</v>
      </c>
      <c r="K9" s="0" t="n">
        <v>0.85</v>
      </c>
      <c r="L9" s="0" t="n">
        <v>3201.258</v>
      </c>
      <c r="M9" s="0" t="n">
        <v>963.243</v>
      </c>
      <c r="N9" s="0" t="n">
        <v>2238.015</v>
      </c>
      <c r="O9" s="0" t="n">
        <v>15436.258</v>
      </c>
      <c r="P9" s="0" t="n">
        <v>24212.74</v>
      </c>
      <c r="Q9" s="0" t="n">
        <v>6176.41</v>
      </c>
      <c r="R9" s="0" t="n">
        <v>3507.476</v>
      </c>
      <c r="S9" s="0" t="n">
        <v>2142.651</v>
      </c>
      <c r="T9" s="0" t="n">
        <v>2466.608</v>
      </c>
      <c r="U9" s="0" t="n">
        <v>32.456</v>
      </c>
      <c r="AA9" s="0" t="s">
        <v>18</v>
      </c>
      <c r="AB9" s="0" t="s">
        <v>14</v>
      </c>
    </row>
    <row r="10" customFormat="false" ht="15" hidden="false" customHeight="false" outlineLevel="0" collapsed="false">
      <c r="A10" s="0" t="s">
        <v>72</v>
      </c>
      <c r="B10" s="0" t="n">
        <v>17695.749</v>
      </c>
      <c r="C10" s="0" t="n">
        <v>1348.436</v>
      </c>
      <c r="D10" s="0" t="n">
        <v>16347.313</v>
      </c>
      <c r="E10" s="0" t="n">
        <v>92.4</v>
      </c>
      <c r="F10" s="0" t="n">
        <v>10824.475</v>
      </c>
      <c r="G10" s="0" t="n">
        <v>61.2</v>
      </c>
      <c r="H10" s="0" t="n">
        <v>11367.134</v>
      </c>
      <c r="I10" s="0" t="n">
        <v>8482.164</v>
      </c>
      <c r="J10" s="0" t="n">
        <v>47.9</v>
      </c>
      <c r="K10" s="0" t="n">
        <v>3.43</v>
      </c>
      <c r="L10" s="0" t="n">
        <v>9668.867</v>
      </c>
      <c r="M10" s="0" t="n">
        <v>541.358</v>
      </c>
      <c r="N10" s="0" t="n">
        <v>9127.509</v>
      </c>
      <c r="O10" s="0" t="n">
        <v>27208.07</v>
      </c>
      <c r="P10" s="0" t="n">
        <v>36250.338</v>
      </c>
      <c r="Q10" s="0" t="n">
        <v>5814.179</v>
      </c>
      <c r="R10" s="0" t="n">
        <v>2553.865</v>
      </c>
      <c r="S10" s="0" t="n">
        <v>12177.199</v>
      </c>
      <c r="T10" s="0" t="n">
        <v>2465.533</v>
      </c>
      <c r="U10" s="0" t="n">
        <v>223.172</v>
      </c>
      <c r="AA10" s="0" t="s">
        <v>18</v>
      </c>
      <c r="AB1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73</v>
      </c>
      <c r="B1" s="2" t="s">
        <v>74</v>
      </c>
    </row>
    <row r="2" customFormat="false" ht="15" hidden="false" customHeight="false" outlineLevel="0" collapsed="false">
      <c r="A2" s="0" t="s">
        <v>75</v>
      </c>
      <c r="B2" s="3" t="n">
        <v>14.47</v>
      </c>
    </row>
    <row r="3" customFormat="false" ht="15" hidden="false" customHeight="false" outlineLevel="0" collapsed="false">
      <c r="A3" s="0" t="s">
        <v>76</v>
      </c>
      <c r="B3" s="3" t="n">
        <v>2582.811</v>
      </c>
    </row>
    <row r="4" customFormat="false" ht="15" hidden="false" customHeight="false" outlineLevel="0" collapsed="false">
      <c r="A4" s="0" t="s">
        <v>77</v>
      </c>
      <c r="B4" s="3" t="n">
        <v>-17835.9</v>
      </c>
    </row>
    <row r="5" customFormat="false" ht="15" hidden="false" customHeight="false" outlineLevel="0" collapsed="false">
      <c r="A5" s="0" t="s">
        <v>78</v>
      </c>
      <c r="B5" s="3" t="n">
        <v>5099.3</v>
      </c>
    </row>
    <row r="6" customFormat="false" ht="15" hidden="false" customHeight="false" outlineLevel="0" collapsed="false">
      <c r="A6" s="0" t="s">
        <v>79</v>
      </c>
      <c r="B6" s="3" t="n">
        <v>15</v>
      </c>
    </row>
    <row r="7" customFormat="false" ht="15" hidden="false" customHeight="false" outlineLevel="0" collapsed="false">
      <c r="A7" s="0" t="s">
        <v>80</v>
      </c>
      <c r="B7" s="3" t="n">
        <v>8269.9</v>
      </c>
    </row>
    <row r="8" customFormat="false" ht="15" hidden="false" customHeight="false" outlineLevel="0" collapsed="false">
      <c r="A8" s="0" t="s">
        <v>81</v>
      </c>
      <c r="B8" s="3" t="s">
        <v>72</v>
      </c>
    </row>
    <row r="9" customFormat="false" ht="15" hidden="false" customHeight="false" outlineLevel="0" collapsed="false">
      <c r="A9" s="0" t="s">
        <v>82</v>
      </c>
      <c r="B9" s="3" t="s">
        <v>83</v>
      </c>
    </row>
    <row r="10" customFormat="false" ht="15" hidden="false" customHeight="false" outlineLevel="0" collapsed="false">
      <c r="A10" s="0" t="s">
        <v>84</v>
      </c>
      <c r="B10" s="3" t="n">
        <v>1.1726</v>
      </c>
    </row>
    <row r="12" customFormat="false" ht="15" hidden="false" customHeight="false" outlineLevel="0" collapsed="false">
      <c r="A12" s="2" t="s">
        <v>85</v>
      </c>
      <c r="C12" s="2" t="s">
        <v>86</v>
      </c>
      <c r="D12" s="2" t="s">
        <v>87</v>
      </c>
      <c r="E12" s="2" t="s">
        <v>88</v>
      </c>
      <c r="F12" s="2" t="s">
        <v>89</v>
      </c>
      <c r="G12" s="2" t="s">
        <v>90</v>
      </c>
      <c r="H12" s="2" t="s">
        <v>91</v>
      </c>
      <c r="I12" s="2" t="s">
        <v>92</v>
      </c>
      <c r="J12" s="2" t="s">
        <v>93</v>
      </c>
      <c r="K12" s="2" t="s">
        <v>94</v>
      </c>
      <c r="L12" s="2" t="s">
        <v>95</v>
      </c>
    </row>
    <row r="13" customFormat="false" ht="15" hidden="false" customHeight="false" outlineLevel="0" collapsed="false">
      <c r="A13" s="0" t="s">
        <v>96</v>
      </c>
      <c r="C13" s="3" t="n">
        <v>-12</v>
      </c>
      <c r="D13" s="3" t="n">
        <v>-6</v>
      </c>
      <c r="E13" s="3" t="n">
        <v>-4</v>
      </c>
      <c r="F13" s="3" t="n">
        <v>-2</v>
      </c>
      <c r="G13" s="3" t="n">
        <v>-1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</row>
    <row r="14" customFormat="false" ht="15" hidden="false" customHeight="false" outlineLevel="0" collapsed="false">
      <c r="A14" s="0" t="s">
        <v>97</v>
      </c>
      <c r="C14" s="3" t="n">
        <v>26</v>
      </c>
      <c r="D14" s="3" t="n">
        <v>24.5</v>
      </c>
      <c r="E14" s="3" t="n">
        <v>23.5</v>
      </c>
      <c r="F14" s="3" t="n">
        <v>23</v>
      </c>
      <c r="G14" s="3" t="n">
        <v>22.5</v>
      </c>
      <c r="H14" s="3" t="n">
        <v>22.5</v>
      </c>
      <c r="I14" s="3" t="n">
        <v>22.5</v>
      </c>
      <c r="J14" s="3" t="n">
        <v>22.5</v>
      </c>
      <c r="K14" s="3" t="n">
        <v>22.5</v>
      </c>
      <c r="L14" s="3" t="n">
        <v>22.5</v>
      </c>
    </row>
    <row r="15" customFormat="false" ht="15" hidden="false" customHeight="false" outlineLevel="0" collapsed="false">
      <c r="A15" s="0" t="s">
        <v>98</v>
      </c>
      <c r="C15" s="3" t="n">
        <v>2.2</v>
      </c>
      <c r="D15" s="3" t="n">
        <v>2.1</v>
      </c>
      <c r="E15" s="3" t="n">
        <v>2</v>
      </c>
      <c r="F15" s="3" t="n">
        <v>1.9</v>
      </c>
      <c r="G15" s="3" t="n">
        <v>1.8</v>
      </c>
      <c r="H15" s="3" t="n">
        <v>1.7</v>
      </c>
      <c r="I15" s="3" t="n">
        <v>1.6</v>
      </c>
      <c r="J15" s="3" t="n">
        <v>1.5</v>
      </c>
      <c r="K15" s="3" t="n">
        <v>1.5</v>
      </c>
      <c r="L15" s="3" t="n">
        <v>1.5</v>
      </c>
    </row>
    <row r="16" customFormat="false" ht="15" hidden="false" customHeight="false" outlineLevel="0" collapsed="false">
      <c r="A16" s="0" t="s">
        <v>99</v>
      </c>
      <c r="C16" s="3" t="n">
        <v>0.25</v>
      </c>
      <c r="D16" s="3" t="n">
        <v>0.25</v>
      </c>
      <c r="E16" s="3" t="n">
        <v>0.25</v>
      </c>
      <c r="F16" s="3" t="n">
        <v>0.25</v>
      </c>
      <c r="G16" s="3" t="n">
        <v>0.25</v>
      </c>
      <c r="H16" s="3" t="n">
        <v>0.25</v>
      </c>
      <c r="I16" s="3" t="n">
        <v>0.25</v>
      </c>
      <c r="J16" s="3" t="n">
        <v>0.25</v>
      </c>
      <c r="K16" s="3" t="n">
        <v>0.25</v>
      </c>
      <c r="L16" s="3" t="n">
        <v>0.25</v>
      </c>
    </row>
    <row r="17" customFormat="false" ht="15" hidden="false" customHeight="false" outlineLevel="0" collapsed="false">
      <c r="A17" s="0" t="s">
        <v>100</v>
      </c>
      <c r="C17" s="3" t="n">
        <v>6.8</v>
      </c>
      <c r="D17" s="3" t="n">
        <v>6.9</v>
      </c>
      <c r="E17" s="3" t="n">
        <v>7</v>
      </c>
      <c r="F17" s="3" t="n">
        <v>7</v>
      </c>
      <c r="G17" s="3" t="n">
        <v>7</v>
      </c>
      <c r="H17" s="3" t="n">
        <v>7</v>
      </c>
      <c r="I17" s="3" t="n">
        <v>7</v>
      </c>
      <c r="J17" s="3" t="n">
        <v>7</v>
      </c>
      <c r="K17" s="3" t="n">
        <v>7</v>
      </c>
      <c r="L17" s="3" t="n">
        <v>7</v>
      </c>
    </row>
    <row r="18" customFormat="false" ht="15" hidden="false" customHeight="false" outlineLevel="0" collapsed="false">
      <c r="A18" s="0" t="s">
        <v>101</v>
      </c>
      <c r="C18" s="3" t="n">
        <v>7.5</v>
      </c>
      <c r="D18" s="3" t="n">
        <v>7</v>
      </c>
      <c r="E18" s="3" t="n">
        <v>6.5</v>
      </c>
      <c r="F18" s="3" t="n">
        <v>6</v>
      </c>
      <c r="G18" s="3" t="n">
        <v>6</v>
      </c>
      <c r="H18" s="3" t="n">
        <v>6</v>
      </c>
      <c r="I18" s="3" t="n">
        <v>6</v>
      </c>
      <c r="J18" s="3" t="n">
        <v>6</v>
      </c>
      <c r="K18" s="3" t="n">
        <v>6</v>
      </c>
      <c r="L18" s="3" t="n">
        <v>6</v>
      </c>
    </row>
    <row r="19" customFormat="false" ht="15" hidden="false" customHeight="false" outlineLevel="0" collapsed="false">
      <c r="A19" s="0" t="s">
        <v>102</v>
      </c>
      <c r="C19" s="3" t="n">
        <v>18</v>
      </c>
      <c r="D19" s="3" t="n">
        <v>18</v>
      </c>
      <c r="E19" s="3" t="n">
        <v>18</v>
      </c>
      <c r="F19" s="3" t="n">
        <v>18</v>
      </c>
      <c r="G19" s="3" t="n">
        <v>18</v>
      </c>
      <c r="H19" s="3" t="n">
        <v>18</v>
      </c>
      <c r="I19" s="3" t="n">
        <v>18</v>
      </c>
      <c r="J19" s="3" t="n">
        <v>18</v>
      </c>
      <c r="K19" s="3" t="n">
        <v>18</v>
      </c>
      <c r="L19" s="3" t="n">
        <v>18</v>
      </c>
    </row>
    <row r="20" customFormat="false" ht="15" hidden="false" customHeight="false" outlineLevel="0" collapsed="false">
      <c r="A20" s="0" t="s">
        <v>103</v>
      </c>
      <c r="B20" s="3" t="n">
        <v>9</v>
      </c>
    </row>
    <row r="21" customFormat="false" ht="15" hidden="false" customHeight="false" outlineLevel="0" collapsed="false">
      <c r="A21" s="0" t="s">
        <v>104</v>
      </c>
      <c r="B21" s="3" t="n">
        <v>2</v>
      </c>
    </row>
    <row r="22" customFormat="false" ht="15" hidden="false" customHeight="false" outlineLevel="0" collapsed="false">
      <c r="A22" s="0" t="s">
        <v>105</v>
      </c>
      <c r="B22" s="3" t="n">
        <v>12</v>
      </c>
    </row>
    <row r="23" customFormat="false" ht="15" hidden="false" customHeight="false" outlineLevel="0" collapsed="false">
      <c r="A23" s="0" t="s">
        <v>106</v>
      </c>
      <c r="B23" s="3" t="n">
        <v>-15</v>
      </c>
    </row>
    <row r="24" customFormat="false" ht="15" hidden="false" customHeight="false" outlineLevel="0" collapsed="false">
      <c r="A24" s="0" t="s">
        <v>107</v>
      </c>
      <c r="B24" s="3" t="n">
        <v>0.3</v>
      </c>
    </row>
    <row r="26" customFormat="false" ht="15" hidden="false" customHeight="false" outlineLevel="0" collapsed="false">
      <c r="A26" s="2" t="s">
        <v>108</v>
      </c>
      <c r="C26" s="2" t="s">
        <v>86</v>
      </c>
      <c r="D26" s="2" t="s">
        <v>87</v>
      </c>
      <c r="E26" s="2" t="s">
        <v>88</v>
      </c>
      <c r="F26" s="2" t="s">
        <v>89</v>
      </c>
      <c r="G26" s="2" t="s">
        <v>90</v>
      </c>
      <c r="H26" s="2" t="s">
        <v>91</v>
      </c>
      <c r="I26" s="2" t="s">
        <v>92</v>
      </c>
      <c r="J26" s="2" t="s">
        <v>93</v>
      </c>
      <c r="K26" s="2" t="s">
        <v>94</v>
      </c>
      <c r="L26" s="2" t="s">
        <v>95</v>
      </c>
    </row>
    <row r="27" customFormat="false" ht="15" hidden="false" customHeight="false" outlineLevel="0" collapsed="false">
      <c r="A27" s="0" t="s">
        <v>96</v>
      </c>
      <c r="C27" s="3" t="n">
        <v>-10.3</v>
      </c>
      <c r="D27" s="3" t="n">
        <v>1</v>
      </c>
      <c r="E27" s="3" t="n">
        <v>4</v>
      </c>
      <c r="F27" s="3" t="n">
        <v>5</v>
      </c>
      <c r="G27" s="3" t="n">
        <v>5</v>
      </c>
      <c r="H27" s="3" t="n">
        <v>4</v>
      </c>
      <c r="I27" s="3" t="n">
        <v>3.5</v>
      </c>
      <c r="J27" s="3" t="n">
        <v>3</v>
      </c>
      <c r="K27" s="3" t="n">
        <v>3</v>
      </c>
      <c r="L27" s="3" t="n">
        <v>2.5</v>
      </c>
    </row>
    <row r="28" customFormat="false" ht="15" hidden="false" customHeight="false" outlineLevel="0" collapsed="false">
      <c r="A28" s="0" t="s">
        <v>97</v>
      </c>
      <c r="C28" s="3" t="n">
        <v>27.5</v>
      </c>
      <c r="D28" s="3" t="n">
        <v>27.5</v>
      </c>
      <c r="E28" s="3" t="n">
        <v>28</v>
      </c>
      <c r="F28" s="3" t="n">
        <v>28.5</v>
      </c>
      <c r="G28" s="3" t="n">
        <v>29</v>
      </c>
      <c r="H28" s="3" t="n">
        <v>29.5</v>
      </c>
      <c r="I28" s="3" t="n">
        <v>29.5</v>
      </c>
      <c r="J28" s="3" t="n">
        <v>29.5</v>
      </c>
      <c r="K28" s="3" t="n">
        <v>29.5</v>
      </c>
      <c r="L28" s="3" t="n">
        <v>29.5</v>
      </c>
    </row>
    <row r="29" customFormat="false" ht="15" hidden="false" customHeight="false" outlineLevel="0" collapsed="false">
      <c r="A29" s="0" t="s">
        <v>98</v>
      </c>
      <c r="C29" s="3" t="n">
        <v>2.2</v>
      </c>
      <c r="D29" s="3" t="n">
        <v>2.1</v>
      </c>
      <c r="E29" s="3" t="n">
        <v>2</v>
      </c>
      <c r="F29" s="3" t="n">
        <v>1.9</v>
      </c>
      <c r="G29" s="3" t="n">
        <v>1.8</v>
      </c>
      <c r="H29" s="3" t="n">
        <v>1.7</v>
      </c>
      <c r="I29" s="3" t="n">
        <v>1.6</v>
      </c>
      <c r="J29" s="3" t="n">
        <v>1.5</v>
      </c>
      <c r="K29" s="3" t="n">
        <v>1.5</v>
      </c>
      <c r="L29" s="3" t="n">
        <v>1.5</v>
      </c>
    </row>
    <row r="30" customFormat="false" ht="15" hidden="false" customHeight="false" outlineLevel="0" collapsed="false">
      <c r="A30" s="0" t="s">
        <v>99</v>
      </c>
      <c r="C30" s="3" t="n">
        <v>0.25</v>
      </c>
      <c r="D30" s="3" t="n">
        <v>0.25</v>
      </c>
      <c r="E30" s="3" t="n">
        <v>0.25</v>
      </c>
      <c r="F30" s="3" t="n">
        <v>0.25</v>
      </c>
      <c r="G30" s="3" t="n">
        <v>0.25</v>
      </c>
      <c r="H30" s="3" t="n">
        <v>0.25</v>
      </c>
      <c r="I30" s="3" t="n">
        <v>0.25</v>
      </c>
      <c r="J30" s="3" t="n">
        <v>0.25</v>
      </c>
      <c r="K30" s="3" t="n">
        <v>0.25</v>
      </c>
      <c r="L30" s="3" t="n">
        <v>0.25</v>
      </c>
    </row>
    <row r="31" customFormat="false" ht="15" hidden="false" customHeight="false" outlineLevel="0" collapsed="false">
      <c r="A31" s="0" t="s">
        <v>100</v>
      </c>
      <c r="C31" s="3" t="n">
        <v>6.8</v>
      </c>
      <c r="D31" s="3" t="n">
        <v>6.8</v>
      </c>
      <c r="E31" s="3" t="n">
        <v>6.7</v>
      </c>
      <c r="F31" s="3" t="n">
        <v>6.6</v>
      </c>
      <c r="G31" s="3" t="n">
        <v>6.5</v>
      </c>
      <c r="H31" s="3" t="n">
        <v>6.5</v>
      </c>
      <c r="I31" s="3" t="n">
        <v>6.5</v>
      </c>
      <c r="J31" s="3" t="n">
        <v>6.5</v>
      </c>
      <c r="K31" s="3" t="n">
        <v>6.5</v>
      </c>
      <c r="L31" s="3" t="n">
        <v>6.5</v>
      </c>
    </row>
    <row r="32" customFormat="false" ht="15" hidden="false" customHeight="false" outlineLevel="0" collapsed="false">
      <c r="A32" s="0" t="s">
        <v>101</v>
      </c>
      <c r="C32" s="3" t="n">
        <v>7.5</v>
      </c>
      <c r="D32" s="3" t="n">
        <v>7.5</v>
      </c>
      <c r="E32" s="3" t="n">
        <v>7</v>
      </c>
      <c r="F32" s="3" t="n">
        <v>7</v>
      </c>
      <c r="G32" s="3" t="n">
        <v>6.5</v>
      </c>
      <c r="H32" s="3" t="n">
        <v>6.5</v>
      </c>
      <c r="I32" s="3" t="n">
        <v>6.5</v>
      </c>
      <c r="J32" s="3" t="n">
        <v>6.5</v>
      </c>
      <c r="K32" s="3" t="n">
        <v>6.5</v>
      </c>
      <c r="L32" s="3" t="n">
        <v>6.5</v>
      </c>
    </row>
    <row r="33" customFormat="false" ht="15" hidden="false" customHeight="false" outlineLevel="0" collapsed="false">
      <c r="A33" s="0" t="s">
        <v>102</v>
      </c>
      <c r="C33" s="3" t="n">
        <v>18</v>
      </c>
      <c r="D33" s="3" t="n">
        <v>18</v>
      </c>
      <c r="E33" s="3" t="n">
        <v>18</v>
      </c>
      <c r="F33" s="3" t="n">
        <v>18</v>
      </c>
      <c r="G33" s="3" t="n">
        <v>18</v>
      </c>
      <c r="H33" s="3" t="n">
        <v>18</v>
      </c>
      <c r="I33" s="3" t="n">
        <v>18</v>
      </c>
      <c r="J33" s="3" t="n">
        <v>18</v>
      </c>
      <c r="K33" s="3" t="n">
        <v>18</v>
      </c>
      <c r="L33" s="3" t="n">
        <v>18</v>
      </c>
    </row>
    <row r="34" customFormat="false" ht="15" hidden="false" customHeight="false" outlineLevel="0" collapsed="false">
      <c r="A34" s="0" t="s">
        <v>103</v>
      </c>
      <c r="B34" s="3" t="n">
        <v>9</v>
      </c>
    </row>
    <row r="35" customFormat="false" ht="15" hidden="false" customHeight="false" outlineLevel="0" collapsed="false">
      <c r="A35" s="0" t="s">
        <v>104</v>
      </c>
      <c r="B35" s="3" t="n">
        <v>2.5</v>
      </c>
    </row>
    <row r="36" customFormat="false" ht="15" hidden="false" customHeight="false" outlineLevel="0" collapsed="false">
      <c r="A36" s="0" t="s">
        <v>105</v>
      </c>
      <c r="B36" s="3" t="n">
        <v>15</v>
      </c>
    </row>
    <row r="37" customFormat="false" ht="15" hidden="false" customHeight="false" outlineLevel="0" collapsed="false">
      <c r="A37" s="0" t="s">
        <v>106</v>
      </c>
      <c r="B37" s="3" t="n">
        <v>-15</v>
      </c>
    </row>
    <row r="38" customFormat="false" ht="15" hidden="false" customHeight="false" outlineLevel="0" collapsed="false">
      <c r="A38" s="0" t="s">
        <v>107</v>
      </c>
      <c r="B38" s="3" t="n">
        <v>0.5</v>
      </c>
    </row>
    <row r="40" customFormat="false" ht="15" hidden="false" customHeight="false" outlineLevel="0" collapsed="false">
      <c r="A40" s="2" t="s">
        <v>109</v>
      </c>
      <c r="C40" s="2" t="s">
        <v>86</v>
      </c>
      <c r="D40" s="2" t="s">
        <v>87</v>
      </c>
      <c r="E40" s="2" t="s">
        <v>88</v>
      </c>
      <c r="F40" s="2" t="s">
        <v>89</v>
      </c>
      <c r="G40" s="2" t="s">
        <v>90</v>
      </c>
      <c r="H40" s="2" t="s">
        <v>91</v>
      </c>
      <c r="I40" s="2" t="s">
        <v>92</v>
      </c>
      <c r="J40" s="2" t="s">
        <v>93</v>
      </c>
      <c r="K40" s="2" t="s">
        <v>94</v>
      </c>
      <c r="L40" s="2" t="s">
        <v>95</v>
      </c>
    </row>
    <row r="41" customFormat="false" ht="15" hidden="false" customHeight="false" outlineLevel="0" collapsed="false">
      <c r="A41" s="0" t="s">
        <v>96</v>
      </c>
      <c r="C41" s="3" t="n">
        <v>-8</v>
      </c>
      <c r="D41" s="3" t="n">
        <v>4</v>
      </c>
      <c r="E41" s="3" t="n">
        <v>8</v>
      </c>
      <c r="F41" s="3" t="n">
        <v>10</v>
      </c>
      <c r="G41" s="3" t="n">
        <v>9</v>
      </c>
      <c r="H41" s="3" t="n">
        <v>8</v>
      </c>
      <c r="I41" s="3" t="n">
        <v>6</v>
      </c>
      <c r="J41" s="3" t="n">
        <v>5</v>
      </c>
      <c r="K41" s="3" t="n">
        <v>4</v>
      </c>
      <c r="L41" s="3" t="n">
        <v>3</v>
      </c>
    </row>
    <row r="42" customFormat="false" ht="15" hidden="false" customHeight="false" outlineLevel="0" collapsed="false">
      <c r="A42" s="0" t="s">
        <v>97</v>
      </c>
      <c r="C42" s="3" t="n">
        <v>29</v>
      </c>
      <c r="D42" s="3" t="n">
        <v>30</v>
      </c>
      <c r="E42" s="3" t="n">
        <v>31</v>
      </c>
      <c r="F42" s="3" t="n">
        <v>32</v>
      </c>
      <c r="G42" s="3" t="n">
        <v>33</v>
      </c>
      <c r="H42" s="3" t="n">
        <v>33.5</v>
      </c>
      <c r="I42" s="3" t="n">
        <v>34</v>
      </c>
      <c r="J42" s="3" t="n">
        <v>34</v>
      </c>
      <c r="K42" s="3" t="n">
        <v>34</v>
      </c>
      <c r="L42" s="3" t="n">
        <v>34</v>
      </c>
    </row>
    <row r="43" customFormat="false" ht="15" hidden="false" customHeight="false" outlineLevel="0" collapsed="false">
      <c r="A43" s="0" t="s">
        <v>98</v>
      </c>
      <c r="C43" s="3" t="n">
        <v>2.2</v>
      </c>
      <c r="D43" s="3" t="n">
        <v>2.1</v>
      </c>
      <c r="E43" s="3" t="n">
        <v>2</v>
      </c>
      <c r="F43" s="3" t="n">
        <v>1.9</v>
      </c>
      <c r="G43" s="3" t="n">
        <v>1.8</v>
      </c>
      <c r="H43" s="3" t="n">
        <v>1.7</v>
      </c>
      <c r="I43" s="3" t="n">
        <v>1.6</v>
      </c>
      <c r="J43" s="3" t="n">
        <v>1.5</v>
      </c>
      <c r="K43" s="3" t="n">
        <v>1.5</v>
      </c>
      <c r="L43" s="3" t="n">
        <v>1.5</v>
      </c>
    </row>
    <row r="44" customFormat="false" ht="15" hidden="false" customHeight="false" outlineLevel="0" collapsed="false">
      <c r="A44" s="0" t="s">
        <v>99</v>
      </c>
      <c r="C44" s="3" t="n">
        <v>0.25</v>
      </c>
      <c r="D44" s="3" t="n">
        <v>0.25</v>
      </c>
      <c r="E44" s="3" t="n">
        <v>0.25</v>
      </c>
      <c r="F44" s="3" t="n">
        <v>0.25</v>
      </c>
      <c r="G44" s="3" t="n">
        <v>0.25</v>
      </c>
      <c r="H44" s="3" t="n">
        <v>0.25</v>
      </c>
      <c r="I44" s="3" t="n">
        <v>0.25</v>
      </c>
      <c r="J44" s="3" t="n">
        <v>0.25</v>
      </c>
      <c r="K44" s="3" t="n">
        <v>0.25</v>
      </c>
      <c r="L44" s="3" t="n">
        <v>0.25</v>
      </c>
    </row>
    <row r="45" customFormat="false" ht="15" hidden="false" customHeight="false" outlineLevel="0" collapsed="false">
      <c r="A45" s="0" t="s">
        <v>100</v>
      </c>
      <c r="C45" s="3" t="n">
        <v>6.8</v>
      </c>
      <c r="D45" s="3" t="n">
        <v>6.7</v>
      </c>
      <c r="E45" s="3" t="n">
        <v>6.6</v>
      </c>
      <c r="F45" s="3" t="n">
        <v>6.5</v>
      </c>
      <c r="G45" s="3" t="n">
        <v>6.4</v>
      </c>
      <c r="H45" s="3" t="n">
        <v>6.3</v>
      </c>
      <c r="I45" s="3" t="n">
        <v>6.2</v>
      </c>
      <c r="J45" s="3" t="n">
        <v>6.2</v>
      </c>
      <c r="K45" s="3" t="n">
        <v>6.2</v>
      </c>
      <c r="L45" s="3" t="n">
        <v>6.2</v>
      </c>
    </row>
    <row r="46" customFormat="false" ht="15" hidden="false" customHeight="false" outlineLevel="0" collapsed="false">
      <c r="A46" s="0" t="s">
        <v>101</v>
      </c>
      <c r="C46" s="3" t="n">
        <v>7.5</v>
      </c>
      <c r="D46" s="3" t="n">
        <v>7.5</v>
      </c>
      <c r="E46" s="3" t="n">
        <v>7.5</v>
      </c>
      <c r="F46" s="3" t="n">
        <v>7</v>
      </c>
      <c r="G46" s="3" t="n">
        <v>7</v>
      </c>
      <c r="H46" s="3" t="n">
        <v>6.5</v>
      </c>
      <c r="I46" s="3" t="n">
        <v>6.5</v>
      </c>
      <c r="J46" s="3" t="n">
        <v>6.5</v>
      </c>
      <c r="K46" s="3" t="n">
        <v>6.5</v>
      </c>
      <c r="L46" s="3" t="n">
        <v>6.5</v>
      </c>
    </row>
    <row r="47" customFormat="false" ht="15" hidden="false" customHeight="false" outlineLevel="0" collapsed="false">
      <c r="A47" s="0" t="s">
        <v>102</v>
      </c>
      <c r="C47" s="3" t="n">
        <v>18</v>
      </c>
      <c r="D47" s="3" t="n">
        <v>18</v>
      </c>
      <c r="E47" s="3" t="n">
        <v>18</v>
      </c>
      <c r="F47" s="3" t="n">
        <v>18</v>
      </c>
      <c r="G47" s="3" t="n">
        <v>18</v>
      </c>
      <c r="H47" s="3" t="n">
        <v>18</v>
      </c>
      <c r="I47" s="3" t="n">
        <v>18</v>
      </c>
      <c r="J47" s="3" t="n">
        <v>18</v>
      </c>
      <c r="K47" s="3" t="n">
        <v>18</v>
      </c>
      <c r="L47" s="3" t="n">
        <v>18</v>
      </c>
    </row>
    <row r="48" customFormat="false" ht="15" hidden="false" customHeight="false" outlineLevel="0" collapsed="false">
      <c r="A48" s="0" t="s">
        <v>103</v>
      </c>
      <c r="B48" s="3" t="n">
        <v>9</v>
      </c>
    </row>
    <row r="49" customFormat="false" ht="15" hidden="false" customHeight="false" outlineLevel="0" collapsed="false">
      <c r="A49" s="0" t="s">
        <v>104</v>
      </c>
      <c r="B49" s="3" t="n">
        <v>3</v>
      </c>
    </row>
    <row r="50" customFormat="false" ht="15" hidden="false" customHeight="false" outlineLevel="0" collapsed="false">
      <c r="A50" s="0" t="s">
        <v>105</v>
      </c>
      <c r="B50" s="3" t="n">
        <v>15</v>
      </c>
    </row>
    <row r="51" customFormat="false" ht="15" hidden="false" customHeight="false" outlineLevel="0" collapsed="false">
      <c r="A51" s="0" t="s">
        <v>106</v>
      </c>
      <c r="B51" s="3" t="n">
        <v>-15</v>
      </c>
    </row>
    <row r="52" customFormat="false" ht="15" hidden="false" customHeight="false" outlineLevel="0" collapsed="false">
      <c r="A52" s="0" t="s">
        <v>107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110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Assumptions!C13</f>
        <v>-12</v>
      </c>
      <c r="D5" s="4" t="n">
        <f aca="false">Assumptions!D13</f>
        <v>-6</v>
      </c>
      <c r="E5" s="4" t="n">
        <f aca="false">Assumptions!E13</f>
        <v>-4</v>
      </c>
      <c r="F5" s="4" t="n">
        <f aca="false">Assumptions!F13</f>
        <v>-2</v>
      </c>
      <c r="G5" s="4" t="n">
        <f aca="false">Assumptions!G13</f>
        <v>-1</v>
      </c>
      <c r="H5" s="4" t="n">
        <f aca="false">Assumptions!H13</f>
        <v>0</v>
      </c>
      <c r="I5" s="4" t="n">
        <f aca="false">Assumptions!I13</f>
        <v>0</v>
      </c>
      <c r="J5" s="4" t="n">
        <f aca="false">Assumptions!J13</f>
        <v>0</v>
      </c>
      <c r="K5" s="4" t="n">
        <f aca="false">Assumptions!K13</f>
        <v>0</v>
      </c>
      <c r="L5" s="4" t="n">
        <f aca="false">Assumptions!L13</f>
        <v>0</v>
      </c>
    </row>
    <row r="6" customFormat="false" ht="15" hidden="false" customHeight="false" outlineLevel="0" collapsed="false">
      <c r="A6" s="0" t="s">
        <v>38</v>
      </c>
      <c r="B6" s="3" t="n">
        <v>8269.9</v>
      </c>
      <c r="C6" s="0" t="n">
        <f aca="false">B6*(1+C5/100)</f>
        <v>7277.512</v>
      </c>
      <c r="D6" s="0" t="n">
        <f aca="false">C6*(1+D5/100)</f>
        <v>6840.86128</v>
      </c>
      <c r="E6" s="0" t="n">
        <f aca="false">D6*(1+E5/100)</f>
        <v>6567.2268288</v>
      </c>
      <c r="F6" s="0" t="n">
        <f aca="false">E6*(1+F5/100)</f>
        <v>6435.882292224</v>
      </c>
      <c r="G6" s="0" t="n">
        <f aca="false">F6*(1+G5/100)</f>
        <v>6371.52346930176</v>
      </c>
      <c r="H6" s="0" t="n">
        <f aca="false">G6*(1+H5/100)</f>
        <v>6371.52346930176</v>
      </c>
      <c r="I6" s="0" t="n">
        <f aca="false">H6*(1+I5/100)</f>
        <v>6371.52346930176</v>
      </c>
      <c r="J6" s="0" t="n">
        <f aca="false">I6*(1+J5/100)</f>
        <v>6371.52346930176</v>
      </c>
      <c r="K6" s="0" t="n">
        <f aca="false">J6*(1+K5/100)</f>
        <v>6371.52346930176</v>
      </c>
      <c r="L6" s="0" t="n">
        <f aca="false">K6*(1+L5/100)</f>
        <v>6371.52346930176</v>
      </c>
    </row>
    <row r="7" customFormat="false" ht="15" hidden="false" customHeight="false" outlineLevel="0" collapsed="false">
      <c r="A7" s="0" t="s">
        <v>97</v>
      </c>
      <c r="C7" s="4" t="n">
        <f aca="false">Assumptions!C14</f>
        <v>26</v>
      </c>
      <c r="D7" s="4" t="n">
        <f aca="false">Assumptions!D14</f>
        <v>24.5</v>
      </c>
      <c r="E7" s="4" t="n">
        <f aca="false">Assumptions!E14</f>
        <v>23.5</v>
      </c>
      <c r="F7" s="4" t="n">
        <f aca="false">Assumptions!F14</f>
        <v>23</v>
      </c>
      <c r="G7" s="4" t="n">
        <f aca="false">Assumptions!G14</f>
        <v>22.5</v>
      </c>
      <c r="H7" s="4" t="n">
        <f aca="false">Assumptions!H14</f>
        <v>22.5</v>
      </c>
      <c r="I7" s="4" t="n">
        <f aca="false">Assumptions!I14</f>
        <v>22.5</v>
      </c>
      <c r="J7" s="4" t="n">
        <f aca="false">Assumptions!J14</f>
        <v>22.5</v>
      </c>
      <c r="K7" s="4" t="n">
        <f aca="false">Assumptions!K14</f>
        <v>22.5</v>
      </c>
      <c r="L7" s="4" t="n">
        <f aca="false">Assumptions!L14</f>
        <v>22.5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1892.15312</v>
      </c>
      <c r="D8" s="0" t="n">
        <f aca="false">D6*D7/100</f>
        <v>1676.0110136</v>
      </c>
      <c r="E8" s="0" t="n">
        <f aca="false">E6*E7/100</f>
        <v>1543.298304768</v>
      </c>
      <c r="F8" s="0" t="n">
        <f aca="false">F6*F7/100</f>
        <v>1480.25292721152</v>
      </c>
      <c r="G8" s="0" t="n">
        <f aca="false">G6*G7/100</f>
        <v>1433.5927805929</v>
      </c>
      <c r="H8" s="0" t="n">
        <f aca="false">H6*H7/100</f>
        <v>1433.5927805929</v>
      </c>
      <c r="I8" s="0" t="n">
        <f aca="false">I6*I7/100</f>
        <v>1433.5927805929</v>
      </c>
      <c r="J8" s="0" t="n">
        <f aca="false">J6*J7/100</f>
        <v>1433.5927805929</v>
      </c>
      <c r="K8" s="0" t="n">
        <f aca="false">K6*K7/100</f>
        <v>1433.5927805929</v>
      </c>
      <c r="L8" s="0" t="n">
        <f aca="false">L6*L7/100</f>
        <v>1433.5927805929</v>
      </c>
    </row>
    <row r="9" customFormat="false" ht="15" hidden="false" customHeight="false" outlineLevel="0" collapsed="false">
      <c r="A9" s="0" t="s">
        <v>98</v>
      </c>
      <c r="C9" s="4" t="n">
        <f aca="false">Assumptions!C15</f>
        <v>2.2</v>
      </c>
      <c r="D9" s="4" t="n">
        <f aca="false">Assumptions!D15</f>
        <v>2.1</v>
      </c>
      <c r="E9" s="4" t="n">
        <f aca="false">Assumptions!E15</f>
        <v>2</v>
      </c>
      <c r="F9" s="4" t="n">
        <f aca="false">Assumptions!F15</f>
        <v>1.9</v>
      </c>
      <c r="G9" s="4" t="n">
        <f aca="false">Assumptions!G15</f>
        <v>1.8</v>
      </c>
      <c r="H9" s="4" t="n">
        <f aca="false">Assumptions!H15</f>
        <v>1.7</v>
      </c>
      <c r="I9" s="4" t="n">
        <f aca="false">Assumptions!I15</f>
        <v>1.6</v>
      </c>
      <c r="J9" s="4" t="n">
        <f aca="false">Assumptions!J15</f>
        <v>1.5</v>
      </c>
      <c r="K9" s="4" t="n">
        <f aca="false">Assumptions!K15</f>
        <v>1.5</v>
      </c>
      <c r="L9" s="4" t="n">
        <f aca="false">Assumptions!L15</f>
        <v>1.5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-160.105264</v>
      </c>
      <c r="D10" s="0" t="n">
        <f aca="false">-D6*D9/100</f>
        <v>-143.65808688</v>
      </c>
      <c r="E10" s="0" t="n">
        <f aca="false">-E6*E9/100</f>
        <v>-131.344536576</v>
      </c>
      <c r="F10" s="0" t="n">
        <f aca="false">-F6*F9/100</f>
        <v>-122.281763552256</v>
      </c>
      <c r="G10" s="0" t="n">
        <f aca="false">-G6*G9/100</f>
        <v>-114.687422447432</v>
      </c>
      <c r="H10" s="0" t="n">
        <f aca="false">-H6*H9/100</f>
        <v>-108.31589897813</v>
      </c>
      <c r="I10" s="0" t="n">
        <f aca="false">-I6*I9/100</f>
        <v>-101.944375508828</v>
      </c>
      <c r="J10" s="0" t="n">
        <f aca="false">-J6*J9/100</f>
        <v>-95.5728520395264</v>
      </c>
      <c r="K10" s="0" t="n">
        <f aca="false">-K6*K9/100</f>
        <v>-95.5728520395264</v>
      </c>
      <c r="L10" s="0" t="n">
        <f aca="false">-L6*L9/100</f>
        <v>-95.5728520395264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1713.854076</v>
      </c>
      <c r="D11" s="0" t="n">
        <f aca="false">D8+D10+D24</f>
        <v>1515.25077352</v>
      </c>
      <c r="E11" s="0" t="n">
        <f aca="false">E8+E10+E24</f>
        <v>1395.53570112</v>
      </c>
      <c r="F11" s="0" t="n">
        <f aca="false">F8+F10+F24</f>
        <v>1341.8814579287</v>
      </c>
      <c r="G11" s="0" t="n">
        <f aca="false">G8+G10+G24</f>
        <v>1302.97654947221</v>
      </c>
      <c r="H11" s="0" t="n">
        <f aca="false">H8+H10+H24</f>
        <v>1309.34807294151</v>
      </c>
      <c r="I11" s="0" t="n">
        <f aca="false">I8+I10+I24</f>
        <v>1315.71959641081</v>
      </c>
      <c r="J11" s="0" t="n">
        <f aca="false">J8+J10+J24</f>
        <v>1322.09111988012</v>
      </c>
      <c r="K11" s="0" t="n">
        <f aca="false">K8+K10+K24</f>
        <v>1322.09111988012</v>
      </c>
      <c r="L11" s="0" t="n">
        <f aca="false">L8+L10+L24</f>
        <v>1322.09111988012</v>
      </c>
    </row>
    <row r="12" customFormat="false" ht="15" hidden="false" customHeight="false" outlineLevel="0" collapsed="false">
      <c r="A12" s="0" t="s">
        <v>115</v>
      </c>
      <c r="C12" s="4" t="n">
        <f aca="false">-C6*Assumptions!C17/100</f>
        <v>-494.870816</v>
      </c>
      <c r="D12" s="4" t="n">
        <f aca="false">-D6*Assumptions!D17/100</f>
        <v>-472.01942832</v>
      </c>
      <c r="E12" s="4" t="n">
        <f aca="false">-E6*Assumptions!E17/100</f>
        <v>-459.705878016</v>
      </c>
      <c r="F12" s="4" t="n">
        <f aca="false">-F6*Assumptions!F17/100</f>
        <v>-450.51176045568</v>
      </c>
      <c r="G12" s="4" t="n">
        <f aca="false">-G6*Assumptions!G17/100</f>
        <v>-446.006642851123</v>
      </c>
      <c r="H12" s="4" t="n">
        <f aca="false">-H6*Assumptions!H17/100</f>
        <v>-446.006642851123</v>
      </c>
      <c r="I12" s="4" t="n">
        <f aca="false">-I6*Assumptions!I17/100</f>
        <v>-446.006642851123</v>
      </c>
      <c r="J12" s="4" t="n">
        <f aca="false">-J6*Assumptions!J17/100</f>
        <v>-446.006642851123</v>
      </c>
      <c r="K12" s="4" t="n">
        <f aca="false">-K6*Assumptions!K17/100</f>
        <v>-446.006642851123</v>
      </c>
      <c r="L12" s="4" t="n">
        <f aca="false">-L6*Assumptions!L17/100</f>
        <v>-446.006642851123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1218.98326</v>
      </c>
      <c r="D13" s="0" t="n">
        <f aca="false">D11+D12</f>
        <v>1043.2313452</v>
      </c>
      <c r="E13" s="0" t="n">
        <f aca="false">E11+E12</f>
        <v>935.829823104</v>
      </c>
      <c r="F13" s="0" t="n">
        <f aca="false">F11+F12</f>
        <v>891.369697473024</v>
      </c>
      <c r="G13" s="0" t="n">
        <f aca="false">G11+G12</f>
        <v>856.969906621087</v>
      </c>
      <c r="H13" s="0" t="n">
        <f aca="false">H11+H12</f>
        <v>863.341430090388</v>
      </c>
      <c r="I13" s="0" t="n">
        <f aca="false">I11+I12</f>
        <v>869.71295355969</v>
      </c>
      <c r="J13" s="0" t="n">
        <f aca="false">J11+J12</f>
        <v>876.084477028992</v>
      </c>
      <c r="K13" s="0" t="n">
        <f aca="false">K11+K12</f>
        <v>876.084477028992</v>
      </c>
      <c r="L13" s="0" t="n">
        <f aca="false">L11+L12</f>
        <v>876.084477028992</v>
      </c>
    </row>
    <row r="14" customFormat="false" ht="15" hidden="false" customHeight="false" outlineLevel="0" collapsed="false">
      <c r="A14" s="0" t="s">
        <v>102</v>
      </c>
      <c r="C14" s="4" t="n">
        <f aca="false">Assumptions!C19</f>
        <v>18</v>
      </c>
      <c r="D14" s="4" t="n">
        <f aca="false">Assumptions!D19</f>
        <v>18</v>
      </c>
      <c r="E14" s="4" t="n">
        <f aca="false">Assumptions!E19</f>
        <v>18</v>
      </c>
      <c r="F14" s="4" t="n">
        <f aca="false">Assumptions!F19</f>
        <v>18</v>
      </c>
      <c r="G14" s="4" t="n">
        <f aca="false">Assumptions!G19</f>
        <v>18</v>
      </c>
      <c r="H14" s="4" t="n">
        <f aca="false">Assumptions!H19</f>
        <v>18</v>
      </c>
      <c r="I14" s="4" t="n">
        <f aca="false">Assumptions!I19</f>
        <v>18</v>
      </c>
      <c r="J14" s="4" t="n">
        <f aca="false">Assumptions!J19</f>
        <v>18</v>
      </c>
      <c r="K14" s="4" t="n">
        <f aca="false">Assumptions!K19</f>
        <v>18</v>
      </c>
      <c r="L14" s="4" t="n">
        <f aca="false">Assumptions!L19</f>
        <v>18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999.5662732</v>
      </c>
      <c r="D15" s="0" t="n">
        <f aca="false">D13-MAX(0,D13)*D14/100</f>
        <v>855.449703064</v>
      </c>
      <c r="E15" s="0" t="n">
        <f aca="false">E13-MAX(0,E13)*E14/100</f>
        <v>767.38045494528</v>
      </c>
      <c r="F15" s="0" t="n">
        <f aca="false">F13-MAX(0,F13)*F14/100</f>
        <v>730.92315192788</v>
      </c>
      <c r="G15" s="0" t="n">
        <f aca="false">G13-MAX(0,G13)*G14/100</f>
        <v>702.715323429291</v>
      </c>
      <c r="H15" s="0" t="n">
        <f aca="false">H13-MAX(0,H13)*H14/100</f>
        <v>707.939972674118</v>
      </c>
      <c r="I15" s="0" t="n">
        <f aca="false">I13-MAX(0,I13)*I14/100</f>
        <v>713.164621918946</v>
      </c>
      <c r="J15" s="0" t="n">
        <f aca="false">J13-MAX(0,J13)*J14/100</f>
        <v>718.389271163773</v>
      </c>
      <c r="K15" s="0" t="n">
        <f aca="false">K13-MAX(0,K13)*K14/100</f>
        <v>718.389271163773</v>
      </c>
      <c r="L15" s="0" t="n">
        <f aca="false">L13-MAX(0,L13)*L14/100</f>
        <v>718.389271163773</v>
      </c>
    </row>
    <row r="16" customFormat="false" ht="15" hidden="false" customHeight="false" outlineLevel="0" collapsed="false">
      <c r="A16" s="0" t="s">
        <v>118</v>
      </c>
      <c r="C16" s="0" t="n">
        <f aca="false">-C12</f>
        <v>494.870816</v>
      </c>
      <c r="D16" s="0" t="n">
        <f aca="false">-D12</f>
        <v>472.01942832</v>
      </c>
      <c r="E16" s="0" t="n">
        <f aca="false">-E12</f>
        <v>459.705878016</v>
      </c>
      <c r="F16" s="0" t="n">
        <f aca="false">-F12</f>
        <v>450.51176045568</v>
      </c>
      <c r="G16" s="0" t="n">
        <f aca="false">-G12</f>
        <v>446.006642851123</v>
      </c>
      <c r="H16" s="0" t="n">
        <f aca="false">-H12</f>
        <v>446.006642851123</v>
      </c>
      <c r="I16" s="0" t="n">
        <f aca="false">-I12</f>
        <v>446.006642851123</v>
      </c>
      <c r="J16" s="0" t="n">
        <f aca="false">-J12</f>
        <v>446.006642851123</v>
      </c>
      <c r="K16" s="0" t="n">
        <f aca="false">-K12</f>
        <v>446.006642851123</v>
      </c>
      <c r="L16" s="0" t="n">
        <f aca="false">-L12</f>
        <v>446.006642851123</v>
      </c>
    </row>
    <row r="17" customFormat="false" ht="15" hidden="false" customHeight="false" outlineLevel="0" collapsed="false">
      <c r="A17" s="0" t="s">
        <v>119</v>
      </c>
      <c r="C17" s="4" t="n">
        <f aca="false">-C6*Assumptions!C18/100</f>
        <v>-545.8134</v>
      </c>
      <c r="D17" s="4" t="n">
        <f aca="false">-D6*Assumptions!D18/100</f>
        <v>-478.8602896</v>
      </c>
      <c r="E17" s="4" t="n">
        <f aca="false">-E6*Assumptions!E18/100</f>
        <v>-426.869743872</v>
      </c>
      <c r="F17" s="4" t="n">
        <f aca="false">-F6*Assumptions!F18/100</f>
        <v>-386.15293753344</v>
      </c>
      <c r="G17" s="4" t="n">
        <f aca="false">-G6*Assumptions!G18/100</f>
        <v>-382.291408158106</v>
      </c>
      <c r="H17" s="4" t="n">
        <f aca="false">-H6*Assumptions!H18/100</f>
        <v>-382.291408158106</v>
      </c>
      <c r="I17" s="4" t="n">
        <f aca="false">-I6*Assumptions!I18/100</f>
        <v>-382.291408158106</v>
      </c>
      <c r="J17" s="4" t="n">
        <f aca="false">-J6*Assumptions!J18/100</f>
        <v>-382.291408158106</v>
      </c>
      <c r="K17" s="4" t="n">
        <f aca="false">-K6*Assumptions!K18/100</f>
        <v>-382.291408158106</v>
      </c>
      <c r="L17" s="4" t="n">
        <f aca="false">-L6*Assumptions!L18/100</f>
        <v>-382.291408158106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(C6-B6)*Assumptions!$B$23/100</f>
        <v>148.8582</v>
      </c>
      <c r="D18" s="4" t="n">
        <f aca="false">(D6-C6)*Assumptions!$B$23/100</f>
        <v>65.4976080000001</v>
      </c>
      <c r="E18" s="4" t="n">
        <f aca="false">(E6-D6)*Assumptions!$B$23/100</f>
        <v>41.0451676800001</v>
      </c>
      <c r="F18" s="4" t="n">
        <f aca="false">(F6-E6)*Assumptions!$B$23/100</f>
        <v>19.7016804864</v>
      </c>
      <c r="G18" s="4" t="n">
        <f aca="false">(G6-F6)*Assumptions!$B$23/100</f>
        <v>9.65382343833594</v>
      </c>
      <c r="H18" s="4" t="n">
        <f aca="false">(H6-G6)*Assumptions!$B$23/100</f>
        <v>-0</v>
      </c>
      <c r="I18" s="4" t="n">
        <f aca="false">(I6-H6)*Assumptions!$B$23/100</f>
        <v>-0</v>
      </c>
      <c r="J18" s="4" t="n">
        <f aca="false">(J6-I6)*Assumptions!$B$23/100</f>
        <v>-0</v>
      </c>
      <c r="K18" s="4" t="n">
        <f aca="false">(K6-J6)*Assumptions!$B$23/100</f>
        <v>-0</v>
      </c>
      <c r="L18" s="4" t="n">
        <f aca="false">(L6-K6)*Assumptions!$B$23/100</f>
        <v>-0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1097.4818892</v>
      </c>
      <c r="D19" s="0" t="n">
        <f aca="false">D15+D16+D17+D18</f>
        <v>914.106449784</v>
      </c>
      <c r="E19" s="0" t="n">
        <f aca="false">E15+E16+E17+E18</f>
        <v>841.26175676928</v>
      </c>
      <c r="F19" s="0" t="n">
        <f aca="false">F15+F16+F17+F18</f>
        <v>814.98365533652</v>
      </c>
      <c r="G19" s="0" t="n">
        <f aca="false">G15+G16+G17+G18</f>
        <v>776.084381560645</v>
      </c>
      <c r="H19" s="0" t="n">
        <f aca="false">H15+H16+H17+H18</f>
        <v>771.655207367136</v>
      </c>
      <c r="I19" s="0" t="n">
        <f aca="false">I15+I16+I17+I18</f>
        <v>776.879856611964</v>
      </c>
      <c r="J19" s="0" t="n">
        <f aca="false">J15+J16+J17+J18</f>
        <v>782.104505856791</v>
      </c>
      <c r="K19" s="0" t="n">
        <f aca="false">K15+K16+K17+K18</f>
        <v>782.104505856791</v>
      </c>
      <c r="L19" s="0" t="n">
        <f aca="false">L15+L16+L17+L18</f>
        <v>782.104505856791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1006.86411853211</v>
      </c>
      <c r="D21" s="0" t="n">
        <f aca="false">D19*D20</f>
        <v>769.385110499116</v>
      </c>
      <c r="E21" s="0" t="n">
        <f aca="false">E19*E20</f>
        <v>649.608430984387</v>
      </c>
      <c r="F21" s="0" t="n">
        <f aca="false">F19*F20</f>
        <v>577.354968046459</v>
      </c>
      <c r="G21" s="0" t="n">
        <f aca="false">G19*G20</f>
        <v>504.401597992204</v>
      </c>
      <c r="H21" s="0" t="n">
        <f aca="false">H19*H20</f>
        <v>460.112787769229</v>
      </c>
      <c r="I21" s="0" t="n">
        <f aca="false">I19*I20</f>
        <v>424.97988569571</v>
      </c>
      <c r="J21" s="0" t="n">
        <f aca="false">J19*J20</f>
        <v>392.511878669656</v>
      </c>
      <c r="K21" s="0" t="n">
        <f aca="false">K19*K20</f>
        <v>360.102640981336</v>
      </c>
      <c r="L21" s="0" t="n">
        <f aca="false">L19*L20</f>
        <v>330.369395395721</v>
      </c>
    </row>
    <row r="23" customFormat="false" ht="15" hidden="false" customHeight="false" outlineLevel="0" collapsed="false">
      <c r="A23" s="0" t="s">
        <v>99</v>
      </c>
      <c r="C23" s="4" t="n">
        <f aca="false">Assumptions!C16</f>
        <v>0.25</v>
      </c>
      <c r="D23" s="4" t="n">
        <f aca="false">Assumptions!D16</f>
        <v>0.25</v>
      </c>
      <c r="E23" s="4" t="n">
        <f aca="false">Assumptions!E16</f>
        <v>0.25</v>
      </c>
      <c r="F23" s="4" t="n">
        <f aca="false">Assumptions!F16</f>
        <v>0.25</v>
      </c>
      <c r="G23" s="4" t="n">
        <f aca="false">Assumptions!G16</f>
        <v>0.25</v>
      </c>
      <c r="H23" s="4" t="n">
        <f aca="false">Assumptions!H16</f>
        <v>0.25</v>
      </c>
      <c r="I23" s="4" t="n">
        <f aca="false">Assumptions!I16</f>
        <v>0.25</v>
      </c>
      <c r="J23" s="4" t="n">
        <f aca="false">Assumptions!J16</f>
        <v>0.25</v>
      </c>
      <c r="K23" s="4" t="n">
        <f aca="false">Assumptions!K16</f>
        <v>0.25</v>
      </c>
      <c r="L23" s="4" t="n">
        <f aca="false">Assumptions!L16</f>
        <v>0.25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-18.19378</v>
      </c>
      <c r="D24" s="0" t="n">
        <f aca="false">-D6*D23/100</f>
        <v>-17.1021532</v>
      </c>
      <c r="E24" s="0" t="n">
        <f aca="false">-E6*E23/100</f>
        <v>-16.418067072</v>
      </c>
      <c r="F24" s="0" t="n">
        <f aca="false">-F6*F23/100</f>
        <v>-16.08970573056</v>
      </c>
      <c r="G24" s="0" t="n">
        <f aca="false">-G6*G23/100</f>
        <v>-15.9288086732544</v>
      </c>
      <c r="H24" s="0" t="n">
        <f aca="false">-H6*H23/100</f>
        <v>-15.9288086732544</v>
      </c>
      <c r="I24" s="0" t="n">
        <f aca="false">-I6*I23/100</f>
        <v>-15.9288086732544</v>
      </c>
      <c r="J24" s="0" t="n">
        <f aca="false">-J6*J23/100</f>
        <v>-15.9288086732544</v>
      </c>
      <c r="K24" s="0" t="n">
        <f aca="false">-K6*K23/100</f>
        <v>-15.9288086732544</v>
      </c>
      <c r="L24" s="0" t="n">
        <f aca="false">-L6*L23/100</f>
        <v>-15.9288086732544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104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105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5475.69081456593</v>
      </c>
    </row>
    <row r="31" customFormat="false" ht="15" hidden="false" customHeight="false" outlineLevel="0" collapsed="false">
      <c r="A31" s="0" t="s">
        <v>127</v>
      </c>
      <c r="B31" s="0" t="n">
        <f aca="false">L19</f>
        <v>782.104505856791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11396.3799424847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9385.25407028149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9385.25407028149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3964.43274474865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9440.12355931458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32375.3235593146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14.6984446038259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0.0157874639824422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783.08071115647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588.263223689791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15.3210367710425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6136.51227672251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13.0750281801136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Assumptions!C27</f>
        <v>-10.3</v>
      </c>
      <c r="D5" s="4" t="n">
        <f aca="false">Assumptions!D27</f>
        <v>1</v>
      </c>
      <c r="E5" s="4" t="n">
        <f aca="false">Assumptions!E27</f>
        <v>4</v>
      </c>
      <c r="F5" s="4" t="n">
        <f aca="false">Assumptions!F27</f>
        <v>5</v>
      </c>
      <c r="G5" s="4" t="n">
        <f aca="false">Assumptions!G27</f>
        <v>5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8269.9</v>
      </c>
      <c r="C6" s="0" t="n">
        <f aca="false">B6*(1+C5/100)</f>
        <v>7418.1003</v>
      </c>
      <c r="D6" s="0" t="n">
        <f aca="false">C6*(1+D5/100)</f>
        <v>7492.281303</v>
      </c>
      <c r="E6" s="0" t="n">
        <f aca="false">D6*(1+E5/100)</f>
        <v>7791.97255512</v>
      </c>
      <c r="F6" s="0" t="n">
        <f aca="false">E6*(1+F5/100)</f>
        <v>8181.571182876</v>
      </c>
      <c r="G6" s="0" t="n">
        <f aca="false">F6*(1+G5/100)</f>
        <v>8590.6497420198</v>
      </c>
      <c r="H6" s="0" t="n">
        <f aca="false">G6*(1+H5/100)</f>
        <v>8934.27573170059</v>
      </c>
      <c r="I6" s="0" t="n">
        <f aca="false">H6*(1+I5/100)</f>
        <v>9246.97538231011</v>
      </c>
      <c r="J6" s="0" t="n">
        <f aca="false">I6*(1+J5/100)</f>
        <v>9524.38464377942</v>
      </c>
      <c r="K6" s="0" t="n">
        <f aca="false">J6*(1+K5/100)</f>
        <v>9810.1161830928</v>
      </c>
      <c r="L6" s="0" t="n">
        <f aca="false">K6*(1+L5/100)</f>
        <v>10055.3690876701</v>
      </c>
    </row>
    <row r="7" customFormat="false" ht="15" hidden="false" customHeight="false" outlineLevel="0" collapsed="false">
      <c r="A7" s="0" t="s">
        <v>97</v>
      </c>
      <c r="C7" s="4" t="n">
        <f aca="false">Assumptions!C28</f>
        <v>27.5</v>
      </c>
      <c r="D7" s="4" t="n">
        <f aca="false">Assumptions!D28</f>
        <v>27.5</v>
      </c>
      <c r="E7" s="4" t="n">
        <f aca="false">Assumptions!E28</f>
        <v>28</v>
      </c>
      <c r="F7" s="4" t="n">
        <f aca="false">Assumptions!F28</f>
        <v>28.5</v>
      </c>
      <c r="G7" s="4" t="n">
        <f aca="false">Assumptions!G28</f>
        <v>29</v>
      </c>
      <c r="H7" s="4" t="n">
        <f aca="false">Assumptions!H28</f>
        <v>29.5</v>
      </c>
      <c r="I7" s="4" t="n">
        <f aca="false">Assumptions!I28</f>
        <v>29.5</v>
      </c>
      <c r="J7" s="4" t="n">
        <f aca="false">Assumptions!J28</f>
        <v>29.5</v>
      </c>
      <c r="K7" s="4" t="n">
        <f aca="false">Assumptions!K28</f>
        <v>29.5</v>
      </c>
      <c r="L7" s="4" t="n">
        <f aca="false">Assumptions!L28</f>
        <v>29.5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2039.9775825</v>
      </c>
      <c r="D8" s="0" t="n">
        <f aca="false">D6*D7/100</f>
        <v>2060.377358325</v>
      </c>
      <c r="E8" s="0" t="n">
        <f aca="false">E6*E7/100</f>
        <v>2181.7523154336</v>
      </c>
      <c r="F8" s="0" t="n">
        <f aca="false">F6*F7/100</f>
        <v>2331.74778711966</v>
      </c>
      <c r="G8" s="0" t="n">
        <f aca="false">G6*G7/100</f>
        <v>2491.28842518574</v>
      </c>
      <c r="H8" s="0" t="n">
        <f aca="false">H6*H7/100</f>
        <v>2635.61134085168</v>
      </c>
      <c r="I8" s="0" t="n">
        <f aca="false">I6*I7/100</f>
        <v>2727.85773778148</v>
      </c>
      <c r="J8" s="0" t="n">
        <f aca="false">J6*J7/100</f>
        <v>2809.69346991493</v>
      </c>
      <c r="K8" s="0" t="n">
        <f aca="false">K6*K7/100</f>
        <v>2893.98427401238</v>
      </c>
      <c r="L8" s="0" t="n">
        <f aca="false">L6*L7/100</f>
        <v>2966.33388086269</v>
      </c>
    </row>
    <row r="9" customFormat="false" ht="15" hidden="false" customHeight="false" outlineLevel="0" collapsed="false">
      <c r="A9" s="0" t="s">
        <v>98</v>
      </c>
      <c r="C9" s="4" t="n">
        <f aca="false">Assumptions!C29</f>
        <v>2.2</v>
      </c>
      <c r="D9" s="4" t="n">
        <f aca="false">Assumptions!D29</f>
        <v>2.1</v>
      </c>
      <c r="E9" s="4" t="n">
        <f aca="false">Assumptions!E29</f>
        <v>2</v>
      </c>
      <c r="F9" s="4" t="n">
        <f aca="false">Assumptions!F29</f>
        <v>1.9</v>
      </c>
      <c r="G9" s="4" t="n">
        <f aca="false">Assumptions!G29</f>
        <v>1.8</v>
      </c>
      <c r="H9" s="4" t="n">
        <f aca="false">Assumptions!H29</f>
        <v>1.7</v>
      </c>
      <c r="I9" s="4" t="n">
        <f aca="false">Assumptions!I29</f>
        <v>1.6</v>
      </c>
      <c r="J9" s="4" t="n">
        <f aca="false">Assumptions!J29</f>
        <v>1.5</v>
      </c>
      <c r="K9" s="4" t="n">
        <f aca="false">Assumptions!K29</f>
        <v>1.5</v>
      </c>
      <c r="L9" s="4" t="n">
        <f aca="false">Assumptions!L29</f>
        <v>1.5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-163.1982066</v>
      </c>
      <c r="D10" s="0" t="n">
        <f aca="false">-D6*D9/100</f>
        <v>-157.337907363</v>
      </c>
      <c r="E10" s="0" t="n">
        <f aca="false">-E6*E9/100</f>
        <v>-155.8394511024</v>
      </c>
      <c r="F10" s="0" t="n">
        <f aca="false">-F6*F9/100</f>
        <v>-155.449852474644</v>
      </c>
      <c r="G10" s="0" t="n">
        <f aca="false">-G6*G9/100</f>
        <v>-154.631695356356</v>
      </c>
      <c r="H10" s="0" t="n">
        <f aca="false">-H6*H9/100</f>
        <v>-151.88268743891</v>
      </c>
      <c r="I10" s="0" t="n">
        <f aca="false">-I6*I9/100</f>
        <v>-147.951606116962</v>
      </c>
      <c r="J10" s="0" t="n">
        <f aca="false">-J6*J9/100</f>
        <v>-142.865769656691</v>
      </c>
      <c r="K10" s="0" t="n">
        <f aca="false">-K6*K9/100</f>
        <v>-147.151742746392</v>
      </c>
      <c r="L10" s="0" t="n">
        <f aca="false">-L6*L9/100</f>
        <v>-150.830536315052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1858.23412515</v>
      </c>
      <c r="D11" s="0" t="n">
        <f aca="false">D8+D10+D24</f>
        <v>1884.3087477045</v>
      </c>
      <c r="E11" s="0" t="n">
        <f aca="false">E8+E10+E24</f>
        <v>2006.4329329434</v>
      </c>
      <c r="F11" s="0" t="n">
        <f aca="false">F8+F10+F24</f>
        <v>2155.84400668783</v>
      </c>
      <c r="G11" s="0" t="n">
        <f aca="false">G8+G10+G24</f>
        <v>2315.18010547434</v>
      </c>
      <c r="H11" s="0" t="n">
        <f aca="false">H8+H10+H24</f>
        <v>2461.39296408351</v>
      </c>
      <c r="I11" s="0" t="n">
        <f aca="false">I8+I10+I24</f>
        <v>2556.78869320875</v>
      </c>
      <c r="J11" s="0" t="n">
        <f aca="false">J8+J10+J24</f>
        <v>2643.01673864879</v>
      </c>
      <c r="K11" s="0" t="n">
        <f aca="false">K8+K10+K24</f>
        <v>2722.30724080825</v>
      </c>
      <c r="L11" s="0" t="n">
        <f aca="false">L8+L10+L24</f>
        <v>2790.36492182846</v>
      </c>
    </row>
    <row r="12" customFormat="false" ht="15" hidden="false" customHeight="false" outlineLevel="0" collapsed="false">
      <c r="A12" s="0" t="s">
        <v>115</v>
      </c>
      <c r="C12" s="4" t="n">
        <f aca="false">-C6*Assumptions!C31/100</f>
        <v>-504.4308204</v>
      </c>
      <c r="D12" s="4" t="n">
        <f aca="false">-D6*Assumptions!D31/100</f>
        <v>-509.475128604</v>
      </c>
      <c r="E12" s="4" t="n">
        <f aca="false">-E6*Assumptions!E31/100</f>
        <v>-522.06216119304</v>
      </c>
      <c r="F12" s="4" t="n">
        <f aca="false">-F6*Assumptions!F31/100</f>
        <v>-539.983698069816</v>
      </c>
      <c r="G12" s="4" t="n">
        <f aca="false">-G6*Assumptions!G31/100</f>
        <v>-558.392233231287</v>
      </c>
      <c r="H12" s="4" t="n">
        <f aca="false">-H6*Assumptions!H31/100</f>
        <v>-580.727922560538</v>
      </c>
      <c r="I12" s="4" t="n">
        <f aca="false">-I6*Assumptions!I31/100</f>
        <v>-601.053399850157</v>
      </c>
      <c r="J12" s="4" t="n">
        <f aca="false">-J6*Assumptions!J31/100</f>
        <v>-619.085001845662</v>
      </c>
      <c r="K12" s="4" t="n">
        <f aca="false">-K6*Assumptions!K31/100</f>
        <v>-637.657551901032</v>
      </c>
      <c r="L12" s="4" t="n">
        <f aca="false">-L6*Assumptions!L31/100</f>
        <v>-653.598990698558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1353.80330475</v>
      </c>
      <c r="D13" s="0" t="n">
        <f aca="false">D11+D12</f>
        <v>1374.8336191005</v>
      </c>
      <c r="E13" s="0" t="n">
        <f aca="false">E11+E12</f>
        <v>1484.37077175036</v>
      </c>
      <c r="F13" s="0" t="n">
        <f aca="false">F11+F12</f>
        <v>1615.86030861801</v>
      </c>
      <c r="G13" s="0" t="n">
        <f aca="false">G11+G12</f>
        <v>1756.78787224305</v>
      </c>
      <c r="H13" s="0" t="n">
        <f aca="false">H11+H12</f>
        <v>1880.66504152297</v>
      </c>
      <c r="I13" s="0" t="n">
        <f aca="false">I11+I12</f>
        <v>1955.73529335859</v>
      </c>
      <c r="J13" s="0" t="n">
        <f aca="false">J11+J12</f>
        <v>2023.93173680313</v>
      </c>
      <c r="K13" s="0" t="n">
        <f aca="false">K11+K12</f>
        <v>2084.64968890722</v>
      </c>
      <c r="L13" s="0" t="n">
        <f aca="false">L11+L12</f>
        <v>2136.7659311299</v>
      </c>
    </row>
    <row r="14" customFormat="false" ht="15" hidden="false" customHeight="false" outlineLevel="0" collapsed="false">
      <c r="A14" s="0" t="s">
        <v>102</v>
      </c>
      <c r="C14" s="4" t="n">
        <f aca="false">Assumptions!C33</f>
        <v>18</v>
      </c>
      <c r="D14" s="4" t="n">
        <f aca="false">Assumptions!D33</f>
        <v>18</v>
      </c>
      <c r="E14" s="4" t="n">
        <f aca="false">Assumptions!E33</f>
        <v>18</v>
      </c>
      <c r="F14" s="4" t="n">
        <f aca="false">Assumptions!F33</f>
        <v>18</v>
      </c>
      <c r="G14" s="4" t="n">
        <f aca="false">Assumptions!G33</f>
        <v>18</v>
      </c>
      <c r="H14" s="4" t="n">
        <f aca="false">Assumptions!H33</f>
        <v>18</v>
      </c>
      <c r="I14" s="4" t="n">
        <f aca="false">Assumptions!I33</f>
        <v>18</v>
      </c>
      <c r="J14" s="4" t="n">
        <f aca="false">Assumptions!J33</f>
        <v>18</v>
      </c>
      <c r="K14" s="4" t="n">
        <f aca="false">Assumptions!K33</f>
        <v>18</v>
      </c>
      <c r="L14" s="4" t="n">
        <f aca="false">Assumptions!L33</f>
        <v>18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1110.118709895</v>
      </c>
      <c r="D15" s="0" t="n">
        <f aca="false">D13-MAX(0,D13)*D14/100</f>
        <v>1127.36356766241</v>
      </c>
      <c r="E15" s="0" t="n">
        <f aca="false">E13-MAX(0,E13)*E14/100</f>
        <v>1217.1840328353</v>
      </c>
      <c r="F15" s="0" t="n">
        <f aca="false">F13-MAX(0,F13)*F14/100</f>
        <v>1325.00545306677</v>
      </c>
      <c r="G15" s="0" t="n">
        <f aca="false">G13-MAX(0,G13)*G14/100</f>
        <v>1440.5660552393</v>
      </c>
      <c r="H15" s="0" t="n">
        <f aca="false">H13-MAX(0,H13)*H14/100</f>
        <v>1542.14533404884</v>
      </c>
      <c r="I15" s="0" t="n">
        <f aca="false">I13-MAX(0,I13)*I14/100</f>
        <v>1603.70294055404</v>
      </c>
      <c r="J15" s="0" t="n">
        <f aca="false">J13-MAX(0,J13)*J14/100</f>
        <v>1659.62402417856</v>
      </c>
      <c r="K15" s="0" t="n">
        <f aca="false">K13-MAX(0,K13)*K14/100</f>
        <v>1709.41274490392</v>
      </c>
      <c r="L15" s="0" t="n">
        <f aca="false">L13-MAX(0,L13)*L14/100</f>
        <v>1752.14806352652</v>
      </c>
    </row>
    <row r="16" customFormat="false" ht="15" hidden="false" customHeight="false" outlineLevel="0" collapsed="false">
      <c r="A16" s="0" t="s">
        <v>118</v>
      </c>
      <c r="C16" s="0" t="n">
        <f aca="false">-C12</f>
        <v>504.4308204</v>
      </c>
      <c r="D16" s="0" t="n">
        <f aca="false">-D12</f>
        <v>509.475128604</v>
      </c>
      <c r="E16" s="0" t="n">
        <f aca="false">-E12</f>
        <v>522.06216119304</v>
      </c>
      <c r="F16" s="0" t="n">
        <f aca="false">-F12</f>
        <v>539.983698069816</v>
      </c>
      <c r="G16" s="0" t="n">
        <f aca="false">-G12</f>
        <v>558.392233231287</v>
      </c>
      <c r="H16" s="0" t="n">
        <f aca="false">-H12</f>
        <v>580.727922560538</v>
      </c>
      <c r="I16" s="0" t="n">
        <f aca="false">-I12</f>
        <v>601.053399850157</v>
      </c>
      <c r="J16" s="0" t="n">
        <f aca="false">-J12</f>
        <v>619.085001845662</v>
      </c>
      <c r="K16" s="0" t="n">
        <f aca="false">-K12</f>
        <v>637.657551901032</v>
      </c>
      <c r="L16" s="0" t="n">
        <f aca="false">-L12</f>
        <v>653.598990698558</v>
      </c>
    </row>
    <row r="17" customFormat="false" ht="15" hidden="false" customHeight="false" outlineLevel="0" collapsed="false">
      <c r="A17" s="0" t="s">
        <v>119</v>
      </c>
      <c r="C17" s="4" t="n">
        <f aca="false">-C6*Assumptions!C32/100</f>
        <v>-556.3575225</v>
      </c>
      <c r="D17" s="4" t="n">
        <f aca="false">-D6*Assumptions!D32/100</f>
        <v>-561.921097725</v>
      </c>
      <c r="E17" s="4" t="n">
        <f aca="false">-E6*Assumptions!E32/100</f>
        <v>-545.4380788584</v>
      </c>
      <c r="F17" s="4" t="n">
        <f aca="false">-F6*Assumptions!F32/100</f>
        <v>-572.70998280132</v>
      </c>
      <c r="G17" s="4" t="n">
        <f aca="false">-G6*Assumptions!G32/100</f>
        <v>-558.392233231287</v>
      </c>
      <c r="H17" s="4" t="n">
        <f aca="false">-H6*Assumptions!H32/100</f>
        <v>-580.727922560538</v>
      </c>
      <c r="I17" s="4" t="n">
        <f aca="false">-I6*Assumptions!I32/100</f>
        <v>-601.053399850157</v>
      </c>
      <c r="J17" s="4" t="n">
        <f aca="false">-J6*Assumptions!J32/100</f>
        <v>-619.085001845662</v>
      </c>
      <c r="K17" s="4" t="n">
        <f aca="false">-K6*Assumptions!K32/100</f>
        <v>-637.657551901032</v>
      </c>
      <c r="L17" s="4" t="n">
        <f aca="false">-L6*Assumptions!L32/100</f>
        <v>-653.598990698558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(C6-B6)*Assumptions!$B$37/100</f>
        <v>127.769955</v>
      </c>
      <c r="D18" s="4" t="n">
        <f aca="false">(D6-C6)*Assumptions!$B$37/100</f>
        <v>-11.12715045</v>
      </c>
      <c r="E18" s="4" t="n">
        <f aca="false">(E6-D6)*Assumptions!$B$37/100</f>
        <v>-44.953687818</v>
      </c>
      <c r="F18" s="4" t="n">
        <f aca="false">(F6-E6)*Assumptions!$B$37/100</f>
        <v>-58.4397941634001</v>
      </c>
      <c r="G18" s="4" t="n">
        <f aca="false">(G6-F6)*Assumptions!$B$37/100</f>
        <v>-61.3617838715701</v>
      </c>
      <c r="H18" s="4" t="n">
        <f aca="false">(H6-G6)*Assumptions!$B$37/100</f>
        <v>-51.5438984521187</v>
      </c>
      <c r="I18" s="4" t="n">
        <f aca="false">(I6-H6)*Assumptions!$B$37/100</f>
        <v>-46.904947591428</v>
      </c>
      <c r="J18" s="4" t="n">
        <f aca="false">(J6-I6)*Assumptions!$B$37/100</f>
        <v>-41.6113892203955</v>
      </c>
      <c r="K18" s="4" t="n">
        <f aca="false">(K6-J6)*Assumptions!$B$37/100</f>
        <v>-42.8597308970075</v>
      </c>
      <c r="L18" s="4" t="n">
        <f aca="false">(L6-K6)*Assumptions!$B$37/100</f>
        <v>-36.7879356865979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1185.961962795</v>
      </c>
      <c r="D19" s="0" t="n">
        <f aca="false">D15+D16+D17+D18</f>
        <v>1063.79044809141</v>
      </c>
      <c r="E19" s="0" t="n">
        <f aca="false">E15+E16+E17+E18</f>
        <v>1148.85442735194</v>
      </c>
      <c r="F19" s="0" t="n">
        <f aca="false">F15+F16+F17+F18</f>
        <v>1233.83937417186</v>
      </c>
      <c r="G19" s="0" t="n">
        <f aca="false">G15+G16+G17+G18</f>
        <v>1379.20427136773</v>
      </c>
      <c r="H19" s="0" t="n">
        <f aca="false">H15+H16+H17+H18</f>
        <v>1490.60143559672</v>
      </c>
      <c r="I19" s="0" t="n">
        <f aca="false">I15+I16+I17+I18</f>
        <v>1556.79799296262</v>
      </c>
      <c r="J19" s="0" t="n">
        <f aca="false">J15+J16+J17+J18</f>
        <v>1618.01263495817</v>
      </c>
      <c r="K19" s="0" t="n">
        <f aca="false">K15+K16+K17+K18</f>
        <v>1666.55301400691</v>
      </c>
      <c r="L19" s="0" t="n">
        <f aca="false">L15+L16+L17+L18</f>
        <v>1715.36012783992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1088.03849797706</v>
      </c>
      <c r="D21" s="0" t="n">
        <f aca="false">D19*D20</f>
        <v>895.371137186609</v>
      </c>
      <c r="E21" s="0" t="n">
        <f aca="false">E19*E20</f>
        <v>887.126409796179</v>
      </c>
      <c r="F21" s="0" t="n">
        <f aca="false">F19*F20</f>
        <v>874.082919068253</v>
      </c>
      <c r="G21" s="0" t="n">
        <f aca="false">G19*G20</f>
        <v>896.388144078628</v>
      </c>
      <c r="H21" s="0" t="n">
        <f aca="false">H19*H20</f>
        <v>888.796933445578</v>
      </c>
      <c r="I21" s="0" t="n">
        <f aca="false">I19*I20</f>
        <v>851.621814453896</v>
      </c>
      <c r="J21" s="0" t="n">
        <f aca="false">J19*J20</f>
        <v>812.025981569988</v>
      </c>
      <c r="K21" s="0" t="n">
        <f aca="false">K19*K20</f>
        <v>767.327303685402</v>
      </c>
      <c r="L21" s="0" t="n">
        <f aca="false">L19*L20</f>
        <v>724.586655717553</v>
      </c>
    </row>
    <row r="23" customFormat="false" ht="15" hidden="false" customHeight="false" outlineLevel="0" collapsed="false">
      <c r="A23" s="0" t="s">
        <v>99</v>
      </c>
      <c r="C23" s="4" t="n">
        <f aca="false">Assumptions!C30</f>
        <v>0.25</v>
      </c>
      <c r="D23" s="4" t="n">
        <f aca="false">Assumptions!D30</f>
        <v>0.25</v>
      </c>
      <c r="E23" s="4" t="n">
        <f aca="false">Assumptions!E30</f>
        <v>0.25</v>
      </c>
      <c r="F23" s="4" t="n">
        <f aca="false">Assumptions!F30</f>
        <v>0.25</v>
      </c>
      <c r="G23" s="4" t="n">
        <f aca="false">Assumptions!G30</f>
        <v>0.25</v>
      </c>
      <c r="H23" s="4" t="n">
        <f aca="false">Assumptions!H30</f>
        <v>0.25</v>
      </c>
      <c r="I23" s="4" t="n">
        <f aca="false">Assumptions!I30</f>
        <v>0.25</v>
      </c>
      <c r="J23" s="4" t="n">
        <f aca="false">Assumptions!J30</f>
        <v>0.25</v>
      </c>
      <c r="K23" s="4" t="n">
        <f aca="false">Assumptions!K30</f>
        <v>0.25</v>
      </c>
      <c r="L23" s="4" t="n">
        <f aca="false">Assumptions!L30</f>
        <v>0.25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-18.54525075</v>
      </c>
      <c r="D24" s="0" t="n">
        <f aca="false">-D6*D23/100</f>
        <v>-18.7307032575</v>
      </c>
      <c r="E24" s="0" t="n">
        <f aca="false">-E6*E23/100</f>
        <v>-19.4799313878</v>
      </c>
      <c r="F24" s="0" t="n">
        <f aca="false">-F6*F23/100</f>
        <v>-20.45392795719</v>
      </c>
      <c r="G24" s="0" t="n">
        <f aca="false">-G6*G23/100</f>
        <v>-21.4766243550495</v>
      </c>
      <c r="H24" s="0" t="n">
        <f aca="false">-H6*H23/100</f>
        <v>-22.3356893292515</v>
      </c>
      <c r="I24" s="0" t="n">
        <f aca="false">-I6*I23/100</f>
        <v>-23.1174384557753</v>
      </c>
      <c r="J24" s="0" t="n">
        <f aca="false">-J6*J23/100</f>
        <v>-23.8109616094485</v>
      </c>
      <c r="K24" s="0" t="n">
        <f aca="false">-K6*K23/100</f>
        <v>-24.525290457732</v>
      </c>
      <c r="L24" s="0" t="n">
        <f aca="false">-L6*L23/100</f>
        <v>-25.1384227191753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104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105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8685.36579697915</v>
      </c>
    </row>
    <row r="31" customFormat="false" ht="15" hidden="false" customHeight="false" outlineLevel="0" collapsed="false">
      <c r="A31" s="0" t="s">
        <v>127</v>
      </c>
      <c r="B31" s="0" t="n">
        <f aca="false">L19</f>
        <v>1715.36012783992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27049.9097082449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25730.4019175988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25730.4019175988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10868.7998357633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19554.1656327424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42489.3656327424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19.290234609096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0.333119185148305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987.774520680241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1004.69630404745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20.194819299604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14065.9530482873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15.0050461025857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Assumptions!C41</f>
        <v>-8</v>
      </c>
      <c r="D5" s="4" t="n">
        <f aca="false">Assumptions!D41</f>
        <v>4</v>
      </c>
      <c r="E5" s="4" t="n">
        <f aca="false">Assumptions!E41</f>
        <v>8</v>
      </c>
      <c r="F5" s="4" t="n">
        <f aca="false">Assumptions!F41</f>
        <v>10</v>
      </c>
      <c r="G5" s="4" t="n">
        <f aca="false">Assumptions!G41</f>
        <v>9</v>
      </c>
      <c r="H5" s="4" t="n">
        <f aca="false">Assumptions!H41</f>
        <v>8</v>
      </c>
      <c r="I5" s="4" t="n">
        <f aca="false">Assumptions!I41</f>
        <v>6</v>
      </c>
      <c r="J5" s="4" t="n">
        <f aca="false">Assumptions!J41</f>
        <v>5</v>
      </c>
      <c r="K5" s="4" t="n">
        <f aca="false">Assumptions!K41</f>
        <v>4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8269.9</v>
      </c>
      <c r="C6" s="0" t="n">
        <f aca="false">B6*(1+C5/100)</f>
        <v>7608.308</v>
      </c>
      <c r="D6" s="0" t="n">
        <f aca="false">C6*(1+D5/100)</f>
        <v>7912.64032</v>
      </c>
      <c r="E6" s="0" t="n">
        <f aca="false">D6*(1+E5/100)</f>
        <v>8545.6515456</v>
      </c>
      <c r="F6" s="0" t="n">
        <f aca="false">E6*(1+F5/100)</f>
        <v>9400.21670016</v>
      </c>
      <c r="G6" s="0" t="n">
        <f aca="false">F6*(1+G5/100)</f>
        <v>10246.2362031744</v>
      </c>
      <c r="H6" s="0" t="n">
        <f aca="false">G6*(1+H5/100)</f>
        <v>11065.9350994284</v>
      </c>
      <c r="I6" s="0" t="n">
        <f aca="false">H6*(1+I5/100)</f>
        <v>11729.8912053941</v>
      </c>
      <c r="J6" s="0" t="n">
        <f aca="false">I6*(1+J5/100)</f>
        <v>12316.3857656638</v>
      </c>
      <c r="K6" s="0" t="n">
        <f aca="false">J6*(1+K5/100)</f>
        <v>12809.0411962903</v>
      </c>
      <c r="L6" s="0" t="n">
        <f aca="false">K6*(1+L5/100)</f>
        <v>13193.312432179</v>
      </c>
    </row>
    <row r="7" customFormat="false" ht="15" hidden="false" customHeight="false" outlineLevel="0" collapsed="false">
      <c r="A7" s="0" t="s">
        <v>97</v>
      </c>
      <c r="C7" s="4" t="n">
        <f aca="false">Assumptions!C42</f>
        <v>29</v>
      </c>
      <c r="D7" s="4" t="n">
        <f aca="false">Assumptions!D42</f>
        <v>30</v>
      </c>
      <c r="E7" s="4" t="n">
        <f aca="false">Assumptions!E42</f>
        <v>31</v>
      </c>
      <c r="F7" s="4" t="n">
        <f aca="false">Assumptions!F42</f>
        <v>32</v>
      </c>
      <c r="G7" s="4" t="n">
        <f aca="false">Assumptions!G42</f>
        <v>33</v>
      </c>
      <c r="H7" s="4" t="n">
        <f aca="false">Assumptions!H42</f>
        <v>33.5</v>
      </c>
      <c r="I7" s="4" t="n">
        <f aca="false">Assumptions!I42</f>
        <v>34</v>
      </c>
      <c r="J7" s="4" t="n">
        <f aca="false">Assumptions!J42</f>
        <v>34</v>
      </c>
      <c r="K7" s="4" t="n">
        <f aca="false">Assumptions!K42</f>
        <v>34</v>
      </c>
      <c r="L7" s="4" t="n">
        <f aca="false">Assumptions!L42</f>
        <v>34</v>
      </c>
    </row>
    <row r="8" customFormat="false" ht="15" hidden="false" customHeight="false" outlineLevel="0" collapsed="false">
      <c r="A8" s="0" t="s">
        <v>44</v>
      </c>
      <c r="C8" s="0" t="n">
        <f aca="false">C6*C7/100</f>
        <v>2206.40932</v>
      </c>
      <c r="D8" s="0" t="n">
        <f aca="false">D6*D7/100</f>
        <v>2373.792096</v>
      </c>
      <c r="E8" s="0" t="n">
        <f aca="false">E6*E7/100</f>
        <v>2649.151979136</v>
      </c>
      <c r="F8" s="0" t="n">
        <f aca="false">F6*F7/100</f>
        <v>3008.0693440512</v>
      </c>
      <c r="G8" s="0" t="n">
        <f aca="false">G6*G7/100</f>
        <v>3381.25794704755</v>
      </c>
      <c r="H8" s="0" t="n">
        <f aca="false">H6*H7/100</f>
        <v>3707.0882583085</v>
      </c>
      <c r="I8" s="0" t="n">
        <f aca="false">I6*I7/100</f>
        <v>3988.16300983398</v>
      </c>
      <c r="J8" s="0" t="n">
        <f aca="false">J6*J7/100</f>
        <v>4187.57116032568</v>
      </c>
      <c r="K8" s="0" t="n">
        <f aca="false">K6*K7/100</f>
        <v>4355.07400673871</v>
      </c>
      <c r="L8" s="0" t="n">
        <f aca="false">L6*L7/100</f>
        <v>4485.72622694087</v>
      </c>
    </row>
    <row r="9" customFormat="false" ht="15" hidden="false" customHeight="false" outlineLevel="0" collapsed="false">
      <c r="A9" s="0" t="s">
        <v>98</v>
      </c>
      <c r="C9" s="4" t="n">
        <f aca="false">Assumptions!C43</f>
        <v>2.2</v>
      </c>
      <c r="D9" s="4" t="n">
        <f aca="false">Assumptions!D43</f>
        <v>2.1</v>
      </c>
      <c r="E9" s="4" t="n">
        <f aca="false">Assumptions!E43</f>
        <v>2</v>
      </c>
      <c r="F9" s="4" t="n">
        <f aca="false">Assumptions!F43</f>
        <v>1.9</v>
      </c>
      <c r="G9" s="4" t="n">
        <f aca="false">Assumptions!G43</f>
        <v>1.8</v>
      </c>
      <c r="H9" s="4" t="n">
        <f aca="false">Assumptions!H43</f>
        <v>1.7</v>
      </c>
      <c r="I9" s="4" t="n">
        <f aca="false">Assumptions!I43</f>
        <v>1.6</v>
      </c>
      <c r="J9" s="4" t="n">
        <f aca="false">Assumptions!J43</f>
        <v>1.5</v>
      </c>
      <c r="K9" s="4" t="n">
        <f aca="false">Assumptions!K43</f>
        <v>1.5</v>
      </c>
      <c r="L9" s="4" t="n">
        <f aca="false">Assumptions!L43</f>
        <v>1.5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-167.382776</v>
      </c>
      <c r="D10" s="0" t="n">
        <f aca="false">-D6*D9/100</f>
        <v>-166.16544672</v>
      </c>
      <c r="E10" s="0" t="n">
        <f aca="false">-E6*E9/100</f>
        <v>-170.913030912</v>
      </c>
      <c r="F10" s="0" t="n">
        <f aca="false">-F6*F9/100</f>
        <v>-178.60411730304</v>
      </c>
      <c r="G10" s="0" t="n">
        <f aca="false">-G6*G9/100</f>
        <v>-184.432251657139</v>
      </c>
      <c r="H10" s="0" t="n">
        <f aca="false">-H6*H9/100</f>
        <v>-188.120896690282</v>
      </c>
      <c r="I10" s="0" t="n">
        <f aca="false">-I6*I9/100</f>
        <v>-187.678259286305</v>
      </c>
      <c r="J10" s="0" t="n">
        <f aca="false">-J6*J9/100</f>
        <v>-184.745786484956</v>
      </c>
      <c r="K10" s="0" t="n">
        <f aca="false">-K6*K9/100</f>
        <v>-192.135617944355</v>
      </c>
      <c r="L10" s="0" t="n">
        <f aca="false">-L6*L9/100</f>
        <v>-197.899686482685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2020.005774</v>
      </c>
      <c r="D11" s="0" t="n">
        <f aca="false">D8+D10+D24</f>
        <v>2187.84504848</v>
      </c>
      <c r="E11" s="0" t="n">
        <f aca="false">E8+E10+E24</f>
        <v>2456.87481936</v>
      </c>
      <c r="F11" s="0" t="n">
        <f aca="false">F8+F10+F24</f>
        <v>2805.96468499776</v>
      </c>
      <c r="G11" s="0" t="n">
        <f aca="false">G8+G10+G24</f>
        <v>3171.21010488248</v>
      </c>
      <c r="H11" s="0" t="n">
        <f aca="false">H8+H10+H24</f>
        <v>3491.30252386965</v>
      </c>
      <c r="I11" s="0" t="n">
        <f aca="false">I8+I10+I24</f>
        <v>3771.16002253419</v>
      </c>
      <c r="J11" s="0" t="n">
        <f aca="false">J8+J10+J24</f>
        <v>3972.03440942656</v>
      </c>
      <c r="K11" s="0" t="n">
        <f aca="false">K8+K10+K24</f>
        <v>4130.91578580363</v>
      </c>
      <c r="L11" s="0" t="n">
        <f aca="false">L8+L10+L24</f>
        <v>4254.84325937774</v>
      </c>
    </row>
    <row r="12" customFormat="false" ht="15" hidden="false" customHeight="false" outlineLevel="0" collapsed="false">
      <c r="A12" s="0" t="s">
        <v>115</v>
      </c>
      <c r="C12" s="4" t="n">
        <f aca="false">-C6*Assumptions!C45/100</f>
        <v>-517.364944</v>
      </c>
      <c r="D12" s="4" t="n">
        <f aca="false">-D6*Assumptions!D45/100</f>
        <v>-530.14690144</v>
      </c>
      <c r="E12" s="4" t="n">
        <f aca="false">-E6*Assumptions!E45/100</f>
        <v>-564.0130020096</v>
      </c>
      <c r="F12" s="4" t="n">
        <f aca="false">-F6*Assumptions!F45/100</f>
        <v>-611.0140855104</v>
      </c>
      <c r="G12" s="4" t="n">
        <f aca="false">-G6*Assumptions!G45/100</f>
        <v>-655.759117003162</v>
      </c>
      <c r="H12" s="4" t="n">
        <f aca="false">-H6*Assumptions!H45/100</f>
        <v>-697.153911263986</v>
      </c>
      <c r="I12" s="4" t="n">
        <f aca="false">-I6*Assumptions!I45/100</f>
        <v>-727.253254734432</v>
      </c>
      <c r="J12" s="4" t="n">
        <f aca="false">-J6*Assumptions!J45/100</f>
        <v>-763.615917471153</v>
      </c>
      <c r="K12" s="4" t="n">
        <f aca="false">-K6*Assumptions!K45/100</f>
        <v>-794.160554169999</v>
      </c>
      <c r="L12" s="4" t="n">
        <f aca="false">-L6*Assumptions!L45/100</f>
        <v>-817.9853707951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1502.64083</v>
      </c>
      <c r="D13" s="0" t="n">
        <f aca="false">D11+D12</f>
        <v>1657.69814704</v>
      </c>
      <c r="E13" s="0" t="n">
        <f aca="false">E11+E12</f>
        <v>1892.8618173504</v>
      </c>
      <c r="F13" s="0" t="n">
        <f aca="false">F11+F12</f>
        <v>2194.95059948736</v>
      </c>
      <c r="G13" s="0" t="n">
        <f aca="false">G11+G12</f>
        <v>2515.45098787932</v>
      </c>
      <c r="H13" s="0" t="n">
        <f aca="false">H11+H12</f>
        <v>2794.14861260566</v>
      </c>
      <c r="I13" s="0" t="n">
        <f aca="false">I11+I12</f>
        <v>3043.90676779976</v>
      </c>
      <c r="J13" s="0" t="n">
        <f aca="false">J11+J12</f>
        <v>3208.41849195541</v>
      </c>
      <c r="K13" s="0" t="n">
        <f aca="false">K11+K12</f>
        <v>3336.75523163363</v>
      </c>
      <c r="L13" s="0" t="n">
        <f aca="false">L11+L12</f>
        <v>3436.85788858264</v>
      </c>
    </row>
    <row r="14" customFormat="false" ht="15" hidden="false" customHeight="false" outlineLevel="0" collapsed="false">
      <c r="A14" s="0" t="s">
        <v>102</v>
      </c>
      <c r="C14" s="4" t="n">
        <f aca="false">Assumptions!C47</f>
        <v>18</v>
      </c>
      <c r="D14" s="4" t="n">
        <f aca="false">Assumptions!D47</f>
        <v>18</v>
      </c>
      <c r="E14" s="4" t="n">
        <f aca="false">Assumptions!E47</f>
        <v>18</v>
      </c>
      <c r="F14" s="4" t="n">
        <f aca="false">Assumptions!F47</f>
        <v>18</v>
      </c>
      <c r="G14" s="4" t="n">
        <f aca="false">Assumptions!G47</f>
        <v>18</v>
      </c>
      <c r="H14" s="4" t="n">
        <f aca="false">Assumptions!H47</f>
        <v>18</v>
      </c>
      <c r="I14" s="4" t="n">
        <f aca="false">Assumptions!I47</f>
        <v>18</v>
      </c>
      <c r="J14" s="4" t="n">
        <f aca="false">Assumptions!J47</f>
        <v>18</v>
      </c>
      <c r="K14" s="4" t="n">
        <f aca="false">Assumptions!K47</f>
        <v>18</v>
      </c>
      <c r="L14" s="4" t="n">
        <f aca="false">Assumptions!L47</f>
        <v>18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1232.1654806</v>
      </c>
      <c r="D15" s="0" t="n">
        <f aca="false">D13-MAX(0,D13)*D14/100</f>
        <v>1359.3124805728</v>
      </c>
      <c r="E15" s="0" t="n">
        <f aca="false">E13-MAX(0,E13)*E14/100</f>
        <v>1552.14669022733</v>
      </c>
      <c r="F15" s="0" t="n">
        <f aca="false">F13-MAX(0,F13)*F14/100</f>
        <v>1799.85949157964</v>
      </c>
      <c r="G15" s="0" t="n">
        <f aca="false">G13-MAX(0,G13)*G14/100</f>
        <v>2062.66981006104</v>
      </c>
      <c r="H15" s="0" t="n">
        <f aca="false">H13-MAX(0,H13)*H14/100</f>
        <v>2291.20186233664</v>
      </c>
      <c r="I15" s="0" t="n">
        <f aca="false">I13-MAX(0,I13)*I14/100</f>
        <v>2496.0035495958</v>
      </c>
      <c r="J15" s="0" t="n">
        <f aca="false">J13-MAX(0,J13)*J14/100</f>
        <v>2630.90316340344</v>
      </c>
      <c r="K15" s="0" t="n">
        <f aca="false">K13-MAX(0,K13)*K14/100</f>
        <v>2736.13928993957</v>
      </c>
      <c r="L15" s="0" t="n">
        <f aca="false">L13-MAX(0,L13)*L14/100</f>
        <v>2818.22346863776</v>
      </c>
    </row>
    <row r="16" customFormat="false" ht="15" hidden="false" customHeight="false" outlineLevel="0" collapsed="false">
      <c r="A16" s="0" t="s">
        <v>118</v>
      </c>
      <c r="C16" s="0" t="n">
        <f aca="false">-C12</f>
        <v>517.364944</v>
      </c>
      <c r="D16" s="0" t="n">
        <f aca="false">-D12</f>
        <v>530.14690144</v>
      </c>
      <c r="E16" s="0" t="n">
        <f aca="false">-E12</f>
        <v>564.0130020096</v>
      </c>
      <c r="F16" s="0" t="n">
        <f aca="false">-F12</f>
        <v>611.0140855104</v>
      </c>
      <c r="G16" s="0" t="n">
        <f aca="false">-G12</f>
        <v>655.759117003162</v>
      </c>
      <c r="H16" s="0" t="n">
        <f aca="false">-H12</f>
        <v>697.153911263986</v>
      </c>
      <c r="I16" s="0" t="n">
        <f aca="false">-I12</f>
        <v>727.253254734432</v>
      </c>
      <c r="J16" s="0" t="n">
        <f aca="false">-J12</f>
        <v>763.615917471153</v>
      </c>
      <c r="K16" s="0" t="n">
        <f aca="false">-K12</f>
        <v>794.160554169999</v>
      </c>
      <c r="L16" s="0" t="n">
        <f aca="false">-L12</f>
        <v>817.9853707951</v>
      </c>
    </row>
    <row r="17" customFormat="false" ht="15" hidden="false" customHeight="false" outlineLevel="0" collapsed="false">
      <c r="A17" s="0" t="s">
        <v>119</v>
      </c>
      <c r="C17" s="4" t="n">
        <f aca="false">-C6*Assumptions!C46/100</f>
        <v>-570.6231</v>
      </c>
      <c r="D17" s="4" t="n">
        <f aca="false">-D6*Assumptions!D46/100</f>
        <v>-593.448024</v>
      </c>
      <c r="E17" s="4" t="n">
        <f aca="false">-E6*Assumptions!E46/100</f>
        <v>-640.92386592</v>
      </c>
      <c r="F17" s="4" t="n">
        <f aca="false">-F6*Assumptions!F46/100</f>
        <v>-658.0151690112</v>
      </c>
      <c r="G17" s="4" t="n">
        <f aca="false">-G6*Assumptions!G46/100</f>
        <v>-717.236534222208</v>
      </c>
      <c r="H17" s="4" t="n">
        <f aca="false">-H6*Assumptions!H46/100</f>
        <v>-719.285781462843</v>
      </c>
      <c r="I17" s="4" t="n">
        <f aca="false">-I6*Assumptions!I46/100</f>
        <v>-762.442928350614</v>
      </c>
      <c r="J17" s="4" t="n">
        <f aca="false">-J6*Assumptions!J46/100</f>
        <v>-800.565074768144</v>
      </c>
      <c r="K17" s="4" t="n">
        <f aca="false">-K6*Assumptions!K46/100</f>
        <v>-832.58767775887</v>
      </c>
      <c r="L17" s="4" t="n">
        <f aca="false">-L6*Assumptions!L46/100</f>
        <v>-857.565308091636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(C6-B6)*Assumptions!$B$51/100</f>
        <v>99.2387999999999</v>
      </c>
      <c r="D18" s="4" t="n">
        <f aca="false">(D6-C6)*Assumptions!$B$51/100</f>
        <v>-45.6498480000001</v>
      </c>
      <c r="E18" s="4" t="n">
        <f aca="false">(E6-D6)*Assumptions!$B$51/100</f>
        <v>-94.9516838400002</v>
      </c>
      <c r="F18" s="4" t="n">
        <f aca="false">(F6-E6)*Assumptions!$B$51/100</f>
        <v>-128.184773184</v>
      </c>
      <c r="G18" s="4" t="n">
        <f aca="false">(G6-F6)*Assumptions!$B$51/100</f>
        <v>-126.90292545216</v>
      </c>
      <c r="H18" s="4" t="n">
        <f aca="false">(H6-G6)*Assumptions!$B$51/100</f>
        <v>-122.954834438093</v>
      </c>
      <c r="I18" s="4" t="n">
        <f aca="false">(I6-H6)*Assumptions!$B$51/100</f>
        <v>-99.5934158948554</v>
      </c>
      <c r="J18" s="4" t="n">
        <f aca="false">(J6-I6)*Assumptions!$B$51/100</f>
        <v>-87.9741840404554</v>
      </c>
      <c r="K18" s="4" t="n">
        <f aca="false">(K6-J6)*Assumptions!$B$51/100</f>
        <v>-73.8983145939828</v>
      </c>
      <c r="L18" s="4" t="n">
        <f aca="false">(L6-K6)*Assumptions!$B$51/100</f>
        <v>-57.6406853833064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1278.1461246</v>
      </c>
      <c r="D19" s="0" t="n">
        <f aca="false">D15+D16+D17+D18</f>
        <v>1250.3615100128</v>
      </c>
      <c r="E19" s="0" t="n">
        <f aca="false">E15+E16+E17+E18</f>
        <v>1380.28414247693</v>
      </c>
      <c r="F19" s="0" t="n">
        <f aca="false">F15+F16+F17+F18</f>
        <v>1624.67363489484</v>
      </c>
      <c r="G19" s="0" t="n">
        <f aca="false">G15+G16+G17+G18</f>
        <v>1874.28946738983</v>
      </c>
      <c r="H19" s="0" t="n">
        <f aca="false">H15+H16+H17+H18</f>
        <v>2146.11515769969</v>
      </c>
      <c r="I19" s="0" t="n">
        <f aca="false">I15+I16+I17+I18</f>
        <v>2361.22046008476</v>
      </c>
      <c r="J19" s="0" t="n">
        <f aca="false">J15+J16+J17+J18</f>
        <v>2505.97982206599</v>
      </c>
      <c r="K19" s="0" t="n">
        <f aca="false">K15+K16+K17+K18</f>
        <v>2623.81385175672</v>
      </c>
      <c r="L19" s="0" t="n">
        <f aca="false">L15+L16+L17+L18</f>
        <v>2721.00284595792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1172.61112348624</v>
      </c>
      <c r="D21" s="0" t="n">
        <f aca="false">D19*D20</f>
        <v>1052.40426732834</v>
      </c>
      <c r="E21" s="0" t="n">
        <f aca="false">E19*E20</f>
        <v>1065.83261261094</v>
      </c>
      <c r="F21" s="0" t="n">
        <f aca="false">F19*F20</f>
        <v>1150.95976271243</v>
      </c>
      <c r="G21" s="0" t="n">
        <f aca="false">G19*G20</f>
        <v>1218.15955186506</v>
      </c>
      <c r="H21" s="0" t="n">
        <f aca="false">H19*H20</f>
        <v>1279.65834825656</v>
      </c>
      <c r="I21" s="0" t="n">
        <f aca="false">I19*I20</f>
        <v>1291.66845129106</v>
      </c>
      <c r="J21" s="0" t="n">
        <f aca="false">J19*J20</f>
        <v>1257.66677023528</v>
      </c>
      <c r="K21" s="0" t="n">
        <f aca="false">K19*K20</f>
        <v>1208.07678562846</v>
      </c>
      <c r="L21" s="0" t="n">
        <f aca="false">L19*L20</f>
        <v>1149.38100772655</v>
      </c>
    </row>
    <row r="23" customFormat="false" ht="15" hidden="false" customHeight="false" outlineLevel="0" collapsed="false">
      <c r="A23" s="0" t="s">
        <v>99</v>
      </c>
      <c r="C23" s="4" t="n">
        <f aca="false">Assumptions!C44</f>
        <v>0.25</v>
      </c>
      <c r="D23" s="4" t="n">
        <f aca="false">Assumptions!D44</f>
        <v>0.25</v>
      </c>
      <c r="E23" s="4" t="n">
        <f aca="false">Assumptions!E44</f>
        <v>0.25</v>
      </c>
      <c r="F23" s="4" t="n">
        <f aca="false">Assumptions!F44</f>
        <v>0.25</v>
      </c>
      <c r="G23" s="4" t="n">
        <f aca="false">Assumptions!G44</f>
        <v>0.25</v>
      </c>
      <c r="H23" s="4" t="n">
        <f aca="false">Assumptions!H44</f>
        <v>0.25</v>
      </c>
      <c r="I23" s="4" t="n">
        <f aca="false">Assumptions!I44</f>
        <v>0.25</v>
      </c>
      <c r="J23" s="4" t="n">
        <f aca="false">Assumptions!J44</f>
        <v>0.25</v>
      </c>
      <c r="K23" s="4" t="n">
        <f aca="false">Assumptions!K44</f>
        <v>0.25</v>
      </c>
      <c r="L23" s="4" t="n">
        <f aca="false">Assumptions!L44</f>
        <v>0.25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-19.02077</v>
      </c>
      <c r="D24" s="0" t="n">
        <f aca="false">-D6*D23/100</f>
        <v>-19.7816008</v>
      </c>
      <c r="E24" s="0" t="n">
        <f aca="false">-E6*E23/100</f>
        <v>-21.364128864</v>
      </c>
      <c r="F24" s="0" t="n">
        <f aca="false">-F6*F23/100</f>
        <v>-23.5005417504</v>
      </c>
      <c r="G24" s="0" t="n">
        <f aca="false">-G6*G23/100</f>
        <v>-25.615590507936</v>
      </c>
      <c r="H24" s="0" t="n">
        <f aca="false">-H6*H23/100</f>
        <v>-27.6648377485709</v>
      </c>
      <c r="I24" s="0" t="n">
        <f aca="false">-I6*I23/100</f>
        <v>-29.3247280134851</v>
      </c>
      <c r="J24" s="0" t="n">
        <f aca="false">-J6*J23/100</f>
        <v>-30.7909644141594</v>
      </c>
      <c r="K24" s="0" t="n">
        <f aca="false">-K6*K23/100</f>
        <v>-32.0226029907258</v>
      </c>
      <c r="L24" s="0" t="n">
        <f aca="false">-L6*L23/100</f>
        <v>-32.9832810804476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104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105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11846.4186811409</v>
      </c>
    </row>
    <row r="31" customFormat="false" ht="15" hidden="false" customHeight="false" outlineLevel="0" collapsed="false">
      <c r="A31" s="0" t="s">
        <v>127</v>
      </c>
      <c r="B31" s="0" t="n">
        <f aca="false">L19</f>
        <v>2721.00284595792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46710.5488556109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40815.0426893688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40815.0426893688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17240.7151158982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29087.1337970392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52022.3337970392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23.6182162033568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0.63221950265078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1151.40650116344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1435.04692065169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24.7924698682283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23355.2744278055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17.0643817736472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2" t="s">
        <v>144</v>
      </c>
      <c r="B3" s="2" t="s">
        <v>145</v>
      </c>
      <c r="C3" s="2" t="s">
        <v>135</v>
      </c>
      <c r="D3" s="2" t="s">
        <v>146</v>
      </c>
      <c r="E3" s="2" t="s">
        <v>138</v>
      </c>
      <c r="F3" s="2" t="s">
        <v>147</v>
      </c>
    </row>
    <row r="4" customFormat="false" ht="15" hidden="false" customHeight="false" outlineLevel="0" collapsed="false">
      <c r="A4" s="0" t="s">
        <v>148</v>
      </c>
      <c r="B4" s="4" t="n">
        <f aca="false">DCF_Bear!$B$38</f>
        <v>14.6984446038259</v>
      </c>
      <c r="C4" s="0" t="n">
        <f aca="false">B4/Assumptions!$B$2-1</f>
        <v>0.0157874639824422</v>
      </c>
      <c r="D4" s="4" t="n">
        <f aca="false">Assumptions!$B$24</f>
        <v>0.3</v>
      </c>
      <c r="E4" s="4" t="n">
        <f aca="false">DCF_Bear!$B$43</f>
        <v>15.3210367710425</v>
      </c>
      <c r="F4" s="4" t="n">
        <f aca="false">DCF_Bear!$B$47</f>
        <v>13.0750281801136</v>
      </c>
    </row>
    <row r="5" customFormat="false" ht="15" hidden="false" customHeight="false" outlineLevel="0" collapsed="false">
      <c r="A5" s="0" t="s">
        <v>149</v>
      </c>
      <c r="B5" s="4" t="n">
        <f aca="false">DCF_Base!$B$38</f>
        <v>19.290234609096</v>
      </c>
      <c r="C5" s="0" t="n">
        <f aca="false">B5/Assumptions!$B$2-1</f>
        <v>0.333119185148305</v>
      </c>
      <c r="D5" s="4" t="n">
        <f aca="false">Assumptions!$B$38</f>
        <v>0.5</v>
      </c>
      <c r="E5" s="4" t="n">
        <f aca="false">DCF_Base!$B$43</f>
        <v>20.194819299604</v>
      </c>
      <c r="F5" s="4" t="n">
        <f aca="false">DCF_Base!$B$47</f>
        <v>15.0050461025857</v>
      </c>
    </row>
    <row r="6" customFormat="false" ht="15" hidden="false" customHeight="false" outlineLevel="0" collapsed="false">
      <c r="A6" s="0" t="s">
        <v>150</v>
      </c>
      <c r="B6" s="4" t="n">
        <f aca="false">DCF_Bull!$B$38</f>
        <v>23.6182162033568</v>
      </c>
      <c r="C6" s="0" t="n">
        <f aca="false">B6/Assumptions!$B$2-1</f>
        <v>0.63221950265078</v>
      </c>
      <c r="D6" s="4" t="n">
        <f aca="false">Assumptions!$B$52</f>
        <v>0.2</v>
      </c>
      <c r="E6" s="4" t="n">
        <f aca="false">DCF_Bull!$B$43</f>
        <v>24.7924698682283</v>
      </c>
      <c r="F6" s="4" t="n">
        <f aca="false">DCF_Bull!$B$47</f>
        <v>17.0643817736472</v>
      </c>
    </row>
    <row r="8" customFormat="false" ht="15" hidden="false" customHeight="false" outlineLevel="0" collapsed="false">
      <c r="A8" s="0" t="s">
        <v>151</v>
      </c>
      <c r="B8" s="0" t="n">
        <f aca="false">SUMPRODUCT(B4:B6,D4:D6)</f>
        <v>18.7782939263671</v>
      </c>
    </row>
    <row r="9" customFormat="false" ht="15" hidden="false" customHeight="false" outlineLevel="0" collapsed="false">
      <c r="A9" s="0" t="s">
        <v>152</v>
      </c>
      <c r="B9" s="0" t="n">
        <f aca="false">SUMPRODUCT(E4:E6,D4:D6)</f>
        <v>19.6522146547604</v>
      </c>
    </row>
    <row r="10" customFormat="false" ht="15" hidden="false" customHeight="false" outlineLevel="0" collapsed="false">
      <c r="A10" s="0" t="s">
        <v>153</v>
      </c>
      <c r="B10" s="0" t="n">
        <f aca="false">1-Assumptions!$B$2/B8</f>
        <v>0.229429464852381</v>
      </c>
    </row>
    <row r="11" customFormat="false" ht="15" hidden="false" customHeight="false" outlineLevel="0" collapsed="false">
      <c r="A11" s="0" t="s">
        <v>154</v>
      </c>
      <c r="B11" s="0" t="n">
        <f aca="false">IF(ABS(B9-B8)&gt;0.01*ABS(B8),(Assumptions!$B$2-B8)/(B9-B8)*100,"n/a")</f>
        <v>-492.984522095964</v>
      </c>
    </row>
    <row r="12" customFormat="false" ht="15" hidden="false" customHeight="false" outlineLevel="0" collapsed="false">
      <c r="A12" s="0" t="s">
        <v>155</v>
      </c>
      <c r="B12" s="0" t="n">
        <f aca="false">SUMPRODUCT(F4:F6,D4:D6)</f>
        <v>14.8379078600564</v>
      </c>
    </row>
    <row r="14" customFormat="false" ht="15" hidden="false" customHeight="false" outlineLevel="0" collapsed="false">
      <c r="A14" s="2" t="s">
        <v>156</v>
      </c>
      <c r="C14" s="0" t="s">
        <v>157</v>
      </c>
    </row>
    <row r="15" customFormat="false" ht="15" hidden="false" customHeight="false" outlineLevel="0" collapsed="false">
      <c r="A15" s="0" t="s">
        <v>158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19.290234609096</v>
      </c>
      <c r="C15" s="3" t="n">
        <v>9</v>
      </c>
    </row>
    <row r="16" customFormat="false" ht="15" hidden="false" customHeight="false" outlineLevel="0" collapsed="false">
      <c r="A16" s="0" t="s">
        <v>159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18.2764607956881</v>
      </c>
      <c r="C16" s="3" t="n">
        <v>10</v>
      </c>
    </row>
    <row r="17" customFormat="false" ht="15" hidden="false" customHeight="false" outlineLevel="0" collapsed="false">
      <c r="A17" s="0" t="s">
        <v>160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17.3100940670168</v>
      </c>
      <c r="C17" s="3" t="n">
        <v>11</v>
      </c>
    </row>
    <row r="18" customFormat="false" ht="15" hidden="false" customHeight="false" outlineLevel="0" collapsed="false">
      <c r="A18" s="0" t="s">
        <v>161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16.5491667159999</v>
      </c>
      <c r="C18" s="3" t="n">
        <v>12</v>
      </c>
    </row>
    <row r="19" customFormat="false" ht="15" hidden="false" customHeight="false" outlineLevel="0" collapsed="false">
      <c r="A19" s="0" t="s">
        <v>162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15.0050461025857</v>
      </c>
      <c r="C19" s="3" t="n">
        <v>15</v>
      </c>
    </row>
    <row r="21" customFormat="false" ht="15" hidden="false" customHeight="false" outlineLevel="0" collapsed="false">
      <c r="A21" s="2" t="s">
        <v>163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20.7016295819427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20.7016295819427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20.7016295819427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20.7016295819427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20.7016295819427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19.9629766445963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19.9629766445963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19.9629766445963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19.9629766445963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19.9629766445963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18.80775494192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19.1492502907653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19.290234609096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19.290234609096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19.290234609096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17.7583791364311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18.0012299142078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18.2764607956881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18.5910103745226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18.6767966232957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16.9330750702634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17.1111118187303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17.3100940670168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17.5339490963391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17.7876514629044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2026-10-16T13:59:31Z</dcterms:created>
  <dc:creator>openpyxl</dc:creator>
  <dc:description/>
  <dc:language>en-NZ</dc:language>
  <cp:lastModifiedBy/>
  <dcterms:modified xsi:type="dcterms:W3CDTF">2026-10-16T13:59:31Z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