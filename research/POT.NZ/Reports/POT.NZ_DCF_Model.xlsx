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</font>
    <font>
      <color rgb="000000CC"/>
    </font>
    <font>
      <color rgb="00000000"/>
    </font>
    <font>
      <color rgb="00006600"/>
    </font>
  </fonts>
  <fills count="3">
    <fill>
      <patternFill/>
    </fill>
    <fill>
      <patternFill patternType="gray125"/>
    </fill>
    <fill>
      <patternFill patternType="solid">
        <fgColor rgb="00FFF2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PORT OF TAURANGA (POT.NZ) - OWNER-FCF DCF MODEL</t>
        </is>
      </c>
    </row>
    <row r="2">
      <c r="A2" t="inlineStr">
        <is>
          <t>Version: 1.0 (fresh build - no prior DCF exists for this ticker). Supersedes: nothing.</t>
        </is>
      </c>
    </row>
    <row r="3">
      <c r="A3" t="inlineStr">
        <is>
          <t>Built by: dcf-analyst agent (Claude, model claude-fable-5) on 2026-08-26 at the orchestrator's request.</t>
        </is>
      </c>
    </row>
    <row r="4">
      <c r="A4" t="inlineStr"/>
    </row>
    <row r="5">
      <c r="A5" t="inlineStr">
        <is>
          <t>DATA VINTAGE - figures go stale; refresh after the FY2026 result (due ~Aug-2026):</t>
        </is>
      </c>
    </row>
    <row r="6">
      <c r="A6" t="inlineStr">
        <is>
          <t>Price: NZD 8.115, NZX regular close, fetched 2026-08-26 (verified market data supplied by orchestrator). Top of the 10-year 3.76-8.90 monthly-close range.</t>
        </is>
      </c>
    </row>
    <row r="7">
      <c r="A7" t="inlineStr">
        <is>
          <t>Balance sheet: H1 FY2026 interim, 31-Dec-2025. Borrowings 498.707, lease liabilities 58.727, cash 27.475, investments in + advances to equity-accounted investees 322.229 (all NZD m).</t>
        </is>
      </c>
    </row>
    <row r="8">
      <c r="A8" t="inlineStr">
        <is>
          <t>Shares: 680.909m ordinary, flat for a decade, no buybacks, no dilution (employee-scheme purchases &lt;NZ$1m/yr).</t>
        </is>
      </c>
    </row>
    <row r="9">
      <c r="A9" t="inlineStr">
        <is>
          <t>Guidance: FY2026 underlying NPAT NZ$142-152m, RAISED at the H1 result (H1 NPAT 70.2, +16.6% YoY).</t>
        </is>
      </c>
    </row>
    <row r="10">
      <c r="A10" t="inlineStr">
        <is>
          <t>History: POT.NZ_Metrics.csv (core_metrics, NZD millions) + kpis table (UnderlyingNetProfit, DandA, CashTaxesPaid).</t>
        </is>
      </c>
    </row>
    <row r="11">
      <c r="A11" t="inlineStr"/>
    </row>
    <row r="12">
      <c r="A12" t="inlineStr">
        <is>
          <t>METHODOLOGY CHOICES (one line each):</t>
        </is>
      </c>
    </row>
    <row r="13">
      <c r="A13" t="inlineStr">
        <is>
          <t>1. Owner-FCF DCF, 10-year component build - POT is a capital-intensive monopoly port OPERATING company; not a REIT/bank/LIC (dcf-methods routing table).</t>
        </is>
      </c>
    </row>
    <row r="14">
      <c r="A14" t="inlineStr">
        <is>
          <t>2. Base year mid-cycled: FY2025 reported NPAT 173.4 includes the one-off NZ$49.245m Northport/Marsden disposal gain - underlying NPAT 126.0 used; FY2025 capex of 28.1 is a consent-blocked trough (10yr avg ~38-45) - deferred, not avoided.</t>
        </is>
      </c>
    </row>
    <row r="15">
      <c r="A15" t="inlineStr">
        <is>
          <t>3. Core EBITDA EXCLUDES the share of profit of equity-accounted investees (FY2025: 228.4 = revenue 464.7 - opex 236.3, a 49.2% margin; reported 234.5 includes 6.2 EAI). Matching-asset rule: the investee stakes (NZ$322.2m carrying, NGL at Jun-2025 fair value) are added in the bridge instead.</t>
        </is>
      </c>
    </row>
    <row r="16">
      <c r="A16" t="inlineStr">
        <is>
          <t>4. Leases: treatment A - lease liabilities (58.7) in net debt; principal (~NZ$1m/yr, immaterial) NOT deducted from flows. Never both.</t>
        </is>
      </c>
    </row>
    <row r="17">
      <c r="A17" t="inlineStr">
        <is>
          <t>5. SBC-zero market: NZX filer with no material share-based payment. SBC rows kept explicit at 0%; house = street; band position n/a.</t>
        </is>
      </c>
    </row>
    <row r="18">
      <c r="A18" t="inlineStr">
        <is>
          <t>6. WACC 7.75% NZD: NZ 10yr govt ~4.4% + 5.0% ERP x beta ~0.75, ~10% debt at ~3.8% after tax. NO small-cap illiquidity premium (NZX-50 large cap, A-/Stable, monopoly). Same WACC in all scenarios - consent risk is charged ONCE, in the scenario weights (bear 25%).</t>
        </is>
      </c>
    </row>
    <row r="19">
      <c r="A19" t="inlineStr">
        <is>
          <t>7. Capex supercycle modelled explicitly: base assumes Stella Passage consent granted FY2027, capex 90/140/140/100/70 over FY2027-31, then 8.5% of revenue. Capex % is a PER-YEAR driver row (row 17) - a documented deviation from the standard single capex% assumption, required by the taper.</t>
        </is>
      </c>
    </row>
    <row r="20">
      <c r="A20" t="inlineStr">
        <is>
          <t>8. Terminal value = MAX(0, MIN(Gordon, 20x FCF)); Gordon binds in all three scenarios. House Gordon TV implies ~11x exit EV/EBITDA vs POT's 18-35x decade trading range - see the market-multiple reference on the Valuation tab.</t>
        </is>
      </c>
    </row>
    <row r="21">
      <c r="A21" t="inlineStr"/>
    </row>
    <row r="22">
      <c r="A22" t="inlineStr">
        <is>
          <t>SCENARIO DRIVERS: judgment of the dcf-analyst agent, set 2026-08-26 from FY2025 annual + H1 FY2026 interim + Analysis.json. Weights 25/50/25 bear/base/bull (bear raised from 15% default: consent already struck down once, Aug-2025).</t>
        </is>
      </c>
    </row>
    <row r="23">
      <c r="A23" t="inlineStr"/>
    </row>
    <row r="24">
      <c r="A24" t="inlineStr">
        <is>
          <t>REFRESH AFTER NEXT PRINT (FY2026 annual, ~Aug-2026): price + timestamp, net debt + investee carrying values (Jun-2026 BS), FY2026 actual underlying NPAT vs 142-152 guidance, Stella Passage consent status (expert-panel decision), FY2027 capex guidance.</t>
        </is>
      </c>
    </row>
    <row r="25">
      <c r="A25" t="inlineStr"/>
    </row>
    <row r="26">
      <c r="A26" t="inlineStr">
        <is>
          <t>CELL COLOURS: BLUE font = hardcoded input; YELLOW fill = key driver lever; BLACK = formula; GREEN = cross-sheet link.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2" t="inlineStr">
        <is>
          <t>POT.NZ actuals - all hardcoded, NZD millions. Sources: POT.NZ_Metrics.csv (core_metrics), kpis table, annual/interim filings. FY2025 net income includes the one-off NZ$49.245m disposal gain; FY-end prices supplied by orchestrator 2026-08-26.</t>
        </is>
      </c>
    </row>
    <row r="3">
      <c r="A3" s="2" t="inlineStr">
        <is>
          <t>Period</t>
        </is>
      </c>
      <c r="B3" s="3" t="inlineStr">
        <is>
          <t>FY2016</t>
        </is>
      </c>
      <c r="C3" s="3" t="inlineStr">
        <is>
          <t>FY2017</t>
        </is>
      </c>
      <c r="D3" s="3" t="inlineStr">
        <is>
          <t>FY2018</t>
        </is>
      </c>
      <c r="E3" s="3" t="inlineStr">
        <is>
          <t>FY2019</t>
        </is>
      </c>
      <c r="F3" s="3" t="inlineStr">
        <is>
          <t>FY2020</t>
        </is>
      </c>
      <c r="G3" s="3" t="inlineStr">
        <is>
          <t>FY2021</t>
        </is>
      </c>
      <c r="H3" s="3" t="inlineStr">
        <is>
          <t>FY2022</t>
        </is>
      </c>
      <c r="I3" s="3" t="inlineStr">
        <is>
          <t>FY2023</t>
        </is>
      </c>
      <c r="J3" s="3" t="inlineStr">
        <is>
          <t>FY2024</t>
        </is>
      </c>
      <c r="K3" s="3" t="inlineStr">
        <is>
          <t>FY2025</t>
        </is>
      </c>
      <c r="L3" s="3" t="inlineStr">
        <is>
          <t>H1 FY2026</t>
        </is>
      </c>
    </row>
    <row r="4">
      <c r="A4" s="2" t="inlineStr">
        <is>
          <t>Revenue</t>
        </is>
      </c>
      <c r="B4" s="3" t="n">
        <v>245.521</v>
      </c>
      <c r="C4" s="3" t="n">
        <v>255.882</v>
      </c>
      <c r="D4" s="3" t="n">
        <v>283.726</v>
      </c>
      <c r="E4" s="3" t="n">
        <v>313.263</v>
      </c>
      <c r="F4" s="3" t="n">
        <v>301.985</v>
      </c>
      <c r="G4" s="3" t="n">
        <v>338.281</v>
      </c>
      <c r="H4" s="3" t="n">
        <v>375.288</v>
      </c>
      <c r="I4" s="3" t="n">
        <v>420.929</v>
      </c>
      <c r="J4" s="3" t="n">
        <v>417.375</v>
      </c>
      <c r="K4" s="3" t="n">
        <v>464.675</v>
      </c>
      <c r="L4" s="3" t="n">
        <v>244.128</v>
      </c>
    </row>
    <row r="5">
      <c r="A5" s="2" t="inlineStr">
        <is>
          <t>EBITDA (reported, incl EAI share)</t>
        </is>
      </c>
      <c r="B5" s="3" t="n">
        <v>143.18</v>
      </c>
      <c r="C5" s="3" t="n">
        <v>152.385</v>
      </c>
      <c r="D5" s="3" t="n">
        <v>169.236</v>
      </c>
      <c r="E5" s="3" t="n">
        <v>181.27</v>
      </c>
      <c r="F5" s="3" t="n">
        <v>165.198</v>
      </c>
      <c r="G5" s="3" t="n">
        <v>189.917</v>
      </c>
      <c r="H5" s="3" t="n">
        <v>204.663</v>
      </c>
      <c r="I5" s="3" t="n">
        <v>219.081</v>
      </c>
      <c r="J5" s="3" t="n">
        <v>203.739</v>
      </c>
      <c r="K5" s="3" t="n">
        <v>234.504</v>
      </c>
      <c r="L5" s="3" t="n">
        <v>122.376</v>
      </c>
    </row>
    <row r="6">
      <c r="A6" s="2" t="inlineStr">
        <is>
          <t>Core EBITDA (excl EAI share)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>
        <v>198.794</v>
      </c>
      <c r="K6" s="3" t="n">
        <v>228.399</v>
      </c>
      <c r="L6" s="3" t="n">
        <v>122.376</v>
      </c>
    </row>
    <row r="7">
      <c r="A7" s="2" t="inlineStr">
        <is>
          <t>Net income (reported)</t>
        </is>
      </c>
      <c r="B7" s="3" t="n">
        <v>77.31399999999999</v>
      </c>
      <c r="C7" s="3" t="n">
        <v>83.441</v>
      </c>
      <c r="D7" s="3" t="n">
        <v>94.273</v>
      </c>
      <c r="E7" s="3" t="n">
        <v>100.577</v>
      </c>
      <c r="F7" s="3" t="n">
        <v>88.679</v>
      </c>
      <c r="G7" s="3" t="n">
        <v>102.375</v>
      </c>
      <c r="H7" s="3" t="n">
        <v>111.317</v>
      </c>
      <c r="I7" s="3" t="n">
        <v>117.136</v>
      </c>
      <c r="J7" s="3" t="n">
        <v>90.849</v>
      </c>
      <c r="K7" s="3" t="n">
        <v>173.373</v>
      </c>
      <c r="L7" s="3" t="n">
        <v>70.214</v>
      </c>
    </row>
    <row r="8">
      <c r="A8" s="2" t="inlineStr">
        <is>
          <t>Underlying NPAT (kpis)</t>
        </is>
      </c>
      <c r="B8" s="3" t="n"/>
      <c r="C8" s="3" t="n"/>
      <c r="D8" s="3" t="n"/>
      <c r="E8" s="3" t="n"/>
      <c r="F8" s="3" t="n"/>
      <c r="G8" s="3" t="n">
        <v>104.058</v>
      </c>
      <c r="H8" s="3" t="n">
        <v>112.357</v>
      </c>
      <c r="I8" s="3" t="n">
        <v>117.792</v>
      </c>
      <c r="J8" s="3" t="n">
        <v>102.29</v>
      </c>
      <c r="K8" s="3" t="n">
        <v>126.036</v>
      </c>
      <c r="L8" s="3" t="n"/>
    </row>
    <row r="9">
      <c r="A9" s="2" t="inlineStr">
        <is>
          <t>Operating cash flow</t>
        </is>
      </c>
      <c r="B9" s="3" t="n">
        <v>88.069</v>
      </c>
      <c r="C9" s="3" t="n">
        <v>98.185</v>
      </c>
      <c r="D9" s="3" t="n">
        <v>99.431</v>
      </c>
      <c r="E9" s="3" t="n">
        <v>112.189</v>
      </c>
      <c r="F9" s="3" t="n">
        <v>117.137</v>
      </c>
      <c r="G9" s="3" t="n">
        <v>99.682</v>
      </c>
      <c r="H9" s="3" t="n">
        <v>145.249</v>
      </c>
      <c r="I9" s="3" t="n">
        <v>144.572</v>
      </c>
      <c r="J9" s="3" t="n">
        <v>135.837</v>
      </c>
      <c r="K9" s="3" t="n">
        <v>171.981</v>
      </c>
      <c r="L9" s="3" t="n">
        <v>77.792</v>
      </c>
    </row>
    <row r="10">
      <c r="A10" s="2" t="inlineStr">
        <is>
          <t>Capex</t>
        </is>
      </c>
      <c r="B10" s="3" t="n">
        <v>58.863</v>
      </c>
      <c r="C10" s="3" t="n">
        <v>65.26900000000001</v>
      </c>
      <c r="D10" s="3" t="n">
        <v>17.399</v>
      </c>
      <c r="E10" s="3" t="n">
        <v>41.125</v>
      </c>
      <c r="F10" s="3" t="n">
        <v>38.239</v>
      </c>
      <c r="G10" s="3" t="n">
        <v>22.267</v>
      </c>
      <c r="H10" s="3" t="n">
        <v>21.345</v>
      </c>
      <c r="I10" s="3" t="n">
        <v>44.84</v>
      </c>
      <c r="J10" s="3" t="n">
        <v>42.612</v>
      </c>
      <c r="K10" s="3" t="n">
        <v>28.135</v>
      </c>
      <c r="L10" s="3" t="n">
        <v>25.162</v>
      </c>
    </row>
    <row r="11">
      <c r="A11" s="2" t="inlineStr">
        <is>
          <t>Free cash flow (reported)</t>
        </is>
      </c>
      <c r="B11" s="3" t="n">
        <v>29.206</v>
      </c>
      <c r="C11" s="3" t="n">
        <v>32.916</v>
      </c>
      <c r="D11" s="3" t="n">
        <v>82.032</v>
      </c>
      <c r="E11" s="3" t="n">
        <v>71.06399999999999</v>
      </c>
      <c r="F11" s="3" t="n">
        <v>78.898</v>
      </c>
      <c r="G11" s="3" t="n">
        <v>77.41500000000001</v>
      </c>
      <c r="H11" s="3" t="n">
        <v>123.904</v>
      </c>
      <c r="I11" s="3" t="n">
        <v>99.732</v>
      </c>
      <c r="J11" s="3" t="n">
        <v>93.22499999999999</v>
      </c>
      <c r="K11" s="3" t="n">
        <v>143.846</v>
      </c>
      <c r="L11" s="3" t="n">
        <v>52.63</v>
      </c>
    </row>
    <row r="12">
      <c r="A12" s="2" t="inlineStr">
        <is>
          <t>Dividends paid</t>
        </is>
      </c>
      <c r="B12" s="3" t="n"/>
      <c r="C12" s="3" t="n"/>
      <c r="D12" s="3" t="n"/>
      <c r="E12" s="3" t="n"/>
      <c r="F12" s="3" t="n"/>
      <c r="G12" s="3" t="n"/>
      <c r="H12" s="3" t="n">
        <v>95.242</v>
      </c>
      <c r="I12" s="3" t="n">
        <v>102.054</v>
      </c>
      <c r="J12" s="3" t="n">
        <v>100.689</v>
      </c>
      <c r="K12" s="3" t="n">
        <v>106.801</v>
      </c>
      <c r="L12" s="3" t="n">
        <v>65.991</v>
      </c>
    </row>
    <row r="13">
      <c r="A13" s="2" t="inlineStr">
        <is>
          <t>Shareholders equity</t>
        </is>
      </c>
      <c r="B13" s="3" t="n">
        <v>885.684</v>
      </c>
      <c r="C13" s="3" t="n">
        <v>931.943</v>
      </c>
      <c r="D13" s="3" t="n">
        <v>1121.98</v>
      </c>
      <c r="E13" s="3" t="n">
        <v>1165.885</v>
      </c>
      <c r="F13" s="3" t="n">
        <v>1195.184</v>
      </c>
      <c r="G13" s="3" t="n">
        <v>1396.968</v>
      </c>
      <c r="H13" s="3" t="n">
        <v>2074.438</v>
      </c>
      <c r="I13" s="3" t="n">
        <v>2133.716</v>
      </c>
      <c r="J13" s="3" t="n">
        <v>2183.157</v>
      </c>
      <c r="K13" s="3" t="n">
        <v>2273.771</v>
      </c>
      <c r="L13" s="3" t="n">
        <v>2279.671</v>
      </c>
    </row>
    <row r="14">
      <c r="A14" s="2" t="inlineStr">
        <is>
          <t>Total debt (borrowings)</t>
        </is>
      </c>
      <c r="B14" s="3" t="n">
        <v>320.2</v>
      </c>
      <c r="C14" s="3" t="n">
        <v>380.363</v>
      </c>
      <c r="D14" s="3" t="n">
        <v>405.356</v>
      </c>
      <c r="E14" s="3" t="n">
        <v>446.213</v>
      </c>
      <c r="F14" s="3" t="n">
        <v>488.458</v>
      </c>
      <c r="G14" s="3" t="n">
        <v>485</v>
      </c>
      <c r="H14" s="3" t="n">
        <v>442.472</v>
      </c>
      <c r="I14" s="3" t="n">
        <v>450.775</v>
      </c>
      <c r="J14" s="3" t="n">
        <v>462.962</v>
      </c>
      <c r="K14" s="3" t="n">
        <v>467.884</v>
      </c>
      <c r="L14" s="3" t="n">
        <v>498.707</v>
      </c>
    </row>
    <row r="15">
      <c r="A15" s="2" t="inlineStr">
        <is>
          <t>Cash</t>
        </is>
      </c>
      <c r="B15" s="3" t="n">
        <v>11.58</v>
      </c>
      <c r="C15" s="3" t="n">
        <v>5.184</v>
      </c>
      <c r="D15" s="3" t="n">
        <v>5.836</v>
      </c>
      <c r="E15" s="3" t="n">
        <v>3.903</v>
      </c>
      <c r="F15" s="3" t="n">
        <v>8.565</v>
      </c>
      <c r="G15" s="3" t="n">
        <v>7.886</v>
      </c>
      <c r="H15" s="3" t="n">
        <v>7.272</v>
      </c>
      <c r="I15" s="3" t="n">
        <v>8.506</v>
      </c>
      <c r="J15" s="3" t="n">
        <v>18.728</v>
      </c>
      <c r="K15" s="3" t="n">
        <v>8.975</v>
      </c>
      <c r="L15" s="3" t="n">
        <v>27.475</v>
      </c>
    </row>
    <row r="16">
      <c r="A16" s="2" t="inlineStr">
        <is>
          <t>D&amp;A (kpis)</t>
        </is>
      </c>
      <c r="B16" s="3" t="n">
        <v>23.722</v>
      </c>
      <c r="C16" s="3" t="n">
        <v>24.46</v>
      </c>
      <c r="D16" s="3" t="n">
        <v>25.269</v>
      </c>
      <c r="E16" s="3" t="n">
        <v>27.585</v>
      </c>
      <c r="F16" s="3" t="n"/>
      <c r="G16" s="3" t="n"/>
      <c r="H16" s="3" t="n"/>
      <c r="I16" s="3" t="n"/>
      <c r="J16" s="3" t="n">
        <v>43.77</v>
      </c>
      <c r="K16" s="3" t="n">
        <v>42.925</v>
      </c>
      <c r="L16" s="3" t="n">
        <v>22.844</v>
      </c>
    </row>
    <row r="17">
      <c r="A17" s="2" t="inlineStr">
        <is>
          <t>Cash taxes paid (kpis)</t>
        </is>
      </c>
      <c r="B17" s="3" t="n">
        <v>28.991</v>
      </c>
      <c r="C17" s="3" t="n">
        <v>29.444</v>
      </c>
      <c r="D17" s="3" t="n">
        <v>32.03</v>
      </c>
      <c r="E17" s="3" t="n">
        <v>34.68</v>
      </c>
      <c r="F17" s="3" t="n">
        <v>35.293</v>
      </c>
      <c r="G17" s="3" t="n"/>
      <c r="H17" s="3" t="n"/>
      <c r="I17" s="3" t="n"/>
      <c r="J17" s="3" t="n">
        <v>44.075</v>
      </c>
      <c r="K17" s="3" t="n">
        <v>43.115</v>
      </c>
      <c r="L17" s="3" t="n">
        <v>31.765</v>
      </c>
    </row>
    <row r="18">
      <c r="A18" s="2" t="inlineStr">
        <is>
          <t>FY-end share price (Jun close)</t>
        </is>
      </c>
      <c r="B18" s="3" t="n"/>
      <c r="C18" s="3" t="n">
        <v>4.45</v>
      </c>
      <c r="D18" s="3" t="n">
        <v>5.1</v>
      </c>
      <c r="E18" s="3" t="n">
        <v>6.34</v>
      </c>
      <c r="F18" s="3" t="n">
        <v>7.7</v>
      </c>
      <c r="G18" s="3" t="n">
        <v>7.03</v>
      </c>
      <c r="H18" s="3" t="n">
        <v>6.22</v>
      </c>
      <c r="I18" s="3" t="n">
        <v>6.24</v>
      </c>
      <c r="J18" s="3" t="n">
        <v>4.72</v>
      </c>
      <c r="K18" s="3" t="n">
        <v>6.85</v>
      </c>
      <c r="L18" s="3" t="n"/>
    </row>
    <row r="20">
      <c r="A20" s="2" t="inlineStr">
        <is>
          <t>Balance-sheet snapshot 31-Dec-2025: borrowings 498.707 + lease liabilities 58.727 - cash 27.475 = net debt 529.959; investments in EAI 284.148 + advances 38.081 = 322.229. Guidance FY2026 underlying NPAT 142-152 (raised). No NCI. Buybacks: none (0.636 FY2025 employee-scheme only).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10" customWidth="1" min="4" max="4"/>
  </cols>
  <sheetData>
    <row r="1">
      <c r="A1" s="1" t="inlineStr">
        <is>
          <t>GLOBAL ASSUMPTIONS (blue = input; yellow = key lever)</t>
        </is>
      </c>
    </row>
    <row r="3">
      <c r="A3" s="2" t="inlineStr">
        <is>
          <t>WACC %</t>
        </is>
      </c>
      <c r="B3" s="4" t="n">
        <v>7.75</v>
      </c>
      <c r="D3" t="inlineStr">
        <is>
          <t>NZD: rf ~4.4% + 5.0% ERP x beta ~0.75; ~10% debt at ~3.8% after tax. No illiquidity premium (NZX-50 large cap, A-/Stable monopoly). Same rate all scenarios - risk charged once, in weights.</t>
        </is>
      </c>
    </row>
    <row r="4">
      <c r="A4" s="2" t="inlineStr">
        <is>
          <t>D&amp;A % of revenue</t>
        </is>
      </c>
      <c r="B4" s="3" t="n">
        <v>9.4</v>
      </c>
      <c r="D4" t="inlineStr">
        <is>
          <t>FY2025 actual 42.9/464.7 = 9.2%; held near-flat as the asset base grows with the build.</t>
        </is>
      </c>
    </row>
    <row r="5">
      <c r="A5" s="2" t="inlineStr">
        <is>
          <t>WC capture % of revenue change</t>
        </is>
      </c>
      <c r="B5" s="3" t="n">
        <v>-5</v>
      </c>
      <c r="D5" t="inlineStr">
        <is>
          <t>Net working capital ~5-6% of revenue (receivables 15.5% less payables ~10%); growth absorbs cash.</t>
        </is>
      </c>
    </row>
    <row r="6">
      <c r="A6" s="2" t="inlineStr">
        <is>
          <t>Cash tax rate %</t>
        </is>
      </c>
      <c r="B6" s="3" t="n">
        <v>28</v>
      </c>
      <c r="D6" t="inlineStr">
        <is>
          <t>NZ statutory 28%; FY2025 cash taxes paid 43.1 on underlying PBT ex-EAI ~163 = 26.4% - statutory is mildly conservative.</t>
        </is>
      </c>
    </row>
    <row r="7">
      <c r="A7" s="2" t="inlineStr">
        <is>
          <t>Net debt incl leases (NZD m)</t>
        </is>
      </c>
      <c r="B7" s="4" t="n">
        <v>529.9589999999999</v>
      </c>
      <c r="D7" t="inlineStr">
        <is>
          <t>31-Dec-2025: borrowings 498.707 + lease liabilities 58.727 - cash 27.475. Leases-as-debt treatment A.</t>
        </is>
      </c>
    </row>
    <row r="8">
      <c r="A8" s="2" t="inlineStr">
        <is>
          <t>Equity-accounted investments + advances (NZD m)</t>
        </is>
      </c>
      <c r="B8" s="3" t="n">
        <v>322.229</v>
      </c>
      <c r="D8" t="inlineStr">
        <is>
          <t>Matching asset for the EAI profit stripped from flows: investments 284.148 + advances 38.081 at Dec-2025 carrying value (NGL at Jun-2025 fair value).</t>
        </is>
      </c>
    </row>
    <row r="9">
      <c r="A9" s="2" t="inlineStr">
        <is>
          <t>Diluted shares (m)</t>
        </is>
      </c>
      <c r="B9" s="3" t="n">
        <v>680.909</v>
      </c>
      <c r="D9" t="inlineStr">
        <is>
          <t>Flat for a decade; no buybacks, no dilution; SBC zero so count held flat charges nothing twice.</t>
        </is>
      </c>
    </row>
    <row r="10">
      <c r="A10" s="2" t="inlineStr">
        <is>
          <t>Current price (NZD)</t>
        </is>
      </c>
      <c r="B10" s="3" t="n">
        <v>8.115</v>
      </c>
      <c r="D10" t="inlineStr">
        <is>
          <t>NZX close 2026-08-26. Top of the 10-year 3.76-8.90 range.</t>
        </is>
      </c>
    </row>
    <row r="11">
      <c r="A11" s="2" t="inlineStr">
        <is>
          <t>Terminal cap multiple (x FCF)</t>
        </is>
      </c>
      <c r="B11" s="3" t="n">
        <v>20</v>
      </c>
      <c r="D11" t="inlineStr">
        <is>
          <t>Gordon binds in all scenarios; the cap only bites in low-WACC sensitivity corners.</t>
        </is>
      </c>
    </row>
    <row r="13">
      <c r="A13" s="1" t="inlineStr">
        <is>
          <t>PER-SCENARIO</t>
        </is>
      </c>
    </row>
    <row r="14">
      <c r="A14" s="2" t="inlineStr">
        <is>
          <t>Scenario</t>
        </is>
      </c>
      <c r="B14" s="2" t="inlineStr">
        <is>
          <t>Terminal growth %</t>
        </is>
      </c>
      <c r="C14" s="2" t="inlineStr">
        <is>
          <t>Probability weight</t>
        </is>
      </c>
    </row>
    <row r="15">
      <c r="A15" s="2" t="inlineStr">
        <is>
          <t>Bear</t>
        </is>
      </c>
      <c r="B15" s="4" t="n">
        <v>2</v>
      </c>
      <c r="C15" s="4" t="n">
        <v>0.25</v>
      </c>
    </row>
    <row r="16">
      <c r="A16" s="2" t="inlineStr">
        <is>
          <t>Base</t>
        </is>
      </c>
      <c r="B16" s="4" t="n">
        <v>2.25</v>
      </c>
      <c r="C16" s="4" t="n">
        <v>0.5</v>
      </c>
    </row>
    <row r="17">
      <c r="A17" s="2" t="inlineStr">
        <is>
          <t>Bull</t>
        </is>
      </c>
      <c r="B17" s="4" t="n">
        <v>2.5</v>
      </c>
      <c r="C17" s="4" t="n">
        <v>0.25</v>
      </c>
    </row>
    <row r="18">
      <c r="A18" s="2" t="inlineStr">
        <is>
          <t>Weights sum (must be 1.0)</t>
        </is>
      </c>
      <c r="C18" s="5">
        <f>SUM(C15:C17)</f>
        <v/>
      </c>
    </row>
    <row r="20">
      <c r="A20" s="1" t="inlineStr">
        <is>
          <t>SCENARIO NARRATIVES</t>
        </is>
      </c>
    </row>
    <row r="21" ht="44" customHeight="1">
      <c r="A21" s="6" t="inlineStr">
        <is>
          <t>BEAR: Stella Passage consent blocked again (fresh judicial review or iwi negotiation impasse) - project shelved for the decade; soft NZ export-commodity cycle (weak China log demand) and alliance restructuring trim call frequency; margin stalls ~49%; maintenance-only capex means near-term FCF exceeds base but there is no capacity growth. Terminal g 2.0%.</t>
        </is>
      </c>
    </row>
    <row r="22" ht="44" customHeight="1">
      <c r="A22" s="6" t="inlineStr">
        <is>
          <t>BASE: consent granted during FY2027 (re-lodged Jan-2026 under the amended Fast-track Act); berth + cranes built FY2027-31, capex peaking ~NZ$140m/yr and suppressing mid-decade FCF; revenue +8% FY2026 (guidance-anchored) decelerating to 2.5%; core margin 49.2% -&gt; 52% on productivity, MetroPort repricing and tariffs. Terminal g 2.25% (NZ long-run nominal GDP).</t>
        </is>
      </c>
    </row>
    <row r="23" ht="44" customHeight="1">
      <c r="A23" s="6" t="inlineStr">
        <is>
          <t>BULL: consent clears early; volumes pass the FY2022 peak (1.24m TEU) as bigger ships consolidate at the only NZ port able to berth them; Ruakura/Rolleston scale; margin to 53.5%; faster, larger build. Terminal g 2.5%.</t>
        </is>
      </c>
    </row>
  </sheetData>
  <mergeCells count="3">
    <mergeCell ref="A23:H23"/>
    <mergeCell ref="A21:H21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2" t="inlineStr">
        <is>
          <t>DCF Bear - core port operations (EAI share excluded from flows; investee stakes added in the bridge). Only rows 5,7,9,14,17 are drivers.</t>
        </is>
      </c>
    </row>
    <row r="3">
      <c r="A3" t="inlineStr">
        <is>
          <t>Year</t>
        </is>
      </c>
      <c r="B3" s="1" t="inlineStr">
        <is>
          <t>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t="inlineStr">
        <is>
          <t>Index (discount exponent)</t>
        </is>
      </c>
      <c r="B4" s="5" t="n">
        <v>0</v>
      </c>
      <c r="C4" s="5" t="n">
        <v>1</v>
      </c>
      <c r="D4" s="5" t="n">
        <v>2</v>
      </c>
      <c r="E4" s="5" t="n">
        <v>3</v>
      </c>
      <c r="F4" s="5" t="n">
        <v>4</v>
      </c>
      <c r="G4" s="5" t="n">
        <v>5</v>
      </c>
      <c r="H4" s="5" t="n">
        <v>6</v>
      </c>
      <c r="I4" s="5" t="n">
        <v>7</v>
      </c>
      <c r="J4" s="5" t="n">
        <v>8</v>
      </c>
      <c r="K4" s="5" t="n">
        <v>9</v>
      </c>
      <c r="L4" s="5" t="n">
        <v>10</v>
      </c>
    </row>
    <row r="5">
      <c r="A5" s="2" t="inlineStr">
        <is>
          <t>Revenue growth YoY % [DRIVER]</t>
        </is>
      </c>
      <c r="C5" s="4" t="n">
        <v>6.5</v>
      </c>
      <c r="D5" s="4" t="n">
        <v>3</v>
      </c>
      <c r="E5" s="4" t="n">
        <v>2.5</v>
      </c>
      <c r="F5" s="4" t="n">
        <v>2.5</v>
      </c>
      <c r="G5" s="4" t="n">
        <v>2.5</v>
      </c>
      <c r="H5" s="4" t="n">
        <v>2.5</v>
      </c>
      <c r="I5" s="4" t="n">
        <v>2.5</v>
      </c>
      <c r="J5" s="4" t="n">
        <v>2</v>
      </c>
      <c r="K5" s="4" t="n">
        <v>2</v>
      </c>
      <c r="L5" s="4" t="n">
        <v>2</v>
      </c>
    </row>
    <row r="6">
      <c r="A6" s="2" t="inlineStr">
        <is>
          <t>Revenue</t>
        </is>
      </c>
      <c r="B6" s="3" t="n">
        <v>464.675</v>
      </c>
      <c r="C6" s="5">
        <f>B6*(1+C5/100)</f>
        <v/>
      </c>
      <c r="D6" s="5">
        <f>C6*(1+D5/100)</f>
        <v/>
      </c>
      <c r="E6" s="5">
        <f>D6*(1+E5/100)</f>
        <v/>
      </c>
      <c r="F6" s="5">
        <f>E6*(1+F5/100)</f>
        <v/>
      </c>
      <c r="G6" s="5">
        <f>F6*(1+G5/100)</f>
        <v/>
      </c>
      <c r="H6" s="5">
        <f>G6*(1+H5/100)</f>
        <v/>
      </c>
      <c r="I6" s="5">
        <f>H6*(1+I5/100)</f>
        <v/>
      </c>
      <c r="J6" s="5">
        <f>I6*(1+J5/100)</f>
        <v/>
      </c>
      <c r="K6" s="5">
        <f>J6*(1+K5/100)</f>
        <v/>
      </c>
      <c r="L6" s="5">
        <f>K6*(1+L5/100)</f>
        <v/>
      </c>
    </row>
    <row r="7">
      <c r="A7" s="2" t="inlineStr">
        <is>
          <t>Core EBITDA margin % [DRIVER]</t>
        </is>
      </c>
      <c r="B7" s="3" t="n">
        <v>49.15</v>
      </c>
      <c r="C7" s="4" t="n">
        <v>49.8</v>
      </c>
      <c r="D7" s="4" t="n">
        <v>49.5</v>
      </c>
      <c r="E7" s="4" t="n">
        <v>49.3</v>
      </c>
      <c r="F7" s="4" t="n">
        <v>49.2</v>
      </c>
      <c r="G7" s="4" t="n">
        <v>49</v>
      </c>
      <c r="H7" s="4" t="n">
        <v>49</v>
      </c>
      <c r="I7" s="4" t="n">
        <v>49</v>
      </c>
      <c r="J7" s="4" t="n">
        <v>49</v>
      </c>
      <c r="K7" s="4" t="n">
        <v>49</v>
      </c>
      <c r="L7" s="4" t="n">
        <v>49</v>
      </c>
    </row>
    <row r="8">
      <c r="A8" s="2" t="inlineStr">
        <is>
          <t>Core EBITDA (excl EAI)</t>
        </is>
      </c>
      <c r="B8" s="5">
        <f>B6*B7/100</f>
        <v/>
      </c>
      <c r="C8" s="5">
        <f>C6*C7/100</f>
        <v/>
      </c>
      <c r="D8" s="5">
        <f>D6*D7/100</f>
        <v/>
      </c>
      <c r="E8" s="5">
        <f>E6*E7/100</f>
        <v/>
      </c>
      <c r="F8" s="5">
        <f>F6*F7/100</f>
        <v/>
      </c>
      <c r="G8" s="5">
        <f>G6*G7/100</f>
        <v/>
      </c>
      <c r="H8" s="5">
        <f>H6*H7/100</f>
        <v/>
      </c>
      <c r="I8" s="5">
        <f>I6*I7/100</f>
        <v/>
      </c>
      <c r="J8" s="5">
        <f>J6*J7/100</f>
        <v/>
      </c>
      <c r="K8" s="5">
        <f>K6*K7/100</f>
        <v/>
      </c>
      <c r="L8" s="5">
        <f>L6*L7/100</f>
        <v/>
      </c>
    </row>
    <row r="9">
      <c r="A9" s="2" t="inlineStr">
        <is>
          <t>SBC % of revenue [DRIVER - zero, NZX]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SBC $</t>
        </is>
      </c>
      <c r="C10" s="5">
        <f>-C6*C9/100</f>
        <v/>
      </c>
      <c r="D10" s="5">
        <f>-D6*D9/100</f>
        <v/>
      </c>
      <c r="E10" s="5">
        <f>-E6*E9/100</f>
        <v/>
      </c>
      <c r="F10" s="5">
        <f>-F6*F9/100</f>
        <v/>
      </c>
      <c r="G10" s="5">
        <f>-G6*G9/100</f>
        <v/>
      </c>
      <c r="H10" s="5">
        <f>-H6*H9/100</f>
        <v/>
      </c>
      <c r="I10" s="5">
        <f>-I6*I9/100</f>
        <v/>
      </c>
      <c r="J10" s="5">
        <f>-J6*J9/100</f>
        <v/>
      </c>
      <c r="K10" s="5">
        <f>-K6*K9/100</f>
        <v/>
      </c>
      <c r="L10" s="5">
        <f>-L6*L9/100</f>
        <v/>
      </c>
    </row>
    <row r="11">
      <c r="A11" s="2" t="inlineStr">
        <is>
          <t>Owner EBITDA</t>
        </is>
      </c>
      <c r="C11" s="5">
        <f>C8+C10</f>
        <v/>
      </c>
      <c r="D11" s="5">
        <f>D8+D10</f>
        <v/>
      </c>
      <c r="E11" s="5">
        <f>E8+E10</f>
        <v/>
      </c>
      <c r="F11" s="5">
        <f>F8+F10</f>
        <v/>
      </c>
      <c r="G11" s="5">
        <f>G8+G10</f>
        <v/>
      </c>
      <c r="H11" s="5">
        <f>H8+H10</f>
        <v/>
      </c>
      <c r="I11" s="5">
        <f>I8+I10</f>
        <v/>
      </c>
      <c r="J11" s="5">
        <f>J8+J10</f>
        <v/>
      </c>
      <c r="K11" s="5">
        <f>K8+K10</f>
        <v/>
      </c>
      <c r="L11" s="5">
        <f>L8+L10</f>
        <v/>
      </c>
    </row>
    <row r="12">
      <c r="A12" s="2" t="inlineStr">
        <is>
          <t>D&amp;A</t>
        </is>
      </c>
      <c r="C12" s="7">
        <f>-C6*Assumptions!$B$4/100</f>
        <v/>
      </c>
      <c r="D12" s="7">
        <f>-D6*Assumptions!$B$4/100</f>
        <v/>
      </c>
      <c r="E12" s="7">
        <f>-E6*Assumptions!$B$4/100</f>
        <v/>
      </c>
      <c r="F12" s="7">
        <f>-F6*Assumptions!$B$4/100</f>
        <v/>
      </c>
      <c r="G12" s="7">
        <f>-G6*Assumptions!$B$4/100</f>
        <v/>
      </c>
      <c r="H12" s="7">
        <f>-H6*Assumptions!$B$4/100</f>
        <v/>
      </c>
      <c r="I12" s="7">
        <f>-I6*Assumptions!$B$4/100</f>
        <v/>
      </c>
      <c r="J12" s="7">
        <f>-J6*Assumptions!$B$4/100</f>
        <v/>
      </c>
      <c r="K12" s="7">
        <f>-K6*Assumptions!$B$4/100</f>
        <v/>
      </c>
      <c r="L12" s="7">
        <f>-L6*Assumptions!$B$4/100</f>
        <v/>
      </c>
    </row>
    <row r="13">
      <c r="A13" s="2" t="inlineStr">
        <is>
          <t>EBIT</t>
        </is>
      </c>
      <c r="C13" s="5">
        <f>C11+C12</f>
        <v/>
      </c>
      <c r="D13" s="5">
        <f>D11+D12</f>
        <v/>
      </c>
      <c r="E13" s="5">
        <f>E11+E12</f>
        <v/>
      </c>
      <c r="F13" s="5">
        <f>F11+F12</f>
        <v/>
      </c>
      <c r="G13" s="5">
        <f>G11+G12</f>
        <v/>
      </c>
      <c r="H13" s="5">
        <f>H11+H12</f>
        <v/>
      </c>
      <c r="I13" s="5">
        <f>I11+I12</f>
        <v/>
      </c>
      <c r="J13" s="5">
        <f>J11+J12</f>
        <v/>
      </c>
      <c r="K13" s="5">
        <f>K11+K12</f>
        <v/>
      </c>
      <c r="L13" s="5">
        <f>L11+L12</f>
        <v/>
      </c>
    </row>
    <row r="14">
      <c r="A14" s="2" t="inlineStr">
        <is>
          <t>Cash tax rate % [DRIVER]</t>
        </is>
      </c>
      <c r="C14" s="4" t="n">
        <v>28</v>
      </c>
      <c r="D14" s="4" t="n">
        <v>28</v>
      </c>
      <c r="E14" s="4" t="n">
        <v>28</v>
      </c>
      <c r="F14" s="4" t="n">
        <v>28</v>
      </c>
      <c r="G14" s="4" t="n">
        <v>28</v>
      </c>
      <c r="H14" s="4" t="n">
        <v>28</v>
      </c>
      <c r="I14" s="4" t="n">
        <v>28</v>
      </c>
      <c r="J14" s="4" t="n">
        <v>28</v>
      </c>
      <c r="K14" s="4" t="n">
        <v>28</v>
      </c>
      <c r="L14" s="4" t="n">
        <v>28</v>
      </c>
    </row>
    <row r="15">
      <c r="A15" s="2" t="inlineStr">
        <is>
          <t>NOPAT</t>
        </is>
      </c>
      <c r="C15" s="5">
        <f>C13*(1-C14/100)</f>
        <v/>
      </c>
      <c r="D15" s="5">
        <f>D13*(1-D14/100)</f>
        <v/>
      </c>
      <c r="E15" s="5">
        <f>E13*(1-E14/100)</f>
        <v/>
      </c>
      <c r="F15" s="5">
        <f>F13*(1-F14/100)</f>
        <v/>
      </c>
      <c r="G15" s="5">
        <f>G13*(1-G14/100)</f>
        <v/>
      </c>
      <c r="H15" s="5">
        <f>H13*(1-H14/100)</f>
        <v/>
      </c>
      <c r="I15" s="5">
        <f>I13*(1-I14/100)</f>
        <v/>
      </c>
      <c r="J15" s="5">
        <f>J13*(1-J14/100)</f>
        <v/>
      </c>
      <c r="K15" s="5">
        <f>K13*(1-K14/100)</f>
        <v/>
      </c>
      <c r="L15" s="5">
        <f>L13*(1-L14/100)</f>
        <v/>
      </c>
    </row>
    <row r="16">
      <c r="A16" s="2" t="inlineStr">
        <is>
          <t>add back D&amp;A</t>
        </is>
      </c>
      <c r="C16" s="5">
        <f>-C12</f>
        <v/>
      </c>
      <c r="D16" s="5">
        <f>-D12</f>
        <v/>
      </c>
      <c r="E16" s="5">
        <f>-E12</f>
        <v/>
      </c>
      <c r="F16" s="5">
        <f>-F12</f>
        <v/>
      </c>
      <c r="G16" s="5">
        <f>-G12</f>
        <v/>
      </c>
      <c r="H16" s="5">
        <f>-H12</f>
        <v/>
      </c>
      <c r="I16" s="5">
        <f>-I12</f>
        <v/>
      </c>
      <c r="J16" s="5">
        <f>-J12</f>
        <v/>
      </c>
      <c r="K16" s="5">
        <f>-K12</f>
        <v/>
      </c>
      <c r="L16" s="5">
        <f>-L12</f>
        <v/>
      </c>
    </row>
    <row r="17">
      <c r="A17" s="2" t="inlineStr">
        <is>
          <t>Capex % of revenue [DRIVER, per-year taper]</t>
        </is>
      </c>
      <c r="C17" s="4" t="n">
        <v>10.1</v>
      </c>
      <c r="D17" s="4" t="n">
        <v>10.8</v>
      </c>
      <c r="E17" s="4" t="n">
        <v>9.6</v>
      </c>
      <c r="F17" s="4" t="n">
        <v>9.300000000000001</v>
      </c>
      <c r="G17" s="4" t="n">
        <v>9.1</v>
      </c>
      <c r="H17" s="4" t="n">
        <v>9.199999999999999</v>
      </c>
      <c r="I17" s="4" t="n">
        <v>9.199999999999999</v>
      </c>
      <c r="J17" s="4" t="n">
        <v>9.199999999999999</v>
      </c>
      <c r="K17" s="4" t="n">
        <v>9.199999999999999</v>
      </c>
      <c r="L17" s="4" t="n">
        <v>9.199999999999999</v>
      </c>
    </row>
    <row r="18">
      <c r="A18" s="2" t="inlineStr">
        <is>
          <t>Capex $</t>
        </is>
      </c>
      <c r="C18" s="5">
        <f>-C6*C17/100</f>
        <v/>
      </c>
      <c r="D18" s="5">
        <f>-D6*D17/100</f>
        <v/>
      </c>
      <c r="E18" s="5">
        <f>-E6*E17/100</f>
        <v/>
      </c>
      <c r="F18" s="5">
        <f>-F6*F17/100</f>
        <v/>
      </c>
      <c r="G18" s="5">
        <f>-G6*G17/100</f>
        <v/>
      </c>
      <c r="H18" s="5">
        <f>-H6*H17/100</f>
        <v/>
      </c>
      <c r="I18" s="5">
        <f>-I6*I17/100</f>
        <v/>
      </c>
      <c r="J18" s="5">
        <f>-J6*J17/100</f>
        <v/>
      </c>
      <c r="K18" s="5">
        <f>-K6*K17/100</f>
        <v/>
      </c>
      <c r="L18" s="5">
        <f>-L6*L17/100</f>
        <v/>
      </c>
    </row>
    <row r="19">
      <c r="A19" s="2" t="inlineStr">
        <is>
          <t>Working capital (on revenue CHANGE)</t>
        </is>
      </c>
      <c r="C19" s="7">
        <f>Assumptions!$B$5/100*(C6-B6)</f>
        <v/>
      </c>
      <c r="D19" s="7">
        <f>Assumptions!$B$5/100*(D6-C6)</f>
        <v/>
      </c>
      <c r="E19" s="7">
        <f>Assumptions!$B$5/100*(E6-D6)</f>
        <v/>
      </c>
      <c r="F19" s="7">
        <f>Assumptions!$B$5/100*(F6-E6)</f>
        <v/>
      </c>
      <c r="G19" s="7">
        <f>Assumptions!$B$5/100*(G6-F6)</f>
        <v/>
      </c>
      <c r="H19" s="7">
        <f>Assumptions!$B$5/100*(H6-G6)</f>
        <v/>
      </c>
      <c r="I19" s="7">
        <f>Assumptions!$B$5/100*(I6-H6)</f>
        <v/>
      </c>
      <c r="J19" s="7">
        <f>Assumptions!$B$5/100*(J6-I6)</f>
        <v/>
      </c>
      <c r="K19" s="7">
        <f>Assumptions!$B$5/100*(K6-J6)</f>
        <v/>
      </c>
      <c r="L19" s="7">
        <f>Assumptions!$B$5/100*(L6-K6)</f>
        <v/>
      </c>
    </row>
    <row r="20">
      <c r="A20" s="2" t="inlineStr">
        <is>
          <t>UNLEVERED OWNER FCF</t>
        </is>
      </c>
      <c r="C20" s="5">
        <f>C15+C16+C18+C19</f>
        <v/>
      </c>
      <c r="D20" s="5">
        <f>D15+D16+D18+D19</f>
        <v/>
      </c>
      <c r="E20" s="5">
        <f>E15+E16+E18+E19</f>
        <v/>
      </c>
      <c r="F20" s="5">
        <f>F15+F16+F18+F19</f>
        <v/>
      </c>
      <c r="G20" s="5">
        <f>G15+G16+G18+G19</f>
        <v/>
      </c>
      <c r="H20" s="5">
        <f>H15+H16+H18+H19</f>
        <v/>
      </c>
      <c r="I20" s="5">
        <f>I15+I16+I18+I19</f>
        <v/>
      </c>
      <c r="J20" s="5">
        <f>J15+J16+J18+J19</f>
        <v/>
      </c>
      <c r="K20" s="5">
        <f>K15+K16+K18+K19</f>
        <v/>
      </c>
      <c r="L20" s="5">
        <f>L15+L16+L18+L19</f>
        <v/>
      </c>
    </row>
    <row r="21">
      <c r="A21" s="2" t="inlineStr">
        <is>
          <t>Discount factor</t>
        </is>
      </c>
      <c r="C21" s="7">
        <f>1/(1+Assumptions!$B$3/100)^C4</f>
        <v/>
      </c>
      <c r="D21" s="7">
        <f>1/(1+Assumptions!$B$3/100)^D4</f>
        <v/>
      </c>
      <c r="E21" s="7">
        <f>1/(1+Assumptions!$B$3/100)^E4</f>
        <v/>
      </c>
      <c r="F21" s="7">
        <f>1/(1+Assumptions!$B$3/100)^F4</f>
        <v/>
      </c>
      <c r="G21" s="7">
        <f>1/(1+Assumptions!$B$3/100)^G4</f>
        <v/>
      </c>
      <c r="H21" s="7">
        <f>1/(1+Assumptions!$B$3/100)^H4</f>
        <v/>
      </c>
      <c r="I21" s="7">
        <f>1/(1+Assumptions!$B$3/100)^I4</f>
        <v/>
      </c>
      <c r="J21" s="7">
        <f>1/(1+Assumptions!$B$3/100)^J4</f>
        <v/>
      </c>
      <c r="K21" s="7">
        <f>1/(1+Assumptions!$B$3/100)^K4</f>
        <v/>
      </c>
      <c r="L21" s="7">
        <f>1/(1+Assumptions!$B$3/100)^L4</f>
        <v/>
      </c>
    </row>
    <row r="22">
      <c r="A22" s="2" t="inlineStr">
        <is>
          <t>PV of FCF</t>
        </is>
      </c>
      <c r="C22" s="5">
        <f>C20*C21</f>
        <v/>
      </c>
      <c r="D22" s="5">
        <f>D20*D21</f>
        <v/>
      </c>
      <c r="E22" s="5">
        <f>E20*E21</f>
        <v/>
      </c>
      <c r="F22" s="5">
        <f>F20*F21</f>
        <v/>
      </c>
      <c r="G22" s="5">
        <f>G20*G21</f>
        <v/>
      </c>
      <c r="H22" s="5">
        <f>H20*H21</f>
        <v/>
      </c>
      <c r="I22" s="5">
        <f>I20*I21</f>
        <v/>
      </c>
      <c r="J22" s="5">
        <f>J20*J21</f>
        <v/>
      </c>
      <c r="K22" s="5">
        <f>K20*K21</f>
        <v/>
      </c>
      <c r="L22" s="5">
        <f>L20*L21</f>
        <v/>
      </c>
    </row>
    <row r="24">
      <c r="A24" s="2" t="inlineStr">
        <is>
          <t>Memo: FCF before SBC (company-style)</t>
        </is>
      </c>
      <c r="B24" t="inlineStr">
        <is>
          <t>Memo FY0 owner FCF ~131.5 (mid-cycle capex 45)</t>
        </is>
      </c>
      <c r="C24" s="5">
        <f>C20-C10</f>
        <v/>
      </c>
      <c r="D24" s="5">
        <f>D20-D10</f>
        <v/>
      </c>
      <c r="E24" s="5">
        <f>E20-E10</f>
        <v/>
      </c>
      <c r="F24" s="5">
        <f>F20-F10</f>
        <v/>
      </c>
      <c r="G24" s="5">
        <f>G20-G10</f>
        <v/>
      </c>
      <c r="H24" s="5">
        <f>H20-H10</f>
        <v/>
      </c>
      <c r="I24" s="5">
        <f>I20-I10</f>
        <v/>
      </c>
      <c r="J24" s="5">
        <f>J20-J10</f>
        <v/>
      </c>
      <c r="K24" s="5">
        <f>K20-K10</f>
        <v/>
      </c>
      <c r="L24" s="5">
        <f>L20-L10</f>
        <v/>
      </c>
    </row>
    <row r="25">
      <c r="A25" s="2" t="inlineStr">
        <is>
          <t>Memo: owner FCF margin</t>
        </is>
      </c>
      <c r="C25" s="5">
        <f>C20/C6</f>
        <v/>
      </c>
      <c r="D25" s="5">
        <f>D20/D6</f>
        <v/>
      </c>
      <c r="E25" s="5">
        <f>E20/E6</f>
        <v/>
      </c>
      <c r="F25" s="5">
        <f>F20/F6</f>
        <v/>
      </c>
      <c r="G25" s="5">
        <f>G20/G6</f>
        <v/>
      </c>
      <c r="H25" s="5">
        <f>H20/H6</f>
        <v/>
      </c>
      <c r="I25" s="5">
        <f>I20/I6</f>
        <v/>
      </c>
      <c r="J25" s="5">
        <f>J20/J6</f>
        <v/>
      </c>
      <c r="K25" s="5">
        <f>K20/K6</f>
        <v/>
      </c>
      <c r="L25" s="5">
        <f>L20/L6</f>
        <v/>
      </c>
    </row>
    <row r="27">
      <c r="A27" s="2" t="inlineStr">
        <is>
          <t>Sum PV of FCF</t>
        </is>
      </c>
      <c r="B27" s="5">
        <f>SUM(C22:L22)</f>
        <v/>
      </c>
    </row>
    <row r="28">
      <c r="A28" s="2" t="inlineStr">
        <is>
          <t>Terminal growth %</t>
        </is>
      </c>
      <c r="B28" s="7">
        <f>Assumptions!$B$15</f>
        <v/>
      </c>
    </row>
    <row r="29">
      <c r="A29" s="2" t="inlineStr">
        <is>
          <t>Terminal FCF</t>
        </is>
      </c>
      <c r="B29" s="5">
        <f>L20*(1+B28/100)</f>
        <v/>
      </c>
    </row>
    <row r="30">
      <c r="A30" s="2" t="inlineStr">
        <is>
          <t>Gordon TV</t>
        </is>
      </c>
      <c r="B30" s="5">
        <f>B29/(Assumptions!$B$3/100-B28/100)</f>
        <v/>
      </c>
    </row>
    <row r="31">
      <c r="A31" s="2" t="inlineStr">
        <is>
          <t>Cap TV (20x FCF)</t>
        </is>
      </c>
      <c r="B31" s="7">
        <f>Assumptions!$B$11*L20</f>
        <v/>
      </c>
    </row>
    <row r="32">
      <c r="A32" s="2" t="inlineStr">
        <is>
          <t>TV used = MAX(0,MIN(Gordon,Cap))</t>
        </is>
      </c>
      <c r="B32" s="5">
        <f>MAX(0,MIN(B30,B31))</f>
        <v/>
      </c>
    </row>
    <row r="33">
      <c r="A33" s="2" t="inlineStr">
        <is>
          <t>Implied exit multiple (x FCF)</t>
        </is>
      </c>
      <c r="B33" s="5">
        <f>B32/L20</f>
        <v/>
      </c>
    </row>
    <row r="34">
      <c r="A34" s="2" t="inlineStr">
        <is>
          <t>Implied exit EV/EBITDA (x)</t>
        </is>
      </c>
      <c r="B34" s="5">
        <f>B32/L8</f>
        <v/>
      </c>
    </row>
    <row r="35">
      <c r="A35" s="2" t="inlineStr">
        <is>
          <t>PV of terminal value</t>
        </is>
      </c>
      <c r="B35" s="5">
        <f>B32*L21</f>
        <v/>
      </c>
    </row>
    <row r="36">
      <c r="A36" s="2" t="inlineStr">
        <is>
          <t>Enterprise value (core)</t>
        </is>
      </c>
      <c r="B36" s="5">
        <f>B27+B35</f>
        <v/>
      </c>
    </row>
    <row r="37">
      <c r="A37" s="2" t="inlineStr">
        <is>
          <t>add: EAI investments + advances</t>
        </is>
      </c>
      <c r="B37" s="7">
        <f>Assumptions!$B$8</f>
        <v/>
      </c>
    </row>
    <row r="38">
      <c r="A38" s="2" t="inlineStr">
        <is>
          <t>less: net debt incl leases</t>
        </is>
      </c>
      <c r="B38" s="7">
        <f>-Assumptions!$B$7</f>
        <v/>
      </c>
    </row>
    <row r="39">
      <c r="A39" s="2" t="inlineStr">
        <is>
          <t>EQUITY VALUE</t>
        </is>
      </c>
      <c r="B39" s="5">
        <f>B36+B37+B38</f>
        <v/>
      </c>
    </row>
    <row r="40">
      <c r="A40" s="2" t="inlineStr">
        <is>
          <t>Diluted shares (m)</t>
        </is>
      </c>
      <c r="B40" s="7">
        <f>Assumptions!$B$9</f>
        <v/>
      </c>
    </row>
    <row r="41">
      <c r="A41" s="2" t="inlineStr">
        <is>
          <t>VALUE PER SHARE (NZD)</t>
        </is>
      </c>
      <c r="B41" s="8">
        <f>B39/B40</f>
        <v/>
      </c>
    </row>
    <row r="42">
      <c r="A42" s="2" t="inlineStr">
        <is>
          <t>Upside vs price</t>
        </is>
      </c>
      <c r="B42" s="5">
        <f>B41/Assumptions!$B$10-1</f>
        <v/>
      </c>
    </row>
    <row r="44">
      <c r="A44" s="2" t="inlineStr">
        <is>
          <t>Street memo: PV explicit SBC</t>
        </is>
      </c>
      <c r="B44" s="5">
        <f>SUMPRODUCT(-C10:L10,C21:L21)</f>
        <v/>
      </c>
    </row>
    <row r="45">
      <c r="A45" s="2" t="inlineStr">
        <is>
          <t>Street memo: PV terminal SBC</t>
        </is>
      </c>
      <c r="B45" s="5">
        <f>(-L10*(1+B28/100)/(Assumptions!$B$3/100-B28/100))*L21</f>
        <v/>
      </c>
    </row>
    <row r="46">
      <c r="A46" s="2" t="inlineStr">
        <is>
          <t>Street value per share (= house: SBC zero)</t>
        </is>
      </c>
      <c r="B46" s="5">
        <f>(B39+B44+B45)/B40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2" t="inlineStr">
        <is>
          <t>DCF Base - core port operations (EAI share excluded from flows; investee stakes added in the bridge). Only rows 5,7,9,14,17 are drivers.</t>
        </is>
      </c>
    </row>
    <row r="3">
      <c r="A3" t="inlineStr">
        <is>
          <t>Year</t>
        </is>
      </c>
      <c r="B3" s="1" t="inlineStr">
        <is>
          <t>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t="inlineStr">
        <is>
          <t>Index (discount exponent)</t>
        </is>
      </c>
      <c r="B4" s="5" t="n">
        <v>0</v>
      </c>
      <c r="C4" s="5" t="n">
        <v>1</v>
      </c>
      <c r="D4" s="5" t="n">
        <v>2</v>
      </c>
      <c r="E4" s="5" t="n">
        <v>3</v>
      </c>
      <c r="F4" s="5" t="n">
        <v>4</v>
      </c>
      <c r="G4" s="5" t="n">
        <v>5</v>
      </c>
      <c r="H4" s="5" t="n">
        <v>6</v>
      </c>
      <c r="I4" s="5" t="n">
        <v>7</v>
      </c>
      <c r="J4" s="5" t="n">
        <v>8</v>
      </c>
      <c r="K4" s="5" t="n">
        <v>9</v>
      </c>
      <c r="L4" s="5" t="n">
        <v>10</v>
      </c>
    </row>
    <row r="5">
      <c r="A5" s="2" t="inlineStr">
        <is>
          <t>Revenue growth YoY % [DRIVER]</t>
        </is>
      </c>
      <c r="C5" s="4" t="n">
        <v>8</v>
      </c>
      <c r="D5" s="4" t="n">
        <v>5.5</v>
      </c>
      <c r="E5" s="4" t="n">
        <v>5</v>
      </c>
      <c r="F5" s="4" t="n">
        <v>4.5</v>
      </c>
      <c r="G5" s="4" t="n">
        <v>4.5</v>
      </c>
      <c r="H5" s="4" t="n">
        <v>4.5</v>
      </c>
      <c r="I5" s="4" t="n">
        <v>4</v>
      </c>
      <c r="J5" s="4" t="n">
        <v>3.5</v>
      </c>
      <c r="K5" s="4" t="n">
        <v>3</v>
      </c>
      <c r="L5" s="4" t="n">
        <v>2.5</v>
      </c>
    </row>
    <row r="6">
      <c r="A6" s="2" t="inlineStr">
        <is>
          <t>Revenue</t>
        </is>
      </c>
      <c r="B6" s="3" t="n">
        <v>464.675</v>
      </c>
      <c r="C6" s="5">
        <f>B6*(1+C5/100)</f>
        <v/>
      </c>
      <c r="D6" s="5">
        <f>C6*(1+D5/100)</f>
        <v/>
      </c>
      <c r="E6" s="5">
        <f>D6*(1+E5/100)</f>
        <v/>
      </c>
      <c r="F6" s="5">
        <f>E6*(1+F5/100)</f>
        <v/>
      </c>
      <c r="G6" s="5">
        <f>F6*(1+G5/100)</f>
        <v/>
      </c>
      <c r="H6" s="5">
        <f>G6*(1+H5/100)</f>
        <v/>
      </c>
      <c r="I6" s="5">
        <f>H6*(1+I5/100)</f>
        <v/>
      </c>
      <c r="J6" s="5">
        <f>I6*(1+J5/100)</f>
        <v/>
      </c>
      <c r="K6" s="5">
        <f>J6*(1+K5/100)</f>
        <v/>
      </c>
      <c r="L6" s="5">
        <f>K6*(1+L5/100)</f>
        <v/>
      </c>
    </row>
    <row r="7">
      <c r="A7" s="2" t="inlineStr">
        <is>
          <t>Core EBITDA margin % [DRIVER]</t>
        </is>
      </c>
      <c r="B7" s="3" t="n">
        <v>49.15</v>
      </c>
      <c r="C7" s="4" t="n">
        <v>50</v>
      </c>
      <c r="D7" s="4" t="n">
        <v>50.5</v>
      </c>
      <c r="E7" s="4" t="n">
        <v>50.8</v>
      </c>
      <c r="F7" s="4" t="n">
        <v>51.2</v>
      </c>
      <c r="G7" s="4" t="n">
        <v>51.5</v>
      </c>
      <c r="H7" s="4" t="n">
        <v>51.8</v>
      </c>
      <c r="I7" s="4" t="n">
        <v>52</v>
      </c>
      <c r="J7" s="4" t="n">
        <v>52</v>
      </c>
      <c r="K7" s="4" t="n">
        <v>52</v>
      </c>
      <c r="L7" s="4" t="n">
        <v>52</v>
      </c>
    </row>
    <row r="8">
      <c r="A8" s="2" t="inlineStr">
        <is>
          <t>Core EBITDA (excl EAI)</t>
        </is>
      </c>
      <c r="B8" s="5">
        <f>B6*B7/100</f>
        <v/>
      </c>
      <c r="C8" s="5">
        <f>C6*C7/100</f>
        <v/>
      </c>
      <c r="D8" s="5">
        <f>D6*D7/100</f>
        <v/>
      </c>
      <c r="E8" s="5">
        <f>E6*E7/100</f>
        <v/>
      </c>
      <c r="F8" s="5">
        <f>F6*F7/100</f>
        <v/>
      </c>
      <c r="G8" s="5">
        <f>G6*G7/100</f>
        <v/>
      </c>
      <c r="H8" s="5">
        <f>H6*H7/100</f>
        <v/>
      </c>
      <c r="I8" s="5">
        <f>I6*I7/100</f>
        <v/>
      </c>
      <c r="J8" s="5">
        <f>J6*J7/100</f>
        <v/>
      </c>
      <c r="K8" s="5">
        <f>K6*K7/100</f>
        <v/>
      </c>
      <c r="L8" s="5">
        <f>L6*L7/100</f>
        <v/>
      </c>
    </row>
    <row r="9">
      <c r="A9" s="2" t="inlineStr">
        <is>
          <t>SBC % of revenue [DRIVER - zero, NZX]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SBC $</t>
        </is>
      </c>
      <c r="C10" s="5">
        <f>-C6*C9/100</f>
        <v/>
      </c>
      <c r="D10" s="5">
        <f>-D6*D9/100</f>
        <v/>
      </c>
      <c r="E10" s="5">
        <f>-E6*E9/100</f>
        <v/>
      </c>
      <c r="F10" s="5">
        <f>-F6*F9/100</f>
        <v/>
      </c>
      <c r="G10" s="5">
        <f>-G6*G9/100</f>
        <v/>
      </c>
      <c r="H10" s="5">
        <f>-H6*H9/100</f>
        <v/>
      </c>
      <c r="I10" s="5">
        <f>-I6*I9/100</f>
        <v/>
      </c>
      <c r="J10" s="5">
        <f>-J6*J9/100</f>
        <v/>
      </c>
      <c r="K10" s="5">
        <f>-K6*K9/100</f>
        <v/>
      </c>
      <c r="L10" s="5">
        <f>-L6*L9/100</f>
        <v/>
      </c>
    </row>
    <row r="11">
      <c r="A11" s="2" t="inlineStr">
        <is>
          <t>Owner EBITDA</t>
        </is>
      </c>
      <c r="C11" s="5">
        <f>C8+C10</f>
        <v/>
      </c>
      <c r="D11" s="5">
        <f>D8+D10</f>
        <v/>
      </c>
      <c r="E11" s="5">
        <f>E8+E10</f>
        <v/>
      </c>
      <c r="F11" s="5">
        <f>F8+F10</f>
        <v/>
      </c>
      <c r="G11" s="5">
        <f>G8+G10</f>
        <v/>
      </c>
      <c r="H11" s="5">
        <f>H8+H10</f>
        <v/>
      </c>
      <c r="I11" s="5">
        <f>I8+I10</f>
        <v/>
      </c>
      <c r="J11" s="5">
        <f>J8+J10</f>
        <v/>
      </c>
      <c r="K11" s="5">
        <f>K8+K10</f>
        <v/>
      </c>
      <c r="L11" s="5">
        <f>L8+L10</f>
        <v/>
      </c>
    </row>
    <row r="12">
      <c r="A12" s="2" t="inlineStr">
        <is>
          <t>D&amp;A</t>
        </is>
      </c>
      <c r="C12" s="7">
        <f>-C6*Assumptions!$B$4/100</f>
        <v/>
      </c>
      <c r="D12" s="7">
        <f>-D6*Assumptions!$B$4/100</f>
        <v/>
      </c>
      <c r="E12" s="7">
        <f>-E6*Assumptions!$B$4/100</f>
        <v/>
      </c>
      <c r="F12" s="7">
        <f>-F6*Assumptions!$B$4/100</f>
        <v/>
      </c>
      <c r="G12" s="7">
        <f>-G6*Assumptions!$B$4/100</f>
        <v/>
      </c>
      <c r="H12" s="7">
        <f>-H6*Assumptions!$B$4/100</f>
        <v/>
      </c>
      <c r="I12" s="7">
        <f>-I6*Assumptions!$B$4/100</f>
        <v/>
      </c>
      <c r="J12" s="7">
        <f>-J6*Assumptions!$B$4/100</f>
        <v/>
      </c>
      <c r="K12" s="7">
        <f>-K6*Assumptions!$B$4/100</f>
        <v/>
      </c>
      <c r="L12" s="7">
        <f>-L6*Assumptions!$B$4/100</f>
        <v/>
      </c>
    </row>
    <row r="13">
      <c r="A13" s="2" t="inlineStr">
        <is>
          <t>EBIT</t>
        </is>
      </c>
      <c r="C13" s="5">
        <f>C11+C12</f>
        <v/>
      </c>
      <c r="D13" s="5">
        <f>D11+D12</f>
        <v/>
      </c>
      <c r="E13" s="5">
        <f>E11+E12</f>
        <v/>
      </c>
      <c r="F13" s="5">
        <f>F11+F12</f>
        <v/>
      </c>
      <c r="G13" s="5">
        <f>G11+G12</f>
        <v/>
      </c>
      <c r="H13" s="5">
        <f>H11+H12</f>
        <v/>
      </c>
      <c r="I13" s="5">
        <f>I11+I12</f>
        <v/>
      </c>
      <c r="J13" s="5">
        <f>J11+J12</f>
        <v/>
      </c>
      <c r="K13" s="5">
        <f>K11+K12</f>
        <v/>
      </c>
      <c r="L13" s="5">
        <f>L11+L12</f>
        <v/>
      </c>
    </row>
    <row r="14">
      <c r="A14" s="2" t="inlineStr">
        <is>
          <t>Cash tax rate % [DRIVER]</t>
        </is>
      </c>
      <c r="C14" s="4" t="n">
        <v>28</v>
      </c>
      <c r="D14" s="4" t="n">
        <v>28</v>
      </c>
      <c r="E14" s="4" t="n">
        <v>28</v>
      </c>
      <c r="F14" s="4" t="n">
        <v>28</v>
      </c>
      <c r="G14" s="4" t="n">
        <v>28</v>
      </c>
      <c r="H14" s="4" t="n">
        <v>28</v>
      </c>
      <c r="I14" s="4" t="n">
        <v>28</v>
      </c>
      <c r="J14" s="4" t="n">
        <v>28</v>
      </c>
      <c r="K14" s="4" t="n">
        <v>28</v>
      </c>
      <c r="L14" s="4" t="n">
        <v>28</v>
      </c>
    </row>
    <row r="15">
      <c r="A15" s="2" t="inlineStr">
        <is>
          <t>NOPAT</t>
        </is>
      </c>
      <c r="C15" s="5">
        <f>C13*(1-C14/100)</f>
        <v/>
      </c>
      <c r="D15" s="5">
        <f>D13*(1-D14/100)</f>
        <v/>
      </c>
      <c r="E15" s="5">
        <f>E13*(1-E14/100)</f>
        <v/>
      </c>
      <c r="F15" s="5">
        <f>F13*(1-F14/100)</f>
        <v/>
      </c>
      <c r="G15" s="5">
        <f>G13*(1-G14/100)</f>
        <v/>
      </c>
      <c r="H15" s="5">
        <f>H13*(1-H14/100)</f>
        <v/>
      </c>
      <c r="I15" s="5">
        <f>I13*(1-I14/100)</f>
        <v/>
      </c>
      <c r="J15" s="5">
        <f>J13*(1-J14/100)</f>
        <v/>
      </c>
      <c r="K15" s="5">
        <f>K13*(1-K14/100)</f>
        <v/>
      </c>
      <c r="L15" s="5">
        <f>L13*(1-L14/100)</f>
        <v/>
      </c>
    </row>
    <row r="16">
      <c r="A16" s="2" t="inlineStr">
        <is>
          <t>add back D&amp;A</t>
        </is>
      </c>
      <c r="C16" s="5">
        <f>-C12</f>
        <v/>
      </c>
      <c r="D16" s="5">
        <f>-D12</f>
        <v/>
      </c>
      <c r="E16" s="5">
        <f>-E12</f>
        <v/>
      </c>
      <c r="F16" s="5">
        <f>-F12</f>
        <v/>
      </c>
      <c r="G16" s="5">
        <f>-G12</f>
        <v/>
      </c>
      <c r="H16" s="5">
        <f>-H12</f>
        <v/>
      </c>
      <c r="I16" s="5">
        <f>-I12</f>
        <v/>
      </c>
      <c r="J16" s="5">
        <f>-J12</f>
        <v/>
      </c>
      <c r="K16" s="5">
        <f>-K12</f>
        <v/>
      </c>
      <c r="L16" s="5">
        <f>-L12</f>
        <v/>
      </c>
    </row>
    <row r="17">
      <c r="A17" s="2" t="inlineStr">
        <is>
          <t>Capex % of revenue [DRIVER, per-year taper]</t>
        </is>
      </c>
      <c r="C17" s="4" t="n">
        <v>10</v>
      </c>
      <c r="D17" s="4" t="n">
        <v>17</v>
      </c>
      <c r="E17" s="4" t="n">
        <v>25.2</v>
      </c>
      <c r="F17" s="4" t="n">
        <v>24.1</v>
      </c>
      <c r="G17" s="4" t="n">
        <v>16.5</v>
      </c>
      <c r="H17" s="4" t="n">
        <v>11</v>
      </c>
      <c r="I17" s="4" t="n">
        <v>8.5</v>
      </c>
      <c r="J17" s="4" t="n">
        <v>8.5</v>
      </c>
      <c r="K17" s="4" t="n">
        <v>8.5</v>
      </c>
      <c r="L17" s="4" t="n">
        <v>8.5</v>
      </c>
    </row>
    <row r="18">
      <c r="A18" s="2" t="inlineStr">
        <is>
          <t>Capex $</t>
        </is>
      </c>
      <c r="C18" s="5">
        <f>-C6*C17/100</f>
        <v/>
      </c>
      <c r="D18" s="5">
        <f>-D6*D17/100</f>
        <v/>
      </c>
      <c r="E18" s="5">
        <f>-E6*E17/100</f>
        <v/>
      </c>
      <c r="F18" s="5">
        <f>-F6*F17/100</f>
        <v/>
      </c>
      <c r="G18" s="5">
        <f>-G6*G17/100</f>
        <v/>
      </c>
      <c r="H18" s="5">
        <f>-H6*H17/100</f>
        <v/>
      </c>
      <c r="I18" s="5">
        <f>-I6*I17/100</f>
        <v/>
      </c>
      <c r="J18" s="5">
        <f>-J6*J17/100</f>
        <v/>
      </c>
      <c r="K18" s="5">
        <f>-K6*K17/100</f>
        <v/>
      </c>
      <c r="L18" s="5">
        <f>-L6*L17/100</f>
        <v/>
      </c>
    </row>
    <row r="19">
      <c r="A19" s="2" t="inlineStr">
        <is>
          <t>Working capital (on revenue CHANGE)</t>
        </is>
      </c>
      <c r="C19" s="7">
        <f>Assumptions!$B$5/100*(C6-B6)</f>
        <v/>
      </c>
      <c r="D19" s="7">
        <f>Assumptions!$B$5/100*(D6-C6)</f>
        <v/>
      </c>
      <c r="E19" s="7">
        <f>Assumptions!$B$5/100*(E6-D6)</f>
        <v/>
      </c>
      <c r="F19" s="7">
        <f>Assumptions!$B$5/100*(F6-E6)</f>
        <v/>
      </c>
      <c r="G19" s="7">
        <f>Assumptions!$B$5/100*(G6-F6)</f>
        <v/>
      </c>
      <c r="H19" s="7">
        <f>Assumptions!$B$5/100*(H6-G6)</f>
        <v/>
      </c>
      <c r="I19" s="7">
        <f>Assumptions!$B$5/100*(I6-H6)</f>
        <v/>
      </c>
      <c r="J19" s="7">
        <f>Assumptions!$B$5/100*(J6-I6)</f>
        <v/>
      </c>
      <c r="K19" s="7">
        <f>Assumptions!$B$5/100*(K6-J6)</f>
        <v/>
      </c>
      <c r="L19" s="7">
        <f>Assumptions!$B$5/100*(L6-K6)</f>
        <v/>
      </c>
    </row>
    <row r="20">
      <c r="A20" s="2" t="inlineStr">
        <is>
          <t>UNLEVERED OWNER FCF</t>
        </is>
      </c>
      <c r="C20" s="5">
        <f>C15+C16+C18+C19</f>
        <v/>
      </c>
      <c r="D20" s="5">
        <f>D15+D16+D18+D19</f>
        <v/>
      </c>
      <c r="E20" s="5">
        <f>E15+E16+E18+E19</f>
        <v/>
      </c>
      <c r="F20" s="5">
        <f>F15+F16+F18+F19</f>
        <v/>
      </c>
      <c r="G20" s="5">
        <f>G15+G16+G18+G19</f>
        <v/>
      </c>
      <c r="H20" s="5">
        <f>H15+H16+H18+H19</f>
        <v/>
      </c>
      <c r="I20" s="5">
        <f>I15+I16+I18+I19</f>
        <v/>
      </c>
      <c r="J20" s="5">
        <f>J15+J16+J18+J19</f>
        <v/>
      </c>
      <c r="K20" s="5">
        <f>K15+K16+K18+K19</f>
        <v/>
      </c>
      <c r="L20" s="5">
        <f>L15+L16+L18+L19</f>
        <v/>
      </c>
    </row>
    <row r="21">
      <c r="A21" s="2" t="inlineStr">
        <is>
          <t>Discount factor</t>
        </is>
      </c>
      <c r="C21" s="7">
        <f>1/(1+Assumptions!$B$3/100)^C4</f>
        <v/>
      </c>
      <c r="D21" s="7">
        <f>1/(1+Assumptions!$B$3/100)^D4</f>
        <v/>
      </c>
      <c r="E21" s="7">
        <f>1/(1+Assumptions!$B$3/100)^E4</f>
        <v/>
      </c>
      <c r="F21" s="7">
        <f>1/(1+Assumptions!$B$3/100)^F4</f>
        <v/>
      </c>
      <c r="G21" s="7">
        <f>1/(1+Assumptions!$B$3/100)^G4</f>
        <v/>
      </c>
      <c r="H21" s="7">
        <f>1/(1+Assumptions!$B$3/100)^H4</f>
        <v/>
      </c>
      <c r="I21" s="7">
        <f>1/(1+Assumptions!$B$3/100)^I4</f>
        <v/>
      </c>
      <c r="J21" s="7">
        <f>1/(1+Assumptions!$B$3/100)^J4</f>
        <v/>
      </c>
      <c r="K21" s="7">
        <f>1/(1+Assumptions!$B$3/100)^K4</f>
        <v/>
      </c>
      <c r="L21" s="7">
        <f>1/(1+Assumptions!$B$3/100)^L4</f>
        <v/>
      </c>
    </row>
    <row r="22">
      <c r="A22" s="2" t="inlineStr">
        <is>
          <t>PV of FCF</t>
        </is>
      </c>
      <c r="C22" s="5">
        <f>C20*C21</f>
        <v/>
      </c>
      <c r="D22" s="5">
        <f>D20*D21</f>
        <v/>
      </c>
      <c r="E22" s="5">
        <f>E20*E21</f>
        <v/>
      </c>
      <c r="F22" s="5">
        <f>F20*F21</f>
        <v/>
      </c>
      <c r="G22" s="5">
        <f>G20*G21</f>
        <v/>
      </c>
      <c r="H22" s="5">
        <f>H20*H21</f>
        <v/>
      </c>
      <c r="I22" s="5">
        <f>I20*I21</f>
        <v/>
      </c>
      <c r="J22" s="5">
        <f>J20*J21</f>
        <v/>
      </c>
      <c r="K22" s="5">
        <f>K20*K21</f>
        <v/>
      </c>
      <c r="L22" s="5">
        <f>L20*L21</f>
        <v/>
      </c>
    </row>
    <row r="24">
      <c r="A24" s="2" t="inlineStr">
        <is>
          <t>Memo: FCF before SBC (company-style)</t>
        </is>
      </c>
      <c r="B24" t="inlineStr">
        <is>
          <t>Memo FY0 owner FCF ~131.5 (mid-cycle capex 45)</t>
        </is>
      </c>
      <c r="C24" s="5">
        <f>C20-C10</f>
        <v/>
      </c>
      <c r="D24" s="5">
        <f>D20-D10</f>
        <v/>
      </c>
      <c r="E24" s="5">
        <f>E20-E10</f>
        <v/>
      </c>
      <c r="F24" s="5">
        <f>F20-F10</f>
        <v/>
      </c>
      <c r="G24" s="5">
        <f>G20-G10</f>
        <v/>
      </c>
      <c r="H24" s="5">
        <f>H20-H10</f>
        <v/>
      </c>
      <c r="I24" s="5">
        <f>I20-I10</f>
        <v/>
      </c>
      <c r="J24" s="5">
        <f>J20-J10</f>
        <v/>
      </c>
      <c r="K24" s="5">
        <f>K20-K10</f>
        <v/>
      </c>
      <c r="L24" s="5">
        <f>L20-L10</f>
        <v/>
      </c>
    </row>
    <row r="25">
      <c r="A25" s="2" t="inlineStr">
        <is>
          <t>Memo: owner FCF margin</t>
        </is>
      </c>
      <c r="C25" s="5">
        <f>C20/C6</f>
        <v/>
      </c>
      <c r="D25" s="5">
        <f>D20/D6</f>
        <v/>
      </c>
      <c r="E25" s="5">
        <f>E20/E6</f>
        <v/>
      </c>
      <c r="F25" s="5">
        <f>F20/F6</f>
        <v/>
      </c>
      <c r="G25" s="5">
        <f>G20/G6</f>
        <v/>
      </c>
      <c r="H25" s="5">
        <f>H20/H6</f>
        <v/>
      </c>
      <c r="I25" s="5">
        <f>I20/I6</f>
        <v/>
      </c>
      <c r="J25" s="5">
        <f>J20/J6</f>
        <v/>
      </c>
      <c r="K25" s="5">
        <f>K20/K6</f>
        <v/>
      </c>
      <c r="L25" s="5">
        <f>L20/L6</f>
        <v/>
      </c>
    </row>
    <row r="27">
      <c r="A27" s="2" t="inlineStr">
        <is>
          <t>Sum PV of FCF</t>
        </is>
      </c>
      <c r="B27" s="5">
        <f>SUM(C22:L22)</f>
        <v/>
      </c>
    </row>
    <row r="28">
      <c r="A28" s="2" t="inlineStr">
        <is>
          <t>Terminal growth %</t>
        </is>
      </c>
      <c r="B28" s="7">
        <f>Assumptions!$B$16</f>
        <v/>
      </c>
    </row>
    <row r="29">
      <c r="A29" s="2" t="inlineStr">
        <is>
          <t>Terminal FCF</t>
        </is>
      </c>
      <c r="B29" s="5">
        <f>L20*(1+B28/100)</f>
        <v/>
      </c>
    </row>
    <row r="30">
      <c r="A30" s="2" t="inlineStr">
        <is>
          <t>Gordon TV</t>
        </is>
      </c>
      <c r="B30" s="5">
        <f>B29/(Assumptions!$B$3/100-B28/100)</f>
        <v/>
      </c>
    </row>
    <row r="31">
      <c r="A31" s="2" t="inlineStr">
        <is>
          <t>Cap TV (20x FCF)</t>
        </is>
      </c>
      <c r="B31" s="7">
        <f>Assumptions!$B$11*L20</f>
        <v/>
      </c>
    </row>
    <row r="32">
      <c r="A32" s="2" t="inlineStr">
        <is>
          <t>TV used = MAX(0,MIN(Gordon,Cap))</t>
        </is>
      </c>
      <c r="B32" s="5">
        <f>MAX(0,MIN(B30,B31))</f>
        <v/>
      </c>
    </row>
    <row r="33">
      <c r="A33" s="2" t="inlineStr">
        <is>
          <t>Implied exit multiple (x FCF)</t>
        </is>
      </c>
      <c r="B33" s="5">
        <f>B32/L20</f>
        <v/>
      </c>
    </row>
    <row r="34">
      <c r="A34" s="2" t="inlineStr">
        <is>
          <t>Implied exit EV/EBITDA (x)</t>
        </is>
      </c>
      <c r="B34" s="5">
        <f>B32/L8</f>
        <v/>
      </c>
    </row>
    <row r="35">
      <c r="A35" s="2" t="inlineStr">
        <is>
          <t>PV of terminal value</t>
        </is>
      </c>
      <c r="B35" s="5">
        <f>B32*L21</f>
        <v/>
      </c>
    </row>
    <row r="36">
      <c r="A36" s="2" t="inlineStr">
        <is>
          <t>Enterprise value (core)</t>
        </is>
      </c>
      <c r="B36" s="5">
        <f>B27+B35</f>
        <v/>
      </c>
    </row>
    <row r="37">
      <c r="A37" s="2" t="inlineStr">
        <is>
          <t>add: EAI investments + advances</t>
        </is>
      </c>
      <c r="B37" s="7">
        <f>Assumptions!$B$8</f>
        <v/>
      </c>
    </row>
    <row r="38">
      <c r="A38" s="2" t="inlineStr">
        <is>
          <t>less: net debt incl leases</t>
        </is>
      </c>
      <c r="B38" s="7">
        <f>-Assumptions!$B$7</f>
        <v/>
      </c>
    </row>
    <row r="39">
      <c r="A39" s="2" t="inlineStr">
        <is>
          <t>EQUITY VALUE</t>
        </is>
      </c>
      <c r="B39" s="5">
        <f>B36+B37+B38</f>
        <v/>
      </c>
    </row>
    <row r="40">
      <c r="A40" s="2" t="inlineStr">
        <is>
          <t>Diluted shares (m)</t>
        </is>
      </c>
      <c r="B40" s="7">
        <f>Assumptions!$B$9</f>
        <v/>
      </c>
    </row>
    <row r="41">
      <c r="A41" s="2" t="inlineStr">
        <is>
          <t>VALUE PER SHARE (NZD)</t>
        </is>
      </c>
      <c r="B41" s="8">
        <f>B39/B40</f>
        <v/>
      </c>
    </row>
    <row r="42">
      <c r="A42" s="2" t="inlineStr">
        <is>
          <t>Upside vs price</t>
        </is>
      </c>
      <c r="B42" s="5">
        <f>B41/Assumptions!$B$10-1</f>
        <v/>
      </c>
    </row>
    <row r="44">
      <c r="A44" s="2" t="inlineStr">
        <is>
          <t>Street memo: PV explicit SBC</t>
        </is>
      </c>
      <c r="B44" s="5">
        <f>SUMPRODUCT(-C10:L10,C21:L21)</f>
        <v/>
      </c>
    </row>
    <row r="45">
      <c r="A45" s="2" t="inlineStr">
        <is>
          <t>Street memo: PV terminal SBC</t>
        </is>
      </c>
      <c r="B45" s="5">
        <f>(-L10*(1+B28/100)/(Assumptions!$B$3/100-B28/100))*L21</f>
        <v/>
      </c>
    </row>
    <row r="46">
      <c r="A46" s="2" t="inlineStr">
        <is>
          <t>Street value per share (= house: SBC zero)</t>
        </is>
      </c>
      <c r="B46" s="5">
        <f>(B39+B44+B45)/B40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2" t="inlineStr">
        <is>
          <t>DCF Bull - core port operations (EAI share excluded from flows; investee stakes added in the bridge). Only rows 5,7,9,14,17 are drivers.</t>
        </is>
      </c>
    </row>
    <row r="3">
      <c r="A3" t="inlineStr">
        <is>
          <t>Year</t>
        </is>
      </c>
      <c r="B3" s="1" t="inlineStr">
        <is>
          <t>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t="inlineStr">
        <is>
          <t>Index (discount exponent)</t>
        </is>
      </c>
      <c r="B4" s="5" t="n">
        <v>0</v>
      </c>
      <c r="C4" s="5" t="n">
        <v>1</v>
      </c>
      <c r="D4" s="5" t="n">
        <v>2</v>
      </c>
      <c r="E4" s="5" t="n">
        <v>3</v>
      </c>
      <c r="F4" s="5" t="n">
        <v>4</v>
      </c>
      <c r="G4" s="5" t="n">
        <v>5</v>
      </c>
      <c r="H4" s="5" t="n">
        <v>6</v>
      </c>
      <c r="I4" s="5" t="n">
        <v>7</v>
      </c>
      <c r="J4" s="5" t="n">
        <v>8</v>
      </c>
      <c r="K4" s="5" t="n">
        <v>9</v>
      </c>
      <c r="L4" s="5" t="n">
        <v>10</v>
      </c>
    </row>
    <row r="5">
      <c r="A5" s="2" t="inlineStr">
        <is>
          <t>Revenue growth YoY % [DRIVER]</t>
        </is>
      </c>
      <c r="C5" s="4" t="n">
        <v>9</v>
      </c>
      <c r="D5" s="4" t="n">
        <v>7</v>
      </c>
      <c r="E5" s="4" t="n">
        <v>6.5</v>
      </c>
      <c r="F5" s="4" t="n">
        <v>6</v>
      </c>
      <c r="G5" s="4" t="n">
        <v>6</v>
      </c>
      <c r="H5" s="4" t="n">
        <v>5.5</v>
      </c>
      <c r="I5" s="4" t="n">
        <v>5</v>
      </c>
      <c r="J5" s="4" t="n">
        <v>4.5</v>
      </c>
      <c r="K5" s="4" t="n">
        <v>4</v>
      </c>
      <c r="L5" s="4" t="n">
        <v>3</v>
      </c>
    </row>
    <row r="6">
      <c r="A6" s="2" t="inlineStr">
        <is>
          <t>Revenue</t>
        </is>
      </c>
      <c r="B6" s="3" t="n">
        <v>464.675</v>
      </c>
      <c r="C6" s="5">
        <f>B6*(1+C5/100)</f>
        <v/>
      </c>
      <c r="D6" s="5">
        <f>C6*(1+D5/100)</f>
        <v/>
      </c>
      <c r="E6" s="5">
        <f>D6*(1+E5/100)</f>
        <v/>
      </c>
      <c r="F6" s="5">
        <f>E6*(1+F5/100)</f>
        <v/>
      </c>
      <c r="G6" s="5">
        <f>F6*(1+G5/100)</f>
        <v/>
      </c>
      <c r="H6" s="5">
        <f>G6*(1+H5/100)</f>
        <v/>
      </c>
      <c r="I6" s="5">
        <f>H6*(1+I5/100)</f>
        <v/>
      </c>
      <c r="J6" s="5">
        <f>I6*(1+J5/100)</f>
        <v/>
      </c>
      <c r="K6" s="5">
        <f>J6*(1+K5/100)</f>
        <v/>
      </c>
      <c r="L6" s="5">
        <f>K6*(1+L5/100)</f>
        <v/>
      </c>
    </row>
    <row r="7">
      <c r="A7" s="2" t="inlineStr">
        <is>
          <t>Core EBITDA margin % [DRIVER]</t>
        </is>
      </c>
      <c r="B7" s="3" t="n">
        <v>49.15</v>
      </c>
      <c r="C7" s="4" t="n">
        <v>50.2</v>
      </c>
      <c r="D7" s="4" t="n">
        <v>51</v>
      </c>
      <c r="E7" s="4" t="n">
        <v>51.6</v>
      </c>
      <c r="F7" s="4" t="n">
        <v>52.2</v>
      </c>
      <c r="G7" s="4" t="n">
        <v>52.7</v>
      </c>
      <c r="H7" s="4" t="n">
        <v>53.1</v>
      </c>
      <c r="I7" s="4" t="n">
        <v>53.5</v>
      </c>
      <c r="J7" s="4" t="n">
        <v>53.5</v>
      </c>
      <c r="K7" s="4" t="n">
        <v>53.5</v>
      </c>
      <c r="L7" s="4" t="n">
        <v>53.5</v>
      </c>
    </row>
    <row r="8">
      <c r="A8" s="2" t="inlineStr">
        <is>
          <t>Core EBITDA (excl EAI)</t>
        </is>
      </c>
      <c r="B8" s="5">
        <f>B6*B7/100</f>
        <v/>
      </c>
      <c r="C8" s="5">
        <f>C6*C7/100</f>
        <v/>
      </c>
      <c r="D8" s="5">
        <f>D6*D7/100</f>
        <v/>
      </c>
      <c r="E8" s="5">
        <f>E6*E7/100</f>
        <v/>
      </c>
      <c r="F8" s="5">
        <f>F6*F7/100</f>
        <v/>
      </c>
      <c r="G8" s="5">
        <f>G6*G7/100</f>
        <v/>
      </c>
      <c r="H8" s="5">
        <f>H6*H7/100</f>
        <v/>
      </c>
      <c r="I8" s="5">
        <f>I6*I7/100</f>
        <v/>
      </c>
      <c r="J8" s="5">
        <f>J6*J7/100</f>
        <v/>
      </c>
      <c r="K8" s="5">
        <f>K6*K7/100</f>
        <v/>
      </c>
      <c r="L8" s="5">
        <f>L6*L7/100</f>
        <v/>
      </c>
    </row>
    <row r="9">
      <c r="A9" s="2" t="inlineStr">
        <is>
          <t>SBC % of revenue [DRIVER - zero, NZX]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SBC $</t>
        </is>
      </c>
      <c r="C10" s="5">
        <f>-C6*C9/100</f>
        <v/>
      </c>
      <c r="D10" s="5">
        <f>-D6*D9/100</f>
        <v/>
      </c>
      <c r="E10" s="5">
        <f>-E6*E9/100</f>
        <v/>
      </c>
      <c r="F10" s="5">
        <f>-F6*F9/100</f>
        <v/>
      </c>
      <c r="G10" s="5">
        <f>-G6*G9/100</f>
        <v/>
      </c>
      <c r="H10" s="5">
        <f>-H6*H9/100</f>
        <v/>
      </c>
      <c r="I10" s="5">
        <f>-I6*I9/100</f>
        <v/>
      </c>
      <c r="J10" s="5">
        <f>-J6*J9/100</f>
        <v/>
      </c>
      <c r="K10" s="5">
        <f>-K6*K9/100</f>
        <v/>
      </c>
      <c r="L10" s="5">
        <f>-L6*L9/100</f>
        <v/>
      </c>
    </row>
    <row r="11">
      <c r="A11" s="2" t="inlineStr">
        <is>
          <t>Owner EBITDA</t>
        </is>
      </c>
      <c r="C11" s="5">
        <f>C8+C10</f>
        <v/>
      </c>
      <c r="D11" s="5">
        <f>D8+D10</f>
        <v/>
      </c>
      <c r="E11" s="5">
        <f>E8+E10</f>
        <v/>
      </c>
      <c r="F11" s="5">
        <f>F8+F10</f>
        <v/>
      </c>
      <c r="G11" s="5">
        <f>G8+G10</f>
        <v/>
      </c>
      <c r="H11" s="5">
        <f>H8+H10</f>
        <v/>
      </c>
      <c r="I11" s="5">
        <f>I8+I10</f>
        <v/>
      </c>
      <c r="J11" s="5">
        <f>J8+J10</f>
        <v/>
      </c>
      <c r="K11" s="5">
        <f>K8+K10</f>
        <v/>
      </c>
      <c r="L11" s="5">
        <f>L8+L10</f>
        <v/>
      </c>
    </row>
    <row r="12">
      <c r="A12" s="2" t="inlineStr">
        <is>
          <t>D&amp;A</t>
        </is>
      </c>
      <c r="C12" s="7">
        <f>-C6*Assumptions!$B$4/100</f>
        <v/>
      </c>
      <c r="D12" s="7">
        <f>-D6*Assumptions!$B$4/100</f>
        <v/>
      </c>
      <c r="E12" s="7">
        <f>-E6*Assumptions!$B$4/100</f>
        <v/>
      </c>
      <c r="F12" s="7">
        <f>-F6*Assumptions!$B$4/100</f>
        <v/>
      </c>
      <c r="G12" s="7">
        <f>-G6*Assumptions!$B$4/100</f>
        <v/>
      </c>
      <c r="H12" s="7">
        <f>-H6*Assumptions!$B$4/100</f>
        <v/>
      </c>
      <c r="I12" s="7">
        <f>-I6*Assumptions!$B$4/100</f>
        <v/>
      </c>
      <c r="J12" s="7">
        <f>-J6*Assumptions!$B$4/100</f>
        <v/>
      </c>
      <c r="K12" s="7">
        <f>-K6*Assumptions!$B$4/100</f>
        <v/>
      </c>
      <c r="L12" s="7">
        <f>-L6*Assumptions!$B$4/100</f>
        <v/>
      </c>
    </row>
    <row r="13">
      <c r="A13" s="2" t="inlineStr">
        <is>
          <t>EBIT</t>
        </is>
      </c>
      <c r="C13" s="5">
        <f>C11+C12</f>
        <v/>
      </c>
      <c r="D13" s="5">
        <f>D11+D12</f>
        <v/>
      </c>
      <c r="E13" s="5">
        <f>E11+E12</f>
        <v/>
      </c>
      <c r="F13" s="5">
        <f>F11+F12</f>
        <v/>
      </c>
      <c r="G13" s="5">
        <f>G11+G12</f>
        <v/>
      </c>
      <c r="H13" s="5">
        <f>H11+H12</f>
        <v/>
      </c>
      <c r="I13" s="5">
        <f>I11+I12</f>
        <v/>
      </c>
      <c r="J13" s="5">
        <f>J11+J12</f>
        <v/>
      </c>
      <c r="K13" s="5">
        <f>K11+K12</f>
        <v/>
      </c>
      <c r="L13" s="5">
        <f>L11+L12</f>
        <v/>
      </c>
    </row>
    <row r="14">
      <c r="A14" s="2" t="inlineStr">
        <is>
          <t>Cash tax rate % [DRIVER]</t>
        </is>
      </c>
      <c r="C14" s="4" t="n">
        <v>28</v>
      </c>
      <c r="D14" s="4" t="n">
        <v>28</v>
      </c>
      <c r="E14" s="4" t="n">
        <v>28</v>
      </c>
      <c r="F14" s="4" t="n">
        <v>28</v>
      </c>
      <c r="G14" s="4" t="n">
        <v>28</v>
      </c>
      <c r="H14" s="4" t="n">
        <v>28</v>
      </c>
      <c r="I14" s="4" t="n">
        <v>28</v>
      </c>
      <c r="J14" s="4" t="n">
        <v>28</v>
      </c>
      <c r="K14" s="4" t="n">
        <v>28</v>
      </c>
      <c r="L14" s="4" t="n">
        <v>28</v>
      </c>
    </row>
    <row r="15">
      <c r="A15" s="2" t="inlineStr">
        <is>
          <t>NOPAT</t>
        </is>
      </c>
      <c r="C15" s="5">
        <f>C13*(1-C14/100)</f>
        <v/>
      </c>
      <c r="D15" s="5">
        <f>D13*(1-D14/100)</f>
        <v/>
      </c>
      <c r="E15" s="5">
        <f>E13*(1-E14/100)</f>
        <v/>
      </c>
      <c r="F15" s="5">
        <f>F13*(1-F14/100)</f>
        <v/>
      </c>
      <c r="G15" s="5">
        <f>G13*(1-G14/100)</f>
        <v/>
      </c>
      <c r="H15" s="5">
        <f>H13*(1-H14/100)</f>
        <v/>
      </c>
      <c r="I15" s="5">
        <f>I13*(1-I14/100)</f>
        <v/>
      </c>
      <c r="J15" s="5">
        <f>J13*(1-J14/100)</f>
        <v/>
      </c>
      <c r="K15" s="5">
        <f>K13*(1-K14/100)</f>
        <v/>
      </c>
      <c r="L15" s="5">
        <f>L13*(1-L14/100)</f>
        <v/>
      </c>
    </row>
    <row r="16">
      <c r="A16" s="2" t="inlineStr">
        <is>
          <t>add back D&amp;A</t>
        </is>
      </c>
      <c r="C16" s="5">
        <f>-C12</f>
        <v/>
      </c>
      <c r="D16" s="5">
        <f>-D12</f>
        <v/>
      </c>
      <c r="E16" s="5">
        <f>-E12</f>
        <v/>
      </c>
      <c r="F16" s="5">
        <f>-F12</f>
        <v/>
      </c>
      <c r="G16" s="5">
        <f>-G12</f>
        <v/>
      </c>
      <c r="H16" s="5">
        <f>-H12</f>
        <v/>
      </c>
      <c r="I16" s="5">
        <f>-I12</f>
        <v/>
      </c>
      <c r="J16" s="5">
        <f>-J12</f>
        <v/>
      </c>
      <c r="K16" s="5">
        <f>-K12</f>
        <v/>
      </c>
      <c r="L16" s="5">
        <f>-L12</f>
        <v/>
      </c>
    </row>
    <row r="17">
      <c r="A17" s="2" t="inlineStr">
        <is>
          <t>Capex % of revenue [DRIVER, per-year taper]</t>
        </is>
      </c>
      <c r="C17" s="4" t="n">
        <v>10.9</v>
      </c>
      <c r="D17" s="4" t="n">
        <v>18.5</v>
      </c>
      <c r="E17" s="4" t="n">
        <v>26</v>
      </c>
      <c r="F17" s="4" t="n">
        <v>24.5</v>
      </c>
      <c r="G17" s="4" t="n">
        <v>17</v>
      </c>
      <c r="H17" s="4" t="n">
        <v>11</v>
      </c>
      <c r="I17" s="4" t="n">
        <v>8.5</v>
      </c>
      <c r="J17" s="4" t="n">
        <v>8.5</v>
      </c>
      <c r="K17" s="4" t="n">
        <v>8.5</v>
      </c>
      <c r="L17" s="4" t="n">
        <v>8.5</v>
      </c>
    </row>
    <row r="18">
      <c r="A18" s="2" t="inlineStr">
        <is>
          <t>Capex $</t>
        </is>
      </c>
      <c r="C18" s="5">
        <f>-C6*C17/100</f>
        <v/>
      </c>
      <c r="D18" s="5">
        <f>-D6*D17/100</f>
        <v/>
      </c>
      <c r="E18" s="5">
        <f>-E6*E17/100</f>
        <v/>
      </c>
      <c r="F18" s="5">
        <f>-F6*F17/100</f>
        <v/>
      </c>
      <c r="G18" s="5">
        <f>-G6*G17/100</f>
        <v/>
      </c>
      <c r="H18" s="5">
        <f>-H6*H17/100</f>
        <v/>
      </c>
      <c r="I18" s="5">
        <f>-I6*I17/100</f>
        <v/>
      </c>
      <c r="J18" s="5">
        <f>-J6*J17/100</f>
        <v/>
      </c>
      <c r="K18" s="5">
        <f>-K6*K17/100</f>
        <v/>
      </c>
      <c r="L18" s="5">
        <f>-L6*L17/100</f>
        <v/>
      </c>
    </row>
    <row r="19">
      <c r="A19" s="2" t="inlineStr">
        <is>
          <t>Working capital (on revenue CHANGE)</t>
        </is>
      </c>
      <c r="C19" s="7">
        <f>Assumptions!$B$5/100*(C6-B6)</f>
        <v/>
      </c>
      <c r="D19" s="7">
        <f>Assumptions!$B$5/100*(D6-C6)</f>
        <v/>
      </c>
      <c r="E19" s="7">
        <f>Assumptions!$B$5/100*(E6-D6)</f>
        <v/>
      </c>
      <c r="F19" s="7">
        <f>Assumptions!$B$5/100*(F6-E6)</f>
        <v/>
      </c>
      <c r="G19" s="7">
        <f>Assumptions!$B$5/100*(G6-F6)</f>
        <v/>
      </c>
      <c r="H19" s="7">
        <f>Assumptions!$B$5/100*(H6-G6)</f>
        <v/>
      </c>
      <c r="I19" s="7">
        <f>Assumptions!$B$5/100*(I6-H6)</f>
        <v/>
      </c>
      <c r="J19" s="7">
        <f>Assumptions!$B$5/100*(J6-I6)</f>
        <v/>
      </c>
      <c r="K19" s="7">
        <f>Assumptions!$B$5/100*(K6-J6)</f>
        <v/>
      </c>
      <c r="L19" s="7">
        <f>Assumptions!$B$5/100*(L6-K6)</f>
        <v/>
      </c>
    </row>
    <row r="20">
      <c r="A20" s="2" t="inlineStr">
        <is>
          <t>UNLEVERED OWNER FCF</t>
        </is>
      </c>
      <c r="C20" s="5">
        <f>C15+C16+C18+C19</f>
        <v/>
      </c>
      <c r="D20" s="5">
        <f>D15+D16+D18+D19</f>
        <v/>
      </c>
      <c r="E20" s="5">
        <f>E15+E16+E18+E19</f>
        <v/>
      </c>
      <c r="F20" s="5">
        <f>F15+F16+F18+F19</f>
        <v/>
      </c>
      <c r="G20" s="5">
        <f>G15+G16+G18+G19</f>
        <v/>
      </c>
      <c r="H20" s="5">
        <f>H15+H16+H18+H19</f>
        <v/>
      </c>
      <c r="I20" s="5">
        <f>I15+I16+I18+I19</f>
        <v/>
      </c>
      <c r="J20" s="5">
        <f>J15+J16+J18+J19</f>
        <v/>
      </c>
      <c r="K20" s="5">
        <f>K15+K16+K18+K19</f>
        <v/>
      </c>
      <c r="L20" s="5">
        <f>L15+L16+L18+L19</f>
        <v/>
      </c>
    </row>
    <row r="21">
      <c r="A21" s="2" t="inlineStr">
        <is>
          <t>Discount factor</t>
        </is>
      </c>
      <c r="C21" s="7">
        <f>1/(1+Assumptions!$B$3/100)^C4</f>
        <v/>
      </c>
      <c r="D21" s="7">
        <f>1/(1+Assumptions!$B$3/100)^D4</f>
        <v/>
      </c>
      <c r="E21" s="7">
        <f>1/(1+Assumptions!$B$3/100)^E4</f>
        <v/>
      </c>
      <c r="F21" s="7">
        <f>1/(1+Assumptions!$B$3/100)^F4</f>
        <v/>
      </c>
      <c r="G21" s="7">
        <f>1/(1+Assumptions!$B$3/100)^G4</f>
        <v/>
      </c>
      <c r="H21" s="7">
        <f>1/(1+Assumptions!$B$3/100)^H4</f>
        <v/>
      </c>
      <c r="I21" s="7">
        <f>1/(1+Assumptions!$B$3/100)^I4</f>
        <v/>
      </c>
      <c r="J21" s="7">
        <f>1/(1+Assumptions!$B$3/100)^J4</f>
        <v/>
      </c>
      <c r="K21" s="7">
        <f>1/(1+Assumptions!$B$3/100)^K4</f>
        <v/>
      </c>
      <c r="L21" s="7">
        <f>1/(1+Assumptions!$B$3/100)^L4</f>
        <v/>
      </c>
    </row>
    <row r="22">
      <c r="A22" s="2" t="inlineStr">
        <is>
          <t>PV of FCF</t>
        </is>
      </c>
      <c r="C22" s="5">
        <f>C20*C21</f>
        <v/>
      </c>
      <c r="D22" s="5">
        <f>D20*D21</f>
        <v/>
      </c>
      <c r="E22" s="5">
        <f>E20*E21</f>
        <v/>
      </c>
      <c r="F22" s="5">
        <f>F20*F21</f>
        <v/>
      </c>
      <c r="G22" s="5">
        <f>G20*G21</f>
        <v/>
      </c>
      <c r="H22" s="5">
        <f>H20*H21</f>
        <v/>
      </c>
      <c r="I22" s="5">
        <f>I20*I21</f>
        <v/>
      </c>
      <c r="J22" s="5">
        <f>J20*J21</f>
        <v/>
      </c>
      <c r="K22" s="5">
        <f>K20*K21</f>
        <v/>
      </c>
      <c r="L22" s="5">
        <f>L20*L21</f>
        <v/>
      </c>
    </row>
    <row r="24">
      <c r="A24" s="2" t="inlineStr">
        <is>
          <t>Memo: FCF before SBC (company-style)</t>
        </is>
      </c>
      <c r="B24" t="inlineStr">
        <is>
          <t>Memo FY0 owner FCF ~131.5 (mid-cycle capex 45)</t>
        </is>
      </c>
      <c r="C24" s="5">
        <f>C20-C10</f>
        <v/>
      </c>
      <c r="D24" s="5">
        <f>D20-D10</f>
        <v/>
      </c>
      <c r="E24" s="5">
        <f>E20-E10</f>
        <v/>
      </c>
      <c r="F24" s="5">
        <f>F20-F10</f>
        <v/>
      </c>
      <c r="G24" s="5">
        <f>G20-G10</f>
        <v/>
      </c>
      <c r="H24" s="5">
        <f>H20-H10</f>
        <v/>
      </c>
      <c r="I24" s="5">
        <f>I20-I10</f>
        <v/>
      </c>
      <c r="J24" s="5">
        <f>J20-J10</f>
        <v/>
      </c>
      <c r="K24" s="5">
        <f>K20-K10</f>
        <v/>
      </c>
      <c r="L24" s="5">
        <f>L20-L10</f>
        <v/>
      </c>
    </row>
    <row r="25">
      <c r="A25" s="2" t="inlineStr">
        <is>
          <t>Memo: owner FCF margin</t>
        </is>
      </c>
      <c r="C25" s="5">
        <f>C20/C6</f>
        <v/>
      </c>
      <c r="D25" s="5">
        <f>D20/D6</f>
        <v/>
      </c>
      <c r="E25" s="5">
        <f>E20/E6</f>
        <v/>
      </c>
      <c r="F25" s="5">
        <f>F20/F6</f>
        <v/>
      </c>
      <c r="G25" s="5">
        <f>G20/G6</f>
        <v/>
      </c>
      <c r="H25" s="5">
        <f>H20/H6</f>
        <v/>
      </c>
      <c r="I25" s="5">
        <f>I20/I6</f>
        <v/>
      </c>
      <c r="J25" s="5">
        <f>J20/J6</f>
        <v/>
      </c>
      <c r="K25" s="5">
        <f>K20/K6</f>
        <v/>
      </c>
      <c r="L25" s="5">
        <f>L20/L6</f>
        <v/>
      </c>
    </row>
    <row r="27">
      <c r="A27" s="2" t="inlineStr">
        <is>
          <t>Sum PV of FCF</t>
        </is>
      </c>
      <c r="B27" s="5">
        <f>SUM(C22:L22)</f>
        <v/>
      </c>
    </row>
    <row r="28">
      <c r="A28" s="2" t="inlineStr">
        <is>
          <t>Terminal growth %</t>
        </is>
      </c>
      <c r="B28" s="7">
        <f>Assumptions!$B$17</f>
        <v/>
      </c>
    </row>
    <row r="29">
      <c r="A29" s="2" t="inlineStr">
        <is>
          <t>Terminal FCF</t>
        </is>
      </c>
      <c r="B29" s="5">
        <f>L20*(1+B28/100)</f>
        <v/>
      </c>
    </row>
    <row r="30">
      <c r="A30" s="2" t="inlineStr">
        <is>
          <t>Gordon TV</t>
        </is>
      </c>
      <c r="B30" s="5">
        <f>B29/(Assumptions!$B$3/100-B28/100)</f>
        <v/>
      </c>
    </row>
    <row r="31">
      <c r="A31" s="2" t="inlineStr">
        <is>
          <t>Cap TV (20x FCF)</t>
        </is>
      </c>
      <c r="B31" s="7">
        <f>Assumptions!$B$11*L20</f>
        <v/>
      </c>
    </row>
    <row r="32">
      <c r="A32" s="2" t="inlineStr">
        <is>
          <t>TV used = MAX(0,MIN(Gordon,Cap))</t>
        </is>
      </c>
      <c r="B32" s="5">
        <f>MAX(0,MIN(B30,B31))</f>
        <v/>
      </c>
    </row>
    <row r="33">
      <c r="A33" s="2" t="inlineStr">
        <is>
          <t>Implied exit multiple (x FCF)</t>
        </is>
      </c>
      <c r="B33" s="5">
        <f>B32/L20</f>
        <v/>
      </c>
    </row>
    <row r="34">
      <c r="A34" s="2" t="inlineStr">
        <is>
          <t>Implied exit EV/EBITDA (x)</t>
        </is>
      </c>
      <c r="B34" s="5">
        <f>B32/L8</f>
        <v/>
      </c>
    </row>
    <row r="35">
      <c r="A35" s="2" t="inlineStr">
        <is>
          <t>PV of terminal value</t>
        </is>
      </c>
      <c r="B35" s="5">
        <f>B32*L21</f>
        <v/>
      </c>
    </row>
    <row r="36">
      <c r="A36" s="2" t="inlineStr">
        <is>
          <t>Enterprise value (core)</t>
        </is>
      </c>
      <c r="B36" s="5">
        <f>B27+B35</f>
        <v/>
      </c>
    </row>
    <row r="37">
      <c r="A37" s="2" t="inlineStr">
        <is>
          <t>add: EAI investments + advances</t>
        </is>
      </c>
      <c r="B37" s="7">
        <f>Assumptions!$B$8</f>
        <v/>
      </c>
    </row>
    <row r="38">
      <c r="A38" s="2" t="inlineStr">
        <is>
          <t>less: net debt incl leases</t>
        </is>
      </c>
      <c r="B38" s="7">
        <f>-Assumptions!$B$7</f>
        <v/>
      </c>
    </row>
    <row r="39">
      <c r="A39" s="2" t="inlineStr">
        <is>
          <t>EQUITY VALUE</t>
        </is>
      </c>
      <c r="B39" s="5">
        <f>B36+B37+B38</f>
        <v/>
      </c>
    </row>
    <row r="40">
      <c r="A40" s="2" t="inlineStr">
        <is>
          <t>Diluted shares (m)</t>
        </is>
      </c>
      <c r="B40" s="7">
        <f>Assumptions!$B$9</f>
        <v/>
      </c>
    </row>
    <row r="41">
      <c r="A41" s="2" t="inlineStr">
        <is>
          <t>VALUE PER SHARE (NZD)</t>
        </is>
      </c>
      <c r="B41" s="8">
        <f>B39/B40</f>
        <v/>
      </c>
    </row>
    <row r="42">
      <c r="A42" s="2" t="inlineStr">
        <is>
          <t>Upside vs price</t>
        </is>
      </c>
      <c r="B42" s="5">
        <f>B41/Assumptions!$B$10-1</f>
        <v/>
      </c>
    </row>
    <row r="44">
      <c r="A44" s="2" t="inlineStr">
        <is>
          <t>Street memo: PV explicit SBC</t>
        </is>
      </c>
      <c r="B44" s="5">
        <f>SUMPRODUCT(-C10:L10,C21:L21)</f>
        <v/>
      </c>
    </row>
    <row r="45">
      <c r="A45" s="2" t="inlineStr">
        <is>
          <t>Street memo: PV terminal SBC</t>
        </is>
      </c>
      <c r="B45" s="5">
        <f>(-L10*(1+B28/100)/(Assumptions!$B$3/100-B28/100))*L21</f>
        <v/>
      </c>
    </row>
    <row r="46">
      <c r="A46" s="2" t="inlineStr">
        <is>
          <t>Street value per share (= house: SBC zero)</t>
        </is>
      </c>
      <c r="B46" s="5">
        <f>(B39+B44+B45)/B40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2" t="inlineStr">
        <is>
          <t>FCF quality - reported vs owner basis, NZD m. SBC = 0 and interest income immaterial (0.3-1.2m, net-debt company), so the owner adjustment for POT is CAPEX PHASING, not comp: FY2025 capex of 28.1 is a consent-blocked trough vs ~38-45 mid-cycle.</t>
        </is>
      </c>
    </row>
    <row r="3">
      <c r="A3" s="2" t="inlineStr">
        <is>
          <t>Period</t>
        </is>
      </c>
      <c r="B3" s="3" t="inlineStr">
        <is>
          <t>FY2021</t>
        </is>
      </c>
      <c r="C3" s="3" t="inlineStr">
        <is>
          <t>FY2022</t>
        </is>
      </c>
      <c r="D3" s="3" t="inlineStr">
        <is>
          <t>FY2023</t>
        </is>
      </c>
      <c r="E3" s="3" t="inlineStr">
        <is>
          <t>FY2024</t>
        </is>
      </c>
      <c r="F3" s="3" t="inlineStr">
        <is>
          <t>FY2025</t>
        </is>
      </c>
    </row>
    <row r="4">
      <c r="A4" s="2" t="inlineStr">
        <is>
          <t>Operating cash flow</t>
        </is>
      </c>
      <c r="B4" s="3" t="n">
        <v>99.682</v>
      </c>
      <c r="C4" s="3" t="n">
        <v>145.249</v>
      </c>
      <c r="D4" s="3" t="n">
        <v>144.572</v>
      </c>
      <c r="E4" s="3" t="n">
        <v>135.837</v>
      </c>
      <c r="F4" s="3" t="n">
        <v>171.981</v>
      </c>
    </row>
    <row r="5">
      <c r="A5" s="2" t="inlineStr">
        <is>
          <t>less: capex (actual)</t>
        </is>
      </c>
      <c r="B5" s="3" t="n">
        <v>-22.267</v>
      </c>
      <c r="C5" s="3" t="n">
        <v>-21.345</v>
      </c>
      <c r="D5" s="3" t="n">
        <v>-44.84</v>
      </c>
      <c r="E5" s="3" t="n">
        <v>-42.612</v>
      </c>
      <c r="F5" s="3" t="n">
        <v>-28.135</v>
      </c>
    </row>
    <row r="6">
      <c r="A6" s="2" t="inlineStr">
        <is>
          <t>equals: Free cash flow (company definition)</t>
        </is>
      </c>
      <c r="B6" s="3" t="n">
        <v>77.41500000000001</v>
      </c>
      <c r="C6" s="3" t="n">
        <v>123.904</v>
      </c>
      <c r="D6" s="3" t="n">
        <v>99.732</v>
      </c>
      <c r="E6" s="3" t="n">
        <v>93.22499999999999</v>
      </c>
      <c r="F6" s="3" t="n">
        <v>143.846</v>
      </c>
    </row>
    <row r="7">
      <c r="A7" s="2" t="inlineStr">
        <is>
          <t>less: SBC incl equity-award taxes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2" t="inlineStr">
        <is>
          <t>less: interest income (not stripped - net debt)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2" t="inlineStr">
        <is>
          <t>equals: Owner FCF (as-reported capex)</t>
        </is>
      </c>
      <c r="B9" s="3" t="n">
        <v>77.41500000000001</v>
      </c>
      <c r="C9" s="3" t="n">
        <v>123.904</v>
      </c>
      <c r="D9" s="3" t="n">
        <v>99.732</v>
      </c>
      <c r="E9" s="3" t="n">
        <v>93.22499999999999</v>
      </c>
      <c r="F9" s="3" t="n">
        <v>143.846</v>
      </c>
    </row>
    <row r="10">
      <c r="A10" s="2" t="inlineStr">
        <is>
          <t>Memo: mid-cycle capex</t>
        </is>
      </c>
      <c r="B10" s="3" t="n">
        <v>-45</v>
      </c>
      <c r="C10" s="3" t="n">
        <v>-45</v>
      </c>
      <c r="D10" s="3" t="n">
        <v>-45</v>
      </c>
      <c r="E10" s="3" t="n">
        <v>-45</v>
      </c>
      <c r="F10" s="3" t="n">
        <v>-45</v>
      </c>
    </row>
    <row r="11">
      <c r="A11" s="2" t="inlineStr">
        <is>
          <t>Memo: owner FCF at mid-cycle capex</t>
        </is>
      </c>
      <c r="B11" s="3" t="n">
        <v>54.682</v>
      </c>
      <c r="C11" s="3" t="n">
        <v>100.249</v>
      </c>
      <c r="D11" s="3" t="n">
        <v>99.572</v>
      </c>
      <c r="E11" s="3" t="n">
        <v>90.837</v>
      </c>
      <c r="F11" s="3" t="n">
        <v>126.981</v>
      </c>
    </row>
    <row r="12">
      <c r="A12" s="2" t="inlineStr">
        <is>
          <t>Reported FCF margin %</t>
        </is>
      </c>
      <c r="B12" s="3" t="n">
        <v>22.9</v>
      </c>
      <c r="C12" s="3" t="n">
        <v>33</v>
      </c>
      <c r="D12" s="3" t="n">
        <v>23.7</v>
      </c>
      <c r="E12" s="3" t="n">
        <v>22.3</v>
      </c>
      <c r="F12" s="3" t="n">
        <v>31</v>
      </c>
    </row>
    <row r="13">
      <c r="A13" s="2" t="inlineStr">
        <is>
          <t>Owner FCF margin % (mid-cycle capex)</t>
        </is>
      </c>
      <c r="B13" s="3" t="n">
        <v>16.2</v>
      </c>
      <c r="C13" s="3" t="n">
        <v>26.7</v>
      </c>
      <c r="D13" s="3" t="n">
        <v>23.7</v>
      </c>
      <c r="E13" s="3" t="n">
        <v>21.8</v>
      </c>
      <c r="F13" s="3" t="n">
        <v>27.3</v>
      </c>
    </row>
    <row r="14">
      <c r="A14" s="2" t="inlineStr">
        <is>
          <t>Memo: cash tax rate % (cash taxes/PBT ex-gain)</t>
        </is>
      </c>
      <c r="B14" s="3" t="n"/>
      <c r="C14" s="3" t="n"/>
      <c r="D14" s="3" t="n"/>
      <c r="E14" s="3" t="n">
        <v>31.9</v>
      </c>
      <c r="F14" s="3" t="n">
        <v>25.5</v>
      </c>
    </row>
    <row r="16">
      <c r="A16" s="2" t="inlineStr">
        <is>
          <t>FY2025 reported NPAT 173.4 includes the NZ$49.245m one-off disposal gain (non-cash, investing) - it does NOT flatter OCF, but it does flatter reported NPAT/EPS. FY2025 FCF of 143.8 IS flattered by the capex trough: Stella Passage spend is deferred, not avoided. last_fcf in the JSON = 172.0 OCF - 45.0 mid-cycle capex = 127.0.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VALUATION SUMMARY - POT.NZ (NZD)</t>
        </is>
      </c>
    </row>
    <row r="3">
      <c r="A3" s="2" t="inlineStr">
        <is>
          <t>Scenario</t>
        </is>
      </c>
      <c r="B3" s="2" t="inlineStr">
        <is>
          <t>Value/share</t>
        </is>
      </c>
      <c r="C3" s="2" t="inlineStr">
        <is>
          <t>Upside vs price</t>
        </is>
      </c>
      <c r="D3" s="2" t="inlineStr">
        <is>
          <t>Weight</t>
        </is>
      </c>
      <c r="E3" s="2" t="inlineStr">
        <is>
          <t>Street value/share</t>
        </is>
      </c>
      <c r="F3" s="2" t="inlineStr">
        <is>
          <t>Entry price @15% IRR</t>
        </is>
      </c>
    </row>
    <row r="4">
      <c r="A4" s="2" t="inlineStr">
        <is>
          <t>Bear</t>
        </is>
      </c>
      <c r="B4" s="7">
        <f>DCF_Bear!$B$41</f>
        <v/>
      </c>
      <c r="C4" s="5">
        <f>B4/Assumptions!$B$10-1</f>
        <v/>
      </c>
      <c r="D4" s="7">
        <f>Assumptions!$C$15</f>
        <v/>
      </c>
      <c r="E4" s="7">
        <f>DCF_Bear!$B$46</f>
        <v/>
      </c>
      <c r="F4" s="5">
        <f>(SUMPRODUCT(DCF_Bear!$C$20:$L$20/1.15^DCF_Bear!$C$4:$L$4)+DCF_Bear!$B$32/1.15^10-Assumptions!$B$7+Assumptions!$B$8)/Assumptions!$B$9</f>
        <v/>
      </c>
    </row>
    <row r="5">
      <c r="A5" s="2" t="inlineStr">
        <is>
          <t>Base</t>
        </is>
      </c>
      <c r="B5" s="7">
        <f>DCF_Base!$B$41</f>
        <v/>
      </c>
      <c r="C5" s="5">
        <f>B5/Assumptions!$B$10-1</f>
        <v/>
      </c>
      <c r="D5" s="7">
        <f>Assumptions!$C$16</f>
        <v/>
      </c>
      <c r="E5" s="7">
        <f>DCF_Base!$B$46</f>
        <v/>
      </c>
      <c r="F5" s="5">
        <f>(SUMPRODUCT(DCF_Base!$C$20:$L$20/1.15^DCF_Base!$C$4:$L$4)+DCF_Base!$B$32/1.15^10-Assumptions!$B$7+Assumptions!$B$8)/Assumptions!$B$9</f>
        <v/>
      </c>
    </row>
    <row r="6">
      <c r="A6" s="2" t="inlineStr">
        <is>
          <t>Bull</t>
        </is>
      </c>
      <c r="B6" s="7">
        <f>DCF_Bull!$B$41</f>
        <v/>
      </c>
      <c r="C6" s="5">
        <f>B6/Assumptions!$B$10-1</f>
        <v/>
      </c>
      <c r="D6" s="7">
        <f>Assumptions!$C$17</f>
        <v/>
      </c>
      <c r="E6" s="7">
        <f>DCF_Bull!$B$46</f>
        <v/>
      </c>
      <c r="F6" s="5">
        <f>(SUMPRODUCT(DCF_Bull!$C$20:$L$20/1.15^DCF_Bull!$C$4:$L$4)+DCF_Bull!$B$32/1.15^10-Assumptions!$B$7+Assumptions!$B$8)/Assumptions!$B$9</f>
        <v/>
      </c>
    </row>
    <row r="8">
      <c r="A8" s="2" t="inlineStr">
        <is>
          <t>PROBABILITY-WEIGHTED VALUE</t>
        </is>
      </c>
      <c r="B8" s="8">
        <f>SUMPRODUCT(B4:B6,D4:D6)</f>
        <v/>
      </c>
    </row>
    <row r="9">
      <c r="A9" s="2" t="inlineStr">
        <is>
          <t>Margin of safety vs price</t>
        </is>
      </c>
      <c r="B9" s="5">
        <f>1-Assumptions!$B$10/B8</f>
        <v/>
      </c>
    </row>
    <row r="10">
      <c r="A10" s="2" t="inlineStr">
        <is>
          <t>Weighted entry price @15% IRR</t>
        </is>
      </c>
      <c r="B10" s="5">
        <f>SUMPRODUCT(F4:F6,D4:D6)</f>
        <v/>
      </c>
    </row>
    <row r="11">
      <c r="A11" s="2" t="inlineStr">
        <is>
          <t>Street weighted value (= house)</t>
        </is>
      </c>
      <c r="B11" s="5">
        <f>SUMPRODUCT(E4:E6,D4:D6)</f>
        <v/>
      </c>
    </row>
    <row r="12">
      <c r="A12" s="2" t="inlineStr">
        <is>
          <t>Band position</t>
        </is>
      </c>
      <c r="B12" s="5" t="inlineStr">
        <is>
          <t>n/a - SBC-zero market: house = street, the accounting-regime band collapses to a point</t>
        </is>
      </c>
    </row>
    <row r="14">
      <c r="A14" s="2" t="inlineStr">
        <is>
          <t>REQUIRED-RETURN TABLE (Base case; TV held at WACC-Gordon fair value, discounting at r)</t>
        </is>
      </c>
    </row>
    <row r="15">
      <c r="A15" s="2" t="inlineStr">
        <is>
          <t>Required return %</t>
        </is>
      </c>
      <c r="B15" s="3" t="n">
        <v>7.75</v>
      </c>
      <c r="C15" s="3" t="n">
        <v>9</v>
      </c>
      <c r="D15" s="3" t="n">
        <v>10</v>
      </c>
      <c r="E15" s="3" t="n">
        <v>11</v>
      </c>
      <c r="F15" s="3" t="n">
        <v>12</v>
      </c>
      <c r="G15" s="3" t="n">
        <v>15</v>
      </c>
    </row>
    <row r="16">
      <c r="A16" s="2" t="inlineStr">
        <is>
          <t>Value per share</t>
        </is>
      </c>
      <c r="B16" s="5">
        <f>(SUMPRODUCT(DCF_Base!$C$20:$L$20/(1+B15/100)^DCF_Base!$C$4:$L$4)+DCF_Base!$B$32/(1+B15/100)^10-Assumptions!$B$7+Assumptions!$B$8)/Assumptions!$B$9</f>
        <v/>
      </c>
      <c r="C16" s="5">
        <f>(SUMPRODUCT(DCF_Base!$C$20:$L$20/(1+C15/100)^DCF_Base!$C$4:$L$4)+DCF_Base!$B$32/(1+C15/100)^10-Assumptions!$B$7+Assumptions!$B$8)/Assumptions!$B$9</f>
        <v/>
      </c>
      <c r="D16" s="5">
        <f>(SUMPRODUCT(DCF_Base!$C$20:$L$20/(1+D15/100)^DCF_Base!$C$4:$L$4)+DCF_Base!$B$32/(1+D15/100)^10-Assumptions!$B$7+Assumptions!$B$8)/Assumptions!$B$9</f>
        <v/>
      </c>
      <c r="E16" s="5">
        <f>(SUMPRODUCT(DCF_Base!$C$20:$L$20/(1+E15/100)^DCF_Base!$C$4:$L$4)+DCF_Base!$B$32/(1+E15/100)^10-Assumptions!$B$7+Assumptions!$B$8)/Assumptions!$B$9</f>
        <v/>
      </c>
      <c r="F16" s="5">
        <f>(SUMPRODUCT(DCF_Base!$C$20:$L$20/(1+F15/100)^DCF_Base!$C$4:$L$4)+DCF_Base!$B$32/(1+F15/100)^10-Assumptions!$B$7+Assumptions!$B$8)/Assumptions!$B$9</f>
        <v/>
      </c>
      <c r="G16" s="5">
        <f>(SUMPRODUCT(DCF_Base!$C$20:$L$20/(1+G15/100)^DCF_Base!$C$4:$L$4)+DCF_Base!$B$32/(1+G15/100)^10-Assumptions!$B$7+Assumptions!$B$8)/Assumptions!$B$9</f>
        <v/>
      </c>
    </row>
    <row r="17">
      <c r="A17" s="2" t="inlineStr">
        <is>
          <t>Note: at NZD 8.115 the implied required return is ~5.5-6%, below the 7.75% WACC - the market prices POT at bond-plus returns.</t>
        </is>
      </c>
    </row>
    <row r="19">
      <c r="A19" s="2" t="inlineStr">
        <is>
          <t>SENSITIVITY - Base value/share: WACC (rows) x terminal growth (cols). Full closed form; 20x cap and r&gt;g guard applied.</t>
        </is>
      </c>
    </row>
    <row r="20">
      <c r="B20" s="2" t="inlineStr">
        <is>
          <t>WACC% \ g%</t>
        </is>
      </c>
      <c r="C20" s="3" t="n">
        <v>1.25</v>
      </c>
      <c r="D20" s="3" t="n">
        <v>1.75</v>
      </c>
      <c r="E20" s="3" t="n">
        <v>2.25</v>
      </c>
      <c r="F20" s="3" t="n">
        <v>2.75</v>
      </c>
      <c r="G20" s="3" t="n">
        <v>3.25</v>
      </c>
    </row>
    <row r="21">
      <c r="B21" s="3" t="n">
        <v>6.75</v>
      </c>
      <c r="C21" s="5">
        <f>IF($B$21&gt;C$20,(SUMPRODUCT(DCF_Base!$C$20:$L$20/(1+$B$21/100)^DCF_Base!$C$4:$L$4)+MAX(0,MIN(DCF_Base!$L$20*(1+C$20/100)/($B$21/100-C$20/100),Assumptions!$B$11*DCF_Base!$L$20))/(1+$B$21/100)^10-Assumptions!$B$7+Assumptions!$B$8)/Assumptions!$B$9,"n/a")</f>
        <v/>
      </c>
      <c r="D21" s="5">
        <f>IF($B$21&gt;D$20,(SUMPRODUCT(DCF_Base!$C$20:$L$20/(1+$B$21/100)^DCF_Base!$C$4:$L$4)+MAX(0,MIN(DCF_Base!$L$20*(1+D$20/100)/($B$21/100-D$20/100),Assumptions!$B$11*DCF_Base!$L$20))/(1+$B$21/100)^10-Assumptions!$B$7+Assumptions!$B$8)/Assumptions!$B$9,"n/a")</f>
        <v/>
      </c>
      <c r="E21" s="5">
        <f>IF($B$21&gt;E$20,(SUMPRODUCT(DCF_Base!$C$20:$L$20/(1+$B$21/100)^DCF_Base!$C$4:$L$4)+MAX(0,MIN(DCF_Base!$L$20*(1+E$20/100)/($B$21/100-E$20/100),Assumptions!$B$11*DCF_Base!$L$20))/(1+$B$21/100)^10-Assumptions!$B$7+Assumptions!$B$8)/Assumptions!$B$9,"n/a")</f>
        <v/>
      </c>
      <c r="F21" s="5">
        <f>IF($B$21&gt;F$20,(SUMPRODUCT(DCF_Base!$C$20:$L$20/(1+$B$21/100)^DCF_Base!$C$4:$L$4)+MAX(0,MIN(DCF_Base!$L$20*(1+F$20/100)/($B$21/100-F$20/100),Assumptions!$B$11*DCF_Base!$L$20))/(1+$B$21/100)^10-Assumptions!$B$7+Assumptions!$B$8)/Assumptions!$B$9,"n/a")</f>
        <v/>
      </c>
      <c r="G21" s="5">
        <f>IF($B$21&gt;G$20,(SUMPRODUCT(DCF_Base!$C$20:$L$20/(1+$B$21/100)^DCF_Base!$C$4:$L$4)+MAX(0,MIN(DCF_Base!$L$20*(1+G$20/100)/($B$21/100-G$20/100),Assumptions!$B$11*DCF_Base!$L$20))/(1+$B$21/100)^10-Assumptions!$B$7+Assumptions!$B$8)/Assumptions!$B$9,"n/a")</f>
        <v/>
      </c>
    </row>
    <row r="22">
      <c r="B22" s="3" t="n">
        <v>7.25</v>
      </c>
      <c r="C22" s="5">
        <f>IF($B$22&gt;C$20,(SUMPRODUCT(DCF_Base!$C$20:$L$20/(1+$B$22/100)^DCF_Base!$C$4:$L$4)+MAX(0,MIN(DCF_Base!$L$20*(1+C$20/100)/($B$22/100-C$20/100),Assumptions!$B$11*DCF_Base!$L$20))/(1+$B$22/100)^10-Assumptions!$B$7+Assumptions!$B$8)/Assumptions!$B$9,"n/a")</f>
        <v/>
      </c>
      <c r="D22" s="5">
        <f>IF($B$22&gt;D$20,(SUMPRODUCT(DCF_Base!$C$20:$L$20/(1+$B$22/100)^DCF_Base!$C$4:$L$4)+MAX(0,MIN(DCF_Base!$L$20*(1+D$20/100)/($B$22/100-D$20/100),Assumptions!$B$11*DCF_Base!$L$20))/(1+$B$22/100)^10-Assumptions!$B$7+Assumptions!$B$8)/Assumptions!$B$9,"n/a")</f>
        <v/>
      </c>
      <c r="E22" s="5">
        <f>IF($B$22&gt;E$20,(SUMPRODUCT(DCF_Base!$C$20:$L$20/(1+$B$22/100)^DCF_Base!$C$4:$L$4)+MAX(0,MIN(DCF_Base!$L$20*(1+E$20/100)/($B$22/100-E$20/100),Assumptions!$B$11*DCF_Base!$L$20))/(1+$B$22/100)^10-Assumptions!$B$7+Assumptions!$B$8)/Assumptions!$B$9,"n/a")</f>
        <v/>
      </c>
      <c r="F22" s="5">
        <f>IF($B$22&gt;F$20,(SUMPRODUCT(DCF_Base!$C$20:$L$20/(1+$B$22/100)^DCF_Base!$C$4:$L$4)+MAX(0,MIN(DCF_Base!$L$20*(1+F$20/100)/($B$22/100-F$20/100),Assumptions!$B$11*DCF_Base!$L$20))/(1+$B$22/100)^10-Assumptions!$B$7+Assumptions!$B$8)/Assumptions!$B$9,"n/a")</f>
        <v/>
      </c>
      <c r="G22" s="5">
        <f>IF($B$22&gt;G$20,(SUMPRODUCT(DCF_Base!$C$20:$L$20/(1+$B$22/100)^DCF_Base!$C$4:$L$4)+MAX(0,MIN(DCF_Base!$L$20*(1+G$20/100)/($B$22/100-G$20/100),Assumptions!$B$11*DCF_Base!$L$20))/(1+$B$22/100)^10-Assumptions!$B$7+Assumptions!$B$8)/Assumptions!$B$9,"n/a")</f>
        <v/>
      </c>
    </row>
    <row r="23">
      <c r="B23" s="3" t="n">
        <v>7.75</v>
      </c>
      <c r="C23" s="5">
        <f>IF($B$23&gt;C$20,(SUMPRODUCT(DCF_Base!$C$20:$L$20/(1+$B$23/100)^DCF_Base!$C$4:$L$4)+MAX(0,MIN(DCF_Base!$L$20*(1+C$20/100)/($B$23/100-C$20/100),Assumptions!$B$11*DCF_Base!$L$20))/(1+$B$23/100)^10-Assumptions!$B$7+Assumptions!$B$8)/Assumptions!$B$9,"n/a")</f>
        <v/>
      </c>
      <c r="D23" s="5">
        <f>IF($B$23&gt;D$20,(SUMPRODUCT(DCF_Base!$C$20:$L$20/(1+$B$23/100)^DCF_Base!$C$4:$L$4)+MAX(0,MIN(DCF_Base!$L$20*(1+D$20/100)/($B$23/100-D$20/100),Assumptions!$B$11*DCF_Base!$L$20))/(1+$B$23/100)^10-Assumptions!$B$7+Assumptions!$B$8)/Assumptions!$B$9,"n/a")</f>
        <v/>
      </c>
      <c r="E23" s="8">
        <f>IF($B$23&gt;E$20,(SUMPRODUCT(DCF_Base!$C$20:$L$20/(1+$B$23/100)^DCF_Base!$C$4:$L$4)+MAX(0,MIN(DCF_Base!$L$20*(1+E$20/100)/($B$23/100-E$20/100),Assumptions!$B$11*DCF_Base!$L$20))/(1+$B$23/100)^10-Assumptions!$B$7+Assumptions!$B$8)/Assumptions!$B$9,"n/a")</f>
        <v/>
      </c>
      <c r="F23" s="5">
        <f>IF($B$23&gt;F$20,(SUMPRODUCT(DCF_Base!$C$20:$L$20/(1+$B$23/100)^DCF_Base!$C$4:$L$4)+MAX(0,MIN(DCF_Base!$L$20*(1+F$20/100)/($B$23/100-F$20/100),Assumptions!$B$11*DCF_Base!$L$20))/(1+$B$23/100)^10-Assumptions!$B$7+Assumptions!$B$8)/Assumptions!$B$9,"n/a")</f>
        <v/>
      </c>
      <c r="G23" s="5">
        <f>IF($B$23&gt;G$20,(SUMPRODUCT(DCF_Base!$C$20:$L$20/(1+$B$23/100)^DCF_Base!$C$4:$L$4)+MAX(0,MIN(DCF_Base!$L$20*(1+G$20/100)/($B$23/100-G$20/100),Assumptions!$B$11*DCF_Base!$L$20))/(1+$B$23/100)^10-Assumptions!$B$7+Assumptions!$B$8)/Assumptions!$B$9,"n/a")</f>
        <v/>
      </c>
    </row>
    <row r="24">
      <c r="B24" s="3" t="n">
        <v>8.25</v>
      </c>
      <c r="C24" s="5">
        <f>IF($B$24&gt;C$20,(SUMPRODUCT(DCF_Base!$C$20:$L$20/(1+$B$24/100)^DCF_Base!$C$4:$L$4)+MAX(0,MIN(DCF_Base!$L$20*(1+C$20/100)/($B$24/100-C$20/100),Assumptions!$B$11*DCF_Base!$L$20))/(1+$B$24/100)^10-Assumptions!$B$7+Assumptions!$B$8)/Assumptions!$B$9,"n/a")</f>
        <v/>
      </c>
      <c r="D24" s="5">
        <f>IF($B$24&gt;D$20,(SUMPRODUCT(DCF_Base!$C$20:$L$20/(1+$B$24/100)^DCF_Base!$C$4:$L$4)+MAX(0,MIN(DCF_Base!$L$20*(1+D$20/100)/($B$24/100-D$20/100),Assumptions!$B$11*DCF_Base!$L$20))/(1+$B$24/100)^10-Assumptions!$B$7+Assumptions!$B$8)/Assumptions!$B$9,"n/a")</f>
        <v/>
      </c>
      <c r="E24" s="5">
        <f>IF($B$24&gt;E$20,(SUMPRODUCT(DCF_Base!$C$20:$L$20/(1+$B$24/100)^DCF_Base!$C$4:$L$4)+MAX(0,MIN(DCF_Base!$L$20*(1+E$20/100)/($B$24/100-E$20/100),Assumptions!$B$11*DCF_Base!$L$20))/(1+$B$24/100)^10-Assumptions!$B$7+Assumptions!$B$8)/Assumptions!$B$9,"n/a")</f>
        <v/>
      </c>
      <c r="F24" s="5">
        <f>IF($B$24&gt;F$20,(SUMPRODUCT(DCF_Base!$C$20:$L$20/(1+$B$24/100)^DCF_Base!$C$4:$L$4)+MAX(0,MIN(DCF_Base!$L$20*(1+F$20/100)/($B$24/100-F$20/100),Assumptions!$B$11*DCF_Base!$L$20))/(1+$B$24/100)^10-Assumptions!$B$7+Assumptions!$B$8)/Assumptions!$B$9,"n/a")</f>
        <v/>
      </c>
      <c r="G24" s="5">
        <f>IF($B$24&gt;G$20,(SUMPRODUCT(DCF_Base!$C$20:$L$20/(1+$B$24/100)^DCF_Base!$C$4:$L$4)+MAX(0,MIN(DCF_Base!$L$20*(1+G$20/100)/($B$24/100-G$20/100),Assumptions!$B$11*DCF_Base!$L$20))/(1+$B$24/100)^10-Assumptions!$B$7+Assumptions!$B$8)/Assumptions!$B$9,"n/a")</f>
        <v/>
      </c>
    </row>
    <row r="25">
      <c r="B25" s="3" t="n">
        <v>8.75</v>
      </c>
      <c r="C25" s="5">
        <f>IF($B$25&gt;C$20,(SUMPRODUCT(DCF_Base!$C$20:$L$20/(1+$B$25/100)^DCF_Base!$C$4:$L$4)+MAX(0,MIN(DCF_Base!$L$20*(1+C$20/100)/($B$25/100-C$20/100),Assumptions!$B$11*DCF_Base!$L$20))/(1+$B$25/100)^10-Assumptions!$B$7+Assumptions!$B$8)/Assumptions!$B$9,"n/a")</f>
        <v/>
      </c>
      <c r="D25" s="5">
        <f>IF($B$25&gt;D$20,(SUMPRODUCT(DCF_Base!$C$20:$L$20/(1+$B$25/100)^DCF_Base!$C$4:$L$4)+MAX(0,MIN(DCF_Base!$L$20*(1+D$20/100)/($B$25/100-D$20/100),Assumptions!$B$11*DCF_Base!$L$20))/(1+$B$25/100)^10-Assumptions!$B$7+Assumptions!$B$8)/Assumptions!$B$9,"n/a")</f>
        <v/>
      </c>
      <c r="E25" s="5">
        <f>IF($B$25&gt;E$20,(SUMPRODUCT(DCF_Base!$C$20:$L$20/(1+$B$25/100)^DCF_Base!$C$4:$L$4)+MAX(0,MIN(DCF_Base!$L$20*(1+E$20/100)/($B$25/100-E$20/100),Assumptions!$B$11*DCF_Base!$L$20))/(1+$B$25/100)^10-Assumptions!$B$7+Assumptions!$B$8)/Assumptions!$B$9,"n/a")</f>
        <v/>
      </c>
      <c r="F25" s="5">
        <f>IF($B$25&gt;F$20,(SUMPRODUCT(DCF_Base!$C$20:$L$20/(1+$B$25/100)^DCF_Base!$C$4:$L$4)+MAX(0,MIN(DCF_Base!$L$20*(1+F$20/100)/($B$25/100-F$20/100),Assumptions!$B$11*DCF_Base!$L$20))/(1+$B$25/100)^10-Assumptions!$B$7+Assumptions!$B$8)/Assumptions!$B$9,"n/a")</f>
        <v/>
      </c>
      <c r="G25" s="5">
        <f>IF($B$25&gt;G$20,(SUMPRODUCT(DCF_Base!$C$20:$L$20/(1+$B$25/100)^DCF_Base!$C$4:$L$4)+MAX(0,MIN(DCF_Base!$L$20*(1+G$20/100)/($B$25/100-G$20/100),Assumptions!$B$11*DCF_Base!$L$20))/(1+$B$25/100)^10-Assumptions!$B$7+Assumptions!$B$8)/Assumptions!$B$9,"n/a")</f>
        <v/>
      </c>
    </row>
    <row r="28">
      <c r="A28" s="2" t="inlineStr">
        <is>
          <t>MARKET-MULTIPLE REFERENCE (sanity-check fix): exit at POT's own 10yr MEDIAN EV/EBITDA instead of Gordon</t>
        </is>
      </c>
    </row>
    <row r="29">
      <c r="A29" s="2" t="inlineStr">
        <is>
          <t>10yr median trading EV/EBITDA (x)</t>
        </is>
      </c>
      <c r="B29" s="3" t="n">
        <v>22.8</v>
      </c>
    </row>
    <row r="30">
      <c r="A30" s="2" t="inlineStr">
        <is>
          <t>Reference value per share</t>
        </is>
      </c>
      <c r="B30" s="5">
        <f>(DCF_Base!$B$27+$B$29*DCF_Base!$L$8*DCF_Base!$L$21-Assumptions!$B$7+Assumptions!$B$8)/Assumptions!$B$9</f>
        <v/>
      </c>
    </row>
    <row r="31">
      <c r="A31" s="2" t="inlineStr">
        <is>
          <t>Gap house-&gt;reference-&gt;price = the explicitly-stated price of the scarcity-premium/re-rate assumption. House Gordon implies ~11x exit EV/EBITDA vs the 18-35x decade range. Reference ~7.17 reconciles to Jarden's 7.00 underweight target; FB 9.40 assumes current multiples persist. Sell-side targets are cross-checks, not inputs.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2026-08-26T02:29:56Z</dcterms:created>
  <dcterms:modified xsi:type="dcterms:W3CDTF">2026-08-26T02:29:56Z</dcterms:modified>
</cp:coreProperties>
</file>