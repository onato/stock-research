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<sst xmlns="http://schemas.openxmlformats.org/spreadsheetml/2006/main" count="353" uniqueCount="162">
  <si>
    <t xml:space="preserve">Ticker</t>
  </si>
  <si>
    <t xml:space="preserve">ABNB</t>
  </si>
  <si>
    <t xml:space="preserve">Company</t>
  </si>
  <si>
    <t xml:space="preserve">Airbnb, Inc.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</si>
  <si>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</si>
  <si>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</si>
  <si>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</si>
  <si>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</si>
  <si>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Yahoo Finance chart API regular close, 2026-09-24 20:00:01 UTC; 52-week range 110.81-193.453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</si>
  <si>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</si>
  <si>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</si>
  <si>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</si>
  <si>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</si>
  <si>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</si>
  <si>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</si>
  <si>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</si>
  <si>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</si>
  <si>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</si>
  <si>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</si>
  <si>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</si>
  <si>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</si>
  <si>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2026-09-25T06:45:52Z</t>
  </si>
  <si>
    <t xml:space="preserve">Drivers file</t>
  </si>
  <si>
    <t xml:space="preserve">ABNB_Drivers.json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</si>
  <si>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</si>
  <si>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</si>
  <si>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</si>
  <si>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Airbnb is a high-margin, asset-light, net-cash two-sided marketplace with a durable network-effect moat (~44% share of the short-term-rental category) generating real, growing owner free cash flow after fully expensing a still-heavy SBC charge. The house-basis probability-weighted intrinsic value lands almost exactly at today's price after the September 2026 sector-wide pullback (ABNB -10%+ over two sessions on sentiment, not fundamentals) -- consistent with a quality business that re-rated from expensive to roughly fair, with asymmetric optionality (Services, Experiences, the 2027 AI agent) providing bull-case upside that is not required to hold the base-case valuation together.
key_risks_to_valuation: Regulatory bans/restrictions on short-term rentals spreading beyond precedent cities (NYC) to larger markets; AI disintermediation: third-party AI travel agents winning the interface layer before Airbnb's own 2027 launch; Services/Experiences investment failing to scale into a durable, profitable revenue line; Discretionary consumer/travel spending cyclicality amplifying any macro slowdown; Data-gap risk: interest income and FY2023-2025 capex are ESTIMATED (no Extracted filing text available for this XBRL-only ticker) rather than read directly off the 10-K; both are small relative to the FCF base but should be verified against filing text on the next update</t>
  </si>
  <si>
    <t xml:space="preserve">Data sources</t>
  </si>
  <si>
    <t xml:space="preserve">price: Yahoo Finance chart API at inputs.price_as_of
financials: research/ABNB/Reports/ABNB_Metrics.csv and ABNB.duckdb core_metrics/kpis tables, sourced from SEC XBRL (no PDF/Extracted text exists for this filer)
qualitative: research/ABNB/Reports/ABNB_Analysis.json (2026-09-25)</t>
  </si>
  <si>
    <t xml:space="preserve">Scenario narrative: bear</t>
  </si>
  <si>
    <t xml:space="preserve">Regulatory bans spread beyond NYC, Booking.com/hotel-loyalty competition compresses take rate, Services/Experiences investment fails to pay back, and third-party AI agents disintermediate direct bookings ahead of Airbnb's own 2027 launch, all against a discretionary-travel-spending downturn.</t>
  </si>
  <si>
    <t xml:space="preserve">Scenario narrative: base</t>
  </si>
  <si>
    <t xml:space="preserve">Growth decelerates smoothly from the top of raised FY2026 guidance (mid-teens) to a ~4.5% terminal rate as the category leader's growth normalizes; EBITDA margin expands from the guided 35.5% floor to 38% as Services/Experiences and AI-driven cost efficiency mature; SBC glides down from a still-heavy 17.6% of revenue as post-IPO-lockup vesting normalizes.</t>
  </si>
  <si>
    <t xml:space="preserve">Scenario narrative: bull</t>
  </si>
  <si>
    <t xml:space="preserve">First-time-booker acceleration, successful Services/Experiences scaling, and a 2027 AI agent that wins rather than loses the AI-interface layer combine to sustain higher growth and push margins toward Booking-Holdings-like maturity (~41% EBITDA).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</si>
  <si>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</si>
  <si>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</si>
  <si>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</si>
  <si>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</si>
  <si>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</si>
  <si>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</si>
  <si>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</si>
  <si>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</si>
  <si>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</si>
  <si>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</si>
  <si>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</si>
  <si>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</si>
  <si>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</si>
  <si>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</si>
  <si>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</si>
  <si>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</si>
  <si>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</si>
  <si>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</si>
  <si>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</si>
  <si>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</si>
  <si>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</si>
  <si>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</si>
  <si>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</si>
  <si>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</si>
  <si>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</si>
  <si>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</si>
  <si>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</si>
  <si>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</si>
  <si>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</si>
  <si>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</si>
  <si>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</si>
  <si>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</si>
  <si>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</si>
  <si>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</si>
  <si>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</si>
  <si>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</si>
  <si>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</si>
  <si>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</si>
  <si>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</si>
  <si>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</si>
  <si>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</si>
  <si>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</si>
  <si>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</si>
  <si>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</si>
  <si>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</si>
  <si>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</si>
  <si>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</si>
  <si>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</si>
  <si>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</si>
  <si>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</si>
  <si>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</si>
  <si>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</si>
  <si>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</si>
  <si>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</si>
  <si>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</si>
  <si>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</si>
  <si>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</si>
  <si>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</si>
  <si>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</si>
  <si>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</si>
  <si>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</si>
  <si>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</si>
  <si>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</si>
  <si>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</si>
  <si>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</si>
  <si>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</si>
  <si>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</si>
  <si>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</si>
  <si>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</si>
  <si>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</si>
  <si>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</si>
  <si>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</si>
  <si>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ABNB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</si>
  <si>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</si>
  <si>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</si>
  <si>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</si>
  <si>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</si>
  <si>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</si>
  <si>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</si>
  <si>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</si>
  <si>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</si>
  <si>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</si>
  <si>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</si>
  <si>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</si>
  <si>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</si>
  <si>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</si>
  <si>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</si>
  <si>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</si>
  <si>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</si>
  <si>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</si>
  <si>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</si>
  <si>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</si>
  <si>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</si>
  <si>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</si>
  <si>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</si>
  <si>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</si>
  <si>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</si>
  <si>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</si>
  <si>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</si>
  <si>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</si>
  <si>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</si>
  <si>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</si>
  <si>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</si>
  <si>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ABNB owner-FCF component DCF: base case (millions, USD)</t>
  </si>
  <si>
    <t xml:space="preserve">ABNB owner-FCF component DCF: bull case (millions, USD)</t>
  </si>
  <si>
    <t xml:space="preserve">ABNB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</si>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</sst>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151.39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-517.308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4805.239</v>
      </c>
      <c r="C3" s="0" t="n">
        <v>1196.313</v>
      </c>
      <c r="F3" s="0" t="n">
        <v>-501.543</v>
      </c>
      <c r="G3" s="0" t="n">
        <v>-10.4374204904272</v>
      </c>
      <c r="H3" s="0" t="n">
        <v>-444.343</v>
      </c>
      <c r="I3" s="0" t="n">
        <v>-674.339</v>
      </c>
      <c r="J3" s="0" t="n">
        <v>-14.0334122818865</v>
      </c>
      <c r="L3" s="0" t="n">
        <v>222.727</v>
      </c>
      <c r="M3" s="0" t="n">
        <v>125.452</v>
      </c>
      <c r="N3" s="0" t="n">
        <v>97.275</v>
      </c>
      <c r="O3" s="0" t="n">
        <v>-808</v>
      </c>
      <c r="S3" s="0" t="n">
        <v>2013.547</v>
      </c>
      <c r="T3" s="0" t="n">
        <v>260.556</v>
      </c>
      <c r="U3" s="0" t="n">
        <v>97.547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3378</v>
      </c>
      <c r="C4" s="0" t="n">
        <v>876</v>
      </c>
      <c r="F4" s="0" t="n">
        <v>-3590</v>
      </c>
      <c r="G4" s="0" t="n">
        <v>-106.275902901125</v>
      </c>
      <c r="H4" s="0" t="n">
        <v>-3522.8</v>
      </c>
      <c r="I4" s="0" t="n">
        <v>-4585</v>
      </c>
      <c r="J4" s="0" t="n">
        <v>-135.731201894612</v>
      </c>
      <c r="L4" s="0" t="n">
        <v>-740</v>
      </c>
      <c r="M4" s="0" t="n">
        <v>37</v>
      </c>
      <c r="N4" s="0" t="n">
        <v>-777</v>
      </c>
      <c r="O4" s="0" t="n">
        <v>2901</v>
      </c>
      <c r="P4" s="0" t="n">
        <v>10491.499</v>
      </c>
      <c r="Q4" s="0" t="n">
        <v>7589.716</v>
      </c>
      <c r="R4" s="0" t="n">
        <v>1825.562</v>
      </c>
      <c r="S4" s="0" t="n">
        <v>5480.557</v>
      </c>
      <c r="T4" s="0" t="n">
        <v>284</v>
      </c>
      <c r="U4" s="0" t="n">
        <v>3003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5992</v>
      </c>
      <c r="C5" s="0" t="n">
        <v>1156</v>
      </c>
      <c r="F5" s="0" t="n">
        <v>429</v>
      </c>
      <c r="G5" s="0" t="n">
        <v>7.15954606141522</v>
      </c>
      <c r="H5" s="0" t="n">
        <v>514.6</v>
      </c>
      <c r="I5" s="0" t="n">
        <v>-352</v>
      </c>
      <c r="J5" s="0" t="n">
        <v>-5.87449933244326</v>
      </c>
      <c r="L5" s="0" t="n">
        <v>2313</v>
      </c>
      <c r="M5" s="0" t="n">
        <v>25</v>
      </c>
      <c r="N5" s="0" t="n">
        <v>2288</v>
      </c>
      <c r="O5" s="0" t="n">
        <v>4775</v>
      </c>
      <c r="P5" s="0" t="n">
        <v>13708</v>
      </c>
      <c r="Q5" s="0" t="n">
        <v>8933</v>
      </c>
      <c r="R5" s="0" t="n">
        <v>1983</v>
      </c>
      <c r="S5" s="0" t="n">
        <v>6067</v>
      </c>
      <c r="T5" s="0" t="n">
        <v>616</v>
      </c>
      <c r="U5" s="0" t="n">
        <v>899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8399</v>
      </c>
      <c r="C6" s="0" t="n">
        <v>1499</v>
      </c>
      <c r="F6" s="0" t="n">
        <v>1802</v>
      </c>
      <c r="G6" s="0" t="n">
        <v>21.4549351113228</v>
      </c>
      <c r="H6" s="0" t="n">
        <v>1844.6</v>
      </c>
      <c r="I6" s="0" t="n">
        <v>1893</v>
      </c>
      <c r="J6" s="0" t="n">
        <v>22.5383974282653</v>
      </c>
      <c r="L6" s="0" t="n">
        <v>3430</v>
      </c>
      <c r="M6" s="0" t="n">
        <v>25</v>
      </c>
      <c r="N6" s="0" t="n">
        <v>3405</v>
      </c>
      <c r="O6" s="0" t="n">
        <v>5560</v>
      </c>
      <c r="P6" s="0" t="n">
        <v>16038</v>
      </c>
      <c r="Q6" s="0" t="n">
        <v>10478</v>
      </c>
      <c r="R6" s="0" t="n">
        <v>1987</v>
      </c>
      <c r="S6" s="0" t="n">
        <v>7378</v>
      </c>
      <c r="T6" s="0" t="n">
        <v>680</v>
      </c>
      <c r="U6" s="0" t="n">
        <v>930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9917</v>
      </c>
      <c r="C7" s="0" t="n">
        <v>1703</v>
      </c>
      <c r="F7" s="0" t="n">
        <v>1518</v>
      </c>
      <c r="G7" s="0" t="n">
        <v>15.3070485025713</v>
      </c>
      <c r="I7" s="0" t="n">
        <v>4792</v>
      </c>
      <c r="J7" s="0" t="n">
        <v>48.3210648381567</v>
      </c>
      <c r="L7" s="0" t="n">
        <v>3884</v>
      </c>
      <c r="O7" s="0" t="n">
        <v>8165</v>
      </c>
      <c r="P7" s="0" t="n">
        <v>20645</v>
      </c>
      <c r="Q7" s="0" t="n">
        <v>12480</v>
      </c>
      <c r="R7" s="0" t="n">
        <v>1991</v>
      </c>
      <c r="S7" s="0" t="n">
        <v>6874</v>
      </c>
      <c r="T7" s="0" t="n">
        <v>662</v>
      </c>
      <c r="U7" s="0" t="n">
        <v>1120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11102</v>
      </c>
      <c r="C8" s="0" t="n">
        <v>1878</v>
      </c>
      <c r="F8" s="0" t="n">
        <v>2553</v>
      </c>
      <c r="G8" s="0" t="n">
        <v>22.995856602414</v>
      </c>
      <c r="I8" s="0" t="n">
        <v>2648</v>
      </c>
      <c r="J8" s="0" t="n">
        <v>23.8515582777878</v>
      </c>
      <c r="L8" s="0" t="n">
        <v>4518</v>
      </c>
      <c r="O8" s="0" t="n">
        <v>8412</v>
      </c>
      <c r="P8" s="0" t="n">
        <v>20959</v>
      </c>
      <c r="Q8" s="0" t="n">
        <v>12547</v>
      </c>
      <c r="R8" s="0" t="n">
        <v>1995</v>
      </c>
      <c r="S8" s="0" t="n">
        <v>6864</v>
      </c>
      <c r="T8" s="0" t="n">
        <v>645</v>
      </c>
      <c r="U8" s="0" t="n">
        <v>1407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12241</v>
      </c>
      <c r="C9" s="0" t="n">
        <v>2086</v>
      </c>
      <c r="F9" s="0" t="n">
        <v>2544</v>
      </c>
      <c r="G9" s="0" t="n">
        <v>20.7826157993628</v>
      </c>
      <c r="I9" s="0" t="n">
        <v>2511</v>
      </c>
      <c r="J9" s="0" t="n">
        <v>20.5130299812107</v>
      </c>
      <c r="L9" s="0" t="n">
        <v>4646</v>
      </c>
      <c r="O9" s="0" t="n">
        <v>8199</v>
      </c>
      <c r="P9" s="0" t="n">
        <v>22208</v>
      </c>
      <c r="Q9" s="0" t="n">
        <v>14009</v>
      </c>
      <c r="R9" s="0" t="n">
        <v>1999</v>
      </c>
      <c r="S9" s="0" t="n">
        <v>6560</v>
      </c>
      <c r="T9" s="0" t="n">
        <v>623</v>
      </c>
      <c r="U9" s="0" t="n">
        <v>1592</v>
      </c>
      <c r="AA9" s="0" t="s">
        <v>17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151.39</v>
      </c>
    </row>
    <row r="3" customFormat="false" ht="15" hidden="false" customHeight="false" outlineLevel="0" collapsed="false">
      <c r="A3" s="0" t="s">
        <v>74</v>
      </c>
      <c r="B3" s="3" t="n">
        <v>597</v>
      </c>
    </row>
    <row r="4" customFormat="false" ht="15" hidden="false" customHeight="false" outlineLevel="0" collapsed="false">
      <c r="A4" s="0" t="s">
        <v>75</v>
      </c>
      <c r="B4" s="3" t="n">
        <v>-4345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12241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10</v>
      </c>
      <c r="D13" s="3" t="n">
        <v>7</v>
      </c>
      <c r="E13" s="3" t="n">
        <v>5</v>
      </c>
      <c r="F13" s="3" t="n">
        <v>4</v>
      </c>
      <c r="G13" s="3" t="n">
        <v>3.5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95</v>
      </c>
      <c r="C14" s="3" t="n">
        <v>34</v>
      </c>
      <c r="D14" s="3" t="n">
        <v>33</v>
      </c>
      <c r="E14" s="3" t="n">
        <v>32.5</v>
      </c>
      <c r="F14" s="3" t="n">
        <v>32</v>
      </c>
      <c r="G14" s="3" t="n">
        <v>32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96</v>
      </c>
      <c r="C15" s="3" t="n">
        <v>17.5</v>
      </c>
      <c r="D15" s="3" t="n">
        <v>17</v>
      </c>
      <c r="E15" s="3" t="n">
        <v>16.5</v>
      </c>
      <c r="F15" s="3" t="n">
        <v>16</v>
      </c>
      <c r="G15" s="3" t="n">
        <v>15.5</v>
      </c>
      <c r="H15" s="3" t="n">
        <v>15</v>
      </c>
      <c r="I15" s="3" t="n">
        <v>14.5</v>
      </c>
      <c r="J15" s="3" t="n">
        <v>14</v>
      </c>
      <c r="K15" s="3" t="n">
        <v>13.5</v>
      </c>
      <c r="L15" s="3" t="n">
        <v>13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99</v>
      </c>
      <c r="C18" s="3" t="n">
        <v>0.3</v>
      </c>
      <c r="D18" s="3" t="n">
        <v>0.3</v>
      </c>
      <c r="E18" s="3" t="n">
        <v>0.3</v>
      </c>
      <c r="F18" s="3" t="n">
        <v>0.3</v>
      </c>
      <c r="G18" s="3" t="n">
        <v>0.3</v>
      </c>
      <c r="H18" s="3" t="n">
        <v>0.3</v>
      </c>
      <c r="I18" s="3" t="n">
        <v>0.3</v>
      </c>
      <c r="J18" s="3" t="n">
        <v>0.3</v>
      </c>
      <c r="K18" s="3" t="n">
        <v>0.3</v>
      </c>
      <c r="L18" s="3" t="n">
        <v>0.3</v>
      </c>
    </row>
    <row r="19" customFormat="false" ht="15" hidden="false" customHeight="false" outlineLevel="0" collapsed="false">
      <c r="A19" s="0" t="s">
        <v>100</v>
      </c>
      <c r="C19" s="3" t="n">
        <v>12</v>
      </c>
      <c r="D19" s="3" t="n">
        <v>14</v>
      </c>
      <c r="E19" s="3" t="n">
        <v>16</v>
      </c>
      <c r="F19" s="3" t="n">
        <v>18</v>
      </c>
      <c r="G19" s="3" t="n">
        <v>20</v>
      </c>
      <c r="H19" s="3" t="n">
        <v>22</v>
      </c>
      <c r="I19" s="3" t="n">
        <v>23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101</v>
      </c>
      <c r="B20" s="3" t="n">
        <v>11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10</v>
      </c>
    </row>
    <row r="24" customFormat="false" ht="15" hidden="false" customHeight="false" outlineLevel="0" collapsed="false">
      <c r="A24" s="0" t="s">
        <v>105</v>
      </c>
      <c r="B24" s="3" t="n">
        <v>0.15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15</v>
      </c>
      <c r="D27" s="3" t="n">
        <v>13.5</v>
      </c>
      <c r="E27" s="3" t="n">
        <v>12</v>
      </c>
      <c r="F27" s="3" t="n">
        <v>10.5</v>
      </c>
      <c r="G27" s="3" t="n">
        <v>9</v>
      </c>
      <c r="H27" s="3" t="n">
        <v>7.5</v>
      </c>
      <c r="I27" s="3" t="n">
        <v>6.5</v>
      </c>
      <c r="J27" s="3" t="n">
        <v>5.5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95</v>
      </c>
      <c r="C28" s="3" t="n">
        <v>35.5</v>
      </c>
      <c r="D28" s="3" t="n">
        <v>36</v>
      </c>
      <c r="E28" s="3" t="n">
        <v>36.5</v>
      </c>
      <c r="F28" s="3" t="n">
        <v>37</v>
      </c>
      <c r="G28" s="3" t="n">
        <v>37.5</v>
      </c>
      <c r="H28" s="3" t="n">
        <v>38</v>
      </c>
      <c r="I28" s="3" t="n">
        <v>38</v>
      </c>
      <c r="J28" s="3" t="n">
        <v>38</v>
      </c>
      <c r="K28" s="3" t="n">
        <v>38</v>
      </c>
      <c r="L28" s="3" t="n">
        <v>38</v>
      </c>
    </row>
    <row r="29" customFormat="false" ht="15" hidden="false" customHeight="false" outlineLevel="0" collapsed="false">
      <c r="A29" s="0" t="s">
        <v>96</v>
      </c>
      <c r="C29" s="3" t="n">
        <v>16.5</v>
      </c>
      <c r="D29" s="3" t="n">
        <v>15.5</v>
      </c>
      <c r="E29" s="3" t="n">
        <v>14.5</v>
      </c>
      <c r="F29" s="3" t="n">
        <v>13.5</v>
      </c>
      <c r="G29" s="3" t="n">
        <v>12.5</v>
      </c>
      <c r="H29" s="3" t="n">
        <v>11.8</v>
      </c>
      <c r="I29" s="3" t="n">
        <v>11.2</v>
      </c>
      <c r="J29" s="3" t="n">
        <v>10.7</v>
      </c>
      <c r="K29" s="3" t="n">
        <v>10.3</v>
      </c>
      <c r="L29" s="3" t="n">
        <v>10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1.8</v>
      </c>
      <c r="D31" s="3" t="n">
        <v>1.8</v>
      </c>
      <c r="E31" s="3" t="n">
        <v>1.8</v>
      </c>
      <c r="F31" s="3" t="n">
        <v>1.8</v>
      </c>
      <c r="G31" s="3" t="n">
        <v>1.8</v>
      </c>
      <c r="H31" s="3" t="n">
        <v>1.8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99</v>
      </c>
      <c r="C32" s="3" t="n">
        <v>0.3</v>
      </c>
      <c r="D32" s="3" t="n">
        <v>0.3</v>
      </c>
      <c r="E32" s="3" t="n">
        <v>0.3</v>
      </c>
      <c r="F32" s="3" t="n">
        <v>0.3</v>
      </c>
      <c r="G32" s="3" t="n">
        <v>0.3</v>
      </c>
      <c r="H32" s="3" t="n">
        <v>0.3</v>
      </c>
      <c r="I32" s="3" t="n">
        <v>0.3</v>
      </c>
      <c r="J32" s="3" t="n">
        <v>0.3</v>
      </c>
      <c r="K32" s="3" t="n">
        <v>0.3</v>
      </c>
      <c r="L32" s="3" t="n">
        <v>0.3</v>
      </c>
    </row>
    <row r="33" customFormat="false" ht="15" hidden="false" customHeight="false" outlineLevel="0" collapsed="false">
      <c r="A33" s="0" t="s">
        <v>100</v>
      </c>
      <c r="C33" s="3" t="n">
        <v>10</v>
      </c>
      <c r="D33" s="3" t="n">
        <v>12</v>
      </c>
      <c r="E33" s="3" t="n">
        <v>14</v>
      </c>
      <c r="F33" s="3" t="n">
        <v>16</v>
      </c>
      <c r="G33" s="3" t="n">
        <v>18</v>
      </c>
      <c r="H33" s="3" t="n">
        <v>20</v>
      </c>
      <c r="I33" s="3" t="n">
        <v>21</v>
      </c>
      <c r="J33" s="3" t="n">
        <v>22</v>
      </c>
      <c r="K33" s="3" t="n">
        <v>23</v>
      </c>
      <c r="L33" s="3" t="n">
        <v>24</v>
      </c>
    </row>
    <row r="34" customFormat="false" ht="15" hidden="false" customHeight="false" outlineLevel="0" collapsed="false">
      <c r="A34" s="0" t="s">
        <v>101</v>
      </c>
      <c r="B34" s="3" t="n">
        <v>9</v>
      </c>
    </row>
    <row r="35" customFormat="false" ht="15" hidden="false" customHeight="false" outlineLevel="0" collapsed="false">
      <c r="A35" s="0" t="s">
        <v>102</v>
      </c>
      <c r="B35" s="3" t="n">
        <v>3</v>
      </c>
    </row>
    <row r="36" customFormat="false" ht="15" hidden="false" customHeight="false" outlineLevel="0" collapsed="false">
      <c r="A36" s="0" t="s">
        <v>103</v>
      </c>
      <c r="B36" s="3" t="n">
        <v>20</v>
      </c>
    </row>
    <row r="37" customFormat="false" ht="15" hidden="false" customHeight="false" outlineLevel="0" collapsed="false">
      <c r="A37" s="0" t="s">
        <v>104</v>
      </c>
      <c r="B37" s="3" t="n">
        <v>13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19</v>
      </c>
      <c r="D41" s="3" t="n">
        <v>17</v>
      </c>
      <c r="E41" s="3" t="n">
        <v>15.5</v>
      </c>
      <c r="F41" s="3" t="n">
        <v>14</v>
      </c>
      <c r="G41" s="3" t="n">
        <v>12</v>
      </c>
      <c r="H41" s="3" t="n">
        <v>10</v>
      </c>
      <c r="I41" s="3" t="n">
        <v>8.5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95</v>
      </c>
      <c r="C42" s="3" t="n">
        <v>36</v>
      </c>
      <c r="D42" s="3" t="n">
        <v>37</v>
      </c>
      <c r="E42" s="3" t="n">
        <v>38</v>
      </c>
      <c r="F42" s="3" t="n">
        <v>39</v>
      </c>
      <c r="G42" s="3" t="n">
        <v>40</v>
      </c>
      <c r="H42" s="3" t="n">
        <v>40.5</v>
      </c>
      <c r="I42" s="3" t="n">
        <v>41</v>
      </c>
      <c r="J42" s="3" t="n">
        <v>41</v>
      </c>
      <c r="K42" s="3" t="n">
        <v>41</v>
      </c>
      <c r="L42" s="3" t="n">
        <v>41</v>
      </c>
    </row>
    <row r="43" customFormat="false" ht="15" hidden="false" customHeight="false" outlineLevel="0" collapsed="false">
      <c r="A43" s="0" t="s">
        <v>96</v>
      </c>
      <c r="C43" s="3" t="n">
        <v>16</v>
      </c>
      <c r="D43" s="3" t="n">
        <v>14.5</v>
      </c>
      <c r="E43" s="3" t="n">
        <v>13</v>
      </c>
      <c r="F43" s="3" t="n">
        <v>11.5</v>
      </c>
      <c r="G43" s="3" t="n">
        <v>10.5</v>
      </c>
      <c r="H43" s="3" t="n">
        <v>9.5</v>
      </c>
      <c r="I43" s="3" t="n">
        <v>9</v>
      </c>
      <c r="J43" s="3" t="n">
        <v>8.5</v>
      </c>
      <c r="K43" s="3" t="n">
        <v>8</v>
      </c>
      <c r="L43" s="3" t="n">
        <v>8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1.6</v>
      </c>
      <c r="D45" s="3" t="n">
        <v>1.6</v>
      </c>
      <c r="E45" s="3" t="n">
        <v>1.6</v>
      </c>
      <c r="F45" s="3" t="n">
        <v>1.6</v>
      </c>
      <c r="G45" s="3" t="n">
        <v>1.6</v>
      </c>
      <c r="H45" s="3" t="n">
        <v>1.6</v>
      </c>
      <c r="I45" s="3" t="n">
        <v>1.6</v>
      </c>
      <c r="J45" s="3" t="n">
        <v>1.6</v>
      </c>
      <c r="K45" s="3" t="n">
        <v>1.6</v>
      </c>
      <c r="L45" s="3" t="n">
        <v>1.6</v>
      </c>
    </row>
    <row r="46" customFormat="false" ht="15" hidden="false" customHeight="false" outlineLevel="0" collapsed="false">
      <c r="A46" s="0" t="s">
        <v>99</v>
      </c>
      <c r="C46" s="3" t="n">
        <v>0.3</v>
      </c>
      <c r="D46" s="3" t="n">
        <v>0.3</v>
      </c>
      <c r="E46" s="3" t="n">
        <v>0.3</v>
      </c>
      <c r="F46" s="3" t="n">
        <v>0.3</v>
      </c>
      <c r="G46" s="3" t="n">
        <v>0.3</v>
      </c>
      <c r="H46" s="3" t="n">
        <v>0.3</v>
      </c>
      <c r="I46" s="3" t="n">
        <v>0.3</v>
      </c>
      <c r="J46" s="3" t="n">
        <v>0.3</v>
      </c>
      <c r="K46" s="3" t="n">
        <v>0.3</v>
      </c>
      <c r="L46" s="3" t="n">
        <v>0.3</v>
      </c>
    </row>
    <row r="47" customFormat="false" ht="15" hidden="false" customHeight="false" outlineLevel="0" collapsed="false">
      <c r="A47" s="0" t="s">
        <v>100</v>
      </c>
      <c r="C47" s="3" t="n">
        <v>9</v>
      </c>
      <c r="D47" s="3" t="n">
        <v>10</v>
      </c>
      <c r="E47" s="3" t="n">
        <v>12</v>
      </c>
      <c r="F47" s="3" t="n">
        <v>14</v>
      </c>
      <c r="G47" s="3" t="n">
        <v>16</v>
      </c>
      <c r="H47" s="3" t="n">
        <v>18</v>
      </c>
      <c r="I47" s="3" t="n">
        <v>19</v>
      </c>
      <c r="J47" s="3" t="n">
        <v>20</v>
      </c>
      <c r="K47" s="3" t="n">
        <v>21</v>
      </c>
      <c r="L47" s="3" t="n">
        <v>22</v>
      </c>
    </row>
    <row r="48" customFormat="false" ht="15" hidden="false" customHeight="false" outlineLevel="0" collapsed="false">
      <c r="A48" s="0" t="s">
        <v>101</v>
      </c>
      <c r="B48" s="3" t="n">
        <v>8</v>
      </c>
    </row>
    <row r="49" customFormat="false" ht="15" hidden="false" customHeight="false" outlineLevel="0" collapsed="false">
      <c r="A49" s="0" t="s">
        <v>102</v>
      </c>
      <c r="B49" s="3" t="n">
        <v>3.5</v>
      </c>
    </row>
    <row r="50" customFormat="false" ht="15" hidden="false" customHeight="false" outlineLevel="0" collapsed="false">
      <c r="A50" s="0" t="s">
        <v>103</v>
      </c>
      <c r="B50" s="3" t="n">
        <v>20</v>
      </c>
    </row>
    <row r="51" customFormat="false" ht="15" hidden="false" customHeight="false" outlineLevel="0" collapsed="false">
      <c r="A51" s="0" t="s">
        <v>104</v>
      </c>
      <c r="B51" s="3" t="n">
        <v>15</v>
      </c>
    </row>
    <row r="52" customFormat="false" ht="15" hidden="false" customHeight="false" outlineLevel="0" collapsed="false">
      <c r="A52" s="0" t="s">
        <v>105</v>
      </c>
      <c r="B52" s="3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10</v>
      </c>
      <c r="D5" s="4" t="n">
        <f aca="false">Assumptions!D13</f>
        <v>7</v>
      </c>
      <c r="E5" s="4" t="n">
        <f aca="false">Assumptions!E13</f>
        <v>5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12241</v>
      </c>
      <c r="C6" s="0" t="n">
        <f aca="false">B6*(1+C5/100)</f>
        <v>13465.1</v>
      </c>
      <c r="D6" s="0" t="n">
        <f aca="false">C6*(1+D5/100)</f>
        <v>14407.657</v>
      </c>
      <c r="E6" s="0" t="n">
        <f aca="false">D6*(1+E5/100)</f>
        <v>15128.03985</v>
      </c>
      <c r="F6" s="0" t="n">
        <f aca="false">E6*(1+F5/100)</f>
        <v>15733.161444</v>
      </c>
      <c r="G6" s="0" t="n">
        <f aca="false">F6*(1+G5/100)</f>
        <v>16283.82209454</v>
      </c>
      <c r="H6" s="0" t="n">
        <f aca="false">G6*(1+H5/100)</f>
        <v>16772.3367573762</v>
      </c>
      <c r="I6" s="0" t="n">
        <f aca="false">H6*(1+I5/100)</f>
        <v>17275.5068600975</v>
      </c>
      <c r="J6" s="0" t="n">
        <f aca="false">I6*(1+J5/100)</f>
        <v>17793.7720659004</v>
      </c>
      <c r="K6" s="0" t="n">
        <f aca="false">J6*(1+K5/100)</f>
        <v>18327.5852278774</v>
      </c>
      <c r="L6" s="0" t="n">
        <f aca="false">K6*(1+L5/100)</f>
        <v>18877.4127847138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34</v>
      </c>
      <c r="D7" s="4" t="n">
        <f aca="false">Assumptions!D14</f>
        <v>33</v>
      </c>
      <c r="E7" s="4" t="n">
        <f aca="false">Assumptions!E14</f>
        <v>32.5</v>
      </c>
      <c r="F7" s="4" t="n">
        <f aca="false">Assumptions!F14</f>
        <v>32</v>
      </c>
      <c r="G7" s="4" t="n">
        <f aca="false">Assumptions!G14</f>
        <v>32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4578.134</v>
      </c>
      <c r="D8" s="0" t="n">
        <f aca="false">D6*D7/100</f>
        <v>4754.52681</v>
      </c>
      <c r="E8" s="0" t="n">
        <f aca="false">E6*E7/100</f>
        <v>4916.61295125</v>
      </c>
      <c r="F8" s="0" t="n">
        <f aca="false">F6*F7/100</f>
        <v>5034.61166208</v>
      </c>
      <c r="G8" s="0" t="n">
        <f aca="false">G6*G7/100</f>
        <v>5210.8230702528</v>
      </c>
      <c r="H8" s="0" t="n">
        <f aca="false">H6*H7/100</f>
        <v>5367.14776236038</v>
      </c>
      <c r="I8" s="0" t="n">
        <f aca="false">I6*I7/100</f>
        <v>5528.1621952312</v>
      </c>
      <c r="J8" s="0" t="n">
        <f aca="false">J6*J7/100</f>
        <v>5694.00706108813</v>
      </c>
      <c r="K8" s="0" t="n">
        <f aca="false">K6*K7/100</f>
        <v>5864.82727292078</v>
      </c>
      <c r="L8" s="0" t="n">
        <f aca="false">L6*L7/100</f>
        <v>6040.7720911084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17.5</v>
      </c>
      <c r="D9" s="4" t="n">
        <f aca="false">Assumptions!D15</f>
        <v>17</v>
      </c>
      <c r="E9" s="4" t="n">
        <f aca="false">Assumptions!E15</f>
        <v>16.5</v>
      </c>
      <c r="F9" s="4" t="n">
        <f aca="false">Assumptions!F15</f>
        <v>16</v>
      </c>
      <c r="G9" s="4" t="n">
        <f aca="false">Assumptions!G15</f>
        <v>15.5</v>
      </c>
      <c r="H9" s="4" t="n">
        <f aca="false">Assumptions!H15</f>
        <v>15</v>
      </c>
      <c r="I9" s="4" t="n">
        <f aca="false">Assumptions!I15</f>
        <v>14.5</v>
      </c>
      <c r="J9" s="4" t="n">
        <f aca="false">Assumptions!J15</f>
        <v>14</v>
      </c>
      <c r="K9" s="4" t="n">
        <f aca="false">Assumptions!K15</f>
        <v>13.5</v>
      </c>
      <c r="L9" s="4" t="n">
        <f aca="false">Assumptions!L15</f>
        <v>13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-2356.3925</v>
      </c>
      <c r="D10" s="0" t="n">
        <f aca="false">-D6*D9/100</f>
        <v>-2449.30169</v>
      </c>
      <c r="E10" s="0" t="n">
        <f aca="false">-E6*E9/100</f>
        <v>-2496.12657525</v>
      </c>
      <c r="F10" s="0" t="n">
        <f aca="false">-F6*F9/100</f>
        <v>-2517.30583104</v>
      </c>
      <c r="G10" s="0" t="n">
        <f aca="false">-G6*G9/100</f>
        <v>-2523.9924246537</v>
      </c>
      <c r="H10" s="0" t="n">
        <f aca="false">-H6*H9/100</f>
        <v>-2515.85051360643</v>
      </c>
      <c r="I10" s="0" t="n">
        <f aca="false">-I6*I9/100</f>
        <v>-2504.94849471414</v>
      </c>
      <c r="J10" s="0" t="n">
        <f aca="false">-J6*J9/100</f>
        <v>-2491.12808922606</v>
      </c>
      <c r="K10" s="0" t="n">
        <f aca="false">-K6*K9/100</f>
        <v>-2474.22400576345</v>
      </c>
      <c r="L10" s="0" t="n">
        <f aca="false">-L6*L9/100</f>
        <v>-2454.06366201279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2221.7415</v>
      </c>
      <c r="D11" s="0" t="n">
        <f aca="false">D8+D10+D24</f>
        <v>2305.22512</v>
      </c>
      <c r="E11" s="0" t="n">
        <f aca="false">E8+E10+E24</f>
        <v>2420.486376</v>
      </c>
      <c r="F11" s="0" t="n">
        <f aca="false">F8+F10+F24</f>
        <v>2517.30583104</v>
      </c>
      <c r="G11" s="0" t="n">
        <f aca="false">G8+G10+G24</f>
        <v>2686.8306455991</v>
      </c>
      <c r="H11" s="0" t="n">
        <f aca="false">H8+H10+H24</f>
        <v>2851.29724875395</v>
      </c>
      <c r="I11" s="0" t="n">
        <f aca="false">I8+I10+I24</f>
        <v>3023.21370051706</v>
      </c>
      <c r="J11" s="0" t="n">
        <f aca="false">J8+J10+J24</f>
        <v>3202.87897186207</v>
      </c>
      <c r="K11" s="0" t="n">
        <f aca="false">K8+K10+K24</f>
        <v>3390.60326715732</v>
      </c>
      <c r="L11" s="0" t="n">
        <f aca="false">L8+L10+L24</f>
        <v>3586.70842909561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-269.302</v>
      </c>
      <c r="D12" s="4" t="n">
        <f aca="false">-D6*Assumptions!D17/100</f>
        <v>-288.15314</v>
      </c>
      <c r="E12" s="4" t="n">
        <f aca="false">-E6*Assumptions!E17/100</f>
        <v>-302.560797</v>
      </c>
      <c r="F12" s="4" t="n">
        <f aca="false">-F6*Assumptions!F17/100</f>
        <v>-314.66322888</v>
      </c>
      <c r="G12" s="4" t="n">
        <f aca="false">-G6*Assumptions!G17/100</f>
        <v>-325.6764418908</v>
      </c>
      <c r="H12" s="4" t="n">
        <f aca="false">-H6*Assumptions!H17/100</f>
        <v>-335.446735147524</v>
      </c>
      <c r="I12" s="4" t="n">
        <f aca="false">-I6*Assumptions!I17/100</f>
        <v>-345.51013720195</v>
      </c>
      <c r="J12" s="4" t="n">
        <f aca="false">-J6*Assumptions!J17/100</f>
        <v>-355.875441318008</v>
      </c>
      <c r="K12" s="4" t="n">
        <f aca="false">-K6*Assumptions!K17/100</f>
        <v>-366.551704557549</v>
      </c>
      <c r="L12" s="4" t="n">
        <f aca="false">-L6*Assumptions!L17/100</f>
        <v>-377.548255694275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1952.4395</v>
      </c>
      <c r="D13" s="0" t="n">
        <f aca="false">D11+D12</f>
        <v>2017.07198</v>
      </c>
      <c r="E13" s="0" t="n">
        <f aca="false">E11+E12</f>
        <v>2117.925579</v>
      </c>
      <c r="F13" s="0" t="n">
        <f aca="false">F11+F12</f>
        <v>2202.64260216</v>
      </c>
      <c r="G13" s="0" t="n">
        <f aca="false">G11+G12</f>
        <v>2361.1542037083</v>
      </c>
      <c r="H13" s="0" t="n">
        <f aca="false">H11+H12</f>
        <v>2515.85051360643</v>
      </c>
      <c r="I13" s="0" t="n">
        <f aca="false">I11+I12</f>
        <v>2677.70356331511</v>
      </c>
      <c r="J13" s="0" t="n">
        <f aca="false">J11+J12</f>
        <v>2847.00353054407</v>
      </c>
      <c r="K13" s="0" t="n">
        <f aca="false">K11+K12</f>
        <v>3024.05156259978</v>
      </c>
      <c r="L13" s="0" t="n">
        <f aca="false">L11+L12</f>
        <v>3209.16017340134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12</v>
      </c>
      <c r="D14" s="4" t="n">
        <f aca="false">Assumptions!D19</f>
        <v>14</v>
      </c>
      <c r="E14" s="4" t="n">
        <f aca="false">Assumptions!E19</f>
        <v>16</v>
      </c>
      <c r="F14" s="4" t="n">
        <f aca="false">Assumptions!F19</f>
        <v>18</v>
      </c>
      <c r="G14" s="4" t="n">
        <f aca="false">Assumptions!G19</f>
        <v>20</v>
      </c>
      <c r="H14" s="4" t="n">
        <f aca="false">Assumptions!H19</f>
        <v>22</v>
      </c>
      <c r="I14" s="4" t="n">
        <f aca="false">Assumptions!I19</f>
        <v>23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1718.14676</v>
      </c>
      <c r="D15" s="0" t="n">
        <f aca="false">D13-MAX(0,D13)*D14/100</f>
        <v>1734.6819028</v>
      </c>
      <c r="E15" s="0" t="n">
        <f aca="false">E13-MAX(0,E13)*E14/100</f>
        <v>1779.05748636</v>
      </c>
      <c r="F15" s="0" t="n">
        <f aca="false">F13-MAX(0,F13)*F14/100</f>
        <v>1806.1669337712</v>
      </c>
      <c r="G15" s="0" t="n">
        <f aca="false">G13-MAX(0,G13)*G14/100</f>
        <v>1888.92336296664</v>
      </c>
      <c r="H15" s="0" t="n">
        <f aca="false">H13-MAX(0,H13)*H14/100</f>
        <v>1962.36340061302</v>
      </c>
      <c r="I15" s="0" t="n">
        <f aca="false">I13-MAX(0,I13)*I14/100</f>
        <v>2061.83174375264</v>
      </c>
      <c r="J15" s="0" t="n">
        <f aca="false">J13-MAX(0,J13)*J14/100</f>
        <v>2163.72268321349</v>
      </c>
      <c r="K15" s="0" t="n">
        <f aca="false">K13-MAX(0,K13)*K14/100</f>
        <v>2298.27918757583</v>
      </c>
      <c r="L15" s="0" t="n">
        <f aca="false">L13-MAX(0,L13)*L14/100</f>
        <v>2438.96173178502</v>
      </c>
    </row>
    <row r="16" customFormat="false" ht="15" hidden="false" customHeight="false" outlineLevel="0" collapsed="false">
      <c r="A16" s="0" t="s">
        <v>116</v>
      </c>
      <c r="C16" s="0" t="n">
        <f aca="false">-C12</f>
        <v>269.302</v>
      </c>
      <c r="D16" s="0" t="n">
        <f aca="false">-D12</f>
        <v>288.15314</v>
      </c>
      <c r="E16" s="0" t="n">
        <f aca="false">-E12</f>
        <v>302.560797</v>
      </c>
      <c r="F16" s="0" t="n">
        <f aca="false">-F12</f>
        <v>314.66322888</v>
      </c>
      <c r="G16" s="0" t="n">
        <f aca="false">-G12</f>
        <v>325.6764418908</v>
      </c>
      <c r="H16" s="0" t="n">
        <f aca="false">-H12</f>
        <v>335.446735147524</v>
      </c>
      <c r="I16" s="0" t="n">
        <f aca="false">-I12</f>
        <v>345.51013720195</v>
      </c>
      <c r="J16" s="0" t="n">
        <f aca="false">-J12</f>
        <v>355.875441318008</v>
      </c>
      <c r="K16" s="0" t="n">
        <f aca="false">-K12</f>
        <v>366.551704557549</v>
      </c>
      <c r="L16" s="0" t="n">
        <f aca="false">-L12</f>
        <v>377.548255694275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-40.3953</v>
      </c>
      <c r="D17" s="4" t="n">
        <f aca="false">-D6*Assumptions!D18/100</f>
        <v>-43.222971</v>
      </c>
      <c r="E17" s="4" t="n">
        <f aca="false">-E6*Assumptions!E18/100</f>
        <v>-45.38411955</v>
      </c>
      <c r="F17" s="4" t="n">
        <f aca="false">-F6*Assumptions!F18/100</f>
        <v>-47.199484332</v>
      </c>
      <c r="G17" s="4" t="n">
        <f aca="false">-G6*Assumptions!G18/100</f>
        <v>-48.85146628362</v>
      </c>
      <c r="H17" s="4" t="n">
        <f aca="false">-H6*Assumptions!H18/100</f>
        <v>-50.3170102721286</v>
      </c>
      <c r="I17" s="4" t="n">
        <f aca="false">-I6*Assumptions!I18/100</f>
        <v>-51.8265205802925</v>
      </c>
      <c r="J17" s="4" t="n">
        <f aca="false">-J6*Assumptions!J18/100</f>
        <v>-53.3813161977012</v>
      </c>
      <c r="K17" s="4" t="n">
        <f aca="false">-K6*Assumptions!K18/100</f>
        <v>-54.9827556836323</v>
      </c>
      <c r="L17" s="4" t="n">
        <f aca="false">-L6*Assumptions!L18/100</f>
        <v>-56.6322383541412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122.41</v>
      </c>
      <c r="D18" s="4" t="n">
        <f aca="false">(D6-C6)*Assumptions!$B$23/100</f>
        <v>94.2557000000001</v>
      </c>
      <c r="E18" s="4" t="n">
        <f aca="false">(E6-D6)*Assumptions!$B$23/100</f>
        <v>72.038285</v>
      </c>
      <c r="F18" s="4" t="n">
        <f aca="false">(F6-E6)*Assumptions!$B$23/100</f>
        <v>60.5121594</v>
      </c>
      <c r="G18" s="4" t="n">
        <f aca="false">(G6-F6)*Assumptions!$B$23/100</f>
        <v>55.066065054</v>
      </c>
      <c r="H18" s="4" t="n">
        <f aca="false">(H6-G6)*Assumptions!$B$23/100</f>
        <v>48.85146628362</v>
      </c>
      <c r="I18" s="4" t="n">
        <f aca="false">(I6-H6)*Assumptions!$B$23/100</f>
        <v>50.3170102721288</v>
      </c>
      <c r="J18" s="4" t="n">
        <f aca="false">(J6-I6)*Assumptions!$B$23/100</f>
        <v>51.8265205802923</v>
      </c>
      <c r="K18" s="4" t="n">
        <f aca="false">(K6-J6)*Assumptions!$B$23/100</f>
        <v>53.3813161977014</v>
      </c>
      <c r="L18" s="4" t="n">
        <f aca="false">(L6-K6)*Assumptions!$B$23/100</f>
        <v>54.9827556836324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2069.46346</v>
      </c>
      <c r="D19" s="0" t="n">
        <f aca="false">D15+D16+D17+D18</f>
        <v>2073.8677718</v>
      </c>
      <c r="E19" s="0" t="n">
        <f aca="false">E15+E16+E17+E18</f>
        <v>2108.27244881</v>
      </c>
      <c r="F19" s="0" t="n">
        <f aca="false">F15+F16+F17+F18</f>
        <v>2134.1428377192</v>
      </c>
      <c r="G19" s="0" t="n">
        <f aca="false">G15+G16+G17+G18</f>
        <v>2220.81440362782</v>
      </c>
      <c r="H19" s="0" t="n">
        <f aca="false">H15+H16+H17+H18</f>
        <v>2296.34459177203</v>
      </c>
      <c r="I19" s="0" t="n">
        <f aca="false">I15+I16+I17+I18</f>
        <v>2405.83237064642</v>
      </c>
      <c r="J19" s="0" t="n">
        <f aca="false">J15+J16+J17+J18</f>
        <v>2518.04332891409</v>
      </c>
      <c r="K19" s="0" t="n">
        <f aca="false">K15+K16+K17+K18</f>
        <v>2663.22945264745</v>
      </c>
      <c r="L19" s="0" t="n">
        <f aca="false">L15+L16+L17+L18</f>
        <v>2814.86050480878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1864.3814954955</v>
      </c>
      <c r="D21" s="0" t="n">
        <f aca="false">D19*D20</f>
        <v>1683.19760717474</v>
      </c>
      <c r="E21" s="0" t="n">
        <f aca="false">E19*E20</f>
        <v>1541.55064400412</v>
      </c>
      <c r="F21" s="0" t="n">
        <f aca="false">F19*F20</f>
        <v>1405.82599045534</v>
      </c>
      <c r="G21" s="0" t="n">
        <f aca="false">G19*G20</f>
        <v>1317.94525720451</v>
      </c>
      <c r="H21" s="0" t="n">
        <f aca="false">H19*H20</f>
        <v>1227.71959249297</v>
      </c>
      <c r="I21" s="0" t="n">
        <f aca="false">I19*I20</f>
        <v>1158.78939651521</v>
      </c>
      <c r="J21" s="0" t="n">
        <f aca="false">J19*J20</f>
        <v>1092.6457192423</v>
      </c>
      <c r="K21" s="0" t="n">
        <f aca="false">K19*K20</f>
        <v>1041.12236506757</v>
      </c>
      <c r="L21" s="0" t="n">
        <f aca="false">L19*L20</f>
        <v>991.350179708914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13324.5282473612</v>
      </c>
    </row>
    <row r="31" customFormat="false" ht="15" hidden="false" customHeight="false" outlineLevel="0" collapsed="false">
      <c r="A31" s="0" t="s">
        <v>125</v>
      </c>
      <c r="B31" s="0" t="n">
        <f aca="false">L19</f>
        <v>2814.86050480878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31901.7523878329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42222.9075721317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31901.7523878329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11235.302036701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24559.8302840622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28904.8302840622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48.4168011458328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-0.68018494520224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14556.1155433068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9795.20882576711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89.2062892012329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22085.828576192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35.2692330664112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15</v>
      </c>
      <c r="D5" s="4" t="n">
        <f aca="false">Assumptions!D27</f>
        <v>13.5</v>
      </c>
      <c r="E5" s="4" t="n">
        <f aca="false">Assumptions!E27</f>
        <v>12</v>
      </c>
      <c r="F5" s="4" t="n">
        <f aca="false">Assumptions!F27</f>
        <v>10.5</v>
      </c>
      <c r="G5" s="4" t="n">
        <f aca="false">Assumptions!G27</f>
        <v>9</v>
      </c>
      <c r="H5" s="4" t="n">
        <f aca="false">Assumptions!H27</f>
        <v>7.5</v>
      </c>
      <c r="I5" s="4" t="n">
        <f aca="false">Assumptions!I27</f>
        <v>6.5</v>
      </c>
      <c r="J5" s="4" t="n">
        <f aca="false">Assumptions!J27</f>
        <v>5.5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37</v>
      </c>
      <c r="B6" s="3" t="n">
        <v>12241</v>
      </c>
      <c r="C6" s="0" t="n">
        <f aca="false">B6*(1+C5/100)</f>
        <v>14077.15</v>
      </c>
      <c r="D6" s="0" t="n">
        <f aca="false">C6*(1+D5/100)</f>
        <v>15977.56525</v>
      </c>
      <c r="E6" s="0" t="n">
        <f aca="false">D6*(1+E5/100)</f>
        <v>17894.87308</v>
      </c>
      <c r="F6" s="0" t="n">
        <f aca="false">E6*(1+F5/100)</f>
        <v>19773.8347534</v>
      </c>
      <c r="G6" s="0" t="n">
        <f aca="false">F6*(1+G5/100)</f>
        <v>21553.479881206</v>
      </c>
      <c r="H6" s="0" t="n">
        <f aca="false">G6*(1+H5/100)</f>
        <v>23169.9908722965</v>
      </c>
      <c r="I6" s="0" t="n">
        <f aca="false">H6*(1+I5/100)</f>
        <v>24676.0402789957</v>
      </c>
      <c r="J6" s="0" t="n">
        <f aca="false">I6*(1+J5/100)</f>
        <v>26033.2224943405</v>
      </c>
      <c r="K6" s="0" t="n">
        <f aca="false">J6*(1+K5/100)</f>
        <v>27334.8836190575</v>
      </c>
      <c r="L6" s="0" t="n">
        <f aca="false">K6*(1+L5/100)</f>
        <v>28564.9533819151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35.5</v>
      </c>
      <c r="D7" s="4" t="n">
        <f aca="false">Assumptions!D28</f>
        <v>36</v>
      </c>
      <c r="E7" s="4" t="n">
        <f aca="false">Assumptions!E28</f>
        <v>36.5</v>
      </c>
      <c r="F7" s="4" t="n">
        <f aca="false">Assumptions!F28</f>
        <v>37</v>
      </c>
      <c r="G7" s="4" t="n">
        <f aca="false">Assumptions!G28</f>
        <v>37.5</v>
      </c>
      <c r="H7" s="4" t="n">
        <f aca="false">Assumptions!H28</f>
        <v>38</v>
      </c>
      <c r="I7" s="4" t="n">
        <f aca="false">Assumptions!I28</f>
        <v>38</v>
      </c>
      <c r="J7" s="4" t="n">
        <f aca="false">Assumptions!J28</f>
        <v>38</v>
      </c>
      <c r="K7" s="4" t="n">
        <f aca="false">Assumptions!K28</f>
        <v>38</v>
      </c>
      <c r="L7" s="4" t="n">
        <f aca="false">Assumptions!L28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4997.38825</v>
      </c>
      <c r="D8" s="0" t="n">
        <f aca="false">D6*D7/100</f>
        <v>5751.92349</v>
      </c>
      <c r="E8" s="0" t="n">
        <f aca="false">E6*E7/100</f>
        <v>6531.6286742</v>
      </c>
      <c r="F8" s="0" t="n">
        <f aca="false">F6*F7/100</f>
        <v>7316.318858758</v>
      </c>
      <c r="G8" s="0" t="n">
        <f aca="false">G6*G7/100</f>
        <v>8082.55495545225</v>
      </c>
      <c r="H8" s="0" t="n">
        <f aca="false">H6*H7/100</f>
        <v>8804.59653147265</v>
      </c>
      <c r="I8" s="0" t="n">
        <f aca="false">I6*I7/100</f>
        <v>9376.89530601837</v>
      </c>
      <c r="J8" s="0" t="n">
        <f aca="false">J6*J7/100</f>
        <v>9892.62454784939</v>
      </c>
      <c r="K8" s="0" t="n">
        <f aca="false">K6*K7/100</f>
        <v>10387.2557752419</v>
      </c>
      <c r="L8" s="0" t="n">
        <f aca="false">L6*L7/100</f>
        <v>10854.6822851277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16.5</v>
      </c>
      <c r="D9" s="4" t="n">
        <f aca="false">Assumptions!D29</f>
        <v>15.5</v>
      </c>
      <c r="E9" s="4" t="n">
        <f aca="false">Assumptions!E29</f>
        <v>14.5</v>
      </c>
      <c r="F9" s="4" t="n">
        <f aca="false">Assumptions!F29</f>
        <v>13.5</v>
      </c>
      <c r="G9" s="4" t="n">
        <f aca="false">Assumptions!G29</f>
        <v>12.5</v>
      </c>
      <c r="H9" s="4" t="n">
        <f aca="false">Assumptions!H29</f>
        <v>11.8</v>
      </c>
      <c r="I9" s="4" t="n">
        <f aca="false">Assumptions!I29</f>
        <v>11.2</v>
      </c>
      <c r="J9" s="4" t="n">
        <f aca="false">Assumptions!J29</f>
        <v>10.7</v>
      </c>
      <c r="K9" s="4" t="n">
        <f aca="false">Assumptions!K29</f>
        <v>10.3</v>
      </c>
      <c r="L9" s="4" t="n">
        <f aca="false">Assumptions!L29</f>
        <v>10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-2322.72975</v>
      </c>
      <c r="D10" s="0" t="n">
        <f aca="false">-D6*D9/100</f>
        <v>-2476.52261375</v>
      </c>
      <c r="E10" s="0" t="n">
        <f aca="false">-E6*E9/100</f>
        <v>-2594.7565966</v>
      </c>
      <c r="F10" s="0" t="n">
        <f aca="false">-F6*F9/100</f>
        <v>-2669.467691709</v>
      </c>
      <c r="G10" s="0" t="n">
        <f aca="false">-G6*G9/100</f>
        <v>-2694.18498515075</v>
      </c>
      <c r="H10" s="0" t="n">
        <f aca="false">-H6*H9/100</f>
        <v>-2734.05892293098</v>
      </c>
      <c r="I10" s="0" t="n">
        <f aca="false">-I6*I9/100</f>
        <v>-2763.71651124752</v>
      </c>
      <c r="J10" s="0" t="n">
        <f aca="false">-J6*J9/100</f>
        <v>-2785.55480689443</v>
      </c>
      <c r="K10" s="0" t="n">
        <f aca="false">-K6*K9/100</f>
        <v>-2815.49301276292</v>
      </c>
      <c r="L10" s="0" t="n">
        <f aca="false">-L6*L9/100</f>
        <v>-2856.49533819151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2674.6585</v>
      </c>
      <c r="D11" s="0" t="n">
        <f aca="false">D8+D10+D24</f>
        <v>3275.40087625</v>
      </c>
      <c r="E11" s="0" t="n">
        <f aca="false">E8+E10+E24</f>
        <v>3936.8720776</v>
      </c>
      <c r="F11" s="0" t="n">
        <f aca="false">F8+F10+F24</f>
        <v>4646.851167049</v>
      </c>
      <c r="G11" s="0" t="n">
        <f aca="false">G8+G10+G24</f>
        <v>5388.3699703015</v>
      </c>
      <c r="H11" s="0" t="n">
        <f aca="false">H8+H10+H24</f>
        <v>6070.53760854167</v>
      </c>
      <c r="I11" s="0" t="n">
        <f aca="false">I8+I10+I24</f>
        <v>6613.17879477085</v>
      </c>
      <c r="J11" s="0" t="n">
        <f aca="false">J8+J10+J24</f>
        <v>7107.06974095495</v>
      </c>
      <c r="K11" s="0" t="n">
        <f aca="false">K8+K10+K24</f>
        <v>7571.76276247893</v>
      </c>
      <c r="L11" s="0" t="n">
        <f aca="false">L8+L10+L24</f>
        <v>7998.18694693623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-253.3887</v>
      </c>
      <c r="D12" s="4" t="n">
        <f aca="false">-D6*Assumptions!D31/100</f>
        <v>-287.5961745</v>
      </c>
      <c r="E12" s="4" t="n">
        <f aca="false">-E6*Assumptions!E31/100</f>
        <v>-322.10771544</v>
      </c>
      <c r="F12" s="4" t="n">
        <f aca="false">-F6*Assumptions!F31/100</f>
        <v>-355.9290255612</v>
      </c>
      <c r="G12" s="4" t="n">
        <f aca="false">-G6*Assumptions!G31/100</f>
        <v>-387.962637861708</v>
      </c>
      <c r="H12" s="4" t="n">
        <f aca="false">-H6*Assumptions!H31/100</f>
        <v>-417.059835701336</v>
      </c>
      <c r="I12" s="4" t="n">
        <f aca="false">-I6*Assumptions!I31/100</f>
        <v>-444.168725021923</v>
      </c>
      <c r="J12" s="4" t="n">
        <f aca="false">-J6*Assumptions!J31/100</f>
        <v>-468.598004898129</v>
      </c>
      <c r="K12" s="4" t="n">
        <f aca="false">-K6*Assumptions!K31/100</f>
        <v>-492.027905143035</v>
      </c>
      <c r="L12" s="4" t="n">
        <f aca="false">-L6*Assumptions!L31/100</f>
        <v>-514.169160874472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2421.2698</v>
      </c>
      <c r="D13" s="0" t="n">
        <f aca="false">D11+D12</f>
        <v>2987.80470175</v>
      </c>
      <c r="E13" s="0" t="n">
        <f aca="false">E11+E12</f>
        <v>3614.76436216</v>
      </c>
      <c r="F13" s="0" t="n">
        <f aca="false">F11+F12</f>
        <v>4290.9221414878</v>
      </c>
      <c r="G13" s="0" t="n">
        <f aca="false">G11+G12</f>
        <v>5000.40733243979</v>
      </c>
      <c r="H13" s="0" t="n">
        <f aca="false">H11+H12</f>
        <v>5653.47777284034</v>
      </c>
      <c r="I13" s="0" t="n">
        <f aca="false">I11+I12</f>
        <v>6169.01006974893</v>
      </c>
      <c r="J13" s="0" t="n">
        <f aca="false">J11+J12</f>
        <v>6638.47173605683</v>
      </c>
      <c r="K13" s="0" t="n">
        <f aca="false">K11+K12</f>
        <v>7079.7348573359</v>
      </c>
      <c r="L13" s="0" t="n">
        <f aca="false">L11+L12</f>
        <v>7484.01778606176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10</v>
      </c>
      <c r="D14" s="4" t="n">
        <f aca="false">Assumptions!D33</f>
        <v>12</v>
      </c>
      <c r="E14" s="4" t="n">
        <f aca="false">Assumptions!E33</f>
        <v>14</v>
      </c>
      <c r="F14" s="4" t="n">
        <f aca="false">Assumptions!F33</f>
        <v>16</v>
      </c>
      <c r="G14" s="4" t="n">
        <f aca="false">Assumptions!G33</f>
        <v>18</v>
      </c>
      <c r="H14" s="4" t="n">
        <f aca="false">Assumptions!H33</f>
        <v>20</v>
      </c>
      <c r="I14" s="4" t="n">
        <f aca="false">Assumptions!I33</f>
        <v>21</v>
      </c>
      <c r="J14" s="4" t="n">
        <f aca="false">Assumptions!J33</f>
        <v>22</v>
      </c>
      <c r="K14" s="4" t="n">
        <f aca="false">Assumptions!K33</f>
        <v>23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2179.14282</v>
      </c>
      <c r="D15" s="0" t="n">
        <f aca="false">D13-MAX(0,D13)*D14/100</f>
        <v>2629.26813754</v>
      </c>
      <c r="E15" s="0" t="n">
        <f aca="false">E13-MAX(0,E13)*E14/100</f>
        <v>3108.6973514576</v>
      </c>
      <c r="F15" s="0" t="n">
        <f aca="false">F13-MAX(0,F13)*F14/100</f>
        <v>3604.37459884975</v>
      </c>
      <c r="G15" s="0" t="n">
        <f aca="false">G13-MAX(0,G13)*G14/100</f>
        <v>4100.33401260063</v>
      </c>
      <c r="H15" s="0" t="n">
        <f aca="false">H13-MAX(0,H13)*H14/100</f>
        <v>4522.78221827227</v>
      </c>
      <c r="I15" s="0" t="n">
        <f aca="false">I13-MAX(0,I13)*I14/100</f>
        <v>4873.51795510165</v>
      </c>
      <c r="J15" s="0" t="n">
        <f aca="false">J13-MAX(0,J13)*J14/100</f>
        <v>5178.00795412432</v>
      </c>
      <c r="K15" s="0" t="n">
        <f aca="false">K13-MAX(0,K13)*K14/100</f>
        <v>5451.39584014864</v>
      </c>
      <c r="L15" s="0" t="n">
        <f aca="false">L13-MAX(0,L13)*L14/100</f>
        <v>5687.85351740694</v>
      </c>
    </row>
    <row r="16" customFormat="false" ht="15" hidden="false" customHeight="false" outlineLevel="0" collapsed="false">
      <c r="A16" s="0" t="s">
        <v>116</v>
      </c>
      <c r="C16" s="0" t="n">
        <f aca="false">-C12</f>
        <v>253.3887</v>
      </c>
      <c r="D16" s="0" t="n">
        <f aca="false">-D12</f>
        <v>287.5961745</v>
      </c>
      <c r="E16" s="0" t="n">
        <f aca="false">-E12</f>
        <v>322.10771544</v>
      </c>
      <c r="F16" s="0" t="n">
        <f aca="false">-F12</f>
        <v>355.9290255612</v>
      </c>
      <c r="G16" s="0" t="n">
        <f aca="false">-G12</f>
        <v>387.962637861708</v>
      </c>
      <c r="H16" s="0" t="n">
        <f aca="false">-H12</f>
        <v>417.059835701336</v>
      </c>
      <c r="I16" s="0" t="n">
        <f aca="false">-I12</f>
        <v>444.168725021923</v>
      </c>
      <c r="J16" s="0" t="n">
        <f aca="false">-J12</f>
        <v>468.598004898129</v>
      </c>
      <c r="K16" s="0" t="n">
        <f aca="false">-K12</f>
        <v>492.027905143035</v>
      </c>
      <c r="L16" s="0" t="n">
        <f aca="false">-L12</f>
        <v>514.169160874472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-42.23145</v>
      </c>
      <c r="D17" s="4" t="n">
        <f aca="false">-D6*Assumptions!D32/100</f>
        <v>-47.93269575</v>
      </c>
      <c r="E17" s="4" t="n">
        <f aca="false">-E6*Assumptions!E32/100</f>
        <v>-53.68461924</v>
      </c>
      <c r="F17" s="4" t="n">
        <f aca="false">-F6*Assumptions!F32/100</f>
        <v>-59.3215042602</v>
      </c>
      <c r="G17" s="4" t="n">
        <f aca="false">-G6*Assumptions!G32/100</f>
        <v>-64.660439643618</v>
      </c>
      <c r="H17" s="4" t="n">
        <f aca="false">-H6*Assumptions!H32/100</f>
        <v>-69.5099726168894</v>
      </c>
      <c r="I17" s="4" t="n">
        <f aca="false">-I6*Assumptions!I32/100</f>
        <v>-74.0281208369872</v>
      </c>
      <c r="J17" s="4" t="n">
        <f aca="false">-J6*Assumptions!J32/100</f>
        <v>-78.0996674830215</v>
      </c>
      <c r="K17" s="4" t="n">
        <f aca="false">-K6*Assumptions!K32/100</f>
        <v>-82.0046508571725</v>
      </c>
      <c r="L17" s="4" t="n">
        <f aca="false">-L6*Assumptions!L32/100</f>
        <v>-85.6948601457453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238.6995</v>
      </c>
      <c r="D18" s="4" t="n">
        <f aca="false">(D6-C6)*Assumptions!$B$37/100</f>
        <v>247.0539825</v>
      </c>
      <c r="E18" s="4" t="n">
        <f aca="false">(E6-D6)*Assumptions!$B$37/100</f>
        <v>249.2500179</v>
      </c>
      <c r="F18" s="4" t="n">
        <f aca="false">(F6-E6)*Assumptions!$B$37/100</f>
        <v>244.265017542</v>
      </c>
      <c r="G18" s="4" t="n">
        <f aca="false">(G6-F6)*Assumptions!$B$37/100</f>
        <v>231.35386661478</v>
      </c>
      <c r="H18" s="4" t="n">
        <f aca="false">(H6-G6)*Assumptions!$B$37/100</f>
        <v>210.146428841759</v>
      </c>
      <c r="I18" s="4" t="n">
        <f aca="false">(I6-H6)*Assumptions!$B$37/100</f>
        <v>195.786422870905</v>
      </c>
      <c r="J18" s="4" t="n">
        <f aca="false">(J6-I6)*Assumptions!$B$37/100</f>
        <v>176.433687994819</v>
      </c>
      <c r="K18" s="4" t="n">
        <f aca="false">(K6-J6)*Assumptions!$B$37/100</f>
        <v>169.215946213213</v>
      </c>
      <c r="L18" s="4" t="n">
        <f aca="false">(L6-K6)*Assumptions!$B$37/100</f>
        <v>159.909069171486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2628.99957</v>
      </c>
      <c r="D19" s="0" t="n">
        <f aca="false">D15+D16+D17+D18</f>
        <v>3115.98559879</v>
      </c>
      <c r="E19" s="0" t="n">
        <f aca="false">E15+E16+E17+E18</f>
        <v>3626.3704655576</v>
      </c>
      <c r="F19" s="0" t="n">
        <f aca="false">F15+F16+F17+F18</f>
        <v>4145.24713769275</v>
      </c>
      <c r="G19" s="0" t="n">
        <f aca="false">G15+G16+G17+G18</f>
        <v>4654.9900774335</v>
      </c>
      <c r="H19" s="0" t="n">
        <f aca="false">H15+H16+H17+H18</f>
        <v>5080.47851019847</v>
      </c>
      <c r="I19" s="0" t="n">
        <f aca="false">I15+I16+I17+I18</f>
        <v>5439.4449821575</v>
      </c>
      <c r="J19" s="0" t="n">
        <f aca="false">J15+J16+J17+J18</f>
        <v>5744.93997953425</v>
      </c>
      <c r="K19" s="0" t="n">
        <f aca="false">K15+K16+K17+K18</f>
        <v>6030.63504064772</v>
      </c>
      <c r="L19" s="0" t="n">
        <f aca="false">L15+L16+L17+L18</f>
        <v>6276.23688730715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2411.92621100917</v>
      </c>
      <c r="D21" s="0" t="n">
        <f aca="false">D19*D20</f>
        <v>2622.66273780827</v>
      </c>
      <c r="E21" s="0" t="n">
        <f aca="false">E19*E20</f>
        <v>2800.22336608493</v>
      </c>
      <c r="F21" s="0" t="n">
        <f aca="false">F19*F20</f>
        <v>2936.59757843739</v>
      </c>
      <c r="G21" s="0" t="n">
        <f aca="false">G19*G20</f>
        <v>3025.4241542314</v>
      </c>
      <c r="H21" s="0" t="n">
        <f aca="false">H19*H20</f>
        <v>3029.32334054334</v>
      </c>
      <c r="I21" s="0" t="n">
        <f aca="false">I19*I20</f>
        <v>2975.5626781813</v>
      </c>
      <c r="J21" s="0" t="n">
        <f aca="false">J19*J20</f>
        <v>2883.1916544722</v>
      </c>
      <c r="K21" s="0" t="n">
        <f aca="false">K19*K20</f>
        <v>2776.67190083863</v>
      </c>
      <c r="L21" s="0" t="n">
        <f aca="false">L19*L20</f>
        <v>2651.1502878359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28112.7339094425</v>
      </c>
    </row>
    <row r="31" customFormat="false" ht="15" hidden="false" customHeight="false" outlineLevel="0" collapsed="false">
      <c r="A31" s="0" t="s">
        <v>125</v>
      </c>
      <c r="B31" s="0" t="n">
        <f aca="false">L19</f>
        <v>6276.23688730715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107742.066565439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125524.737746143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107742.066565439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45511.4132745163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73624.1471839588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77969.1471839588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130.601586572795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-0.137316952422252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16904.1653403518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20713.5489286704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193.612833254575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53871.0332827197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64.919844590122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19</v>
      </c>
      <c r="D5" s="4" t="n">
        <f aca="false">Assumptions!D41</f>
        <v>17</v>
      </c>
      <c r="E5" s="4" t="n">
        <f aca="false">Assumptions!E41</f>
        <v>15.5</v>
      </c>
      <c r="F5" s="4" t="n">
        <f aca="false">Assumptions!F41</f>
        <v>14</v>
      </c>
      <c r="G5" s="4" t="n">
        <f aca="false">Assumptions!G41</f>
        <v>12</v>
      </c>
      <c r="H5" s="4" t="n">
        <f aca="false">Assumptions!H41</f>
        <v>10</v>
      </c>
      <c r="I5" s="4" t="n">
        <f aca="false">Assumptions!I41</f>
        <v>8.5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12241</v>
      </c>
      <c r="C6" s="0" t="n">
        <f aca="false">B6*(1+C5/100)</f>
        <v>14566.79</v>
      </c>
      <c r="D6" s="0" t="n">
        <f aca="false">C6*(1+D5/100)</f>
        <v>17043.1443</v>
      </c>
      <c r="E6" s="0" t="n">
        <f aca="false">D6*(1+E5/100)</f>
        <v>19684.8316665</v>
      </c>
      <c r="F6" s="0" t="n">
        <f aca="false">E6*(1+F5/100)</f>
        <v>22440.70809981</v>
      </c>
      <c r="G6" s="0" t="n">
        <f aca="false">F6*(1+G5/100)</f>
        <v>25133.5930717872</v>
      </c>
      <c r="H6" s="0" t="n">
        <f aca="false">G6*(1+H5/100)</f>
        <v>27646.9523789659</v>
      </c>
      <c r="I6" s="0" t="n">
        <f aca="false">H6*(1+I5/100)</f>
        <v>29996.943331178</v>
      </c>
      <c r="J6" s="0" t="n">
        <f aca="false">I6*(1+J5/100)</f>
        <v>32096.7293643605</v>
      </c>
      <c r="K6" s="0" t="n">
        <f aca="false">J6*(1+K5/100)</f>
        <v>34022.5331262221</v>
      </c>
      <c r="L6" s="0" t="n">
        <f aca="false">K6*(1+L5/100)</f>
        <v>35723.6597825332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36</v>
      </c>
      <c r="D7" s="4" t="n">
        <f aca="false">Assumptions!D42</f>
        <v>37</v>
      </c>
      <c r="E7" s="4" t="n">
        <f aca="false">Assumptions!E42</f>
        <v>38</v>
      </c>
      <c r="F7" s="4" t="n">
        <f aca="false">Assumptions!F42</f>
        <v>39</v>
      </c>
      <c r="G7" s="4" t="n">
        <f aca="false">Assumptions!G42</f>
        <v>40</v>
      </c>
      <c r="H7" s="4" t="n">
        <f aca="false">Assumptions!H42</f>
        <v>40.5</v>
      </c>
      <c r="I7" s="4" t="n">
        <f aca="false">Assumptions!I42</f>
        <v>41</v>
      </c>
      <c r="J7" s="4" t="n">
        <f aca="false">Assumptions!J42</f>
        <v>41</v>
      </c>
      <c r="K7" s="4" t="n">
        <f aca="false">Assumptions!K42</f>
        <v>41</v>
      </c>
      <c r="L7" s="4" t="n">
        <f aca="false">Assumptions!L42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5244.0444</v>
      </c>
      <c r="D8" s="0" t="n">
        <f aca="false">D6*D7/100</f>
        <v>6305.963391</v>
      </c>
      <c r="E8" s="0" t="n">
        <f aca="false">E6*E7/100</f>
        <v>7480.23603327</v>
      </c>
      <c r="F8" s="0" t="n">
        <f aca="false">F6*F7/100</f>
        <v>8751.8761589259</v>
      </c>
      <c r="G8" s="0" t="n">
        <f aca="false">G6*G7/100</f>
        <v>10053.4372287149</v>
      </c>
      <c r="H8" s="0" t="n">
        <f aca="false">H6*H7/100</f>
        <v>11197.0157134812</v>
      </c>
      <c r="I8" s="0" t="n">
        <f aca="false">I6*I7/100</f>
        <v>12298.746765783</v>
      </c>
      <c r="J8" s="0" t="n">
        <f aca="false">J6*J7/100</f>
        <v>13159.6590393878</v>
      </c>
      <c r="K8" s="0" t="n">
        <f aca="false">K6*K7/100</f>
        <v>13949.2385817511</v>
      </c>
      <c r="L8" s="0" t="n">
        <f aca="false">L6*L7/100</f>
        <v>14646.7005108386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16</v>
      </c>
      <c r="D9" s="4" t="n">
        <f aca="false">Assumptions!D43</f>
        <v>14.5</v>
      </c>
      <c r="E9" s="4" t="n">
        <f aca="false">Assumptions!E43</f>
        <v>13</v>
      </c>
      <c r="F9" s="4" t="n">
        <f aca="false">Assumptions!F43</f>
        <v>11.5</v>
      </c>
      <c r="G9" s="4" t="n">
        <f aca="false">Assumptions!G43</f>
        <v>10.5</v>
      </c>
      <c r="H9" s="4" t="n">
        <f aca="false">Assumptions!H43</f>
        <v>9.5</v>
      </c>
      <c r="I9" s="4" t="n">
        <f aca="false">Assumptions!I43</f>
        <v>9</v>
      </c>
      <c r="J9" s="4" t="n">
        <f aca="false">Assumptions!J43</f>
        <v>8.5</v>
      </c>
      <c r="K9" s="4" t="n">
        <f aca="false">Assumptions!K43</f>
        <v>8</v>
      </c>
      <c r="L9" s="4" t="n">
        <f aca="false">Assumptions!L43</f>
        <v>8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-2330.6864</v>
      </c>
      <c r="D10" s="0" t="n">
        <f aca="false">-D6*D9/100</f>
        <v>-2471.2559235</v>
      </c>
      <c r="E10" s="0" t="n">
        <f aca="false">-E6*E9/100</f>
        <v>-2559.028116645</v>
      </c>
      <c r="F10" s="0" t="n">
        <f aca="false">-F6*F9/100</f>
        <v>-2580.68143147815</v>
      </c>
      <c r="G10" s="0" t="n">
        <f aca="false">-G6*G9/100</f>
        <v>-2639.02727253766</v>
      </c>
      <c r="H10" s="0" t="n">
        <f aca="false">-H6*H9/100</f>
        <v>-2626.46047600176</v>
      </c>
      <c r="I10" s="0" t="n">
        <f aca="false">-I6*I9/100</f>
        <v>-2699.72489980602</v>
      </c>
      <c r="J10" s="0" t="n">
        <f aca="false">-J6*J9/100</f>
        <v>-2728.22199597064</v>
      </c>
      <c r="K10" s="0" t="n">
        <f aca="false">-K6*K9/100</f>
        <v>-2721.80265009777</v>
      </c>
      <c r="L10" s="0" t="n">
        <f aca="false">-L6*L9/100</f>
        <v>-2857.89278260266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2913.358</v>
      </c>
      <c r="D11" s="0" t="n">
        <f aca="false">D8+D10+D24</f>
        <v>3834.7074675</v>
      </c>
      <c r="E11" s="0" t="n">
        <f aca="false">E8+E10+E24</f>
        <v>4921.207916625</v>
      </c>
      <c r="F11" s="0" t="n">
        <f aca="false">F8+F10+F24</f>
        <v>6171.19472744775</v>
      </c>
      <c r="G11" s="0" t="n">
        <f aca="false">G8+G10+G24</f>
        <v>7414.40995617722</v>
      </c>
      <c r="H11" s="0" t="n">
        <f aca="false">H8+H10+H24</f>
        <v>8570.55523747944</v>
      </c>
      <c r="I11" s="0" t="n">
        <f aca="false">I8+I10+I24</f>
        <v>9599.02186597697</v>
      </c>
      <c r="J11" s="0" t="n">
        <f aca="false">J8+J10+J24</f>
        <v>10431.4370434172</v>
      </c>
      <c r="K11" s="0" t="n">
        <f aca="false">K8+K10+K24</f>
        <v>11227.4359316533</v>
      </c>
      <c r="L11" s="0" t="n">
        <f aca="false">L8+L10+L24</f>
        <v>11788.807728236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-233.06864</v>
      </c>
      <c r="D12" s="4" t="n">
        <f aca="false">-D6*Assumptions!D45/100</f>
        <v>-272.6903088</v>
      </c>
      <c r="E12" s="4" t="n">
        <f aca="false">-E6*Assumptions!E45/100</f>
        <v>-314.957306664</v>
      </c>
      <c r="F12" s="4" t="n">
        <f aca="false">-F6*Assumptions!F45/100</f>
        <v>-359.05132959696</v>
      </c>
      <c r="G12" s="4" t="n">
        <f aca="false">-G6*Assumptions!G45/100</f>
        <v>-402.137489148595</v>
      </c>
      <c r="H12" s="4" t="n">
        <f aca="false">-H6*Assumptions!H45/100</f>
        <v>-442.351238063455</v>
      </c>
      <c r="I12" s="4" t="n">
        <f aca="false">-I6*Assumptions!I45/100</f>
        <v>-479.951093298848</v>
      </c>
      <c r="J12" s="4" t="n">
        <f aca="false">-J6*Assumptions!J45/100</f>
        <v>-513.547669829768</v>
      </c>
      <c r="K12" s="4" t="n">
        <f aca="false">-K6*Assumptions!K45/100</f>
        <v>-544.360530019554</v>
      </c>
      <c r="L12" s="4" t="n">
        <f aca="false">-L6*Assumptions!L45/100</f>
        <v>-571.578556520532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2680.28936</v>
      </c>
      <c r="D13" s="0" t="n">
        <f aca="false">D11+D12</f>
        <v>3562.0171587</v>
      </c>
      <c r="E13" s="0" t="n">
        <f aca="false">E11+E12</f>
        <v>4606.250609961</v>
      </c>
      <c r="F13" s="0" t="n">
        <f aca="false">F11+F12</f>
        <v>5812.14339785079</v>
      </c>
      <c r="G13" s="0" t="n">
        <f aca="false">G11+G12</f>
        <v>7012.27246702863</v>
      </c>
      <c r="H13" s="0" t="n">
        <f aca="false">H11+H12</f>
        <v>8128.20399941598</v>
      </c>
      <c r="I13" s="0" t="n">
        <f aca="false">I11+I12</f>
        <v>9119.07077267812</v>
      </c>
      <c r="J13" s="0" t="n">
        <f aca="false">J11+J12</f>
        <v>9917.88937358739</v>
      </c>
      <c r="K13" s="0" t="n">
        <f aca="false">K11+K12</f>
        <v>10683.0754016337</v>
      </c>
      <c r="L13" s="0" t="n">
        <f aca="false">L11+L12</f>
        <v>11217.2291717154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9</v>
      </c>
      <c r="D14" s="4" t="n">
        <f aca="false">Assumptions!D47</f>
        <v>10</v>
      </c>
      <c r="E14" s="4" t="n">
        <f aca="false">Assumptions!E47</f>
        <v>12</v>
      </c>
      <c r="F14" s="4" t="n">
        <f aca="false">Assumptions!F47</f>
        <v>14</v>
      </c>
      <c r="G14" s="4" t="n">
        <f aca="false">Assumptions!G47</f>
        <v>16</v>
      </c>
      <c r="H14" s="4" t="n">
        <f aca="false">Assumptions!H47</f>
        <v>18</v>
      </c>
      <c r="I14" s="4" t="n">
        <f aca="false">Assumptions!I47</f>
        <v>19</v>
      </c>
      <c r="J14" s="4" t="n">
        <f aca="false">Assumptions!J47</f>
        <v>20</v>
      </c>
      <c r="K14" s="4" t="n">
        <f aca="false">Assumptions!K47</f>
        <v>21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2439.0633176</v>
      </c>
      <c r="D15" s="0" t="n">
        <f aca="false">D13-MAX(0,D13)*D14/100</f>
        <v>3205.81544283</v>
      </c>
      <c r="E15" s="0" t="n">
        <f aca="false">E13-MAX(0,E13)*E14/100</f>
        <v>4053.50053676568</v>
      </c>
      <c r="F15" s="0" t="n">
        <f aca="false">F13-MAX(0,F13)*F14/100</f>
        <v>4998.44332215168</v>
      </c>
      <c r="G15" s="0" t="n">
        <f aca="false">G13-MAX(0,G13)*G14/100</f>
        <v>5890.30887230405</v>
      </c>
      <c r="H15" s="0" t="n">
        <f aca="false">H13-MAX(0,H13)*H14/100</f>
        <v>6665.1272795211</v>
      </c>
      <c r="I15" s="0" t="n">
        <f aca="false">I13-MAX(0,I13)*I14/100</f>
        <v>7386.44732586928</v>
      </c>
      <c r="J15" s="0" t="n">
        <f aca="false">J13-MAX(0,J13)*J14/100</f>
        <v>7934.31149886991</v>
      </c>
      <c r="K15" s="0" t="n">
        <f aca="false">K13-MAX(0,K13)*K14/100</f>
        <v>8439.62956729066</v>
      </c>
      <c r="L15" s="0" t="n">
        <f aca="false">L13-MAX(0,L13)*L14/100</f>
        <v>8749.43875393804</v>
      </c>
    </row>
    <row r="16" customFormat="false" ht="15" hidden="false" customHeight="false" outlineLevel="0" collapsed="false">
      <c r="A16" s="0" t="s">
        <v>116</v>
      </c>
      <c r="C16" s="0" t="n">
        <f aca="false">-C12</f>
        <v>233.06864</v>
      </c>
      <c r="D16" s="0" t="n">
        <f aca="false">-D12</f>
        <v>272.6903088</v>
      </c>
      <c r="E16" s="0" t="n">
        <f aca="false">-E12</f>
        <v>314.957306664</v>
      </c>
      <c r="F16" s="0" t="n">
        <f aca="false">-F12</f>
        <v>359.05132959696</v>
      </c>
      <c r="G16" s="0" t="n">
        <f aca="false">-G12</f>
        <v>402.137489148595</v>
      </c>
      <c r="H16" s="0" t="n">
        <f aca="false">-H12</f>
        <v>442.351238063455</v>
      </c>
      <c r="I16" s="0" t="n">
        <f aca="false">-I12</f>
        <v>479.951093298848</v>
      </c>
      <c r="J16" s="0" t="n">
        <f aca="false">-J12</f>
        <v>513.547669829768</v>
      </c>
      <c r="K16" s="0" t="n">
        <f aca="false">-K12</f>
        <v>544.360530019554</v>
      </c>
      <c r="L16" s="0" t="n">
        <f aca="false">-L12</f>
        <v>571.578556520532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-43.70037</v>
      </c>
      <c r="D17" s="4" t="n">
        <f aca="false">-D6*Assumptions!D46/100</f>
        <v>-51.1294329</v>
      </c>
      <c r="E17" s="4" t="n">
        <f aca="false">-E6*Assumptions!E46/100</f>
        <v>-59.0544949995</v>
      </c>
      <c r="F17" s="4" t="n">
        <f aca="false">-F6*Assumptions!F46/100</f>
        <v>-67.32212429943</v>
      </c>
      <c r="G17" s="4" t="n">
        <f aca="false">-G6*Assumptions!G46/100</f>
        <v>-75.4007792153616</v>
      </c>
      <c r="H17" s="4" t="n">
        <f aca="false">-H6*Assumptions!H46/100</f>
        <v>-82.9408571368978</v>
      </c>
      <c r="I17" s="4" t="n">
        <f aca="false">-I6*Assumptions!I46/100</f>
        <v>-89.9908299935341</v>
      </c>
      <c r="J17" s="4" t="n">
        <f aca="false">-J6*Assumptions!J46/100</f>
        <v>-96.2901880930815</v>
      </c>
      <c r="K17" s="4" t="n">
        <f aca="false">-K6*Assumptions!K46/100</f>
        <v>-102.067599378666</v>
      </c>
      <c r="L17" s="4" t="n">
        <f aca="false">-L6*Assumptions!L46/100</f>
        <v>-107.1709793476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348.8685</v>
      </c>
      <c r="D18" s="4" t="n">
        <f aca="false">(D6-C6)*Assumptions!$B$51/100</f>
        <v>371.453145</v>
      </c>
      <c r="E18" s="4" t="n">
        <f aca="false">(E6-D6)*Assumptions!$B$51/100</f>
        <v>396.253104975</v>
      </c>
      <c r="F18" s="4" t="n">
        <f aca="false">(F6-E6)*Assumptions!$B$51/100</f>
        <v>413.3814649965</v>
      </c>
      <c r="G18" s="4" t="n">
        <f aca="false">(G6-F6)*Assumptions!$B$51/100</f>
        <v>403.93274579658</v>
      </c>
      <c r="H18" s="4" t="n">
        <f aca="false">(H6-G6)*Assumptions!$B$51/100</f>
        <v>377.003896076808</v>
      </c>
      <c r="I18" s="4" t="n">
        <f aca="false">(I6-H6)*Assumptions!$B$51/100</f>
        <v>352.498642831815</v>
      </c>
      <c r="J18" s="4" t="n">
        <f aca="false">(J6-I6)*Assumptions!$B$51/100</f>
        <v>314.967904977369</v>
      </c>
      <c r="K18" s="4" t="n">
        <f aca="false">(K6-J6)*Assumptions!$B$51/100</f>
        <v>288.870564279245</v>
      </c>
      <c r="L18" s="4" t="n">
        <f aca="false">(L6-K6)*Assumptions!$B$51/100</f>
        <v>255.168998446666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2977.3000876</v>
      </c>
      <c r="D19" s="0" t="n">
        <f aca="false">D15+D16+D17+D18</f>
        <v>3798.82946373</v>
      </c>
      <c r="E19" s="0" t="n">
        <f aca="false">E15+E16+E17+E18</f>
        <v>4705.65645340518</v>
      </c>
      <c r="F19" s="0" t="n">
        <f aca="false">F15+F16+F17+F18</f>
        <v>5703.55399244571</v>
      </c>
      <c r="G19" s="0" t="n">
        <f aca="false">G15+G16+G17+G18</f>
        <v>6620.97832803386</v>
      </c>
      <c r="H19" s="0" t="n">
        <f aca="false">H15+H16+H17+H18</f>
        <v>7401.54155652447</v>
      </c>
      <c r="I19" s="0" t="n">
        <f aca="false">I15+I16+I17+I18</f>
        <v>8128.90623200641</v>
      </c>
      <c r="J19" s="0" t="n">
        <f aca="false">J15+J16+J17+J18</f>
        <v>8666.53688558397</v>
      </c>
      <c r="K19" s="0" t="n">
        <f aca="false">K15+K16+K17+K18</f>
        <v>9170.79306221079</v>
      </c>
      <c r="L19" s="0" t="n">
        <f aca="false">L15+L16+L17+L18</f>
        <v>9469.01532955764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2756.75934037037</v>
      </c>
      <c r="D21" s="0" t="n">
        <f aca="false">D19*D20</f>
        <v>3256.88397096193</v>
      </c>
      <c r="E21" s="0" t="n">
        <f aca="false">E19*E20</f>
        <v>3735.50180787766</v>
      </c>
      <c r="F21" s="0" t="n">
        <f aca="false">F19*F20</f>
        <v>4192.28245148399</v>
      </c>
      <c r="G21" s="0" t="n">
        <f aca="false">G19*G20</f>
        <v>4506.12659798448</v>
      </c>
      <c r="H21" s="0" t="n">
        <f aca="false">H19*H20</f>
        <v>4664.22668103482</v>
      </c>
      <c r="I21" s="0" t="n">
        <f aca="false">I19*I20</f>
        <v>4743.13871036224</v>
      </c>
      <c r="J21" s="0" t="n">
        <f aca="false">J19*J20</f>
        <v>4682.26021566968</v>
      </c>
      <c r="K21" s="0" t="n">
        <f aca="false">K19*K20</f>
        <v>4587.6797571473</v>
      </c>
      <c r="L21" s="0" t="n">
        <f aca="false">L19*L20</f>
        <v>4385.98623922515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41510.8457721176</v>
      </c>
    </row>
    <row r="31" customFormat="false" ht="15" hidden="false" customHeight="false" outlineLevel="0" collapsed="false">
      <c r="A31" s="0" t="s">
        <v>125</v>
      </c>
      <c r="B31" s="0" t="n">
        <f aca="false">L19</f>
        <v>9469.01532955764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217787.352579826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189380.306591153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189380.306591153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87719.7247845029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129230.570556621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133575.570556621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223.744674299197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0.477935625201115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17390.8300491488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30446.4185105527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303.874068871561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85221.1379660187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91.3820907950678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48.4168011458328</v>
      </c>
      <c r="C4" s="0" t="n">
        <f aca="false">B4/Assumptions!$B$2-1</f>
        <v>-0.68018494520224</v>
      </c>
      <c r="D4" s="4" t="n">
        <f aca="false">Assumptions!$B$24</f>
        <v>0.15</v>
      </c>
      <c r="E4" s="4" t="n">
        <f aca="false">DCF_Bear!$B$43</f>
        <v>89.2062892012329</v>
      </c>
      <c r="F4" s="4" t="n">
        <f aca="false">DCF_Bear!$B$47</f>
        <v>35.2692330664112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130.601586572795</v>
      </c>
      <c r="C5" s="0" t="n">
        <f aca="false">B5/Assumptions!$B$2-1</f>
        <v>-0.137316952422252</v>
      </c>
      <c r="D5" s="4" t="n">
        <f aca="false">Assumptions!$B$38</f>
        <v>0.5</v>
      </c>
      <c r="E5" s="4" t="n">
        <f aca="false">DCF_Base!$B$43</f>
        <v>193.612833254575</v>
      </c>
      <c r="F5" s="4" t="n">
        <f aca="false">DCF_Base!$B$47</f>
        <v>64.919844590122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223.744674299197</v>
      </c>
      <c r="C6" s="0" t="n">
        <f aca="false">B6/Assumptions!$B$2-1</f>
        <v>0.477935625201115</v>
      </c>
      <c r="D6" s="4" t="n">
        <f aca="false">Assumptions!$B$52</f>
        <v>0.35</v>
      </c>
      <c r="E6" s="4" t="n">
        <f aca="false">DCF_Bull!$B$43</f>
        <v>303.874068871561</v>
      </c>
      <c r="F6" s="4" t="n">
        <f aca="false">DCF_Bull!$B$47</f>
        <v>91.3820907950678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150.873949462991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216.543284112519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-0.00342040848566194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0.78583183423841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69.7340390332964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130.601586572795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111.688318455492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97.5593858339995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86.616797677302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64.919844590122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166.436714347214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166.436714347214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166.436714347214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166.436714347214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166.436714347214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139.645741900313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147.614070970786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154.25434519618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154.25434519618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154.25434519618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119.076685026408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124.39587035551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130.601586572795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137.935614829587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143.183818536282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103.726673575591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107.442107852878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111.688318455492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116.587792227738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122.303844962026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91.851363149578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94.5374914716587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97.5593858339995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100.984199444652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104.898272142541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2026-09-25T06:45:52Z</dcterms:created>
  <dc:creator>openpyxl</dc:creator>
  <dc:description/>
  <dc:language>en-NZ</dc:language>
  <cp:lastModifiedBy/>
  <dcterms:modified xsi:type="dcterms:W3CDTF">2026-09-25T06:45:52Z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