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<sst xmlns="http://schemas.openxmlformats.org/spreadsheetml/2006/main" count="374" uniqueCount="173">
  <si>
    <t xml:space="preserve">Ticker</t>
  </si>
  <si>
    <t xml:space="preserve">AEM.TO</t>
  </si>
  <si>
    <t xml:space="preserve">Company</t>
  </si>
  <si>
    <t xml:space="preserve">Agnico Eagle Mines Limited</t>
  </si>
  <si>
    <t xml:space="preserve">Valuation date</t>
  </si>
  <si>
    <t xml:space="preserve">2026-10-10</t>
  </si>
  <si>
    <t xml:space="preserve">Current price</t>
  </si>
  <si>
    <t xml:space="preserve">Price as of</t>
  </si>
  <si>
    <t xml:space="preserve">2026-10-09T20:00:00Z regular close (TSX)</t>
  </si>
  <si>
    <t xml:space="preserve">Balance sheet date</t>
  </si>
  <si>
    <t xml:space="preserve">2026-06-30</t>
  </si>
  <si>
    <t xml:space="preserve">Model</t>
  </si>
  <si>
    <t xml:space="preserve">owner_fcf_dcf_component</t>
  </si>
  <si>
    <t xml:space="preserve">Currency (model)</t>
  </si>
  <si>
    <t xml:space="preserve">USD</t>
  </si>
  <si>
    <t xml:space="preserve">Currency (quote)</t>
  </si>
  <si>
    <t xml:space="preserve">CAD</t>
  </si>
  <si>
    <t xml:space="preserve">Units</t>
  </si>
  <si>
    <t xml:space="preserve">millions</t>
  </si>
  <si>
    <t xml:space="preserve">Engine</t>
  </si>
  <si>
    <t xml:space="preserve">dcf_engine v1</t>
  </si>
  <si>
    <t xml:space="preserve">Built at</t>
  </si>
  <si>
    <t xml:space="preserve">2026-10-10T06:30:50Z</t>
  </si>
  <si>
    <t xml:space="preserve">Drivers file</t>
  </si>
  <si>
    <t xml:space="preserve">AEM.TO_Drivers.json</t>
  </si>
  <si>
    <t xml:space="preserve">Convention</t>
  </si>
  <si>
    <t xml:space="preserve">Percents stored as percents; formulas divide by 100. Blue = input, green = link, black = formula.</t>
  </si>
  <si>
    <t xml:space="preserve">Methodology</t>
  </si>
  <si>
    <t xml:space="preserve">summary: Value a gold miner on a through-cycle gold price, not on the price it just realized. FY2025-H1 2026 are peak-margin years: realized gold rose from $2,384 (2024) to $3,454 (2025) to $4,672 (H1-26) while total cash costs rose only from $903 to ~$1,050, so reported FCF ($4.4bn FY2025, $2.1bn H1-26) is a peak-cycle number that also carried ~$0.8bn of deferred cash tax. The house build therefore does three things the market is not doing: it mean-reverts gold to US$3,500 by 2029 (base), it runs the 2027-29 capex peak against that falling price rather than against spot, and it caps the terminal multiple at 14x FCF. On those terms the base and even the bull case sit below today's price, which is the finding: at C$270 the market is capitalising spot gold in perpetuity plus full delivery of the growth programme. Owner FCF expenses SBC (small here, ~0.6% of revenue) and strips interest income because the $3.46bn cash and the $1.16bn equity portfolio are added back in the bridge. Risk is charged once, in the probability-weighted flows, at a single 9% USD WACC.
key_risks_to_valuation: Gold price regime: every US$100/oz of long-run price is worth roughly US$0.5-0.6/share of annual FCF per 3.5 Moz (after 35% tax), so the US$3,500 mid-cycle anchor is the single assumption the whole valuation turns on -- the bull/bear range (US$2,800-4,500) spans it.; Barnat pit-wall remediation: guidance is 60-80 koz lost in H2-2026 and up to 150 koz/yr in 2027-28 pending final redesign; a longer suspension or wider instability along the Cadillac Fault would hit the base case's largest growth asset.; Execution of four concurrent builds (Hope Bay $2.4bn, Detour Lake underground, Odyssey shaft, Upper Beaver): 2025 capex already ran above guidance and 2026 was raised twice; a 20% overrun in 2027-28 is ~US$1.3bn of FCF.; Reclamation provision of US$1.5bn is not deducted in the bridge (closure spend falls beyond the horizon and the perpetuity assumes reserve replacement); treating it as debt would lower every scenario by ~US$3/share.; Equity-portfolio and CVR bridge items: the US$1.16bn investment book is marked to volatile junior-miner prices, and the Rupert CVR could pay out all three tranches (up to ~US$500m) if Ikkari is a success -- a cost that arrives only alongside a value-creating outcome not in the ounce path.; Cost-side FX: ~60% of costs are in CAD/AUD/EUR/MXN against USD revenue; the 2026 guidance assumed C$1.36 and the C$ is at 1.43 today (a tailwind), but a reversal adds ~US$30-40/oz.; Share count: management intends to buy back the Rupert dilution; if it instead issues stock for further M&amp;A (its pattern: Kirkland Lake, Yamana, O3, Rupert), the flat count understates dilution.</t>
  </si>
  <si>
    <t xml:space="preserve">Data sources</t>
  </si>
  <si>
    <t xml:space="preserve">price: Yahoo Finance chart API (AEM.TO) at inputs.price_as_of, regular TSX close; 52-week range C$188.48-348.94. NYSE AEM and CAD=X fetched at the same time for the parity check in inputs.fx_note. Spot gold from Yahoo GC=F at the same close.
financials: FY2012-FY2025 from AEM.TO_Metrics.csv / metrics_normalized (audited annual reports and MD&amp;A in research/AEM.TO/Extracted). FY2025 anchors: AEM.TO_Annual_FY2025.txt (cash flow statement lines 391-427, Note 16 share tables lines 1936-1962, Note 13 leases line 1640). FY2026 guidance and the Barnat update: Q4-2025 results release (AEM.TO_Quarterly_Q4-2025.txt) and the Q2-2026 results release (6-K EX-99.1 filed 2026-07-30, SEC accession 0001104659-26-088794, fetched 2026-10-10 -- not yet in Extracted). June-2026 balance sheet and H1-2026 cash flow from the condensed interim statements in that 6-K.
qualitative: AEM.TO_Analysis.json (qualitative-analyst, 2026-10-10): business model, Kirkland Lake / Yamana structural breaks, Hope Bay sanction (May-2026), Barnat rock-mass movement (Jul-2026), growth pipeline and risk register.</t>
  </si>
  <si>
    <t xml:space="preserve">Scenario narrative: bear</t>
  </si>
  <si>
    <t xml:space="preserve">The 2025-26 gold spike proves to be a positioning-driven overshoot: ETF and central-bank demand fade as real rates stay positive and gold retraces to US$2,800-3,000 by 2028-29 -- still well above the FY2024 realized $2,384, so this is a reversion, not a collapse. With no hedges the full fall hits revenue; Barnat's redesign loses the full 150 koz/yr and Fosterville and LaRonde grades decline, holding production at ~3.2 Moz through 2028. Hope Bay and Detour underground run late and over budget into a falling price, so FCF after the build programme is thin in 2027-29 and the growth target reaches only ~3.7 Moz by the mid-2030s. EBITDA margin settles near ~49%, the level FY2023-24 cost structures delivered at $2,000-2,400 gold.</t>
  </si>
  <si>
    <t xml:space="preserve">Scenario narrative: base</t>
  </si>
  <si>
    <t xml:space="preserve">Agnico's two axes are the gold price and project delivery. Base: the 2025-26 rally does not fully unwind but the market's spot price is not a mid-cycle price either -- realized gold mean-reverts from ~$4,440 in 2026 to US$3,500 by 2029 (the 2024-26 average, ~17% below spot, and roughly where management sanctioned Hope Bay at $3,600) and then tracks inflation. Barnat costs ~150 koz/yr in 2027-28 as guided and remediation lifts Malartic unit costs; Odyssey/East Gouldie, Detour Lake underground, Hope Bay and Upper Beaver deliver about the lower half of the 20-30% growth target, taking ounces from 3.30 to 4.20 Moz by 2035 at the cost of ~$3.2bn/yr capex in 2027-28. EBITDA margin compresses from ~69% to ~60% on the lower price and inflating unit costs; FCF is squeezed hardest in 2027-29 when price is falling and the build programme peaks, then expands as capex tapers toward D&amp;A. Cash tax runs at 40% in 2026 (payable unwind) and 35% thereafter.</t>
  </si>
  <si>
    <t xml:space="preserve">Scenario narrative: bull</t>
  </si>
  <si>
    <t xml:space="preserve">Gold's re-rating is structural -- central-bank accumulation, de-dollarisation and real-rate expectations keep spot around US$4,300-4,500 and then flat in real terms, so the no-hedge policy delivers full price exposure for a decade. Barnat is remediated by Q4-2026 with less lost production than the 150 koz ceiling, Hope Bay reaches the top of its 400-435 koz range on schedule, and Detour and Canadian Malartic each approach ~1 Moz/yr by the early 2030s, taking group output to 4.5 Moz. Margins hold near ~69% because royalty inflation is the main cost pressure and it only rises with price; capex falls to ~12% of revenue once the three builds are complete. This is the case the current share price requires.</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</si>
  <si>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</si>
  <si>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</si>
  <si>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</si>
  <si>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</si>
  <si>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</si>
  <si>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</si>
  <si>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</si>
  <si>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</si>
  <si>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</si>
  <si>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</si>
  <si>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</si>
  <si>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</si>
  <si>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</si>
  <si>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</si>
  <si>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</si>
  <si>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</si>
  <si>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</si>
  <si>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</si>
  <si>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</si>
  <si>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</si>
  <si>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</si>
  <si>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</si>
  <si>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</si>
  <si>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</si>
  <si>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</si>
  <si>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</si>
  <si>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</si>
  <si>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AISC</t>
  </si>
  <si>
    <t xml:space="preserve">GoldPriceAchieved</t>
  </si>
  <si>
    <t xml:space="preserve">GoldProduction</t>
  </si>
  <si>
    <t xml:space="preserve">FY2012</t>
  </si>
  <si>
    <t xml:space="preserve">thousands</t>
  </si>
  <si>
    <t xml:space="preserve">FY2013</t>
  </si>
  <si>
    <t xml:space="preserve">FY2014</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</si>
  <si>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</si>
  <si>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</si>
  <si>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</si>
  <si>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</si>
  <si>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</si>
  <si>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</si>
  <si>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</si>
  <si>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</si>
  <si>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</si>
  <si>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</si>
  <si>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</si>
  <si>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</si>
  <si>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</si>
  <si>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</si>
  <si>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</si>
  <si>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</si>
  <si>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</si>
  <si>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</si>
  <si>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</si>
  <si>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</si>
  <si>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</si>
  <si>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USD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</si>
  <si>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</si>
  <si>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</si>
  <si>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</si>
  <si>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</si>
  <si>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</si>
  <si>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</si>
  <si>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</si>
  <si>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</si>
  <si>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</si>
  <si>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</si>
  <si>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</si>
  <si>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</si>
  <si>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</si>
  <si>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</si>
  <si>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</si>
  <si>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</si>
  <si>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</si>
  <si>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</si>
  <si>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</si>
  <si>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</si>
  <si>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</si>
  <si>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</si>
  <si>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</si>
  <si>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</si>
  <si>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</si>
  <si>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</si>
  <si>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AEM.TO owner-FCF component DCF: bear case (millions, USD)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</si>
  <si>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</si>
  <si>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</si>
  <si>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</si>
  <si>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</si>
  <si>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</si>
  <si>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</si>
  <si>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</si>
  <si>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</si>
  <si>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</si>
  <si>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</si>
  <si>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</si>
  <si>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</si>
  <si>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</si>
  <si>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</si>
  <si>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</si>
  <si>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</si>
  <si>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</si>
  <si>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</si>
  <si>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</si>
  <si>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</si>
  <si>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</si>
  <si>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</si>
  <si>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</si>
  <si>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</si>
  <si>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</si>
  <si>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</si>
  <si>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</si>
  <si>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</si>
  <si>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</si>
  <si>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</si>
  <si>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AEM.TO owner-FCF component DCF: base case (millions, USD)</t>
  </si>
  <si>
    <t xml:space="preserve">AEM.TO owner-FCF component DCF: bull case (millions, USD)</t>
  </si>
  <si>
    <t xml:space="preserve">AEM.TO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</si>
  <si>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</si>
  <si>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</si>
  <si>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</si>
  <si>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</si>
  <si>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</si>
  <si>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</si>
  <si>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</si>
  <si>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</si>
  <si>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</si>
  <si>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</si>
  <si>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</si>
  <si>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</si>
  <si>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</si>
  <si>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</si>
  <si>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 (WACC)</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</si>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</sst>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269.83</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c r="AD1" s="2" t="s">
        <v>65</v>
      </c>
      <c r="AE1" s="2" t="s">
        <v>66</v>
      </c>
    </row>
    <row r="2" customFormat="false" ht="15" hidden="false" customHeight="false" outlineLevel="0" collapsed="false">
      <c r="A2" s="0" t="s">
        <v>67</v>
      </c>
      <c r="B2" s="0" t="n">
        <v>1917714</v>
      </c>
      <c r="C2" s="0" t="n">
        <v>1169573</v>
      </c>
      <c r="D2" s="0" t="n">
        <v>748141</v>
      </c>
      <c r="E2" s="0" t="n">
        <v>39</v>
      </c>
      <c r="F2" s="0" t="n">
        <v>493028</v>
      </c>
      <c r="G2" s="0" t="n">
        <v>25.7</v>
      </c>
      <c r="H2" s="0" t="n">
        <v>764889</v>
      </c>
      <c r="I2" s="0" t="n">
        <v>310916</v>
      </c>
      <c r="J2" s="0" t="n">
        <v>16.2</v>
      </c>
      <c r="K2" s="0" t="n">
        <v>1.81</v>
      </c>
      <c r="L2" s="0" t="n">
        <v>696007</v>
      </c>
      <c r="M2" s="0" t="n">
        <v>445550</v>
      </c>
      <c r="N2" s="0" t="n">
        <v>250457</v>
      </c>
      <c r="O2" s="0" t="n">
        <v>3410212</v>
      </c>
      <c r="P2" s="0" t="n">
        <v>5256119</v>
      </c>
      <c r="Q2" s="0" t="n">
        <v>1845907</v>
      </c>
      <c r="R2" s="0" t="n">
        <v>830000</v>
      </c>
      <c r="S2" s="0" t="n">
        <v>298068</v>
      </c>
      <c r="T2" s="0" t="n">
        <v>171486</v>
      </c>
      <c r="U2" s="0" t="n">
        <v>47632</v>
      </c>
      <c r="AA2" s="0" t="s">
        <v>68</v>
      </c>
      <c r="AB2" s="0" t="s">
        <v>14</v>
      </c>
      <c r="AD2" s="0" t="n">
        <v>1667</v>
      </c>
      <c r="AE2" s="0" t="n">
        <v>1043811</v>
      </c>
    </row>
    <row r="3" customFormat="false" ht="15" hidden="false" customHeight="false" outlineLevel="0" collapsed="false">
      <c r="A3" s="0" t="s">
        <v>69</v>
      </c>
      <c r="B3" s="0" t="n">
        <v>1638406</v>
      </c>
      <c r="C3" s="0" t="n">
        <v>1221005</v>
      </c>
      <c r="D3" s="0" t="n">
        <v>417401</v>
      </c>
      <c r="E3" s="0" t="n">
        <v>25.5</v>
      </c>
      <c r="F3" s="0" t="n">
        <v>-312683</v>
      </c>
      <c r="G3" s="0" t="n">
        <v>-19.1</v>
      </c>
      <c r="H3" s="0" t="n">
        <v>-16605</v>
      </c>
      <c r="I3" s="0" t="n">
        <v>-406526</v>
      </c>
      <c r="J3" s="0" t="n">
        <v>-24.8</v>
      </c>
      <c r="K3" s="0" t="n">
        <v>-2.35</v>
      </c>
      <c r="L3" s="0" t="n">
        <v>438296</v>
      </c>
      <c r="M3" s="0" t="n">
        <v>577789</v>
      </c>
      <c r="N3" s="0" t="n">
        <v>-139493</v>
      </c>
      <c r="O3" s="0" t="n">
        <v>2977149</v>
      </c>
      <c r="P3" s="0" t="n">
        <v>4959359</v>
      </c>
      <c r="Q3" s="0" t="n">
        <v>1982210</v>
      </c>
      <c r="R3" s="0" t="n">
        <v>1000000</v>
      </c>
      <c r="S3" s="0" t="n">
        <v>139101</v>
      </c>
      <c r="T3" s="0" t="n">
        <v>172893</v>
      </c>
      <c r="U3" s="0" t="n">
        <v>44904</v>
      </c>
      <c r="AA3" s="0" t="s">
        <v>68</v>
      </c>
      <c r="AB3" s="0" t="s">
        <v>14</v>
      </c>
      <c r="AC3" s="0" t="n">
        <v>952</v>
      </c>
      <c r="AD3" s="0" t="n">
        <v>1366</v>
      </c>
      <c r="AE3" s="0" t="n">
        <v>1099335</v>
      </c>
    </row>
    <row r="4" customFormat="false" ht="15" hidden="false" customHeight="false" outlineLevel="0" collapsed="false">
      <c r="A4" s="0" t="s">
        <v>70</v>
      </c>
      <c r="B4" s="0" t="n">
        <v>1896766</v>
      </c>
      <c r="C4" s="0" t="n">
        <v>1438187</v>
      </c>
      <c r="D4" s="0" t="n">
        <v>458579</v>
      </c>
      <c r="E4" s="0" t="n">
        <v>24.2</v>
      </c>
      <c r="F4" s="0" t="n">
        <v>262531</v>
      </c>
      <c r="G4" s="0" t="n">
        <v>13.8</v>
      </c>
      <c r="H4" s="0" t="n">
        <v>696159</v>
      </c>
      <c r="I4" s="0" t="n">
        <v>82970</v>
      </c>
      <c r="J4" s="0" t="n">
        <v>4.4</v>
      </c>
      <c r="K4" s="0" t="n">
        <v>0.39</v>
      </c>
      <c r="L4" s="0" t="n">
        <v>668324</v>
      </c>
      <c r="M4" s="0" t="n">
        <v>475412</v>
      </c>
      <c r="N4" s="0" t="n">
        <v>192912</v>
      </c>
      <c r="O4" s="0" t="n">
        <v>4068490</v>
      </c>
      <c r="P4" s="0" t="n">
        <v>6809255</v>
      </c>
      <c r="Q4" s="0" t="n">
        <v>2740765</v>
      </c>
      <c r="R4" s="0" t="n">
        <v>1374643</v>
      </c>
      <c r="S4" s="0" t="n">
        <v>177537</v>
      </c>
      <c r="T4" s="0" t="n">
        <v>196201</v>
      </c>
      <c r="U4" s="0" t="n">
        <v>37565</v>
      </c>
      <c r="AA4" s="0" t="s">
        <v>68</v>
      </c>
      <c r="AB4" s="0" t="s">
        <v>14</v>
      </c>
      <c r="AC4" s="0" t="n">
        <v>954</v>
      </c>
      <c r="AD4" s="0" t="n">
        <v>1261</v>
      </c>
      <c r="AE4" s="0" t="n">
        <v>1429288</v>
      </c>
    </row>
    <row r="5" customFormat="false" ht="15" hidden="false" customHeight="false" outlineLevel="0" collapsed="false">
      <c r="A5" s="0" t="s">
        <v>71</v>
      </c>
      <c r="B5" s="0" t="n">
        <v>1985432</v>
      </c>
      <c r="C5" s="0" t="n">
        <v>1603904</v>
      </c>
      <c r="D5" s="0" t="n">
        <v>381528</v>
      </c>
      <c r="E5" s="0" t="n">
        <v>19.2</v>
      </c>
      <c r="F5" s="0" t="n">
        <v>157856</v>
      </c>
      <c r="G5" s="0" t="n">
        <v>8</v>
      </c>
      <c r="H5" s="0" t="n">
        <v>766465</v>
      </c>
      <c r="I5" s="0" t="n">
        <v>24583</v>
      </c>
      <c r="J5" s="0" t="n">
        <v>1.2</v>
      </c>
      <c r="K5" s="0" t="n">
        <v>0.11</v>
      </c>
      <c r="L5" s="0" t="n">
        <v>616238</v>
      </c>
      <c r="M5" s="0" t="n">
        <v>449758</v>
      </c>
      <c r="N5" s="0" t="n">
        <v>166480</v>
      </c>
      <c r="O5" s="0" t="n">
        <v>4141020</v>
      </c>
      <c r="P5" s="0" t="n">
        <v>6683180</v>
      </c>
      <c r="Q5" s="0" t="n">
        <v>2542160</v>
      </c>
      <c r="R5" s="0" t="n">
        <v>1132638</v>
      </c>
      <c r="S5" s="0" t="n">
        <v>124150</v>
      </c>
      <c r="T5" s="0" t="n">
        <v>217101</v>
      </c>
      <c r="U5" s="0" t="n">
        <v>35822</v>
      </c>
      <c r="AA5" s="0" t="s">
        <v>68</v>
      </c>
      <c r="AB5" s="0" t="s">
        <v>14</v>
      </c>
      <c r="AC5" s="0" t="n">
        <v>810</v>
      </c>
      <c r="AD5" s="0" t="n">
        <v>1156</v>
      </c>
      <c r="AE5" s="0" t="n">
        <v>1671340</v>
      </c>
    </row>
    <row r="6" customFormat="false" ht="15" hidden="false" customHeight="false" outlineLevel="0" collapsed="false">
      <c r="A6" s="0" t="s">
        <v>72</v>
      </c>
      <c r="B6" s="0" t="n">
        <v>2138232</v>
      </c>
      <c r="C6" s="0" t="n">
        <v>1645052</v>
      </c>
      <c r="D6" s="0" t="n">
        <v>493180</v>
      </c>
      <c r="E6" s="0" t="n">
        <v>23.1</v>
      </c>
      <c r="F6" s="0" t="n">
        <v>343102</v>
      </c>
      <c r="G6" s="0" t="n">
        <v>16</v>
      </c>
      <c r="H6" s="0" t="n">
        <v>956262</v>
      </c>
      <c r="I6" s="0" t="n">
        <v>158824</v>
      </c>
      <c r="J6" s="0" t="n">
        <v>7.4</v>
      </c>
      <c r="K6" s="0" t="n">
        <v>0.7</v>
      </c>
      <c r="L6" s="0" t="n">
        <v>778617</v>
      </c>
      <c r="M6" s="0" t="n">
        <v>516050</v>
      </c>
      <c r="N6" s="0" t="n">
        <v>262567</v>
      </c>
      <c r="O6" s="0" t="n">
        <v>4492474</v>
      </c>
      <c r="P6" s="0" t="n">
        <v>7107951</v>
      </c>
      <c r="Q6" s="0" t="n">
        <v>2615477</v>
      </c>
      <c r="R6" s="0" t="n">
        <v>1202686</v>
      </c>
      <c r="S6" s="0" t="n">
        <v>539974</v>
      </c>
      <c r="T6" s="0" t="n">
        <v>225754</v>
      </c>
      <c r="U6" s="0" t="n">
        <v>33804</v>
      </c>
      <c r="AA6" s="0" t="s">
        <v>68</v>
      </c>
      <c r="AB6" s="0" t="s">
        <v>14</v>
      </c>
      <c r="AC6" s="0" t="n">
        <v>824</v>
      </c>
      <c r="AD6" s="0" t="n">
        <v>1249</v>
      </c>
      <c r="AE6" s="0" t="n">
        <v>1662888</v>
      </c>
    </row>
    <row r="7" customFormat="false" ht="15" hidden="false" customHeight="false" outlineLevel="0" collapsed="false">
      <c r="A7" s="0" t="s">
        <v>73</v>
      </c>
      <c r="B7" s="0" t="n">
        <v>2242604</v>
      </c>
      <c r="C7" s="0" t="n">
        <v>1566581</v>
      </c>
      <c r="D7" s="0" t="n">
        <v>676023</v>
      </c>
      <c r="E7" s="0" t="n">
        <v>30.1</v>
      </c>
      <c r="F7" s="0" t="n">
        <v>421312</v>
      </c>
      <c r="G7" s="0" t="n">
        <v>18.8</v>
      </c>
      <c r="H7" s="0" t="n">
        <v>930051</v>
      </c>
      <c r="I7" s="0" t="n">
        <v>243887</v>
      </c>
      <c r="J7" s="0" t="n">
        <v>10.9</v>
      </c>
      <c r="K7" s="0" t="n">
        <v>1.05</v>
      </c>
      <c r="L7" s="0" t="n">
        <v>767557</v>
      </c>
      <c r="M7" s="0" t="n">
        <v>874153</v>
      </c>
      <c r="N7" s="0" t="n">
        <v>-106596</v>
      </c>
      <c r="O7" s="0" t="n">
        <v>4946991</v>
      </c>
      <c r="P7" s="0" t="n">
        <v>7865601</v>
      </c>
      <c r="Q7" s="0" t="n">
        <v>2918610</v>
      </c>
      <c r="R7" s="0" t="n">
        <v>1371851</v>
      </c>
      <c r="S7" s="0" t="n">
        <v>632978</v>
      </c>
      <c r="T7" s="0" t="n">
        <v>232461</v>
      </c>
      <c r="U7" s="0" t="n">
        <v>43674</v>
      </c>
      <c r="AA7" s="0" t="s">
        <v>68</v>
      </c>
      <c r="AB7" s="0" t="s">
        <v>14</v>
      </c>
      <c r="AC7" s="0" t="n">
        <v>804</v>
      </c>
      <c r="AD7" s="0" t="n">
        <v>1261</v>
      </c>
      <c r="AE7" s="0" t="n">
        <v>1713533</v>
      </c>
    </row>
    <row r="8" customFormat="false" ht="15" hidden="false" customHeight="false" outlineLevel="0" collapsed="false">
      <c r="A8" s="0" t="s">
        <v>74</v>
      </c>
      <c r="B8" s="0" t="n">
        <v>2191221</v>
      </c>
      <c r="C8" s="0" t="n">
        <v>1714288</v>
      </c>
      <c r="D8" s="0" t="n">
        <v>476933</v>
      </c>
      <c r="E8" s="0" t="n">
        <v>21.8</v>
      </c>
      <c r="F8" s="0" t="n">
        <v>-162485</v>
      </c>
      <c r="G8" s="0" t="n">
        <v>-7.4</v>
      </c>
      <c r="H8" s="0" t="n">
        <v>391448</v>
      </c>
      <c r="I8" s="0" t="n">
        <v>-326701</v>
      </c>
      <c r="J8" s="0" t="n">
        <v>-14.9</v>
      </c>
      <c r="K8" s="0" t="n">
        <v>-1.4</v>
      </c>
      <c r="L8" s="0" t="n">
        <v>605650</v>
      </c>
      <c r="M8" s="0" t="n">
        <v>1089100</v>
      </c>
      <c r="N8" s="0" t="n">
        <v>-483450</v>
      </c>
      <c r="O8" s="0" t="n">
        <v>4550012</v>
      </c>
      <c r="P8" s="0" t="n">
        <v>7852843</v>
      </c>
      <c r="Q8" s="0" t="n">
        <v>3302831</v>
      </c>
      <c r="R8" s="0" t="n">
        <v>1721308</v>
      </c>
      <c r="S8" s="0" t="n">
        <v>301826</v>
      </c>
      <c r="T8" s="0" t="n">
        <v>233251</v>
      </c>
      <c r="U8" s="0" t="n">
        <v>50658</v>
      </c>
      <c r="V8" s="0" t="n">
        <v>0.44</v>
      </c>
      <c r="AA8" s="0" t="s">
        <v>68</v>
      </c>
      <c r="AB8" s="0" t="s">
        <v>14</v>
      </c>
      <c r="AC8" s="0" t="n">
        <v>877</v>
      </c>
      <c r="AD8" s="0" t="n">
        <v>1266</v>
      </c>
      <c r="AE8" s="0" t="n">
        <v>1626669</v>
      </c>
    </row>
    <row r="9" customFormat="false" ht="15" hidden="false" customHeight="false" outlineLevel="0" collapsed="false">
      <c r="A9" s="0" t="s">
        <v>75</v>
      </c>
      <c r="B9" s="0" t="n">
        <v>2494892</v>
      </c>
      <c r="C9" s="0" t="n">
        <v>1793762</v>
      </c>
      <c r="D9" s="0" t="n">
        <v>701130</v>
      </c>
      <c r="E9" s="0" t="n">
        <v>28.1</v>
      </c>
      <c r="F9" s="0" t="n">
        <v>843824</v>
      </c>
      <c r="G9" s="0" t="n">
        <v>33.8</v>
      </c>
      <c r="H9" s="0" t="n">
        <v>1389881</v>
      </c>
      <c r="I9" s="0" t="n">
        <v>473166</v>
      </c>
      <c r="J9" s="0" t="n">
        <v>19</v>
      </c>
      <c r="K9" s="0" t="n">
        <v>1.99</v>
      </c>
      <c r="L9" s="0" t="n">
        <v>881692</v>
      </c>
      <c r="M9" s="0" t="n">
        <v>882664</v>
      </c>
      <c r="N9" s="0" t="n">
        <v>-972</v>
      </c>
      <c r="O9" s="0" t="n">
        <v>5111514</v>
      </c>
      <c r="P9" s="0" t="n">
        <v>8789885</v>
      </c>
      <c r="Q9" s="0" t="n">
        <v>3678371</v>
      </c>
      <c r="R9" s="0" t="n">
        <v>1724108</v>
      </c>
      <c r="S9" s="0" t="n">
        <v>321897</v>
      </c>
      <c r="T9" s="0" t="n">
        <v>238230</v>
      </c>
      <c r="U9" s="0" t="n">
        <v>54261</v>
      </c>
      <c r="V9" s="0" t="n">
        <v>0.55</v>
      </c>
      <c r="AA9" s="0" t="s">
        <v>68</v>
      </c>
      <c r="AB9" s="0" t="s">
        <v>14</v>
      </c>
      <c r="AC9" s="0" t="n">
        <v>938</v>
      </c>
      <c r="AD9" s="0" t="n">
        <v>1406</v>
      </c>
      <c r="AE9" s="0" t="n">
        <v>1782147</v>
      </c>
    </row>
    <row r="10" customFormat="false" ht="15" hidden="false" customHeight="false" outlineLevel="0" collapsed="false">
      <c r="A10" s="0" t="s">
        <v>76</v>
      </c>
      <c r="B10" s="0" t="n">
        <v>3138113</v>
      </c>
      <c r="C10" s="0" t="n">
        <v>2055253</v>
      </c>
      <c r="D10" s="0" t="n">
        <v>1082860</v>
      </c>
      <c r="E10" s="0" t="n">
        <v>34.5</v>
      </c>
      <c r="F10" s="0" t="n">
        <v>862699</v>
      </c>
      <c r="G10" s="0" t="n">
        <v>27.5</v>
      </c>
      <c r="H10" s="0" t="n">
        <v>1493800</v>
      </c>
      <c r="I10" s="0" t="n">
        <v>511607</v>
      </c>
      <c r="J10" s="0" t="n">
        <v>16.3</v>
      </c>
      <c r="K10" s="0" t="n">
        <v>2.1</v>
      </c>
      <c r="L10" s="0" t="n">
        <v>1192054</v>
      </c>
      <c r="M10" s="0" t="n">
        <v>759342</v>
      </c>
      <c r="N10" s="0" t="n">
        <v>432712</v>
      </c>
      <c r="O10" s="0" t="n">
        <v>5683213</v>
      </c>
      <c r="P10" s="0" t="n">
        <v>9614755</v>
      </c>
      <c r="Q10" s="0" t="n">
        <v>3931542</v>
      </c>
      <c r="R10" s="0" t="n">
        <v>1565241</v>
      </c>
      <c r="S10" s="0" t="n">
        <v>402527</v>
      </c>
      <c r="T10" s="0" t="n">
        <v>243072</v>
      </c>
      <c r="U10" s="0" t="n">
        <v>54486</v>
      </c>
      <c r="V10" s="0" t="n">
        <v>0.95</v>
      </c>
      <c r="AA10" s="0" t="s">
        <v>68</v>
      </c>
      <c r="AB10" s="0" t="s">
        <v>14</v>
      </c>
      <c r="AC10" s="0" t="n">
        <v>1051</v>
      </c>
      <c r="AD10" s="0" t="n">
        <v>1788</v>
      </c>
      <c r="AE10" s="0" t="n">
        <v>1736568</v>
      </c>
    </row>
    <row r="11" customFormat="false" ht="15" hidden="false" customHeight="false" outlineLevel="0" collapsed="false">
      <c r="A11" s="0" t="s">
        <v>77</v>
      </c>
      <c r="B11" s="0" t="n">
        <v>3823878</v>
      </c>
      <c r="C11" s="0" t="n">
        <v>2494817</v>
      </c>
      <c r="D11" s="0" t="n">
        <v>1329061</v>
      </c>
      <c r="E11" s="0" t="n">
        <v>34.8</v>
      </c>
      <c r="F11" s="0" t="n">
        <v>995451</v>
      </c>
      <c r="G11" s="0" t="n">
        <v>26</v>
      </c>
      <c r="H11" s="0" t="n">
        <v>1733580</v>
      </c>
      <c r="I11" s="0" t="n">
        <v>543009</v>
      </c>
      <c r="J11" s="0" t="n">
        <v>14.2</v>
      </c>
      <c r="K11" s="0" t="n">
        <v>2.22</v>
      </c>
      <c r="L11" s="0" t="n">
        <v>1315994</v>
      </c>
      <c r="M11" s="0" t="n">
        <v>867684</v>
      </c>
      <c r="N11" s="0" t="n">
        <v>448310</v>
      </c>
      <c r="O11" s="0" t="n">
        <v>5980835</v>
      </c>
      <c r="P11" s="0" t="n">
        <v>10186776</v>
      </c>
      <c r="Q11" s="0" t="n">
        <v>4205941</v>
      </c>
      <c r="R11" s="0" t="n">
        <v>1565223</v>
      </c>
      <c r="S11" s="0" t="n">
        <v>185786</v>
      </c>
      <c r="T11" s="0" t="n">
        <v>244732</v>
      </c>
      <c r="U11" s="0" t="n">
        <v>57799</v>
      </c>
      <c r="V11" s="0" t="n">
        <v>1.4</v>
      </c>
      <c r="AA11" s="0" t="s">
        <v>68</v>
      </c>
      <c r="AB11" s="0" t="s">
        <v>14</v>
      </c>
      <c r="AC11" s="0" t="n">
        <v>1059</v>
      </c>
      <c r="AD11" s="0" t="n">
        <v>1794</v>
      </c>
      <c r="AE11" s="0" t="n">
        <v>2086405</v>
      </c>
    </row>
    <row r="12" customFormat="false" ht="15" hidden="false" customHeight="false" outlineLevel="0" collapsed="false">
      <c r="A12" s="0" t="s">
        <v>78</v>
      </c>
      <c r="B12" s="0" t="n">
        <v>5741162</v>
      </c>
      <c r="C12" s="0" t="n">
        <v>3738012</v>
      </c>
      <c r="D12" s="0" t="n">
        <v>2003150</v>
      </c>
      <c r="E12" s="0" t="n">
        <v>34.9</v>
      </c>
      <c r="F12" s="0" t="n">
        <v>1198358</v>
      </c>
      <c r="G12" s="0" t="n">
        <v>20.9</v>
      </c>
      <c r="H12" s="0" t="n">
        <v>2293049</v>
      </c>
      <c r="I12" s="0" t="n">
        <v>670249</v>
      </c>
      <c r="J12" s="0" t="n">
        <v>11.7</v>
      </c>
      <c r="K12" s="0" t="n">
        <v>1.53</v>
      </c>
      <c r="L12" s="0" t="n">
        <v>2096636</v>
      </c>
      <c r="M12" s="0" t="n">
        <v>1538237</v>
      </c>
      <c r="N12" s="0" t="n">
        <v>558399</v>
      </c>
      <c r="O12" s="0" t="n">
        <v>16241345</v>
      </c>
      <c r="P12" s="0" t="n">
        <v>23494808</v>
      </c>
      <c r="Q12" s="0" t="n">
        <v>7253463</v>
      </c>
      <c r="R12" s="0" t="n">
        <v>1342070</v>
      </c>
      <c r="S12" s="0" t="n">
        <v>658625</v>
      </c>
      <c r="T12" s="0" t="n">
        <v>438533</v>
      </c>
      <c r="U12" s="0" t="n">
        <v>48570</v>
      </c>
      <c r="V12" s="0" t="n">
        <v>1.6</v>
      </c>
      <c r="AA12" s="0" t="s">
        <v>68</v>
      </c>
      <c r="AB12" s="0" t="s">
        <v>14</v>
      </c>
      <c r="AC12" s="0" t="n">
        <v>1109</v>
      </c>
      <c r="AD12" s="0" t="n">
        <v>1797</v>
      </c>
      <c r="AE12" s="0" t="n">
        <v>3135007</v>
      </c>
    </row>
    <row r="13" customFormat="false" ht="15" hidden="false" customHeight="false" outlineLevel="0" collapsed="false">
      <c r="A13" s="0" t="s">
        <v>79</v>
      </c>
      <c r="B13" s="0" t="n">
        <v>6626909</v>
      </c>
      <c r="C13" s="0" t="n">
        <v>4425034</v>
      </c>
      <c r="D13" s="0" t="n">
        <v>2201875</v>
      </c>
      <c r="E13" s="0" t="n">
        <v>33.2</v>
      </c>
      <c r="F13" s="0" t="n">
        <v>2489156</v>
      </c>
      <c r="G13" s="0" t="n">
        <v>37.6</v>
      </c>
      <c r="H13" s="0" t="n">
        <v>3980927</v>
      </c>
      <c r="I13" s="0" t="n">
        <v>1941307</v>
      </c>
      <c r="J13" s="0" t="n">
        <v>29.3</v>
      </c>
      <c r="K13" s="0" t="n">
        <v>3.95</v>
      </c>
      <c r="L13" s="0" t="n">
        <v>2601562</v>
      </c>
      <c r="M13" s="0" t="n">
        <v>1654129</v>
      </c>
      <c r="N13" s="0" t="n">
        <v>947433</v>
      </c>
      <c r="O13" s="0" t="n">
        <v>19422915</v>
      </c>
      <c r="P13" s="0" t="n">
        <v>28684949</v>
      </c>
      <c r="Q13" s="0" t="n">
        <v>9262034</v>
      </c>
      <c r="R13" s="0" t="n">
        <v>1843086</v>
      </c>
      <c r="S13" s="0" t="n">
        <v>338648</v>
      </c>
      <c r="T13" s="0" t="n">
        <v>489913</v>
      </c>
      <c r="U13" s="0" t="n">
        <v>71553</v>
      </c>
      <c r="V13" s="0" t="n">
        <v>1.6</v>
      </c>
      <c r="AA13" s="0" t="s">
        <v>68</v>
      </c>
      <c r="AB13" s="0" t="s">
        <v>14</v>
      </c>
      <c r="AC13" s="0" t="n">
        <v>1179</v>
      </c>
      <c r="AD13" s="0" t="n">
        <v>1946</v>
      </c>
      <c r="AE13" s="0" t="n">
        <v>3439654</v>
      </c>
    </row>
    <row r="14" customFormat="false" ht="15" hidden="false" customHeight="false" outlineLevel="0" collapsed="false">
      <c r="A14" s="0" t="s">
        <v>80</v>
      </c>
      <c r="B14" s="0" t="n">
        <v>8285753</v>
      </c>
      <c r="C14" s="0" t="n">
        <v>4600156</v>
      </c>
      <c r="D14" s="0" t="n">
        <v>3685597</v>
      </c>
      <c r="E14" s="0" t="n">
        <v>44.5</v>
      </c>
      <c r="F14" s="0" t="n">
        <v>2948293</v>
      </c>
      <c r="G14" s="0" t="n">
        <v>35.6</v>
      </c>
      <c r="H14" s="0" t="n">
        <v>4462369</v>
      </c>
      <c r="I14" s="0" t="n">
        <v>1895581</v>
      </c>
      <c r="J14" s="0" t="n">
        <v>22.9</v>
      </c>
      <c r="K14" s="0" t="n">
        <v>3.78</v>
      </c>
      <c r="L14" s="0" t="n">
        <v>3960892</v>
      </c>
      <c r="M14" s="0" t="n">
        <v>1817949</v>
      </c>
      <c r="N14" s="0" t="n">
        <v>2142943</v>
      </c>
      <c r="O14" s="0" t="n">
        <v>20832900</v>
      </c>
      <c r="P14" s="0" t="n">
        <v>29987018</v>
      </c>
      <c r="Q14" s="0" t="n">
        <v>9154118</v>
      </c>
      <c r="R14" s="0" t="n">
        <v>1142956</v>
      </c>
      <c r="S14" s="0" t="n">
        <v>926431</v>
      </c>
      <c r="T14" s="0" t="n">
        <v>500861</v>
      </c>
      <c r="U14" s="0" t="n">
        <v>77404</v>
      </c>
      <c r="V14" s="0" t="n">
        <v>1.6</v>
      </c>
      <c r="AA14" s="0" t="s">
        <v>68</v>
      </c>
      <c r="AB14" s="0" t="s">
        <v>14</v>
      </c>
      <c r="AC14" s="0" t="n">
        <v>1239</v>
      </c>
      <c r="AD14" s="0" t="n">
        <v>2384</v>
      </c>
      <c r="AE14" s="0" t="n">
        <v>3485336</v>
      </c>
    </row>
    <row r="15" customFormat="false" ht="15" hidden="false" customHeight="false" outlineLevel="0" collapsed="false">
      <c r="A15" s="0" t="s">
        <v>81</v>
      </c>
      <c r="B15" s="0" t="n">
        <v>11907851</v>
      </c>
      <c r="C15" s="0" t="n">
        <v>4985981</v>
      </c>
      <c r="D15" s="0" t="n">
        <v>6921870</v>
      </c>
      <c r="E15" s="0" t="n">
        <v>58.1</v>
      </c>
      <c r="F15" s="0" t="n">
        <v>6795056</v>
      </c>
      <c r="G15" s="0" t="n">
        <v>57.1</v>
      </c>
      <c r="H15" s="0" t="n">
        <v>8440353</v>
      </c>
      <c r="I15" s="0" t="n">
        <v>4461461</v>
      </c>
      <c r="J15" s="0" t="n">
        <v>37.5</v>
      </c>
      <c r="K15" s="0" t="n">
        <v>8.86</v>
      </c>
      <c r="L15" s="0" t="n">
        <v>6817113</v>
      </c>
      <c r="M15" s="0" t="n">
        <v>2418200</v>
      </c>
      <c r="N15" s="0" t="n">
        <v>4398913</v>
      </c>
      <c r="O15" s="0" t="n">
        <v>24742464</v>
      </c>
      <c r="P15" s="0" t="n">
        <v>34471291</v>
      </c>
      <c r="Q15" s="0" t="n">
        <v>9728827</v>
      </c>
      <c r="R15" s="0" t="n">
        <v>196271</v>
      </c>
      <c r="S15" s="0" t="n">
        <v>2866053</v>
      </c>
      <c r="T15" s="0" t="n">
        <v>503434</v>
      </c>
      <c r="U15" s="0" t="n">
        <v>97545</v>
      </c>
      <c r="V15" s="0" t="n">
        <v>1.6</v>
      </c>
      <c r="AA15" s="0" t="s">
        <v>68</v>
      </c>
      <c r="AB15" s="0" t="s">
        <v>14</v>
      </c>
      <c r="AC15" s="0" t="n">
        <v>1339</v>
      </c>
      <c r="AD15" s="0" t="n">
        <v>3454</v>
      </c>
      <c r="AE15" s="0" t="n">
        <v>3447367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82</v>
      </c>
      <c r="B1" s="2" t="s">
        <v>83</v>
      </c>
    </row>
    <row r="2" customFormat="false" ht="15" hidden="false" customHeight="false" outlineLevel="0" collapsed="false">
      <c r="A2" s="0" t="s">
        <v>84</v>
      </c>
      <c r="B2" s="3" t="n">
        <v>269.83</v>
      </c>
    </row>
    <row r="3" customFormat="false" ht="15" hidden="false" customHeight="false" outlineLevel="0" collapsed="false">
      <c r="A3" s="0" t="s">
        <v>85</v>
      </c>
      <c r="B3" s="3" t="n">
        <v>508.4</v>
      </c>
    </row>
    <row r="4" customFormat="false" ht="15" hidden="false" customHeight="false" outlineLevel="0" collapsed="false">
      <c r="A4" s="0" t="s">
        <v>86</v>
      </c>
      <c r="B4" s="3" t="n">
        <v>-3143.7</v>
      </c>
    </row>
    <row r="5" customFormat="false" ht="15" hidden="false" customHeight="false" outlineLevel="0" collapsed="false">
      <c r="A5" s="0" t="s">
        <v>87</v>
      </c>
      <c r="B5" s="3" t="n">
        <v>838</v>
      </c>
    </row>
    <row r="6" customFormat="false" ht="15" hidden="false" customHeight="false" outlineLevel="0" collapsed="false">
      <c r="A6" s="0" t="s">
        <v>88</v>
      </c>
      <c r="B6" s="3" t="n">
        <v>15</v>
      </c>
    </row>
    <row r="7" customFormat="false" ht="15" hidden="false" customHeight="false" outlineLevel="0" collapsed="false">
      <c r="A7" s="0" t="s">
        <v>89</v>
      </c>
      <c r="B7" s="3" t="n">
        <v>11907.851</v>
      </c>
    </row>
    <row r="8" customFormat="false" ht="15" hidden="false" customHeight="false" outlineLevel="0" collapsed="false">
      <c r="A8" s="0" t="s">
        <v>90</v>
      </c>
      <c r="B8" s="3" t="s">
        <v>81</v>
      </c>
    </row>
    <row r="9" customFormat="false" ht="15" hidden="false" customHeight="false" outlineLevel="0" collapsed="false">
      <c r="A9" s="0" t="s">
        <v>91</v>
      </c>
      <c r="B9" s="3" t="s">
        <v>92</v>
      </c>
    </row>
    <row r="10" customFormat="false" ht="15" hidden="false" customHeight="false" outlineLevel="0" collapsed="false">
      <c r="A10" s="0" t="s">
        <v>93</v>
      </c>
      <c r="B10" s="3" t="n">
        <v>1.4254</v>
      </c>
    </row>
    <row r="12" customFormat="false" ht="15" hidden="false" customHeight="false" outlineLevel="0" collapsed="false">
      <c r="A12" s="2" t="s">
        <v>94</v>
      </c>
      <c r="C12" s="2" t="s">
        <v>95</v>
      </c>
      <c r="D12" s="2" t="s">
        <v>96</v>
      </c>
      <c r="E12" s="2" t="s">
        <v>97</v>
      </c>
      <c r="F12" s="2" t="s">
        <v>98</v>
      </c>
      <c r="G12" s="2" t="s">
        <v>99</v>
      </c>
      <c r="H12" s="2" t="s">
        <v>100</v>
      </c>
      <c r="I12" s="2" t="s">
        <v>101</v>
      </c>
      <c r="J12" s="2" t="s">
        <v>102</v>
      </c>
      <c r="K12" s="2" t="s">
        <v>103</v>
      </c>
      <c r="L12" s="2" t="s">
        <v>104</v>
      </c>
    </row>
    <row r="13" customFormat="false" ht="15" hidden="false" customHeight="false" outlineLevel="0" collapsed="false">
      <c r="A13" s="0" t="s">
        <v>105</v>
      </c>
      <c r="C13" s="3" t="n">
        <v>21.9</v>
      </c>
      <c r="D13" s="3" t="n">
        <v>-24.2</v>
      </c>
      <c r="E13" s="3" t="n">
        <v>-14.5</v>
      </c>
      <c r="F13" s="3" t="n">
        <v>-0.4</v>
      </c>
      <c r="G13" s="3" t="n">
        <v>4.9</v>
      </c>
      <c r="H13" s="3" t="n">
        <v>5.1</v>
      </c>
      <c r="I13" s="3" t="n">
        <v>5</v>
      </c>
      <c r="J13" s="3" t="n">
        <v>3.4</v>
      </c>
      <c r="K13" s="3" t="n">
        <v>3.4</v>
      </c>
      <c r="L13" s="3" t="n">
        <v>2</v>
      </c>
    </row>
    <row r="14" customFormat="false" ht="15" hidden="false" customHeight="false" outlineLevel="0" collapsed="false">
      <c r="A14" s="0" t="s">
        <v>106</v>
      </c>
      <c r="C14" s="3" t="n">
        <v>68.7</v>
      </c>
      <c r="D14" s="3" t="n">
        <v>59</v>
      </c>
      <c r="E14" s="3" t="n">
        <v>51.3</v>
      </c>
      <c r="F14" s="3" t="n">
        <v>48.9</v>
      </c>
      <c r="G14" s="3" t="n">
        <v>48.8</v>
      </c>
      <c r="H14" s="3" t="n">
        <v>48.9</v>
      </c>
      <c r="I14" s="3" t="n">
        <v>48.9</v>
      </c>
      <c r="J14" s="3" t="n">
        <v>48.9</v>
      </c>
      <c r="K14" s="3" t="n">
        <v>48.8</v>
      </c>
      <c r="L14" s="3" t="n">
        <v>48.6</v>
      </c>
    </row>
    <row r="15" customFormat="false" ht="15" hidden="false" customHeight="false" outlineLevel="0" collapsed="false">
      <c r="A15" s="0" t="s">
        <v>107</v>
      </c>
      <c r="C15" s="3" t="n">
        <v>0.6</v>
      </c>
      <c r="D15" s="3" t="n">
        <v>0.6</v>
      </c>
      <c r="E15" s="3" t="n">
        <v>0.6</v>
      </c>
      <c r="F15" s="3" t="n">
        <v>0.6</v>
      </c>
      <c r="G15" s="3" t="n">
        <v>0.6</v>
      </c>
      <c r="H15" s="3" t="n">
        <v>0.6</v>
      </c>
      <c r="I15" s="3" t="n">
        <v>0.6</v>
      </c>
      <c r="J15" s="3" t="n">
        <v>0.6</v>
      </c>
      <c r="K15" s="3" t="n">
        <v>0.6</v>
      </c>
      <c r="L15" s="3" t="n">
        <v>0.6</v>
      </c>
    </row>
    <row r="16" customFormat="false" ht="15" hidden="false" customHeight="false" outlineLevel="0" collapsed="false">
      <c r="A16" s="0" t="s">
        <v>108</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109</v>
      </c>
      <c r="C17" s="3" t="n">
        <v>11.4</v>
      </c>
      <c r="D17" s="3" t="n">
        <v>15.9</v>
      </c>
      <c r="E17" s="3" t="n">
        <v>19.7</v>
      </c>
      <c r="F17" s="3" t="n">
        <v>20.8</v>
      </c>
      <c r="G17" s="3" t="n">
        <v>20.9</v>
      </c>
      <c r="H17" s="3" t="n">
        <v>20.8</v>
      </c>
      <c r="I17" s="3" t="n">
        <v>20.3</v>
      </c>
      <c r="J17" s="3" t="n">
        <v>20.1</v>
      </c>
      <c r="K17" s="3" t="n">
        <v>19.8</v>
      </c>
      <c r="L17" s="3" t="n">
        <v>19.9</v>
      </c>
    </row>
    <row r="18" customFormat="false" ht="15" hidden="false" customHeight="false" outlineLevel="0" collapsed="false">
      <c r="A18" s="0" t="s">
        <v>110</v>
      </c>
      <c r="C18" s="3" t="n">
        <v>20.8</v>
      </c>
      <c r="D18" s="3" t="n">
        <v>30</v>
      </c>
      <c r="E18" s="3" t="n">
        <v>35.1</v>
      </c>
      <c r="F18" s="3" t="n">
        <v>30.9</v>
      </c>
      <c r="G18" s="3" t="n">
        <v>25.4</v>
      </c>
      <c r="H18" s="3" t="n">
        <v>22.3</v>
      </c>
      <c r="I18" s="3" t="n">
        <v>20.3</v>
      </c>
      <c r="J18" s="3" t="n">
        <v>20.1</v>
      </c>
      <c r="K18" s="3" t="n">
        <v>19.8</v>
      </c>
      <c r="L18" s="3" t="n">
        <v>19.9</v>
      </c>
    </row>
    <row r="19" customFormat="false" ht="15" hidden="false" customHeight="false" outlineLevel="0" collapsed="false">
      <c r="A19" s="0" t="s">
        <v>111</v>
      </c>
      <c r="C19" s="3" t="n">
        <v>40</v>
      </c>
      <c r="D19" s="3" t="n">
        <v>35</v>
      </c>
      <c r="E19" s="3" t="n">
        <v>35</v>
      </c>
      <c r="F19" s="3" t="n">
        <v>35</v>
      </c>
      <c r="G19" s="3" t="n">
        <v>35</v>
      </c>
      <c r="H19" s="3" t="n">
        <v>35</v>
      </c>
      <c r="I19" s="3" t="n">
        <v>35</v>
      </c>
      <c r="J19" s="3" t="n">
        <v>35</v>
      </c>
      <c r="K19" s="3" t="n">
        <v>35</v>
      </c>
      <c r="L19" s="3" t="n">
        <v>35</v>
      </c>
    </row>
    <row r="20" customFormat="false" ht="15" hidden="false" customHeight="false" outlineLevel="0" collapsed="false">
      <c r="A20" s="0" t="s">
        <v>112</v>
      </c>
      <c r="B20" s="3" t="n">
        <v>9</v>
      </c>
    </row>
    <row r="21" customFormat="false" ht="15" hidden="false" customHeight="false" outlineLevel="0" collapsed="false">
      <c r="A21" s="0" t="s">
        <v>113</v>
      </c>
      <c r="B21" s="3" t="n">
        <v>2</v>
      </c>
    </row>
    <row r="22" customFormat="false" ht="15" hidden="false" customHeight="false" outlineLevel="0" collapsed="false">
      <c r="A22" s="0" t="s">
        <v>114</v>
      </c>
      <c r="B22" s="3" t="n">
        <v>14</v>
      </c>
    </row>
    <row r="23" customFormat="false" ht="15" hidden="false" customHeight="false" outlineLevel="0" collapsed="false">
      <c r="A23" s="0" t="s">
        <v>115</v>
      </c>
      <c r="B23" s="3" t="n">
        <v>0</v>
      </c>
    </row>
    <row r="24" customFormat="false" ht="15" hidden="false" customHeight="false" outlineLevel="0" collapsed="false">
      <c r="A24" s="0" t="s">
        <v>116</v>
      </c>
      <c r="B24" s="3" t="n">
        <v>0.25</v>
      </c>
    </row>
    <row r="26" customFormat="false" ht="15" hidden="false" customHeight="false" outlineLevel="0" collapsed="false">
      <c r="A26" s="2" t="s">
        <v>117</v>
      </c>
      <c r="C26" s="2" t="s">
        <v>95</v>
      </c>
      <c r="D26" s="2" t="s">
        <v>96</v>
      </c>
      <c r="E26" s="2" t="s">
        <v>97</v>
      </c>
      <c r="F26" s="2" t="s">
        <v>98</v>
      </c>
      <c r="G26" s="2" t="s">
        <v>99</v>
      </c>
      <c r="H26" s="2" t="s">
        <v>100</v>
      </c>
      <c r="I26" s="2" t="s">
        <v>101</v>
      </c>
      <c r="J26" s="2" t="s">
        <v>102</v>
      </c>
      <c r="K26" s="2" t="s">
        <v>103</v>
      </c>
      <c r="L26" s="2" t="s">
        <v>104</v>
      </c>
    </row>
    <row r="27" customFormat="false" ht="15" hidden="false" customHeight="false" outlineLevel="0" collapsed="false">
      <c r="A27" s="0" t="s">
        <v>105</v>
      </c>
      <c r="C27" s="3" t="n">
        <v>24.1</v>
      </c>
      <c r="D27" s="3" t="n">
        <v>-12</v>
      </c>
      <c r="E27" s="3" t="n">
        <v>-6.2</v>
      </c>
      <c r="F27" s="3" t="n">
        <v>1.6</v>
      </c>
      <c r="G27" s="3" t="n">
        <v>5.7</v>
      </c>
      <c r="H27" s="3" t="n">
        <v>7.5</v>
      </c>
      <c r="I27" s="3" t="n">
        <v>4.6</v>
      </c>
      <c r="J27" s="3" t="n">
        <v>4.6</v>
      </c>
      <c r="K27" s="3" t="n">
        <v>3.3</v>
      </c>
      <c r="L27" s="3" t="n">
        <v>3.2</v>
      </c>
    </row>
    <row r="28" customFormat="false" ht="15" hidden="false" customHeight="false" outlineLevel="0" collapsed="false">
      <c r="A28" s="0" t="s">
        <v>106</v>
      </c>
      <c r="C28" s="3" t="n">
        <v>69.3</v>
      </c>
      <c r="D28" s="3" t="n">
        <v>65.2</v>
      </c>
      <c r="E28" s="3" t="n">
        <v>61.9</v>
      </c>
      <c r="F28" s="3" t="n">
        <v>60.4</v>
      </c>
      <c r="G28" s="3" t="n">
        <v>59.9</v>
      </c>
      <c r="H28" s="3" t="n">
        <v>60</v>
      </c>
      <c r="I28" s="3" t="n">
        <v>59.9</v>
      </c>
      <c r="J28" s="3" t="n">
        <v>59.9</v>
      </c>
      <c r="K28" s="3" t="n">
        <v>59.8</v>
      </c>
      <c r="L28" s="3" t="n">
        <v>59.7</v>
      </c>
    </row>
    <row r="29" customFormat="false" ht="15" hidden="false" customHeight="false" outlineLevel="0" collapsed="false">
      <c r="A29" s="0" t="s">
        <v>107</v>
      </c>
      <c r="C29" s="3" t="n">
        <v>0.6</v>
      </c>
      <c r="D29" s="3" t="n">
        <v>0.6</v>
      </c>
      <c r="E29" s="3" t="n">
        <v>0.6</v>
      </c>
      <c r="F29" s="3" t="n">
        <v>0.6</v>
      </c>
      <c r="G29" s="3" t="n">
        <v>0.6</v>
      </c>
      <c r="H29" s="3" t="n">
        <v>0.6</v>
      </c>
      <c r="I29" s="3" t="n">
        <v>0.6</v>
      </c>
      <c r="J29" s="3" t="n">
        <v>0.6</v>
      </c>
      <c r="K29" s="3" t="n">
        <v>0.6</v>
      </c>
      <c r="L29" s="3" t="n">
        <v>0.6</v>
      </c>
    </row>
    <row r="30" customFormat="false" ht="15" hidden="false" customHeight="false" outlineLevel="0" collapsed="false">
      <c r="A30" s="0" t="s">
        <v>108</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109</v>
      </c>
      <c r="C31" s="3" t="n">
        <v>11.2</v>
      </c>
      <c r="D31" s="3" t="n">
        <v>13.5</v>
      </c>
      <c r="E31" s="3" t="n">
        <v>15.2</v>
      </c>
      <c r="F31" s="3" t="n">
        <v>15.7</v>
      </c>
      <c r="G31" s="3" t="n">
        <v>16</v>
      </c>
      <c r="H31" s="3" t="n">
        <v>15.6</v>
      </c>
      <c r="I31" s="3" t="n">
        <v>15.5</v>
      </c>
      <c r="J31" s="3" t="n">
        <v>15.3</v>
      </c>
      <c r="K31" s="3" t="n">
        <v>15.1</v>
      </c>
      <c r="L31" s="3" t="n">
        <v>14.9</v>
      </c>
    </row>
    <row r="32" customFormat="false" ht="15" hidden="false" customHeight="false" outlineLevel="0" collapsed="false">
      <c r="A32" s="0" t="s">
        <v>110</v>
      </c>
      <c r="C32" s="3" t="n">
        <v>20.5</v>
      </c>
      <c r="D32" s="3" t="n">
        <v>24.6</v>
      </c>
      <c r="E32" s="3" t="n">
        <v>26.2</v>
      </c>
      <c r="F32" s="3" t="n">
        <v>24.2</v>
      </c>
      <c r="G32" s="3" t="n">
        <v>20.6</v>
      </c>
      <c r="H32" s="3" t="n">
        <v>17.8</v>
      </c>
      <c r="I32" s="3" t="n">
        <v>16.3</v>
      </c>
      <c r="J32" s="3" t="n">
        <v>15.6</v>
      </c>
      <c r="K32" s="3" t="n">
        <v>15.4</v>
      </c>
      <c r="L32" s="3" t="n">
        <v>15.2</v>
      </c>
    </row>
    <row r="33" customFormat="false" ht="15" hidden="false" customHeight="false" outlineLevel="0" collapsed="false">
      <c r="A33" s="0" t="s">
        <v>111</v>
      </c>
      <c r="C33" s="3" t="n">
        <v>40</v>
      </c>
      <c r="D33" s="3" t="n">
        <v>35</v>
      </c>
      <c r="E33" s="3" t="n">
        <v>35</v>
      </c>
      <c r="F33" s="3" t="n">
        <v>35</v>
      </c>
      <c r="G33" s="3" t="n">
        <v>35</v>
      </c>
      <c r="H33" s="3" t="n">
        <v>35</v>
      </c>
      <c r="I33" s="3" t="n">
        <v>35</v>
      </c>
      <c r="J33" s="3" t="n">
        <v>35</v>
      </c>
      <c r="K33" s="3" t="n">
        <v>35</v>
      </c>
      <c r="L33" s="3" t="n">
        <v>35</v>
      </c>
    </row>
    <row r="34" customFormat="false" ht="15" hidden="false" customHeight="false" outlineLevel="0" collapsed="false">
      <c r="A34" s="0" t="s">
        <v>112</v>
      </c>
      <c r="B34" s="3" t="n">
        <v>9</v>
      </c>
    </row>
    <row r="35" customFormat="false" ht="15" hidden="false" customHeight="false" outlineLevel="0" collapsed="false">
      <c r="A35" s="0" t="s">
        <v>113</v>
      </c>
      <c r="B35" s="3" t="n">
        <v>2.5</v>
      </c>
    </row>
    <row r="36" customFormat="false" ht="15" hidden="false" customHeight="false" outlineLevel="0" collapsed="false">
      <c r="A36" s="0" t="s">
        <v>114</v>
      </c>
      <c r="B36" s="3" t="n">
        <v>14</v>
      </c>
    </row>
    <row r="37" customFormat="false" ht="15" hidden="false" customHeight="false" outlineLevel="0" collapsed="false">
      <c r="A37" s="0" t="s">
        <v>115</v>
      </c>
      <c r="B37" s="3" t="n">
        <v>0</v>
      </c>
    </row>
    <row r="38" customFormat="false" ht="15" hidden="false" customHeight="false" outlineLevel="0" collapsed="false">
      <c r="A38" s="0" t="s">
        <v>116</v>
      </c>
      <c r="B38" s="3" t="n">
        <v>0.5</v>
      </c>
    </row>
    <row r="40" customFormat="false" ht="15" hidden="false" customHeight="false" outlineLevel="0" collapsed="false">
      <c r="A40" s="2" t="s">
        <v>118</v>
      </c>
      <c r="C40" s="2" t="s">
        <v>95</v>
      </c>
      <c r="D40" s="2" t="s">
        <v>96</v>
      </c>
      <c r="E40" s="2" t="s">
        <v>97</v>
      </c>
      <c r="F40" s="2" t="s">
        <v>98</v>
      </c>
      <c r="G40" s="2" t="s">
        <v>99</v>
      </c>
      <c r="H40" s="2" t="s">
        <v>100</v>
      </c>
      <c r="I40" s="2" t="s">
        <v>101</v>
      </c>
      <c r="J40" s="2" t="s">
        <v>102</v>
      </c>
      <c r="K40" s="2" t="s">
        <v>103</v>
      </c>
      <c r="L40" s="2" t="s">
        <v>104</v>
      </c>
    </row>
    <row r="41" customFormat="false" ht="15" hidden="false" customHeight="false" outlineLevel="0" collapsed="false">
      <c r="A41" s="0" t="s">
        <v>105</v>
      </c>
      <c r="C41" s="3" t="n">
        <v>26.4</v>
      </c>
      <c r="D41" s="3" t="n">
        <v>-2.5</v>
      </c>
      <c r="E41" s="3" t="n">
        <v>2.1</v>
      </c>
      <c r="F41" s="3" t="n">
        <v>6.7</v>
      </c>
      <c r="G41" s="3" t="n">
        <v>9.6</v>
      </c>
      <c r="H41" s="3" t="n">
        <v>9.1</v>
      </c>
      <c r="I41" s="3" t="n">
        <v>7.5</v>
      </c>
      <c r="J41" s="3" t="n">
        <v>4.9</v>
      </c>
      <c r="K41" s="3" t="n">
        <v>4.8</v>
      </c>
      <c r="L41" s="3" t="n">
        <v>2.5</v>
      </c>
    </row>
    <row r="42" customFormat="false" ht="15" hidden="false" customHeight="false" outlineLevel="0" collapsed="false">
      <c r="A42" s="0" t="s">
        <v>106</v>
      </c>
      <c r="C42" s="3" t="n">
        <v>69.7</v>
      </c>
      <c r="D42" s="3" t="n">
        <v>67.8</v>
      </c>
      <c r="E42" s="3" t="n">
        <v>67.3</v>
      </c>
      <c r="F42" s="3" t="n">
        <v>67.7</v>
      </c>
      <c r="G42" s="3" t="n">
        <v>68.3</v>
      </c>
      <c r="H42" s="3" t="n">
        <v>68.7</v>
      </c>
      <c r="I42" s="3" t="n">
        <v>69</v>
      </c>
      <c r="J42" s="3" t="n">
        <v>69.1</v>
      </c>
      <c r="K42" s="3" t="n">
        <v>69.3</v>
      </c>
      <c r="L42" s="3" t="n">
        <v>69.3</v>
      </c>
    </row>
    <row r="43" customFormat="false" ht="15" hidden="false" customHeight="false" outlineLevel="0" collapsed="false">
      <c r="A43" s="0" t="s">
        <v>107</v>
      </c>
      <c r="C43" s="3" t="n">
        <v>0.6</v>
      </c>
      <c r="D43" s="3" t="n">
        <v>0.6</v>
      </c>
      <c r="E43" s="3" t="n">
        <v>0.6</v>
      </c>
      <c r="F43" s="3" t="n">
        <v>0.6</v>
      </c>
      <c r="G43" s="3" t="n">
        <v>0.6</v>
      </c>
      <c r="H43" s="3" t="n">
        <v>0.6</v>
      </c>
      <c r="I43" s="3" t="n">
        <v>0.6</v>
      </c>
      <c r="J43" s="3" t="n">
        <v>0.6</v>
      </c>
      <c r="K43" s="3" t="n">
        <v>0.6</v>
      </c>
      <c r="L43" s="3" t="n">
        <v>0.6</v>
      </c>
    </row>
    <row r="44" customFormat="false" ht="15" hidden="false" customHeight="false" outlineLevel="0" collapsed="false">
      <c r="A44" s="0" t="s">
        <v>108</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109</v>
      </c>
      <c r="C45" s="3" t="n">
        <v>11</v>
      </c>
      <c r="D45" s="3" t="n">
        <v>12.1</v>
      </c>
      <c r="E45" s="3" t="n">
        <v>12.7</v>
      </c>
      <c r="F45" s="3" t="n">
        <v>12.8</v>
      </c>
      <c r="G45" s="3" t="n">
        <v>12.8</v>
      </c>
      <c r="H45" s="3" t="n">
        <v>12.6</v>
      </c>
      <c r="I45" s="3" t="n">
        <v>12.2</v>
      </c>
      <c r="J45" s="3" t="n">
        <v>12</v>
      </c>
      <c r="K45" s="3" t="n">
        <v>11.7</v>
      </c>
      <c r="L45" s="3" t="n">
        <v>11.7</v>
      </c>
    </row>
    <row r="46" customFormat="false" ht="15" hidden="false" customHeight="false" outlineLevel="0" collapsed="false">
      <c r="A46" s="0" t="s">
        <v>110</v>
      </c>
      <c r="C46" s="3" t="n">
        <v>20.1</v>
      </c>
      <c r="D46" s="3" t="n">
        <v>22.5</v>
      </c>
      <c r="E46" s="3" t="n">
        <v>22</v>
      </c>
      <c r="F46" s="3" t="n">
        <v>20</v>
      </c>
      <c r="G46" s="3" t="n">
        <v>17.1</v>
      </c>
      <c r="H46" s="3" t="n">
        <v>14.7</v>
      </c>
      <c r="I46" s="3" t="n">
        <v>13.1</v>
      </c>
      <c r="J46" s="3" t="n">
        <v>12.5</v>
      </c>
      <c r="K46" s="3" t="n">
        <v>12.2</v>
      </c>
      <c r="L46" s="3" t="n">
        <v>12.1</v>
      </c>
    </row>
    <row r="47" customFormat="false" ht="15" hidden="false" customHeight="false" outlineLevel="0" collapsed="false">
      <c r="A47" s="0" t="s">
        <v>111</v>
      </c>
      <c r="C47" s="3" t="n">
        <v>40</v>
      </c>
      <c r="D47" s="3" t="n">
        <v>35</v>
      </c>
      <c r="E47" s="3" t="n">
        <v>35</v>
      </c>
      <c r="F47" s="3" t="n">
        <v>35</v>
      </c>
      <c r="G47" s="3" t="n">
        <v>35</v>
      </c>
      <c r="H47" s="3" t="n">
        <v>35</v>
      </c>
      <c r="I47" s="3" t="n">
        <v>35</v>
      </c>
      <c r="J47" s="3" t="n">
        <v>35</v>
      </c>
      <c r="K47" s="3" t="n">
        <v>35</v>
      </c>
      <c r="L47" s="3" t="n">
        <v>35</v>
      </c>
    </row>
    <row r="48" customFormat="false" ht="15" hidden="false" customHeight="false" outlineLevel="0" collapsed="false">
      <c r="A48" s="0" t="s">
        <v>112</v>
      </c>
      <c r="B48" s="3" t="n">
        <v>9</v>
      </c>
    </row>
    <row r="49" customFormat="false" ht="15" hidden="false" customHeight="false" outlineLevel="0" collapsed="false">
      <c r="A49" s="0" t="s">
        <v>113</v>
      </c>
      <c r="B49" s="3" t="n">
        <v>2.5</v>
      </c>
    </row>
    <row r="50" customFormat="false" ht="15" hidden="false" customHeight="false" outlineLevel="0" collapsed="false">
      <c r="A50" s="0" t="s">
        <v>114</v>
      </c>
      <c r="B50" s="3" t="n">
        <v>14</v>
      </c>
    </row>
    <row r="51" customFormat="false" ht="15" hidden="false" customHeight="false" outlineLevel="0" collapsed="false">
      <c r="A51" s="0" t="s">
        <v>115</v>
      </c>
      <c r="B51" s="3" t="n">
        <v>0</v>
      </c>
    </row>
    <row r="52" customFormat="false" ht="15" hidden="false" customHeight="false" outlineLevel="0" collapsed="false">
      <c r="A52" s="0" t="s">
        <v>116</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119</v>
      </c>
    </row>
    <row r="3" customFormat="false" ht="15" hidden="false" customHeight="false" outlineLevel="0" collapsed="false">
      <c r="A3" s="0" t="s">
        <v>120</v>
      </c>
      <c r="B3" s="0" t="s">
        <v>81</v>
      </c>
      <c r="C3" s="2" t="s">
        <v>95</v>
      </c>
      <c r="D3" s="2" t="s">
        <v>96</v>
      </c>
      <c r="E3" s="2" t="s">
        <v>97</v>
      </c>
      <c r="F3" s="2" t="s">
        <v>98</v>
      </c>
      <c r="G3" s="2" t="s">
        <v>99</v>
      </c>
      <c r="H3" s="2" t="s">
        <v>100</v>
      </c>
      <c r="I3" s="2" t="s">
        <v>101</v>
      </c>
      <c r="J3" s="2" t="s">
        <v>102</v>
      </c>
      <c r="K3" s="2" t="s">
        <v>103</v>
      </c>
      <c r="L3" s="2" t="s">
        <v>104</v>
      </c>
    </row>
    <row r="4" customFormat="false" ht="15" hidden="false" customHeight="false" outlineLevel="0" collapsed="false">
      <c r="A4" s="0" t="s">
        <v>121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105</v>
      </c>
      <c r="C5" s="4" t="n">
        <f aca="false">Assumptions!C13</f>
        <v>21.9</v>
      </c>
      <c r="D5" s="4" t="n">
        <f aca="false">Assumptions!D13</f>
        <v>-24.2</v>
      </c>
      <c r="E5" s="4" t="n">
        <f aca="false">Assumptions!E13</f>
        <v>-14.5</v>
      </c>
      <c r="F5" s="4" t="n">
        <f aca="false">Assumptions!F13</f>
        <v>-0.4</v>
      </c>
      <c r="G5" s="4" t="n">
        <f aca="false">Assumptions!G13</f>
        <v>4.9</v>
      </c>
      <c r="H5" s="4" t="n">
        <f aca="false">Assumptions!H13</f>
        <v>5.1</v>
      </c>
      <c r="I5" s="4" t="n">
        <f aca="false">Assumptions!I13</f>
        <v>5</v>
      </c>
      <c r="J5" s="4" t="n">
        <f aca="false">Assumptions!J13</f>
        <v>3.4</v>
      </c>
      <c r="K5" s="4" t="n">
        <f aca="false">Assumptions!K13</f>
        <v>3.4</v>
      </c>
      <c r="L5" s="4" t="n">
        <f aca="false">Assumptions!L13</f>
        <v>2</v>
      </c>
    </row>
    <row r="6" customFormat="false" ht="15" hidden="false" customHeight="false" outlineLevel="0" collapsed="false">
      <c r="A6" s="0" t="s">
        <v>38</v>
      </c>
      <c r="B6" s="3" t="n">
        <v>11907.851</v>
      </c>
      <c r="C6" s="0" t="n">
        <f aca="false">B6*(1+C5/100)</f>
        <v>14515.670369</v>
      </c>
      <c r="D6" s="0" t="n">
        <f aca="false">C6*(1+D5/100)</f>
        <v>11002.878139702</v>
      </c>
      <c r="E6" s="0" t="n">
        <f aca="false">D6*(1+E5/100)</f>
        <v>9407.46080944521</v>
      </c>
      <c r="F6" s="0" t="n">
        <f aca="false">E6*(1+F5/100)</f>
        <v>9369.83096620743</v>
      </c>
      <c r="G6" s="0" t="n">
        <f aca="false">F6*(1+G5/100)</f>
        <v>9828.95268355159</v>
      </c>
      <c r="H6" s="0" t="n">
        <f aca="false">G6*(1+H5/100)</f>
        <v>10330.2292704127</v>
      </c>
      <c r="I6" s="0" t="n">
        <f aca="false">H6*(1+I5/100)</f>
        <v>10846.7407339334</v>
      </c>
      <c r="J6" s="0" t="n">
        <f aca="false">I6*(1+J5/100)</f>
        <v>11215.5299188871</v>
      </c>
      <c r="K6" s="0" t="n">
        <f aca="false">J6*(1+K5/100)</f>
        <v>11596.8579361293</v>
      </c>
      <c r="L6" s="0" t="n">
        <f aca="false">K6*(1+L5/100)</f>
        <v>11828.7950948518</v>
      </c>
    </row>
    <row r="7" customFormat="false" ht="15" hidden="false" customHeight="false" outlineLevel="0" collapsed="false">
      <c r="A7" s="0" t="s">
        <v>106</v>
      </c>
      <c r="C7" s="4" t="n">
        <f aca="false">Assumptions!C14</f>
        <v>68.7</v>
      </c>
      <c r="D7" s="4" t="n">
        <f aca="false">Assumptions!D14</f>
        <v>59</v>
      </c>
      <c r="E7" s="4" t="n">
        <f aca="false">Assumptions!E14</f>
        <v>51.3</v>
      </c>
      <c r="F7" s="4" t="n">
        <f aca="false">Assumptions!F14</f>
        <v>48.9</v>
      </c>
      <c r="G7" s="4" t="n">
        <f aca="false">Assumptions!G14</f>
        <v>48.8</v>
      </c>
      <c r="H7" s="4" t="n">
        <f aca="false">Assumptions!H14</f>
        <v>48.9</v>
      </c>
      <c r="I7" s="4" t="n">
        <f aca="false">Assumptions!I14</f>
        <v>48.9</v>
      </c>
      <c r="J7" s="4" t="n">
        <f aca="false">Assumptions!J14</f>
        <v>48.9</v>
      </c>
      <c r="K7" s="4" t="n">
        <f aca="false">Assumptions!K14</f>
        <v>48.8</v>
      </c>
      <c r="L7" s="4" t="n">
        <f aca="false">Assumptions!L14</f>
        <v>48.6</v>
      </c>
    </row>
    <row r="8" customFormat="false" ht="15" hidden="false" customHeight="false" outlineLevel="0" collapsed="false">
      <c r="A8" s="0" t="s">
        <v>44</v>
      </c>
      <c r="C8" s="0" t="n">
        <f aca="false">C6*C7/100</f>
        <v>9972.265543503</v>
      </c>
      <c r="D8" s="0" t="n">
        <f aca="false">D6*D7/100</f>
        <v>6491.69810242418</v>
      </c>
      <c r="E8" s="0" t="n">
        <f aca="false">E6*E7/100</f>
        <v>4826.02739524539</v>
      </c>
      <c r="F8" s="0" t="n">
        <f aca="false">F6*F7/100</f>
        <v>4581.84734247543</v>
      </c>
      <c r="G8" s="0" t="n">
        <f aca="false">G6*G7/100</f>
        <v>4796.52890957318</v>
      </c>
      <c r="H8" s="0" t="n">
        <f aca="false">H6*H7/100</f>
        <v>5051.48211323182</v>
      </c>
      <c r="I8" s="0" t="n">
        <f aca="false">I6*I7/100</f>
        <v>5304.05621889341</v>
      </c>
      <c r="J8" s="0" t="n">
        <f aca="false">J6*J7/100</f>
        <v>5484.39413033579</v>
      </c>
      <c r="K8" s="0" t="n">
        <f aca="false">K6*K7/100</f>
        <v>5659.26667283108</v>
      </c>
      <c r="L8" s="0" t="n">
        <f aca="false">L6*L7/100</f>
        <v>5748.794416098</v>
      </c>
    </row>
    <row r="9" customFormat="false" ht="15" hidden="false" customHeight="false" outlineLevel="0" collapsed="false">
      <c r="A9" s="0" t="s">
        <v>107</v>
      </c>
      <c r="C9" s="4" t="n">
        <f aca="false">Assumptions!C15</f>
        <v>0.6</v>
      </c>
      <c r="D9" s="4" t="n">
        <f aca="false">Assumptions!D15</f>
        <v>0.6</v>
      </c>
      <c r="E9" s="4" t="n">
        <f aca="false">Assumptions!E15</f>
        <v>0.6</v>
      </c>
      <c r="F9" s="4" t="n">
        <f aca="false">Assumptions!F15</f>
        <v>0.6</v>
      </c>
      <c r="G9" s="4" t="n">
        <f aca="false">Assumptions!G15</f>
        <v>0.6</v>
      </c>
      <c r="H9" s="4" t="n">
        <f aca="false">Assumptions!H15</f>
        <v>0.6</v>
      </c>
      <c r="I9" s="4" t="n">
        <f aca="false">Assumptions!I15</f>
        <v>0.6</v>
      </c>
      <c r="J9" s="4" t="n">
        <f aca="false">Assumptions!J15</f>
        <v>0.6</v>
      </c>
      <c r="K9" s="4" t="n">
        <f aca="false">Assumptions!K15</f>
        <v>0.6</v>
      </c>
      <c r="L9" s="4" t="n">
        <f aca="false">Assumptions!L15</f>
        <v>0.6</v>
      </c>
    </row>
    <row r="10" customFormat="false" ht="15" hidden="false" customHeight="false" outlineLevel="0" collapsed="false">
      <c r="A10" s="0" t="s">
        <v>122</v>
      </c>
      <c r="C10" s="0" t="n">
        <f aca="false">-C6*C9/100</f>
        <v>-87.094022214</v>
      </c>
      <c r="D10" s="0" t="n">
        <f aca="false">-D6*D9/100</f>
        <v>-66.017268838212</v>
      </c>
      <c r="E10" s="0" t="n">
        <f aca="false">-E6*E9/100</f>
        <v>-56.4447648566713</v>
      </c>
      <c r="F10" s="0" t="n">
        <f aca="false">-F6*F9/100</f>
        <v>-56.2189857972446</v>
      </c>
      <c r="G10" s="0" t="n">
        <f aca="false">-G6*G9/100</f>
        <v>-58.9737161013096</v>
      </c>
      <c r="H10" s="0" t="n">
        <f aca="false">-H6*H9/100</f>
        <v>-61.9813756224763</v>
      </c>
      <c r="I10" s="0" t="n">
        <f aca="false">-I6*I9/100</f>
        <v>-65.0804444036002</v>
      </c>
      <c r="J10" s="0" t="n">
        <f aca="false">-J6*J9/100</f>
        <v>-67.2931795133226</v>
      </c>
      <c r="K10" s="0" t="n">
        <f aca="false">-K6*K9/100</f>
        <v>-69.5811476167755</v>
      </c>
      <c r="L10" s="0" t="n">
        <f aca="false">-L6*L9/100</f>
        <v>-70.9727705691111</v>
      </c>
    </row>
    <row r="11" customFormat="false" ht="15" hidden="false" customHeight="false" outlineLevel="0" collapsed="false">
      <c r="A11" s="0" t="s">
        <v>123</v>
      </c>
      <c r="C11" s="0" t="n">
        <f aca="false">C8+C10+C24</f>
        <v>9885.171521289</v>
      </c>
      <c r="D11" s="0" t="n">
        <f aca="false">D8+D10+D24</f>
        <v>6425.68083358597</v>
      </c>
      <c r="E11" s="0" t="n">
        <f aca="false">E8+E10+E24</f>
        <v>4769.58263038872</v>
      </c>
      <c r="F11" s="0" t="n">
        <f aca="false">F8+F10+F24</f>
        <v>4525.62835667819</v>
      </c>
      <c r="G11" s="0" t="n">
        <f aca="false">G8+G10+G24</f>
        <v>4737.55519347187</v>
      </c>
      <c r="H11" s="0" t="n">
        <f aca="false">H8+H10+H24</f>
        <v>4989.50073760934</v>
      </c>
      <c r="I11" s="0" t="n">
        <f aca="false">I8+I10+I24</f>
        <v>5238.97577448981</v>
      </c>
      <c r="J11" s="0" t="n">
        <f aca="false">J8+J10+J24</f>
        <v>5417.10095082247</v>
      </c>
      <c r="K11" s="0" t="n">
        <f aca="false">K8+K10+K24</f>
        <v>5589.6855252143</v>
      </c>
      <c r="L11" s="0" t="n">
        <f aca="false">L8+L10+L24</f>
        <v>5677.82164552889</v>
      </c>
    </row>
    <row r="12" customFormat="false" ht="15" hidden="false" customHeight="false" outlineLevel="0" collapsed="false">
      <c r="A12" s="0" t="s">
        <v>124</v>
      </c>
      <c r="C12" s="4" t="n">
        <f aca="false">-C6*Assumptions!C17/100</f>
        <v>-1654.786422066</v>
      </c>
      <c r="D12" s="4" t="n">
        <f aca="false">-D6*Assumptions!D17/100</f>
        <v>-1749.45762421262</v>
      </c>
      <c r="E12" s="4" t="n">
        <f aca="false">-E6*Assumptions!E17/100</f>
        <v>-1853.26977946071</v>
      </c>
      <c r="F12" s="4" t="n">
        <f aca="false">-F6*Assumptions!F17/100</f>
        <v>-1948.92484097115</v>
      </c>
      <c r="G12" s="4" t="n">
        <f aca="false">-G6*Assumptions!G17/100</f>
        <v>-2054.25111086228</v>
      </c>
      <c r="H12" s="4" t="n">
        <f aca="false">-H6*Assumptions!H17/100</f>
        <v>-2148.68768824585</v>
      </c>
      <c r="I12" s="4" t="n">
        <f aca="false">-I6*Assumptions!I17/100</f>
        <v>-2201.88836898847</v>
      </c>
      <c r="J12" s="4" t="n">
        <f aca="false">-J6*Assumptions!J17/100</f>
        <v>-2254.32151369631</v>
      </c>
      <c r="K12" s="4" t="n">
        <f aca="false">-K6*Assumptions!K17/100</f>
        <v>-2296.17787135359</v>
      </c>
      <c r="L12" s="4" t="n">
        <f aca="false">-L6*Assumptions!L17/100</f>
        <v>-2353.93022387552</v>
      </c>
    </row>
    <row r="13" customFormat="false" ht="15" hidden="false" customHeight="false" outlineLevel="0" collapsed="false">
      <c r="A13" s="0" t="s">
        <v>125</v>
      </c>
      <c r="C13" s="0" t="n">
        <f aca="false">C11+C12</f>
        <v>8230.385099223</v>
      </c>
      <c r="D13" s="0" t="n">
        <f aca="false">D11+D12</f>
        <v>4676.22320937335</v>
      </c>
      <c r="E13" s="0" t="n">
        <f aca="false">E11+E12</f>
        <v>2916.31285092801</v>
      </c>
      <c r="F13" s="0" t="n">
        <f aca="false">F11+F12</f>
        <v>2576.70351570704</v>
      </c>
      <c r="G13" s="0" t="n">
        <f aca="false">G11+G12</f>
        <v>2683.30408260958</v>
      </c>
      <c r="H13" s="0" t="n">
        <f aca="false">H11+H12</f>
        <v>2840.8130493635</v>
      </c>
      <c r="I13" s="0" t="n">
        <f aca="false">I11+I12</f>
        <v>3037.08740550134</v>
      </c>
      <c r="J13" s="0" t="n">
        <f aca="false">J11+J12</f>
        <v>3162.77943712616</v>
      </c>
      <c r="K13" s="0" t="n">
        <f aca="false">K11+K12</f>
        <v>3293.50765386071</v>
      </c>
      <c r="L13" s="0" t="n">
        <f aca="false">L11+L12</f>
        <v>3323.89142165337</v>
      </c>
    </row>
    <row r="14" customFormat="false" ht="15" hidden="false" customHeight="false" outlineLevel="0" collapsed="false">
      <c r="A14" s="0" t="s">
        <v>111</v>
      </c>
      <c r="C14" s="4" t="n">
        <f aca="false">Assumptions!C19</f>
        <v>40</v>
      </c>
      <c r="D14" s="4" t="n">
        <f aca="false">Assumptions!D19</f>
        <v>35</v>
      </c>
      <c r="E14" s="4" t="n">
        <f aca="false">Assumptions!E19</f>
        <v>35</v>
      </c>
      <c r="F14" s="4" t="n">
        <f aca="false">Assumptions!F19</f>
        <v>35</v>
      </c>
      <c r="G14" s="4" t="n">
        <f aca="false">Assumptions!G19</f>
        <v>35</v>
      </c>
      <c r="H14" s="4" t="n">
        <f aca="false">Assumptions!H19</f>
        <v>35</v>
      </c>
      <c r="I14" s="4" t="n">
        <f aca="false">Assumptions!I19</f>
        <v>35</v>
      </c>
      <c r="J14" s="4" t="n">
        <f aca="false">Assumptions!J19</f>
        <v>35</v>
      </c>
      <c r="K14" s="4" t="n">
        <f aca="false">Assumptions!K19</f>
        <v>35</v>
      </c>
      <c r="L14" s="4" t="n">
        <f aca="false">Assumptions!L19</f>
        <v>35</v>
      </c>
    </row>
    <row r="15" customFormat="false" ht="15" hidden="false" customHeight="false" outlineLevel="0" collapsed="false">
      <c r="A15" s="0" t="s">
        <v>126</v>
      </c>
      <c r="C15" s="0" t="n">
        <f aca="false">C13-MAX(0,C13)*C14/100</f>
        <v>4938.2310595338</v>
      </c>
      <c r="D15" s="0" t="n">
        <f aca="false">D13-MAX(0,D13)*D14/100</f>
        <v>3039.54508609268</v>
      </c>
      <c r="E15" s="0" t="n">
        <f aca="false">E13-MAX(0,E13)*E14/100</f>
        <v>1895.60335310321</v>
      </c>
      <c r="F15" s="0" t="n">
        <f aca="false">F13-MAX(0,F13)*F14/100</f>
        <v>1674.85728520958</v>
      </c>
      <c r="G15" s="0" t="n">
        <f aca="false">G13-MAX(0,G13)*G14/100</f>
        <v>1744.14765369623</v>
      </c>
      <c r="H15" s="0" t="n">
        <f aca="false">H13-MAX(0,H13)*H14/100</f>
        <v>1846.52848208627</v>
      </c>
      <c r="I15" s="0" t="n">
        <f aca="false">I13-MAX(0,I13)*I14/100</f>
        <v>1974.10681357587</v>
      </c>
      <c r="J15" s="0" t="n">
        <f aca="false">J13-MAX(0,J13)*J14/100</f>
        <v>2055.806634132</v>
      </c>
      <c r="K15" s="0" t="n">
        <f aca="false">K13-MAX(0,K13)*K14/100</f>
        <v>2140.77997500946</v>
      </c>
      <c r="L15" s="0" t="n">
        <f aca="false">L13-MAX(0,L13)*L14/100</f>
        <v>2160.52942407469</v>
      </c>
    </row>
    <row r="16" customFormat="false" ht="15" hidden="false" customHeight="false" outlineLevel="0" collapsed="false">
      <c r="A16" s="0" t="s">
        <v>127</v>
      </c>
      <c r="C16" s="0" t="n">
        <f aca="false">-C12</f>
        <v>1654.786422066</v>
      </c>
      <c r="D16" s="0" t="n">
        <f aca="false">-D12</f>
        <v>1749.45762421262</v>
      </c>
      <c r="E16" s="0" t="n">
        <f aca="false">-E12</f>
        <v>1853.26977946071</v>
      </c>
      <c r="F16" s="0" t="n">
        <f aca="false">-F12</f>
        <v>1948.92484097115</v>
      </c>
      <c r="G16" s="0" t="n">
        <f aca="false">-G12</f>
        <v>2054.25111086228</v>
      </c>
      <c r="H16" s="0" t="n">
        <f aca="false">-H12</f>
        <v>2148.68768824585</v>
      </c>
      <c r="I16" s="0" t="n">
        <f aca="false">-I12</f>
        <v>2201.88836898847</v>
      </c>
      <c r="J16" s="0" t="n">
        <f aca="false">-J12</f>
        <v>2254.32151369631</v>
      </c>
      <c r="K16" s="0" t="n">
        <f aca="false">-K12</f>
        <v>2296.17787135359</v>
      </c>
      <c r="L16" s="0" t="n">
        <f aca="false">-L12</f>
        <v>2353.93022387552</v>
      </c>
    </row>
    <row r="17" customFormat="false" ht="15" hidden="false" customHeight="false" outlineLevel="0" collapsed="false">
      <c r="A17" s="0" t="s">
        <v>128</v>
      </c>
      <c r="C17" s="4" t="n">
        <f aca="false">-C6*Assumptions!C18/100</f>
        <v>-3019.259436752</v>
      </c>
      <c r="D17" s="4" t="n">
        <f aca="false">-D6*Assumptions!D18/100</f>
        <v>-3300.8634419106</v>
      </c>
      <c r="E17" s="4" t="n">
        <f aca="false">-E6*Assumptions!E18/100</f>
        <v>-3302.01874411527</v>
      </c>
      <c r="F17" s="4" t="n">
        <f aca="false">-F6*Assumptions!F18/100</f>
        <v>-2895.2777685581</v>
      </c>
      <c r="G17" s="4" t="n">
        <f aca="false">-G6*Assumptions!G18/100</f>
        <v>-2496.5539816221</v>
      </c>
      <c r="H17" s="4" t="n">
        <f aca="false">-H6*Assumptions!H18/100</f>
        <v>-2303.64112730204</v>
      </c>
      <c r="I17" s="4" t="n">
        <f aca="false">-I6*Assumptions!I18/100</f>
        <v>-2201.88836898847</v>
      </c>
      <c r="J17" s="4" t="n">
        <f aca="false">-J6*Assumptions!J18/100</f>
        <v>-2254.32151369631</v>
      </c>
      <c r="K17" s="4" t="n">
        <f aca="false">-K6*Assumptions!K18/100</f>
        <v>-2296.17787135359</v>
      </c>
      <c r="L17" s="4" t="n">
        <f aca="false">-L6*Assumptions!L18/100</f>
        <v>-2353.93022387552</v>
      </c>
    </row>
    <row r="18" customFormat="false" ht="15" hidden="false" customHeight="false" outlineLevel="0" collapsed="false">
      <c r="A18" s="0" t="s">
        <v>129</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130</v>
      </c>
      <c r="C19" s="0" t="n">
        <f aca="false">C15+C16+C17+C18</f>
        <v>3573.7580448478</v>
      </c>
      <c r="D19" s="0" t="n">
        <f aca="false">D15+D16+D17+D18</f>
        <v>1488.1392683947</v>
      </c>
      <c r="E19" s="0" t="n">
        <f aca="false">E15+E16+E17+E18</f>
        <v>446.854388448647</v>
      </c>
      <c r="F19" s="0" t="n">
        <f aca="false">F15+F16+F17+F18</f>
        <v>728.504357622628</v>
      </c>
      <c r="G19" s="0" t="n">
        <f aca="false">G15+G16+G17+G18</f>
        <v>1301.84478293641</v>
      </c>
      <c r="H19" s="0" t="n">
        <f aca="false">H15+H16+H17+H18</f>
        <v>1691.57504303008</v>
      </c>
      <c r="I19" s="0" t="n">
        <f aca="false">I15+I16+I17+I18</f>
        <v>1974.10681357587</v>
      </c>
      <c r="J19" s="0" t="n">
        <f aca="false">J15+J16+J17+J18</f>
        <v>2055.806634132</v>
      </c>
      <c r="K19" s="0" t="n">
        <f aca="false">K15+K16+K17+K18</f>
        <v>2140.77997500946</v>
      </c>
      <c r="L19" s="0" t="n">
        <f aca="false">L15+L16+L17+L18</f>
        <v>2160.52942407469</v>
      </c>
    </row>
    <row r="20" customFormat="false" ht="15" hidden="false" customHeight="false" outlineLevel="0" collapsed="false">
      <c r="A20" s="0" t="s">
        <v>131</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132</v>
      </c>
      <c r="C21" s="0" t="n">
        <f aca="false">C19*C20</f>
        <v>3278.67710536495</v>
      </c>
      <c r="D21" s="0" t="n">
        <f aca="false">D19*D20</f>
        <v>1252.53704940215</v>
      </c>
      <c r="E21" s="0" t="n">
        <f aca="false">E19*E20</f>
        <v>345.053576752835</v>
      </c>
      <c r="F21" s="0" t="n">
        <f aca="false">F19*F20</f>
        <v>516.090853310725</v>
      </c>
      <c r="G21" s="0" t="n">
        <f aca="false">G19*G20</f>
        <v>846.109784519128</v>
      </c>
      <c r="H21" s="0" t="n">
        <f aca="false">H19*H20</f>
        <v>1008.63092912314</v>
      </c>
      <c r="I21" s="0" t="n">
        <f aca="false">I19*I20</f>
        <v>1079.90403000452</v>
      </c>
      <c r="J21" s="0" t="n">
        <f aca="false">J19*J20</f>
        <v>1031.74002719842</v>
      </c>
      <c r="K21" s="0" t="n">
        <f aca="false">K19*K20</f>
        <v>985.674570326568</v>
      </c>
      <c r="L21" s="0" t="n">
        <f aca="false">L19*L20</f>
        <v>912.630977345267</v>
      </c>
    </row>
    <row r="23" customFormat="false" ht="15" hidden="false" customHeight="false" outlineLevel="0" collapsed="false">
      <c r="A23" s="0" t="s">
        <v>108</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133</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134</v>
      </c>
    </row>
    <row r="27" customFormat="false" ht="15" hidden="false" customHeight="false" outlineLevel="0" collapsed="false">
      <c r="A27" s="0" t="s">
        <v>112</v>
      </c>
      <c r="B27" s="4" t="n">
        <f aca="false">Assumptions!$B$20</f>
        <v>9</v>
      </c>
    </row>
    <row r="28" customFormat="false" ht="15" hidden="false" customHeight="false" outlineLevel="0" collapsed="false">
      <c r="A28" s="0" t="s">
        <v>113</v>
      </c>
      <c r="B28" s="4" t="n">
        <f aca="false">Assumptions!$B$21</f>
        <v>2</v>
      </c>
    </row>
    <row r="29" customFormat="false" ht="15" hidden="false" customHeight="false" outlineLevel="0" collapsed="false">
      <c r="A29" s="0" t="s">
        <v>114</v>
      </c>
      <c r="B29" s="4" t="n">
        <f aca="false">Assumptions!$B$22</f>
        <v>14</v>
      </c>
    </row>
    <row r="30" customFormat="false" ht="15" hidden="false" customHeight="false" outlineLevel="0" collapsed="false">
      <c r="A30" s="0" t="s">
        <v>135</v>
      </c>
      <c r="B30" s="0" t="n">
        <f aca="false">SUM(C21:L21)</f>
        <v>11257.0489033477</v>
      </c>
    </row>
    <row r="31" customFormat="false" ht="15" hidden="false" customHeight="false" outlineLevel="0" collapsed="false">
      <c r="A31" s="0" t="s">
        <v>136</v>
      </c>
      <c r="B31" s="0" t="n">
        <f aca="false">L19</f>
        <v>2160.52942407469</v>
      </c>
    </row>
    <row r="32" customFormat="false" ht="15" hidden="false" customHeight="false" outlineLevel="0" collapsed="false">
      <c r="A32" s="0" t="s">
        <v>137</v>
      </c>
      <c r="B32" s="0" t="n">
        <f aca="false">IF(B27&gt;B28,B31*(1+B28/100)/((B27-B28)/100),B31*B29)</f>
        <v>31482.000179374</v>
      </c>
    </row>
    <row r="33" customFormat="false" ht="15" hidden="false" customHeight="false" outlineLevel="0" collapsed="false">
      <c r="A33" s="0" t="s">
        <v>138</v>
      </c>
      <c r="B33" s="0" t="n">
        <f aca="false">B31*B29</f>
        <v>30247.4119370456</v>
      </c>
    </row>
    <row r="34" customFormat="false" ht="15" hidden="false" customHeight="false" outlineLevel="0" collapsed="false">
      <c r="A34" s="0" t="s">
        <v>139</v>
      </c>
      <c r="B34" s="0" t="n">
        <f aca="false">MAX(0,MIN(B32,B33))</f>
        <v>30247.4119370456</v>
      </c>
    </row>
    <row r="35" customFormat="false" ht="15" hidden="false" customHeight="false" outlineLevel="0" collapsed="false">
      <c r="A35" s="0" t="s">
        <v>140</v>
      </c>
      <c r="B35" s="0" t="n">
        <f aca="false">B34/(1+B27/100)^L4</f>
        <v>12776.8336828337</v>
      </c>
    </row>
    <row r="36" customFormat="false" ht="15" hidden="false" customHeight="false" outlineLevel="0" collapsed="false">
      <c r="A36" s="0" t="s">
        <v>141</v>
      </c>
      <c r="B36" s="0" t="n">
        <f aca="false">B30+B35</f>
        <v>24033.8825861815</v>
      </c>
    </row>
    <row r="37" customFormat="false" ht="15" hidden="false" customHeight="false" outlineLevel="0" collapsed="false">
      <c r="A37" s="0" t="s">
        <v>142</v>
      </c>
      <c r="B37" s="0" t="n">
        <f aca="false">B36+Assumptions!$B$5-Assumptions!$B$4</f>
        <v>28015.5825861815</v>
      </c>
    </row>
    <row r="38" customFormat="false" ht="15" hidden="false" customHeight="false" outlineLevel="0" collapsed="false">
      <c r="A38" s="0" t="s">
        <v>143</v>
      </c>
      <c r="B38" s="0" t="n">
        <f aca="false">B37/Assumptions!$B$3*Assumptions!$B$10</f>
        <v>78.5472293830508</v>
      </c>
    </row>
    <row r="39" customFormat="false" ht="15" hidden="false" customHeight="false" outlineLevel="0" collapsed="false">
      <c r="A39" s="0" t="s">
        <v>144</v>
      </c>
      <c r="B39" s="4" t="n">
        <f aca="false">B38/Assumptions!$B$2-1</f>
        <v>-0.708901051094946</v>
      </c>
    </row>
    <row r="41" customFormat="false" ht="15" hidden="false" customHeight="false" outlineLevel="0" collapsed="false">
      <c r="A41" s="0" t="s">
        <v>145</v>
      </c>
      <c r="B41" s="0" t="n">
        <f aca="false">SUMPRODUCT(-C10:L10/(1+$B$27/100)^C4:L4)</f>
        <v>425.557355106957</v>
      </c>
    </row>
    <row r="42" customFormat="false" ht="15" hidden="false" customHeight="false" outlineLevel="0" collapsed="false">
      <c r="A42" s="0" t="s">
        <v>146</v>
      </c>
      <c r="B42" s="0" t="n">
        <f aca="false">IF(B27&gt;B28,-L10*(1+B28/100)/((B27-B28)/100),-L10*20)/(1+B27/100)^L4</f>
        <v>436.846551277074</v>
      </c>
    </row>
    <row r="43" customFormat="false" ht="15" hidden="false" customHeight="false" outlineLevel="0" collapsed="false">
      <c r="A43" s="0" t="s">
        <v>147</v>
      </c>
      <c r="B43" s="0" t="n">
        <f aca="false">(B37+B41+B42)/Assumptions!$B$3*Assumptions!$B$10</f>
        <v>80.9651493833652</v>
      </c>
    </row>
    <row r="45" customFormat="false" ht="15" hidden="false" customHeight="false" outlineLevel="0" collapsed="false">
      <c r="A45" s="0" t="s">
        <v>88</v>
      </c>
      <c r="B45" s="4" t="n">
        <f aca="false">Assumptions!$B$6</f>
        <v>15</v>
      </c>
    </row>
    <row r="46" customFormat="false" ht="15" hidden="false" customHeight="false" outlineLevel="0" collapsed="false">
      <c r="A46" s="0" t="s">
        <v>148</v>
      </c>
      <c r="B46" s="0" t="n">
        <f aca="false">MAX(0,MIN(IF(B45&gt;B28,B31*(1+B28/100)/((B45-B28)/100),B31*B29),B31*B29))</f>
        <v>16951.8462504322</v>
      </c>
    </row>
    <row r="47" customFormat="false" ht="15" hidden="false" customHeight="false" outlineLevel="0" collapsed="false">
      <c r="A47" s="0" t="s">
        <v>149</v>
      </c>
      <c r="B47" s="0" t="n">
        <f aca="false">(SUMPRODUCT(C19:L19/(1+B45/100)^C4:L4)+B46/(1+B45/100)^L4+Assumptions!$B$5-Assumptions!$B$4)/Assumptions!$B$3*Assumptions!$B$10</f>
        <v>47.8043945040822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150</v>
      </c>
    </row>
    <row r="3" customFormat="false" ht="15" hidden="false" customHeight="false" outlineLevel="0" collapsed="false">
      <c r="A3" s="0" t="s">
        <v>120</v>
      </c>
      <c r="B3" s="0" t="s">
        <v>81</v>
      </c>
      <c r="C3" s="2" t="s">
        <v>95</v>
      </c>
      <c r="D3" s="2" t="s">
        <v>96</v>
      </c>
      <c r="E3" s="2" t="s">
        <v>97</v>
      </c>
      <c r="F3" s="2" t="s">
        <v>98</v>
      </c>
      <c r="G3" s="2" t="s">
        <v>99</v>
      </c>
      <c r="H3" s="2" t="s">
        <v>100</v>
      </c>
      <c r="I3" s="2" t="s">
        <v>101</v>
      </c>
      <c r="J3" s="2" t="s">
        <v>102</v>
      </c>
      <c r="K3" s="2" t="s">
        <v>103</v>
      </c>
      <c r="L3" s="2" t="s">
        <v>104</v>
      </c>
    </row>
    <row r="4" customFormat="false" ht="15" hidden="false" customHeight="false" outlineLevel="0" collapsed="false">
      <c r="A4" s="0" t="s">
        <v>121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105</v>
      </c>
      <c r="C5" s="4" t="n">
        <f aca="false">Assumptions!C27</f>
        <v>24.1</v>
      </c>
      <c r="D5" s="4" t="n">
        <f aca="false">Assumptions!D27</f>
        <v>-12</v>
      </c>
      <c r="E5" s="4" t="n">
        <f aca="false">Assumptions!E27</f>
        <v>-6.2</v>
      </c>
      <c r="F5" s="4" t="n">
        <f aca="false">Assumptions!F27</f>
        <v>1.6</v>
      </c>
      <c r="G5" s="4" t="n">
        <f aca="false">Assumptions!G27</f>
        <v>5.7</v>
      </c>
      <c r="H5" s="4" t="n">
        <f aca="false">Assumptions!H27</f>
        <v>7.5</v>
      </c>
      <c r="I5" s="4" t="n">
        <f aca="false">Assumptions!I27</f>
        <v>4.6</v>
      </c>
      <c r="J5" s="4" t="n">
        <f aca="false">Assumptions!J27</f>
        <v>4.6</v>
      </c>
      <c r="K5" s="4" t="n">
        <f aca="false">Assumptions!K27</f>
        <v>3.3</v>
      </c>
      <c r="L5" s="4" t="n">
        <f aca="false">Assumptions!L27</f>
        <v>3.2</v>
      </c>
    </row>
    <row r="6" customFormat="false" ht="15" hidden="false" customHeight="false" outlineLevel="0" collapsed="false">
      <c r="A6" s="0" t="s">
        <v>38</v>
      </c>
      <c r="B6" s="3" t="n">
        <v>11907.851</v>
      </c>
      <c r="C6" s="0" t="n">
        <f aca="false">B6*(1+C5/100)</f>
        <v>14777.643091</v>
      </c>
      <c r="D6" s="0" t="n">
        <f aca="false">C6*(1+D5/100)</f>
        <v>13004.32592008</v>
      </c>
      <c r="E6" s="0" t="n">
        <f aca="false">D6*(1+E5/100)</f>
        <v>12198.057713035</v>
      </c>
      <c r="F6" s="0" t="n">
        <f aca="false">E6*(1+F5/100)</f>
        <v>12393.2266364436</v>
      </c>
      <c r="G6" s="0" t="n">
        <f aca="false">F6*(1+G5/100)</f>
        <v>13099.6405547209</v>
      </c>
      <c r="H6" s="0" t="n">
        <f aca="false">G6*(1+H5/100)</f>
        <v>14082.113596325</v>
      </c>
      <c r="I6" s="0" t="n">
        <f aca="false">H6*(1+I5/100)</f>
        <v>14729.8908217559</v>
      </c>
      <c r="J6" s="0" t="n">
        <f aca="false">I6*(1+J5/100)</f>
        <v>15407.4657995567</v>
      </c>
      <c r="K6" s="0" t="n">
        <f aca="false">J6*(1+K5/100)</f>
        <v>15915.912170942</v>
      </c>
      <c r="L6" s="0" t="n">
        <f aca="false">K6*(1+L5/100)</f>
        <v>16425.2213604122</v>
      </c>
    </row>
    <row r="7" customFormat="false" ht="15" hidden="false" customHeight="false" outlineLevel="0" collapsed="false">
      <c r="A7" s="0" t="s">
        <v>106</v>
      </c>
      <c r="C7" s="4" t="n">
        <f aca="false">Assumptions!C28</f>
        <v>69.3</v>
      </c>
      <c r="D7" s="4" t="n">
        <f aca="false">Assumptions!D28</f>
        <v>65.2</v>
      </c>
      <c r="E7" s="4" t="n">
        <f aca="false">Assumptions!E28</f>
        <v>61.9</v>
      </c>
      <c r="F7" s="4" t="n">
        <f aca="false">Assumptions!F28</f>
        <v>60.4</v>
      </c>
      <c r="G7" s="4" t="n">
        <f aca="false">Assumptions!G28</f>
        <v>59.9</v>
      </c>
      <c r="H7" s="4" t="n">
        <f aca="false">Assumptions!H28</f>
        <v>60</v>
      </c>
      <c r="I7" s="4" t="n">
        <f aca="false">Assumptions!I28</f>
        <v>59.9</v>
      </c>
      <c r="J7" s="4" t="n">
        <f aca="false">Assumptions!J28</f>
        <v>59.9</v>
      </c>
      <c r="K7" s="4" t="n">
        <f aca="false">Assumptions!K28</f>
        <v>59.8</v>
      </c>
      <c r="L7" s="4" t="n">
        <f aca="false">Assumptions!L28</f>
        <v>59.7</v>
      </c>
    </row>
    <row r="8" customFormat="false" ht="15" hidden="false" customHeight="false" outlineLevel="0" collapsed="false">
      <c r="A8" s="0" t="s">
        <v>44</v>
      </c>
      <c r="C8" s="0" t="n">
        <f aca="false">C6*C7/100</f>
        <v>10240.906662063</v>
      </c>
      <c r="D8" s="0" t="n">
        <f aca="false">D6*D7/100</f>
        <v>8478.82049989216</v>
      </c>
      <c r="E8" s="0" t="n">
        <f aca="false">E6*E7/100</f>
        <v>7550.59772436869</v>
      </c>
      <c r="F8" s="0" t="n">
        <f aca="false">F6*F7/100</f>
        <v>7485.50888841194</v>
      </c>
      <c r="G8" s="0" t="n">
        <f aca="false">G6*G7/100</f>
        <v>7846.68469227781</v>
      </c>
      <c r="H8" s="0" t="n">
        <f aca="false">H6*H7/100</f>
        <v>8449.26815779497</v>
      </c>
      <c r="I8" s="0" t="n">
        <f aca="false">I6*I7/100</f>
        <v>8823.20460223179</v>
      </c>
      <c r="J8" s="0" t="n">
        <f aca="false">J6*J7/100</f>
        <v>9229.07201393445</v>
      </c>
      <c r="K8" s="0" t="n">
        <f aca="false">K6*K7/100</f>
        <v>9517.71547822334</v>
      </c>
      <c r="L8" s="0" t="n">
        <f aca="false">L6*L7/100</f>
        <v>9805.85715216608</v>
      </c>
    </row>
    <row r="9" customFormat="false" ht="15" hidden="false" customHeight="false" outlineLevel="0" collapsed="false">
      <c r="A9" s="0" t="s">
        <v>107</v>
      </c>
      <c r="C9" s="4" t="n">
        <f aca="false">Assumptions!C29</f>
        <v>0.6</v>
      </c>
      <c r="D9" s="4" t="n">
        <f aca="false">Assumptions!D29</f>
        <v>0.6</v>
      </c>
      <c r="E9" s="4" t="n">
        <f aca="false">Assumptions!E29</f>
        <v>0.6</v>
      </c>
      <c r="F9" s="4" t="n">
        <f aca="false">Assumptions!F29</f>
        <v>0.6</v>
      </c>
      <c r="G9" s="4" t="n">
        <f aca="false">Assumptions!G29</f>
        <v>0.6</v>
      </c>
      <c r="H9" s="4" t="n">
        <f aca="false">Assumptions!H29</f>
        <v>0.6</v>
      </c>
      <c r="I9" s="4" t="n">
        <f aca="false">Assumptions!I29</f>
        <v>0.6</v>
      </c>
      <c r="J9" s="4" t="n">
        <f aca="false">Assumptions!J29</f>
        <v>0.6</v>
      </c>
      <c r="K9" s="4" t="n">
        <f aca="false">Assumptions!K29</f>
        <v>0.6</v>
      </c>
      <c r="L9" s="4" t="n">
        <f aca="false">Assumptions!L29</f>
        <v>0.6</v>
      </c>
    </row>
    <row r="10" customFormat="false" ht="15" hidden="false" customHeight="false" outlineLevel="0" collapsed="false">
      <c r="A10" s="0" t="s">
        <v>122</v>
      </c>
      <c r="C10" s="0" t="n">
        <f aca="false">-C6*C9/100</f>
        <v>-88.665858546</v>
      </c>
      <c r="D10" s="0" t="n">
        <f aca="false">-D6*D9/100</f>
        <v>-78.02595552048</v>
      </c>
      <c r="E10" s="0" t="n">
        <f aca="false">-E6*E9/100</f>
        <v>-73.1883462782103</v>
      </c>
      <c r="F10" s="0" t="n">
        <f aca="false">-F6*F9/100</f>
        <v>-74.3593598186616</v>
      </c>
      <c r="G10" s="0" t="n">
        <f aca="false">-G6*G9/100</f>
        <v>-78.5978433283253</v>
      </c>
      <c r="H10" s="0" t="n">
        <f aca="false">-H6*H9/100</f>
        <v>-84.4926815779497</v>
      </c>
      <c r="I10" s="0" t="n">
        <f aca="false">-I6*I9/100</f>
        <v>-88.3793449305354</v>
      </c>
      <c r="J10" s="0" t="n">
        <f aca="false">-J6*J9/100</f>
        <v>-92.44479479734</v>
      </c>
      <c r="K10" s="0" t="n">
        <f aca="false">-K6*K9/100</f>
        <v>-95.4954730256523</v>
      </c>
      <c r="L10" s="0" t="n">
        <f aca="false">-L6*L9/100</f>
        <v>-98.5513281624731</v>
      </c>
    </row>
    <row r="11" customFormat="false" ht="15" hidden="false" customHeight="false" outlineLevel="0" collapsed="false">
      <c r="A11" s="0" t="s">
        <v>123</v>
      </c>
      <c r="C11" s="0" t="n">
        <f aca="false">C8+C10+C24</f>
        <v>10152.240803517</v>
      </c>
      <c r="D11" s="0" t="n">
        <f aca="false">D8+D10+D24</f>
        <v>8400.79454437168</v>
      </c>
      <c r="E11" s="0" t="n">
        <f aca="false">E8+E10+E24</f>
        <v>7477.40937809048</v>
      </c>
      <c r="F11" s="0" t="n">
        <f aca="false">F8+F10+F24</f>
        <v>7411.14952859327</v>
      </c>
      <c r="G11" s="0" t="n">
        <f aca="false">G8+G10+G24</f>
        <v>7768.08684894949</v>
      </c>
      <c r="H11" s="0" t="n">
        <f aca="false">H8+H10+H24</f>
        <v>8364.77547621702</v>
      </c>
      <c r="I11" s="0" t="n">
        <f aca="false">I8+I10+I24</f>
        <v>8734.82525730125</v>
      </c>
      <c r="J11" s="0" t="n">
        <f aca="false">J8+J10+J24</f>
        <v>9136.62721913711</v>
      </c>
      <c r="K11" s="0" t="n">
        <f aca="false">K8+K10+K24</f>
        <v>9422.22000519769</v>
      </c>
      <c r="L11" s="0" t="n">
        <f aca="false">L8+L10+L24</f>
        <v>9707.3058240036</v>
      </c>
    </row>
    <row r="12" customFormat="false" ht="15" hidden="false" customHeight="false" outlineLevel="0" collapsed="false">
      <c r="A12" s="0" t="s">
        <v>124</v>
      </c>
      <c r="C12" s="4" t="n">
        <f aca="false">-C6*Assumptions!C31/100</f>
        <v>-1655.096026192</v>
      </c>
      <c r="D12" s="4" t="n">
        <f aca="false">-D6*Assumptions!D31/100</f>
        <v>-1755.5839992108</v>
      </c>
      <c r="E12" s="4" t="n">
        <f aca="false">-E6*Assumptions!E31/100</f>
        <v>-1854.10477238133</v>
      </c>
      <c r="F12" s="4" t="n">
        <f aca="false">-F6*Assumptions!F31/100</f>
        <v>-1945.73658192165</v>
      </c>
      <c r="G12" s="4" t="n">
        <f aca="false">-G6*Assumptions!G31/100</f>
        <v>-2095.94248875534</v>
      </c>
      <c r="H12" s="4" t="n">
        <f aca="false">-H6*Assumptions!H31/100</f>
        <v>-2196.80972102669</v>
      </c>
      <c r="I12" s="4" t="n">
        <f aca="false">-I6*Assumptions!I31/100</f>
        <v>-2283.13307737216</v>
      </c>
      <c r="J12" s="4" t="n">
        <f aca="false">-J6*Assumptions!J31/100</f>
        <v>-2357.34226733217</v>
      </c>
      <c r="K12" s="4" t="n">
        <f aca="false">-K6*Assumptions!K31/100</f>
        <v>-2403.30273781225</v>
      </c>
      <c r="L12" s="4" t="n">
        <f aca="false">-L6*Assumptions!L31/100</f>
        <v>-2447.35798270142</v>
      </c>
    </row>
    <row r="13" customFormat="false" ht="15" hidden="false" customHeight="false" outlineLevel="0" collapsed="false">
      <c r="A13" s="0" t="s">
        <v>125</v>
      </c>
      <c r="C13" s="0" t="n">
        <f aca="false">C11+C12</f>
        <v>8497.144777325</v>
      </c>
      <c r="D13" s="0" t="n">
        <f aca="false">D11+D12</f>
        <v>6645.21054516088</v>
      </c>
      <c r="E13" s="0" t="n">
        <f aca="false">E11+E12</f>
        <v>5623.30460570915</v>
      </c>
      <c r="F13" s="0" t="n">
        <f aca="false">F11+F12</f>
        <v>5465.41294667163</v>
      </c>
      <c r="G13" s="0" t="n">
        <f aca="false">G11+G12</f>
        <v>5672.14436019414</v>
      </c>
      <c r="H13" s="0" t="n">
        <f aca="false">H11+H12</f>
        <v>6167.96575519033</v>
      </c>
      <c r="I13" s="0" t="n">
        <f aca="false">I11+I12</f>
        <v>6451.69217992909</v>
      </c>
      <c r="J13" s="0" t="n">
        <f aca="false">J11+J12</f>
        <v>6779.28495180494</v>
      </c>
      <c r="K13" s="0" t="n">
        <f aca="false">K11+K12</f>
        <v>7018.91726738544</v>
      </c>
      <c r="L13" s="0" t="n">
        <f aca="false">L11+L12</f>
        <v>7259.94784130219</v>
      </c>
    </row>
    <row r="14" customFormat="false" ht="15" hidden="false" customHeight="false" outlineLevel="0" collapsed="false">
      <c r="A14" s="0" t="s">
        <v>111</v>
      </c>
      <c r="C14" s="4" t="n">
        <f aca="false">Assumptions!C33</f>
        <v>40</v>
      </c>
      <c r="D14" s="4" t="n">
        <f aca="false">Assumptions!D33</f>
        <v>35</v>
      </c>
      <c r="E14" s="4" t="n">
        <f aca="false">Assumptions!E33</f>
        <v>35</v>
      </c>
      <c r="F14" s="4" t="n">
        <f aca="false">Assumptions!F33</f>
        <v>35</v>
      </c>
      <c r="G14" s="4" t="n">
        <f aca="false">Assumptions!G33</f>
        <v>35</v>
      </c>
      <c r="H14" s="4" t="n">
        <f aca="false">Assumptions!H33</f>
        <v>35</v>
      </c>
      <c r="I14" s="4" t="n">
        <f aca="false">Assumptions!I33</f>
        <v>35</v>
      </c>
      <c r="J14" s="4" t="n">
        <f aca="false">Assumptions!J33</f>
        <v>35</v>
      </c>
      <c r="K14" s="4" t="n">
        <f aca="false">Assumptions!K33</f>
        <v>35</v>
      </c>
      <c r="L14" s="4" t="n">
        <f aca="false">Assumptions!L33</f>
        <v>35</v>
      </c>
    </row>
    <row r="15" customFormat="false" ht="15" hidden="false" customHeight="false" outlineLevel="0" collapsed="false">
      <c r="A15" s="0" t="s">
        <v>126</v>
      </c>
      <c r="C15" s="0" t="n">
        <f aca="false">C13-MAX(0,C13)*C14/100</f>
        <v>5098.286866395</v>
      </c>
      <c r="D15" s="0" t="n">
        <f aca="false">D13-MAX(0,D13)*D14/100</f>
        <v>4319.38685435457</v>
      </c>
      <c r="E15" s="0" t="n">
        <f aca="false">E13-MAX(0,E13)*E14/100</f>
        <v>3655.14799371095</v>
      </c>
      <c r="F15" s="0" t="n">
        <f aca="false">F13-MAX(0,F13)*F14/100</f>
        <v>3552.51841533656</v>
      </c>
      <c r="G15" s="0" t="n">
        <f aca="false">G13-MAX(0,G13)*G14/100</f>
        <v>3686.89383412619</v>
      </c>
      <c r="H15" s="0" t="n">
        <f aca="false">H13-MAX(0,H13)*H14/100</f>
        <v>4009.17774087371</v>
      </c>
      <c r="I15" s="0" t="n">
        <f aca="false">I13-MAX(0,I13)*I14/100</f>
        <v>4193.5999169539</v>
      </c>
      <c r="J15" s="0" t="n">
        <f aca="false">J13-MAX(0,J13)*J14/100</f>
        <v>4406.53521867321</v>
      </c>
      <c r="K15" s="0" t="n">
        <f aca="false">K13-MAX(0,K13)*K14/100</f>
        <v>4562.29622380054</v>
      </c>
      <c r="L15" s="0" t="n">
        <f aca="false">L13-MAX(0,L13)*L14/100</f>
        <v>4718.96609684642</v>
      </c>
    </row>
    <row r="16" customFormat="false" ht="15" hidden="false" customHeight="false" outlineLevel="0" collapsed="false">
      <c r="A16" s="0" t="s">
        <v>127</v>
      </c>
      <c r="C16" s="0" t="n">
        <f aca="false">-C12</f>
        <v>1655.096026192</v>
      </c>
      <c r="D16" s="0" t="n">
        <f aca="false">-D12</f>
        <v>1755.5839992108</v>
      </c>
      <c r="E16" s="0" t="n">
        <f aca="false">-E12</f>
        <v>1854.10477238133</v>
      </c>
      <c r="F16" s="0" t="n">
        <f aca="false">-F12</f>
        <v>1945.73658192165</v>
      </c>
      <c r="G16" s="0" t="n">
        <f aca="false">-G12</f>
        <v>2095.94248875534</v>
      </c>
      <c r="H16" s="0" t="n">
        <f aca="false">-H12</f>
        <v>2196.80972102669</v>
      </c>
      <c r="I16" s="0" t="n">
        <f aca="false">-I12</f>
        <v>2283.13307737216</v>
      </c>
      <c r="J16" s="0" t="n">
        <f aca="false">-J12</f>
        <v>2357.34226733217</v>
      </c>
      <c r="K16" s="0" t="n">
        <f aca="false">-K12</f>
        <v>2403.30273781225</v>
      </c>
      <c r="L16" s="0" t="n">
        <f aca="false">-L12</f>
        <v>2447.35798270142</v>
      </c>
    </row>
    <row r="17" customFormat="false" ht="15" hidden="false" customHeight="false" outlineLevel="0" collapsed="false">
      <c r="A17" s="0" t="s">
        <v>128</v>
      </c>
      <c r="C17" s="4" t="n">
        <f aca="false">-C6*Assumptions!C32/100</f>
        <v>-3029.416833655</v>
      </c>
      <c r="D17" s="4" t="n">
        <f aca="false">-D6*Assumptions!D32/100</f>
        <v>-3199.06417633968</v>
      </c>
      <c r="E17" s="4" t="n">
        <f aca="false">-E6*Assumptions!E32/100</f>
        <v>-3195.89112081518</v>
      </c>
      <c r="F17" s="4" t="n">
        <f aca="false">-F6*Assumptions!F32/100</f>
        <v>-2999.16084601935</v>
      </c>
      <c r="G17" s="4" t="n">
        <f aca="false">-G6*Assumptions!G32/100</f>
        <v>-2698.5259542725</v>
      </c>
      <c r="H17" s="4" t="n">
        <f aca="false">-H6*Assumptions!H32/100</f>
        <v>-2506.61622014584</v>
      </c>
      <c r="I17" s="4" t="n">
        <f aca="false">-I6*Assumptions!I32/100</f>
        <v>-2400.97220394621</v>
      </c>
      <c r="J17" s="4" t="n">
        <f aca="false">-J6*Assumptions!J32/100</f>
        <v>-2403.56466473084</v>
      </c>
      <c r="K17" s="4" t="n">
        <f aca="false">-K6*Assumptions!K32/100</f>
        <v>-2451.05047432507</v>
      </c>
      <c r="L17" s="4" t="n">
        <f aca="false">-L6*Assumptions!L32/100</f>
        <v>-2496.63364678265</v>
      </c>
    </row>
    <row r="18" customFormat="false" ht="15" hidden="false" customHeight="false" outlineLevel="0" collapsed="false">
      <c r="A18" s="0" t="s">
        <v>129</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130</v>
      </c>
      <c r="C19" s="0" t="n">
        <f aca="false">C15+C16+C17+C18</f>
        <v>3723.966058932</v>
      </c>
      <c r="D19" s="0" t="n">
        <f aca="false">D15+D16+D17+D18</f>
        <v>2875.90667722569</v>
      </c>
      <c r="E19" s="0" t="n">
        <f aca="false">E15+E16+E17+E18</f>
        <v>2313.3616452771</v>
      </c>
      <c r="F19" s="0" t="n">
        <f aca="false">F15+F16+F17+F18</f>
        <v>2499.09415123885</v>
      </c>
      <c r="G19" s="0" t="n">
        <f aca="false">G15+G16+G17+G18</f>
        <v>3084.31036860903</v>
      </c>
      <c r="H19" s="0" t="n">
        <f aca="false">H15+H16+H17+H18</f>
        <v>3699.37124175457</v>
      </c>
      <c r="I19" s="0" t="n">
        <f aca="false">I15+I16+I17+I18</f>
        <v>4075.76079037986</v>
      </c>
      <c r="J19" s="0" t="n">
        <f aca="false">J15+J16+J17+J18</f>
        <v>4360.31282127454</v>
      </c>
      <c r="K19" s="0" t="n">
        <f aca="false">K15+K16+K17+K18</f>
        <v>4514.54848728771</v>
      </c>
      <c r="L19" s="0" t="n">
        <f aca="false">L15+L16+L17+L18</f>
        <v>4669.69043276519</v>
      </c>
    </row>
    <row r="20" customFormat="false" ht="15" hidden="false" customHeight="false" outlineLevel="0" collapsed="false">
      <c r="A20" s="0" t="s">
        <v>131</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132</v>
      </c>
      <c r="C21" s="0" t="n">
        <f aca="false">C19*C20</f>
        <v>3416.48262287339</v>
      </c>
      <c r="D21" s="0" t="n">
        <f aca="false">D19*D20</f>
        <v>2420.59311272258</v>
      </c>
      <c r="E21" s="0" t="n">
        <f aca="false">E19*E20</f>
        <v>1786.33964588986</v>
      </c>
      <c r="F21" s="0" t="n">
        <f aca="false">F19*F20</f>
        <v>1770.42130156318</v>
      </c>
      <c r="G21" s="0" t="n">
        <f aca="false">G19*G20</f>
        <v>2004.59011364443</v>
      </c>
      <c r="H21" s="0" t="n">
        <f aca="false">H19*H20</f>
        <v>2205.81420145484</v>
      </c>
      <c r="I21" s="0" t="n">
        <f aca="false">I19*I20</f>
        <v>2229.58072612745</v>
      </c>
      <c r="J21" s="0" t="n">
        <f aca="false">J19*J20</f>
        <v>2188.29397382252</v>
      </c>
      <c r="K21" s="0" t="n">
        <f aca="false">K19*K20</f>
        <v>2078.62353552055</v>
      </c>
      <c r="L21" s="0" t="n">
        <f aca="false">L19*L20</f>
        <v>1972.52770365742</v>
      </c>
    </row>
    <row r="23" customFormat="false" ht="15" hidden="false" customHeight="false" outlineLevel="0" collapsed="false">
      <c r="A23" s="0" t="s">
        <v>108</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133</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134</v>
      </c>
    </row>
    <row r="27" customFormat="false" ht="15" hidden="false" customHeight="false" outlineLevel="0" collapsed="false">
      <c r="A27" s="0" t="s">
        <v>112</v>
      </c>
      <c r="B27" s="4" t="n">
        <f aca="false">Assumptions!$B$34</f>
        <v>9</v>
      </c>
    </row>
    <row r="28" customFormat="false" ht="15" hidden="false" customHeight="false" outlineLevel="0" collapsed="false">
      <c r="A28" s="0" t="s">
        <v>113</v>
      </c>
      <c r="B28" s="4" t="n">
        <f aca="false">Assumptions!$B$35</f>
        <v>2.5</v>
      </c>
    </row>
    <row r="29" customFormat="false" ht="15" hidden="false" customHeight="false" outlineLevel="0" collapsed="false">
      <c r="A29" s="0" t="s">
        <v>114</v>
      </c>
      <c r="B29" s="4" t="n">
        <f aca="false">Assumptions!$B$36</f>
        <v>14</v>
      </c>
    </row>
    <row r="30" customFormat="false" ht="15" hidden="false" customHeight="false" outlineLevel="0" collapsed="false">
      <c r="A30" s="0" t="s">
        <v>135</v>
      </c>
      <c r="B30" s="0" t="n">
        <f aca="false">SUM(C21:L21)</f>
        <v>22073.2669372762</v>
      </c>
    </row>
    <row r="31" customFormat="false" ht="15" hidden="false" customHeight="false" outlineLevel="0" collapsed="false">
      <c r="A31" s="0" t="s">
        <v>136</v>
      </c>
      <c r="B31" s="0" t="n">
        <f aca="false">L19</f>
        <v>4669.69043276519</v>
      </c>
    </row>
    <row r="32" customFormat="false" ht="15" hidden="false" customHeight="false" outlineLevel="0" collapsed="false">
      <c r="A32" s="0" t="s">
        <v>137</v>
      </c>
      <c r="B32" s="0" t="n">
        <f aca="false">IF(B27&gt;B28,B31*(1+B28/100)/((B27-B28)/100),B31*B29)</f>
        <v>73637.4260551433</v>
      </c>
    </row>
    <row r="33" customFormat="false" ht="15" hidden="false" customHeight="false" outlineLevel="0" collapsed="false">
      <c r="A33" s="0" t="s">
        <v>138</v>
      </c>
      <c r="B33" s="0" t="n">
        <f aca="false">B31*B29</f>
        <v>65375.6660587126</v>
      </c>
    </row>
    <row r="34" customFormat="false" ht="15" hidden="false" customHeight="false" outlineLevel="0" collapsed="false">
      <c r="A34" s="0" t="s">
        <v>139</v>
      </c>
      <c r="B34" s="0" t="n">
        <f aca="false">MAX(0,MIN(B32,B33))</f>
        <v>65375.6660587126</v>
      </c>
    </row>
    <row r="35" customFormat="false" ht="15" hidden="false" customHeight="false" outlineLevel="0" collapsed="false">
      <c r="A35" s="0" t="s">
        <v>140</v>
      </c>
      <c r="B35" s="0" t="n">
        <f aca="false">B34/(1+B27/100)^L4</f>
        <v>27615.3878512039</v>
      </c>
    </row>
    <row r="36" customFormat="false" ht="15" hidden="false" customHeight="false" outlineLevel="0" collapsed="false">
      <c r="A36" s="0" t="s">
        <v>141</v>
      </c>
      <c r="B36" s="0" t="n">
        <f aca="false">B30+B35</f>
        <v>49688.6547884801</v>
      </c>
    </row>
    <row r="37" customFormat="false" ht="15" hidden="false" customHeight="false" outlineLevel="0" collapsed="false">
      <c r="A37" s="0" t="s">
        <v>142</v>
      </c>
      <c r="B37" s="0" t="n">
        <f aca="false">B36+Assumptions!$B$5-Assumptions!$B$4</f>
        <v>53670.3547884801</v>
      </c>
    </row>
    <row r="38" customFormat="false" ht="15" hidden="false" customHeight="false" outlineLevel="0" collapsed="false">
      <c r="A38" s="0" t="s">
        <v>143</v>
      </c>
      <c r="B38" s="0" t="n">
        <f aca="false">B37/Assumptions!$B$3*Assumptions!$B$10</f>
        <v>150.475459707906</v>
      </c>
    </row>
    <row r="39" customFormat="false" ht="15" hidden="false" customHeight="false" outlineLevel="0" collapsed="false">
      <c r="A39" s="0" t="s">
        <v>144</v>
      </c>
      <c r="B39" s="4" t="n">
        <f aca="false">B38/Assumptions!$B$2-1</f>
        <v>-0.442332358492731</v>
      </c>
    </row>
    <row r="41" customFormat="false" ht="15" hidden="false" customHeight="false" outlineLevel="0" collapsed="false">
      <c r="A41" s="0" t="s">
        <v>145</v>
      </c>
      <c r="B41" s="0" t="n">
        <f aca="false">SUMPRODUCT(-C10:L10/(1+$B$27/100)^C4:L4)</f>
        <v>538.013385936921</v>
      </c>
    </row>
    <row r="42" customFormat="false" ht="15" hidden="false" customHeight="false" outlineLevel="0" collapsed="false">
      <c r="A42" s="0" t="s">
        <v>146</v>
      </c>
      <c r="B42" s="0" t="n">
        <f aca="false">IF(B27&gt;B28,-L10*(1+B28/100)/((B27-B28)/100),-L10*20)/(1+B27/100)^L4</f>
        <v>656.459610784552</v>
      </c>
    </row>
    <row r="43" customFormat="false" ht="15" hidden="false" customHeight="false" outlineLevel="0" collapsed="false">
      <c r="A43" s="0" t="s">
        <v>147</v>
      </c>
      <c r="B43" s="0" t="n">
        <f aca="false">(B37+B41+B42)/Assumptions!$B$3*Assumptions!$B$10</f>
        <v>153.824401111381</v>
      </c>
    </row>
    <row r="45" customFormat="false" ht="15" hidden="false" customHeight="false" outlineLevel="0" collapsed="false">
      <c r="A45" s="0" t="s">
        <v>88</v>
      </c>
      <c r="B45" s="4" t="n">
        <f aca="false">Assumptions!$B$6</f>
        <v>15</v>
      </c>
    </row>
    <row r="46" customFormat="false" ht="15" hidden="false" customHeight="false" outlineLevel="0" collapsed="false">
      <c r="A46" s="0" t="s">
        <v>148</v>
      </c>
      <c r="B46" s="0" t="n">
        <f aca="false">MAX(0,MIN(IF(B45&gt;B28,B31*(1+B28/100)/((B45-B28)/100),B31*B29),B31*B29))</f>
        <v>38291.4615486745</v>
      </c>
    </row>
    <row r="47" customFormat="false" ht="15" hidden="false" customHeight="false" outlineLevel="0" collapsed="false">
      <c r="A47" s="0" t="s">
        <v>149</v>
      </c>
      <c r="B47" s="0" t="n">
        <f aca="false">(SUMPRODUCT(C19:L19/(1+B45/100)^C4:L4)+B46/(1+B45/100)^L4+Assumptions!$B$5-Assumptions!$B$4)/Assumptions!$B$3*Assumptions!$B$10</f>
        <v>85.0572831336349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151</v>
      </c>
    </row>
    <row r="3" customFormat="false" ht="15" hidden="false" customHeight="false" outlineLevel="0" collapsed="false">
      <c r="A3" s="0" t="s">
        <v>120</v>
      </c>
      <c r="B3" s="0" t="s">
        <v>81</v>
      </c>
      <c r="C3" s="2" t="s">
        <v>95</v>
      </c>
      <c r="D3" s="2" t="s">
        <v>96</v>
      </c>
      <c r="E3" s="2" t="s">
        <v>97</v>
      </c>
      <c r="F3" s="2" t="s">
        <v>98</v>
      </c>
      <c r="G3" s="2" t="s">
        <v>99</v>
      </c>
      <c r="H3" s="2" t="s">
        <v>100</v>
      </c>
      <c r="I3" s="2" t="s">
        <v>101</v>
      </c>
      <c r="J3" s="2" t="s">
        <v>102</v>
      </c>
      <c r="K3" s="2" t="s">
        <v>103</v>
      </c>
      <c r="L3" s="2" t="s">
        <v>104</v>
      </c>
    </row>
    <row r="4" customFormat="false" ht="15" hidden="false" customHeight="false" outlineLevel="0" collapsed="false">
      <c r="A4" s="0" t="s">
        <v>121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105</v>
      </c>
      <c r="C5" s="4" t="n">
        <f aca="false">Assumptions!C41</f>
        <v>26.4</v>
      </c>
      <c r="D5" s="4" t="n">
        <f aca="false">Assumptions!D41</f>
        <v>-2.5</v>
      </c>
      <c r="E5" s="4" t="n">
        <f aca="false">Assumptions!E41</f>
        <v>2.1</v>
      </c>
      <c r="F5" s="4" t="n">
        <f aca="false">Assumptions!F41</f>
        <v>6.7</v>
      </c>
      <c r="G5" s="4" t="n">
        <f aca="false">Assumptions!G41</f>
        <v>9.6</v>
      </c>
      <c r="H5" s="4" t="n">
        <f aca="false">Assumptions!H41</f>
        <v>9.1</v>
      </c>
      <c r="I5" s="4" t="n">
        <f aca="false">Assumptions!I41</f>
        <v>7.5</v>
      </c>
      <c r="J5" s="4" t="n">
        <f aca="false">Assumptions!J41</f>
        <v>4.9</v>
      </c>
      <c r="K5" s="4" t="n">
        <f aca="false">Assumptions!K41</f>
        <v>4.8</v>
      </c>
      <c r="L5" s="4" t="n">
        <f aca="false">Assumptions!L41</f>
        <v>2.5</v>
      </c>
    </row>
    <row r="6" customFormat="false" ht="15" hidden="false" customHeight="false" outlineLevel="0" collapsed="false">
      <c r="A6" s="0" t="s">
        <v>38</v>
      </c>
      <c r="B6" s="3" t="n">
        <v>11907.851</v>
      </c>
      <c r="C6" s="0" t="n">
        <f aca="false">B6*(1+C5/100)</f>
        <v>15051.523664</v>
      </c>
      <c r="D6" s="0" t="n">
        <f aca="false">C6*(1+D5/100)</f>
        <v>14675.2355724</v>
      </c>
      <c r="E6" s="0" t="n">
        <f aca="false">D6*(1+E5/100)</f>
        <v>14983.4155194204</v>
      </c>
      <c r="F6" s="0" t="n">
        <f aca="false">E6*(1+F5/100)</f>
        <v>15987.3043592216</v>
      </c>
      <c r="G6" s="0" t="n">
        <f aca="false">F6*(1+G5/100)</f>
        <v>17522.0855777068</v>
      </c>
      <c r="H6" s="0" t="n">
        <f aca="false">G6*(1+H5/100)</f>
        <v>19116.5953652782</v>
      </c>
      <c r="I6" s="0" t="n">
        <f aca="false">H6*(1+I5/100)</f>
        <v>20550.340017674</v>
      </c>
      <c r="J6" s="0" t="n">
        <f aca="false">I6*(1+J5/100)</f>
        <v>21557.30667854</v>
      </c>
      <c r="K6" s="0" t="n">
        <f aca="false">J6*(1+K5/100)</f>
        <v>22592.05739911</v>
      </c>
      <c r="L6" s="0" t="n">
        <f aca="false">K6*(1+L5/100)</f>
        <v>23156.8588340877</v>
      </c>
    </row>
    <row r="7" customFormat="false" ht="15" hidden="false" customHeight="false" outlineLevel="0" collapsed="false">
      <c r="A7" s="0" t="s">
        <v>106</v>
      </c>
      <c r="C7" s="4" t="n">
        <f aca="false">Assumptions!C42</f>
        <v>69.7</v>
      </c>
      <c r="D7" s="4" t="n">
        <f aca="false">Assumptions!D42</f>
        <v>67.8</v>
      </c>
      <c r="E7" s="4" t="n">
        <f aca="false">Assumptions!E42</f>
        <v>67.3</v>
      </c>
      <c r="F7" s="4" t="n">
        <f aca="false">Assumptions!F42</f>
        <v>67.7</v>
      </c>
      <c r="G7" s="4" t="n">
        <f aca="false">Assumptions!G42</f>
        <v>68.3</v>
      </c>
      <c r="H7" s="4" t="n">
        <f aca="false">Assumptions!H42</f>
        <v>68.7</v>
      </c>
      <c r="I7" s="4" t="n">
        <f aca="false">Assumptions!I42</f>
        <v>69</v>
      </c>
      <c r="J7" s="4" t="n">
        <f aca="false">Assumptions!J42</f>
        <v>69.1</v>
      </c>
      <c r="K7" s="4" t="n">
        <f aca="false">Assumptions!K42</f>
        <v>69.3</v>
      </c>
      <c r="L7" s="4" t="n">
        <f aca="false">Assumptions!L42</f>
        <v>69.3</v>
      </c>
    </row>
    <row r="8" customFormat="false" ht="15" hidden="false" customHeight="false" outlineLevel="0" collapsed="false">
      <c r="A8" s="0" t="s">
        <v>44</v>
      </c>
      <c r="C8" s="0" t="n">
        <f aca="false">C6*C7/100</f>
        <v>10490.911993808</v>
      </c>
      <c r="D8" s="0" t="n">
        <f aca="false">D6*D7/100</f>
        <v>9949.8097180872</v>
      </c>
      <c r="E8" s="0" t="n">
        <f aca="false">E6*E7/100</f>
        <v>10083.8386445699</v>
      </c>
      <c r="F8" s="0" t="n">
        <f aca="false">F6*F7/100</f>
        <v>10823.405051193</v>
      </c>
      <c r="G8" s="0" t="n">
        <f aca="false">G6*G7/100</f>
        <v>11967.5844495738</v>
      </c>
      <c r="H8" s="0" t="n">
        <f aca="false">H6*H7/100</f>
        <v>13133.1010159461</v>
      </c>
      <c r="I8" s="0" t="n">
        <f aca="false">I6*I7/100</f>
        <v>14179.7346121951</v>
      </c>
      <c r="J8" s="0" t="n">
        <f aca="false">J6*J7/100</f>
        <v>14896.0989148712</v>
      </c>
      <c r="K8" s="0" t="n">
        <f aca="false">K6*K7/100</f>
        <v>15656.2957775832</v>
      </c>
      <c r="L8" s="0" t="n">
        <f aca="false">L6*L7/100</f>
        <v>16047.7031720228</v>
      </c>
    </row>
    <row r="9" customFormat="false" ht="15" hidden="false" customHeight="false" outlineLevel="0" collapsed="false">
      <c r="A9" s="0" t="s">
        <v>107</v>
      </c>
      <c r="C9" s="4" t="n">
        <f aca="false">Assumptions!C43</f>
        <v>0.6</v>
      </c>
      <c r="D9" s="4" t="n">
        <f aca="false">Assumptions!D43</f>
        <v>0.6</v>
      </c>
      <c r="E9" s="4" t="n">
        <f aca="false">Assumptions!E43</f>
        <v>0.6</v>
      </c>
      <c r="F9" s="4" t="n">
        <f aca="false">Assumptions!F43</f>
        <v>0.6</v>
      </c>
      <c r="G9" s="4" t="n">
        <f aca="false">Assumptions!G43</f>
        <v>0.6</v>
      </c>
      <c r="H9" s="4" t="n">
        <f aca="false">Assumptions!H43</f>
        <v>0.6</v>
      </c>
      <c r="I9" s="4" t="n">
        <f aca="false">Assumptions!I43</f>
        <v>0.6</v>
      </c>
      <c r="J9" s="4" t="n">
        <f aca="false">Assumptions!J43</f>
        <v>0.6</v>
      </c>
      <c r="K9" s="4" t="n">
        <f aca="false">Assumptions!K43</f>
        <v>0.6</v>
      </c>
      <c r="L9" s="4" t="n">
        <f aca="false">Assumptions!L43</f>
        <v>0.6</v>
      </c>
    </row>
    <row r="10" customFormat="false" ht="15" hidden="false" customHeight="false" outlineLevel="0" collapsed="false">
      <c r="A10" s="0" t="s">
        <v>122</v>
      </c>
      <c r="C10" s="0" t="n">
        <f aca="false">-C6*C9/100</f>
        <v>-90.309141984</v>
      </c>
      <c r="D10" s="0" t="n">
        <f aca="false">-D6*D9/100</f>
        <v>-88.0514134344</v>
      </c>
      <c r="E10" s="0" t="n">
        <f aca="false">-E6*E9/100</f>
        <v>-89.9004931165224</v>
      </c>
      <c r="F10" s="0" t="n">
        <f aca="false">-F6*F9/100</f>
        <v>-95.9238261553294</v>
      </c>
      <c r="G10" s="0" t="n">
        <f aca="false">-G6*G9/100</f>
        <v>-105.132513466241</v>
      </c>
      <c r="H10" s="0" t="n">
        <f aca="false">-H6*H9/100</f>
        <v>-114.699572191669</v>
      </c>
      <c r="I10" s="0" t="n">
        <f aca="false">-I6*I9/100</f>
        <v>-123.302040106044</v>
      </c>
      <c r="J10" s="0" t="n">
        <f aca="false">-J6*J9/100</f>
        <v>-129.34384007124</v>
      </c>
      <c r="K10" s="0" t="n">
        <f aca="false">-K6*K9/100</f>
        <v>-135.55234439466</v>
      </c>
      <c r="L10" s="0" t="n">
        <f aca="false">-L6*L9/100</f>
        <v>-138.941153004526</v>
      </c>
    </row>
    <row r="11" customFormat="false" ht="15" hidden="false" customHeight="false" outlineLevel="0" collapsed="false">
      <c r="A11" s="0" t="s">
        <v>123</v>
      </c>
      <c r="C11" s="0" t="n">
        <f aca="false">C8+C10+C24</f>
        <v>10400.602851824</v>
      </c>
      <c r="D11" s="0" t="n">
        <f aca="false">D8+D10+D24</f>
        <v>9861.7583046528</v>
      </c>
      <c r="E11" s="0" t="n">
        <f aca="false">E8+E10+E24</f>
        <v>9993.93815145341</v>
      </c>
      <c r="F11" s="0" t="n">
        <f aca="false">F8+F10+F24</f>
        <v>10727.4812250377</v>
      </c>
      <c r="G11" s="0" t="n">
        <f aca="false">G8+G10+G24</f>
        <v>11862.4519361075</v>
      </c>
      <c r="H11" s="0" t="n">
        <f aca="false">H8+H10+H24</f>
        <v>13018.4014437544</v>
      </c>
      <c r="I11" s="0" t="n">
        <f aca="false">I8+I10+I24</f>
        <v>14056.432572089</v>
      </c>
      <c r="J11" s="0" t="n">
        <f aca="false">J8+J10+J24</f>
        <v>14766.7550747999</v>
      </c>
      <c r="K11" s="0" t="n">
        <f aca="false">K8+K10+K24</f>
        <v>15520.7434331885</v>
      </c>
      <c r="L11" s="0" t="n">
        <f aca="false">L8+L10+L24</f>
        <v>15908.7620190183</v>
      </c>
    </row>
    <row r="12" customFormat="false" ht="15" hidden="false" customHeight="false" outlineLevel="0" collapsed="false">
      <c r="A12" s="0" t="s">
        <v>124</v>
      </c>
      <c r="C12" s="4" t="n">
        <f aca="false">-C6*Assumptions!C45/100</f>
        <v>-1655.66760304</v>
      </c>
      <c r="D12" s="4" t="n">
        <f aca="false">-D6*Assumptions!D45/100</f>
        <v>-1775.7035042604</v>
      </c>
      <c r="E12" s="4" t="n">
        <f aca="false">-E6*Assumptions!E45/100</f>
        <v>-1902.89377096639</v>
      </c>
      <c r="F12" s="4" t="n">
        <f aca="false">-F6*Assumptions!F45/100</f>
        <v>-2046.37495798036</v>
      </c>
      <c r="G12" s="4" t="n">
        <f aca="false">-G6*Assumptions!G45/100</f>
        <v>-2242.82695394648</v>
      </c>
      <c r="H12" s="4" t="n">
        <f aca="false">-H6*Assumptions!H45/100</f>
        <v>-2408.69101602505</v>
      </c>
      <c r="I12" s="4" t="n">
        <f aca="false">-I6*Assumptions!I45/100</f>
        <v>-2507.14148215623</v>
      </c>
      <c r="J12" s="4" t="n">
        <f aca="false">-J6*Assumptions!J45/100</f>
        <v>-2586.87680142481</v>
      </c>
      <c r="K12" s="4" t="n">
        <f aca="false">-K6*Assumptions!K45/100</f>
        <v>-2643.27071569587</v>
      </c>
      <c r="L12" s="4" t="n">
        <f aca="false">-L6*Assumptions!L45/100</f>
        <v>-2709.35248358826</v>
      </c>
    </row>
    <row r="13" customFormat="false" ht="15" hidden="false" customHeight="false" outlineLevel="0" collapsed="false">
      <c r="A13" s="0" t="s">
        <v>125</v>
      </c>
      <c r="C13" s="0" t="n">
        <f aca="false">C11+C12</f>
        <v>8744.935248784</v>
      </c>
      <c r="D13" s="0" t="n">
        <f aca="false">D11+D12</f>
        <v>8086.0548003924</v>
      </c>
      <c r="E13" s="0" t="n">
        <f aca="false">E11+E12</f>
        <v>8091.04438048702</v>
      </c>
      <c r="F13" s="0" t="n">
        <f aca="false">F11+F12</f>
        <v>8681.10626705731</v>
      </c>
      <c r="G13" s="0" t="n">
        <f aca="false">G11+G12</f>
        <v>9619.62498216106</v>
      </c>
      <c r="H13" s="0" t="n">
        <f aca="false">H11+H12</f>
        <v>10609.7104277294</v>
      </c>
      <c r="I13" s="0" t="n">
        <f aca="false">I11+I12</f>
        <v>11549.2910899328</v>
      </c>
      <c r="J13" s="0" t="n">
        <f aca="false">J11+J12</f>
        <v>12179.8782733751</v>
      </c>
      <c r="K13" s="0" t="n">
        <f aca="false">K11+K12</f>
        <v>12877.4727174927</v>
      </c>
      <c r="L13" s="0" t="n">
        <f aca="false">L11+L12</f>
        <v>13199.40953543</v>
      </c>
    </row>
    <row r="14" customFormat="false" ht="15" hidden="false" customHeight="false" outlineLevel="0" collapsed="false">
      <c r="A14" s="0" t="s">
        <v>111</v>
      </c>
      <c r="C14" s="4" t="n">
        <f aca="false">Assumptions!C47</f>
        <v>40</v>
      </c>
      <c r="D14" s="4" t="n">
        <f aca="false">Assumptions!D47</f>
        <v>35</v>
      </c>
      <c r="E14" s="4" t="n">
        <f aca="false">Assumptions!E47</f>
        <v>35</v>
      </c>
      <c r="F14" s="4" t="n">
        <f aca="false">Assumptions!F47</f>
        <v>35</v>
      </c>
      <c r="G14" s="4" t="n">
        <f aca="false">Assumptions!G47</f>
        <v>35</v>
      </c>
      <c r="H14" s="4" t="n">
        <f aca="false">Assumptions!H47</f>
        <v>35</v>
      </c>
      <c r="I14" s="4" t="n">
        <f aca="false">Assumptions!I47</f>
        <v>35</v>
      </c>
      <c r="J14" s="4" t="n">
        <f aca="false">Assumptions!J47</f>
        <v>35</v>
      </c>
      <c r="K14" s="4" t="n">
        <f aca="false">Assumptions!K47</f>
        <v>35</v>
      </c>
      <c r="L14" s="4" t="n">
        <f aca="false">Assumptions!L47</f>
        <v>35</v>
      </c>
    </row>
    <row r="15" customFormat="false" ht="15" hidden="false" customHeight="false" outlineLevel="0" collapsed="false">
      <c r="A15" s="0" t="s">
        <v>126</v>
      </c>
      <c r="C15" s="0" t="n">
        <f aca="false">C13-MAX(0,C13)*C14/100</f>
        <v>5246.9611492704</v>
      </c>
      <c r="D15" s="0" t="n">
        <f aca="false">D13-MAX(0,D13)*D14/100</f>
        <v>5255.93562025506</v>
      </c>
      <c r="E15" s="0" t="n">
        <f aca="false">E13-MAX(0,E13)*E14/100</f>
        <v>5259.17884731656</v>
      </c>
      <c r="F15" s="0" t="n">
        <f aca="false">F13-MAX(0,F13)*F14/100</f>
        <v>5642.71907358725</v>
      </c>
      <c r="G15" s="0" t="n">
        <f aca="false">G13-MAX(0,G13)*G14/100</f>
        <v>6252.75623840469</v>
      </c>
      <c r="H15" s="0" t="n">
        <f aca="false">H13-MAX(0,H13)*H14/100</f>
        <v>6896.3117780241</v>
      </c>
      <c r="I15" s="0" t="n">
        <f aca="false">I13-MAX(0,I13)*I14/100</f>
        <v>7507.03920845632</v>
      </c>
      <c r="J15" s="0" t="n">
        <f aca="false">J13-MAX(0,J13)*J14/100</f>
        <v>7916.92087769383</v>
      </c>
      <c r="K15" s="0" t="n">
        <f aca="false">K13-MAX(0,K13)*K14/100</f>
        <v>8370.35726637024</v>
      </c>
      <c r="L15" s="0" t="n">
        <f aca="false">L13-MAX(0,L13)*L14/100</f>
        <v>8579.6161980295</v>
      </c>
    </row>
    <row r="16" customFormat="false" ht="15" hidden="false" customHeight="false" outlineLevel="0" collapsed="false">
      <c r="A16" s="0" t="s">
        <v>127</v>
      </c>
      <c r="C16" s="0" t="n">
        <f aca="false">-C12</f>
        <v>1655.66760304</v>
      </c>
      <c r="D16" s="0" t="n">
        <f aca="false">-D12</f>
        <v>1775.7035042604</v>
      </c>
      <c r="E16" s="0" t="n">
        <f aca="false">-E12</f>
        <v>1902.89377096639</v>
      </c>
      <c r="F16" s="0" t="n">
        <f aca="false">-F12</f>
        <v>2046.37495798036</v>
      </c>
      <c r="G16" s="0" t="n">
        <f aca="false">-G12</f>
        <v>2242.82695394648</v>
      </c>
      <c r="H16" s="0" t="n">
        <f aca="false">-H12</f>
        <v>2408.69101602505</v>
      </c>
      <c r="I16" s="0" t="n">
        <f aca="false">-I12</f>
        <v>2507.14148215623</v>
      </c>
      <c r="J16" s="0" t="n">
        <f aca="false">-J12</f>
        <v>2586.87680142481</v>
      </c>
      <c r="K16" s="0" t="n">
        <f aca="false">-K12</f>
        <v>2643.27071569587</v>
      </c>
      <c r="L16" s="0" t="n">
        <f aca="false">-L12</f>
        <v>2709.35248358826</v>
      </c>
    </row>
    <row r="17" customFormat="false" ht="15" hidden="false" customHeight="false" outlineLevel="0" collapsed="false">
      <c r="A17" s="0" t="s">
        <v>128</v>
      </c>
      <c r="C17" s="4" t="n">
        <f aca="false">-C6*Assumptions!C46/100</f>
        <v>-3025.356256464</v>
      </c>
      <c r="D17" s="4" t="n">
        <f aca="false">-D6*Assumptions!D46/100</f>
        <v>-3301.92800379</v>
      </c>
      <c r="E17" s="4" t="n">
        <f aca="false">-E6*Assumptions!E46/100</f>
        <v>-3296.35141427249</v>
      </c>
      <c r="F17" s="4" t="n">
        <f aca="false">-F6*Assumptions!F46/100</f>
        <v>-3197.46087184431</v>
      </c>
      <c r="G17" s="4" t="n">
        <f aca="false">-G6*Assumptions!G46/100</f>
        <v>-2996.27663378787</v>
      </c>
      <c r="H17" s="4" t="n">
        <f aca="false">-H6*Assumptions!H46/100</f>
        <v>-2810.13951869589</v>
      </c>
      <c r="I17" s="4" t="n">
        <f aca="false">-I6*Assumptions!I46/100</f>
        <v>-2692.0945423153</v>
      </c>
      <c r="J17" s="4" t="n">
        <f aca="false">-J6*Assumptions!J46/100</f>
        <v>-2694.66333481751</v>
      </c>
      <c r="K17" s="4" t="n">
        <f aca="false">-K6*Assumptions!K46/100</f>
        <v>-2756.23100269142</v>
      </c>
      <c r="L17" s="4" t="n">
        <f aca="false">-L6*Assumptions!L46/100</f>
        <v>-2801.97991892461</v>
      </c>
    </row>
    <row r="18" customFormat="false" ht="15" hidden="false" customHeight="false" outlineLevel="0" collapsed="false">
      <c r="A18" s="0" t="s">
        <v>129</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130</v>
      </c>
      <c r="C19" s="0" t="n">
        <f aca="false">C15+C16+C17+C18</f>
        <v>3877.2724958464</v>
      </c>
      <c r="D19" s="0" t="n">
        <f aca="false">D15+D16+D17+D18</f>
        <v>3729.71112072546</v>
      </c>
      <c r="E19" s="0" t="n">
        <f aca="false">E15+E16+E17+E18</f>
        <v>3865.72120401046</v>
      </c>
      <c r="F19" s="0" t="n">
        <f aca="false">F15+F16+F17+F18</f>
        <v>4491.6331597233</v>
      </c>
      <c r="G19" s="0" t="n">
        <f aca="false">G15+G16+G17+G18</f>
        <v>5499.30655856329</v>
      </c>
      <c r="H19" s="0" t="n">
        <f aca="false">H15+H16+H17+H18</f>
        <v>6494.86327535326</v>
      </c>
      <c r="I19" s="0" t="n">
        <f aca="false">I15+I16+I17+I18</f>
        <v>7322.08614829725</v>
      </c>
      <c r="J19" s="0" t="n">
        <f aca="false">J15+J16+J17+J18</f>
        <v>7809.13434430113</v>
      </c>
      <c r="K19" s="0" t="n">
        <f aca="false">K15+K16+K17+K18</f>
        <v>8257.39697937469</v>
      </c>
      <c r="L19" s="0" t="n">
        <f aca="false">L15+L16+L17+L18</f>
        <v>8486.98876269315</v>
      </c>
    </row>
    <row r="20" customFormat="false" ht="15" hidden="false" customHeight="false" outlineLevel="0" collapsed="false">
      <c r="A20" s="0" t="s">
        <v>131</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132</v>
      </c>
      <c r="C21" s="0" t="n">
        <f aca="false">C19*C20</f>
        <v>3557.13073013431</v>
      </c>
      <c r="D21" s="0" t="n">
        <f aca="false">D19*D20</f>
        <v>3139.22323097842</v>
      </c>
      <c r="E21" s="0" t="n">
        <f aca="false">E19*E20</f>
        <v>2985.04605225865</v>
      </c>
      <c r="F21" s="0" t="n">
        <f aca="false">F19*F20</f>
        <v>3181.98616920441</v>
      </c>
      <c r="G21" s="0" t="n">
        <f aca="false">G19*G20</f>
        <v>3574.17193528662</v>
      </c>
      <c r="H21" s="0" t="n">
        <f aca="false">H19*H20</f>
        <v>3872.67476364087</v>
      </c>
      <c r="I21" s="0" t="n">
        <f aca="false">I19*I20</f>
        <v>4005.4318668115</v>
      </c>
      <c r="J21" s="0" t="n">
        <f aca="false">J19*J20</f>
        <v>3919.14120083925</v>
      </c>
      <c r="K21" s="0" t="n">
        <f aca="false">K19*K20</f>
        <v>3801.9349557981</v>
      </c>
      <c r="L21" s="0" t="n">
        <f aca="false">L19*L20</f>
        <v>3584.99577136386</v>
      </c>
    </row>
    <row r="23" customFormat="false" ht="15" hidden="false" customHeight="false" outlineLevel="0" collapsed="false">
      <c r="A23" s="0" t="s">
        <v>108</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133</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134</v>
      </c>
    </row>
    <row r="27" customFormat="false" ht="15" hidden="false" customHeight="false" outlineLevel="0" collapsed="false">
      <c r="A27" s="0" t="s">
        <v>112</v>
      </c>
      <c r="B27" s="4" t="n">
        <f aca="false">Assumptions!$B$48</f>
        <v>9</v>
      </c>
    </row>
    <row r="28" customFormat="false" ht="15" hidden="false" customHeight="false" outlineLevel="0" collapsed="false">
      <c r="A28" s="0" t="s">
        <v>113</v>
      </c>
      <c r="B28" s="4" t="n">
        <f aca="false">Assumptions!$B$49</f>
        <v>2.5</v>
      </c>
    </row>
    <row r="29" customFormat="false" ht="15" hidden="false" customHeight="false" outlineLevel="0" collapsed="false">
      <c r="A29" s="0" t="s">
        <v>114</v>
      </c>
      <c r="B29" s="4" t="n">
        <f aca="false">Assumptions!$B$50</f>
        <v>14</v>
      </c>
    </row>
    <row r="30" customFormat="false" ht="15" hidden="false" customHeight="false" outlineLevel="0" collapsed="false">
      <c r="A30" s="0" t="s">
        <v>135</v>
      </c>
      <c r="B30" s="0" t="n">
        <f aca="false">SUM(C21:L21)</f>
        <v>35621.736676316</v>
      </c>
    </row>
    <row r="31" customFormat="false" ht="15" hidden="false" customHeight="false" outlineLevel="0" collapsed="false">
      <c r="A31" s="0" t="s">
        <v>136</v>
      </c>
      <c r="B31" s="0" t="n">
        <f aca="false">L19</f>
        <v>8486.98876269315</v>
      </c>
    </row>
    <row r="32" customFormat="false" ht="15" hidden="false" customHeight="false" outlineLevel="0" collapsed="false">
      <c r="A32" s="0" t="s">
        <v>137</v>
      </c>
      <c r="B32" s="0" t="n">
        <f aca="false">IF(B27&gt;B28,B31*(1+B28/100)/((B27-B28)/100),B31*B29)</f>
        <v>133833.284334777</v>
      </c>
    </row>
    <row r="33" customFormat="false" ht="15" hidden="false" customHeight="false" outlineLevel="0" collapsed="false">
      <c r="A33" s="0" t="s">
        <v>138</v>
      </c>
      <c r="B33" s="0" t="n">
        <f aca="false">B31*B29</f>
        <v>118817.842677704</v>
      </c>
    </row>
    <row r="34" customFormat="false" ht="15" hidden="false" customHeight="false" outlineLevel="0" collapsed="false">
      <c r="A34" s="0" t="s">
        <v>139</v>
      </c>
      <c r="B34" s="0" t="n">
        <f aca="false">MAX(0,MIN(B32,B33))</f>
        <v>118817.842677704</v>
      </c>
    </row>
    <row r="35" customFormat="false" ht="15" hidden="false" customHeight="false" outlineLevel="0" collapsed="false">
      <c r="A35" s="0" t="s">
        <v>140</v>
      </c>
      <c r="B35" s="0" t="n">
        <f aca="false">B34/(1+B27/100)^L4</f>
        <v>50189.940799094</v>
      </c>
    </row>
    <row r="36" customFormat="false" ht="15" hidden="false" customHeight="false" outlineLevel="0" collapsed="false">
      <c r="A36" s="0" t="s">
        <v>141</v>
      </c>
      <c r="B36" s="0" t="n">
        <f aca="false">B30+B35</f>
        <v>85811.67747541</v>
      </c>
    </row>
    <row r="37" customFormat="false" ht="15" hidden="false" customHeight="false" outlineLevel="0" collapsed="false">
      <c r="A37" s="0" t="s">
        <v>142</v>
      </c>
      <c r="B37" s="0" t="n">
        <f aca="false">B36+Assumptions!$B$5-Assumptions!$B$4</f>
        <v>89793.37747541</v>
      </c>
    </row>
    <row r="38" customFormat="false" ht="15" hidden="false" customHeight="false" outlineLevel="0" collapsed="false">
      <c r="A38" s="0" t="s">
        <v>143</v>
      </c>
      <c r="B38" s="0" t="n">
        <f aca="false">B37/Assumptions!$B$3*Assumptions!$B$10</f>
        <v>251.753501678697</v>
      </c>
    </row>
    <row r="39" customFormat="false" ht="15" hidden="false" customHeight="false" outlineLevel="0" collapsed="false">
      <c r="A39" s="0" t="s">
        <v>144</v>
      </c>
      <c r="B39" s="4" t="n">
        <f aca="false">B38/Assumptions!$B$2-1</f>
        <v>-0.0669921740403338</v>
      </c>
    </row>
    <row r="41" customFormat="false" ht="15" hidden="false" customHeight="false" outlineLevel="0" collapsed="false">
      <c r="A41" s="0" t="s">
        <v>145</v>
      </c>
      <c r="B41" s="0" t="n">
        <f aca="false">SUMPRODUCT(-C10:L10/(1+$B$27/100)^C4:L4)</f>
        <v>684.524656558076</v>
      </c>
    </row>
    <row r="42" customFormat="false" ht="15" hidden="false" customHeight="false" outlineLevel="0" collapsed="false">
      <c r="A42" s="0" t="s">
        <v>146</v>
      </c>
      <c r="B42" s="0" t="n">
        <f aca="false">IF(B27&gt;B28,-L10*(1+B28/100)/((B27-B28)/100),-L10*20)/(1+B27/100)^L4</f>
        <v>925.500010237704</v>
      </c>
    </row>
    <row r="43" customFormat="false" ht="15" hidden="false" customHeight="false" outlineLevel="0" collapsed="false">
      <c r="A43" s="0" t="s">
        <v>147</v>
      </c>
      <c r="B43" s="0" t="n">
        <f aca="false">(B37+B41+B42)/Assumptions!$B$3*Assumptions!$B$10</f>
        <v>256.267524416798</v>
      </c>
    </row>
    <row r="45" customFormat="false" ht="15" hidden="false" customHeight="false" outlineLevel="0" collapsed="false">
      <c r="A45" s="0" t="s">
        <v>88</v>
      </c>
      <c r="B45" s="4" t="n">
        <f aca="false">Assumptions!$B$6</f>
        <v>15</v>
      </c>
    </row>
    <row r="46" customFormat="false" ht="15" hidden="false" customHeight="false" outlineLevel="0" collapsed="false">
      <c r="A46" s="0" t="s">
        <v>148</v>
      </c>
      <c r="B46" s="0" t="n">
        <f aca="false">MAX(0,MIN(IF(B45&gt;B28,B31*(1+B28/100)/((B45-B28)/100),B31*B29),B31*B29))</f>
        <v>69593.3078540838</v>
      </c>
    </row>
    <row r="47" customFormat="false" ht="15" hidden="false" customHeight="false" outlineLevel="0" collapsed="false">
      <c r="A47" s="0" t="s">
        <v>149</v>
      </c>
      <c r="B47" s="0" t="n">
        <f aca="false">(SUMPRODUCT(C19:L19/(1+B45/100)^C4:L4)+B46/(1+B45/100)^L4+Assumptions!$B$5-Assumptions!$B$4)/Assumptions!$B$3*Assumptions!$B$10</f>
        <v>133.956033021957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152</v>
      </c>
    </row>
    <row r="3" customFormat="false" ht="15" hidden="false" customHeight="false" outlineLevel="0" collapsed="false">
      <c r="A3" s="2" t="s">
        <v>153</v>
      </c>
      <c r="B3" s="2" t="s">
        <v>154</v>
      </c>
      <c r="C3" s="2" t="s">
        <v>144</v>
      </c>
      <c r="D3" s="2" t="s">
        <v>155</v>
      </c>
      <c r="E3" s="2" t="s">
        <v>147</v>
      </c>
      <c r="F3" s="2" t="s">
        <v>156</v>
      </c>
    </row>
    <row r="4" customFormat="false" ht="15" hidden="false" customHeight="false" outlineLevel="0" collapsed="false">
      <c r="A4" s="0" t="s">
        <v>157</v>
      </c>
      <c r="B4" s="4" t="n">
        <f aca="false">DCF_Bear!$B$38</f>
        <v>78.5472293830508</v>
      </c>
      <c r="C4" s="0" t="n">
        <f aca="false">B4/Assumptions!$B$2-1</f>
        <v>-0.708901051094946</v>
      </c>
      <c r="D4" s="4" t="n">
        <f aca="false">Assumptions!$B$24</f>
        <v>0.25</v>
      </c>
      <c r="E4" s="4" t="n">
        <f aca="false">DCF_Bear!$B$43</f>
        <v>80.9651493833652</v>
      </c>
      <c r="F4" s="4" t="n">
        <f aca="false">DCF_Bear!$B$47</f>
        <v>47.8043945040822</v>
      </c>
    </row>
    <row r="5" customFormat="false" ht="15" hidden="false" customHeight="false" outlineLevel="0" collapsed="false">
      <c r="A5" s="0" t="s">
        <v>158</v>
      </c>
      <c r="B5" s="4" t="n">
        <f aca="false">DCF_Base!$B$38</f>
        <v>150.475459707906</v>
      </c>
      <c r="C5" s="0" t="n">
        <f aca="false">B5/Assumptions!$B$2-1</f>
        <v>-0.442332358492731</v>
      </c>
      <c r="D5" s="4" t="n">
        <f aca="false">Assumptions!$B$38</f>
        <v>0.5</v>
      </c>
      <c r="E5" s="4" t="n">
        <f aca="false">DCF_Base!$B$43</f>
        <v>153.824401111381</v>
      </c>
      <c r="F5" s="4" t="n">
        <f aca="false">DCF_Base!$B$47</f>
        <v>85.0572831336349</v>
      </c>
    </row>
    <row r="6" customFormat="false" ht="15" hidden="false" customHeight="false" outlineLevel="0" collapsed="false">
      <c r="A6" s="0" t="s">
        <v>159</v>
      </c>
      <c r="B6" s="4" t="n">
        <f aca="false">DCF_Bull!$B$38</f>
        <v>251.753501678697</v>
      </c>
      <c r="C6" s="0" t="n">
        <f aca="false">B6/Assumptions!$B$2-1</f>
        <v>-0.0669921740403338</v>
      </c>
      <c r="D6" s="4" t="n">
        <f aca="false">Assumptions!$B$52</f>
        <v>0.25</v>
      </c>
      <c r="E6" s="4" t="n">
        <f aca="false">DCF_Bull!$B$43</f>
        <v>256.267524416798</v>
      </c>
      <c r="F6" s="4" t="n">
        <f aca="false">DCF_Bull!$B$47</f>
        <v>133.956033021957</v>
      </c>
    </row>
    <row r="8" customFormat="false" ht="15" hidden="false" customHeight="false" outlineLevel="0" collapsed="false">
      <c r="A8" s="0" t="s">
        <v>160</v>
      </c>
      <c r="B8" s="0" t="n">
        <f aca="false">SUMPRODUCT(B4:B6,D4:D6)</f>
        <v>157.81291261939</v>
      </c>
    </row>
    <row r="9" customFormat="false" ht="15" hidden="false" customHeight="false" outlineLevel="0" collapsed="false">
      <c r="A9" s="0" t="s">
        <v>161</v>
      </c>
      <c r="B9" s="0" t="n">
        <f aca="false">SUMPRODUCT(E4:E6,D4:D6)</f>
        <v>161.220369005732</v>
      </c>
    </row>
    <row r="10" customFormat="false" ht="15" hidden="false" customHeight="false" outlineLevel="0" collapsed="false">
      <c r="A10" s="0" t="s">
        <v>162</v>
      </c>
      <c r="B10" s="0" t="n">
        <f aca="false">1-Assumptions!$B$2/B8</f>
        <v>-0.70980939088787</v>
      </c>
    </row>
    <row r="11" customFormat="false" ht="15" hidden="false" customHeight="false" outlineLevel="0" collapsed="false">
      <c r="A11" s="0" t="s">
        <v>163</v>
      </c>
      <c r="B11" s="0" t="n">
        <f aca="false">IF(ABS(B9-B8)&gt;0.01*ABS(B8),(Assumptions!$B$2-B8)/(B9-B8)*100,"n/a")</f>
        <v>3287.41074514178</v>
      </c>
    </row>
    <row r="12" customFormat="false" ht="15" hidden="false" customHeight="false" outlineLevel="0" collapsed="false">
      <c r="A12" s="0" t="s">
        <v>164</v>
      </c>
      <c r="B12" s="0" t="n">
        <f aca="false">SUMPRODUCT(F4:F6,D4:D6)</f>
        <v>87.9687484483272</v>
      </c>
    </row>
    <row r="14" customFormat="false" ht="15" hidden="false" customHeight="false" outlineLevel="0" collapsed="false">
      <c r="A14" s="2" t="s">
        <v>165</v>
      </c>
      <c r="C14" s="0" t="s">
        <v>166</v>
      </c>
    </row>
    <row r="15" customFormat="false" ht="15" hidden="false" customHeight="false" outlineLevel="0" collapsed="false">
      <c r="A15" s="0" t="s">
        <v>167</v>
      </c>
      <c r="B15" s="0" t="n">
        <f aca="false">(SUMPRODUCT(DCF_Base!$C$19:$L$19/(1+$C$15/100)^DCF_Base!$C$4:$L$4)+MAX(0,MIN(IF($C$15&gt;DCF_Base!$B$28,DCF_Base!$L$19*(1+DCF_Base!$B$28/100)/(($C$15-DCF_Base!$B$28)/100),DCF_Base!$L$19*DCF_Base!$B$29),DCF_Base!$L$19*DCF_Base!$B$29))/(1+$C$15/100)^DCF_Base!$L$4+Assumptions!$B$5-Assumptions!$B$4)/Assumptions!$B$3*Assumptions!$B$10</f>
        <v>150.475459707906</v>
      </c>
      <c r="C15" s="3" t="n">
        <v>9</v>
      </c>
    </row>
    <row r="16" customFormat="false" ht="15" hidden="false" customHeight="false" outlineLevel="0" collapsed="false">
      <c r="A16" s="0" t="s">
        <v>168</v>
      </c>
      <c r="B16" s="0" t="n">
        <f aca="false">(SUMPRODUCT(DCF_Base!$C$19:$L$19/(1+$C$16/100)^DCF_Base!$C$4:$L$4)+MAX(0,MIN(IF($C$16&gt;DCF_Base!$B$28,DCF_Base!$L$19*(1+DCF_Base!$B$28/100)/(($C$16-DCF_Base!$B$28)/100),DCF_Base!$L$19*DCF_Base!$B$29),DCF_Base!$L$19*DCF_Base!$B$29))/(1+$C$16/100)^DCF_Base!$L$4+Assumptions!$B$5-Assumptions!$B$4)/Assumptions!$B$3*Assumptions!$B$10</f>
        <v>139.169473476572</v>
      </c>
      <c r="C16" s="3" t="n">
        <v>10</v>
      </c>
    </row>
    <row r="17" customFormat="false" ht="15" hidden="false" customHeight="false" outlineLevel="0" collapsed="false">
      <c r="A17" s="0" t="s">
        <v>169</v>
      </c>
      <c r="B17" s="0" t="n">
        <f aca="false">(SUMPRODUCT(DCF_Base!$C$19:$L$19/(1+$C$17/100)^DCF_Base!$C$4:$L$4)+MAX(0,MIN(IF($C$17&gt;DCF_Base!$B$28,DCF_Base!$L$19*(1+DCF_Base!$B$28/100)/(($C$17-DCF_Base!$B$28)/100),DCF_Base!$L$19*DCF_Base!$B$29),DCF_Base!$L$19*DCF_Base!$B$29))/(1+$C$17/100)^DCF_Base!$L$4+Assumptions!$B$5-Assumptions!$B$4)/Assumptions!$B$3*Assumptions!$B$10</f>
        <v>123.119374370092</v>
      </c>
      <c r="C17" s="3" t="n">
        <v>11</v>
      </c>
    </row>
    <row r="18" customFormat="false" ht="15" hidden="false" customHeight="false" outlineLevel="0" collapsed="false">
      <c r="A18" s="0" t="s">
        <v>170</v>
      </c>
      <c r="B18" s="0" t="n">
        <f aca="false">(SUMPRODUCT(DCF_Base!$C$19:$L$19/(1+$C$18/100)^DCF_Base!$C$4:$L$4)+MAX(0,MIN(IF($C$18&gt;DCF_Base!$B$28,DCF_Base!$L$19*(1+DCF_Base!$B$28/100)/(($C$18-DCF_Base!$B$28)/100),DCF_Base!$L$19*DCF_Base!$B$29),DCF_Base!$L$19*DCF_Base!$B$29))/(1+$C$18/100)^DCF_Base!$L$4+Assumptions!$B$5-Assumptions!$B$4)/Assumptions!$B$3*Assumptions!$B$10</f>
        <v>110.512958470193</v>
      </c>
      <c r="C18" s="3" t="n">
        <v>12</v>
      </c>
    </row>
    <row r="19" customFormat="false" ht="15" hidden="false" customHeight="false" outlineLevel="0" collapsed="false">
      <c r="A19" s="0" t="s">
        <v>171</v>
      </c>
      <c r="B19" s="0" t="n">
        <f aca="false">(SUMPRODUCT(DCF_Base!$C$19:$L$19/(1+$C$19/100)^DCF_Base!$C$4:$L$4)+MAX(0,MIN(IF($C$19&gt;DCF_Base!$B$28,DCF_Base!$L$19*(1+DCF_Base!$B$28/100)/(($C$19-DCF_Base!$B$28)/100),DCF_Base!$L$19*DCF_Base!$B$29),DCF_Base!$L$19*DCF_Base!$B$29))/(1+$C$19/100)^DCF_Base!$L$4+Assumptions!$B$5-Assumptions!$B$4)/Assumptions!$B$3*Assumptions!$B$10</f>
        <v>85.0572831336349</v>
      </c>
      <c r="C19" s="3" t="n">
        <v>15</v>
      </c>
    </row>
    <row r="21" customFormat="false" ht="15" hidden="false" customHeight="false" outlineLevel="0" collapsed="false">
      <c r="A21" s="2" t="s">
        <v>172</v>
      </c>
    </row>
    <row r="22" customFormat="false" ht="15" hidden="false" customHeight="false" outlineLevel="0" collapsed="false">
      <c r="B22" s="3" t="n">
        <v>1.5</v>
      </c>
      <c r="C22" s="3" t="n">
        <v>2</v>
      </c>
      <c r="D22" s="3" t="n">
        <v>2.5</v>
      </c>
      <c r="E22" s="3" t="n">
        <v>3</v>
      </c>
      <c r="F22" s="3" t="n">
        <v>3.5</v>
      </c>
    </row>
    <row r="23" customFormat="false" ht="15" hidden="false" customHeight="false" outlineLevel="0" collapsed="false">
      <c r="A23" s="3" t="n">
        <v>7</v>
      </c>
      <c r="B23" s="0" t="n">
        <f aca="false">(SUMPRODUCT(DCF_Base!$C$19:$L$19/(1+$A$23/100)^DCF_Base!$C$4:$L$4)+MAX(0,MIN(IF($A$23&gt;$B$22,DCF_Base!$L$19*(1+$B$22/100)/(($A$23-$B$22)/100),DCF_Base!$L$19*DCF_Base!$B$29),DCF_Base!$L$19*DCF_Base!$B$29))/(1+$A$23/100)^DCF_Base!$L$4+Assumptions!$B$5-Assumptions!$B$4)/Assumptions!$B$3*Assumptions!$B$10</f>
        <v>172.62948425893</v>
      </c>
      <c r="C23" s="0" t="n">
        <f aca="false">(SUMPRODUCT(DCF_Base!$C$19:$L$19/(1+$A$23/100)^DCF_Base!$C$4:$L$4)+MAX(0,MIN(IF($A$23&gt;$C$22,DCF_Base!$L$19*(1+$C$22/100)/(($A$23-$C$22)/100),DCF_Base!$L$19*DCF_Base!$B$29),DCF_Base!$L$19*DCF_Base!$B$29))/(1+$A$23/100)^DCF_Base!$L$4+Assumptions!$B$5-Assumptions!$B$4)/Assumptions!$B$3*Assumptions!$B$10</f>
        <v>172.62948425893</v>
      </c>
      <c r="D23" s="0" t="n">
        <f aca="false">(SUMPRODUCT(DCF_Base!$C$19:$L$19/(1+$A$23/100)^DCF_Base!$C$4:$L$4)+MAX(0,MIN(IF($A$23&gt;$D$22,DCF_Base!$L$19*(1+$D$22/100)/(($A$23-$D$22)/100),DCF_Base!$L$19*DCF_Base!$B$29),DCF_Base!$L$19*DCF_Base!$B$29))/(1+$A$23/100)^DCF_Base!$L$4+Assumptions!$B$5-Assumptions!$B$4)/Assumptions!$B$3*Assumptions!$B$10</f>
        <v>172.62948425893</v>
      </c>
      <c r="E23" s="0" t="n">
        <f aca="false">(SUMPRODUCT(DCF_Base!$C$19:$L$19/(1+$A$23/100)^DCF_Base!$C$4:$L$4)+MAX(0,MIN(IF($A$23&gt;$E$22,DCF_Base!$L$19*(1+$E$22/100)/(($A$23-$E$22)/100),DCF_Base!$L$19*DCF_Base!$B$29),DCF_Base!$L$19*DCF_Base!$B$29))/(1+$A$23/100)^DCF_Base!$L$4+Assumptions!$B$5-Assumptions!$B$4)/Assumptions!$B$3*Assumptions!$B$10</f>
        <v>172.62948425893</v>
      </c>
      <c r="F23" s="0" t="n">
        <f aca="false">(SUMPRODUCT(DCF_Base!$C$19:$L$19/(1+$A$23/100)^DCF_Base!$C$4:$L$4)+MAX(0,MIN(IF($A$23&gt;$F$22,DCF_Base!$L$19*(1+$F$22/100)/(($A$23-$F$22)/100),DCF_Base!$L$19*DCF_Base!$B$29),DCF_Base!$L$19*DCF_Base!$B$29))/(1+$A$23/100)^DCF_Base!$L$4+Assumptions!$B$5-Assumptions!$B$4)/Assumptions!$B$3*Assumptions!$B$10</f>
        <v>172.62948425893</v>
      </c>
    </row>
    <row r="24" customFormat="false" ht="15" hidden="false" customHeight="false" outlineLevel="0" collapsed="false">
      <c r="A24" s="3" t="n">
        <v>8</v>
      </c>
      <c r="B24" s="0" t="n">
        <f aca="false">(SUMPRODUCT(DCF_Base!$C$19:$L$19/(1+$A$24/100)^DCF_Base!$C$4:$L$4)+MAX(0,MIN(IF($A$24&gt;$B$22,DCF_Base!$L$19*(1+$B$22/100)/(($A$24-$B$22)/100),DCF_Base!$L$19*DCF_Base!$B$29),DCF_Base!$L$19*DCF_Base!$B$29))/(1+$A$24/100)^DCF_Base!$L$4+Assumptions!$B$5-Assumptions!$B$4)/Assumptions!$B$3*Assumptions!$B$10</f>
        <v>161.033174547367</v>
      </c>
      <c r="C24" s="0" t="n">
        <f aca="false">(SUMPRODUCT(DCF_Base!$C$19:$L$19/(1+$A$24/100)^DCF_Base!$C$4:$L$4)+MAX(0,MIN(IF($A$24&gt;$C$22,DCF_Base!$L$19*(1+$C$22/100)/(($A$24-$C$22)/100),DCF_Base!$L$19*DCF_Base!$B$29),DCF_Base!$L$19*DCF_Base!$B$29))/(1+$A$24/100)^DCF_Base!$L$4+Assumptions!$B$5-Assumptions!$B$4)/Assumptions!$B$3*Assumptions!$B$10</f>
        <v>161.033174547367</v>
      </c>
      <c r="D24" s="0" t="n">
        <f aca="false">(SUMPRODUCT(DCF_Base!$C$19:$L$19/(1+$A$24/100)^DCF_Base!$C$4:$L$4)+MAX(0,MIN(IF($A$24&gt;$D$22,DCF_Base!$L$19*(1+$D$22/100)/(($A$24-$D$22)/100),DCF_Base!$L$19*DCF_Base!$B$29),DCF_Base!$L$19*DCF_Base!$B$29))/(1+$A$24/100)^DCF_Base!$L$4+Assumptions!$B$5-Assumptions!$B$4)/Assumptions!$B$3*Assumptions!$B$10</f>
        <v>161.033174547367</v>
      </c>
      <c r="E24" s="0" t="n">
        <f aca="false">(SUMPRODUCT(DCF_Base!$C$19:$L$19/(1+$A$24/100)^DCF_Base!$C$4:$L$4)+MAX(0,MIN(IF($A$24&gt;$E$22,DCF_Base!$L$19*(1+$E$22/100)/(($A$24-$E$22)/100),DCF_Base!$L$19*DCF_Base!$B$29),DCF_Base!$L$19*DCF_Base!$B$29))/(1+$A$24/100)^DCF_Base!$L$4+Assumptions!$B$5-Assumptions!$B$4)/Assumptions!$B$3*Assumptions!$B$10</f>
        <v>161.033174547367</v>
      </c>
      <c r="F24" s="0" t="n">
        <f aca="false">(SUMPRODUCT(DCF_Base!$C$19:$L$19/(1+$A$24/100)^DCF_Base!$C$4:$L$4)+MAX(0,MIN(IF($A$24&gt;$F$22,DCF_Base!$L$19*(1+$F$22/100)/(($A$24-$F$22)/100),DCF_Base!$L$19*DCF_Base!$B$29),DCF_Base!$L$19*DCF_Base!$B$29))/(1+$A$24/100)^DCF_Base!$L$4+Assumptions!$B$5-Assumptions!$B$4)/Assumptions!$B$3*Assumptions!$B$10</f>
        <v>161.033174547367</v>
      </c>
    </row>
    <row r="25" customFormat="false" ht="15" hidden="false" customHeight="false" outlineLevel="0" collapsed="false">
      <c r="A25" s="3" t="n">
        <v>9</v>
      </c>
      <c r="B25" s="0" t="n">
        <f aca="false">(SUMPRODUCT(DCF_Base!$C$19:$L$19/(1+$A$25/100)^DCF_Base!$C$4:$L$4)+MAX(0,MIN(IF($A$25&gt;$B$22,DCF_Base!$L$19*(1+$B$22/100)/(($A$25-$B$22)/100),DCF_Base!$L$19*DCF_Base!$B$29),DCF_Base!$L$19*DCF_Base!$B$29))/(1+$A$25/100)^DCF_Base!$L$4+Assumptions!$B$5-Assumptions!$B$4)/Assumptions!$B$3*Assumptions!$B$10</f>
        <v>147.894619566082</v>
      </c>
      <c r="C25" s="0" t="n">
        <f aca="false">(SUMPRODUCT(DCF_Base!$C$19:$L$19/(1+$A$25/100)^DCF_Base!$C$4:$L$4)+MAX(0,MIN(IF($A$25&gt;$C$22,DCF_Base!$L$19*(1+$C$22/100)/(($A$25-$C$22)/100),DCF_Base!$L$19*DCF_Base!$B$29),DCF_Base!$L$19*DCF_Base!$B$29))/(1+$A$25/100)^DCF_Base!$L$4+Assumptions!$B$5-Assumptions!$B$4)/Assumptions!$B$3*Assumptions!$B$10</f>
        <v>150.475459707906</v>
      </c>
      <c r="D25" s="0" t="n">
        <f aca="false">(SUMPRODUCT(DCF_Base!$C$19:$L$19/(1+$A$25/100)^DCF_Base!$C$4:$L$4)+MAX(0,MIN(IF($A$25&gt;$D$22,DCF_Base!$L$19*(1+$D$22/100)/(($A$25-$D$22)/100),DCF_Base!$L$19*DCF_Base!$B$29),DCF_Base!$L$19*DCF_Base!$B$29))/(1+$A$25/100)^DCF_Base!$L$4+Assumptions!$B$5-Assumptions!$B$4)/Assumptions!$B$3*Assumptions!$B$10</f>
        <v>150.475459707906</v>
      </c>
      <c r="E25" s="0" t="n">
        <f aca="false">(SUMPRODUCT(DCF_Base!$C$19:$L$19/(1+$A$25/100)^DCF_Base!$C$4:$L$4)+MAX(0,MIN(IF($A$25&gt;$E$22,DCF_Base!$L$19*(1+$E$22/100)/(($A$25-$E$22)/100),DCF_Base!$L$19*DCF_Base!$B$29),DCF_Base!$L$19*DCF_Base!$B$29))/(1+$A$25/100)^DCF_Base!$L$4+Assumptions!$B$5-Assumptions!$B$4)/Assumptions!$B$3*Assumptions!$B$10</f>
        <v>150.475459707906</v>
      </c>
      <c r="F25" s="0" t="n">
        <f aca="false">(SUMPRODUCT(DCF_Base!$C$19:$L$19/(1+$A$25/100)^DCF_Base!$C$4:$L$4)+MAX(0,MIN(IF($A$25&gt;$F$22,DCF_Base!$L$19*(1+$F$22/100)/(($A$25-$F$22)/100),DCF_Base!$L$19*DCF_Base!$B$29),DCF_Base!$L$19*DCF_Base!$B$29))/(1+$A$25/100)^DCF_Base!$L$4+Assumptions!$B$5-Assumptions!$B$4)/Assumptions!$B$3*Assumptions!$B$10</f>
        <v>150.475459707906</v>
      </c>
    </row>
    <row r="26" customFormat="false" ht="15" hidden="false" customHeight="false" outlineLevel="0" collapsed="false">
      <c r="A26" s="3" t="n">
        <v>10</v>
      </c>
      <c r="B26" s="0" t="n">
        <f aca="false">(SUMPRODUCT(DCF_Base!$C$19:$L$19/(1+$A$26/100)^DCF_Base!$C$4:$L$4)+MAX(0,MIN(IF($A$26&gt;$B$22,DCF_Base!$L$19*(1+$B$22/100)/(($A$26-$B$22)/100),DCF_Base!$L$19*DCF_Base!$B$29),DCF_Base!$L$19*DCF_Base!$B$29))/(1+$A$26/100)^DCF_Base!$L$4+Assumptions!$B$5-Assumptions!$B$4)/Assumptions!$B$3*Assumptions!$B$10</f>
        <v>130.45973834717</v>
      </c>
      <c r="C26" s="0" t="n">
        <f aca="false">(SUMPRODUCT(DCF_Base!$C$19:$L$19/(1+$A$26/100)^DCF_Base!$C$4:$L$4)+MAX(0,MIN(IF($A$26&gt;$C$22,DCF_Base!$L$19*(1+$C$22/100)/(($A$26-$C$22)/100),DCF_Base!$L$19*DCF_Base!$B$29),DCF_Base!$L$19*DCF_Base!$B$29))/(1+$A$26/100)^DCF_Base!$L$4+Assumptions!$B$5-Assumptions!$B$4)/Assumptions!$B$3*Assumptions!$B$10</f>
        <v>134.542426689077</v>
      </c>
      <c r="D26" s="0" t="n">
        <f aca="false">(SUMPRODUCT(DCF_Base!$C$19:$L$19/(1+$A$26/100)^DCF_Base!$C$4:$L$4)+MAX(0,MIN(IF($A$26&gt;$D$22,DCF_Base!$L$19*(1+$D$22/100)/(($A$26-$D$22)/100),DCF_Base!$L$19*DCF_Base!$B$29),DCF_Base!$L$19*DCF_Base!$B$29))/(1+$A$26/100)^DCF_Base!$L$4+Assumptions!$B$5-Assumptions!$B$4)/Assumptions!$B$3*Assumptions!$B$10</f>
        <v>139.169473476572</v>
      </c>
      <c r="E26" s="0" t="n">
        <f aca="false">(SUMPRODUCT(DCF_Base!$C$19:$L$19/(1+$A$26/100)^DCF_Base!$C$4:$L$4)+MAX(0,MIN(IF($A$26&gt;$E$22,DCF_Base!$L$19*(1+$E$22/100)/(($A$26-$E$22)/100),DCF_Base!$L$19*DCF_Base!$B$29),DCF_Base!$L$19*DCF_Base!$B$29))/(1+$A$26/100)^DCF_Base!$L$4+Assumptions!$B$5-Assumptions!$B$4)/Assumptions!$B$3*Assumptions!$B$10</f>
        <v>140.852035944752</v>
      </c>
      <c r="F26" s="0" t="n">
        <f aca="false">(SUMPRODUCT(DCF_Base!$C$19:$L$19/(1+$A$26/100)^DCF_Base!$C$4:$L$4)+MAX(0,MIN(IF($A$26&gt;$F$22,DCF_Base!$L$19*(1+$F$22/100)/(($A$26-$F$22)/100),DCF_Base!$L$19*DCF_Base!$B$29),DCF_Base!$L$19*DCF_Base!$B$29))/(1+$A$26/100)^DCF_Base!$L$4+Assumptions!$B$5-Assumptions!$B$4)/Assumptions!$B$3*Assumptions!$B$10</f>
        <v>140.852035944752</v>
      </c>
    </row>
    <row r="27" customFormat="false" ht="15" hidden="false" customHeight="false" outlineLevel="0" collapsed="false">
      <c r="A27" s="3" t="n">
        <v>11</v>
      </c>
      <c r="B27" s="0" t="n">
        <f aca="false">(SUMPRODUCT(DCF_Base!$C$19:$L$19/(1+$A$27/100)^DCF_Base!$C$4:$L$4)+MAX(0,MIN(IF($A$27&gt;$B$22,DCF_Base!$L$19*(1+$B$22/100)/(($A$27-$B$22)/100),DCF_Base!$L$19*DCF_Base!$B$29),DCF_Base!$L$19*DCF_Base!$B$29))/(1+$A$27/100)^DCF_Base!$L$4+Assumptions!$B$5-Assumptions!$B$4)/Assumptions!$B$3*Assumptions!$B$10</f>
        <v>116.781115638478</v>
      </c>
      <c r="C27" s="0" t="n">
        <f aca="false">(SUMPRODUCT(DCF_Base!$C$19:$L$19/(1+$A$27/100)^DCF_Base!$C$4:$L$4)+MAX(0,MIN(IF($A$27&gt;$C$22,DCF_Base!$L$19*(1+$C$22/100)/(($A$27-$C$22)/100),DCF_Base!$L$19*DCF_Base!$B$29),DCF_Base!$L$19*DCF_Base!$B$29))/(1+$A$27/100)^DCF_Base!$L$4+Assumptions!$B$5-Assumptions!$B$4)/Assumptions!$B$3*Assumptions!$B$10</f>
        <v>119.77418226174</v>
      </c>
      <c r="D27" s="0" t="n">
        <f aca="false">(SUMPRODUCT(DCF_Base!$C$19:$L$19/(1+$A$27/100)^DCF_Base!$C$4:$L$4)+MAX(0,MIN(IF($A$27&gt;$D$22,DCF_Base!$L$19*(1+$D$22/100)/(($A$27-$D$22)/100),DCF_Base!$L$19*DCF_Base!$B$29),DCF_Base!$L$19*DCF_Base!$B$29))/(1+$A$27/100)^DCF_Base!$L$4+Assumptions!$B$5-Assumptions!$B$4)/Assumptions!$B$3*Assumptions!$B$10</f>
        <v>123.119374370092</v>
      </c>
      <c r="E27" s="0" t="n">
        <f aca="false">(SUMPRODUCT(DCF_Base!$C$19:$L$19/(1+$A$27/100)^DCF_Base!$C$4:$L$4)+MAX(0,MIN(IF($A$27&gt;$E$22,DCF_Base!$L$19*(1+$E$22/100)/(($A$27-$E$22)/100),DCF_Base!$L$19*DCF_Base!$B$29),DCF_Base!$L$19*DCF_Base!$B$29))/(1+$A$27/100)^DCF_Base!$L$4+Assumptions!$B$5-Assumptions!$B$4)/Assumptions!$B$3*Assumptions!$B$10</f>
        <v>126.882715491988</v>
      </c>
      <c r="F27" s="0" t="n">
        <f aca="false">(SUMPRODUCT(DCF_Base!$C$19:$L$19/(1+$A$27/100)^DCF_Base!$C$4:$L$4)+MAX(0,MIN(IF($A$27&gt;$F$22,DCF_Base!$L$19*(1+$F$22/100)/(($A$27-$F$22)/100),DCF_Base!$L$19*DCF_Base!$B$29),DCF_Base!$L$19*DCF_Base!$B$29))/(1+$A$27/100)^DCF_Base!$L$4+Assumptions!$B$5-Assumptions!$B$4)/Assumptions!$B$3*Assumptions!$B$10</f>
        <v>131.147835430137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2026-10-10T06:30:50Z</dcterms:created>
  <dc:creator>openpyxl</dc:creator>
  <dc:description/>
  <dc:language>en-NZ</dc:language>
  <cp:lastModifiedBy/>
  <dcterms:modified xsi:type="dcterms:W3CDTF">2026-10-10T06:30:50Z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