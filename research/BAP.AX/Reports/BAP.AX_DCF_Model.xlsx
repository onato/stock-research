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Actuals" sheetId="2" state="visible" r:id="rId2"/>
    <sheet name="Assumptions" sheetId="3" state="visible" r:id="rId3"/>
    <sheet name="DCF_bear" sheetId="4" state="visible" r:id="rId4"/>
    <sheet name="DCF_base" sheetId="5" state="visible" r:id="rId5"/>
    <sheet name="DCF_bull" sheetId="6" state="visible" r:id="rId6"/>
    <sheet name="FCF_Quality" sheetId="7" state="visible" r:id="rId7"/>
    <sheet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"/>
    <numFmt numFmtId="167" formatCode="0.0%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7" fontId="3" fillId="0" borderId="0" pivotButton="0" quotePrefix="0" xfId="0"/>
    <xf numFmtId="4" fontId="3" fillId="0" borderId="0" pivotButton="0" quotePrefix="0" xfId="0"/>
    <xf numFmtId="166" fontId="1" fillId="3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6" fontId="3" fillId="0" borderId="0" pivotButton="0" quotePrefix="0" xfId="0"/>
    <xf numFmtId="167" fontId="2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40" customWidth="1" min="2" max="2"/>
  </cols>
  <sheetData>
    <row r="1">
      <c r="A1" s="1" t="inlineStr">
        <is>
          <t>BAP.AX owner-FCF DCF model</t>
        </is>
      </c>
      <c r="B1" t="inlineStr"/>
    </row>
    <row r="2">
      <c r="A2" s="1" t="inlineStr">
        <is>
          <t>Version</t>
        </is>
      </c>
      <c r="B2" t="inlineStr">
        <is>
          <t>1.0 -- fresh build 2026-09-21; supersedes nothing (first valuation of this ticker)</t>
        </is>
      </c>
    </row>
    <row r="3">
      <c r="A3" s="1" t="inlineStr">
        <is>
          <t>Built by</t>
        </is>
      </c>
      <c r="B3" t="inlineStr">
        <is>
          <t>dcf-analyst agent (Claude Fable 5.1) on 2026-09-21 at the orchestrator's request for the BAP.AX research run</t>
        </is>
      </c>
    </row>
    <row r="4">
      <c r="A4" s="1" t="inlineStr">
        <is>
          <t>Data vintage: price</t>
        </is>
      </c>
      <c r="B4" t="inlineStr">
        <is>
          <t>A$0.81 Yahoo Finance, 2026-09-21T06:10:31Z regular close (16:10 AEST). Goes stale immediately.</t>
        </is>
      </c>
    </row>
    <row r="5">
      <c r="A5" s="1" t="inlineStr">
        <is>
          <t>Data vintage: balance sheet</t>
        </is>
      </c>
      <c r="B5" t="inlineStr">
        <is>
          <t>30-Jun-2026 FY26 annual report: gross borrowings A$205.0m, cash A$67.205m, lease liabilities A$228.97m, NCI A$1.916m</t>
        </is>
      </c>
    </row>
    <row r="6">
      <c r="A6" s="1" t="inlineStr">
        <is>
          <t>Data vintage: shares</t>
        </is>
      </c>
      <c r="B6" t="inlineStr">
        <is>
          <t>672,753,078 on issue at 30-Jun-2026 (note 21), post Feb-2026 entitlement offer; held flat</t>
        </is>
      </c>
    </row>
    <row r="7">
      <c r="A7" s="1" t="inlineStr">
        <is>
          <t>Data vintage: guidance</t>
        </is>
      </c>
      <c r="B7" t="inlineStr">
        <is>
          <t>FY27 (27-Aug-2026): modest revenue growth, underlying NPAT weighted to 2H27, capex and D&amp;A in line with FY26</t>
        </is>
      </c>
    </row>
    <row r="8">
      <c r="A8" s="1" t="inlineStr">
        <is>
          <t>Method: model</t>
        </is>
      </c>
      <c r="B8" t="inlineStr">
        <is>
          <t>Owner-FCF DCF, 10-year component build (dcf-methods/references/owner-fcf.md + section 7)</t>
        </is>
      </c>
    </row>
    <row r="9">
      <c r="A9" s="1" t="inlineStr">
        <is>
          <t>Method: margin base</t>
        </is>
      </c>
      <c r="B9" t="inlineStr">
        <is>
          <t>Mid-cycle: base recovers pre-AASB16 EBITDA margin to restated-FY25 level (7.85%), not the FY19-22 peak (11-13%) nor the FY26 trough (3.5%)</t>
        </is>
      </c>
    </row>
    <row r="10">
      <c r="A10" s="1" t="inlineStr">
        <is>
          <t>Method: leases</t>
        </is>
      </c>
      <c r="B10" t="inlineStr">
        <is>
          <t>Treatment B: lease principal + interest charged inside the flows (lease_cost_pct); lease liabilities excluded from net debt; tax EBIT after D&amp;A ex right-of-use</t>
        </is>
      </c>
    </row>
    <row r="11">
      <c r="A11" s="1" t="inlineStr">
        <is>
          <t>Method: SBC</t>
        </is>
      </c>
      <c r="B11" t="inlineStr">
        <is>
          <t>Expensed at 0.05% of revenue, share count flat (charged once). SBC-zero market: street = house</t>
        </is>
      </c>
    </row>
    <row r="12">
      <c r="A12" s="1" t="inlineStr">
        <is>
          <t>Method: NCI</t>
        </is>
      </c>
      <c r="B12" t="inlineStr">
        <is>
          <t>A$1.9m NCI deducted in the bridge; flows are consolidated</t>
        </is>
      </c>
    </row>
    <row r="13">
      <c r="A13" s="1" t="inlineStr">
        <is>
          <t>Method: terminal</t>
        </is>
      </c>
      <c r="B13" t="inlineStr">
        <is>
          <t>TV = MAX(0, MIN(Gordon, 12x year-10 owner FCF)); 12x cap for a cyclical distributor with a broken track record</t>
        </is>
      </c>
    </row>
    <row r="14">
      <c r="A14" s="1" t="inlineStr">
        <is>
          <t>Method: WACC</t>
        </is>
      </c>
      <c r="B14" t="inlineStr">
        <is>
          <t>9.5% AUD (4.4% rf + 5.5% ERP x 1.3 beta; 5.25% pre-tax debt; 73/27) on all scenarios -- risk charged in flows/weights, not the rate</t>
        </is>
      </c>
    </row>
    <row r="15">
      <c r="A15" s="1" t="inlineStr">
        <is>
          <t>Method: entry price</t>
        </is>
      </c>
      <c r="B15" t="inlineStr">
        <is>
          <t>15% IRR with TV rebuilt at 15%; required-return table rebuilds TV at each rate</t>
        </is>
      </c>
    </row>
    <row r="16">
      <c r="A16" s="1" t="inlineStr">
        <is>
          <t>Drivers: whose judgment</t>
        </is>
      </c>
      <c r="B16" t="inlineStr">
        <is>
          <t>Scenario growth, margin and tax paths set by the dcf-analyst agent on 2026-09-21 from the FY26 result, the FY27 outlook and BAP.AX_Analysis.json; weights 30/50/20 bear/base/bull</t>
        </is>
      </c>
    </row>
    <row r="17">
      <c r="A17" s="1" t="inlineStr">
        <is>
          <t>Refresh after next print</t>
        </is>
      </c>
      <c r="B17" t="inlineStr">
        <is>
          <t>1H27 (Feb-2027): price + timestamp, net bank debt and NLR at the Dec-2026 covenant test, share count, FY27 guidance, Trade gross margin; re-judge FY27 growth/margin only unless evidence moves later years</t>
        </is>
      </c>
    </row>
    <row r="18">
      <c r="A18" s="1" t="inlineStr">
        <is>
          <t>Row map note</t>
        </is>
      </c>
      <c r="B18" t="inlineStr">
        <is>
          <t>DCF tabs add a lease row (rows 11-12) versus the house row map; owner FCF is row 21, discount factor row 22, PV row 23; valuation block rows 26-40, street memo rows 42-44</t>
        </is>
      </c>
    </row>
    <row r="19">
      <c r="A19" s="1" t="inlineStr">
        <is>
          <t>Cell colours</t>
        </is>
      </c>
      <c r="B19" t="inlineStr">
        <is>
          <t>Blue = hardcoded input; yellow fill = key lever (driver rows 5, 7, 9, 16); black = formula; green = cross-sheet link</t>
        </is>
      </c>
    </row>
    <row r="20">
      <c r="A20" s="1" t="inlineStr">
        <is>
          <t>Staleness</t>
        </is>
      </c>
      <c r="B20" t="inlineStr">
        <is>
          <t>Every figure here goes stale: price daily, balance sheet at each half-year, drivers at each result. Check the dates above before relying on any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80" customWidth="1" min="3" max="3"/>
  </cols>
  <sheetData>
    <row r="1">
      <c r="A1" t="inlineStr">
        <is>
          <t>FY2026 actuals (A$m)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Revenue</t>
        </is>
      </c>
      <c r="B2" s="2" t="n">
        <v>1924.144</v>
      </c>
      <c r="C2" t="inlineStr">
        <is>
          <t>FY26 AR income statement (Metrics.csv)</t>
        </is>
      </c>
    </row>
    <row r="3">
      <c r="A3" t="inlineStr">
        <is>
          <t>Underlying EBITDA (post-AASB16)</t>
        </is>
      </c>
      <c r="B3" s="2" t="n">
        <v>152.5</v>
      </c>
      <c r="C3" t="inlineStr">
        <is>
          <t>FY26 AR segment overview</t>
        </is>
      </c>
    </row>
    <row r="4">
      <c r="A4" t="inlineStr">
        <is>
          <t>Statutory EBITDA</t>
        </is>
      </c>
      <c r="B4" s="2" t="n">
        <v>138.8</v>
      </c>
      <c r="C4" t="inlineStr">
        <is>
          <t>Metrics.csv</t>
        </is>
      </c>
    </row>
    <row r="5">
      <c r="A5" t="inlineStr">
        <is>
          <t>Lease principal paid</t>
        </is>
      </c>
      <c r="B5" s="2" t="n">
        <v>70.884</v>
      </c>
      <c r="C5" t="inlineStr">
        <is>
          <t>FY26 AR cash flow, financing (line 2869)</t>
        </is>
      </c>
    </row>
    <row r="6">
      <c r="A6" t="inlineStr">
        <is>
          <t>Lease interest paid</t>
        </is>
      </c>
      <c r="B6" s="2" t="n">
        <v>15.087</v>
      </c>
      <c r="C6" t="inlineStr">
        <is>
          <t>FY26 AR cash flow, operating (line 2844)</t>
        </is>
      </c>
    </row>
    <row r="7">
      <c r="A7" t="inlineStr">
        <is>
          <t>Lease cash total</t>
        </is>
      </c>
      <c r="B7" s="2" t="n">
        <v>85.971</v>
      </c>
      <c r="C7" t="inlineStr">
        <is>
          <t>sum</t>
        </is>
      </c>
    </row>
    <row r="8">
      <c r="A8" t="inlineStr">
        <is>
          <t>Underlying EBITDA pre-AASB16</t>
        </is>
      </c>
      <c r="B8" s="2" t="n">
        <v>66.529</v>
      </c>
      <c r="C8" t="inlineStr">
        <is>
          <t>derived</t>
        </is>
      </c>
    </row>
    <row r="9">
      <c r="A9" t="inlineStr">
        <is>
          <t>SBC expense</t>
        </is>
      </c>
      <c r="B9" s="2" t="n">
        <v>0.712</v>
      </c>
      <c r="C9" t="inlineStr">
        <is>
          <t>FY26 AR changes in equity</t>
        </is>
      </c>
    </row>
    <row r="10">
      <c r="A10" t="inlineStr">
        <is>
          <t>D&amp;A total</t>
        </is>
      </c>
      <c r="B10" s="2" t="n">
        <v>101.137</v>
      </c>
      <c r="C10" t="inlineStr">
        <is>
          <t>FY26 AR note 6</t>
        </is>
      </c>
    </row>
    <row r="11">
      <c r="A11" t="inlineStr">
        <is>
          <t>Right-of-use depreciation</t>
        </is>
      </c>
      <c r="B11" s="2" t="n">
        <v>65.901</v>
      </c>
      <c r="C11" t="inlineStr">
        <is>
          <t>FY26 AR note 12 (line 4023)</t>
        </is>
      </c>
    </row>
    <row r="12">
      <c r="A12" t="inlineStr">
        <is>
          <t>D&amp;A ex ROU</t>
        </is>
      </c>
      <c r="B12" s="2" t="n">
        <v>35.236</v>
      </c>
      <c r="C12" t="inlineStr">
        <is>
          <t>derived</t>
        </is>
      </c>
    </row>
    <row r="13">
      <c r="A13" t="inlineStr">
        <is>
          <t>Capex (PPE + intangibles)</t>
        </is>
      </c>
      <c r="B13" s="2" t="n">
        <v>29.254</v>
      </c>
      <c r="C13" t="inlineStr">
        <is>
          <t>FY26 AR cash flow (lines 2856-2857)</t>
        </is>
      </c>
    </row>
    <row r="14">
      <c r="A14" t="inlineStr">
        <is>
          <t>Operating cash flow</t>
        </is>
      </c>
      <c r="B14" s="2" t="n">
        <v>152.334</v>
      </c>
      <c r="C14" t="inlineStr">
        <is>
          <t>Metrics.csv</t>
        </is>
      </c>
    </row>
    <row r="15">
      <c r="A15" t="inlineStr">
        <is>
          <t>Reported FCF (OCF - capex)</t>
        </is>
      </c>
      <c r="B15" s="2" t="n">
        <v>123.08</v>
      </c>
      <c r="C15" t="inlineStr">
        <is>
          <t>derived</t>
        </is>
      </c>
    </row>
    <row r="16">
      <c r="A16" t="inlineStr">
        <is>
          <t>Owner FCF (reported - lease principal - SBC)</t>
        </is>
      </c>
      <c r="B16" s="2" t="n">
        <v>51.484</v>
      </c>
      <c r="C16" t="inlineStr">
        <is>
          <t>derived; includes A$21.0m tax refund and WC release</t>
        </is>
      </c>
    </row>
    <row r="17">
      <c r="A17" t="inlineStr">
        <is>
          <t>Income tax paid (negative = refund)</t>
        </is>
      </c>
      <c r="B17" s="2" t="n">
        <v>-21.031</v>
      </c>
      <c r="C17" t="inlineStr">
        <is>
          <t>kpis CashTaxesPaid</t>
        </is>
      </c>
    </row>
    <row r="18">
      <c r="A18" t="inlineStr">
        <is>
          <t>Underlying NPAT</t>
        </is>
      </c>
      <c r="B18" s="2" t="n">
        <v>10.8</v>
      </c>
      <c r="C18" t="inlineStr">
        <is>
          <t>FY26 AR directors' report</t>
        </is>
      </c>
    </row>
    <row r="19">
      <c r="A19" t="inlineStr">
        <is>
          <t>Bank interest (total interest - lease interest)</t>
        </is>
      </c>
      <c r="B19" s="2" t="n">
        <v>20.557</v>
      </c>
      <c r="C19" t="inlineStr">
        <is>
          <t>derived</t>
        </is>
      </c>
    </row>
    <row r="20">
      <c r="A20" t="inlineStr">
        <is>
          <t>Gross borrowings</t>
        </is>
      </c>
      <c r="B20" s="2" t="n">
        <v>205</v>
      </c>
      <c r="C20" t="inlineStr">
        <is>
          <t>FY26 AR note 18 net debt reconciliation</t>
        </is>
      </c>
    </row>
    <row r="21">
      <c r="A21" t="inlineStr">
        <is>
          <t>Cash</t>
        </is>
      </c>
      <c r="B21" s="2" t="n">
        <v>67.205</v>
      </c>
      <c r="C21" t="inlineStr">
        <is>
          <t>FY26 AR balance sheet</t>
        </is>
      </c>
    </row>
    <row r="22">
      <c r="A22" t="inlineStr">
        <is>
          <t>Net bank debt (model)</t>
        </is>
      </c>
      <c r="B22" s="2" t="n">
        <v>137.795</v>
      </c>
      <c r="C22" t="inlineStr">
        <is>
          <t>derived; company covenant figure 135.046</t>
        </is>
      </c>
    </row>
    <row r="23">
      <c r="A23" t="inlineStr">
        <is>
          <t>Lease liabilities (excluded from net debt)</t>
        </is>
      </c>
      <c r="B23" s="2" t="n">
        <v>228.97</v>
      </c>
      <c r="C23" t="inlineStr">
        <is>
          <t>FY26 AR note 18</t>
        </is>
      </c>
    </row>
    <row r="24">
      <c r="A24" t="inlineStr">
        <is>
          <t>NCI</t>
        </is>
      </c>
      <c r="B24" s="2" t="n">
        <v>1.916</v>
      </c>
      <c r="C24" t="inlineStr">
        <is>
          <t>FY26 AR balance sheet</t>
        </is>
      </c>
    </row>
    <row r="25">
      <c r="A25" t="inlineStr">
        <is>
          <t>Shares on issue (m)</t>
        </is>
      </c>
      <c r="B25" s="2" t="n">
        <v>672.753</v>
      </c>
      <c r="C25" t="inlineStr">
        <is>
          <t>FY26 AR note 21; 333.34m issued Feb-2026 at A$0.60</t>
        </is>
      </c>
    </row>
    <row r="26">
      <c r="A26" t="inlineStr">
        <is>
          <t>FY27 guidance</t>
        </is>
      </c>
      <c r="B26" s="2" t="inlineStr">
        <is>
          <t>Modest revenue growth; NPAT weighted 2H27; capex and D&amp;A in line with FY26</t>
        </is>
      </c>
      <c r="C26" t="inlineStr">
        <is>
          <t>FY26 AR directors' report</t>
        </is>
      </c>
    </row>
    <row r="27">
      <c r="A27" t="inlineStr">
        <is>
          <t>Buybacks</t>
        </is>
      </c>
      <c r="B27" s="2" t="n">
        <v>0.921</v>
      </c>
      <c r="C27" t="inlineStr">
        <is>
          <t>Treasury share purchases for rights; no programme; DRP suspended; no FY26 dividend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3" max="3"/>
    <col width="120" customWidth="1" min="4" max="4"/>
  </cols>
  <sheetData>
    <row r="1">
      <c r="A1" t="inlineStr">
        <is>
          <t>Global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wacc</t>
        </is>
      </c>
      <c r="B2" s="2" t="n">
        <v>0.095</v>
      </c>
      <c r="C2" t="inlineStr">
        <is>
          <t>AUD-built, all scenarios</t>
        </is>
      </c>
    </row>
    <row r="3">
      <c r="A3" t="inlineStr">
        <is>
          <t>da_pct</t>
        </is>
      </c>
      <c r="B3" s="2" t="n">
        <v>0.018</v>
      </c>
      <c r="C3" t="inlineStr">
        <is>
          <t>D&amp;A ex right-of-use, % revenue (FY26 1.83%)</t>
        </is>
      </c>
    </row>
    <row r="4">
      <c r="A4" t="inlineStr">
        <is>
          <t>capex_pct</t>
        </is>
      </c>
      <c r="B4" s="2" t="n">
        <v>0.018</v>
      </c>
      <c r="C4" t="inlineStr">
        <is>
          <t>mid-cycle ~ D&amp;A ex-ROU; FY27 guided in line with FY26 (1.5%)</t>
        </is>
      </c>
    </row>
    <row r="5">
      <c r="A5" t="inlineStr">
        <is>
          <t>lease_cost_pct</t>
        </is>
      </c>
      <c r="B5" s="2" t="n">
        <v>0.0445</v>
      </c>
      <c r="C5" t="inlineStr">
        <is>
          <t>lease principal + interest, % revenue (FY26 4.47%)</t>
        </is>
      </c>
    </row>
    <row r="6">
      <c r="A6" t="inlineStr">
        <is>
          <t>sbc_pct</t>
        </is>
      </c>
      <c r="B6" s="2" t="n">
        <v>0.0005</v>
      </c>
      <c r="C6" t="inlineStr">
        <is>
          <t>SBC % revenue (FY26 0.04%)</t>
        </is>
      </c>
    </row>
    <row r="7">
      <c r="A7" t="inlineStr">
        <is>
          <t>wc_capture_pct</t>
        </is>
      </c>
      <c r="B7" s="2" t="n">
        <v>-0.15</v>
      </c>
      <c r="C7" t="inlineStr">
        <is>
          <t>negative: distributor consumes WC on growth</t>
        </is>
      </c>
    </row>
    <row r="8">
      <c r="A8" t="inlineStr">
        <is>
          <t>net_debt</t>
        </is>
      </c>
      <c r="B8" s="2" t="n">
        <v>137.795</v>
      </c>
      <c r="C8" t="inlineStr">
        <is>
          <t>gross borrowings - cash at 2026-06-30, A$m</t>
        </is>
      </c>
    </row>
    <row r="9">
      <c r="A9" t="inlineStr">
        <is>
          <t>nci</t>
        </is>
      </c>
      <c r="B9" s="2" t="n">
        <v>1.916</v>
      </c>
      <c r="C9" t="inlineStr">
        <is>
          <t>non-controlling interest, A$m</t>
        </is>
      </c>
    </row>
    <row r="10">
      <c r="A10" t="inlineStr">
        <is>
          <t>shares</t>
        </is>
      </c>
      <c r="B10" s="2" t="n">
        <v>672.753</v>
      </c>
      <c r="C10" t="inlineStr">
        <is>
          <t>millions, flat</t>
        </is>
      </c>
    </row>
    <row r="11">
      <c r="A11" t="inlineStr">
        <is>
          <t>price</t>
        </is>
      </c>
      <c r="B11" s="2" t="n">
        <v>0.8100000000000001</v>
      </c>
      <c r="C11" t="inlineStr">
        <is>
          <t>2026-09-21T06:10:31Z regular close (16:10 AEST)</t>
        </is>
      </c>
    </row>
    <row r="12">
      <c r="A12" t="inlineStr">
        <is>
          <t>tv_cap</t>
        </is>
      </c>
      <c r="B12" s="2" t="n">
        <v>12</v>
      </c>
      <c r="C12" t="inlineStr">
        <is>
          <t>x year-10 owner FCF</t>
        </is>
      </c>
    </row>
    <row r="13">
      <c r="A13" t="inlineStr">
        <is>
          <t>hurdle</t>
        </is>
      </c>
      <c r="B13" s="2" t="n">
        <v>0.15</v>
      </c>
      <c r="C13" t="inlineStr">
        <is>
          <t>entry-price IRR</t>
        </is>
      </c>
    </row>
    <row r="14">
      <c r="A14" t="inlineStr">
        <is>
          <t>revenue_fy0</t>
        </is>
      </c>
      <c r="B14" s="2" t="n">
        <v>1924.144</v>
      </c>
      <c r="C14" t="inlineStr">
        <is>
          <t>FY2026 actual, A$m</t>
        </is>
      </c>
    </row>
    <row r="16">
      <c r="A16" t="inlineStr">
        <is>
          <t>Scenario</t>
        </is>
      </c>
      <c r="B16" t="inlineStr">
        <is>
          <t>Terminal growth</t>
        </is>
      </c>
      <c r="C16" t="inlineStr">
        <is>
          <t>Weight</t>
        </is>
      </c>
      <c r="D16" t="inlineStr">
        <is>
          <t>Narrative</t>
        </is>
      </c>
    </row>
    <row r="17">
      <c r="A17" t="inlineStr">
        <is>
          <t>bear</t>
        </is>
      </c>
      <c r="B17" s="2" t="n">
        <v>0.015</v>
      </c>
      <c r="C17" s="2" t="n">
        <v>0.3</v>
      </c>
      <c r="D17" t="inlineStr">
        <is>
          <t>Bear: the turnaround stalls. Pricing reset and stock availability stabilise Trade but Repco/NAPA and Supercheap keep the share they took in FY25-26; NZ stays in decline; Retail franchise network keeps shrinking. Payroll-underpayment remediation and further control fixes absorb the cost-out. Revenue flat in FY27 then ~1.5%/yr (below car-parc growth). Underlying EBITDA margin (post-AASB16) grinds from 7.9% to only 9.5% -- about 5% after the ~4.45% lease bill, never recovering the restated FY25 level of 7.9% pre-AASB16. The business survives (net leverage stays inside covenants on this path) but equity is worth little: year-10 owner FCF ~A$40m against ~A$140m of net debt and NCI.</t>
        </is>
      </c>
    </row>
    <row r="18">
      <c r="A18" t="inlineStr">
        <is>
          <t>base</t>
        </is>
      </c>
      <c r="B18" s="2" t="n">
        <v>0.025</v>
      </c>
      <c r="C18" s="2" t="n">
        <v>0.5</v>
      </c>
      <c r="D18" t="inlineStr">
        <is>
          <t>Base: FY27 'modest' revenue growth (1.5%) as guided, with Trade parts and Networks growing and Retail/NZ/equipment still soft; from FY28 revenue tracks car-parc growth plus some share recovery (3-3.5%), fading to 2.5%. Underlying EBITDA margin (post-AASB16) rebuilds from 7.9% (FY26) to ~12.3% by FY34 -- ~7.85% after the lease bill, i.e. back to the restated FY25 pre-AASB16 level (7.9%) and well below the FY19-22 peak of 11-13%. Management says FY27 benefits are reinvested in technology and people, so year-1 margin gain is small. Cash tax shielded at 15%/25% in FY27-28 by FY25-26 tax losses, then 30% statutory. Capex held at ~D&amp;A ex-ROU (1.8%), above the FY27 guide of 'in line with FY26' (1.5%). Working capital consumes 15c per dollar of revenue growth (distributor: inventory + receivables exceed payables).</t>
        </is>
      </c>
    </row>
    <row r="19">
      <c r="A19" t="inlineStr">
        <is>
          <t>bull</t>
        </is>
      </c>
      <c r="B19" s="2" t="n">
        <v>0.03</v>
      </c>
      <c r="C19" s="2" t="n">
        <v>0.2</v>
      </c>
      <c r="D19" t="inlineStr">
        <is>
          <t>Bull: the Wilesmith turnaround executes like Supercheap's playbook -- pricing/ranging discipline restores Trade gross margin, the strategy reset divests sub-scale non-core assets, cost-out lands, and store network growth resumes; independent-workshop share gains and the ageing car parc lift revenue 4-5%/yr in FY28-31. Underlying EBITDA margin (post-AASB16) recovers to 14.5% -- ~10% pre-AASB16, roughly the FY23 level (9.4%) and still short of the FY19-22 peak. A private-equity or trade approach (Bain at A$5.40 in 2024 on the old 339m share count, Jefferies flagging renewed interest post-result) is the realisation path but is not modelled as a separate exit multiple.</t>
        </is>
      </c>
    </row>
    <row r="20">
      <c r="A20" t="inlineStr">
        <is>
          <t>weights check</t>
        </is>
      </c>
      <c r="B20" t="inlineStr"/>
      <c r="C20">
        <f>SUM(C17:C19)</f>
        <v/>
      </c>
      <c r="D20" t="inlineStr">
        <is>
          <t>must equal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BEAR scenario -- owner-FCF DCF, A$m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3" t="n">
        <v>0</v>
      </c>
      <c r="D5" s="3" t="n">
        <v>0.01</v>
      </c>
      <c r="E5" s="3" t="n">
        <v>0.015</v>
      </c>
      <c r="F5" s="3" t="n">
        <v>0.015</v>
      </c>
      <c r="G5" s="3" t="n">
        <v>0.015</v>
      </c>
      <c r="H5" s="3" t="n">
        <v>0.015</v>
      </c>
      <c r="I5" s="3" t="n">
        <v>0.015</v>
      </c>
      <c r="J5" s="3" t="n">
        <v>0.015</v>
      </c>
      <c r="K5" s="3" t="n">
        <v>0.015</v>
      </c>
      <c r="L5" s="3" t="n">
        <v>0.015</v>
      </c>
    </row>
    <row r="6">
      <c r="A6" t="inlineStr">
        <is>
          <t>Revenue</t>
        </is>
      </c>
      <c r="B6" s="4">
        <f>Assumptions!$B$14</f>
        <v/>
      </c>
      <c r="C6" s="5">
        <f>B6*(1+C5)</f>
        <v/>
      </c>
      <c r="D6" s="5">
        <f>C6*(1+D5)</f>
        <v/>
      </c>
      <c r="E6" s="5">
        <f>D6*(1+E5)</f>
        <v/>
      </c>
      <c r="F6" s="5">
        <f>E6*(1+F5)</f>
        <v/>
      </c>
      <c r="G6" s="5">
        <f>F6*(1+G5)</f>
        <v/>
      </c>
      <c r="H6" s="5">
        <f>G6*(1+H5)</f>
        <v/>
      </c>
      <c r="I6" s="5">
        <f>H6*(1+I5)</f>
        <v/>
      </c>
      <c r="J6" s="5">
        <f>I6*(1+J5)</f>
        <v/>
      </c>
      <c r="K6" s="5">
        <f>J6*(1+K5)</f>
        <v/>
      </c>
      <c r="L6" s="5">
        <f>K6*(1+L5)</f>
        <v/>
      </c>
    </row>
    <row r="7">
      <c r="A7" t="inlineStr">
        <is>
          <t>Underlying EBITDA margin (post-AASB16)</t>
        </is>
      </c>
      <c r="B7">
        <f>B8/B6</f>
        <v/>
      </c>
      <c r="C7" s="3" t="n">
        <v>0.08</v>
      </c>
      <c r="D7" s="3" t="n">
        <v>0.083</v>
      </c>
      <c r="E7" s="3" t="n">
        <v>0.08599999999999999</v>
      </c>
      <c r="F7" s="3" t="n">
        <v>0.09</v>
      </c>
      <c r="G7" s="3" t="n">
        <v>0.092</v>
      </c>
      <c r="H7" s="3" t="n">
        <v>0.094</v>
      </c>
      <c r="I7" s="3" t="n">
        <v>0.095</v>
      </c>
      <c r="J7" s="3" t="n">
        <v>0.095</v>
      </c>
      <c r="K7" s="3" t="n">
        <v>0.095</v>
      </c>
      <c r="L7" s="3" t="n">
        <v>0.095</v>
      </c>
    </row>
    <row r="8">
      <c r="A8" t="inlineStr">
        <is>
          <t>Underlying EBITDA</t>
        </is>
      </c>
      <c r="B8" s="2" t="n">
        <v>152.5</v>
      </c>
      <c r="C8" s="5">
        <f>C6*C7</f>
        <v/>
      </c>
      <c r="D8" s="5">
        <f>D6*D7</f>
        <v/>
      </c>
      <c r="E8" s="5">
        <f>E6*E7</f>
        <v/>
      </c>
      <c r="F8" s="5">
        <f>F6*F7</f>
        <v/>
      </c>
      <c r="G8" s="5">
        <f>G6*G7</f>
        <v/>
      </c>
      <c r="H8" s="5">
        <f>H6*H7</f>
        <v/>
      </c>
      <c r="I8" s="5">
        <f>I6*I7</f>
        <v/>
      </c>
      <c r="J8" s="5">
        <f>J6*J7</f>
        <v/>
      </c>
      <c r="K8" s="5">
        <f>K6*K7</f>
        <v/>
      </c>
      <c r="L8" s="5">
        <f>L6*L7</f>
        <v/>
      </c>
    </row>
    <row r="9">
      <c r="A9" t="inlineStr">
        <is>
          <t>SBC % revenue</t>
        </is>
      </c>
      <c r="C9" s="3" t="n">
        <v>0.0005</v>
      </c>
      <c r="D9" s="3" t="n">
        <v>0.0005</v>
      </c>
      <c r="E9" s="3" t="n">
        <v>0.0005</v>
      </c>
      <c r="F9" s="3" t="n">
        <v>0.0005</v>
      </c>
      <c r="G9" s="3" t="n">
        <v>0.0005</v>
      </c>
      <c r="H9" s="3" t="n">
        <v>0.0005</v>
      </c>
      <c r="I9" s="3" t="n">
        <v>0.0005</v>
      </c>
      <c r="J9" s="3" t="n">
        <v>0.0005</v>
      </c>
      <c r="K9" s="3" t="n">
        <v>0.0005</v>
      </c>
      <c r="L9" s="3" t="n">
        <v>0.0005</v>
      </c>
    </row>
    <row r="10">
      <c r="A10" t="inlineStr">
        <is>
          <t>SBC (negative)</t>
        </is>
      </c>
      <c r="C10" s="5">
        <f>-C6*C9</f>
        <v/>
      </c>
      <c r="D10" s="5">
        <f>-D6*D9</f>
        <v/>
      </c>
      <c r="E10" s="5">
        <f>-E6*E9</f>
        <v/>
      </c>
      <c r="F10" s="5">
        <f>-F6*F9</f>
        <v/>
      </c>
      <c r="G10" s="5">
        <f>-G6*G9</f>
        <v/>
      </c>
      <c r="H10" s="5">
        <f>-H6*H9</f>
        <v/>
      </c>
      <c r="I10" s="5">
        <f>-I6*I9</f>
        <v/>
      </c>
      <c r="J10" s="5">
        <f>-J6*J9</f>
        <v/>
      </c>
      <c r="K10" s="5">
        <f>-K6*K9</f>
        <v/>
      </c>
      <c r="L10" s="5">
        <f>-L6*L9</f>
        <v/>
      </c>
    </row>
    <row r="11">
      <c r="A11" t="inlineStr">
        <is>
          <t>Lease cost % revenue</t>
        </is>
      </c>
      <c r="C11" s="6">
        <f>Assumptions!$B$5</f>
        <v/>
      </c>
      <c r="D11" s="6">
        <f>Assumptions!$B$5</f>
        <v/>
      </c>
      <c r="E11" s="6">
        <f>Assumptions!$B$5</f>
        <v/>
      </c>
      <c r="F11" s="6">
        <f>Assumptions!$B$5</f>
        <v/>
      </c>
      <c r="G11" s="6">
        <f>Assumptions!$B$5</f>
        <v/>
      </c>
      <c r="H11" s="6">
        <f>Assumptions!$B$5</f>
        <v/>
      </c>
      <c r="I11" s="6">
        <f>Assumptions!$B$5</f>
        <v/>
      </c>
      <c r="J11" s="6">
        <f>Assumptions!$B$5</f>
        <v/>
      </c>
      <c r="K11" s="6">
        <f>Assumptions!$B$5</f>
        <v/>
      </c>
      <c r="L11" s="6">
        <f>Assumptions!$B$5</f>
        <v/>
      </c>
    </row>
    <row r="12">
      <c r="A12" t="inlineStr">
        <is>
          <t>Lease cash (negative)</t>
        </is>
      </c>
      <c r="C12" s="5">
        <f>-C6*C11</f>
        <v/>
      </c>
      <c r="D12" s="5">
        <f>-D6*D11</f>
        <v/>
      </c>
      <c r="E12" s="5">
        <f>-E6*E11</f>
        <v/>
      </c>
      <c r="F12" s="5">
        <f>-F6*F11</f>
        <v/>
      </c>
      <c r="G12" s="5">
        <f>-G6*G11</f>
        <v/>
      </c>
      <c r="H12" s="5">
        <f>-H6*H11</f>
        <v/>
      </c>
      <c r="I12" s="5">
        <f>-I6*I11</f>
        <v/>
      </c>
      <c r="J12" s="5">
        <f>-J6*J11</f>
        <v/>
      </c>
      <c r="K12" s="5">
        <f>-K6*K11</f>
        <v/>
      </c>
      <c r="L12" s="5">
        <f>-L6*L11</f>
        <v/>
      </c>
    </row>
    <row r="13">
      <c r="A13" t="inlineStr">
        <is>
          <t>Owner EBITDA pre-AASB16 after SBC</t>
        </is>
      </c>
      <c r="C13" s="5">
        <f>C8+C10+C12</f>
        <v/>
      </c>
      <c r="D13" s="5">
        <f>D8+D10+D12</f>
        <v/>
      </c>
      <c r="E13" s="5">
        <f>E8+E10+E12</f>
        <v/>
      </c>
      <c r="F13" s="5">
        <f>F8+F10+F12</f>
        <v/>
      </c>
      <c r="G13" s="5">
        <f>G8+G10+G12</f>
        <v/>
      </c>
      <c r="H13" s="5">
        <f>H8+H10+H12</f>
        <v/>
      </c>
      <c r="I13" s="5">
        <f>I8+I10+I12</f>
        <v/>
      </c>
      <c r="J13" s="5">
        <f>J8+J10+J12</f>
        <v/>
      </c>
      <c r="K13" s="5">
        <f>K8+K10+K12</f>
        <v/>
      </c>
      <c r="L13" s="5">
        <f>L8+L10+L12</f>
        <v/>
      </c>
    </row>
    <row r="14">
      <c r="A14" t="inlineStr">
        <is>
          <t>D&amp;A ex ROU (negative)</t>
        </is>
      </c>
      <c r="C14" s="7">
        <f>-C6*Assumptions!$B$3</f>
        <v/>
      </c>
      <c r="D14" s="7">
        <f>-D6*Assumptions!$B$3</f>
        <v/>
      </c>
      <c r="E14" s="7">
        <f>-E6*Assumptions!$B$3</f>
        <v/>
      </c>
      <c r="F14" s="7">
        <f>-F6*Assumptions!$B$3</f>
        <v/>
      </c>
      <c r="G14" s="7">
        <f>-G6*Assumptions!$B$3</f>
        <v/>
      </c>
      <c r="H14" s="7">
        <f>-H6*Assumptions!$B$3</f>
        <v/>
      </c>
      <c r="I14" s="7">
        <f>-I6*Assumptions!$B$3</f>
        <v/>
      </c>
      <c r="J14" s="7">
        <f>-J6*Assumptions!$B$3</f>
        <v/>
      </c>
      <c r="K14" s="7">
        <f>-K6*Assumptions!$B$3</f>
        <v/>
      </c>
      <c r="L14" s="7">
        <f>-L6*Assumptions!$B$3</f>
        <v/>
      </c>
    </row>
    <row r="15">
      <c r="A15" t="inlineStr">
        <is>
          <t>EBIT</t>
        </is>
      </c>
      <c r="C15" s="5">
        <f>C13+C14</f>
        <v/>
      </c>
      <c r="D15" s="5">
        <f>D13+D14</f>
        <v/>
      </c>
      <c r="E15" s="5">
        <f>E13+E14</f>
        <v/>
      </c>
      <c r="F15" s="5">
        <f>F13+F14</f>
        <v/>
      </c>
      <c r="G15" s="5">
        <f>G13+G14</f>
        <v/>
      </c>
      <c r="H15" s="5">
        <f>H13+H14</f>
        <v/>
      </c>
      <c r="I15" s="5">
        <f>I13+I14</f>
        <v/>
      </c>
      <c r="J15" s="5">
        <f>J13+J14</f>
        <v/>
      </c>
      <c r="K15" s="5">
        <f>K13+K14</f>
        <v/>
      </c>
      <c r="L15" s="5">
        <f>L13+L14</f>
        <v/>
      </c>
    </row>
    <row r="16">
      <c r="A16" t="inlineStr">
        <is>
          <t>Cash tax rate</t>
        </is>
      </c>
      <c r="C16" s="3" t="n">
        <v>0.1</v>
      </c>
      <c r="D16" s="3" t="n">
        <v>0.2</v>
      </c>
      <c r="E16" s="3" t="n">
        <v>0.3</v>
      </c>
      <c r="F16" s="3" t="n">
        <v>0.3</v>
      </c>
      <c r="G16" s="3" t="n">
        <v>0.3</v>
      </c>
      <c r="H16" s="3" t="n">
        <v>0.3</v>
      </c>
      <c r="I16" s="3" t="n">
        <v>0.3</v>
      </c>
      <c r="J16" s="3" t="n">
        <v>0.3</v>
      </c>
      <c r="K16" s="3" t="n">
        <v>0.3</v>
      </c>
      <c r="L16" s="3" t="n">
        <v>0.3</v>
      </c>
    </row>
    <row r="17">
      <c r="A17" t="inlineStr">
        <is>
          <t>Cash tax (negative)</t>
        </is>
      </c>
      <c r="C17" s="5">
        <f>-MAX(0,C15)*C16</f>
        <v/>
      </c>
      <c r="D17" s="5">
        <f>-MAX(0,D15)*D16</f>
        <v/>
      </c>
      <c r="E17" s="5">
        <f>-MAX(0,E15)*E16</f>
        <v/>
      </c>
      <c r="F17" s="5">
        <f>-MAX(0,F15)*F16</f>
        <v/>
      </c>
      <c r="G17" s="5">
        <f>-MAX(0,G15)*G16</f>
        <v/>
      </c>
      <c r="H17" s="5">
        <f>-MAX(0,H15)*H16</f>
        <v/>
      </c>
      <c r="I17" s="5">
        <f>-MAX(0,I15)*I16</f>
        <v/>
      </c>
      <c r="J17" s="5">
        <f>-MAX(0,J15)*J16</f>
        <v/>
      </c>
      <c r="K17" s="5">
        <f>-MAX(0,K15)*K16</f>
        <v/>
      </c>
      <c r="L17" s="5">
        <f>-MAX(0,L15)*L16</f>
        <v/>
      </c>
    </row>
    <row r="18">
      <c r="A18" t="inlineStr">
        <is>
          <t>NOPAT</t>
        </is>
      </c>
      <c r="C18" s="5">
        <f>C15+C17</f>
        <v/>
      </c>
      <c r="D18" s="5">
        <f>D15+D17</f>
        <v/>
      </c>
      <c r="E18" s="5">
        <f>E15+E17</f>
        <v/>
      </c>
      <c r="F18" s="5">
        <f>F15+F17</f>
        <v/>
      </c>
      <c r="G18" s="5">
        <f>G15+G17</f>
        <v/>
      </c>
      <c r="H18" s="5">
        <f>H15+H17</f>
        <v/>
      </c>
      <c r="I18" s="5">
        <f>I15+I17</f>
        <v/>
      </c>
      <c r="J18" s="5">
        <f>J15+J17</f>
        <v/>
      </c>
      <c r="K18" s="5">
        <f>K15+K17</f>
        <v/>
      </c>
      <c r="L18" s="5">
        <f>L15+L17</f>
        <v/>
      </c>
    </row>
    <row r="19">
      <c r="A19" t="inlineStr">
        <is>
          <t>add back D&amp;A</t>
        </is>
      </c>
      <c r="C19" s="5">
        <f>-C14</f>
        <v/>
      </c>
      <c r="D19" s="5">
        <f>-D14</f>
        <v/>
      </c>
      <c r="E19" s="5">
        <f>-E14</f>
        <v/>
      </c>
      <c r="F19" s="5">
        <f>-F14</f>
        <v/>
      </c>
      <c r="G19" s="5">
        <f>-G14</f>
        <v/>
      </c>
      <c r="H19" s="5">
        <f>-H14</f>
        <v/>
      </c>
      <c r="I19" s="5">
        <f>-I14</f>
        <v/>
      </c>
      <c r="J19" s="5">
        <f>-J14</f>
        <v/>
      </c>
      <c r="K19" s="5">
        <f>-K14</f>
        <v/>
      </c>
      <c r="L19" s="5">
        <f>-L14</f>
        <v/>
      </c>
    </row>
    <row r="20">
      <c r="A20" t="inlineStr">
        <is>
          <t>less capex</t>
        </is>
      </c>
      <c r="C20" s="7">
        <f>-C6*Assumptions!$B$4</f>
        <v/>
      </c>
      <c r="D20" s="7">
        <f>-D6*Assumptions!$B$4</f>
        <v/>
      </c>
      <c r="E20" s="7">
        <f>-E6*Assumptions!$B$4</f>
        <v/>
      </c>
      <c r="F20" s="7">
        <f>-F6*Assumptions!$B$4</f>
        <v/>
      </c>
      <c r="G20" s="7">
        <f>-G6*Assumptions!$B$4</f>
        <v/>
      </c>
      <c r="H20" s="7">
        <f>-H6*Assumptions!$B$4</f>
        <v/>
      </c>
      <c r="I20" s="7">
        <f>-I6*Assumptions!$B$4</f>
        <v/>
      </c>
      <c r="J20" s="7">
        <f>-J6*Assumptions!$B$4</f>
        <v/>
      </c>
      <c r="K20" s="7">
        <f>-K6*Assumptions!$B$4</f>
        <v/>
      </c>
      <c r="L20" s="7">
        <f>-L6*Assumptions!$B$4</f>
        <v/>
      </c>
    </row>
    <row r="21">
      <c r="A21" t="inlineStr">
        <is>
          <t>working capital (on revenue change)</t>
        </is>
      </c>
      <c r="C21" s="7">
        <f>Assumptions!$B$7*(C6-B6)</f>
        <v/>
      </c>
      <c r="D21" s="7">
        <f>Assumptions!$B$7*(D6-C6)</f>
        <v/>
      </c>
      <c r="E21" s="7">
        <f>Assumptions!$B$7*(E6-D6)</f>
        <v/>
      </c>
      <c r="F21" s="7">
        <f>Assumptions!$B$7*(F6-E6)</f>
        <v/>
      </c>
      <c r="G21" s="7">
        <f>Assumptions!$B$7*(G6-F6)</f>
        <v/>
      </c>
      <c r="H21" s="7">
        <f>Assumptions!$B$7*(H6-G6)</f>
        <v/>
      </c>
      <c r="I21" s="7">
        <f>Assumptions!$B$7*(I6-H6)</f>
        <v/>
      </c>
      <c r="J21" s="7">
        <f>Assumptions!$B$7*(J6-I6)</f>
        <v/>
      </c>
      <c r="K21" s="7">
        <f>Assumptions!$B$7*(K6-J6)</f>
        <v/>
      </c>
      <c r="L21" s="7">
        <f>Assumptions!$B$7*(L6-K6)</f>
        <v/>
      </c>
    </row>
    <row r="22">
      <c r="A22" t="inlineStr">
        <is>
          <t>Unlevered owner FCF</t>
        </is>
      </c>
      <c r="C22" s="8">
        <f>C18+C19+C20+C21</f>
        <v/>
      </c>
      <c r="D22" s="8">
        <f>D18+D19+D20+D21</f>
        <v/>
      </c>
      <c r="E22" s="8">
        <f>E18+E19+E20+E21</f>
        <v/>
      </c>
      <c r="F22" s="8">
        <f>F18+F19+F20+F21</f>
        <v/>
      </c>
      <c r="G22" s="8">
        <f>G18+G19+G20+G21</f>
        <v/>
      </c>
      <c r="H22" s="8">
        <f>H18+H19+H20+H21</f>
        <v/>
      </c>
      <c r="I22" s="8">
        <f>I18+I19+I20+I21</f>
        <v/>
      </c>
      <c r="J22" s="8">
        <f>J18+J19+J20+J21</f>
        <v/>
      </c>
      <c r="K22" s="8">
        <f>K18+K19+K20+K21</f>
        <v/>
      </c>
      <c r="L22" s="8">
        <f>L18+L19+L20+L21</f>
        <v/>
      </c>
    </row>
    <row r="23">
      <c r="A23" t="inlineStr">
        <is>
          <t>Discount factor</t>
        </is>
      </c>
      <c r="C23" s="9">
        <f>1/(1+Assumptions!$B$2)^C4</f>
        <v/>
      </c>
      <c r="D23" s="9">
        <f>1/(1+Assumptions!$B$2)^D4</f>
        <v/>
      </c>
      <c r="E23" s="9">
        <f>1/(1+Assumptions!$B$2)^E4</f>
        <v/>
      </c>
      <c r="F23" s="9">
        <f>1/(1+Assumptions!$B$2)^F4</f>
        <v/>
      </c>
      <c r="G23" s="9">
        <f>1/(1+Assumptions!$B$2)^G4</f>
        <v/>
      </c>
      <c r="H23" s="9">
        <f>1/(1+Assumptions!$B$2)^H4</f>
        <v/>
      </c>
      <c r="I23" s="9">
        <f>1/(1+Assumptions!$B$2)^I4</f>
        <v/>
      </c>
      <c r="J23" s="9">
        <f>1/(1+Assumptions!$B$2)^J4</f>
        <v/>
      </c>
      <c r="K23" s="9">
        <f>1/(1+Assumptions!$B$2)^K4</f>
        <v/>
      </c>
      <c r="L23" s="9">
        <f>1/(1+Assumptions!$B$2)^L4</f>
        <v/>
      </c>
    </row>
    <row r="24">
      <c r="A24" t="inlineStr">
        <is>
          <t>PV of FCF</t>
        </is>
      </c>
      <c r="C24" s="5">
        <f>C22*C23</f>
        <v/>
      </c>
      <c r="D24" s="5">
        <f>D22*D23</f>
        <v/>
      </c>
      <c r="E24" s="5">
        <f>E22*E23</f>
        <v/>
      </c>
      <c r="F24" s="5">
        <f>F22*F23</f>
        <v/>
      </c>
      <c r="G24" s="5">
        <f>G22*G23</f>
        <v/>
      </c>
      <c r="H24" s="5">
        <f>H22*H23</f>
        <v/>
      </c>
      <c r="I24" s="5">
        <f>I22*I23</f>
        <v/>
      </c>
      <c r="J24" s="5">
        <f>J22*J23</f>
        <v/>
      </c>
      <c r="K24" s="5">
        <f>K22*K23</f>
        <v/>
      </c>
      <c r="L24" s="5">
        <f>L22*L23</f>
        <v/>
      </c>
    </row>
    <row r="26">
      <c r="A26" t="inlineStr">
        <is>
          <t>Memo: FCF before SBC (company-style)</t>
        </is>
      </c>
      <c r="C26" s="5">
        <f>C22-C10</f>
        <v/>
      </c>
      <c r="D26" s="5">
        <f>D22-D10</f>
        <v/>
      </c>
      <c r="E26" s="5">
        <f>E22-E10</f>
        <v/>
      </c>
      <c r="F26" s="5">
        <f>F22-F10</f>
        <v/>
      </c>
      <c r="G26" s="5">
        <f>G22-G10</f>
        <v/>
      </c>
      <c r="H26" s="5">
        <f>H22-H10</f>
        <v/>
      </c>
      <c r="I26" s="5">
        <f>I22-I10</f>
        <v/>
      </c>
      <c r="J26" s="5">
        <f>J22-J10</f>
        <v/>
      </c>
      <c r="K26" s="5">
        <f>K22-K10</f>
        <v/>
      </c>
      <c r="L26" s="5">
        <f>L22-L10</f>
        <v/>
      </c>
    </row>
    <row r="27">
      <c r="A27" t="inlineStr">
        <is>
          <t>Memo: owner FCF margin</t>
        </is>
      </c>
      <c r="C27" s="10">
        <f>C22/C6</f>
        <v/>
      </c>
      <c r="D27" s="10">
        <f>D22/D6</f>
        <v/>
      </c>
      <c r="E27" s="10">
        <f>E22/E6</f>
        <v/>
      </c>
      <c r="F27" s="10">
        <f>F22/F6</f>
        <v/>
      </c>
      <c r="G27" s="10">
        <f>G22/G6</f>
        <v/>
      </c>
      <c r="H27" s="10">
        <f>H22/H6</f>
        <v/>
      </c>
      <c r="I27" s="10">
        <f>I22/I6</f>
        <v/>
      </c>
      <c r="J27" s="10">
        <f>J22/J6</f>
        <v/>
      </c>
      <c r="K27" s="10">
        <f>K22/K6</f>
        <v/>
      </c>
      <c r="L27" s="10">
        <f>L22/L6</f>
        <v/>
      </c>
    </row>
    <row r="29">
      <c r="A29" t="inlineStr">
        <is>
          <t>Sum of PV of FCF</t>
        </is>
      </c>
      <c r="B29" s="11">
        <f>SUM(C24:L24)</f>
        <v/>
      </c>
    </row>
    <row r="30">
      <c r="A30" t="inlineStr">
        <is>
          <t>Terminal growth</t>
        </is>
      </c>
      <c r="B30" s="12">
        <f>Assumptions!$B$17</f>
        <v/>
      </c>
    </row>
    <row r="31">
      <c r="A31" t="inlineStr">
        <is>
          <t>Terminal-year FCF x (1+g)</t>
        </is>
      </c>
      <c r="B31" s="11">
        <f>L22*(1+B30)</f>
        <v/>
      </c>
    </row>
    <row r="32">
      <c r="A32" t="inlineStr">
        <is>
          <t>Gordon TV</t>
        </is>
      </c>
      <c r="B32" s="11">
        <f>IF(Assumptions!$B$2&gt;B30,B31/(Assumptions!$B$2-B30),"n/a")</f>
        <v/>
      </c>
    </row>
    <row r="33">
      <c r="A33" t="inlineStr">
        <is>
          <t>Cap TV</t>
        </is>
      </c>
      <c r="B33" s="11">
        <f>Assumptions!$B$12*L22</f>
        <v/>
      </c>
    </row>
    <row r="34">
      <c r="A34" t="inlineStr">
        <is>
          <t>TV used = MAX(0,MIN(Gordon,cap))</t>
        </is>
      </c>
      <c r="B34" s="11">
        <f>MAX(0,MIN(B32,B33))</f>
        <v/>
      </c>
    </row>
    <row r="35">
      <c r="A35" t="inlineStr">
        <is>
          <t>Implied exit multiple</t>
        </is>
      </c>
      <c r="B35" s="11">
        <f>IF(L22&lt;&gt;0,B34/L22,"n/a")</f>
        <v/>
      </c>
    </row>
    <row r="36">
      <c r="A36" t="inlineStr">
        <is>
          <t>PV of TV</t>
        </is>
      </c>
      <c r="B36" s="11">
        <f>B34*L23</f>
        <v/>
      </c>
    </row>
    <row r="37">
      <c r="A37" t="inlineStr">
        <is>
          <t>Enterprise value</t>
        </is>
      </c>
      <c r="B37" s="11">
        <f>B29+B36</f>
        <v/>
      </c>
    </row>
    <row r="38">
      <c r="A38" t="inlineStr">
        <is>
          <t>less net debt and NCI</t>
        </is>
      </c>
      <c r="B38" s="13">
        <f>-(Assumptions!$B$8+Assumptions!$B$9)</f>
        <v/>
      </c>
    </row>
    <row r="39">
      <c r="A39" t="inlineStr">
        <is>
          <t>Equity value</t>
        </is>
      </c>
      <c r="B39" s="11">
        <f>B37+B38</f>
        <v/>
      </c>
    </row>
    <row r="40">
      <c r="A40" t="inlineStr">
        <is>
          <t>Diluted shares (m)</t>
        </is>
      </c>
      <c r="B40" s="13">
        <f>Assumptions!$B$10</f>
        <v/>
      </c>
    </row>
    <row r="41">
      <c r="A41" t="inlineStr">
        <is>
          <t>Value per share (A$)</t>
        </is>
      </c>
      <c r="B41" s="14">
        <f>B39/B40</f>
        <v/>
      </c>
    </row>
    <row r="42">
      <c r="A42" t="inlineStr">
        <is>
          <t>Upside vs price</t>
        </is>
      </c>
      <c r="B42" s="15">
        <f>B41/Assumptions!$B$11-1</f>
        <v/>
      </c>
    </row>
    <row r="44">
      <c r="A44" t="inlineStr">
        <is>
          <t>Street memo: PV of explicit SBC</t>
        </is>
      </c>
      <c r="B44" s="11">
        <f>SUMPRODUCT(-C10:L10/(1+Assumptions!$B$2)^C4:L4)</f>
        <v/>
      </c>
    </row>
    <row r="45">
      <c r="A45" t="inlineStr">
        <is>
          <t>Street memo: PV of terminal SBC</t>
        </is>
      </c>
      <c r="B45" s="11">
        <f>IF(Assumptions!$B$2&gt;B30,(-L10*(1+B30)/(Assumptions!$B$2-B30))*L23,0)</f>
        <v/>
      </c>
    </row>
    <row r="46">
      <c r="A46" t="inlineStr">
        <is>
          <t>Street value per share (A$)</t>
        </is>
      </c>
      <c r="B46" s="16">
        <f>(B39+B44+B45)/B40</f>
        <v/>
      </c>
    </row>
    <row r="47">
      <c r="A47" t="inlineStr">
        <is>
          <t>Terminal % of EV</t>
        </is>
      </c>
      <c r="B47" s="15">
        <f>IF(B37&lt;&gt;0,B36/B37,"n/a")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BASE scenario -- owner-FCF DCF, A$m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3" t="n">
        <v>0.015</v>
      </c>
      <c r="D5" s="3" t="n">
        <v>0.03</v>
      </c>
      <c r="E5" s="3" t="n">
        <v>0.035</v>
      </c>
      <c r="F5" s="3" t="n">
        <v>0.035</v>
      </c>
      <c r="G5" s="3" t="n">
        <v>0.035</v>
      </c>
      <c r="H5" s="3" t="n">
        <v>0.03</v>
      </c>
      <c r="I5" s="3" t="n">
        <v>0.03</v>
      </c>
      <c r="J5" s="3" t="n">
        <v>0.03</v>
      </c>
      <c r="K5" s="3" t="n">
        <v>0.025</v>
      </c>
      <c r="L5" s="3" t="n">
        <v>0.025</v>
      </c>
    </row>
    <row r="6">
      <c r="A6" t="inlineStr">
        <is>
          <t>Revenue</t>
        </is>
      </c>
      <c r="B6" s="4">
        <f>Assumptions!$B$14</f>
        <v/>
      </c>
      <c r="C6" s="5">
        <f>B6*(1+C5)</f>
        <v/>
      </c>
      <c r="D6" s="5">
        <f>C6*(1+D5)</f>
        <v/>
      </c>
      <c r="E6" s="5">
        <f>D6*(1+E5)</f>
        <v/>
      </c>
      <c r="F6" s="5">
        <f>E6*(1+F5)</f>
        <v/>
      </c>
      <c r="G6" s="5">
        <f>F6*(1+G5)</f>
        <v/>
      </c>
      <c r="H6" s="5">
        <f>G6*(1+H5)</f>
        <v/>
      </c>
      <c r="I6" s="5">
        <f>H6*(1+I5)</f>
        <v/>
      </c>
      <c r="J6" s="5">
        <f>I6*(1+J5)</f>
        <v/>
      </c>
      <c r="K6" s="5">
        <f>J6*(1+K5)</f>
        <v/>
      </c>
      <c r="L6" s="5">
        <f>K6*(1+L5)</f>
        <v/>
      </c>
    </row>
    <row r="7">
      <c r="A7" t="inlineStr">
        <is>
          <t>Underlying EBITDA margin (post-AASB16)</t>
        </is>
      </c>
      <c r="B7">
        <f>B8/B6</f>
        <v/>
      </c>
      <c r="C7" s="3" t="n">
        <v>0.08500000000000001</v>
      </c>
      <c r="D7" s="3" t="n">
        <v>0.095</v>
      </c>
      <c r="E7" s="3" t="n">
        <v>0.105</v>
      </c>
      <c r="F7" s="3" t="n">
        <v>0.112</v>
      </c>
      <c r="G7" s="3" t="n">
        <v>0.117</v>
      </c>
      <c r="H7" s="3" t="n">
        <v>0.12</v>
      </c>
      <c r="I7" s="3" t="n">
        <v>0.122</v>
      </c>
      <c r="J7" s="3" t="n">
        <v>0.123</v>
      </c>
      <c r="K7" s="3" t="n">
        <v>0.123</v>
      </c>
      <c r="L7" s="3" t="n">
        <v>0.123</v>
      </c>
    </row>
    <row r="8">
      <c r="A8" t="inlineStr">
        <is>
          <t>Underlying EBITDA</t>
        </is>
      </c>
      <c r="B8" s="2" t="n">
        <v>152.5</v>
      </c>
      <c r="C8" s="5">
        <f>C6*C7</f>
        <v/>
      </c>
      <c r="D8" s="5">
        <f>D6*D7</f>
        <v/>
      </c>
      <c r="E8" s="5">
        <f>E6*E7</f>
        <v/>
      </c>
      <c r="F8" s="5">
        <f>F6*F7</f>
        <v/>
      </c>
      <c r="G8" s="5">
        <f>G6*G7</f>
        <v/>
      </c>
      <c r="H8" s="5">
        <f>H6*H7</f>
        <v/>
      </c>
      <c r="I8" s="5">
        <f>I6*I7</f>
        <v/>
      </c>
      <c r="J8" s="5">
        <f>J6*J7</f>
        <v/>
      </c>
      <c r="K8" s="5">
        <f>K6*K7</f>
        <v/>
      </c>
      <c r="L8" s="5">
        <f>L6*L7</f>
        <v/>
      </c>
    </row>
    <row r="9">
      <c r="A9" t="inlineStr">
        <is>
          <t>SBC % revenue</t>
        </is>
      </c>
      <c r="C9" s="3" t="n">
        <v>0.0005</v>
      </c>
      <c r="D9" s="3" t="n">
        <v>0.0005</v>
      </c>
      <c r="E9" s="3" t="n">
        <v>0.0005</v>
      </c>
      <c r="F9" s="3" t="n">
        <v>0.0005</v>
      </c>
      <c r="G9" s="3" t="n">
        <v>0.0005</v>
      </c>
      <c r="H9" s="3" t="n">
        <v>0.0005</v>
      </c>
      <c r="I9" s="3" t="n">
        <v>0.0005</v>
      </c>
      <c r="J9" s="3" t="n">
        <v>0.0005</v>
      </c>
      <c r="K9" s="3" t="n">
        <v>0.0005</v>
      </c>
      <c r="L9" s="3" t="n">
        <v>0.0005</v>
      </c>
    </row>
    <row r="10">
      <c r="A10" t="inlineStr">
        <is>
          <t>SBC (negative)</t>
        </is>
      </c>
      <c r="C10" s="5">
        <f>-C6*C9</f>
        <v/>
      </c>
      <c r="D10" s="5">
        <f>-D6*D9</f>
        <v/>
      </c>
      <c r="E10" s="5">
        <f>-E6*E9</f>
        <v/>
      </c>
      <c r="F10" s="5">
        <f>-F6*F9</f>
        <v/>
      </c>
      <c r="G10" s="5">
        <f>-G6*G9</f>
        <v/>
      </c>
      <c r="H10" s="5">
        <f>-H6*H9</f>
        <v/>
      </c>
      <c r="I10" s="5">
        <f>-I6*I9</f>
        <v/>
      </c>
      <c r="J10" s="5">
        <f>-J6*J9</f>
        <v/>
      </c>
      <c r="K10" s="5">
        <f>-K6*K9</f>
        <v/>
      </c>
      <c r="L10" s="5">
        <f>-L6*L9</f>
        <v/>
      </c>
    </row>
    <row r="11">
      <c r="A11" t="inlineStr">
        <is>
          <t>Lease cost % revenue</t>
        </is>
      </c>
      <c r="C11" s="6">
        <f>Assumptions!$B$5</f>
        <v/>
      </c>
      <c r="D11" s="6">
        <f>Assumptions!$B$5</f>
        <v/>
      </c>
      <c r="E11" s="6">
        <f>Assumptions!$B$5</f>
        <v/>
      </c>
      <c r="F11" s="6">
        <f>Assumptions!$B$5</f>
        <v/>
      </c>
      <c r="G11" s="6">
        <f>Assumptions!$B$5</f>
        <v/>
      </c>
      <c r="H11" s="6">
        <f>Assumptions!$B$5</f>
        <v/>
      </c>
      <c r="I11" s="6">
        <f>Assumptions!$B$5</f>
        <v/>
      </c>
      <c r="J11" s="6">
        <f>Assumptions!$B$5</f>
        <v/>
      </c>
      <c r="K11" s="6">
        <f>Assumptions!$B$5</f>
        <v/>
      </c>
      <c r="L11" s="6">
        <f>Assumptions!$B$5</f>
        <v/>
      </c>
    </row>
    <row r="12">
      <c r="A12" t="inlineStr">
        <is>
          <t>Lease cash (negative)</t>
        </is>
      </c>
      <c r="C12" s="5">
        <f>-C6*C11</f>
        <v/>
      </c>
      <c r="D12" s="5">
        <f>-D6*D11</f>
        <v/>
      </c>
      <c r="E12" s="5">
        <f>-E6*E11</f>
        <v/>
      </c>
      <c r="F12" s="5">
        <f>-F6*F11</f>
        <v/>
      </c>
      <c r="G12" s="5">
        <f>-G6*G11</f>
        <v/>
      </c>
      <c r="H12" s="5">
        <f>-H6*H11</f>
        <v/>
      </c>
      <c r="I12" s="5">
        <f>-I6*I11</f>
        <v/>
      </c>
      <c r="J12" s="5">
        <f>-J6*J11</f>
        <v/>
      </c>
      <c r="K12" s="5">
        <f>-K6*K11</f>
        <v/>
      </c>
      <c r="L12" s="5">
        <f>-L6*L11</f>
        <v/>
      </c>
    </row>
    <row r="13">
      <c r="A13" t="inlineStr">
        <is>
          <t>Owner EBITDA pre-AASB16 after SBC</t>
        </is>
      </c>
      <c r="C13" s="5">
        <f>C8+C10+C12</f>
        <v/>
      </c>
      <c r="D13" s="5">
        <f>D8+D10+D12</f>
        <v/>
      </c>
      <c r="E13" s="5">
        <f>E8+E10+E12</f>
        <v/>
      </c>
      <c r="F13" s="5">
        <f>F8+F10+F12</f>
        <v/>
      </c>
      <c r="G13" s="5">
        <f>G8+G10+G12</f>
        <v/>
      </c>
      <c r="H13" s="5">
        <f>H8+H10+H12</f>
        <v/>
      </c>
      <c r="I13" s="5">
        <f>I8+I10+I12</f>
        <v/>
      </c>
      <c r="J13" s="5">
        <f>J8+J10+J12</f>
        <v/>
      </c>
      <c r="K13" s="5">
        <f>K8+K10+K12</f>
        <v/>
      </c>
      <c r="L13" s="5">
        <f>L8+L10+L12</f>
        <v/>
      </c>
    </row>
    <row r="14">
      <c r="A14" t="inlineStr">
        <is>
          <t>D&amp;A ex ROU (negative)</t>
        </is>
      </c>
      <c r="C14" s="7">
        <f>-C6*Assumptions!$B$3</f>
        <v/>
      </c>
      <c r="D14" s="7">
        <f>-D6*Assumptions!$B$3</f>
        <v/>
      </c>
      <c r="E14" s="7">
        <f>-E6*Assumptions!$B$3</f>
        <v/>
      </c>
      <c r="F14" s="7">
        <f>-F6*Assumptions!$B$3</f>
        <v/>
      </c>
      <c r="G14" s="7">
        <f>-G6*Assumptions!$B$3</f>
        <v/>
      </c>
      <c r="H14" s="7">
        <f>-H6*Assumptions!$B$3</f>
        <v/>
      </c>
      <c r="I14" s="7">
        <f>-I6*Assumptions!$B$3</f>
        <v/>
      </c>
      <c r="J14" s="7">
        <f>-J6*Assumptions!$B$3</f>
        <v/>
      </c>
      <c r="K14" s="7">
        <f>-K6*Assumptions!$B$3</f>
        <v/>
      </c>
      <c r="L14" s="7">
        <f>-L6*Assumptions!$B$3</f>
        <v/>
      </c>
    </row>
    <row r="15">
      <c r="A15" t="inlineStr">
        <is>
          <t>EBIT</t>
        </is>
      </c>
      <c r="C15" s="5">
        <f>C13+C14</f>
        <v/>
      </c>
      <c r="D15" s="5">
        <f>D13+D14</f>
        <v/>
      </c>
      <c r="E15" s="5">
        <f>E13+E14</f>
        <v/>
      </c>
      <c r="F15" s="5">
        <f>F13+F14</f>
        <v/>
      </c>
      <c r="G15" s="5">
        <f>G13+G14</f>
        <v/>
      </c>
      <c r="H15" s="5">
        <f>H13+H14</f>
        <v/>
      </c>
      <c r="I15" s="5">
        <f>I13+I14</f>
        <v/>
      </c>
      <c r="J15" s="5">
        <f>J13+J14</f>
        <v/>
      </c>
      <c r="K15" s="5">
        <f>K13+K14</f>
        <v/>
      </c>
      <c r="L15" s="5">
        <f>L13+L14</f>
        <v/>
      </c>
    </row>
    <row r="16">
      <c r="A16" t="inlineStr">
        <is>
          <t>Cash tax rate</t>
        </is>
      </c>
      <c r="C16" s="3" t="n">
        <v>0.15</v>
      </c>
      <c r="D16" s="3" t="n">
        <v>0.25</v>
      </c>
      <c r="E16" s="3" t="n">
        <v>0.3</v>
      </c>
      <c r="F16" s="3" t="n">
        <v>0.3</v>
      </c>
      <c r="G16" s="3" t="n">
        <v>0.3</v>
      </c>
      <c r="H16" s="3" t="n">
        <v>0.3</v>
      </c>
      <c r="I16" s="3" t="n">
        <v>0.3</v>
      </c>
      <c r="J16" s="3" t="n">
        <v>0.3</v>
      </c>
      <c r="K16" s="3" t="n">
        <v>0.3</v>
      </c>
      <c r="L16" s="3" t="n">
        <v>0.3</v>
      </c>
    </row>
    <row r="17">
      <c r="A17" t="inlineStr">
        <is>
          <t>Cash tax (negative)</t>
        </is>
      </c>
      <c r="C17" s="5">
        <f>-MAX(0,C15)*C16</f>
        <v/>
      </c>
      <c r="D17" s="5">
        <f>-MAX(0,D15)*D16</f>
        <v/>
      </c>
      <c r="E17" s="5">
        <f>-MAX(0,E15)*E16</f>
        <v/>
      </c>
      <c r="F17" s="5">
        <f>-MAX(0,F15)*F16</f>
        <v/>
      </c>
      <c r="G17" s="5">
        <f>-MAX(0,G15)*G16</f>
        <v/>
      </c>
      <c r="H17" s="5">
        <f>-MAX(0,H15)*H16</f>
        <v/>
      </c>
      <c r="I17" s="5">
        <f>-MAX(0,I15)*I16</f>
        <v/>
      </c>
      <c r="J17" s="5">
        <f>-MAX(0,J15)*J16</f>
        <v/>
      </c>
      <c r="K17" s="5">
        <f>-MAX(0,K15)*K16</f>
        <v/>
      </c>
      <c r="L17" s="5">
        <f>-MAX(0,L15)*L16</f>
        <v/>
      </c>
    </row>
    <row r="18">
      <c r="A18" t="inlineStr">
        <is>
          <t>NOPAT</t>
        </is>
      </c>
      <c r="C18" s="5">
        <f>C15+C17</f>
        <v/>
      </c>
      <c r="D18" s="5">
        <f>D15+D17</f>
        <v/>
      </c>
      <c r="E18" s="5">
        <f>E15+E17</f>
        <v/>
      </c>
      <c r="F18" s="5">
        <f>F15+F17</f>
        <v/>
      </c>
      <c r="G18" s="5">
        <f>G15+G17</f>
        <v/>
      </c>
      <c r="H18" s="5">
        <f>H15+H17</f>
        <v/>
      </c>
      <c r="I18" s="5">
        <f>I15+I17</f>
        <v/>
      </c>
      <c r="J18" s="5">
        <f>J15+J17</f>
        <v/>
      </c>
      <c r="K18" s="5">
        <f>K15+K17</f>
        <v/>
      </c>
      <c r="L18" s="5">
        <f>L15+L17</f>
        <v/>
      </c>
    </row>
    <row r="19">
      <c r="A19" t="inlineStr">
        <is>
          <t>add back D&amp;A</t>
        </is>
      </c>
      <c r="C19" s="5">
        <f>-C14</f>
        <v/>
      </c>
      <c r="D19" s="5">
        <f>-D14</f>
        <v/>
      </c>
      <c r="E19" s="5">
        <f>-E14</f>
        <v/>
      </c>
      <c r="F19" s="5">
        <f>-F14</f>
        <v/>
      </c>
      <c r="G19" s="5">
        <f>-G14</f>
        <v/>
      </c>
      <c r="H19" s="5">
        <f>-H14</f>
        <v/>
      </c>
      <c r="I19" s="5">
        <f>-I14</f>
        <v/>
      </c>
      <c r="J19" s="5">
        <f>-J14</f>
        <v/>
      </c>
      <c r="K19" s="5">
        <f>-K14</f>
        <v/>
      </c>
      <c r="L19" s="5">
        <f>-L14</f>
        <v/>
      </c>
    </row>
    <row r="20">
      <c r="A20" t="inlineStr">
        <is>
          <t>less capex</t>
        </is>
      </c>
      <c r="C20" s="7">
        <f>-C6*Assumptions!$B$4</f>
        <v/>
      </c>
      <c r="D20" s="7">
        <f>-D6*Assumptions!$B$4</f>
        <v/>
      </c>
      <c r="E20" s="7">
        <f>-E6*Assumptions!$B$4</f>
        <v/>
      </c>
      <c r="F20" s="7">
        <f>-F6*Assumptions!$B$4</f>
        <v/>
      </c>
      <c r="G20" s="7">
        <f>-G6*Assumptions!$B$4</f>
        <v/>
      </c>
      <c r="H20" s="7">
        <f>-H6*Assumptions!$B$4</f>
        <v/>
      </c>
      <c r="I20" s="7">
        <f>-I6*Assumptions!$B$4</f>
        <v/>
      </c>
      <c r="J20" s="7">
        <f>-J6*Assumptions!$B$4</f>
        <v/>
      </c>
      <c r="K20" s="7">
        <f>-K6*Assumptions!$B$4</f>
        <v/>
      </c>
      <c r="L20" s="7">
        <f>-L6*Assumptions!$B$4</f>
        <v/>
      </c>
    </row>
    <row r="21">
      <c r="A21" t="inlineStr">
        <is>
          <t>working capital (on revenue change)</t>
        </is>
      </c>
      <c r="C21" s="7">
        <f>Assumptions!$B$7*(C6-B6)</f>
        <v/>
      </c>
      <c r="D21" s="7">
        <f>Assumptions!$B$7*(D6-C6)</f>
        <v/>
      </c>
      <c r="E21" s="7">
        <f>Assumptions!$B$7*(E6-D6)</f>
        <v/>
      </c>
      <c r="F21" s="7">
        <f>Assumptions!$B$7*(F6-E6)</f>
        <v/>
      </c>
      <c r="G21" s="7">
        <f>Assumptions!$B$7*(G6-F6)</f>
        <v/>
      </c>
      <c r="H21" s="7">
        <f>Assumptions!$B$7*(H6-G6)</f>
        <v/>
      </c>
      <c r="I21" s="7">
        <f>Assumptions!$B$7*(I6-H6)</f>
        <v/>
      </c>
      <c r="J21" s="7">
        <f>Assumptions!$B$7*(J6-I6)</f>
        <v/>
      </c>
      <c r="K21" s="7">
        <f>Assumptions!$B$7*(K6-J6)</f>
        <v/>
      </c>
      <c r="L21" s="7">
        <f>Assumptions!$B$7*(L6-K6)</f>
        <v/>
      </c>
    </row>
    <row r="22">
      <c r="A22" t="inlineStr">
        <is>
          <t>Unlevered owner FCF</t>
        </is>
      </c>
      <c r="C22" s="8">
        <f>C18+C19+C20+C21</f>
        <v/>
      </c>
      <c r="D22" s="8">
        <f>D18+D19+D20+D21</f>
        <v/>
      </c>
      <c r="E22" s="8">
        <f>E18+E19+E20+E21</f>
        <v/>
      </c>
      <c r="F22" s="8">
        <f>F18+F19+F20+F21</f>
        <v/>
      </c>
      <c r="G22" s="8">
        <f>G18+G19+G20+G21</f>
        <v/>
      </c>
      <c r="H22" s="8">
        <f>H18+H19+H20+H21</f>
        <v/>
      </c>
      <c r="I22" s="8">
        <f>I18+I19+I20+I21</f>
        <v/>
      </c>
      <c r="J22" s="8">
        <f>J18+J19+J20+J21</f>
        <v/>
      </c>
      <c r="K22" s="8">
        <f>K18+K19+K20+K21</f>
        <v/>
      </c>
      <c r="L22" s="8">
        <f>L18+L19+L20+L21</f>
        <v/>
      </c>
    </row>
    <row r="23">
      <c r="A23" t="inlineStr">
        <is>
          <t>Discount factor</t>
        </is>
      </c>
      <c r="C23" s="9">
        <f>1/(1+Assumptions!$B$2)^C4</f>
        <v/>
      </c>
      <c r="D23" s="9">
        <f>1/(1+Assumptions!$B$2)^D4</f>
        <v/>
      </c>
      <c r="E23" s="9">
        <f>1/(1+Assumptions!$B$2)^E4</f>
        <v/>
      </c>
      <c r="F23" s="9">
        <f>1/(1+Assumptions!$B$2)^F4</f>
        <v/>
      </c>
      <c r="G23" s="9">
        <f>1/(1+Assumptions!$B$2)^G4</f>
        <v/>
      </c>
      <c r="H23" s="9">
        <f>1/(1+Assumptions!$B$2)^H4</f>
        <v/>
      </c>
      <c r="I23" s="9">
        <f>1/(1+Assumptions!$B$2)^I4</f>
        <v/>
      </c>
      <c r="J23" s="9">
        <f>1/(1+Assumptions!$B$2)^J4</f>
        <v/>
      </c>
      <c r="K23" s="9">
        <f>1/(1+Assumptions!$B$2)^K4</f>
        <v/>
      </c>
      <c r="L23" s="9">
        <f>1/(1+Assumptions!$B$2)^L4</f>
        <v/>
      </c>
    </row>
    <row r="24">
      <c r="A24" t="inlineStr">
        <is>
          <t>PV of FCF</t>
        </is>
      </c>
      <c r="C24" s="5">
        <f>C22*C23</f>
        <v/>
      </c>
      <c r="D24" s="5">
        <f>D22*D23</f>
        <v/>
      </c>
      <c r="E24" s="5">
        <f>E22*E23</f>
        <v/>
      </c>
      <c r="F24" s="5">
        <f>F22*F23</f>
        <v/>
      </c>
      <c r="G24" s="5">
        <f>G22*G23</f>
        <v/>
      </c>
      <c r="H24" s="5">
        <f>H22*H23</f>
        <v/>
      </c>
      <c r="I24" s="5">
        <f>I22*I23</f>
        <v/>
      </c>
      <c r="J24" s="5">
        <f>J22*J23</f>
        <v/>
      </c>
      <c r="K24" s="5">
        <f>K22*K23</f>
        <v/>
      </c>
      <c r="L24" s="5">
        <f>L22*L23</f>
        <v/>
      </c>
    </row>
    <row r="26">
      <c r="A26" t="inlineStr">
        <is>
          <t>Memo: FCF before SBC (company-style)</t>
        </is>
      </c>
      <c r="C26" s="5">
        <f>C22-C10</f>
        <v/>
      </c>
      <c r="D26" s="5">
        <f>D22-D10</f>
        <v/>
      </c>
      <c r="E26" s="5">
        <f>E22-E10</f>
        <v/>
      </c>
      <c r="F26" s="5">
        <f>F22-F10</f>
        <v/>
      </c>
      <c r="G26" s="5">
        <f>G22-G10</f>
        <v/>
      </c>
      <c r="H26" s="5">
        <f>H22-H10</f>
        <v/>
      </c>
      <c r="I26" s="5">
        <f>I22-I10</f>
        <v/>
      </c>
      <c r="J26" s="5">
        <f>J22-J10</f>
        <v/>
      </c>
      <c r="K26" s="5">
        <f>K22-K10</f>
        <v/>
      </c>
      <c r="L26" s="5">
        <f>L22-L10</f>
        <v/>
      </c>
    </row>
    <row r="27">
      <c r="A27" t="inlineStr">
        <is>
          <t>Memo: owner FCF margin</t>
        </is>
      </c>
      <c r="C27" s="10">
        <f>C22/C6</f>
        <v/>
      </c>
      <c r="D27" s="10">
        <f>D22/D6</f>
        <v/>
      </c>
      <c r="E27" s="10">
        <f>E22/E6</f>
        <v/>
      </c>
      <c r="F27" s="10">
        <f>F22/F6</f>
        <v/>
      </c>
      <c r="G27" s="10">
        <f>G22/G6</f>
        <v/>
      </c>
      <c r="H27" s="10">
        <f>H22/H6</f>
        <v/>
      </c>
      <c r="I27" s="10">
        <f>I22/I6</f>
        <v/>
      </c>
      <c r="J27" s="10">
        <f>J22/J6</f>
        <v/>
      </c>
      <c r="K27" s="10">
        <f>K22/K6</f>
        <v/>
      </c>
      <c r="L27" s="10">
        <f>L22/L6</f>
        <v/>
      </c>
    </row>
    <row r="29">
      <c r="A29" t="inlineStr">
        <is>
          <t>Sum of PV of FCF</t>
        </is>
      </c>
      <c r="B29" s="11">
        <f>SUM(C24:L24)</f>
        <v/>
      </c>
    </row>
    <row r="30">
      <c r="A30" t="inlineStr">
        <is>
          <t>Terminal growth</t>
        </is>
      </c>
      <c r="B30" s="12">
        <f>Assumptions!$B$18</f>
        <v/>
      </c>
    </row>
    <row r="31">
      <c r="A31" t="inlineStr">
        <is>
          <t>Terminal-year FCF x (1+g)</t>
        </is>
      </c>
      <c r="B31" s="11">
        <f>L22*(1+B30)</f>
        <v/>
      </c>
    </row>
    <row r="32">
      <c r="A32" t="inlineStr">
        <is>
          <t>Gordon TV</t>
        </is>
      </c>
      <c r="B32" s="11">
        <f>IF(Assumptions!$B$2&gt;B30,B31/(Assumptions!$B$2-B30),"n/a")</f>
        <v/>
      </c>
    </row>
    <row r="33">
      <c r="A33" t="inlineStr">
        <is>
          <t>Cap TV</t>
        </is>
      </c>
      <c r="B33" s="11">
        <f>Assumptions!$B$12*L22</f>
        <v/>
      </c>
    </row>
    <row r="34">
      <c r="A34" t="inlineStr">
        <is>
          <t>TV used = MAX(0,MIN(Gordon,cap))</t>
        </is>
      </c>
      <c r="B34" s="11">
        <f>MAX(0,MIN(B32,B33))</f>
        <v/>
      </c>
    </row>
    <row r="35">
      <c r="A35" t="inlineStr">
        <is>
          <t>Implied exit multiple</t>
        </is>
      </c>
      <c r="B35" s="11">
        <f>IF(L22&lt;&gt;0,B34/L22,"n/a")</f>
        <v/>
      </c>
    </row>
    <row r="36">
      <c r="A36" t="inlineStr">
        <is>
          <t>PV of TV</t>
        </is>
      </c>
      <c r="B36" s="11">
        <f>B34*L23</f>
        <v/>
      </c>
    </row>
    <row r="37">
      <c r="A37" t="inlineStr">
        <is>
          <t>Enterprise value</t>
        </is>
      </c>
      <c r="B37" s="11">
        <f>B29+B36</f>
        <v/>
      </c>
    </row>
    <row r="38">
      <c r="A38" t="inlineStr">
        <is>
          <t>less net debt and NCI</t>
        </is>
      </c>
      <c r="B38" s="13">
        <f>-(Assumptions!$B$8+Assumptions!$B$9)</f>
        <v/>
      </c>
    </row>
    <row r="39">
      <c r="A39" t="inlineStr">
        <is>
          <t>Equity value</t>
        </is>
      </c>
      <c r="B39" s="11">
        <f>B37+B38</f>
        <v/>
      </c>
    </row>
    <row r="40">
      <c r="A40" t="inlineStr">
        <is>
          <t>Diluted shares (m)</t>
        </is>
      </c>
      <c r="B40" s="13">
        <f>Assumptions!$B$10</f>
        <v/>
      </c>
    </row>
    <row r="41">
      <c r="A41" t="inlineStr">
        <is>
          <t>Value per share (A$)</t>
        </is>
      </c>
      <c r="B41" s="14">
        <f>B39/B40</f>
        <v/>
      </c>
    </row>
    <row r="42">
      <c r="A42" t="inlineStr">
        <is>
          <t>Upside vs price</t>
        </is>
      </c>
      <c r="B42" s="15">
        <f>B41/Assumptions!$B$11-1</f>
        <v/>
      </c>
    </row>
    <row r="44">
      <c r="A44" t="inlineStr">
        <is>
          <t>Street memo: PV of explicit SBC</t>
        </is>
      </c>
      <c r="B44" s="11">
        <f>SUMPRODUCT(-C10:L10/(1+Assumptions!$B$2)^C4:L4)</f>
        <v/>
      </c>
    </row>
    <row r="45">
      <c r="A45" t="inlineStr">
        <is>
          <t>Street memo: PV of terminal SBC</t>
        </is>
      </c>
      <c r="B45" s="11">
        <f>IF(Assumptions!$B$2&gt;B30,(-L10*(1+B30)/(Assumptions!$B$2-B30))*L23,0)</f>
        <v/>
      </c>
    </row>
    <row r="46">
      <c r="A46" t="inlineStr">
        <is>
          <t>Street value per share (A$)</t>
        </is>
      </c>
      <c r="B46" s="16">
        <f>(B39+B44+B45)/B40</f>
        <v/>
      </c>
    </row>
    <row r="47">
      <c r="A47" t="inlineStr">
        <is>
          <t>Terminal % of EV</t>
        </is>
      </c>
      <c r="B47" s="15">
        <f>IF(B37&lt;&gt;0,B36/B37,"n/a")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BULL scenario -- owner-FCF DCF, A$m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3" t="n">
        <v>0.03</v>
      </c>
      <c r="D5" s="3" t="n">
        <v>0.045</v>
      </c>
      <c r="E5" s="3" t="n">
        <v>0.05</v>
      </c>
      <c r="F5" s="3" t="n">
        <v>0.05</v>
      </c>
      <c r="G5" s="3" t="n">
        <v>0.045</v>
      </c>
      <c r="H5" s="3" t="n">
        <v>0.04</v>
      </c>
      <c r="I5" s="3" t="n">
        <v>0.04</v>
      </c>
      <c r="J5" s="3" t="n">
        <v>0.035</v>
      </c>
      <c r="K5" s="3" t="n">
        <v>0.03</v>
      </c>
      <c r="L5" s="3" t="n">
        <v>0.03</v>
      </c>
    </row>
    <row r="6">
      <c r="A6" t="inlineStr">
        <is>
          <t>Revenue</t>
        </is>
      </c>
      <c r="B6" s="4">
        <f>Assumptions!$B$14</f>
        <v/>
      </c>
      <c r="C6" s="5">
        <f>B6*(1+C5)</f>
        <v/>
      </c>
      <c r="D6" s="5">
        <f>C6*(1+D5)</f>
        <v/>
      </c>
      <c r="E6" s="5">
        <f>D6*(1+E5)</f>
        <v/>
      </c>
      <c r="F6" s="5">
        <f>E6*(1+F5)</f>
        <v/>
      </c>
      <c r="G6" s="5">
        <f>F6*(1+G5)</f>
        <v/>
      </c>
      <c r="H6" s="5">
        <f>G6*(1+H5)</f>
        <v/>
      </c>
      <c r="I6" s="5">
        <f>H6*(1+I5)</f>
        <v/>
      </c>
      <c r="J6" s="5">
        <f>I6*(1+J5)</f>
        <v/>
      </c>
      <c r="K6" s="5">
        <f>J6*(1+K5)</f>
        <v/>
      </c>
      <c r="L6" s="5">
        <f>K6*(1+L5)</f>
        <v/>
      </c>
    </row>
    <row r="7">
      <c r="A7" t="inlineStr">
        <is>
          <t>Underlying EBITDA margin (post-AASB16)</t>
        </is>
      </c>
      <c r="B7">
        <f>B8/B6</f>
        <v/>
      </c>
      <c r="C7" s="3" t="n">
        <v>0.09</v>
      </c>
      <c r="D7" s="3" t="n">
        <v>0.105</v>
      </c>
      <c r="E7" s="3" t="n">
        <v>0.12</v>
      </c>
      <c r="F7" s="3" t="n">
        <v>0.13</v>
      </c>
      <c r="G7" s="3" t="n">
        <v>0.137</v>
      </c>
      <c r="H7" s="3" t="n">
        <v>0.142</v>
      </c>
      <c r="I7" s="3" t="n">
        <v>0.145</v>
      </c>
      <c r="J7" s="3" t="n">
        <v>0.145</v>
      </c>
      <c r="K7" s="3" t="n">
        <v>0.145</v>
      </c>
      <c r="L7" s="3" t="n">
        <v>0.145</v>
      </c>
    </row>
    <row r="8">
      <c r="A8" t="inlineStr">
        <is>
          <t>Underlying EBITDA</t>
        </is>
      </c>
      <c r="B8" s="2" t="n">
        <v>152.5</v>
      </c>
      <c r="C8" s="5">
        <f>C6*C7</f>
        <v/>
      </c>
      <c r="D8" s="5">
        <f>D6*D7</f>
        <v/>
      </c>
      <c r="E8" s="5">
        <f>E6*E7</f>
        <v/>
      </c>
      <c r="F8" s="5">
        <f>F6*F7</f>
        <v/>
      </c>
      <c r="G8" s="5">
        <f>G6*G7</f>
        <v/>
      </c>
      <c r="H8" s="5">
        <f>H6*H7</f>
        <v/>
      </c>
      <c r="I8" s="5">
        <f>I6*I7</f>
        <v/>
      </c>
      <c r="J8" s="5">
        <f>J6*J7</f>
        <v/>
      </c>
      <c r="K8" s="5">
        <f>K6*K7</f>
        <v/>
      </c>
      <c r="L8" s="5">
        <f>L6*L7</f>
        <v/>
      </c>
    </row>
    <row r="9">
      <c r="A9" t="inlineStr">
        <is>
          <t>SBC % revenue</t>
        </is>
      </c>
      <c r="C9" s="3" t="n">
        <v>0.0005</v>
      </c>
      <c r="D9" s="3" t="n">
        <v>0.0005</v>
      </c>
      <c r="E9" s="3" t="n">
        <v>0.0005</v>
      </c>
      <c r="F9" s="3" t="n">
        <v>0.0005</v>
      </c>
      <c r="G9" s="3" t="n">
        <v>0.0005</v>
      </c>
      <c r="H9" s="3" t="n">
        <v>0.0005</v>
      </c>
      <c r="I9" s="3" t="n">
        <v>0.0005</v>
      </c>
      <c r="J9" s="3" t="n">
        <v>0.0005</v>
      </c>
      <c r="K9" s="3" t="n">
        <v>0.0005</v>
      </c>
      <c r="L9" s="3" t="n">
        <v>0.0005</v>
      </c>
    </row>
    <row r="10">
      <c r="A10" t="inlineStr">
        <is>
          <t>SBC (negative)</t>
        </is>
      </c>
      <c r="C10" s="5">
        <f>-C6*C9</f>
        <v/>
      </c>
      <c r="D10" s="5">
        <f>-D6*D9</f>
        <v/>
      </c>
      <c r="E10" s="5">
        <f>-E6*E9</f>
        <v/>
      </c>
      <c r="F10" s="5">
        <f>-F6*F9</f>
        <v/>
      </c>
      <c r="G10" s="5">
        <f>-G6*G9</f>
        <v/>
      </c>
      <c r="H10" s="5">
        <f>-H6*H9</f>
        <v/>
      </c>
      <c r="I10" s="5">
        <f>-I6*I9</f>
        <v/>
      </c>
      <c r="J10" s="5">
        <f>-J6*J9</f>
        <v/>
      </c>
      <c r="K10" s="5">
        <f>-K6*K9</f>
        <v/>
      </c>
      <c r="L10" s="5">
        <f>-L6*L9</f>
        <v/>
      </c>
    </row>
    <row r="11">
      <c r="A11" t="inlineStr">
        <is>
          <t>Lease cost % revenue</t>
        </is>
      </c>
      <c r="C11" s="6">
        <f>Assumptions!$B$5</f>
        <v/>
      </c>
      <c r="D11" s="6">
        <f>Assumptions!$B$5</f>
        <v/>
      </c>
      <c r="E11" s="6">
        <f>Assumptions!$B$5</f>
        <v/>
      </c>
      <c r="F11" s="6">
        <f>Assumptions!$B$5</f>
        <v/>
      </c>
      <c r="G11" s="6">
        <f>Assumptions!$B$5</f>
        <v/>
      </c>
      <c r="H11" s="6">
        <f>Assumptions!$B$5</f>
        <v/>
      </c>
      <c r="I11" s="6">
        <f>Assumptions!$B$5</f>
        <v/>
      </c>
      <c r="J11" s="6">
        <f>Assumptions!$B$5</f>
        <v/>
      </c>
      <c r="K11" s="6">
        <f>Assumptions!$B$5</f>
        <v/>
      </c>
      <c r="L11" s="6">
        <f>Assumptions!$B$5</f>
        <v/>
      </c>
    </row>
    <row r="12">
      <c r="A12" t="inlineStr">
        <is>
          <t>Lease cash (negative)</t>
        </is>
      </c>
      <c r="C12" s="5">
        <f>-C6*C11</f>
        <v/>
      </c>
      <c r="D12" s="5">
        <f>-D6*D11</f>
        <v/>
      </c>
      <c r="E12" s="5">
        <f>-E6*E11</f>
        <v/>
      </c>
      <c r="F12" s="5">
        <f>-F6*F11</f>
        <v/>
      </c>
      <c r="G12" s="5">
        <f>-G6*G11</f>
        <v/>
      </c>
      <c r="H12" s="5">
        <f>-H6*H11</f>
        <v/>
      </c>
      <c r="I12" s="5">
        <f>-I6*I11</f>
        <v/>
      </c>
      <c r="J12" s="5">
        <f>-J6*J11</f>
        <v/>
      </c>
      <c r="K12" s="5">
        <f>-K6*K11</f>
        <v/>
      </c>
      <c r="L12" s="5">
        <f>-L6*L11</f>
        <v/>
      </c>
    </row>
    <row r="13">
      <c r="A13" t="inlineStr">
        <is>
          <t>Owner EBITDA pre-AASB16 after SBC</t>
        </is>
      </c>
      <c r="C13" s="5">
        <f>C8+C10+C12</f>
        <v/>
      </c>
      <c r="D13" s="5">
        <f>D8+D10+D12</f>
        <v/>
      </c>
      <c r="E13" s="5">
        <f>E8+E10+E12</f>
        <v/>
      </c>
      <c r="F13" s="5">
        <f>F8+F10+F12</f>
        <v/>
      </c>
      <c r="G13" s="5">
        <f>G8+G10+G12</f>
        <v/>
      </c>
      <c r="H13" s="5">
        <f>H8+H10+H12</f>
        <v/>
      </c>
      <c r="I13" s="5">
        <f>I8+I10+I12</f>
        <v/>
      </c>
      <c r="J13" s="5">
        <f>J8+J10+J12</f>
        <v/>
      </c>
      <c r="K13" s="5">
        <f>K8+K10+K12</f>
        <v/>
      </c>
      <c r="L13" s="5">
        <f>L8+L10+L12</f>
        <v/>
      </c>
    </row>
    <row r="14">
      <c r="A14" t="inlineStr">
        <is>
          <t>D&amp;A ex ROU (negative)</t>
        </is>
      </c>
      <c r="C14" s="7">
        <f>-C6*Assumptions!$B$3</f>
        <v/>
      </c>
      <c r="D14" s="7">
        <f>-D6*Assumptions!$B$3</f>
        <v/>
      </c>
      <c r="E14" s="7">
        <f>-E6*Assumptions!$B$3</f>
        <v/>
      </c>
      <c r="F14" s="7">
        <f>-F6*Assumptions!$B$3</f>
        <v/>
      </c>
      <c r="G14" s="7">
        <f>-G6*Assumptions!$B$3</f>
        <v/>
      </c>
      <c r="H14" s="7">
        <f>-H6*Assumptions!$B$3</f>
        <v/>
      </c>
      <c r="I14" s="7">
        <f>-I6*Assumptions!$B$3</f>
        <v/>
      </c>
      <c r="J14" s="7">
        <f>-J6*Assumptions!$B$3</f>
        <v/>
      </c>
      <c r="K14" s="7">
        <f>-K6*Assumptions!$B$3</f>
        <v/>
      </c>
      <c r="L14" s="7">
        <f>-L6*Assumptions!$B$3</f>
        <v/>
      </c>
    </row>
    <row r="15">
      <c r="A15" t="inlineStr">
        <is>
          <t>EBIT</t>
        </is>
      </c>
      <c r="C15" s="5">
        <f>C13+C14</f>
        <v/>
      </c>
      <c r="D15" s="5">
        <f>D13+D14</f>
        <v/>
      </c>
      <c r="E15" s="5">
        <f>E13+E14</f>
        <v/>
      </c>
      <c r="F15" s="5">
        <f>F13+F14</f>
        <v/>
      </c>
      <c r="G15" s="5">
        <f>G13+G14</f>
        <v/>
      </c>
      <c r="H15" s="5">
        <f>H13+H14</f>
        <v/>
      </c>
      <c r="I15" s="5">
        <f>I13+I14</f>
        <v/>
      </c>
      <c r="J15" s="5">
        <f>J13+J14</f>
        <v/>
      </c>
      <c r="K15" s="5">
        <f>K13+K14</f>
        <v/>
      </c>
      <c r="L15" s="5">
        <f>L13+L14</f>
        <v/>
      </c>
    </row>
    <row r="16">
      <c r="A16" t="inlineStr">
        <is>
          <t>Cash tax rate</t>
        </is>
      </c>
      <c r="C16" s="3" t="n">
        <v>0.15</v>
      </c>
      <c r="D16" s="3" t="n">
        <v>0.25</v>
      </c>
      <c r="E16" s="3" t="n">
        <v>0.3</v>
      </c>
      <c r="F16" s="3" t="n">
        <v>0.3</v>
      </c>
      <c r="G16" s="3" t="n">
        <v>0.3</v>
      </c>
      <c r="H16" s="3" t="n">
        <v>0.3</v>
      </c>
      <c r="I16" s="3" t="n">
        <v>0.3</v>
      </c>
      <c r="J16" s="3" t="n">
        <v>0.3</v>
      </c>
      <c r="K16" s="3" t="n">
        <v>0.3</v>
      </c>
      <c r="L16" s="3" t="n">
        <v>0.3</v>
      </c>
    </row>
    <row r="17">
      <c r="A17" t="inlineStr">
        <is>
          <t>Cash tax (negative)</t>
        </is>
      </c>
      <c r="C17" s="5">
        <f>-MAX(0,C15)*C16</f>
        <v/>
      </c>
      <c r="D17" s="5">
        <f>-MAX(0,D15)*D16</f>
        <v/>
      </c>
      <c r="E17" s="5">
        <f>-MAX(0,E15)*E16</f>
        <v/>
      </c>
      <c r="F17" s="5">
        <f>-MAX(0,F15)*F16</f>
        <v/>
      </c>
      <c r="G17" s="5">
        <f>-MAX(0,G15)*G16</f>
        <v/>
      </c>
      <c r="H17" s="5">
        <f>-MAX(0,H15)*H16</f>
        <v/>
      </c>
      <c r="I17" s="5">
        <f>-MAX(0,I15)*I16</f>
        <v/>
      </c>
      <c r="J17" s="5">
        <f>-MAX(0,J15)*J16</f>
        <v/>
      </c>
      <c r="K17" s="5">
        <f>-MAX(0,K15)*K16</f>
        <v/>
      </c>
      <c r="L17" s="5">
        <f>-MAX(0,L15)*L16</f>
        <v/>
      </c>
    </row>
    <row r="18">
      <c r="A18" t="inlineStr">
        <is>
          <t>NOPAT</t>
        </is>
      </c>
      <c r="C18" s="5">
        <f>C15+C17</f>
        <v/>
      </c>
      <c r="D18" s="5">
        <f>D15+D17</f>
        <v/>
      </c>
      <c r="E18" s="5">
        <f>E15+E17</f>
        <v/>
      </c>
      <c r="F18" s="5">
        <f>F15+F17</f>
        <v/>
      </c>
      <c r="G18" s="5">
        <f>G15+G17</f>
        <v/>
      </c>
      <c r="H18" s="5">
        <f>H15+H17</f>
        <v/>
      </c>
      <c r="I18" s="5">
        <f>I15+I17</f>
        <v/>
      </c>
      <c r="J18" s="5">
        <f>J15+J17</f>
        <v/>
      </c>
      <c r="K18" s="5">
        <f>K15+K17</f>
        <v/>
      </c>
      <c r="L18" s="5">
        <f>L15+L17</f>
        <v/>
      </c>
    </row>
    <row r="19">
      <c r="A19" t="inlineStr">
        <is>
          <t>add back D&amp;A</t>
        </is>
      </c>
      <c r="C19" s="5">
        <f>-C14</f>
        <v/>
      </c>
      <c r="D19" s="5">
        <f>-D14</f>
        <v/>
      </c>
      <c r="E19" s="5">
        <f>-E14</f>
        <v/>
      </c>
      <c r="F19" s="5">
        <f>-F14</f>
        <v/>
      </c>
      <c r="G19" s="5">
        <f>-G14</f>
        <v/>
      </c>
      <c r="H19" s="5">
        <f>-H14</f>
        <v/>
      </c>
      <c r="I19" s="5">
        <f>-I14</f>
        <v/>
      </c>
      <c r="J19" s="5">
        <f>-J14</f>
        <v/>
      </c>
      <c r="K19" s="5">
        <f>-K14</f>
        <v/>
      </c>
      <c r="L19" s="5">
        <f>-L14</f>
        <v/>
      </c>
    </row>
    <row r="20">
      <c r="A20" t="inlineStr">
        <is>
          <t>less capex</t>
        </is>
      </c>
      <c r="C20" s="7">
        <f>-C6*Assumptions!$B$4</f>
        <v/>
      </c>
      <c r="D20" s="7">
        <f>-D6*Assumptions!$B$4</f>
        <v/>
      </c>
      <c r="E20" s="7">
        <f>-E6*Assumptions!$B$4</f>
        <v/>
      </c>
      <c r="F20" s="7">
        <f>-F6*Assumptions!$B$4</f>
        <v/>
      </c>
      <c r="G20" s="7">
        <f>-G6*Assumptions!$B$4</f>
        <v/>
      </c>
      <c r="H20" s="7">
        <f>-H6*Assumptions!$B$4</f>
        <v/>
      </c>
      <c r="I20" s="7">
        <f>-I6*Assumptions!$B$4</f>
        <v/>
      </c>
      <c r="J20" s="7">
        <f>-J6*Assumptions!$B$4</f>
        <v/>
      </c>
      <c r="K20" s="7">
        <f>-K6*Assumptions!$B$4</f>
        <v/>
      </c>
      <c r="L20" s="7">
        <f>-L6*Assumptions!$B$4</f>
        <v/>
      </c>
    </row>
    <row r="21">
      <c r="A21" t="inlineStr">
        <is>
          <t>working capital (on revenue change)</t>
        </is>
      </c>
      <c r="C21" s="7">
        <f>Assumptions!$B$7*(C6-B6)</f>
        <v/>
      </c>
      <c r="D21" s="7">
        <f>Assumptions!$B$7*(D6-C6)</f>
        <v/>
      </c>
      <c r="E21" s="7">
        <f>Assumptions!$B$7*(E6-D6)</f>
        <v/>
      </c>
      <c r="F21" s="7">
        <f>Assumptions!$B$7*(F6-E6)</f>
        <v/>
      </c>
      <c r="G21" s="7">
        <f>Assumptions!$B$7*(G6-F6)</f>
        <v/>
      </c>
      <c r="H21" s="7">
        <f>Assumptions!$B$7*(H6-G6)</f>
        <v/>
      </c>
      <c r="I21" s="7">
        <f>Assumptions!$B$7*(I6-H6)</f>
        <v/>
      </c>
      <c r="J21" s="7">
        <f>Assumptions!$B$7*(J6-I6)</f>
        <v/>
      </c>
      <c r="K21" s="7">
        <f>Assumptions!$B$7*(K6-J6)</f>
        <v/>
      </c>
      <c r="L21" s="7">
        <f>Assumptions!$B$7*(L6-K6)</f>
        <v/>
      </c>
    </row>
    <row r="22">
      <c r="A22" t="inlineStr">
        <is>
          <t>Unlevered owner FCF</t>
        </is>
      </c>
      <c r="C22" s="8">
        <f>C18+C19+C20+C21</f>
        <v/>
      </c>
      <c r="D22" s="8">
        <f>D18+D19+D20+D21</f>
        <v/>
      </c>
      <c r="E22" s="8">
        <f>E18+E19+E20+E21</f>
        <v/>
      </c>
      <c r="F22" s="8">
        <f>F18+F19+F20+F21</f>
        <v/>
      </c>
      <c r="G22" s="8">
        <f>G18+G19+G20+G21</f>
        <v/>
      </c>
      <c r="H22" s="8">
        <f>H18+H19+H20+H21</f>
        <v/>
      </c>
      <c r="I22" s="8">
        <f>I18+I19+I20+I21</f>
        <v/>
      </c>
      <c r="J22" s="8">
        <f>J18+J19+J20+J21</f>
        <v/>
      </c>
      <c r="K22" s="8">
        <f>K18+K19+K20+K21</f>
        <v/>
      </c>
      <c r="L22" s="8">
        <f>L18+L19+L20+L21</f>
        <v/>
      </c>
    </row>
    <row r="23">
      <c r="A23" t="inlineStr">
        <is>
          <t>Discount factor</t>
        </is>
      </c>
      <c r="C23" s="9">
        <f>1/(1+Assumptions!$B$2)^C4</f>
        <v/>
      </c>
      <c r="D23" s="9">
        <f>1/(1+Assumptions!$B$2)^D4</f>
        <v/>
      </c>
      <c r="E23" s="9">
        <f>1/(1+Assumptions!$B$2)^E4</f>
        <v/>
      </c>
      <c r="F23" s="9">
        <f>1/(1+Assumptions!$B$2)^F4</f>
        <v/>
      </c>
      <c r="G23" s="9">
        <f>1/(1+Assumptions!$B$2)^G4</f>
        <v/>
      </c>
      <c r="H23" s="9">
        <f>1/(1+Assumptions!$B$2)^H4</f>
        <v/>
      </c>
      <c r="I23" s="9">
        <f>1/(1+Assumptions!$B$2)^I4</f>
        <v/>
      </c>
      <c r="J23" s="9">
        <f>1/(1+Assumptions!$B$2)^J4</f>
        <v/>
      </c>
      <c r="K23" s="9">
        <f>1/(1+Assumptions!$B$2)^K4</f>
        <v/>
      </c>
      <c r="L23" s="9">
        <f>1/(1+Assumptions!$B$2)^L4</f>
        <v/>
      </c>
    </row>
    <row r="24">
      <c r="A24" t="inlineStr">
        <is>
          <t>PV of FCF</t>
        </is>
      </c>
      <c r="C24" s="5">
        <f>C22*C23</f>
        <v/>
      </c>
      <c r="D24" s="5">
        <f>D22*D23</f>
        <v/>
      </c>
      <c r="E24" s="5">
        <f>E22*E23</f>
        <v/>
      </c>
      <c r="F24" s="5">
        <f>F22*F23</f>
        <v/>
      </c>
      <c r="G24" s="5">
        <f>G22*G23</f>
        <v/>
      </c>
      <c r="H24" s="5">
        <f>H22*H23</f>
        <v/>
      </c>
      <c r="I24" s="5">
        <f>I22*I23</f>
        <v/>
      </c>
      <c r="J24" s="5">
        <f>J22*J23</f>
        <v/>
      </c>
      <c r="K24" s="5">
        <f>K22*K23</f>
        <v/>
      </c>
      <c r="L24" s="5">
        <f>L22*L23</f>
        <v/>
      </c>
    </row>
    <row r="26">
      <c r="A26" t="inlineStr">
        <is>
          <t>Memo: FCF before SBC (company-style)</t>
        </is>
      </c>
      <c r="C26" s="5">
        <f>C22-C10</f>
        <v/>
      </c>
      <c r="D26" s="5">
        <f>D22-D10</f>
        <v/>
      </c>
      <c r="E26" s="5">
        <f>E22-E10</f>
        <v/>
      </c>
      <c r="F26" s="5">
        <f>F22-F10</f>
        <v/>
      </c>
      <c r="G26" s="5">
        <f>G22-G10</f>
        <v/>
      </c>
      <c r="H26" s="5">
        <f>H22-H10</f>
        <v/>
      </c>
      <c r="I26" s="5">
        <f>I22-I10</f>
        <v/>
      </c>
      <c r="J26" s="5">
        <f>J22-J10</f>
        <v/>
      </c>
      <c r="K26" s="5">
        <f>K22-K10</f>
        <v/>
      </c>
      <c r="L26" s="5">
        <f>L22-L10</f>
        <v/>
      </c>
    </row>
    <row r="27">
      <c r="A27" t="inlineStr">
        <is>
          <t>Memo: owner FCF margin</t>
        </is>
      </c>
      <c r="C27" s="10">
        <f>C22/C6</f>
        <v/>
      </c>
      <c r="D27" s="10">
        <f>D22/D6</f>
        <v/>
      </c>
      <c r="E27" s="10">
        <f>E22/E6</f>
        <v/>
      </c>
      <c r="F27" s="10">
        <f>F22/F6</f>
        <v/>
      </c>
      <c r="G27" s="10">
        <f>G22/G6</f>
        <v/>
      </c>
      <c r="H27" s="10">
        <f>H22/H6</f>
        <v/>
      </c>
      <c r="I27" s="10">
        <f>I22/I6</f>
        <v/>
      </c>
      <c r="J27" s="10">
        <f>J22/J6</f>
        <v/>
      </c>
      <c r="K27" s="10">
        <f>K22/K6</f>
        <v/>
      </c>
      <c r="L27" s="10">
        <f>L22/L6</f>
        <v/>
      </c>
    </row>
    <row r="29">
      <c r="A29" t="inlineStr">
        <is>
          <t>Sum of PV of FCF</t>
        </is>
      </c>
      <c r="B29" s="11">
        <f>SUM(C24:L24)</f>
        <v/>
      </c>
    </row>
    <row r="30">
      <c r="A30" t="inlineStr">
        <is>
          <t>Terminal growth</t>
        </is>
      </c>
      <c r="B30" s="12">
        <f>Assumptions!$B$19</f>
        <v/>
      </c>
    </row>
    <row r="31">
      <c r="A31" t="inlineStr">
        <is>
          <t>Terminal-year FCF x (1+g)</t>
        </is>
      </c>
      <c r="B31" s="11">
        <f>L22*(1+B30)</f>
        <v/>
      </c>
    </row>
    <row r="32">
      <c r="A32" t="inlineStr">
        <is>
          <t>Gordon TV</t>
        </is>
      </c>
      <c r="B32" s="11">
        <f>IF(Assumptions!$B$2&gt;B30,B31/(Assumptions!$B$2-B30),"n/a")</f>
        <v/>
      </c>
    </row>
    <row r="33">
      <c r="A33" t="inlineStr">
        <is>
          <t>Cap TV</t>
        </is>
      </c>
      <c r="B33" s="11">
        <f>Assumptions!$B$12*L22</f>
        <v/>
      </c>
    </row>
    <row r="34">
      <c r="A34" t="inlineStr">
        <is>
          <t>TV used = MAX(0,MIN(Gordon,cap))</t>
        </is>
      </c>
      <c r="B34" s="11">
        <f>MAX(0,MIN(B32,B33))</f>
        <v/>
      </c>
    </row>
    <row r="35">
      <c r="A35" t="inlineStr">
        <is>
          <t>Implied exit multiple</t>
        </is>
      </c>
      <c r="B35" s="11">
        <f>IF(L22&lt;&gt;0,B34/L22,"n/a")</f>
        <v/>
      </c>
    </row>
    <row r="36">
      <c r="A36" t="inlineStr">
        <is>
          <t>PV of TV</t>
        </is>
      </c>
      <c r="B36" s="11">
        <f>B34*L23</f>
        <v/>
      </c>
    </row>
    <row r="37">
      <c r="A37" t="inlineStr">
        <is>
          <t>Enterprise value</t>
        </is>
      </c>
      <c r="B37" s="11">
        <f>B29+B36</f>
        <v/>
      </c>
    </row>
    <row r="38">
      <c r="A38" t="inlineStr">
        <is>
          <t>less net debt and NCI</t>
        </is>
      </c>
      <c r="B38" s="13">
        <f>-(Assumptions!$B$8+Assumptions!$B$9)</f>
        <v/>
      </c>
    </row>
    <row r="39">
      <c r="A39" t="inlineStr">
        <is>
          <t>Equity value</t>
        </is>
      </c>
      <c r="B39" s="11">
        <f>B37+B38</f>
        <v/>
      </c>
    </row>
    <row r="40">
      <c r="A40" t="inlineStr">
        <is>
          <t>Diluted shares (m)</t>
        </is>
      </c>
      <c r="B40" s="13">
        <f>Assumptions!$B$10</f>
        <v/>
      </c>
    </row>
    <row r="41">
      <c r="A41" t="inlineStr">
        <is>
          <t>Value per share (A$)</t>
        </is>
      </c>
      <c r="B41" s="14">
        <f>B39/B40</f>
        <v/>
      </c>
    </row>
    <row r="42">
      <c r="A42" t="inlineStr">
        <is>
          <t>Upside vs price</t>
        </is>
      </c>
      <c r="B42" s="15">
        <f>B41/Assumptions!$B$11-1</f>
        <v/>
      </c>
    </row>
    <row r="44">
      <c r="A44" t="inlineStr">
        <is>
          <t>Street memo: PV of explicit SBC</t>
        </is>
      </c>
      <c r="B44" s="11">
        <f>SUMPRODUCT(-C10:L10/(1+Assumptions!$B$2)^C4:L4)</f>
        <v/>
      </c>
    </row>
    <row r="45">
      <c r="A45" t="inlineStr">
        <is>
          <t>Street memo: PV of terminal SBC</t>
        </is>
      </c>
      <c r="B45" s="11">
        <f>IF(Assumptions!$B$2&gt;B30,(-L10*(1+B30)/(Assumptions!$B$2-B30))*L23,0)</f>
        <v/>
      </c>
    </row>
    <row r="46">
      <c r="A46" t="inlineStr">
        <is>
          <t>Street value per share (A$)</t>
        </is>
      </c>
      <c r="B46" s="16">
        <f>(B39+B44+B45)/B40</f>
        <v/>
      </c>
    </row>
    <row r="47">
      <c r="A47" t="inlineStr">
        <is>
          <t>Terminal % of EV</t>
        </is>
      </c>
      <c r="B47" s="15">
        <f>IF(B37&lt;&gt;0,B36/B37,"n/a")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55" customWidth="1" min="11" max="11"/>
  </cols>
  <sheetData>
    <row r="1">
      <c r="A1" t="inlineStr">
        <is>
          <t>FY</t>
        </is>
      </c>
      <c r="B1" t="inlineStr">
        <is>
          <t>Revenue</t>
        </is>
      </c>
      <c r="C1" t="inlineStr">
        <is>
          <t>Reported FCF (OCF-capex)</t>
        </is>
      </c>
      <c r="D1" t="inlineStr">
        <is>
          <t>less lease principal</t>
        </is>
      </c>
      <c r="E1" t="inlineStr">
        <is>
          <t>less SBC</t>
        </is>
      </c>
      <c r="F1" t="inlineStr">
        <is>
          <t>less interest income</t>
        </is>
      </c>
      <c r="G1" t="inlineStr">
        <is>
          <t>Owner FCF</t>
        </is>
      </c>
      <c r="H1" t="inlineStr">
        <is>
          <t>Reported FCF margin</t>
        </is>
      </c>
      <c r="I1" t="inlineStr">
        <is>
          <t>Owner FCF margin</t>
        </is>
      </c>
      <c r="J1" t="inlineStr">
        <is>
          <t>Cash tax paid</t>
        </is>
      </c>
      <c r="K1" t="inlineStr">
        <is>
          <t>Memo</t>
        </is>
      </c>
    </row>
    <row r="2">
      <c r="A2" t="inlineStr">
        <is>
          <t>FY2020</t>
        </is>
      </c>
      <c r="B2" s="2" t="n">
        <v>1462.747</v>
      </c>
      <c r="C2" s="2" t="n">
        <v>161.705</v>
      </c>
      <c r="D2" s="2" t="n">
        <v>54.552</v>
      </c>
      <c r="E2" s="2" t="n">
        <v>2.92</v>
      </c>
      <c r="F2" s="2" t="n">
        <v>0</v>
      </c>
      <c r="G2">
        <f>C2-D2-E2-F2</f>
        <v/>
      </c>
      <c r="H2" s="15">
        <f>C2/B2</f>
        <v/>
      </c>
      <c r="I2" s="15">
        <f>G2/B2</f>
        <v/>
      </c>
      <c r="J2" s="2" t="n">
        <v>35.487</v>
      </c>
      <c r="K2" t="inlineStr">
        <is>
          <t>first IFRS16 year; COVID</t>
        </is>
      </c>
    </row>
    <row r="3">
      <c r="A3" t="inlineStr">
        <is>
          <t>FY2021</t>
        </is>
      </c>
      <c r="B3" s="2" t="n">
        <v>1761.673</v>
      </c>
      <c r="C3" s="2" t="n">
        <v>80.818</v>
      </c>
      <c r="D3" s="2" t="n">
        <v>61.104</v>
      </c>
      <c r="E3" s="2" t="n">
        <v>2.864</v>
      </c>
      <c r="F3" s="2" t="n">
        <v>0</v>
      </c>
      <c r="G3">
        <f>C3-D3-E3-F3</f>
        <v/>
      </c>
      <c r="H3" s="15">
        <f>C3/B3</f>
        <v/>
      </c>
      <c r="I3" s="15">
        <f>G3/B3</f>
        <v/>
      </c>
      <c r="J3" s="2" t="n">
        <v>47.037</v>
      </c>
      <c r="K3" t="inlineStr"/>
    </row>
    <row r="4">
      <c r="A4" t="inlineStr">
        <is>
          <t>FY2022</t>
        </is>
      </c>
      <c r="B4" s="2" t="n">
        <v>1841.905</v>
      </c>
      <c r="C4" s="2" t="n">
        <v>47.422</v>
      </c>
      <c r="D4" s="2" t="n">
        <v>69.989</v>
      </c>
      <c r="E4" s="2" t="n">
        <v>3.369</v>
      </c>
      <c r="F4" s="2" t="n">
        <v>0</v>
      </c>
      <c r="G4">
        <f>C4-D4-E4-F4</f>
        <v/>
      </c>
      <c r="H4" s="15">
        <f>C4/B4</f>
        <v/>
      </c>
      <c r="I4" s="15">
        <f>G4/B4</f>
        <v/>
      </c>
      <c r="J4" s="2" t="n">
        <v>57.518</v>
      </c>
      <c r="K4" t="inlineStr">
        <is>
          <t>inventory build</t>
        </is>
      </c>
    </row>
    <row r="5">
      <c r="A5" t="inlineStr">
        <is>
          <t>FY2023</t>
        </is>
      </c>
      <c r="B5" s="2" t="n">
        <v>2021.135</v>
      </c>
      <c r="C5" s="2" t="n">
        <v>172.384</v>
      </c>
      <c r="D5" s="2" t="n">
        <v>66.29000000000001</v>
      </c>
      <c r="E5" s="2" t="n">
        <v>0</v>
      </c>
      <c r="F5" s="2" t="n">
        <v>0</v>
      </c>
      <c r="G5">
        <f>C5-D5-E5-F5</f>
        <v/>
      </c>
      <c r="H5" s="15">
        <f>C5/B5</f>
        <v/>
      </c>
      <c r="I5" s="15">
        <f>G5/B5</f>
        <v/>
      </c>
      <c r="J5" s="2" t="n">
        <v>53</v>
      </c>
      <c r="K5" t="inlineStr">
        <is>
          <t>inventory unwind; SBC reversal -0.31 floored at 0</t>
        </is>
      </c>
    </row>
    <row r="6">
      <c r="A6" t="inlineStr">
        <is>
          <t>FY2024</t>
        </is>
      </c>
      <c r="B6" s="2" t="n">
        <v>2036.938</v>
      </c>
      <c r="C6" s="2" t="n">
        <v>68.541</v>
      </c>
      <c r="D6" s="2" t="n">
        <v>61.352</v>
      </c>
      <c r="E6" s="2" t="n">
        <v>0</v>
      </c>
      <c r="F6" s="2" t="n">
        <v>0</v>
      </c>
      <c r="G6">
        <f>C6-D6-E6-F6</f>
        <v/>
      </c>
      <c r="H6" s="15">
        <f>C6/B6</f>
        <v/>
      </c>
      <c r="I6" s="15">
        <f>G6/B6</f>
        <v/>
      </c>
      <c r="J6" s="2" t="n">
        <v>27.526</v>
      </c>
      <c r="K6" t="inlineStr">
        <is>
          <t>impairment year; SBC reversal -0.259 floored at 0</t>
        </is>
      </c>
    </row>
    <row r="7">
      <c r="A7" t="inlineStr">
        <is>
          <t>FY2025</t>
        </is>
      </c>
      <c r="B7" s="2" t="n">
        <v>1975.767</v>
      </c>
      <c r="C7" s="2" t="n">
        <v>72.849</v>
      </c>
      <c r="D7" s="2" t="n">
        <v>62.07</v>
      </c>
      <c r="E7" s="2" t="n">
        <v>1.868</v>
      </c>
      <c r="F7" s="2" t="n">
        <v>0</v>
      </c>
      <c r="G7">
        <f>C7-D7-E7-F7</f>
        <v/>
      </c>
      <c r="H7" s="15">
        <f>C7/B7</f>
        <v/>
      </c>
      <c r="I7" s="15">
        <f>G7/B7</f>
        <v/>
      </c>
      <c r="J7" s="2" t="n">
        <v>12.157</v>
      </c>
      <c r="K7" t="inlineStr"/>
    </row>
    <row r="8">
      <c r="A8" t="inlineStr">
        <is>
          <t>FY2026</t>
        </is>
      </c>
      <c r="B8" s="2" t="n">
        <v>1924.144</v>
      </c>
      <c r="C8" s="2" t="n">
        <v>123.08</v>
      </c>
      <c r="D8" s="2" t="n">
        <v>70.884</v>
      </c>
      <c r="E8" s="2" t="n">
        <v>0.712</v>
      </c>
      <c r="F8" s="2" t="n">
        <v>0</v>
      </c>
      <c r="G8">
        <f>C8-D8-E8-F8</f>
        <v/>
      </c>
      <c r="H8" s="15">
        <f>C8/B8</f>
        <v/>
      </c>
      <c r="I8" s="15">
        <f>G8/B8</f>
        <v/>
      </c>
      <c r="J8" s="2" t="n">
        <v>-21.031</v>
      </c>
      <c r="K8" t="inlineStr">
        <is>
          <t>A$21.0m tax refund; WC release, cash conversion 109%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Valuation summary (A$ per share)</t>
        </is>
      </c>
    </row>
    <row r="3">
      <c r="A3" t="inlineStr">
        <is>
          <t>Scenario</t>
        </is>
      </c>
      <c r="B3" t="inlineStr">
        <is>
          <t>Value per share</t>
        </is>
      </c>
      <c r="C3" t="inlineStr">
        <is>
          <t>Upside vs price</t>
        </is>
      </c>
      <c r="D3" t="inlineStr">
        <is>
          <t>Weight</t>
        </is>
      </c>
      <c r="E3" t="inlineStr">
        <is>
          <t>Street value per share</t>
        </is>
      </c>
      <c r="F3" t="inlineStr">
        <is>
          <t>Entry price @ hurdle</t>
        </is>
      </c>
      <c r="G3" t="inlineStr">
        <is>
          <t>TV bound</t>
        </is>
      </c>
    </row>
    <row r="4">
      <c r="A4" t="inlineStr">
        <is>
          <t>bear</t>
        </is>
      </c>
      <c r="B4" s="17">
        <f>DCF_bear!$B$41</f>
        <v/>
      </c>
      <c r="C4" s="15">
        <f>B4/Assumptions!$B$11-1</f>
        <v/>
      </c>
      <c r="D4" s="4">
        <f>Assumptions!$C$17</f>
        <v/>
      </c>
      <c r="E4" s="17">
        <f>DCF_bear!$B$46</f>
        <v/>
      </c>
      <c r="F4" s="16">
        <f>(SUMPRODUCT(DCF_bear!C22:L22/(1+Assumptions!$B$13)^DCF_bear!C4:L4)+MAX(0,MIN(IF(Assumptions!$B$13&gt;Assumptions!$B$17,DCF_bear!L22*(1+Assumptions!$B$17)/(Assumptions!$B$13-Assumptions!$B$17),0),Assumptions!$B$12*DCF_bear!L22))/(1+Assumptions!$B$13)^10-Assumptions!$B$8-Assumptions!$B$9)/Assumptions!$B$10</f>
        <v/>
      </c>
      <c r="G4">
        <f>DCF_bear!$B$35</f>
        <v/>
      </c>
    </row>
    <row r="5">
      <c r="A5" t="inlineStr">
        <is>
          <t>base</t>
        </is>
      </c>
      <c r="B5" s="17">
        <f>DCF_base!$B$41</f>
        <v/>
      </c>
      <c r="C5" s="15">
        <f>B5/Assumptions!$B$11-1</f>
        <v/>
      </c>
      <c r="D5" s="4">
        <f>Assumptions!$C$18</f>
        <v/>
      </c>
      <c r="E5" s="17">
        <f>DCF_base!$B$46</f>
        <v/>
      </c>
      <c r="F5" s="16">
        <f>(SUMPRODUCT(DCF_base!C22:L22/(1+Assumptions!$B$13)^DCF_base!C4:L4)+MAX(0,MIN(IF(Assumptions!$B$13&gt;Assumptions!$B$18,DCF_base!L22*(1+Assumptions!$B$18)/(Assumptions!$B$13-Assumptions!$B$18),0),Assumptions!$B$12*DCF_base!L22))/(1+Assumptions!$B$13)^10-Assumptions!$B$8-Assumptions!$B$9)/Assumptions!$B$10</f>
        <v/>
      </c>
      <c r="G5">
        <f>DCF_base!$B$35</f>
        <v/>
      </c>
    </row>
    <row r="6">
      <c r="A6" t="inlineStr">
        <is>
          <t>bull</t>
        </is>
      </c>
      <c r="B6" s="17">
        <f>DCF_bull!$B$41</f>
        <v/>
      </c>
      <c r="C6" s="15">
        <f>B6/Assumptions!$B$11-1</f>
        <v/>
      </c>
      <c r="D6" s="4">
        <f>Assumptions!$C$19</f>
        <v/>
      </c>
      <c r="E6" s="17">
        <f>DCF_bull!$B$46</f>
        <v/>
      </c>
      <c r="F6" s="16">
        <f>(SUMPRODUCT(DCF_bull!C22:L22/(1+Assumptions!$B$13)^DCF_bull!C4:L4)+MAX(0,MIN(IF(Assumptions!$B$13&gt;Assumptions!$B$19,DCF_bull!L22*(1+Assumptions!$B$19)/(Assumptions!$B$13-Assumptions!$B$19),0),Assumptions!$B$12*DCF_bull!L22))/(1+Assumptions!$B$13)^10-Assumptions!$B$8-Assumptions!$B$9)/Assumptions!$B$10</f>
        <v/>
      </c>
      <c r="G6">
        <f>DCF_bull!$B$35</f>
        <v/>
      </c>
    </row>
    <row r="8">
      <c r="A8" t="inlineStr">
        <is>
          <t>Probability-weighted value</t>
        </is>
      </c>
      <c r="B8" s="14">
        <f>SUMPRODUCT(B4:B6,D4:D6)</f>
        <v/>
      </c>
    </row>
    <row r="9">
      <c r="A9" t="inlineStr">
        <is>
          <t>Current price</t>
        </is>
      </c>
      <c r="B9">
        <f>Assumptions!$B$11</f>
        <v/>
      </c>
    </row>
    <row r="10">
      <c r="A10" t="inlineStr">
        <is>
          <t>Margin of safety</t>
        </is>
      </c>
      <c r="B10" s="15">
        <f>1-Assumptions!$B$11/B8</f>
        <v/>
      </c>
    </row>
    <row r="11">
      <c r="A11" t="inlineStr">
        <is>
          <t>Street weighted value</t>
        </is>
      </c>
      <c r="B11" s="16">
        <f>SUMPRODUCT(E4:E6,D4:D6)</f>
        <v/>
      </c>
    </row>
    <row r="12">
      <c r="A12" t="inlineStr">
        <is>
          <t>Band position (house-&gt;street)</t>
        </is>
      </c>
      <c r="B12">
        <f>IF(ABS(B11-B8)&lt;0.03,"n/a: SBC-zero, band collapsed",(Assumptions!$B$11-B8)/(B11-B8))</f>
        <v/>
      </c>
    </row>
    <row r="13">
      <c r="A13" t="inlineStr">
        <is>
          <t>Weighted entry price @ 15% hurdle</t>
        </is>
      </c>
      <c r="B13" s="16">
        <f>SUMPRODUCT(F4:F6,D4:D6)</f>
        <v/>
      </c>
    </row>
    <row r="15">
      <c r="A15" s="1" t="inlineStr">
        <is>
          <t>Required-return table (base case; TV rebuilt at each rate)</t>
        </is>
      </c>
    </row>
    <row r="16">
      <c r="A16" t="inlineStr">
        <is>
          <t>Required return</t>
        </is>
      </c>
      <c r="B16" t="inlineStr">
        <is>
          <t>Value per share</t>
        </is>
      </c>
    </row>
    <row r="17">
      <c r="A17" s="18" t="n">
        <v>0.09</v>
      </c>
      <c r="B17" s="16">
        <f>(SUMPRODUCT(DCF_base!C22:L22/(1+$A$17)^DCF_base!C4:L4)+MAX(0,MIN(IF($A$17&gt;Assumptions!$B$18,DCF_base!L22*(1+Assumptions!$B$18)/($A$17-Assumptions!$B$18),0),Assumptions!$B$12*DCF_base!L22))/(1+$A$17)^10-Assumptions!$B$8-Assumptions!$B$9)/Assumptions!$B$10</f>
        <v/>
      </c>
    </row>
    <row r="18">
      <c r="A18" s="18" t="n">
        <v>0.1</v>
      </c>
      <c r="B18" s="16">
        <f>(SUMPRODUCT(DCF_base!C22:L22/(1+$A$18)^DCF_base!C4:L4)+MAX(0,MIN(IF($A$18&gt;Assumptions!$B$18,DCF_base!L22*(1+Assumptions!$B$18)/($A$18-Assumptions!$B$18),0),Assumptions!$B$12*DCF_base!L22))/(1+$A$18)^10-Assumptions!$B$8-Assumptions!$B$9)/Assumptions!$B$10</f>
        <v/>
      </c>
    </row>
    <row r="19">
      <c r="A19" s="18" t="n">
        <v>0.11</v>
      </c>
      <c r="B19" s="16">
        <f>(SUMPRODUCT(DCF_base!C22:L22/(1+$A$19)^DCF_base!C4:L4)+MAX(0,MIN(IF($A$19&gt;Assumptions!$B$18,DCF_base!L22*(1+Assumptions!$B$18)/($A$19-Assumptions!$B$18),0),Assumptions!$B$12*DCF_base!L22))/(1+$A$19)^10-Assumptions!$B$8-Assumptions!$B$9)/Assumptions!$B$10</f>
        <v/>
      </c>
    </row>
    <row r="20">
      <c r="A20" s="18" t="n">
        <v>0.12</v>
      </c>
      <c r="B20" s="16">
        <f>(SUMPRODUCT(DCF_base!C22:L22/(1+$A$20)^DCF_base!C4:L4)+MAX(0,MIN(IF($A$20&gt;Assumptions!$B$18,DCF_base!L22*(1+Assumptions!$B$18)/($A$20-Assumptions!$B$18),0),Assumptions!$B$12*DCF_base!L22))/(1+$A$20)^10-Assumptions!$B$8-Assumptions!$B$9)/Assumptions!$B$10</f>
        <v/>
      </c>
    </row>
    <row r="21">
      <c r="A21" s="18" t="n">
        <v>0.15</v>
      </c>
      <c r="B21" s="16">
        <f>(SUMPRODUCT(DCF_base!C22:L22/(1+$A$21)^DCF_base!C4:L4)+MAX(0,MIN(IF($A$21&gt;Assumptions!$B$18,DCF_base!L22*(1+Assumptions!$B$18)/($A$21-Assumptions!$B$18),0),Assumptions!$B$12*DCF_base!L22))/(1+$A$21)^10-Assumptions!$B$8-Assumptions!$B$9)/Assumptions!$B$10</f>
        <v/>
      </c>
    </row>
    <row r="22">
      <c r="A22" s="18" t="n">
        <v>0.095</v>
      </c>
      <c r="B22" s="16">
        <f>(SUMPRODUCT(DCF_base!C22:L22/(1+$A$22)^DCF_base!C4:L4)+MAX(0,MIN(IF($A$22&gt;Assumptions!$B$18,DCF_base!L22*(1+Assumptions!$B$18)/($A$22-Assumptions!$B$18),0),Assumptions!$B$12*DCF_base!L22))/(1+$A$22)^10-Assumptions!$B$8-Assumptions!$B$9)/Assumptions!$B$10</f>
        <v/>
      </c>
    </row>
    <row r="24">
      <c r="A24" s="1" t="inlineStr">
        <is>
          <t>Sensitivity: base value per share, WACC (rows) x terminal growth (columns)</t>
        </is>
      </c>
    </row>
    <row r="25">
      <c r="A25" t="inlineStr">
        <is>
          <t>WACC \ g</t>
        </is>
      </c>
      <c r="B25" s="18" t="n">
        <v>0.015</v>
      </c>
      <c r="C25" s="18" t="n">
        <v>0.02</v>
      </c>
      <c r="D25" s="18" t="n">
        <v>0.025</v>
      </c>
      <c r="E25" s="18" t="n">
        <v>0.03</v>
      </c>
      <c r="F25" s="18" t="n">
        <v>0.035</v>
      </c>
    </row>
    <row r="26">
      <c r="A26" s="18" t="n">
        <v>0.075</v>
      </c>
      <c r="B26" s="16">
        <f>(SUMPRODUCT(DCF_base!C22:L22/(1+$A$26)^DCF_base!C4:L4)+MAX(0,MIN(IF($A$26&gt;B$25,DCF_base!L22*(1+B$25)/($A$26-B$25),0),Assumptions!$B$12*DCF_base!L22))/(1+$A$26)^10-Assumptions!$B$8-Assumptions!$B$9)/Assumptions!$B$10</f>
        <v/>
      </c>
      <c r="C26" s="16">
        <f>(SUMPRODUCT(DCF_base!C22:L22/(1+$A$26)^DCF_base!C4:L4)+MAX(0,MIN(IF($A$26&gt;C$25,DCF_base!L22*(1+C$25)/($A$26-C$25),0),Assumptions!$B$12*DCF_base!L22))/(1+$A$26)^10-Assumptions!$B$8-Assumptions!$B$9)/Assumptions!$B$10</f>
        <v/>
      </c>
      <c r="D26" s="16">
        <f>(SUMPRODUCT(DCF_base!C22:L22/(1+$A$26)^DCF_base!C4:L4)+MAX(0,MIN(IF($A$26&gt;D$25,DCF_base!L22*(1+D$25)/($A$26-D$25),0),Assumptions!$B$12*DCF_base!L22))/(1+$A$26)^10-Assumptions!$B$8-Assumptions!$B$9)/Assumptions!$B$10</f>
        <v/>
      </c>
      <c r="E26" s="16">
        <f>(SUMPRODUCT(DCF_base!C22:L22/(1+$A$26)^DCF_base!C4:L4)+MAX(0,MIN(IF($A$26&gt;E$25,DCF_base!L22*(1+E$25)/($A$26-E$25),0),Assumptions!$B$12*DCF_base!L22))/(1+$A$26)^10-Assumptions!$B$8-Assumptions!$B$9)/Assumptions!$B$10</f>
        <v/>
      </c>
      <c r="F26" s="16">
        <f>(SUMPRODUCT(DCF_base!C22:L22/(1+$A$26)^DCF_base!C4:L4)+MAX(0,MIN(IF($A$26&gt;F$25,DCF_base!L22*(1+F$25)/($A$26-F$25),0),Assumptions!$B$12*DCF_base!L22))/(1+$A$26)^10-Assumptions!$B$8-Assumptions!$B$9)/Assumptions!$B$10</f>
        <v/>
      </c>
    </row>
    <row r="27">
      <c r="A27" s="18" t="n">
        <v>0.08500000000000001</v>
      </c>
      <c r="B27" s="16">
        <f>(SUMPRODUCT(DCF_base!C22:L22/(1+$A$27)^DCF_base!C4:L4)+MAX(0,MIN(IF($A$27&gt;B$25,DCF_base!L22*(1+B$25)/($A$27-B$25),0),Assumptions!$B$12*DCF_base!L22))/(1+$A$27)^10-Assumptions!$B$8-Assumptions!$B$9)/Assumptions!$B$10</f>
        <v/>
      </c>
      <c r="C27" s="16">
        <f>(SUMPRODUCT(DCF_base!C22:L22/(1+$A$27)^DCF_base!C4:L4)+MAX(0,MIN(IF($A$27&gt;C$25,DCF_base!L22*(1+C$25)/($A$27-C$25),0),Assumptions!$B$12*DCF_base!L22))/(1+$A$27)^10-Assumptions!$B$8-Assumptions!$B$9)/Assumptions!$B$10</f>
        <v/>
      </c>
      <c r="D27" s="16">
        <f>(SUMPRODUCT(DCF_base!C22:L22/(1+$A$27)^DCF_base!C4:L4)+MAX(0,MIN(IF($A$27&gt;D$25,DCF_base!L22*(1+D$25)/($A$27-D$25),0),Assumptions!$B$12*DCF_base!L22))/(1+$A$27)^10-Assumptions!$B$8-Assumptions!$B$9)/Assumptions!$B$10</f>
        <v/>
      </c>
      <c r="E27" s="16">
        <f>(SUMPRODUCT(DCF_base!C22:L22/(1+$A$27)^DCF_base!C4:L4)+MAX(0,MIN(IF($A$27&gt;E$25,DCF_base!L22*(1+E$25)/($A$27-E$25),0),Assumptions!$B$12*DCF_base!L22))/(1+$A$27)^10-Assumptions!$B$8-Assumptions!$B$9)/Assumptions!$B$10</f>
        <v/>
      </c>
      <c r="F27" s="16">
        <f>(SUMPRODUCT(DCF_base!C22:L22/(1+$A$27)^DCF_base!C4:L4)+MAX(0,MIN(IF($A$27&gt;F$25,DCF_base!L22*(1+F$25)/($A$27-F$25),0),Assumptions!$B$12*DCF_base!L22))/(1+$A$27)^10-Assumptions!$B$8-Assumptions!$B$9)/Assumptions!$B$10</f>
        <v/>
      </c>
    </row>
    <row r="28">
      <c r="A28" s="18" t="n">
        <v>0.095</v>
      </c>
      <c r="B28" s="16">
        <f>(SUMPRODUCT(DCF_base!C22:L22/(1+$A$28)^DCF_base!C4:L4)+MAX(0,MIN(IF($A$28&gt;B$25,DCF_base!L22*(1+B$25)/($A$28-B$25),0),Assumptions!$B$12*DCF_base!L22))/(1+$A$28)^10-Assumptions!$B$8-Assumptions!$B$9)/Assumptions!$B$10</f>
        <v/>
      </c>
      <c r="C28" s="16">
        <f>(SUMPRODUCT(DCF_base!C22:L22/(1+$A$28)^DCF_base!C4:L4)+MAX(0,MIN(IF($A$28&gt;C$25,DCF_base!L22*(1+C$25)/($A$28-C$25),0),Assumptions!$B$12*DCF_base!L22))/(1+$A$28)^10-Assumptions!$B$8-Assumptions!$B$9)/Assumptions!$B$10</f>
        <v/>
      </c>
      <c r="D28" s="19">
        <f>(SUMPRODUCT(DCF_base!C22:L22/(1+$A$28)^DCF_base!C4:L4)+MAX(0,MIN(IF($A$28&gt;D$25,DCF_base!L22*(1+D$25)/($A$28-D$25),0),Assumptions!$B$12*DCF_base!L22))/(1+$A$28)^10-Assumptions!$B$8-Assumptions!$B$9)/Assumptions!$B$10</f>
        <v/>
      </c>
      <c r="E28" s="16">
        <f>(SUMPRODUCT(DCF_base!C22:L22/(1+$A$28)^DCF_base!C4:L4)+MAX(0,MIN(IF($A$28&gt;E$25,DCF_base!L22*(1+E$25)/($A$28-E$25),0),Assumptions!$B$12*DCF_base!L22))/(1+$A$28)^10-Assumptions!$B$8-Assumptions!$B$9)/Assumptions!$B$10</f>
        <v/>
      </c>
      <c r="F28" s="16">
        <f>(SUMPRODUCT(DCF_base!C22:L22/(1+$A$28)^DCF_base!C4:L4)+MAX(0,MIN(IF($A$28&gt;F$25,DCF_base!L22*(1+F$25)/($A$28-F$25),0),Assumptions!$B$12*DCF_base!L22))/(1+$A$28)^10-Assumptions!$B$8-Assumptions!$B$9)/Assumptions!$B$10</f>
        <v/>
      </c>
    </row>
    <row r="29">
      <c r="A29" s="18" t="n">
        <v>0.105</v>
      </c>
      <c r="B29" s="16">
        <f>(SUMPRODUCT(DCF_base!C22:L22/(1+$A$29)^DCF_base!C4:L4)+MAX(0,MIN(IF($A$29&gt;B$25,DCF_base!L22*(1+B$25)/($A$29-B$25),0),Assumptions!$B$12*DCF_base!L22))/(1+$A$29)^10-Assumptions!$B$8-Assumptions!$B$9)/Assumptions!$B$10</f>
        <v/>
      </c>
      <c r="C29" s="16">
        <f>(SUMPRODUCT(DCF_base!C22:L22/(1+$A$29)^DCF_base!C4:L4)+MAX(0,MIN(IF($A$29&gt;C$25,DCF_base!L22*(1+C$25)/($A$29-C$25),0),Assumptions!$B$12*DCF_base!L22))/(1+$A$29)^10-Assumptions!$B$8-Assumptions!$B$9)/Assumptions!$B$10</f>
        <v/>
      </c>
      <c r="D29" s="16">
        <f>(SUMPRODUCT(DCF_base!C22:L22/(1+$A$29)^DCF_base!C4:L4)+MAX(0,MIN(IF($A$29&gt;D$25,DCF_base!L22*(1+D$25)/($A$29-D$25),0),Assumptions!$B$12*DCF_base!L22))/(1+$A$29)^10-Assumptions!$B$8-Assumptions!$B$9)/Assumptions!$B$10</f>
        <v/>
      </c>
      <c r="E29" s="16">
        <f>(SUMPRODUCT(DCF_base!C22:L22/(1+$A$29)^DCF_base!C4:L4)+MAX(0,MIN(IF($A$29&gt;E$25,DCF_base!L22*(1+E$25)/($A$29-E$25),0),Assumptions!$B$12*DCF_base!L22))/(1+$A$29)^10-Assumptions!$B$8-Assumptions!$B$9)/Assumptions!$B$10</f>
        <v/>
      </c>
      <c r="F29" s="16">
        <f>(SUMPRODUCT(DCF_base!C22:L22/(1+$A$29)^DCF_base!C4:L4)+MAX(0,MIN(IF($A$29&gt;F$25,DCF_base!L22*(1+F$25)/($A$29-F$25),0),Assumptions!$B$12*DCF_base!L22))/(1+$A$29)^10-Assumptions!$B$8-Assumptions!$B$9)/Assumptions!$B$10</f>
        <v/>
      </c>
    </row>
    <row r="30">
      <c r="A30" s="18" t="n">
        <v>0.115</v>
      </c>
      <c r="B30" s="16">
        <f>(SUMPRODUCT(DCF_base!C22:L22/(1+$A$30)^DCF_base!C4:L4)+MAX(0,MIN(IF($A$30&gt;B$25,DCF_base!L22*(1+B$25)/($A$30-B$25),0),Assumptions!$B$12*DCF_base!L22))/(1+$A$30)^10-Assumptions!$B$8-Assumptions!$B$9)/Assumptions!$B$10</f>
        <v/>
      </c>
      <c r="C30" s="16">
        <f>(SUMPRODUCT(DCF_base!C22:L22/(1+$A$30)^DCF_base!C4:L4)+MAX(0,MIN(IF($A$30&gt;C$25,DCF_base!L22*(1+C$25)/($A$30-C$25),0),Assumptions!$B$12*DCF_base!L22))/(1+$A$30)^10-Assumptions!$B$8-Assumptions!$B$9)/Assumptions!$B$10</f>
        <v/>
      </c>
      <c r="D30" s="16">
        <f>(SUMPRODUCT(DCF_base!C22:L22/(1+$A$30)^DCF_base!C4:L4)+MAX(0,MIN(IF($A$30&gt;D$25,DCF_base!L22*(1+D$25)/($A$30-D$25),0),Assumptions!$B$12*DCF_base!L22))/(1+$A$30)^10-Assumptions!$B$8-Assumptions!$B$9)/Assumptions!$B$10</f>
        <v/>
      </c>
      <c r="E30" s="16">
        <f>(SUMPRODUCT(DCF_base!C22:L22/(1+$A$30)^DCF_base!C4:L4)+MAX(0,MIN(IF($A$30&gt;E$25,DCF_base!L22*(1+E$25)/($A$30-E$25),0),Assumptions!$B$12*DCF_base!L22))/(1+$A$30)^10-Assumptions!$B$8-Assumptions!$B$9)/Assumptions!$B$10</f>
        <v/>
      </c>
      <c r="F30" s="16">
        <f>(SUMPRODUCT(DCF_base!C22:L22/(1+$A$30)^DCF_base!C4:L4)+MAX(0,MIN(IF($A$30&gt;F$25,DCF_base!L22*(1+F$25)/($A$30-F$25),0),Assumptions!$B$12*DCF_base!L22))/(1+$A$30)^10-Assumptions!$B$8-Assumptions!$B$9)/Assumptions!$B$10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2026-09-21T11:44:09Z</dcterms:created>
  <dcterms:modified xsi:type="dcterms:W3CDTF">2026-09-21T11:44:09Z</dcterms:modified>
</cp:coreProperties>
</file>