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<sst xmlns="http://schemas.openxmlformats.org/spreadsheetml/2006/main" count="354" uniqueCount="164">
  <si>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</si>
  <si>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0291.HK</t>
  </si>
  <si>
    <t xml:space="preserve">Company</t>
  </si>
  <si>
    <t xml:space="preserve">China Resources Beer (Holdings)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</si>
  <si>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</si>
  <si>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</si>
  <si>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</si>
  <si>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</si>
  <si>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</si>
  <si>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</si>
  <si>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</si>
  <si>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</si>
  <si>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</si>
  <si>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</si>
  <si>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</si>
  <si>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</si>
  <si>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</si>
  <si>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</si>
  <si>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</si>
  <si>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</si>
  <si>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</si>
  <si>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</si>
  <si>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2026-10-10T21:53:43Z</t>
  </si>
  <si>
    <t xml:space="preserve">Drivers file</t>
  </si>
  <si>
    <t xml:space="preserve">0291.HK_Drivers.json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</si>
  <si>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</si>
  <si>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</si>
  <si>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</si>
  <si>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cash-generative, net-cash, SOE-controlled national brewer valued on owner FCF in CNY, converted to HKD for comparison with the HKEX quote. No SBC, so house and street bases coincide. The price (~9x underlying earnings, ~6% dividend yield) sits near the bear case: the market is discounting a Japan-style volume decline and margin reversal, or applying a discount rate well above an 8.5% CNY cost of equity. The required-return table shows what IRR today's price implies.
key_risks_to_valuation: Discount rate: at 8.5% in CNY the model credits terminal value the HK market currently refuses China consumer stocks; the required-return table is the honest read of the gap.; Margin reversal: FY2025's 25.9% underlying EBITDA margin includes raw-material savings that can reverse.; Beer volume: structural decline from demographics and moderation; premiumisation must outrun it.; Baijiu: RMB2.9bn goodwill already impaired; management's sensitivity shows a further 648m impairment on modest assumption changes; NCI carried at book.; Bridge timing: the H1-26 FCF and two dividends removed from the 30-Jun cash; an error here moves value ~RMB 0.5-1.8/share.; FX: CNY/HKD rate is a dated input that refresh_price.py does not move.</t>
  </si>
  <si>
    <t xml:space="preserve">Data sources</t>
  </si>
  <si>
    <t xml:space="preserve">price: Yahoo Finance chart API at inputs.price_as_of; 52-week range HKD 17.87-29.10. RMB counter 80291.HK used for the FX parity check.
financials: 0291.HK_Metrics.csv (FY2018-FY2025, H1 2024-2026, RMB millions); FY2025 Annual Report (segment note, cash flow statement, notes 18/28/30B, MD&amp;A underlying EBITDA 9,879 and profit 5,724); 2026 Interim Report (balance sheet, cash flow, notes 10 and 13, chairman's statement).
qualitative: FY2025 Annual Report chairman's statement and prospects; 2026 Interim Report beer/baijiu reviews and H2-2026 prospects; 0291.HK_Analysis.json bull/bear cases (written concurrently; scenario axes cross-checked against it: beer volume contraction, premium-tier competition, baijiu Jin Sha decline, payout sustainability).</t>
  </si>
  <si>
    <t xml:space="preserve">Scenario narrative: bear</t>
  </si>
  <si>
    <t xml:space="preserve">Chinese consumption stays deflationary and beer follows Japan's path: volume declines 2-3% a year with ageing and moderation, the on-trade weakens, and Tsingtao, Budweiser APAC and Yanjing fight for the premium tier with promotions. Barley and aluminium costs revert, so the 2023-25 margin gains largely unwind toward ~22% (the FY2022 underlying level was ~21%). Baijiu needs further write-downs and capital. Revenue shrinks for three years, capex stays elevated for intelligent-brewery upgrades, and the business is capitalised at 10x with zero terminal growth.</t>
  </si>
  <si>
    <t xml:space="preserve">Scenario narrative: base</t>
  </si>
  <si>
    <t xml:space="preserve">China beer is a volume-flat, mix-up market and CR Beer keeps winning the mix: sub-premium and above (Heineken, Lao Xue, Amstel, new Snow Gold Crown) grows high single digits while mainstream Snow volume erodes, giving ~2% revenue growth. Margins extend modestly from FY2025's 25.9% to 27.5% on mix and lean operations (brewery closures, procurement), not on a repeat of the 2024-25 barley and aluminium windfall. Baijiu stays a small, low-margin drag (post-impairment EBITDA ~1.5% of group) rather than a second growth engine. Cash conversion stays high and the ~50-55% payout continues.</t>
  </si>
  <si>
    <t xml:space="preserve">Scenario narrative: bull</t>
  </si>
  <si>
    <t xml:space="preserve">Premiumisation accelerates: the sub-premium share passes a third of volume, Heineken keeps compounding ~20%, the Greater Bay Area/export push and contract brewing add volume, and the beer industry consolidates further around the top two. Revenue grows 3-4% and EBITDA margin converges toward the 29-30% that Budweiser APAC's China premium book earns. Baijiu stabilises as the cycle turns and stops consuming management attention.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</si>
  <si>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</si>
  <si>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</si>
  <si>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</si>
  <si>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</si>
  <si>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</si>
  <si>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</si>
  <si>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</si>
  <si>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</si>
  <si>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</si>
  <si>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</si>
  <si>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</si>
  <si>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</si>
  <si>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</si>
  <si>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</si>
  <si>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</si>
  <si>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</si>
  <si>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</si>
  <si>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</si>
  <si>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</si>
  <si>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</si>
  <si>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</si>
  <si>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</si>
  <si>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</si>
  <si>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</si>
  <si>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</si>
  <si>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</si>
  <si>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</si>
  <si>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</si>
  <si>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</si>
  <si>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</si>
  <si>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</si>
  <si>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</si>
  <si>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</si>
  <si>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</si>
  <si>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</si>
  <si>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</si>
  <si>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</si>
  <si>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</si>
  <si>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</si>
  <si>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</si>
  <si>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</si>
  <si>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</si>
  <si>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</si>
  <si>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</si>
  <si>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</si>
  <si>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</si>
  <si>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</si>
  <si>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</si>
  <si>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</si>
  <si>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</si>
  <si>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</si>
  <si>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</si>
  <si>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</si>
  <si>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</si>
  <si>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</si>
  <si>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</si>
  <si>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</si>
  <si>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</si>
  <si>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</si>
  <si>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</si>
  <si>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</si>
  <si>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</si>
  <si>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</si>
  <si>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</si>
  <si>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</si>
  <si>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</si>
  <si>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</si>
  <si>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</si>
  <si>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</si>
  <si>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</si>
  <si>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</si>
  <si>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</si>
  <si>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0291.HK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</si>
  <si>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</si>
  <si>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</si>
  <si>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</si>
  <si>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</si>
  <si>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</si>
  <si>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</si>
  <si>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</si>
  <si>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</si>
  <si>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</si>
  <si>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</si>
  <si>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</si>
  <si>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</si>
  <si>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</si>
  <si>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</si>
  <si>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</si>
  <si>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</si>
  <si>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</si>
  <si>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</si>
  <si>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</si>
  <si>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</si>
  <si>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</si>
  <si>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</si>
  <si>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</si>
  <si>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</si>
  <si>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</si>
  <si>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</si>
  <si>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</si>
  <si>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</si>
  <si>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</si>
  <si>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</si>
  <si>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0291.HK owner-FCF component DCF: base case (millions, CNY)</t>
  </si>
  <si>
    <t xml:space="preserve">0291.HK owner-FCF component DCF: bull case (millions, CNY)</t>
  </si>
  <si>
    <t xml:space="preserve">0291.HK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</si>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</sst>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19.13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31867</v>
      </c>
      <c r="C2" s="0" t="n">
        <v>20669</v>
      </c>
      <c r="D2" s="0" t="n">
        <v>11198</v>
      </c>
      <c r="E2" s="0" t="n">
        <v>35.1</v>
      </c>
      <c r="F2" s="0" t="n">
        <v>1580</v>
      </c>
      <c r="G2" s="0" t="n">
        <v>5</v>
      </c>
      <c r="H2" s="0" t="n">
        <v>3211</v>
      </c>
      <c r="I2" s="0" t="n">
        <v>977</v>
      </c>
      <c r="J2" s="0" t="n">
        <v>3.1</v>
      </c>
      <c r="K2" s="0" t="n">
        <v>0.3</v>
      </c>
      <c r="L2" s="0" t="n">
        <v>3934</v>
      </c>
      <c r="M2" s="0" t="n">
        <v>1641</v>
      </c>
      <c r="N2" s="0" t="n">
        <v>2293</v>
      </c>
      <c r="O2" s="0" t="n">
        <v>18848</v>
      </c>
      <c r="R2" s="0" t="n">
        <v>713</v>
      </c>
      <c r="S2" s="0" t="n">
        <v>1858</v>
      </c>
      <c r="T2" s="0" t="n">
        <v>3244.18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33190</v>
      </c>
      <c r="C3" s="0" t="n">
        <v>20964</v>
      </c>
      <c r="D3" s="0" t="n">
        <v>12226</v>
      </c>
      <c r="E3" s="0" t="n">
        <v>36.8</v>
      </c>
      <c r="F3" s="0" t="n">
        <v>2272</v>
      </c>
      <c r="G3" s="0" t="n">
        <v>6.8</v>
      </c>
      <c r="H3" s="0" t="n">
        <v>3947</v>
      </c>
      <c r="I3" s="0" t="n">
        <v>1312</v>
      </c>
      <c r="J3" s="0" t="n">
        <v>4</v>
      </c>
      <c r="K3" s="0" t="n">
        <v>0.4</v>
      </c>
      <c r="L3" s="0" t="n">
        <v>4098</v>
      </c>
      <c r="M3" s="0" t="n">
        <v>1490</v>
      </c>
      <c r="N3" s="0" t="n">
        <v>2608</v>
      </c>
      <c r="O3" s="0" t="n">
        <v>19670</v>
      </c>
      <c r="R3" s="0" t="n">
        <v>511</v>
      </c>
      <c r="S3" s="0" t="n">
        <v>2340</v>
      </c>
      <c r="T3" s="0" t="n">
        <v>3244.18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31448</v>
      </c>
      <c r="C4" s="0" t="n">
        <v>19373</v>
      </c>
      <c r="D4" s="0" t="n">
        <v>12075</v>
      </c>
      <c r="E4" s="0" t="n">
        <v>38.4</v>
      </c>
      <c r="F4" s="0" t="n">
        <v>3220</v>
      </c>
      <c r="G4" s="0" t="n">
        <v>10.2</v>
      </c>
      <c r="H4" s="0" t="n">
        <v>4902</v>
      </c>
      <c r="I4" s="0" t="n">
        <v>2094</v>
      </c>
      <c r="J4" s="0" t="n">
        <v>6.7</v>
      </c>
      <c r="K4" s="0" t="n">
        <v>0.65</v>
      </c>
      <c r="L4" s="0" t="n">
        <v>4480</v>
      </c>
      <c r="M4" s="0" t="n">
        <v>1047</v>
      </c>
      <c r="N4" s="0" t="n">
        <v>3433</v>
      </c>
      <c r="O4" s="0" t="n">
        <v>21217</v>
      </c>
      <c r="R4" s="0" t="n">
        <v>0</v>
      </c>
      <c r="S4" s="0" t="n">
        <v>4538</v>
      </c>
      <c r="T4" s="0" t="n">
        <v>3244.18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33387</v>
      </c>
      <c r="C5" s="0" t="n">
        <v>20313</v>
      </c>
      <c r="D5" s="0" t="n">
        <v>13074</v>
      </c>
      <c r="E5" s="0" t="n">
        <v>39.2</v>
      </c>
      <c r="F5" s="0" t="n">
        <v>6234</v>
      </c>
      <c r="G5" s="0" t="n">
        <v>18.7</v>
      </c>
      <c r="H5" s="0" t="n">
        <v>7810</v>
      </c>
      <c r="I5" s="0" t="n">
        <v>4587</v>
      </c>
      <c r="J5" s="0" t="n">
        <v>13.7</v>
      </c>
      <c r="K5" s="0" t="n">
        <v>1.41</v>
      </c>
      <c r="L5" s="0" t="n">
        <v>4995</v>
      </c>
      <c r="M5" s="0" t="n">
        <v>1471</v>
      </c>
      <c r="N5" s="0" t="n">
        <v>3524</v>
      </c>
      <c r="O5" s="0" t="n">
        <v>24432</v>
      </c>
      <c r="R5" s="0" t="n">
        <v>0</v>
      </c>
      <c r="S5" s="0" t="n">
        <v>5376</v>
      </c>
      <c r="T5" s="0" t="n">
        <v>3244.18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35263</v>
      </c>
      <c r="C6" s="0" t="n">
        <v>21702</v>
      </c>
      <c r="D6" s="0" t="n">
        <v>13561</v>
      </c>
      <c r="E6" s="0" t="n">
        <v>38.5</v>
      </c>
      <c r="F6" s="0" t="n">
        <v>5607</v>
      </c>
      <c r="G6" s="0" t="n">
        <v>15.9</v>
      </c>
      <c r="H6" s="0" t="n">
        <v>7169</v>
      </c>
      <c r="I6" s="0" t="n">
        <v>4344</v>
      </c>
      <c r="J6" s="0" t="n">
        <v>12.3</v>
      </c>
      <c r="K6" s="0" t="n">
        <v>1.34</v>
      </c>
      <c r="L6" s="0" t="n">
        <v>6846</v>
      </c>
      <c r="M6" s="0" t="n">
        <v>1661</v>
      </c>
      <c r="N6" s="0" t="n">
        <v>5185</v>
      </c>
      <c r="O6" s="0" t="n">
        <v>27039</v>
      </c>
      <c r="R6" s="0" t="n">
        <v>1100</v>
      </c>
      <c r="S6" s="0" t="n">
        <v>10208</v>
      </c>
      <c r="T6" s="0" t="n">
        <v>3244.18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38932</v>
      </c>
      <c r="C7" s="0" t="n">
        <v>22829</v>
      </c>
      <c r="D7" s="0" t="n">
        <v>16103</v>
      </c>
      <c r="E7" s="0" t="n">
        <v>41.4</v>
      </c>
      <c r="F7" s="0" t="n">
        <v>7322</v>
      </c>
      <c r="G7" s="0" t="n">
        <v>18.8</v>
      </c>
      <c r="H7" s="0" t="n">
        <v>9599</v>
      </c>
      <c r="I7" s="0" t="n">
        <v>5153</v>
      </c>
      <c r="J7" s="0" t="n">
        <v>13.2</v>
      </c>
      <c r="K7" s="0" t="n">
        <v>1.59</v>
      </c>
      <c r="L7" s="0" t="n">
        <v>4149</v>
      </c>
      <c r="M7" s="0" t="n">
        <v>2520</v>
      </c>
      <c r="N7" s="0" t="n">
        <v>1629</v>
      </c>
      <c r="O7" s="0" t="n">
        <v>30295</v>
      </c>
      <c r="R7" s="0" t="n">
        <v>5112</v>
      </c>
      <c r="S7" s="0" t="n">
        <v>5520</v>
      </c>
      <c r="T7" s="0" t="n">
        <v>3244.18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38635</v>
      </c>
      <c r="C8" s="0" t="n">
        <v>22160</v>
      </c>
      <c r="D8" s="0" t="n">
        <v>16475</v>
      </c>
      <c r="E8" s="0" t="n">
        <v>42.6</v>
      </c>
      <c r="F8" s="0" t="n">
        <v>6743</v>
      </c>
      <c r="G8" s="0" t="n">
        <v>17.5</v>
      </c>
      <c r="H8" s="0" t="n">
        <v>9078</v>
      </c>
      <c r="I8" s="0" t="n">
        <v>4739</v>
      </c>
      <c r="J8" s="0" t="n">
        <v>12.3</v>
      </c>
      <c r="K8" s="0" t="n">
        <v>1.46</v>
      </c>
      <c r="L8" s="0" t="n">
        <v>6928</v>
      </c>
      <c r="M8" s="0" t="n">
        <v>2813</v>
      </c>
      <c r="N8" s="0" t="n">
        <v>4115</v>
      </c>
      <c r="O8" s="0" t="n">
        <v>31692</v>
      </c>
      <c r="R8" s="0" t="n">
        <v>1849</v>
      </c>
      <c r="S8" s="0" t="n">
        <v>3816</v>
      </c>
      <c r="T8" s="0" t="n">
        <v>3244.18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37985</v>
      </c>
      <c r="C9" s="0" t="n">
        <v>21625</v>
      </c>
      <c r="D9" s="0" t="n">
        <v>16360</v>
      </c>
      <c r="E9" s="0" t="n">
        <v>43.1</v>
      </c>
      <c r="F9" s="0" t="n">
        <v>5382</v>
      </c>
      <c r="G9" s="0" t="n">
        <v>14.2</v>
      </c>
      <c r="H9" s="0" t="n">
        <v>7780</v>
      </c>
      <c r="I9" s="0" t="n">
        <v>3371</v>
      </c>
      <c r="J9" s="0" t="n">
        <v>8.9</v>
      </c>
      <c r="K9" s="0" t="n">
        <v>1.04</v>
      </c>
      <c r="L9" s="0" t="n">
        <v>7127</v>
      </c>
      <c r="M9" s="0" t="n">
        <v>1799</v>
      </c>
      <c r="N9" s="0" t="n">
        <v>5328</v>
      </c>
      <c r="O9" s="0" t="n">
        <v>32262</v>
      </c>
      <c r="R9" s="0" t="n">
        <v>2711</v>
      </c>
      <c r="S9" s="0" t="n">
        <v>6918</v>
      </c>
      <c r="T9" s="0" t="n">
        <v>3244.18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19.13</v>
      </c>
    </row>
    <row r="3" customFormat="false" ht="15" hidden="false" customHeight="false" outlineLevel="0" collapsed="false">
      <c r="A3" s="0" t="s">
        <v>75</v>
      </c>
      <c r="B3" s="3" t="n">
        <v>3244.18</v>
      </c>
    </row>
    <row r="4" customFormat="false" ht="15" hidden="false" customHeight="false" outlineLevel="0" collapsed="false">
      <c r="A4" s="0" t="s">
        <v>76</v>
      </c>
      <c r="B4" s="3" t="n">
        <v>-12656</v>
      </c>
    </row>
    <row r="5" customFormat="false" ht="15" hidden="false" customHeight="false" outlineLevel="0" collapsed="false">
      <c r="A5" s="0" t="s">
        <v>77</v>
      </c>
      <c r="B5" s="3" t="n">
        <v>-10119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37985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0</v>
      </c>
      <c r="D13" s="3" t="n">
        <v>-2</v>
      </c>
      <c r="E13" s="3" t="n">
        <v>-1.5</v>
      </c>
      <c r="F13" s="3" t="n">
        <v>-1</v>
      </c>
      <c r="G13" s="3" t="n">
        <v>0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96</v>
      </c>
      <c r="C14" s="3" t="n">
        <v>25</v>
      </c>
      <c r="D14" s="3" t="n">
        <v>23.5</v>
      </c>
      <c r="E14" s="3" t="n">
        <v>22.5</v>
      </c>
      <c r="F14" s="3" t="n">
        <v>22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99</v>
      </c>
      <c r="C17" s="3" t="n">
        <v>4.5</v>
      </c>
      <c r="D17" s="3" t="n">
        <v>4.5</v>
      </c>
      <c r="E17" s="3" t="n">
        <v>4.5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100</v>
      </c>
      <c r="C18" s="3" t="n">
        <v>5.5</v>
      </c>
      <c r="D18" s="3" t="n">
        <v>5.5</v>
      </c>
      <c r="E18" s="3" t="n">
        <v>5.5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0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10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</v>
      </c>
      <c r="D27" s="3" t="n">
        <v>2</v>
      </c>
      <c r="E27" s="3" t="n">
        <v>2.5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26</v>
      </c>
      <c r="D28" s="3" t="n">
        <v>26.3</v>
      </c>
      <c r="E28" s="3" t="n">
        <v>26.6</v>
      </c>
      <c r="F28" s="3" t="n">
        <v>26.9</v>
      </c>
      <c r="G28" s="3" t="n">
        <v>27.2</v>
      </c>
      <c r="H28" s="3" t="n">
        <v>27.5</v>
      </c>
      <c r="I28" s="3" t="n">
        <v>27.5</v>
      </c>
      <c r="J28" s="3" t="n">
        <v>27.5</v>
      </c>
      <c r="K28" s="3" t="n">
        <v>27.5</v>
      </c>
      <c r="L28" s="3" t="n">
        <v>27.5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99</v>
      </c>
      <c r="C31" s="3" t="n">
        <v>4.5</v>
      </c>
      <c r="D31" s="3" t="n">
        <v>4.5</v>
      </c>
      <c r="E31" s="3" t="n">
        <v>4.5</v>
      </c>
      <c r="F31" s="3" t="n">
        <v>4.5</v>
      </c>
      <c r="G31" s="3" t="n">
        <v>4.5</v>
      </c>
      <c r="H31" s="3" t="n">
        <v>4.5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100</v>
      </c>
      <c r="C32" s="3" t="n">
        <v>5.2</v>
      </c>
      <c r="D32" s="3" t="n">
        <v>5.2</v>
      </c>
      <c r="E32" s="3" t="n">
        <v>5.2</v>
      </c>
      <c r="F32" s="3" t="n">
        <v>5.2</v>
      </c>
      <c r="G32" s="3" t="n">
        <v>5.2</v>
      </c>
      <c r="H32" s="3" t="n">
        <v>5.2</v>
      </c>
      <c r="I32" s="3" t="n">
        <v>5.2</v>
      </c>
      <c r="J32" s="3" t="n">
        <v>5.2</v>
      </c>
      <c r="K32" s="3" t="n">
        <v>5.2</v>
      </c>
      <c r="L32" s="3" t="n">
        <v>5.2</v>
      </c>
    </row>
    <row r="33" customFormat="false" ht="15" hidden="false" customHeight="false" outlineLevel="0" collapsed="false">
      <c r="A33" s="0" t="s">
        <v>101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1.5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2</v>
      </c>
      <c r="D41" s="3" t="n">
        <v>3.5</v>
      </c>
      <c r="E41" s="3" t="n">
        <v>4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26.5</v>
      </c>
      <c r="D42" s="3" t="n">
        <v>27.2</v>
      </c>
      <c r="E42" s="3" t="n">
        <v>27.9</v>
      </c>
      <c r="F42" s="3" t="n">
        <v>28.6</v>
      </c>
      <c r="G42" s="3" t="n">
        <v>29.2</v>
      </c>
      <c r="H42" s="3" t="n">
        <v>29.5</v>
      </c>
      <c r="I42" s="3" t="n">
        <v>29.5</v>
      </c>
      <c r="J42" s="3" t="n">
        <v>29.5</v>
      </c>
      <c r="K42" s="3" t="n">
        <v>29.5</v>
      </c>
      <c r="L42" s="3" t="n">
        <v>29.5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99</v>
      </c>
      <c r="C45" s="3" t="n">
        <v>4.5</v>
      </c>
      <c r="D45" s="3" t="n">
        <v>4.5</v>
      </c>
      <c r="E45" s="3" t="n">
        <v>4.5</v>
      </c>
      <c r="F45" s="3" t="n">
        <v>4.5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100</v>
      </c>
      <c r="C46" s="3" t="n">
        <v>5</v>
      </c>
      <c r="D46" s="3" t="n">
        <v>5</v>
      </c>
      <c r="E46" s="3" t="n">
        <v>5</v>
      </c>
      <c r="F46" s="3" t="n">
        <v>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101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16</v>
      </c>
    </row>
    <row r="51" customFormat="false" ht="15" hidden="false" customHeight="false" outlineLevel="0" collapsed="false">
      <c r="A51" s="0" t="s">
        <v>105</v>
      </c>
      <c r="B51" s="3" t="n">
        <v>10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0</v>
      </c>
      <c r="D5" s="4" t="n">
        <f aca="false">Assumptions!D13</f>
        <v>-2</v>
      </c>
      <c r="E5" s="4" t="n">
        <f aca="false">Assumptions!E13</f>
        <v>-1.5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38</v>
      </c>
      <c r="B6" s="3" t="n">
        <v>37985</v>
      </c>
      <c r="C6" s="0" t="n">
        <f aca="false">B6*(1+C5/100)</f>
        <v>37985</v>
      </c>
      <c r="D6" s="0" t="n">
        <f aca="false">C6*(1+D5/100)</f>
        <v>37225.3</v>
      </c>
      <c r="E6" s="0" t="n">
        <f aca="false">D6*(1+E5/100)</f>
        <v>36666.9205</v>
      </c>
      <c r="F6" s="0" t="n">
        <f aca="false">E6*(1+F5/100)</f>
        <v>36300.251295</v>
      </c>
      <c r="G6" s="0" t="n">
        <f aca="false">F6*(1+G5/100)</f>
        <v>36300.251295</v>
      </c>
      <c r="H6" s="0" t="n">
        <f aca="false">G6*(1+H5/100)</f>
        <v>36481.752551475</v>
      </c>
      <c r="I6" s="0" t="n">
        <f aca="false">H6*(1+I5/100)</f>
        <v>36664.1613142324</v>
      </c>
      <c r="J6" s="0" t="n">
        <f aca="false">I6*(1+J5/100)</f>
        <v>36847.4821208035</v>
      </c>
      <c r="K6" s="0" t="n">
        <f aca="false">J6*(1+K5/100)</f>
        <v>37031.7195314075</v>
      </c>
      <c r="L6" s="0" t="n">
        <f aca="false">K6*(1+L5/100)</f>
        <v>37216.8781290646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25</v>
      </c>
      <c r="D7" s="4" t="n">
        <f aca="false">Assumptions!D14</f>
        <v>23.5</v>
      </c>
      <c r="E7" s="4" t="n">
        <f aca="false">Assumptions!E14</f>
        <v>22.5</v>
      </c>
      <c r="F7" s="4" t="n">
        <f aca="false">Assumptions!F14</f>
        <v>22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9496.25</v>
      </c>
      <c r="D8" s="0" t="n">
        <f aca="false">D6*D7/100</f>
        <v>8747.9455</v>
      </c>
      <c r="E8" s="0" t="n">
        <f aca="false">E6*E7/100</f>
        <v>8250.0571125</v>
      </c>
      <c r="F8" s="0" t="n">
        <f aca="false">F6*F7/100</f>
        <v>7986.0552849</v>
      </c>
      <c r="G8" s="0" t="n">
        <f aca="false">G6*G7/100</f>
        <v>7986.0552849</v>
      </c>
      <c r="H8" s="0" t="n">
        <f aca="false">H6*H7/100</f>
        <v>8025.9855613245</v>
      </c>
      <c r="I8" s="0" t="n">
        <f aca="false">I6*I7/100</f>
        <v>8066.11548913112</v>
      </c>
      <c r="J8" s="0" t="n">
        <f aca="false">J6*J7/100</f>
        <v>8106.44606657678</v>
      </c>
      <c r="K8" s="0" t="n">
        <f aca="false">K6*K7/100</f>
        <v>8146.97829690966</v>
      </c>
      <c r="L8" s="0" t="n">
        <f aca="false">L6*L7/100</f>
        <v>8187.71318839421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9401.2875</v>
      </c>
      <c r="D11" s="0" t="n">
        <f aca="false">D8+D10+D24</f>
        <v>8654.88225</v>
      </c>
      <c r="E11" s="0" t="n">
        <f aca="false">E8+E10+E24</f>
        <v>8158.38981125</v>
      </c>
      <c r="F11" s="0" t="n">
        <f aca="false">F8+F10+F24</f>
        <v>7895.3046566625</v>
      </c>
      <c r="G11" s="0" t="n">
        <f aca="false">G8+G10+G24</f>
        <v>7895.3046566625</v>
      </c>
      <c r="H11" s="0" t="n">
        <f aca="false">H8+H10+H24</f>
        <v>7934.78117994581</v>
      </c>
      <c r="I11" s="0" t="n">
        <f aca="false">I8+I10+I24</f>
        <v>7974.45508584554</v>
      </c>
      <c r="J11" s="0" t="n">
        <f aca="false">J8+J10+J24</f>
        <v>8014.32736127477</v>
      </c>
      <c r="K11" s="0" t="n">
        <f aca="false">K8+K10+K24</f>
        <v>8054.39899808114</v>
      </c>
      <c r="L11" s="0" t="n">
        <f aca="false">L8+L10+L24</f>
        <v>8094.67099307155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-1709.325</v>
      </c>
      <c r="D12" s="4" t="n">
        <f aca="false">-D6*Assumptions!D17/100</f>
        <v>-1675.1385</v>
      </c>
      <c r="E12" s="4" t="n">
        <f aca="false">-E6*Assumptions!E17/100</f>
        <v>-1650.0114225</v>
      </c>
      <c r="F12" s="4" t="n">
        <f aca="false">-F6*Assumptions!F17/100</f>
        <v>-1633.511308275</v>
      </c>
      <c r="G12" s="4" t="n">
        <f aca="false">-G6*Assumptions!G17/100</f>
        <v>-1633.511308275</v>
      </c>
      <c r="H12" s="4" t="n">
        <f aca="false">-H6*Assumptions!H17/100</f>
        <v>-1641.67886481638</v>
      </c>
      <c r="I12" s="4" t="n">
        <f aca="false">-I6*Assumptions!I17/100</f>
        <v>-1649.88725914046</v>
      </c>
      <c r="J12" s="4" t="n">
        <f aca="false">-J6*Assumptions!J17/100</f>
        <v>-1658.13669543616</v>
      </c>
      <c r="K12" s="4" t="n">
        <f aca="false">-K6*Assumptions!K17/100</f>
        <v>-1666.42737891334</v>
      </c>
      <c r="L12" s="4" t="n">
        <f aca="false">-L6*Assumptions!L17/100</f>
        <v>-1674.75951580791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7691.9625</v>
      </c>
      <c r="D13" s="0" t="n">
        <f aca="false">D11+D12</f>
        <v>6979.74375</v>
      </c>
      <c r="E13" s="0" t="n">
        <f aca="false">E11+E12</f>
        <v>6508.37838875</v>
      </c>
      <c r="F13" s="0" t="n">
        <f aca="false">F11+F12</f>
        <v>6261.7933483875</v>
      </c>
      <c r="G13" s="0" t="n">
        <f aca="false">G11+G12</f>
        <v>6261.7933483875</v>
      </c>
      <c r="H13" s="0" t="n">
        <f aca="false">H11+H12</f>
        <v>6293.10231512944</v>
      </c>
      <c r="I13" s="0" t="n">
        <f aca="false">I11+I12</f>
        <v>6324.56782670508</v>
      </c>
      <c r="J13" s="0" t="n">
        <f aca="false">J11+J12</f>
        <v>6356.19066583861</v>
      </c>
      <c r="K13" s="0" t="n">
        <f aca="false">K11+K12</f>
        <v>6387.9716191678</v>
      </c>
      <c r="L13" s="0" t="n">
        <f aca="false">L11+L12</f>
        <v>6419.91147726364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5768.971875</v>
      </c>
      <c r="D15" s="0" t="n">
        <f aca="false">D13-MAX(0,D13)*D14/100</f>
        <v>5234.8078125</v>
      </c>
      <c r="E15" s="0" t="n">
        <f aca="false">E13-MAX(0,E13)*E14/100</f>
        <v>4881.2837915625</v>
      </c>
      <c r="F15" s="0" t="n">
        <f aca="false">F13-MAX(0,F13)*F14/100</f>
        <v>4696.34501129063</v>
      </c>
      <c r="G15" s="0" t="n">
        <f aca="false">G13-MAX(0,G13)*G14/100</f>
        <v>4696.34501129063</v>
      </c>
      <c r="H15" s="0" t="n">
        <f aca="false">H13-MAX(0,H13)*H14/100</f>
        <v>4719.82673634708</v>
      </c>
      <c r="I15" s="0" t="n">
        <f aca="false">I13-MAX(0,I13)*I14/100</f>
        <v>4743.42587002881</v>
      </c>
      <c r="J15" s="0" t="n">
        <f aca="false">J13-MAX(0,J13)*J14/100</f>
        <v>4767.14299937896</v>
      </c>
      <c r="K15" s="0" t="n">
        <f aca="false">K13-MAX(0,K13)*K14/100</f>
        <v>4790.97871437585</v>
      </c>
      <c r="L15" s="0" t="n">
        <f aca="false">L13-MAX(0,L13)*L14/100</f>
        <v>4814.93360794773</v>
      </c>
    </row>
    <row r="16" customFormat="false" ht="15" hidden="false" customHeight="false" outlineLevel="0" collapsed="false">
      <c r="A16" s="0" t="s">
        <v>117</v>
      </c>
      <c r="C16" s="0" t="n">
        <f aca="false">-C12</f>
        <v>1709.325</v>
      </c>
      <c r="D16" s="0" t="n">
        <f aca="false">-D12</f>
        <v>1675.1385</v>
      </c>
      <c r="E16" s="0" t="n">
        <f aca="false">-E12</f>
        <v>1650.0114225</v>
      </c>
      <c r="F16" s="0" t="n">
        <f aca="false">-F12</f>
        <v>1633.511308275</v>
      </c>
      <c r="G16" s="0" t="n">
        <f aca="false">-G12</f>
        <v>1633.511308275</v>
      </c>
      <c r="H16" s="0" t="n">
        <f aca="false">-H12</f>
        <v>1641.67886481638</v>
      </c>
      <c r="I16" s="0" t="n">
        <f aca="false">-I12</f>
        <v>1649.88725914046</v>
      </c>
      <c r="J16" s="0" t="n">
        <f aca="false">-J12</f>
        <v>1658.13669543616</v>
      </c>
      <c r="K16" s="0" t="n">
        <f aca="false">-K12</f>
        <v>1666.42737891334</v>
      </c>
      <c r="L16" s="0" t="n">
        <f aca="false">-L12</f>
        <v>1674.75951580791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-2089.175</v>
      </c>
      <c r="D17" s="4" t="n">
        <f aca="false">-D6*Assumptions!D18/100</f>
        <v>-2047.3915</v>
      </c>
      <c r="E17" s="4" t="n">
        <f aca="false">-E6*Assumptions!E18/100</f>
        <v>-2016.6806275</v>
      </c>
      <c r="F17" s="4" t="n">
        <f aca="false">-F6*Assumptions!F18/100</f>
        <v>-1996.513821225</v>
      </c>
      <c r="G17" s="4" t="n">
        <f aca="false">-G6*Assumptions!G18/100</f>
        <v>-1996.513821225</v>
      </c>
      <c r="H17" s="4" t="n">
        <f aca="false">-H6*Assumptions!H18/100</f>
        <v>-2006.49639033113</v>
      </c>
      <c r="I17" s="4" t="n">
        <f aca="false">-I6*Assumptions!I18/100</f>
        <v>-2016.52887228278</v>
      </c>
      <c r="J17" s="4" t="n">
        <f aca="false">-J6*Assumptions!J18/100</f>
        <v>-2026.61151664419</v>
      </c>
      <c r="K17" s="4" t="n">
        <f aca="false">-K6*Assumptions!K18/100</f>
        <v>-2036.74457422742</v>
      </c>
      <c r="L17" s="4" t="n">
        <f aca="false">-L6*Assumptions!L18/100</f>
        <v>-2046.92829709855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-75.9699999999997</v>
      </c>
      <c r="E18" s="4" t="n">
        <f aca="false">(E6-D6)*Assumptions!$B$23/100</f>
        <v>-55.8379500000003</v>
      </c>
      <c r="F18" s="4" t="n">
        <f aca="false">(F6-E6)*Assumptions!$B$23/100</f>
        <v>-36.6669204999998</v>
      </c>
      <c r="G18" s="4" t="n">
        <f aca="false">(G6-F6)*Assumptions!$B$23/100</f>
        <v>0</v>
      </c>
      <c r="H18" s="4" t="n">
        <f aca="false">(H6-G6)*Assumptions!$B$23/100</f>
        <v>18.1501256475</v>
      </c>
      <c r="I18" s="4" t="n">
        <f aca="false">(I6-H6)*Assumptions!$B$23/100</f>
        <v>18.2408762757368</v>
      </c>
      <c r="J18" s="4" t="n">
        <f aca="false">(J6-I6)*Assumptions!$B$23/100</f>
        <v>18.3320806571159</v>
      </c>
      <c r="K18" s="4" t="n">
        <f aca="false">(K6-J6)*Assumptions!$B$23/100</f>
        <v>18.4237410604015</v>
      </c>
      <c r="L18" s="4" t="n">
        <f aca="false">(L6-K6)*Assumptions!$B$23/100</f>
        <v>18.5158597657035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5389.121875</v>
      </c>
      <c r="D19" s="0" t="n">
        <f aca="false">D15+D16+D17+D18</f>
        <v>4786.5848125</v>
      </c>
      <c r="E19" s="0" t="n">
        <f aca="false">E15+E16+E17+E18</f>
        <v>4458.7766365625</v>
      </c>
      <c r="F19" s="0" t="n">
        <f aca="false">F15+F16+F17+F18</f>
        <v>4296.67557784063</v>
      </c>
      <c r="G19" s="0" t="n">
        <f aca="false">G15+G16+G17+G18</f>
        <v>4333.34249834063</v>
      </c>
      <c r="H19" s="0" t="n">
        <f aca="false">H15+H16+H17+H18</f>
        <v>4373.15933647983</v>
      </c>
      <c r="I19" s="0" t="n">
        <f aca="false">I15+I16+I17+I18</f>
        <v>4395.02513316223</v>
      </c>
      <c r="J19" s="0" t="n">
        <f aca="false">J15+J16+J17+J18</f>
        <v>4417.00025882804</v>
      </c>
      <c r="K19" s="0" t="n">
        <f aca="false">K15+K16+K17+K18</f>
        <v>4439.08526012218</v>
      </c>
      <c r="L19" s="0" t="n">
        <f aca="false">L15+L16+L17+L18</f>
        <v>4461.28068642279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4966.93260368664</v>
      </c>
      <c r="D21" s="0" t="n">
        <f aca="false">D19*D20</f>
        <v>4065.98977468199</v>
      </c>
      <c r="E21" s="0" t="n">
        <f aca="false">E19*E20</f>
        <v>3490.81233785851</v>
      </c>
      <c r="F21" s="0" t="n">
        <f aca="false">F19*F20</f>
        <v>3100.37060481194</v>
      </c>
      <c r="G21" s="0" t="n">
        <f aca="false">G19*G20</f>
        <v>2881.86959606271</v>
      </c>
      <c r="H21" s="0" t="n">
        <f aca="false">H19*H20</f>
        <v>2680.50654565623</v>
      </c>
      <c r="I21" s="0" t="n">
        <f aca="false">I19*I20</f>
        <v>2482.8655100318</v>
      </c>
      <c r="J21" s="0" t="n">
        <f aca="false">J19*J20</f>
        <v>2299.797085329</v>
      </c>
      <c r="K21" s="0" t="n">
        <f aca="false">K19*K20</f>
        <v>2130.22679332317</v>
      </c>
      <c r="L21" s="0" t="n">
        <f aca="false">L19*L20</f>
        <v>1973.15937999059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-94.9625</v>
      </c>
      <c r="D24" s="0" t="n">
        <f aca="false">-D6*D23/100</f>
        <v>-93.06325</v>
      </c>
      <c r="E24" s="0" t="n">
        <f aca="false">-E6*E23/100</f>
        <v>-91.66730125</v>
      </c>
      <c r="F24" s="0" t="n">
        <f aca="false">-F6*F23/100</f>
        <v>-90.7506282375</v>
      </c>
      <c r="G24" s="0" t="n">
        <f aca="false">-G6*G23/100</f>
        <v>-90.7506282375</v>
      </c>
      <c r="H24" s="0" t="n">
        <f aca="false">-H6*H23/100</f>
        <v>-91.2043813786875</v>
      </c>
      <c r="I24" s="0" t="n">
        <f aca="false">-I6*I23/100</f>
        <v>-91.6604032855809</v>
      </c>
      <c r="J24" s="0" t="n">
        <f aca="false">-J6*J23/100</f>
        <v>-92.1187053020088</v>
      </c>
      <c r="K24" s="0" t="n">
        <f aca="false">-K6*K23/100</f>
        <v>-92.5792988285189</v>
      </c>
      <c r="L24" s="0" t="n">
        <f aca="false">-L6*L23/100</f>
        <v>-93.0421953226614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30072.5302314326</v>
      </c>
    </row>
    <row r="31" customFormat="false" ht="15" hidden="false" customHeight="false" outlineLevel="0" collapsed="false">
      <c r="A31" s="0" t="s">
        <v>126</v>
      </c>
      <c r="B31" s="0" t="n">
        <f aca="false">L19</f>
        <v>4461.28068642279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52485.6551343857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44612.8068642279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44612.8068642279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19731.5937999059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49804.1240313385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52341.1240313385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18.9104893924295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-0.0114746789111625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18.9104893924295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29741.8712428186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11.9546513812349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</v>
      </c>
      <c r="D5" s="4" t="n">
        <f aca="false">Assumptions!D27</f>
        <v>2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37985</v>
      </c>
      <c r="C6" s="0" t="n">
        <f aca="false">B6*(1+C5/100)</f>
        <v>38364.85</v>
      </c>
      <c r="D6" s="0" t="n">
        <f aca="false">C6*(1+D5/100)</f>
        <v>39132.147</v>
      </c>
      <c r="E6" s="0" t="n">
        <f aca="false">D6*(1+E5/100)</f>
        <v>40110.450675</v>
      </c>
      <c r="F6" s="0" t="n">
        <f aca="false">E6*(1+F5/100)</f>
        <v>41113.211941875</v>
      </c>
      <c r="G6" s="0" t="n">
        <f aca="false">F6*(1+G5/100)</f>
        <v>42141.0422404219</v>
      </c>
      <c r="H6" s="0" t="n">
        <f aca="false">G6*(1+H5/100)</f>
        <v>42983.8630852303</v>
      </c>
      <c r="I6" s="0" t="n">
        <f aca="false">H6*(1+I5/100)</f>
        <v>43843.5403469349</v>
      </c>
      <c r="J6" s="0" t="n">
        <f aca="false">I6*(1+J5/100)</f>
        <v>44720.4111538736</v>
      </c>
      <c r="K6" s="0" t="n">
        <f aca="false">J6*(1+K5/100)</f>
        <v>45614.8193769511</v>
      </c>
      <c r="L6" s="0" t="n">
        <f aca="false">K6*(1+L5/100)</f>
        <v>46527.1157644901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26</v>
      </c>
      <c r="D7" s="4" t="n">
        <f aca="false">Assumptions!D28</f>
        <v>26.3</v>
      </c>
      <c r="E7" s="4" t="n">
        <f aca="false">Assumptions!E28</f>
        <v>26.6</v>
      </c>
      <c r="F7" s="4" t="n">
        <f aca="false">Assumptions!F28</f>
        <v>26.9</v>
      </c>
      <c r="G7" s="4" t="n">
        <f aca="false">Assumptions!G28</f>
        <v>27.2</v>
      </c>
      <c r="H7" s="4" t="n">
        <f aca="false">Assumptions!H28</f>
        <v>27.5</v>
      </c>
      <c r="I7" s="4" t="n">
        <f aca="false">Assumptions!I28</f>
        <v>27.5</v>
      </c>
      <c r="J7" s="4" t="n">
        <f aca="false">Assumptions!J28</f>
        <v>27.5</v>
      </c>
      <c r="K7" s="4" t="n">
        <f aca="false">Assumptions!K28</f>
        <v>27.5</v>
      </c>
      <c r="L7" s="4" t="n">
        <f aca="false">Assumptions!L28</f>
        <v>27.5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9974.861</v>
      </c>
      <c r="D8" s="0" t="n">
        <f aca="false">D6*D7/100</f>
        <v>10291.754661</v>
      </c>
      <c r="E8" s="0" t="n">
        <f aca="false">E6*E7/100</f>
        <v>10669.37987955</v>
      </c>
      <c r="F8" s="0" t="n">
        <f aca="false">F6*F7/100</f>
        <v>11059.4540123644</v>
      </c>
      <c r="G8" s="0" t="n">
        <f aca="false">G6*G7/100</f>
        <v>11462.3634893947</v>
      </c>
      <c r="H8" s="0" t="n">
        <f aca="false">H6*H7/100</f>
        <v>11820.5623484383</v>
      </c>
      <c r="I8" s="0" t="n">
        <f aca="false">I6*I7/100</f>
        <v>12056.9735954071</v>
      </c>
      <c r="J8" s="0" t="n">
        <f aca="false">J6*J7/100</f>
        <v>12298.1130673152</v>
      </c>
      <c r="K8" s="0" t="n">
        <f aca="false">K6*K7/100</f>
        <v>12544.0753286615</v>
      </c>
      <c r="L8" s="0" t="n">
        <f aca="false">L6*L7/100</f>
        <v>12794.9568352348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9878.948875</v>
      </c>
      <c r="D11" s="0" t="n">
        <f aca="false">D8+D10+D24</f>
        <v>10193.9242935</v>
      </c>
      <c r="E11" s="0" t="n">
        <f aca="false">E8+E10+E24</f>
        <v>10569.1037528625</v>
      </c>
      <c r="F11" s="0" t="n">
        <f aca="false">F8+F10+F24</f>
        <v>10956.6709825097</v>
      </c>
      <c r="G11" s="0" t="n">
        <f aca="false">G8+G10+G24</f>
        <v>11357.0108837937</v>
      </c>
      <c r="H11" s="0" t="n">
        <f aca="false">H8+H10+H24</f>
        <v>11713.1026907253</v>
      </c>
      <c r="I11" s="0" t="n">
        <f aca="false">I8+I10+I24</f>
        <v>11947.3647445398</v>
      </c>
      <c r="J11" s="0" t="n">
        <f aca="false">J8+J10+J24</f>
        <v>12186.3120394306</v>
      </c>
      <c r="K11" s="0" t="n">
        <f aca="false">K8+K10+K24</f>
        <v>12430.0382802192</v>
      </c>
      <c r="L11" s="0" t="n">
        <f aca="false">L8+L10+L24</f>
        <v>12678.6390458236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-1726.41825</v>
      </c>
      <c r="D12" s="4" t="n">
        <f aca="false">-D6*Assumptions!D31/100</f>
        <v>-1760.946615</v>
      </c>
      <c r="E12" s="4" t="n">
        <f aca="false">-E6*Assumptions!E31/100</f>
        <v>-1804.970280375</v>
      </c>
      <c r="F12" s="4" t="n">
        <f aca="false">-F6*Assumptions!F31/100</f>
        <v>-1850.09453738437</v>
      </c>
      <c r="G12" s="4" t="n">
        <f aca="false">-G6*Assumptions!G31/100</f>
        <v>-1896.34690081898</v>
      </c>
      <c r="H12" s="4" t="n">
        <f aca="false">-H6*Assumptions!H31/100</f>
        <v>-1934.27383883536</v>
      </c>
      <c r="I12" s="4" t="n">
        <f aca="false">-I6*Assumptions!I31/100</f>
        <v>-1972.95931561207</v>
      </c>
      <c r="J12" s="4" t="n">
        <f aca="false">-J6*Assumptions!J31/100</f>
        <v>-2012.41850192431</v>
      </c>
      <c r="K12" s="4" t="n">
        <f aca="false">-K6*Assumptions!K31/100</f>
        <v>-2052.6668719628</v>
      </c>
      <c r="L12" s="4" t="n">
        <f aca="false">-L6*Assumptions!L31/100</f>
        <v>-2093.72020940205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8152.530625</v>
      </c>
      <c r="D13" s="0" t="n">
        <f aca="false">D11+D12</f>
        <v>8432.9776785</v>
      </c>
      <c r="E13" s="0" t="n">
        <f aca="false">E11+E12</f>
        <v>8764.1334724875</v>
      </c>
      <c r="F13" s="0" t="n">
        <f aca="false">F11+F12</f>
        <v>9106.57644512531</v>
      </c>
      <c r="G13" s="0" t="n">
        <f aca="false">G11+G12</f>
        <v>9460.66398297471</v>
      </c>
      <c r="H13" s="0" t="n">
        <f aca="false">H11+H12</f>
        <v>9778.82885188989</v>
      </c>
      <c r="I13" s="0" t="n">
        <f aca="false">I11+I12</f>
        <v>9974.40542892769</v>
      </c>
      <c r="J13" s="0" t="n">
        <f aca="false">J11+J12</f>
        <v>10173.8935375062</v>
      </c>
      <c r="K13" s="0" t="n">
        <f aca="false">K11+K12</f>
        <v>10377.3714082564</v>
      </c>
      <c r="L13" s="0" t="n">
        <f aca="false">L11+L12</f>
        <v>10584.9188364215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6114.39796875</v>
      </c>
      <c r="D15" s="0" t="n">
        <f aca="false">D13-MAX(0,D13)*D14/100</f>
        <v>6324.733258875</v>
      </c>
      <c r="E15" s="0" t="n">
        <f aca="false">E13-MAX(0,E13)*E14/100</f>
        <v>6573.10010436562</v>
      </c>
      <c r="F15" s="0" t="n">
        <f aca="false">F13-MAX(0,F13)*F14/100</f>
        <v>6829.93233384398</v>
      </c>
      <c r="G15" s="0" t="n">
        <f aca="false">G13-MAX(0,G13)*G14/100</f>
        <v>7095.49798723103</v>
      </c>
      <c r="H15" s="0" t="n">
        <f aca="false">H13-MAX(0,H13)*H14/100</f>
        <v>7334.12163891742</v>
      </c>
      <c r="I15" s="0" t="n">
        <f aca="false">I13-MAX(0,I13)*I14/100</f>
        <v>7480.80407169577</v>
      </c>
      <c r="J15" s="0" t="n">
        <f aca="false">J13-MAX(0,J13)*J14/100</f>
        <v>7630.42015312969</v>
      </c>
      <c r="K15" s="0" t="n">
        <f aca="false">K13-MAX(0,K13)*K14/100</f>
        <v>7783.02855619228</v>
      </c>
      <c r="L15" s="0" t="n">
        <f aca="false">L13-MAX(0,L13)*L14/100</f>
        <v>7938.68912731612</v>
      </c>
    </row>
    <row r="16" customFormat="false" ht="15" hidden="false" customHeight="false" outlineLevel="0" collapsed="false">
      <c r="A16" s="0" t="s">
        <v>117</v>
      </c>
      <c r="C16" s="0" t="n">
        <f aca="false">-C12</f>
        <v>1726.41825</v>
      </c>
      <c r="D16" s="0" t="n">
        <f aca="false">-D12</f>
        <v>1760.946615</v>
      </c>
      <c r="E16" s="0" t="n">
        <f aca="false">-E12</f>
        <v>1804.970280375</v>
      </c>
      <c r="F16" s="0" t="n">
        <f aca="false">-F12</f>
        <v>1850.09453738437</v>
      </c>
      <c r="G16" s="0" t="n">
        <f aca="false">-G12</f>
        <v>1896.34690081898</v>
      </c>
      <c r="H16" s="0" t="n">
        <f aca="false">-H12</f>
        <v>1934.27383883536</v>
      </c>
      <c r="I16" s="0" t="n">
        <f aca="false">-I12</f>
        <v>1972.95931561207</v>
      </c>
      <c r="J16" s="0" t="n">
        <f aca="false">-J12</f>
        <v>2012.41850192431</v>
      </c>
      <c r="K16" s="0" t="n">
        <f aca="false">-K12</f>
        <v>2052.6668719628</v>
      </c>
      <c r="L16" s="0" t="n">
        <f aca="false">-L12</f>
        <v>2093.72020940205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-1994.9722</v>
      </c>
      <c r="D17" s="4" t="n">
        <f aca="false">-D6*Assumptions!D32/100</f>
        <v>-2034.871644</v>
      </c>
      <c r="E17" s="4" t="n">
        <f aca="false">-E6*Assumptions!E32/100</f>
        <v>-2085.7434351</v>
      </c>
      <c r="F17" s="4" t="n">
        <f aca="false">-F6*Assumptions!F32/100</f>
        <v>-2137.8870209775</v>
      </c>
      <c r="G17" s="4" t="n">
        <f aca="false">-G6*Assumptions!G32/100</f>
        <v>-2191.33419650194</v>
      </c>
      <c r="H17" s="4" t="n">
        <f aca="false">-H6*Assumptions!H32/100</f>
        <v>-2235.16088043198</v>
      </c>
      <c r="I17" s="4" t="n">
        <f aca="false">-I6*Assumptions!I32/100</f>
        <v>-2279.86409804062</v>
      </c>
      <c r="J17" s="4" t="n">
        <f aca="false">-J6*Assumptions!J32/100</f>
        <v>-2325.46138000143</v>
      </c>
      <c r="K17" s="4" t="n">
        <f aca="false">-K6*Assumptions!K32/100</f>
        <v>-2371.97060760146</v>
      </c>
      <c r="L17" s="4" t="n">
        <f aca="false">-L6*Assumptions!L32/100</f>
        <v>-2419.41001975349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37.9849999999999</v>
      </c>
      <c r="D18" s="4" t="n">
        <f aca="false">(D6-C6)*Assumptions!$B$37/100</f>
        <v>76.7296999999999</v>
      </c>
      <c r="E18" s="4" t="n">
        <f aca="false">(E6-D6)*Assumptions!$B$37/100</f>
        <v>97.8303674999996</v>
      </c>
      <c r="F18" s="4" t="n">
        <f aca="false">(F6-E6)*Assumptions!$B$37/100</f>
        <v>100.276126687499</v>
      </c>
      <c r="G18" s="4" t="n">
        <f aca="false">(G6-F6)*Assumptions!$B$37/100</f>
        <v>102.783029854687</v>
      </c>
      <c r="H18" s="4" t="n">
        <f aca="false">(H6-G6)*Assumptions!$B$37/100</f>
        <v>84.2820844808441</v>
      </c>
      <c r="I18" s="4" t="n">
        <f aca="false">(I6-H6)*Assumptions!$B$37/100</f>
        <v>85.9677261704608</v>
      </c>
      <c r="J18" s="4" t="n">
        <f aca="false">(J6-I6)*Assumptions!$B$37/100</f>
        <v>87.6870806938699</v>
      </c>
      <c r="K18" s="4" t="n">
        <f aca="false">(K6-J6)*Assumptions!$B$37/100</f>
        <v>89.4408223077473</v>
      </c>
      <c r="L18" s="4" t="n">
        <f aca="false">(L6-K6)*Assumptions!$B$37/100</f>
        <v>91.229638753902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5883.82901875</v>
      </c>
      <c r="D19" s="0" t="n">
        <f aca="false">D15+D16+D17+D18</f>
        <v>6127.537929875</v>
      </c>
      <c r="E19" s="0" t="n">
        <f aca="false">E15+E16+E17+E18</f>
        <v>6390.15731714062</v>
      </c>
      <c r="F19" s="0" t="n">
        <f aca="false">F15+F16+F17+F18</f>
        <v>6642.41597693836</v>
      </c>
      <c r="G19" s="0" t="n">
        <f aca="false">G15+G16+G17+G18</f>
        <v>6903.29372140276</v>
      </c>
      <c r="H19" s="0" t="n">
        <f aca="false">H15+H16+H17+H18</f>
        <v>7117.51668180165</v>
      </c>
      <c r="I19" s="0" t="n">
        <f aca="false">I15+I16+I17+I18</f>
        <v>7259.86701543768</v>
      </c>
      <c r="J19" s="0" t="n">
        <f aca="false">J15+J16+J17+J18</f>
        <v>7405.06435574644</v>
      </c>
      <c r="K19" s="0" t="n">
        <f aca="false">K15+K16+K17+K18</f>
        <v>7553.16564286137</v>
      </c>
      <c r="L19" s="0" t="n">
        <f aca="false">L15+L16+L17+L18</f>
        <v>7704.2289557186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5422.88388824885</v>
      </c>
      <c r="D21" s="0" t="n">
        <f aca="false">D19*D20</f>
        <v>5205.06948958356</v>
      </c>
      <c r="E21" s="0" t="n">
        <f aca="false">E19*E20</f>
        <v>5002.90591383578</v>
      </c>
      <c r="F21" s="0" t="n">
        <f aca="false">F19*F20</f>
        <v>4792.99655436931</v>
      </c>
      <c r="G21" s="0" t="n">
        <f aca="false">G19*G20</f>
        <v>4591.0038950347</v>
      </c>
      <c r="H21" s="0" t="n">
        <f aca="false">H19*H20</f>
        <v>4362.64690729151</v>
      </c>
      <c r="I21" s="0" t="n">
        <f aca="false">I19*I20</f>
        <v>4101.29018012658</v>
      </c>
      <c r="J21" s="0" t="n">
        <f aca="false">J19*J20</f>
        <v>3855.59076841393</v>
      </c>
      <c r="K21" s="0" t="n">
        <f aca="false">K19*K20</f>
        <v>3624.61067629696</v>
      </c>
      <c r="L21" s="0" t="n">
        <f aca="false">L19*L20</f>
        <v>3407.46810121927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-95.912125</v>
      </c>
      <c r="D24" s="0" t="n">
        <f aca="false">-D6*D23/100</f>
        <v>-97.8303675</v>
      </c>
      <c r="E24" s="0" t="n">
        <f aca="false">-E6*E23/100</f>
        <v>-100.2761266875</v>
      </c>
      <c r="F24" s="0" t="n">
        <f aca="false">-F6*F23/100</f>
        <v>-102.783029854687</v>
      </c>
      <c r="G24" s="0" t="n">
        <f aca="false">-G6*G23/100</f>
        <v>-105.352605601055</v>
      </c>
      <c r="H24" s="0" t="n">
        <f aca="false">-H6*H23/100</f>
        <v>-107.459657713076</v>
      </c>
      <c r="I24" s="0" t="n">
        <f aca="false">-I6*I23/100</f>
        <v>-109.608850867337</v>
      </c>
      <c r="J24" s="0" t="n">
        <f aca="false">-J6*J23/100</f>
        <v>-111.801027884684</v>
      </c>
      <c r="K24" s="0" t="n">
        <f aca="false">-K6*K23/100</f>
        <v>-114.037048442378</v>
      </c>
      <c r="L24" s="0" t="n">
        <f aca="false">-L6*L23/100</f>
        <v>-116.317789411225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44366.4663744204</v>
      </c>
    </row>
    <row r="31" customFormat="false" ht="15" hidden="false" customHeight="false" outlineLevel="0" collapsed="false">
      <c r="A31" s="0" t="s">
        <v>126</v>
      </c>
      <c r="B31" s="0" t="n">
        <f aca="false">L19</f>
        <v>7704.2289557186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111711.31985792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115563.434335779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111711.31985792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49408.2874676793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93774.7538420998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96311.7538420998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34.7967765901785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0.818963752753709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34.7967765901785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57924.3880744768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18.1784054562345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2</v>
      </c>
      <c r="D5" s="4" t="n">
        <f aca="false">Assumptions!D41</f>
        <v>3.5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37985</v>
      </c>
      <c r="C6" s="0" t="n">
        <f aca="false">B6*(1+C5/100)</f>
        <v>38744.7</v>
      </c>
      <c r="D6" s="0" t="n">
        <f aca="false">C6*(1+D5/100)</f>
        <v>40100.7645</v>
      </c>
      <c r="E6" s="0" t="n">
        <f aca="false">D6*(1+E5/100)</f>
        <v>41704.79508</v>
      </c>
      <c r="F6" s="0" t="n">
        <f aca="false">E6*(1+F5/100)</f>
        <v>43372.9868832</v>
      </c>
      <c r="G6" s="0" t="n">
        <f aca="false">F6*(1+G5/100)</f>
        <v>45107.906358528</v>
      </c>
      <c r="H6" s="0" t="n">
        <f aca="false">G6*(1+H5/100)</f>
        <v>46686.6830810765</v>
      </c>
      <c r="I6" s="0" t="n">
        <f aca="false">H6*(1+I5/100)</f>
        <v>48087.2835735088</v>
      </c>
      <c r="J6" s="0" t="n">
        <f aca="false">I6*(1+J5/100)</f>
        <v>49529.902080714</v>
      </c>
      <c r="K6" s="0" t="n">
        <f aca="false">J6*(1+K5/100)</f>
        <v>50768.1496327319</v>
      </c>
      <c r="L6" s="0" t="n">
        <f aca="false">K6*(1+L5/100)</f>
        <v>52037.3533735502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26.5</v>
      </c>
      <c r="D7" s="4" t="n">
        <f aca="false">Assumptions!D42</f>
        <v>27.2</v>
      </c>
      <c r="E7" s="4" t="n">
        <f aca="false">Assumptions!E42</f>
        <v>27.9</v>
      </c>
      <c r="F7" s="4" t="n">
        <f aca="false">Assumptions!F42</f>
        <v>28.6</v>
      </c>
      <c r="G7" s="4" t="n">
        <f aca="false">Assumptions!G42</f>
        <v>29.2</v>
      </c>
      <c r="H7" s="4" t="n">
        <f aca="false">Assumptions!H42</f>
        <v>29.5</v>
      </c>
      <c r="I7" s="4" t="n">
        <f aca="false">Assumptions!I42</f>
        <v>29.5</v>
      </c>
      <c r="J7" s="4" t="n">
        <f aca="false">Assumptions!J42</f>
        <v>29.5</v>
      </c>
      <c r="K7" s="4" t="n">
        <f aca="false">Assumptions!K42</f>
        <v>29.5</v>
      </c>
      <c r="L7" s="4" t="n">
        <f aca="false">Assumptions!L42</f>
        <v>29.5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10267.3455</v>
      </c>
      <c r="D8" s="0" t="n">
        <f aca="false">D6*D7/100</f>
        <v>10907.407944</v>
      </c>
      <c r="E8" s="0" t="n">
        <f aca="false">E6*E7/100</f>
        <v>11635.63782732</v>
      </c>
      <c r="F8" s="0" t="n">
        <f aca="false">F6*F7/100</f>
        <v>12404.6742485952</v>
      </c>
      <c r="G8" s="0" t="n">
        <f aca="false">G6*G7/100</f>
        <v>13171.5086566902</v>
      </c>
      <c r="H8" s="0" t="n">
        <f aca="false">H6*H7/100</f>
        <v>13772.5715089176</v>
      </c>
      <c r="I8" s="0" t="n">
        <f aca="false">I6*I7/100</f>
        <v>14185.7486541851</v>
      </c>
      <c r="J8" s="0" t="n">
        <f aca="false">J6*J7/100</f>
        <v>14611.3211138106</v>
      </c>
      <c r="K8" s="0" t="n">
        <f aca="false">K6*K7/100</f>
        <v>14976.6041416559</v>
      </c>
      <c r="L8" s="0" t="n">
        <f aca="false">L6*L7/100</f>
        <v>15351.0192451973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10170.48375</v>
      </c>
      <c r="D11" s="0" t="n">
        <f aca="false">D8+D10+D24</f>
        <v>10807.15603275</v>
      </c>
      <c r="E11" s="0" t="n">
        <f aca="false">E8+E10+E24</f>
        <v>11531.37583962</v>
      </c>
      <c r="F11" s="0" t="n">
        <f aca="false">F8+F10+F24</f>
        <v>12296.2417813872</v>
      </c>
      <c r="G11" s="0" t="n">
        <f aca="false">G8+G10+G24</f>
        <v>13058.7388907939</v>
      </c>
      <c r="H11" s="0" t="n">
        <f aca="false">H8+H10+H24</f>
        <v>13655.8548012149</v>
      </c>
      <c r="I11" s="0" t="n">
        <f aca="false">I8+I10+I24</f>
        <v>14065.5304452513</v>
      </c>
      <c r="J11" s="0" t="n">
        <f aca="false">J8+J10+J24</f>
        <v>14487.4963586089</v>
      </c>
      <c r="K11" s="0" t="n">
        <f aca="false">K8+K10+K24</f>
        <v>14849.6837675741</v>
      </c>
      <c r="L11" s="0" t="n">
        <f aca="false">L8+L10+L24</f>
        <v>15220.9258617634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-1743.5115</v>
      </c>
      <c r="D12" s="4" t="n">
        <f aca="false">-D6*Assumptions!D45/100</f>
        <v>-1804.5344025</v>
      </c>
      <c r="E12" s="4" t="n">
        <f aca="false">-E6*Assumptions!E45/100</f>
        <v>-1876.7157786</v>
      </c>
      <c r="F12" s="4" t="n">
        <f aca="false">-F6*Assumptions!F45/100</f>
        <v>-1951.784409744</v>
      </c>
      <c r="G12" s="4" t="n">
        <f aca="false">-G6*Assumptions!G45/100</f>
        <v>-2029.85578613376</v>
      </c>
      <c r="H12" s="4" t="n">
        <f aca="false">-H6*Assumptions!H45/100</f>
        <v>-2100.90073864844</v>
      </c>
      <c r="I12" s="4" t="n">
        <f aca="false">-I6*Assumptions!I45/100</f>
        <v>-2163.9277608079</v>
      </c>
      <c r="J12" s="4" t="n">
        <f aca="false">-J6*Assumptions!J45/100</f>
        <v>-2228.84559363213</v>
      </c>
      <c r="K12" s="4" t="n">
        <f aca="false">-K6*Assumptions!K45/100</f>
        <v>-2284.56673347294</v>
      </c>
      <c r="L12" s="4" t="n">
        <f aca="false">-L6*Assumptions!L45/100</f>
        <v>-2341.68090180976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8426.97225</v>
      </c>
      <c r="D13" s="0" t="n">
        <f aca="false">D11+D12</f>
        <v>9002.62163025</v>
      </c>
      <c r="E13" s="0" t="n">
        <f aca="false">E11+E12</f>
        <v>9654.66006102</v>
      </c>
      <c r="F13" s="0" t="n">
        <f aca="false">F11+F12</f>
        <v>10344.4573716432</v>
      </c>
      <c r="G13" s="0" t="n">
        <f aca="false">G11+G12</f>
        <v>11028.8831046601</v>
      </c>
      <c r="H13" s="0" t="n">
        <f aca="false">H11+H12</f>
        <v>11554.9540625664</v>
      </c>
      <c r="I13" s="0" t="n">
        <f aca="false">I11+I12</f>
        <v>11901.6026844434</v>
      </c>
      <c r="J13" s="0" t="n">
        <f aca="false">J11+J12</f>
        <v>12258.6507649767</v>
      </c>
      <c r="K13" s="0" t="n">
        <f aca="false">K11+K12</f>
        <v>12565.1170341011</v>
      </c>
      <c r="L13" s="0" t="n">
        <f aca="false">L11+L12</f>
        <v>12879.2449599537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6320.2291875</v>
      </c>
      <c r="D15" s="0" t="n">
        <f aca="false">D13-MAX(0,D13)*D14/100</f>
        <v>6751.9662226875</v>
      </c>
      <c r="E15" s="0" t="n">
        <f aca="false">E13-MAX(0,E13)*E14/100</f>
        <v>7240.995045765</v>
      </c>
      <c r="F15" s="0" t="n">
        <f aca="false">F13-MAX(0,F13)*F14/100</f>
        <v>7758.3430287324</v>
      </c>
      <c r="G15" s="0" t="n">
        <f aca="false">G13-MAX(0,G13)*G14/100</f>
        <v>8271.66232849507</v>
      </c>
      <c r="H15" s="0" t="n">
        <f aca="false">H13-MAX(0,H13)*H14/100</f>
        <v>8666.21554692482</v>
      </c>
      <c r="I15" s="0" t="n">
        <f aca="false">I13-MAX(0,I13)*I14/100</f>
        <v>8926.20201333257</v>
      </c>
      <c r="J15" s="0" t="n">
        <f aca="false">J13-MAX(0,J13)*J14/100</f>
        <v>9193.98807373254</v>
      </c>
      <c r="K15" s="0" t="n">
        <f aca="false">K13-MAX(0,K13)*K14/100</f>
        <v>9423.83777557586</v>
      </c>
      <c r="L15" s="0" t="n">
        <f aca="false">L13-MAX(0,L13)*L14/100</f>
        <v>9659.43371996525</v>
      </c>
    </row>
    <row r="16" customFormat="false" ht="15" hidden="false" customHeight="false" outlineLevel="0" collapsed="false">
      <c r="A16" s="0" t="s">
        <v>117</v>
      </c>
      <c r="C16" s="0" t="n">
        <f aca="false">-C12</f>
        <v>1743.5115</v>
      </c>
      <c r="D16" s="0" t="n">
        <f aca="false">-D12</f>
        <v>1804.5344025</v>
      </c>
      <c r="E16" s="0" t="n">
        <f aca="false">-E12</f>
        <v>1876.7157786</v>
      </c>
      <c r="F16" s="0" t="n">
        <f aca="false">-F12</f>
        <v>1951.784409744</v>
      </c>
      <c r="G16" s="0" t="n">
        <f aca="false">-G12</f>
        <v>2029.85578613376</v>
      </c>
      <c r="H16" s="0" t="n">
        <f aca="false">-H12</f>
        <v>2100.90073864844</v>
      </c>
      <c r="I16" s="0" t="n">
        <f aca="false">-I12</f>
        <v>2163.9277608079</v>
      </c>
      <c r="J16" s="0" t="n">
        <f aca="false">-J12</f>
        <v>2228.84559363213</v>
      </c>
      <c r="K16" s="0" t="n">
        <f aca="false">-K12</f>
        <v>2284.56673347294</v>
      </c>
      <c r="L16" s="0" t="n">
        <f aca="false">-L12</f>
        <v>2341.68090180976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-1937.235</v>
      </c>
      <c r="D17" s="4" t="n">
        <f aca="false">-D6*Assumptions!D46/100</f>
        <v>-2005.038225</v>
      </c>
      <c r="E17" s="4" t="n">
        <f aca="false">-E6*Assumptions!E46/100</f>
        <v>-2085.239754</v>
      </c>
      <c r="F17" s="4" t="n">
        <f aca="false">-F6*Assumptions!F46/100</f>
        <v>-2168.64934416</v>
      </c>
      <c r="G17" s="4" t="n">
        <f aca="false">-G6*Assumptions!G46/100</f>
        <v>-2255.3953179264</v>
      </c>
      <c r="H17" s="4" t="n">
        <f aca="false">-H6*Assumptions!H46/100</f>
        <v>-2334.33415405382</v>
      </c>
      <c r="I17" s="4" t="n">
        <f aca="false">-I6*Assumptions!I46/100</f>
        <v>-2404.36417867544</v>
      </c>
      <c r="J17" s="4" t="n">
        <f aca="false">-J6*Assumptions!J46/100</f>
        <v>-2476.4951040357</v>
      </c>
      <c r="K17" s="4" t="n">
        <f aca="false">-K6*Assumptions!K46/100</f>
        <v>-2538.40748163659</v>
      </c>
      <c r="L17" s="4" t="n">
        <f aca="false">-L6*Assumptions!L46/100</f>
        <v>-2601.86766867751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75.9699999999997</v>
      </c>
      <c r="D18" s="4" t="n">
        <f aca="false">(D6-C6)*Assumptions!$B$51/100</f>
        <v>135.60645</v>
      </c>
      <c r="E18" s="4" t="n">
        <f aca="false">(E6-D6)*Assumptions!$B$51/100</f>
        <v>160.403058</v>
      </c>
      <c r="F18" s="4" t="n">
        <f aca="false">(F6-E6)*Assumptions!$B$51/100</f>
        <v>166.81918032</v>
      </c>
      <c r="G18" s="4" t="n">
        <f aca="false">(G6-F6)*Assumptions!$B$51/100</f>
        <v>173.4919475328</v>
      </c>
      <c r="H18" s="4" t="n">
        <f aca="false">(H6-G6)*Assumptions!$B$51/100</f>
        <v>157.877672254848</v>
      </c>
      <c r="I18" s="4" t="n">
        <f aca="false">(I6-H6)*Assumptions!$B$51/100</f>
        <v>140.06004924323</v>
      </c>
      <c r="J18" s="4" t="n">
        <f aca="false">(J6-I6)*Assumptions!$B$51/100</f>
        <v>144.261850720526</v>
      </c>
      <c r="K18" s="4" t="n">
        <f aca="false">(K6-J6)*Assumptions!$B$51/100</f>
        <v>123.824755201785</v>
      </c>
      <c r="L18" s="4" t="n">
        <f aca="false">(L6-K6)*Assumptions!$B$51/100</f>
        <v>126.92037408183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6202.4756875</v>
      </c>
      <c r="D19" s="0" t="n">
        <f aca="false">D15+D16+D17+D18</f>
        <v>6687.0688501875</v>
      </c>
      <c r="E19" s="0" t="n">
        <f aca="false">E15+E16+E17+E18</f>
        <v>7192.874128365</v>
      </c>
      <c r="F19" s="0" t="n">
        <f aca="false">F15+F16+F17+F18</f>
        <v>7708.2972746364</v>
      </c>
      <c r="G19" s="0" t="n">
        <f aca="false">G15+G16+G17+G18</f>
        <v>8219.61474423523</v>
      </c>
      <c r="H19" s="0" t="n">
        <f aca="false">H15+H16+H17+H18</f>
        <v>8590.65980377429</v>
      </c>
      <c r="I19" s="0" t="n">
        <f aca="false">I15+I16+I17+I18</f>
        <v>8825.82564470825</v>
      </c>
      <c r="J19" s="0" t="n">
        <f aca="false">J15+J16+J17+J18</f>
        <v>9090.6004140495</v>
      </c>
      <c r="K19" s="0" t="n">
        <f aca="false">K15+K16+K17+K18</f>
        <v>9293.82178261398</v>
      </c>
      <c r="L19" s="0" t="n">
        <f aca="false">L15+L16+L17+L18</f>
        <v>9526.16732717933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5716.56745391705</v>
      </c>
      <c r="D21" s="0" t="n">
        <f aca="false">D19*D20</f>
        <v>5680.36598796959</v>
      </c>
      <c r="E21" s="0" t="n">
        <f aca="false">E19*E20</f>
        <v>5631.35940608983</v>
      </c>
      <c r="F21" s="0" t="n">
        <f aca="false">F19*F20</f>
        <v>5562.10908887038</v>
      </c>
      <c r="G21" s="0" t="n">
        <f aca="false">G19*G20</f>
        <v>5466.41716684779</v>
      </c>
      <c r="H21" s="0" t="n">
        <f aca="false">H19*H20</f>
        <v>5265.60275163873</v>
      </c>
      <c r="I21" s="0" t="n">
        <f aca="false">I19*I20</f>
        <v>4985.94147402148</v>
      </c>
      <c r="J21" s="0" t="n">
        <f aca="false">J19*J20</f>
        <v>4733.19789699735</v>
      </c>
      <c r="K21" s="0" t="n">
        <f aca="false">K19*K20</f>
        <v>4459.91617947656</v>
      </c>
      <c r="L21" s="0" t="n">
        <f aca="false">L19*L20</f>
        <v>4213.28487001242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-96.86175</v>
      </c>
      <c r="D24" s="0" t="n">
        <f aca="false">-D6*D23/100</f>
        <v>-100.25191125</v>
      </c>
      <c r="E24" s="0" t="n">
        <f aca="false">-E6*E23/100</f>
        <v>-104.2619877</v>
      </c>
      <c r="F24" s="0" t="n">
        <f aca="false">-F6*F23/100</f>
        <v>-108.432467208</v>
      </c>
      <c r="G24" s="0" t="n">
        <f aca="false">-G6*G23/100</f>
        <v>-112.76976589632</v>
      </c>
      <c r="H24" s="0" t="n">
        <f aca="false">-H6*H23/100</f>
        <v>-116.716707702691</v>
      </c>
      <c r="I24" s="0" t="n">
        <f aca="false">-I6*I23/100</f>
        <v>-120.218208933772</v>
      </c>
      <c r="J24" s="0" t="n">
        <f aca="false">-J6*J23/100</f>
        <v>-123.824755201785</v>
      </c>
      <c r="K24" s="0" t="n">
        <f aca="false">-K6*K23/100</f>
        <v>-126.92037408183</v>
      </c>
      <c r="L24" s="0" t="n">
        <f aca="false">-L6*L23/100</f>
        <v>-130.093383433875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51714.7622758412</v>
      </c>
    </row>
    <row r="31" customFormat="false" ht="15" hidden="false" customHeight="false" outlineLevel="0" collapsed="false">
      <c r="A31" s="0" t="s">
        <v>126</v>
      </c>
      <c r="B31" s="0" t="n">
        <f aca="false">L19</f>
        <v>9526.16732717933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149487.548826506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152418.677234869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149487.548826506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66116.1625755796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117830.924851421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120367.924851421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43.4881063067864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1.27329358634534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43.4881063067864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74743.7744132532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21.5641106007974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18.9104893924295</v>
      </c>
      <c r="C4" s="0" t="n">
        <f aca="false">B4/Assumptions!$B$2-1</f>
        <v>-0.0114746789111625</v>
      </c>
      <c r="D4" s="4" t="n">
        <f aca="false">Assumptions!$B$24</f>
        <v>0.25</v>
      </c>
      <c r="E4" s="4" t="n">
        <f aca="false">DCF_Bear!$B$43</f>
        <v>18.9104893924295</v>
      </c>
      <c r="F4" s="4" t="n">
        <f aca="false">DCF_Bear!$B$47</f>
        <v>11.9546513812349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34.7967765901785</v>
      </c>
      <c r="C5" s="0" t="n">
        <f aca="false">B5/Assumptions!$B$2-1</f>
        <v>0.818963752753709</v>
      </c>
      <c r="D5" s="4" t="n">
        <f aca="false">Assumptions!$B$38</f>
        <v>0.5</v>
      </c>
      <c r="E5" s="4" t="n">
        <f aca="false">DCF_Base!$B$43</f>
        <v>34.7967765901785</v>
      </c>
      <c r="F5" s="4" t="n">
        <f aca="false">DCF_Base!$B$47</f>
        <v>18.1784054562345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43.4881063067864</v>
      </c>
      <c r="C6" s="0" t="n">
        <f aca="false">B6/Assumptions!$B$2-1</f>
        <v>1.27329358634534</v>
      </c>
      <c r="D6" s="4" t="n">
        <f aca="false">Assumptions!$B$52</f>
        <v>0.25</v>
      </c>
      <c r="E6" s="4" t="n">
        <f aca="false">DCF_Bull!$B$43</f>
        <v>43.4881063067864</v>
      </c>
      <c r="F6" s="4" t="n">
        <f aca="false">DCF_Bull!$B$47</f>
        <v>21.5641106007974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32.9980372198932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32.9980372198932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0.420268548928501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17.4688932236253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34.7967765901785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32.4893062330435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28.6919368756303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25.6975906583755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23.2766253234453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18.1784054562345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40.802033697236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40.802033697236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40.802033697236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40.802033697236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40.802033697236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37.1134910714503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37.9816889800859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37.9816889800859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37.9816889800859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37.9816889800859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32.4115302759209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33.5246452225744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34.7967765901785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35.4123240261159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35.4123240261159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28.7632418420591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29.5670832993152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30.4714049387283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31.4963027967298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32.6676146344458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25.8519566636276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26.4484077047076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27.1111310836854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27.8518219190135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28.6850991087577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2026-10-10T21:53:43Z</dcterms:created>
  <dc:creator>openpyxl</dc:creator>
  <dc:description/>
  <dc:language>en-NZ</dc:language>
  <cp:lastModifiedBy/>
  <dcterms:modified xsi:type="dcterms:W3CDTF">2026-10-10T21:53:43Z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