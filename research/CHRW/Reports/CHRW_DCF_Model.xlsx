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<sst xmlns="http://schemas.openxmlformats.org/spreadsheetml/2006/main" count="390" uniqueCount="175">
  <si>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</si>
  <si>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CHRW</t>
  </si>
  <si>
    <t xml:space="preserve">Company</t>
  </si>
  <si>
    <t xml:space="preserve">C.H. Robinson Worldwide,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</si>
  <si>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</si>
  <si>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</si>
  <si>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</si>
  <si>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</si>
  <si>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</si>
  <si>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</si>
  <si>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</si>
  <si>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</si>
  <si>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</si>
  <si>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</si>
  <si>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</si>
  <si>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</si>
  <si>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</si>
  <si>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</si>
  <si>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</si>
  <si>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</si>
  <si>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</si>
  <si>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2026-09-26T00:42:54Z</t>
  </si>
  <si>
    <t xml:space="preserve">Drivers file</t>
  </si>
  <si>
    <t xml:space="preserve">CHRW_Drivers.json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</si>
  <si>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</si>
  <si>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</si>
  <si>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</si>
  <si>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an asset-light freight broker on the through-cycle owner free cash flow it earns, not on a trough or peak year. Gross revenue is mostly pass-through carrier cost, so the judgment is carried by the margin on gross revenue, anchored to reaffirmed FY2026 guidance and to how much of the Lean-AI cost-out survives a cycle. SBC and the cash tax withheld on vesting awards are charged as the cost they are; buybacks keep the count flat.
key_risks_to_valuation: Margin on gross revenue is the whole valuation: each 0.5pp of pre-SBC EBITDA margin is worth roughly $12-14/share in the base case.; Revenue inflates with freight rates, so a rate spike can lift revenue while compressing margin %; the two paths are not independent.; Working capital: a strong upcycle consumes cash (FY2021 OCF was $95M on $844M net income); the -8% capture may understate that in the bull.; Equity-award withholding tax ($77M FY2025, $75M H1 2026) is elevated; if it normalises to ~$25M the SBC charge is too heavy by ~0.2-0.3pp of revenue.; Terminal value carries most of the value; cap multiple 15x base vs Gordon ~17x.</t>
  </si>
  <si>
    <t xml:space="preserve">Data sources</t>
  </si>
  <si>
    <t xml:space="preserve">price: Yahoo Finance chart API at inputs.price_as_of; 52-week range 123.64-210.33
financials: CHRW_Metrics.csv (SEC XBRL, FY2007-Q2 2026) and SEC companyfacts XBRL (CIK 1043277) for capitalised software, equity-award withholding tax, cash taxes paid, pretax income, diluted shares and operating lease liabilities
qualitative: CHRW_Analysis.json (2026-09-26): FY2026 guidance as of the Q2 2026 release (2026-07-31)</t>
  </si>
  <si>
    <t xml:space="preserve">Scenario narrative: bear</t>
  </si>
  <si>
    <t xml:space="preserve">The trough extends: new 2026 US tariffs and a USMCA review disrupt cross-border and auto freight, the Cass index keeps falling, and over-cutting headcount shows up in service quality and carrier churn. Digital freight-matching platforms and shipper-direct relationships erode take-rates, so the Lean-AI savings are passed through to customers rather than retained. Margin reverts to the pre-2023 range and revenue stalls.</t>
  </si>
  <si>
    <t xml:space="preserve">Scenario narrative: base</t>
  </si>
  <si>
    <t xml:space="preserve">C.H. Robinson delivers FY2026 guidance (~$1.0bn operating income) in a still-contracting freight market, proving that most of the Lean-AI cost-out (headcount down ~31% since 2022 with volumes up) is structural. The truckload market tightens gradually rather than snapping back; NAST keeps outgrowing the Cass index but Global Forwarding stays tariff-volatile. Pre-SBC EBITDA settles near 7% of gross revenue -- above every pre-2023 year but short of a peak-cycle print -- and gross revenue grows 3-5% through the cycle. Working capital absorbs cash as revenue grows because receivables lead carrier payables.</t>
  </si>
  <si>
    <t xml:space="preserve">Scenario narrative: bull</t>
  </si>
  <si>
    <t xml:space="preserve">The freight cycle inflects in 2027 (truckload costs already up mid-teens YoY) and CHRW captures it with a cost base ~30% leaner than the last upcycle: AGP expands faster than headcount, operating margin prints well above the 'mid-cycle' target, and scale plus Navisphere/AI pricing widen the gap to sub-scale brokers after Convoy's exit. Tariff complexity lifts customs brokerage demand. Pre-SBC EBITDA reaches 8% of gross revenue and holds.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</si>
  <si>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</si>
  <si>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</si>
  <si>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</si>
  <si>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</si>
  <si>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</si>
  <si>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</si>
  <si>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</si>
  <si>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</si>
  <si>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</si>
  <si>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</si>
  <si>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</si>
  <si>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</si>
  <si>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</si>
  <si>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</si>
  <si>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</si>
  <si>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</si>
  <si>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</si>
  <si>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</si>
  <si>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</si>
  <si>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</si>
  <si>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</si>
  <si>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</si>
  <si>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</si>
  <si>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</si>
  <si>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</si>
  <si>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</si>
  <si>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</si>
  <si>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</si>
  <si>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</si>
  <si>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</si>
  <si>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</si>
  <si>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</si>
  <si>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</si>
  <si>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</si>
  <si>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</si>
  <si>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</si>
  <si>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</si>
  <si>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</si>
  <si>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</si>
  <si>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</si>
  <si>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</si>
  <si>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</si>
  <si>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</si>
  <si>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</si>
  <si>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</si>
  <si>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</si>
  <si>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</si>
  <si>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</si>
  <si>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</si>
  <si>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</si>
  <si>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</si>
  <si>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</si>
  <si>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</si>
  <si>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</si>
  <si>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</si>
  <si>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</si>
  <si>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</si>
  <si>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</si>
  <si>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</si>
  <si>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</si>
  <si>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</si>
  <si>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</si>
  <si>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</si>
  <si>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</si>
  <si>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</si>
  <si>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</si>
  <si>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</si>
  <si>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</si>
  <si>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</si>
  <si>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</si>
  <si>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</si>
  <si>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</si>
  <si>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</si>
  <si>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</si>
  <si>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</si>
  <si>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</si>
  <si>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</si>
  <si>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</si>
  <si>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</si>
  <si>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</si>
  <si>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</si>
  <si>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</si>
  <si>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</si>
  <si>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</si>
  <si>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CHRW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</si>
  <si>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</si>
  <si>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</si>
  <si>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</si>
  <si>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</si>
  <si>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</si>
  <si>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</si>
  <si>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</si>
  <si>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</si>
  <si>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</si>
  <si>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</si>
  <si>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</si>
  <si>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</si>
  <si>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</si>
  <si>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</si>
  <si>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</si>
  <si>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</si>
  <si>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</si>
  <si>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</si>
  <si>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</si>
  <si>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</si>
  <si>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</si>
  <si>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</si>
  <si>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</si>
  <si>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</si>
  <si>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</si>
  <si>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</si>
  <si>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</si>
  <si>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</si>
  <si>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</si>
  <si>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</si>
  <si>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CHRW owner-FCF component DCF: base case (millions, USD)</t>
  </si>
  <si>
    <t xml:space="preserve">CHRW owner-FCF component DCF: bull case (millions, USD)</t>
  </si>
  <si>
    <t xml:space="preserve">CHRW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</si>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</sst>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147.1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943.722</v>
      </c>
      <c r="S2" s="0" t="n">
        <v>348.592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7316.223</v>
      </c>
      <c r="F3" s="0" t="n">
        <v>509.684</v>
      </c>
      <c r="G3" s="0" t="n">
        <v>6.96649076989589</v>
      </c>
      <c r="H3" s="0" t="n">
        <v>537.05</v>
      </c>
      <c r="I3" s="0" t="n">
        <v>324.261</v>
      </c>
      <c r="J3" s="0" t="n">
        <v>4.43208196360335</v>
      </c>
      <c r="K3" s="0" t="n">
        <v>1.9</v>
      </c>
      <c r="L3" s="0" t="n">
        <v>308.43</v>
      </c>
      <c r="M3" s="0" t="n">
        <v>43.713</v>
      </c>
      <c r="N3" s="0" t="n">
        <v>264.717</v>
      </c>
      <c r="O3" s="0" t="n">
        <v>1042.249</v>
      </c>
      <c r="S3" s="0" t="n">
        <v>338.885</v>
      </c>
      <c r="T3" s="0" t="n">
        <v>174.04</v>
      </c>
      <c r="U3" s="0" t="n">
        <v>38.002</v>
      </c>
      <c r="V3" s="0" t="n">
        <v>0.76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8578.614</v>
      </c>
      <c r="F4" s="0" t="n">
        <v>571.586</v>
      </c>
      <c r="G4" s="0" t="n">
        <v>6.66291780933377</v>
      </c>
      <c r="H4" s="0" t="n">
        <v>602.75</v>
      </c>
      <c r="I4" s="0" t="n">
        <v>359.177</v>
      </c>
      <c r="J4" s="0" t="n">
        <v>4.18688846473335</v>
      </c>
      <c r="K4" s="0" t="n">
        <v>2.12</v>
      </c>
      <c r="L4" s="0" t="n">
        <v>447.579</v>
      </c>
      <c r="M4" s="0" t="n">
        <v>23.035</v>
      </c>
      <c r="N4" s="0" t="n">
        <v>424.544</v>
      </c>
      <c r="O4" s="0" t="n">
        <v>1107.221</v>
      </c>
      <c r="P4" s="0" t="n">
        <v>1815.721</v>
      </c>
      <c r="Q4" s="0" t="n">
        <v>708.5</v>
      </c>
      <c r="S4" s="0" t="n">
        <v>494.743</v>
      </c>
      <c r="T4" s="0" t="n">
        <v>172.733</v>
      </c>
      <c r="U4" s="0" t="n">
        <v>20.804</v>
      </c>
      <c r="V4" s="0" t="n">
        <v>0.9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7577.189</v>
      </c>
      <c r="F5" s="0" t="n">
        <v>584.811</v>
      </c>
      <c r="G5" s="0" t="n">
        <v>7.71804689047614</v>
      </c>
      <c r="H5" s="0" t="n">
        <v>615.325</v>
      </c>
      <c r="I5" s="0" t="n">
        <v>360.83</v>
      </c>
      <c r="J5" s="0" t="n">
        <v>4.76205621900153</v>
      </c>
      <c r="K5" s="0" t="n">
        <v>2.15</v>
      </c>
      <c r="L5" s="0" t="n">
        <v>372.571</v>
      </c>
      <c r="M5" s="0" t="n">
        <v>30.362</v>
      </c>
      <c r="N5" s="0" t="n">
        <v>342.209</v>
      </c>
      <c r="O5" s="0" t="n">
        <v>1079.9</v>
      </c>
      <c r="P5" s="0" t="n">
        <v>1834.248</v>
      </c>
      <c r="Q5" s="0" t="n">
        <v>754.348</v>
      </c>
      <c r="S5" s="0" t="n">
        <v>337.308</v>
      </c>
      <c r="T5" s="0" t="n">
        <v>169.194</v>
      </c>
      <c r="U5" s="0" t="n">
        <v>21.267</v>
      </c>
      <c r="V5" s="0" t="n">
        <v>0.97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9274.305</v>
      </c>
      <c r="F6" s="0" t="n">
        <v>622.86</v>
      </c>
      <c r="G6" s="0" t="n">
        <v>6.71597494367503</v>
      </c>
      <c r="H6" s="0" t="n">
        <v>652.229</v>
      </c>
      <c r="I6" s="0" t="n">
        <v>387.026</v>
      </c>
      <c r="J6" s="0" t="n">
        <v>4.17309976327067</v>
      </c>
      <c r="K6" s="0" t="n">
        <v>2.35</v>
      </c>
      <c r="L6" s="0" t="n">
        <v>344.779</v>
      </c>
      <c r="M6" s="0" t="n">
        <v>17.718</v>
      </c>
      <c r="N6" s="0" t="n">
        <v>327.061</v>
      </c>
      <c r="O6" s="0" t="n">
        <v>1204.068</v>
      </c>
      <c r="P6" s="0" t="n">
        <v>1995.699</v>
      </c>
      <c r="Q6" s="0" t="n">
        <v>791.631</v>
      </c>
      <c r="S6" s="0" t="n">
        <v>398.607</v>
      </c>
      <c r="T6" s="0" t="n">
        <v>166.048</v>
      </c>
      <c r="U6" s="0" t="n">
        <v>37.047</v>
      </c>
      <c r="V6" s="0" t="n">
        <v>1.04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10336.346</v>
      </c>
      <c r="F7" s="0" t="n">
        <v>692.73</v>
      </c>
      <c r="G7" s="0" t="n">
        <v>6.70188478597756</v>
      </c>
      <c r="H7" s="0" t="n">
        <v>725.228</v>
      </c>
      <c r="I7" s="0" t="n">
        <v>431.612</v>
      </c>
      <c r="J7" s="0" t="n">
        <v>4.17567291187814</v>
      </c>
      <c r="K7" s="0" t="n">
        <v>2.63</v>
      </c>
      <c r="L7" s="0" t="n">
        <v>429.712</v>
      </c>
      <c r="M7" s="0" t="n">
        <v>35.932</v>
      </c>
      <c r="N7" s="0" t="n">
        <v>393.78</v>
      </c>
      <c r="O7" s="0" t="n">
        <v>1248.474</v>
      </c>
      <c r="P7" s="0" t="n">
        <v>2138.041</v>
      </c>
      <c r="Q7" s="0" t="n">
        <v>889.567</v>
      </c>
      <c r="R7" s="0" t="n">
        <v>0</v>
      </c>
      <c r="S7" s="0" t="n">
        <v>373.669</v>
      </c>
      <c r="T7" s="0" t="n">
        <v>164.741</v>
      </c>
      <c r="U7" s="0" t="n">
        <v>38.601</v>
      </c>
      <c r="V7" s="0" t="n">
        <v>1.2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11359.113</v>
      </c>
      <c r="F8" s="0" t="n">
        <v>675.32</v>
      </c>
      <c r="G8" s="0" t="n">
        <v>5.94518251557142</v>
      </c>
      <c r="H8" s="0" t="n">
        <v>713.41</v>
      </c>
      <c r="I8" s="0" t="n">
        <v>593.804</v>
      </c>
      <c r="J8" s="0" t="n">
        <v>5.22755606005504</v>
      </c>
      <c r="K8" s="0" t="n">
        <v>3.68</v>
      </c>
      <c r="L8" s="0" t="n">
        <v>460.342</v>
      </c>
      <c r="M8" s="0" t="n">
        <v>36.096</v>
      </c>
      <c r="N8" s="0" t="n">
        <v>424.246</v>
      </c>
      <c r="O8" s="0" t="n">
        <v>1504.372</v>
      </c>
      <c r="P8" s="0" t="n">
        <v>2804.225</v>
      </c>
      <c r="Q8" s="0" t="n">
        <v>1299.853</v>
      </c>
      <c r="R8" s="0" t="n">
        <v>253.646</v>
      </c>
      <c r="S8" s="0" t="n">
        <v>210.019</v>
      </c>
      <c r="T8" s="0" t="n">
        <v>161.946</v>
      </c>
      <c r="U8" s="0" t="n">
        <v>59.381</v>
      </c>
      <c r="V8" s="0" t="n">
        <v>1.34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12752.076</v>
      </c>
      <c r="F9" s="0" t="n">
        <v>682.65</v>
      </c>
      <c r="G9" s="0" t="n">
        <v>5.35324601264924</v>
      </c>
      <c r="H9" s="0" t="n">
        <v>739.532</v>
      </c>
      <c r="I9" s="0" t="n">
        <v>415.904</v>
      </c>
      <c r="J9" s="0" t="n">
        <v>3.26146111425308</v>
      </c>
      <c r="K9" s="0" t="n">
        <v>2.65</v>
      </c>
      <c r="L9" s="0" t="n">
        <v>347.777</v>
      </c>
      <c r="M9" s="0" t="n">
        <v>40.354</v>
      </c>
      <c r="N9" s="0" t="n">
        <v>307.423</v>
      </c>
      <c r="O9" s="0" t="n">
        <v>939.724</v>
      </c>
      <c r="P9" s="0" t="n">
        <v>2802.818</v>
      </c>
      <c r="Q9" s="0" t="n">
        <v>1863.094</v>
      </c>
      <c r="R9" s="0" t="n">
        <v>875</v>
      </c>
      <c r="S9" s="0" t="n">
        <v>162.047</v>
      </c>
      <c r="T9" s="0" t="n">
        <v>157.08</v>
      </c>
      <c r="U9" s="0" t="n">
        <v>9.094</v>
      </c>
      <c r="V9" s="0" t="n">
        <v>1.4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13470.067</v>
      </c>
      <c r="F10" s="0" t="n">
        <v>748.418</v>
      </c>
      <c r="G10" s="0" t="n">
        <v>5.5561564764303</v>
      </c>
      <c r="H10" s="0" t="n">
        <v>805.427</v>
      </c>
      <c r="I10" s="0" t="n">
        <v>449.711</v>
      </c>
      <c r="J10" s="0" t="n">
        <v>3.33859512354319</v>
      </c>
      <c r="K10" s="0" t="n">
        <v>3.06</v>
      </c>
      <c r="L10" s="0" t="n">
        <v>513.426</v>
      </c>
      <c r="M10" s="0" t="n">
        <v>22.364</v>
      </c>
      <c r="N10" s="0" t="n">
        <v>491.062</v>
      </c>
      <c r="O10" s="0" t="n">
        <v>1047.015</v>
      </c>
      <c r="P10" s="0" t="n">
        <v>3214.338</v>
      </c>
      <c r="Q10" s="0" t="n">
        <v>2167.323</v>
      </c>
      <c r="R10" s="0" t="n">
        <v>1105</v>
      </c>
      <c r="S10" s="0" t="n">
        <v>128.94</v>
      </c>
      <c r="T10" s="0" t="n">
        <v>147.542</v>
      </c>
      <c r="U10" s="0" t="n">
        <v>47.861</v>
      </c>
      <c r="V10" s="0" t="n">
        <v>1.43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13476.084</v>
      </c>
      <c r="F11" s="0" t="n">
        <v>858.31</v>
      </c>
      <c r="G11" s="0" t="n">
        <v>6.36913512857296</v>
      </c>
      <c r="H11" s="0" t="n">
        <v>924.719</v>
      </c>
      <c r="I11" s="0" t="n">
        <v>509.699</v>
      </c>
      <c r="J11" s="0" t="n">
        <v>3.78224861168868</v>
      </c>
      <c r="K11" s="0" t="n">
        <v>3.52</v>
      </c>
      <c r="L11" s="0" t="n">
        <v>718.336</v>
      </c>
      <c r="M11" s="0" t="n">
        <v>28.115</v>
      </c>
      <c r="N11" s="0" t="n">
        <v>690.221</v>
      </c>
      <c r="O11" s="0" t="n">
        <v>1150.45</v>
      </c>
      <c r="P11" s="0" t="n">
        <v>3184.358</v>
      </c>
      <c r="Q11" s="0" t="n">
        <v>2033.908</v>
      </c>
      <c r="R11" s="0" t="n">
        <v>950</v>
      </c>
      <c r="S11" s="0" t="n">
        <v>168.229</v>
      </c>
      <c r="T11" s="0" t="n">
        <v>145.349</v>
      </c>
      <c r="U11" s="0" t="n">
        <v>57.661</v>
      </c>
      <c r="V11" s="0" t="n">
        <v>1.57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13144.413</v>
      </c>
      <c r="F12" s="0" t="n">
        <v>837.531</v>
      </c>
      <c r="G12" s="0" t="n">
        <v>6.37176418604619</v>
      </c>
      <c r="H12" s="0" t="n">
        <v>912.2</v>
      </c>
      <c r="I12" s="0" t="n">
        <v>513.384</v>
      </c>
      <c r="J12" s="0" t="n">
        <v>3.90572024783457</v>
      </c>
      <c r="K12" s="0" t="n">
        <v>3.6</v>
      </c>
      <c r="L12" s="0" t="n">
        <v>529.408</v>
      </c>
      <c r="M12" s="0" t="n">
        <v>73.452</v>
      </c>
      <c r="N12" s="0" t="n">
        <v>455.956</v>
      </c>
      <c r="O12" s="0" t="n">
        <v>1257.847</v>
      </c>
      <c r="P12" s="0" t="n">
        <v>3687.758</v>
      </c>
      <c r="Q12" s="0" t="n">
        <v>2429.911</v>
      </c>
      <c r="R12" s="0" t="n">
        <v>1240</v>
      </c>
      <c r="S12" s="0" t="n">
        <v>247.666</v>
      </c>
      <c r="T12" s="0" t="n">
        <v>142.991</v>
      </c>
      <c r="U12" s="0" t="n">
        <v>37.565</v>
      </c>
      <c r="V12" s="0" t="n">
        <v>1.74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14869.38</v>
      </c>
      <c r="F13" s="0" t="n">
        <v>775.119</v>
      </c>
      <c r="G13" s="0" t="n">
        <v>5.21285352852641</v>
      </c>
      <c r="H13" s="0" t="n">
        <v>868.096</v>
      </c>
      <c r="I13" s="0" t="n">
        <v>504.893</v>
      </c>
      <c r="J13" s="0" t="n">
        <v>3.39552153485888</v>
      </c>
      <c r="K13" s="0" t="n">
        <v>3.59</v>
      </c>
      <c r="L13" s="0" t="n">
        <v>384.001</v>
      </c>
      <c r="M13" s="0" t="n">
        <v>40.122</v>
      </c>
      <c r="N13" s="0" t="n">
        <v>343.879</v>
      </c>
      <c r="O13" s="0" t="n">
        <v>1425.745</v>
      </c>
      <c r="P13" s="0" t="n">
        <v>4235.834</v>
      </c>
      <c r="Q13" s="0" t="n">
        <v>2810.089</v>
      </c>
      <c r="R13" s="0" t="n">
        <v>2180</v>
      </c>
      <c r="S13" s="0" t="n">
        <v>333.89</v>
      </c>
      <c r="T13" s="0" t="n">
        <v>141.382</v>
      </c>
      <c r="U13" s="0" t="n">
        <v>41.805</v>
      </c>
      <c r="V13" s="0" t="n">
        <v>1.81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16631.172</v>
      </c>
      <c r="F14" s="0" t="n">
        <v>912.083</v>
      </c>
      <c r="G14" s="0" t="n">
        <v>5.48417754323027</v>
      </c>
      <c r="H14" s="0" t="n">
        <v>1008.812</v>
      </c>
      <c r="I14" s="0" t="n">
        <v>664.505</v>
      </c>
      <c r="J14" s="0" t="n">
        <v>3.99553921996598</v>
      </c>
      <c r="K14" s="0" t="n">
        <v>4.78</v>
      </c>
      <c r="L14" s="0" t="n">
        <v>792.896</v>
      </c>
      <c r="M14" s="0" t="n">
        <v>45</v>
      </c>
      <c r="N14" s="0" t="n">
        <v>747.896</v>
      </c>
      <c r="O14" s="0" t="n">
        <v>1595.087</v>
      </c>
      <c r="P14" s="0" t="n">
        <v>4427.412</v>
      </c>
      <c r="Q14" s="0" t="n">
        <v>2832.325</v>
      </c>
      <c r="R14" s="0" t="n">
        <v>1351.352</v>
      </c>
      <c r="S14" s="0" t="n">
        <v>378.615</v>
      </c>
      <c r="T14" s="0" t="n">
        <v>140.405</v>
      </c>
      <c r="U14" s="0" t="n">
        <v>87.791</v>
      </c>
      <c r="V14" s="0" t="n">
        <v>1.88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15309.508</v>
      </c>
      <c r="F15" s="0" t="n">
        <v>789.976</v>
      </c>
      <c r="G15" s="0" t="n">
        <v>5.16003518858999</v>
      </c>
      <c r="H15" s="0" t="n">
        <v>890.425</v>
      </c>
      <c r="I15" s="0" t="n">
        <v>576.968</v>
      </c>
      <c r="J15" s="0" t="n">
        <v>3.76869067248928</v>
      </c>
      <c r="K15" s="0" t="n">
        <v>4.21</v>
      </c>
      <c r="L15" s="0" t="n">
        <v>835.419</v>
      </c>
      <c r="M15" s="0" t="n">
        <v>36.29</v>
      </c>
      <c r="N15" s="0" t="n">
        <v>799.129</v>
      </c>
      <c r="O15" s="0" t="n">
        <v>1670.73</v>
      </c>
      <c r="P15" s="0" t="n">
        <v>4641.06</v>
      </c>
      <c r="Q15" s="0" t="n">
        <v>2970.33</v>
      </c>
      <c r="R15" s="0" t="n">
        <v>1378.218</v>
      </c>
      <c r="S15" s="0" t="n">
        <v>447.858</v>
      </c>
      <c r="T15" s="0" t="n">
        <v>137.735</v>
      </c>
      <c r="U15" s="0" t="n">
        <v>39.083</v>
      </c>
      <c r="V15" s="0" t="n">
        <v>2.01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16207.106</v>
      </c>
      <c r="F16" s="0" t="n">
        <v>673.268</v>
      </c>
      <c r="G16" s="0" t="n">
        <v>4.1541531227105</v>
      </c>
      <c r="H16" s="0" t="n">
        <v>774.995</v>
      </c>
      <c r="I16" s="0" t="n">
        <v>506.421</v>
      </c>
      <c r="J16" s="0" t="n">
        <v>3.12468493758232</v>
      </c>
      <c r="K16" s="0" t="n">
        <v>3.74</v>
      </c>
      <c r="L16" s="0" t="n">
        <v>499.191</v>
      </c>
      <c r="M16" s="0" t="n">
        <v>23.133</v>
      </c>
      <c r="N16" s="0" t="n">
        <v>476.058</v>
      </c>
      <c r="O16" s="0" t="n">
        <v>1879.933</v>
      </c>
      <c r="P16" s="0" t="n">
        <v>5144.258</v>
      </c>
      <c r="Q16" s="0" t="n">
        <v>3264.325</v>
      </c>
      <c r="R16" s="0" t="n">
        <v>1093.301</v>
      </c>
      <c r="S16" s="0" t="n">
        <v>243.796</v>
      </c>
      <c r="T16" s="0" t="n">
        <v>136.173</v>
      </c>
      <c r="U16" s="0" t="n">
        <v>43.995</v>
      </c>
      <c r="V16" s="0" t="n">
        <v>2.04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23102.138</v>
      </c>
      <c r="F17" s="0" t="n">
        <v>1082.108</v>
      </c>
      <c r="G17" s="0" t="n">
        <v>4.68401669144215</v>
      </c>
      <c r="H17" s="0" t="n">
        <v>1173.367</v>
      </c>
      <c r="I17" s="0" t="n">
        <v>844.245</v>
      </c>
      <c r="J17" s="0" t="n">
        <v>3.65440202980348</v>
      </c>
      <c r="K17" s="0" t="n">
        <v>6.37</v>
      </c>
      <c r="L17" s="0" t="n">
        <v>94.955</v>
      </c>
      <c r="M17" s="0" t="n">
        <v>34.197</v>
      </c>
      <c r="N17" s="0" t="n">
        <v>60.758</v>
      </c>
      <c r="O17" s="0" t="n">
        <v>2021.934</v>
      </c>
      <c r="P17" s="0" t="n">
        <v>7028.112</v>
      </c>
      <c r="Q17" s="0" t="n">
        <v>5006.178</v>
      </c>
      <c r="R17" s="0" t="n">
        <v>2443.649</v>
      </c>
      <c r="S17" s="0" t="n">
        <v>257.413</v>
      </c>
      <c r="T17" s="0" t="n">
        <v>133.834</v>
      </c>
      <c r="U17" s="0" t="n">
        <v>129.977</v>
      </c>
      <c r="V17" s="0" t="n">
        <v>2.08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24696.625</v>
      </c>
      <c r="F18" s="0" t="n">
        <v>1266.782</v>
      </c>
      <c r="G18" s="0" t="n">
        <v>5.1293729406346</v>
      </c>
      <c r="H18" s="0" t="n">
        <v>1359.558</v>
      </c>
      <c r="I18" s="0" t="n">
        <v>940.524</v>
      </c>
      <c r="J18" s="0" t="n">
        <v>3.80830983990728</v>
      </c>
      <c r="K18" s="0" t="n">
        <v>7.48</v>
      </c>
      <c r="L18" s="0" t="n">
        <v>1650.171</v>
      </c>
      <c r="M18" s="0" t="n">
        <v>61.915</v>
      </c>
      <c r="N18" s="0" t="n">
        <v>1588.256</v>
      </c>
      <c r="O18" s="0" t="n">
        <v>1353.422</v>
      </c>
      <c r="P18" s="0" t="n">
        <v>5954.564</v>
      </c>
      <c r="Q18" s="0" t="n">
        <v>4601.142</v>
      </c>
      <c r="R18" s="0" t="n">
        <v>3027.359</v>
      </c>
      <c r="S18" s="0" t="n">
        <v>217.482</v>
      </c>
      <c r="T18" s="0" t="n">
        <v>127.15</v>
      </c>
      <c r="U18" s="0" t="n">
        <v>90.677</v>
      </c>
      <c r="V18" s="0" t="n">
        <v>2.26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17596.443</v>
      </c>
      <c r="F19" s="0" t="n">
        <v>514.607</v>
      </c>
      <c r="G19" s="0" t="n">
        <v>2.92449445606706</v>
      </c>
      <c r="H19" s="0" t="n">
        <v>613.592</v>
      </c>
      <c r="I19" s="0" t="n">
        <v>325.129</v>
      </c>
      <c r="J19" s="0" t="n">
        <v>1.84769728745747</v>
      </c>
      <c r="K19" s="0" t="n">
        <v>2.74</v>
      </c>
      <c r="L19" s="0" t="n">
        <v>731.946</v>
      </c>
      <c r="M19" s="0" t="n">
        <v>29.989</v>
      </c>
      <c r="N19" s="0" t="n">
        <v>701.957</v>
      </c>
      <c r="O19" s="0" t="n">
        <v>1418.697</v>
      </c>
      <c r="P19" s="0" t="n">
        <v>5225.28</v>
      </c>
      <c r="Q19" s="0" t="n">
        <v>3806.583</v>
      </c>
      <c r="R19" s="0" t="n">
        <v>1740.487</v>
      </c>
      <c r="S19" s="0" t="n">
        <v>145.524</v>
      </c>
      <c r="T19" s="0" t="n">
        <v>119.677</v>
      </c>
      <c r="U19" s="0" t="n">
        <v>58.169</v>
      </c>
      <c r="V19" s="0" t="n">
        <v>2.44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17724.956</v>
      </c>
      <c r="F20" s="0" t="n">
        <v>669.141</v>
      </c>
      <c r="G20" s="0" t="n">
        <v>3.77513490019383</v>
      </c>
      <c r="H20" s="0" t="n">
        <v>766.301</v>
      </c>
      <c r="I20" s="0" t="n">
        <v>465.69</v>
      </c>
      <c r="J20" s="0" t="n">
        <v>2.62731258684084</v>
      </c>
      <c r="K20" s="0" t="n">
        <v>3.89</v>
      </c>
      <c r="L20" s="0" t="n">
        <v>509.084</v>
      </c>
      <c r="M20" s="0" t="n">
        <v>22.653</v>
      </c>
      <c r="N20" s="0" t="n">
        <v>486.431</v>
      </c>
      <c r="O20" s="0" t="n">
        <v>1722.051</v>
      </c>
      <c r="P20" s="0" t="n">
        <v>5297.926</v>
      </c>
      <c r="Q20" s="0" t="n">
        <v>3575.875</v>
      </c>
      <c r="R20" s="0" t="n">
        <v>1833.441</v>
      </c>
      <c r="S20" s="0" t="n">
        <v>145.762</v>
      </c>
      <c r="T20" s="0" t="n">
        <v>120.679</v>
      </c>
      <c r="U20" s="0" t="n">
        <v>84.59</v>
      </c>
      <c r="V20" s="0" t="n">
        <v>2.46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16232.763</v>
      </c>
      <c r="F21" s="0" t="n">
        <v>794.961</v>
      </c>
      <c r="G21" s="0" t="n">
        <v>4.89726240689894</v>
      </c>
      <c r="H21" s="0" t="n">
        <v>897.779</v>
      </c>
      <c r="I21" s="0" t="n">
        <v>587.081</v>
      </c>
      <c r="J21" s="0" t="n">
        <v>3.61664246561106</v>
      </c>
      <c r="K21" s="0" t="n">
        <v>4.88</v>
      </c>
      <c r="L21" s="0" t="n">
        <v>914.519</v>
      </c>
      <c r="M21" s="0" t="n">
        <v>19.628</v>
      </c>
      <c r="N21" s="0" t="n">
        <v>894.891</v>
      </c>
      <c r="O21" s="0" t="n">
        <v>1845.647</v>
      </c>
      <c r="P21" s="0" t="n">
        <v>5058.381</v>
      </c>
      <c r="Q21" s="0" t="n">
        <v>3212.734</v>
      </c>
      <c r="R21" s="0" t="n">
        <v>1089.438</v>
      </c>
      <c r="S21" s="0" t="n">
        <v>160.871</v>
      </c>
      <c r="T21" s="0" t="n">
        <v>121.502</v>
      </c>
      <c r="U21" s="0" t="n">
        <v>80.07</v>
      </c>
      <c r="V21" s="0" t="n">
        <v>2.49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147.1</v>
      </c>
    </row>
    <row r="3" customFormat="false" ht="15" hidden="false" customHeight="false" outlineLevel="0" collapsed="false">
      <c r="A3" s="0" t="s">
        <v>86</v>
      </c>
      <c r="B3" s="3" t="n">
        <v>119.751</v>
      </c>
    </row>
    <row r="4" customFormat="false" ht="15" hidden="false" customHeight="false" outlineLevel="0" collapsed="false">
      <c r="A4" s="0" t="s">
        <v>87</v>
      </c>
      <c r="B4" s="3" t="n">
        <v>1530.427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16232.763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7</v>
      </c>
      <c r="D13" s="3" t="n">
        <v>-3</v>
      </c>
      <c r="E13" s="3" t="n">
        <v>1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6.4</v>
      </c>
      <c r="D14" s="3" t="n">
        <v>5.6</v>
      </c>
      <c r="E14" s="3" t="n">
        <v>5.5</v>
      </c>
      <c r="F14" s="3" t="n">
        <v>5.5</v>
      </c>
      <c r="G14" s="3" t="n">
        <v>5.4</v>
      </c>
      <c r="H14" s="3" t="n">
        <v>5.3</v>
      </c>
      <c r="I14" s="3" t="n">
        <v>5.2</v>
      </c>
      <c r="J14" s="3" t="n">
        <v>5.2</v>
      </c>
      <c r="K14" s="3" t="n">
        <v>5.2</v>
      </c>
      <c r="L14" s="3" t="n">
        <v>5.2</v>
      </c>
    </row>
    <row r="15" customFormat="false" ht="15" hidden="false" customHeight="false" outlineLevel="0" collapsed="false">
      <c r="A15" s="0" t="s">
        <v>108</v>
      </c>
      <c r="C15" s="3" t="n">
        <v>0.75</v>
      </c>
      <c r="D15" s="3" t="n">
        <v>0.72</v>
      </c>
      <c r="E15" s="3" t="n">
        <v>0.7</v>
      </c>
      <c r="F15" s="3" t="n">
        <v>0.68</v>
      </c>
      <c r="G15" s="3" t="n">
        <v>0.66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0.55</v>
      </c>
      <c r="D17" s="3" t="n">
        <v>0.55</v>
      </c>
      <c r="E17" s="3" t="n">
        <v>0.55</v>
      </c>
      <c r="F17" s="3" t="n">
        <v>0.55</v>
      </c>
      <c r="G17" s="3" t="n">
        <v>0.55</v>
      </c>
      <c r="H17" s="3" t="n">
        <v>0.55</v>
      </c>
      <c r="I17" s="3" t="n">
        <v>0.55</v>
      </c>
      <c r="J17" s="3" t="n">
        <v>0.55</v>
      </c>
      <c r="K17" s="3" t="n">
        <v>0.55</v>
      </c>
      <c r="L17" s="3" t="n">
        <v>0.55</v>
      </c>
    </row>
    <row r="18" customFormat="false" ht="15" hidden="false" customHeight="false" outlineLevel="0" collapsed="false">
      <c r="A18" s="0" t="s">
        <v>111</v>
      </c>
      <c r="C18" s="3" t="n">
        <v>0.4</v>
      </c>
      <c r="D18" s="3" t="n">
        <v>0.45</v>
      </c>
      <c r="E18" s="3" t="n">
        <v>0.45</v>
      </c>
      <c r="F18" s="3" t="n">
        <v>0.45</v>
      </c>
      <c r="G18" s="3" t="n">
        <v>0.45</v>
      </c>
      <c r="H18" s="3" t="n">
        <v>0.45</v>
      </c>
      <c r="I18" s="3" t="n">
        <v>0.45</v>
      </c>
      <c r="J18" s="3" t="n">
        <v>0.45</v>
      </c>
      <c r="K18" s="3" t="n">
        <v>0.45</v>
      </c>
      <c r="L18" s="3" t="n">
        <v>0.45</v>
      </c>
    </row>
    <row r="19" customFormat="false" ht="15" hidden="false" customHeight="false" outlineLevel="0" collapsed="false">
      <c r="A19" s="0" t="s">
        <v>112</v>
      </c>
      <c r="C19" s="3" t="n">
        <v>19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-8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10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6.6</v>
      </c>
      <c r="D28" s="3" t="n">
        <v>6.8</v>
      </c>
      <c r="E28" s="3" t="n">
        <v>7</v>
      </c>
      <c r="F28" s="3" t="n">
        <v>7.1</v>
      </c>
      <c r="G28" s="3" t="n">
        <v>7.1</v>
      </c>
      <c r="H28" s="3" t="n">
        <v>7</v>
      </c>
      <c r="I28" s="3" t="n">
        <v>7</v>
      </c>
      <c r="J28" s="3" t="n">
        <v>7</v>
      </c>
      <c r="K28" s="3" t="n">
        <v>7</v>
      </c>
      <c r="L28" s="3" t="n">
        <v>7</v>
      </c>
    </row>
    <row r="29" customFormat="false" ht="15" hidden="false" customHeight="false" outlineLevel="0" collapsed="false">
      <c r="A29" s="0" t="s">
        <v>108</v>
      </c>
      <c r="C29" s="3" t="n">
        <v>0.75</v>
      </c>
      <c r="D29" s="3" t="n">
        <v>0.72</v>
      </c>
      <c r="E29" s="3" t="n">
        <v>0.7</v>
      </c>
      <c r="F29" s="3" t="n">
        <v>0.68</v>
      </c>
      <c r="G29" s="3" t="n">
        <v>0.66</v>
      </c>
      <c r="H29" s="3" t="n">
        <v>0.65</v>
      </c>
      <c r="I29" s="3" t="n">
        <v>0.65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0.55</v>
      </c>
      <c r="D31" s="3" t="n">
        <v>0.53</v>
      </c>
      <c r="E31" s="3" t="n">
        <v>0.52</v>
      </c>
      <c r="F31" s="3" t="n">
        <v>0.5</v>
      </c>
      <c r="G31" s="3" t="n">
        <v>0.5</v>
      </c>
      <c r="H31" s="3" t="n">
        <v>0.5</v>
      </c>
      <c r="I31" s="3" t="n">
        <v>0.5</v>
      </c>
      <c r="J31" s="3" t="n">
        <v>0.5</v>
      </c>
      <c r="K31" s="3" t="n">
        <v>0.5</v>
      </c>
      <c r="L31" s="3" t="n">
        <v>0.5</v>
      </c>
    </row>
    <row r="32" customFormat="false" ht="15" hidden="false" customHeight="false" outlineLevel="0" collapsed="false">
      <c r="A32" s="0" t="s">
        <v>111</v>
      </c>
      <c r="C32" s="3" t="n">
        <v>0.4</v>
      </c>
      <c r="D32" s="3" t="n">
        <v>0.42</v>
      </c>
      <c r="E32" s="3" t="n">
        <v>0.44</v>
      </c>
      <c r="F32" s="3" t="n">
        <v>0.45</v>
      </c>
      <c r="G32" s="3" t="n">
        <v>0.45</v>
      </c>
      <c r="H32" s="3" t="n">
        <v>0.45</v>
      </c>
      <c r="I32" s="3" t="n">
        <v>0.45</v>
      </c>
      <c r="J32" s="3" t="n">
        <v>0.45</v>
      </c>
      <c r="K32" s="3" t="n">
        <v>0.45</v>
      </c>
      <c r="L32" s="3" t="n">
        <v>0.45</v>
      </c>
    </row>
    <row r="33" customFormat="false" ht="15" hidden="false" customHeight="false" outlineLevel="0" collapsed="false">
      <c r="A33" s="0" t="s">
        <v>112</v>
      </c>
      <c r="C33" s="3" t="n">
        <v>18</v>
      </c>
      <c r="D33" s="3" t="n">
        <v>19</v>
      </c>
      <c r="E33" s="3" t="n">
        <v>20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-8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12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6.7</v>
      </c>
      <c r="D42" s="3" t="n">
        <v>7.2</v>
      </c>
      <c r="E42" s="3" t="n">
        <v>7.6</v>
      </c>
      <c r="F42" s="3" t="n">
        <v>7.9</v>
      </c>
      <c r="G42" s="3" t="n">
        <v>8</v>
      </c>
      <c r="H42" s="3" t="n">
        <v>8</v>
      </c>
      <c r="I42" s="3" t="n">
        <v>8</v>
      </c>
      <c r="J42" s="3" t="n">
        <v>8</v>
      </c>
      <c r="K42" s="3" t="n">
        <v>8</v>
      </c>
      <c r="L42" s="3" t="n">
        <v>8</v>
      </c>
    </row>
    <row r="43" customFormat="false" ht="15" hidden="false" customHeight="false" outlineLevel="0" collapsed="false">
      <c r="A43" s="0" t="s">
        <v>108</v>
      </c>
      <c r="C43" s="3" t="n">
        <v>0.75</v>
      </c>
      <c r="D43" s="3" t="n">
        <v>0.72</v>
      </c>
      <c r="E43" s="3" t="n">
        <v>0.7</v>
      </c>
      <c r="F43" s="3" t="n">
        <v>0.68</v>
      </c>
      <c r="G43" s="3" t="n">
        <v>0.66</v>
      </c>
      <c r="H43" s="3" t="n">
        <v>0.65</v>
      </c>
      <c r="I43" s="3" t="n">
        <v>0.65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0.55</v>
      </c>
      <c r="D45" s="3" t="n">
        <v>0.53</v>
      </c>
      <c r="E45" s="3" t="n">
        <v>0.52</v>
      </c>
      <c r="F45" s="3" t="n">
        <v>0.5</v>
      </c>
      <c r="G45" s="3" t="n">
        <v>0.5</v>
      </c>
      <c r="H45" s="3" t="n">
        <v>0.5</v>
      </c>
      <c r="I45" s="3" t="n">
        <v>0.5</v>
      </c>
      <c r="J45" s="3" t="n">
        <v>0.5</v>
      </c>
      <c r="K45" s="3" t="n">
        <v>0.5</v>
      </c>
      <c r="L45" s="3" t="n">
        <v>0.5</v>
      </c>
    </row>
    <row r="46" customFormat="false" ht="15" hidden="false" customHeight="false" outlineLevel="0" collapsed="false">
      <c r="A46" s="0" t="s">
        <v>111</v>
      </c>
      <c r="C46" s="3" t="n">
        <v>0.4</v>
      </c>
      <c r="D46" s="3" t="n">
        <v>0.42</v>
      </c>
      <c r="E46" s="3" t="n">
        <v>0.44</v>
      </c>
      <c r="F46" s="3" t="n">
        <v>0.45</v>
      </c>
      <c r="G46" s="3" t="n">
        <v>0.45</v>
      </c>
      <c r="H46" s="3" t="n">
        <v>0.45</v>
      </c>
      <c r="I46" s="3" t="n">
        <v>0.45</v>
      </c>
      <c r="J46" s="3" t="n">
        <v>0.45</v>
      </c>
      <c r="K46" s="3" t="n">
        <v>0.45</v>
      </c>
      <c r="L46" s="3" t="n">
        <v>0.45</v>
      </c>
    </row>
    <row r="47" customFormat="false" ht="15" hidden="false" customHeight="false" outlineLevel="0" collapsed="false">
      <c r="A47" s="0" t="s">
        <v>112</v>
      </c>
      <c r="C47" s="3" t="n">
        <v>18</v>
      </c>
      <c r="D47" s="3" t="n">
        <v>19</v>
      </c>
      <c r="E47" s="3" t="n">
        <v>20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-8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7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16232.763</v>
      </c>
      <c r="C6" s="0" t="n">
        <f aca="false">B6*(1+C5/100)</f>
        <v>17369.05641</v>
      </c>
      <c r="D6" s="0" t="n">
        <f aca="false">C6*(1+D5/100)</f>
        <v>16847.9847177</v>
      </c>
      <c r="E6" s="0" t="n">
        <f aca="false">D6*(1+E5/100)</f>
        <v>17016.464564877</v>
      </c>
      <c r="F6" s="0" t="n">
        <f aca="false">E6*(1+F5/100)</f>
        <v>17526.9585018233</v>
      </c>
      <c r="G6" s="0" t="n">
        <f aca="false">F6*(1+G5/100)</f>
        <v>18052.767256878</v>
      </c>
      <c r="H6" s="0" t="n">
        <f aca="false">G6*(1+H5/100)</f>
        <v>18594.3502745844</v>
      </c>
      <c r="I6" s="0" t="n">
        <f aca="false">H6*(1+I5/100)</f>
        <v>19059.209031449</v>
      </c>
      <c r="J6" s="0" t="n">
        <f aca="false">I6*(1+J5/100)</f>
        <v>19535.6892572352</v>
      </c>
      <c r="K6" s="0" t="n">
        <f aca="false">J6*(1+K5/100)</f>
        <v>19926.4030423799</v>
      </c>
      <c r="L6" s="0" t="n">
        <f aca="false">K6*(1+L5/100)</f>
        <v>20324.9311032275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6.4</v>
      </c>
      <c r="D7" s="4" t="n">
        <f aca="false">Assumptions!D14</f>
        <v>5.6</v>
      </c>
      <c r="E7" s="4" t="n">
        <f aca="false">Assumptions!E14</f>
        <v>5.5</v>
      </c>
      <c r="F7" s="4" t="n">
        <f aca="false">Assumptions!F14</f>
        <v>5.5</v>
      </c>
      <c r="G7" s="4" t="n">
        <f aca="false">Assumptions!G14</f>
        <v>5.4</v>
      </c>
      <c r="H7" s="4" t="n">
        <f aca="false">Assumptions!H14</f>
        <v>5.3</v>
      </c>
      <c r="I7" s="4" t="n">
        <f aca="false">Assumptions!I14</f>
        <v>5.2</v>
      </c>
      <c r="J7" s="4" t="n">
        <f aca="false">Assumptions!J14</f>
        <v>5.2</v>
      </c>
      <c r="K7" s="4" t="n">
        <f aca="false">Assumptions!K14</f>
        <v>5.2</v>
      </c>
      <c r="L7" s="4" t="n">
        <f aca="false">Assumptions!L14</f>
        <v>5.2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1111.61961024</v>
      </c>
      <c r="D8" s="0" t="n">
        <f aca="false">D6*D7/100</f>
        <v>943.4871441912</v>
      </c>
      <c r="E8" s="0" t="n">
        <f aca="false">E6*E7/100</f>
        <v>935.905551068235</v>
      </c>
      <c r="F8" s="0" t="n">
        <f aca="false">F6*F7/100</f>
        <v>963.982717600282</v>
      </c>
      <c r="G8" s="0" t="n">
        <f aca="false">G6*G7/100</f>
        <v>974.849431871413</v>
      </c>
      <c r="H8" s="0" t="n">
        <f aca="false">H6*H7/100</f>
        <v>985.500564552971</v>
      </c>
      <c r="I8" s="0" t="n">
        <f aca="false">I6*I7/100</f>
        <v>991.078869635346</v>
      </c>
      <c r="J8" s="0" t="n">
        <f aca="false">J6*J7/100</f>
        <v>1015.85584137623</v>
      </c>
      <c r="K8" s="0" t="n">
        <f aca="false">K6*K7/100</f>
        <v>1036.17295820375</v>
      </c>
      <c r="L8" s="0" t="n">
        <f aca="false">L6*L7/100</f>
        <v>1056.89641736783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0.75</v>
      </c>
      <c r="D9" s="4" t="n">
        <f aca="false">Assumptions!D15</f>
        <v>0.72</v>
      </c>
      <c r="E9" s="4" t="n">
        <f aca="false">Assumptions!E15</f>
        <v>0.7</v>
      </c>
      <c r="F9" s="4" t="n">
        <f aca="false">Assumptions!F15</f>
        <v>0.68</v>
      </c>
      <c r="G9" s="4" t="n">
        <f aca="false">Assumptions!G15</f>
        <v>0.66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-130.267923075</v>
      </c>
      <c r="D10" s="0" t="n">
        <f aca="false">-D6*D9/100</f>
        <v>-121.30548996744</v>
      </c>
      <c r="E10" s="0" t="n">
        <f aca="false">-E6*E9/100</f>
        <v>-119.115251954139</v>
      </c>
      <c r="F10" s="0" t="n">
        <f aca="false">-F6*F9/100</f>
        <v>-119.183317812399</v>
      </c>
      <c r="G10" s="0" t="n">
        <f aca="false">-G6*G9/100</f>
        <v>-119.148263895395</v>
      </c>
      <c r="H10" s="0" t="n">
        <f aca="false">-H6*H9/100</f>
        <v>-120.863276784798</v>
      </c>
      <c r="I10" s="0" t="n">
        <f aca="false">-I6*I9/100</f>
        <v>-123.884858704418</v>
      </c>
      <c r="J10" s="0" t="n">
        <f aca="false">-J6*J9/100</f>
        <v>-126.981980172029</v>
      </c>
      <c r="K10" s="0" t="n">
        <f aca="false">-K6*K9/100</f>
        <v>-129.521619775469</v>
      </c>
      <c r="L10" s="0" t="n">
        <f aca="false">-L6*L9/100</f>
        <v>-132.112052170979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981.351687165</v>
      </c>
      <c r="D11" s="0" t="n">
        <f aca="false">D8+D10+D24</f>
        <v>822.18165422376</v>
      </c>
      <c r="E11" s="0" t="n">
        <f aca="false">E8+E10+E24</f>
        <v>816.790299114096</v>
      </c>
      <c r="F11" s="0" t="n">
        <f aca="false">F8+F10+F24</f>
        <v>844.799399787884</v>
      </c>
      <c r="G11" s="0" t="n">
        <f aca="false">G8+G10+G24</f>
        <v>855.701167976018</v>
      </c>
      <c r="H11" s="0" t="n">
        <f aca="false">H8+H10+H24</f>
        <v>864.637287768172</v>
      </c>
      <c r="I11" s="0" t="n">
        <f aca="false">I8+I10+I24</f>
        <v>867.194010930928</v>
      </c>
      <c r="J11" s="0" t="n">
        <f aca="false">J8+J10+J24</f>
        <v>888.873861204201</v>
      </c>
      <c r="K11" s="0" t="n">
        <f aca="false">K8+K10+K24</f>
        <v>906.651338428285</v>
      </c>
      <c r="L11" s="0" t="n">
        <f aca="false">L8+L10+L24</f>
        <v>924.784365196851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-95.529810255</v>
      </c>
      <c r="D12" s="4" t="n">
        <f aca="false">-D6*Assumptions!D17/100</f>
        <v>-92.66391594735</v>
      </c>
      <c r="E12" s="4" t="n">
        <f aca="false">-E6*Assumptions!E17/100</f>
        <v>-93.5905551068235</v>
      </c>
      <c r="F12" s="4" t="n">
        <f aca="false">-F6*Assumptions!F17/100</f>
        <v>-96.3982717600282</v>
      </c>
      <c r="G12" s="4" t="n">
        <f aca="false">-G6*Assumptions!G17/100</f>
        <v>-99.2902199128291</v>
      </c>
      <c r="H12" s="4" t="n">
        <f aca="false">-H6*Assumptions!H17/100</f>
        <v>-102.268926510214</v>
      </c>
      <c r="I12" s="4" t="n">
        <f aca="false">-I6*Assumptions!I17/100</f>
        <v>-104.825649672969</v>
      </c>
      <c r="J12" s="4" t="n">
        <f aca="false">-J6*Assumptions!J17/100</f>
        <v>-107.446290914794</v>
      </c>
      <c r="K12" s="4" t="n">
        <f aca="false">-K6*Assumptions!K17/100</f>
        <v>-109.595216733089</v>
      </c>
      <c r="L12" s="4" t="n">
        <f aca="false">-L6*Assumptions!L17/100</f>
        <v>-111.787121067751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885.82187691</v>
      </c>
      <c r="D13" s="0" t="n">
        <f aca="false">D11+D12</f>
        <v>729.51773827641</v>
      </c>
      <c r="E13" s="0" t="n">
        <f aca="false">E11+E12</f>
        <v>723.199744007273</v>
      </c>
      <c r="F13" s="0" t="n">
        <f aca="false">F11+F12</f>
        <v>748.401128027855</v>
      </c>
      <c r="G13" s="0" t="n">
        <f aca="false">G11+G12</f>
        <v>756.410948063189</v>
      </c>
      <c r="H13" s="0" t="n">
        <f aca="false">H11+H12</f>
        <v>762.368361257958</v>
      </c>
      <c r="I13" s="0" t="n">
        <f aca="false">I11+I12</f>
        <v>762.368361257958</v>
      </c>
      <c r="J13" s="0" t="n">
        <f aca="false">J11+J12</f>
        <v>781.427570289407</v>
      </c>
      <c r="K13" s="0" t="n">
        <f aca="false">K11+K12</f>
        <v>797.056121695195</v>
      </c>
      <c r="L13" s="0" t="n">
        <f aca="false">L11+L12</f>
        <v>812.997244129099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19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717.5157202971</v>
      </c>
      <c r="D15" s="0" t="n">
        <f aca="false">D13-MAX(0,D13)*D14/100</f>
        <v>576.319013238364</v>
      </c>
      <c r="E15" s="0" t="n">
        <f aca="false">E13-MAX(0,E13)*E14/100</f>
        <v>571.327797765745</v>
      </c>
      <c r="F15" s="0" t="n">
        <f aca="false">F13-MAX(0,F13)*F14/100</f>
        <v>591.236891142006</v>
      </c>
      <c r="G15" s="0" t="n">
        <f aca="false">G13-MAX(0,G13)*G14/100</f>
        <v>597.564648969919</v>
      </c>
      <c r="H15" s="0" t="n">
        <f aca="false">H13-MAX(0,H13)*H14/100</f>
        <v>602.271005393787</v>
      </c>
      <c r="I15" s="0" t="n">
        <f aca="false">I13-MAX(0,I13)*I14/100</f>
        <v>602.271005393787</v>
      </c>
      <c r="J15" s="0" t="n">
        <f aca="false">J13-MAX(0,J13)*J14/100</f>
        <v>617.327780528632</v>
      </c>
      <c r="K15" s="0" t="n">
        <f aca="false">K13-MAX(0,K13)*K14/100</f>
        <v>629.674336139204</v>
      </c>
      <c r="L15" s="0" t="n">
        <f aca="false">L13-MAX(0,L13)*L14/100</f>
        <v>642.267822861989</v>
      </c>
    </row>
    <row r="16" customFormat="false" ht="15" hidden="false" customHeight="false" outlineLevel="0" collapsed="false">
      <c r="A16" s="0" t="s">
        <v>128</v>
      </c>
      <c r="C16" s="0" t="n">
        <f aca="false">-C12</f>
        <v>95.529810255</v>
      </c>
      <c r="D16" s="0" t="n">
        <f aca="false">-D12</f>
        <v>92.66391594735</v>
      </c>
      <c r="E16" s="0" t="n">
        <f aca="false">-E12</f>
        <v>93.5905551068235</v>
      </c>
      <c r="F16" s="0" t="n">
        <f aca="false">-F12</f>
        <v>96.3982717600282</v>
      </c>
      <c r="G16" s="0" t="n">
        <f aca="false">-G12</f>
        <v>99.2902199128291</v>
      </c>
      <c r="H16" s="0" t="n">
        <f aca="false">-H12</f>
        <v>102.268926510214</v>
      </c>
      <c r="I16" s="0" t="n">
        <f aca="false">-I12</f>
        <v>104.825649672969</v>
      </c>
      <c r="J16" s="0" t="n">
        <f aca="false">-J12</f>
        <v>107.446290914794</v>
      </c>
      <c r="K16" s="0" t="n">
        <f aca="false">-K12</f>
        <v>109.595216733089</v>
      </c>
      <c r="L16" s="0" t="n">
        <f aca="false">-L12</f>
        <v>111.787121067751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-69.47622564</v>
      </c>
      <c r="D17" s="4" t="n">
        <f aca="false">-D6*Assumptions!D18/100</f>
        <v>-75.81593122965</v>
      </c>
      <c r="E17" s="4" t="n">
        <f aca="false">-E6*Assumptions!E18/100</f>
        <v>-76.5740905419465</v>
      </c>
      <c r="F17" s="4" t="n">
        <f aca="false">-F6*Assumptions!F18/100</f>
        <v>-78.8713132582049</v>
      </c>
      <c r="G17" s="4" t="n">
        <f aca="false">-G6*Assumptions!G18/100</f>
        <v>-81.2374526559511</v>
      </c>
      <c r="H17" s="4" t="n">
        <f aca="false">-H6*Assumptions!H18/100</f>
        <v>-83.6745762356296</v>
      </c>
      <c r="I17" s="4" t="n">
        <f aca="false">-I6*Assumptions!I18/100</f>
        <v>-85.7664406415203</v>
      </c>
      <c r="J17" s="4" t="n">
        <f aca="false">-J6*Assumptions!J18/100</f>
        <v>-87.9106016575583</v>
      </c>
      <c r="K17" s="4" t="n">
        <f aca="false">-K6*Assumptions!K18/100</f>
        <v>-89.6688136907095</v>
      </c>
      <c r="L17" s="4" t="n">
        <f aca="false">-L6*Assumptions!L18/100</f>
        <v>-91.4621899645237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-90.9034728</v>
      </c>
      <c r="D18" s="4" t="n">
        <f aca="false">(D6-C6)*Assumptions!$B$23/100</f>
        <v>41.685735384</v>
      </c>
      <c r="E18" s="4" t="n">
        <f aca="false">(E6-D6)*Assumptions!$B$23/100</f>
        <v>-13.4783877741601</v>
      </c>
      <c r="F18" s="4" t="n">
        <f aca="false">(F6-E6)*Assumptions!$B$23/100</f>
        <v>-40.8395149557048</v>
      </c>
      <c r="G18" s="4" t="n">
        <f aca="false">(G6-F6)*Assumptions!$B$23/100</f>
        <v>-42.0647004043759</v>
      </c>
      <c r="H18" s="4" t="n">
        <f aca="false">(H6-G6)*Assumptions!$B$23/100</f>
        <v>-43.3266414165072</v>
      </c>
      <c r="I18" s="4" t="n">
        <f aca="false">(I6-H6)*Assumptions!$B$23/100</f>
        <v>-37.1887005491686</v>
      </c>
      <c r="J18" s="4" t="n">
        <f aca="false">(J6-I6)*Assumptions!$B$23/100</f>
        <v>-38.1184180628977</v>
      </c>
      <c r="K18" s="4" t="n">
        <f aca="false">(K6-J6)*Assumptions!$B$23/100</f>
        <v>-31.2571028115763</v>
      </c>
      <c r="L18" s="4" t="n">
        <f aca="false">(L6-K6)*Assumptions!$B$23/100</f>
        <v>-31.8822448678079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652.6658321121</v>
      </c>
      <c r="D19" s="0" t="n">
        <f aca="false">D15+D16+D17+D18</f>
        <v>634.852733340064</v>
      </c>
      <c r="E19" s="0" t="n">
        <f aca="false">E15+E16+E17+E18</f>
        <v>574.865874556462</v>
      </c>
      <c r="F19" s="0" t="n">
        <f aca="false">F15+F16+F17+F18</f>
        <v>567.924334688124</v>
      </c>
      <c r="G19" s="0" t="n">
        <f aca="false">G15+G16+G17+G18</f>
        <v>573.552715822421</v>
      </c>
      <c r="H19" s="0" t="n">
        <f aca="false">H15+H16+H17+H18</f>
        <v>577.538714251864</v>
      </c>
      <c r="I19" s="0" t="n">
        <f aca="false">I15+I16+I17+I18</f>
        <v>584.141513876068</v>
      </c>
      <c r="J19" s="0" t="n">
        <f aca="false">J15+J16+J17+J18</f>
        <v>598.745051722969</v>
      </c>
      <c r="K19" s="0" t="n">
        <f aca="false">K15+K16+K17+K18</f>
        <v>618.343636370008</v>
      </c>
      <c r="L19" s="0" t="n">
        <f aca="false">L15+L16+L17+L18</f>
        <v>630.710509097408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601.535329135576</v>
      </c>
      <c r="D21" s="0" t="n">
        <f aca="false">D19*D20</f>
        <v>539.27901067346</v>
      </c>
      <c r="E21" s="0" t="n">
        <f aca="false">E19*E20</f>
        <v>450.067148701718</v>
      </c>
      <c r="F21" s="0" t="n">
        <f aca="false">F19*F20</f>
        <v>409.799595320937</v>
      </c>
      <c r="G21" s="0" t="n">
        <f aca="false">G19*G20</f>
        <v>381.438608672354</v>
      </c>
      <c r="H21" s="0" t="n">
        <f aca="false">H19*H20</f>
        <v>353.999519525429</v>
      </c>
      <c r="I21" s="0" t="n">
        <f aca="false">I19*I20</f>
        <v>329.996933768869</v>
      </c>
      <c r="J21" s="0" t="n">
        <f aca="false">J19*J20</f>
        <v>311.748255403771</v>
      </c>
      <c r="K21" s="0" t="n">
        <f aca="false">K19*K20</f>
        <v>296.730543454355</v>
      </c>
      <c r="L21" s="0" t="n">
        <f aca="false">L19*L20</f>
        <v>278.954059284279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3953.54900394075</v>
      </c>
    </row>
    <row r="31" customFormat="false" ht="15" hidden="false" customHeight="false" outlineLevel="0" collapsed="false">
      <c r="A31" s="0" t="s">
        <v>137</v>
      </c>
      <c r="B31" s="0" t="n">
        <f aca="false">L19</f>
        <v>630.710509097408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9897.30337352856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7568.5261091689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7568.5261091689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3347.44871141134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7300.99771535209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5770.57071535209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48.1880795596871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-0.672412783414772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812.371149365553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916.920900035902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62.6288111560951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4948.65168676428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22.7549139949364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10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16232.763</v>
      </c>
      <c r="C6" s="0" t="n">
        <f aca="false">B6*(1+C5/100)</f>
        <v>17856.0393</v>
      </c>
      <c r="D6" s="0" t="n">
        <f aca="false">C6*(1+D5/100)</f>
        <v>18748.841265</v>
      </c>
      <c r="E6" s="0" t="n">
        <f aca="false">D6*(1+E5/100)</f>
        <v>19686.28332825</v>
      </c>
      <c r="F6" s="0" t="n">
        <f aca="false">E6*(1+F5/100)</f>
        <v>20572.1660780213</v>
      </c>
      <c r="G6" s="0" t="n">
        <f aca="false">F6*(1+G5/100)</f>
        <v>21497.9135515322</v>
      </c>
      <c r="H6" s="0" t="n">
        <f aca="false">G6*(1+H5/100)</f>
        <v>22357.8300935935</v>
      </c>
      <c r="I6" s="0" t="n">
        <f aca="false">H6*(1+I5/100)</f>
        <v>23252.1432973372</v>
      </c>
      <c r="J6" s="0" t="n">
        <f aca="false">I6*(1+J5/100)</f>
        <v>24065.968312744</v>
      </c>
      <c r="K6" s="0" t="n">
        <f aca="false">J6*(1+K5/100)</f>
        <v>24787.9473621264</v>
      </c>
      <c r="L6" s="0" t="n">
        <f aca="false">K6*(1+L5/100)</f>
        <v>25531.5857829901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6.6</v>
      </c>
      <c r="D7" s="4" t="n">
        <f aca="false">Assumptions!D28</f>
        <v>6.8</v>
      </c>
      <c r="E7" s="4" t="n">
        <f aca="false">Assumptions!E28</f>
        <v>7</v>
      </c>
      <c r="F7" s="4" t="n">
        <f aca="false">Assumptions!F28</f>
        <v>7.1</v>
      </c>
      <c r="G7" s="4" t="n">
        <f aca="false">Assumptions!G28</f>
        <v>7.1</v>
      </c>
      <c r="H7" s="4" t="n">
        <f aca="false">Assumptions!H28</f>
        <v>7</v>
      </c>
      <c r="I7" s="4" t="n">
        <f aca="false">Assumptions!I28</f>
        <v>7</v>
      </c>
      <c r="J7" s="4" t="n">
        <f aca="false">Assumptions!J28</f>
        <v>7</v>
      </c>
      <c r="K7" s="4" t="n">
        <f aca="false">Assumptions!K28</f>
        <v>7</v>
      </c>
      <c r="L7" s="4" t="n">
        <f aca="false">Assumptions!L28</f>
        <v>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1178.4985938</v>
      </c>
      <c r="D8" s="0" t="n">
        <f aca="false">D6*D7/100</f>
        <v>1274.92120602</v>
      </c>
      <c r="E8" s="0" t="n">
        <f aca="false">E6*E7/100</f>
        <v>1378.0398329775</v>
      </c>
      <c r="F8" s="0" t="n">
        <f aca="false">F6*F7/100</f>
        <v>1460.62379153951</v>
      </c>
      <c r="G8" s="0" t="n">
        <f aca="false">G6*G7/100</f>
        <v>1526.35186215879</v>
      </c>
      <c r="H8" s="0" t="n">
        <f aca="false">H6*H7/100</f>
        <v>1565.04810655154</v>
      </c>
      <c r="I8" s="0" t="n">
        <f aca="false">I6*I7/100</f>
        <v>1627.65003081361</v>
      </c>
      <c r="J8" s="0" t="n">
        <f aca="false">J6*J7/100</f>
        <v>1684.61778189208</v>
      </c>
      <c r="K8" s="0" t="n">
        <f aca="false">K6*K7/100</f>
        <v>1735.15631534885</v>
      </c>
      <c r="L8" s="0" t="n">
        <f aca="false">L6*L7/100</f>
        <v>1787.21100480931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0.75</v>
      </c>
      <c r="D9" s="4" t="n">
        <f aca="false">Assumptions!D29</f>
        <v>0.72</v>
      </c>
      <c r="E9" s="4" t="n">
        <f aca="false">Assumptions!E29</f>
        <v>0.7</v>
      </c>
      <c r="F9" s="4" t="n">
        <f aca="false">Assumptions!F29</f>
        <v>0.68</v>
      </c>
      <c r="G9" s="4" t="n">
        <f aca="false">Assumptions!G29</f>
        <v>0.66</v>
      </c>
      <c r="H9" s="4" t="n">
        <f aca="false">Assumptions!H29</f>
        <v>0.65</v>
      </c>
      <c r="I9" s="4" t="n">
        <f aca="false">Assumptions!I29</f>
        <v>0.65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-133.92029475</v>
      </c>
      <c r="D10" s="0" t="n">
        <f aca="false">-D6*D9/100</f>
        <v>-134.991657108</v>
      </c>
      <c r="E10" s="0" t="n">
        <f aca="false">-E6*E9/100</f>
        <v>-137.80398329775</v>
      </c>
      <c r="F10" s="0" t="n">
        <f aca="false">-F6*F9/100</f>
        <v>-139.890729330545</v>
      </c>
      <c r="G10" s="0" t="n">
        <f aca="false">-G6*G9/100</f>
        <v>-141.886229440113</v>
      </c>
      <c r="H10" s="0" t="n">
        <f aca="false">-H6*H9/100</f>
        <v>-145.325895608358</v>
      </c>
      <c r="I10" s="0" t="n">
        <f aca="false">-I6*I9/100</f>
        <v>-151.138931432692</v>
      </c>
      <c r="J10" s="0" t="n">
        <f aca="false">-J6*J9/100</f>
        <v>-156.428794032836</v>
      </c>
      <c r="K10" s="0" t="n">
        <f aca="false">-K6*K9/100</f>
        <v>-161.121657853821</v>
      </c>
      <c r="L10" s="0" t="n">
        <f aca="false">-L6*L9/100</f>
        <v>-165.955307589436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1044.57829905</v>
      </c>
      <c r="D11" s="0" t="n">
        <f aca="false">D8+D10+D24</f>
        <v>1139.929548912</v>
      </c>
      <c r="E11" s="0" t="n">
        <f aca="false">E8+E10+E24</f>
        <v>1240.23584967975</v>
      </c>
      <c r="F11" s="0" t="n">
        <f aca="false">F8+F10+F24</f>
        <v>1320.73306220896</v>
      </c>
      <c r="G11" s="0" t="n">
        <f aca="false">G8+G10+G24</f>
        <v>1384.46563271867</v>
      </c>
      <c r="H11" s="0" t="n">
        <f aca="false">H8+H10+H24</f>
        <v>1419.72221094319</v>
      </c>
      <c r="I11" s="0" t="n">
        <f aca="false">I8+I10+I24</f>
        <v>1476.51109938091</v>
      </c>
      <c r="J11" s="0" t="n">
        <f aca="false">J8+J10+J24</f>
        <v>1528.18898785925</v>
      </c>
      <c r="K11" s="0" t="n">
        <f aca="false">K8+K10+K24</f>
        <v>1574.03465749502</v>
      </c>
      <c r="L11" s="0" t="n">
        <f aca="false">L8+L10+L24</f>
        <v>1621.25569721987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-98.20821615</v>
      </c>
      <c r="D12" s="4" t="n">
        <f aca="false">-D6*Assumptions!D31/100</f>
        <v>-99.3688587045</v>
      </c>
      <c r="E12" s="4" t="n">
        <f aca="false">-E6*Assumptions!E31/100</f>
        <v>-102.3686733069</v>
      </c>
      <c r="F12" s="4" t="n">
        <f aca="false">-F6*Assumptions!F31/100</f>
        <v>-102.860830390106</v>
      </c>
      <c r="G12" s="4" t="n">
        <f aca="false">-G6*Assumptions!G31/100</f>
        <v>-107.489567757661</v>
      </c>
      <c r="H12" s="4" t="n">
        <f aca="false">-H6*Assumptions!H31/100</f>
        <v>-111.789150467967</v>
      </c>
      <c r="I12" s="4" t="n">
        <f aca="false">-I6*Assumptions!I31/100</f>
        <v>-116.260716486686</v>
      </c>
      <c r="J12" s="4" t="n">
        <f aca="false">-J6*Assumptions!J31/100</f>
        <v>-120.32984156372</v>
      </c>
      <c r="K12" s="4" t="n">
        <f aca="false">-K6*Assumptions!K31/100</f>
        <v>-123.939736810632</v>
      </c>
      <c r="L12" s="4" t="n">
        <f aca="false">-L6*Assumptions!L31/100</f>
        <v>-127.657928914951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946.3700829</v>
      </c>
      <c r="D13" s="0" t="n">
        <f aca="false">D11+D12</f>
        <v>1040.5606902075</v>
      </c>
      <c r="E13" s="0" t="n">
        <f aca="false">E11+E12</f>
        <v>1137.86717637285</v>
      </c>
      <c r="F13" s="0" t="n">
        <f aca="false">F11+F12</f>
        <v>1217.87223181886</v>
      </c>
      <c r="G13" s="0" t="n">
        <f aca="false">G11+G12</f>
        <v>1276.97606496101</v>
      </c>
      <c r="H13" s="0" t="n">
        <f aca="false">H11+H12</f>
        <v>1307.93306047522</v>
      </c>
      <c r="I13" s="0" t="n">
        <f aca="false">I11+I12</f>
        <v>1360.25038289423</v>
      </c>
      <c r="J13" s="0" t="n">
        <f aca="false">J11+J12</f>
        <v>1407.85914629553</v>
      </c>
      <c r="K13" s="0" t="n">
        <f aca="false">K11+K12</f>
        <v>1450.09492068439</v>
      </c>
      <c r="L13" s="0" t="n">
        <f aca="false">L11+L12</f>
        <v>1493.59776830492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18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776.023467978</v>
      </c>
      <c r="D15" s="0" t="n">
        <f aca="false">D13-MAX(0,D13)*D14/100</f>
        <v>842.854159068075</v>
      </c>
      <c r="E15" s="0" t="n">
        <f aca="false">E13-MAX(0,E13)*E14/100</f>
        <v>910.29374109828</v>
      </c>
      <c r="F15" s="0" t="n">
        <f aca="false">F13-MAX(0,F13)*F14/100</f>
        <v>962.119063136898</v>
      </c>
      <c r="G15" s="0" t="n">
        <f aca="false">G13-MAX(0,G13)*G14/100</f>
        <v>1008.8110913192</v>
      </c>
      <c r="H15" s="0" t="n">
        <f aca="false">H13-MAX(0,H13)*H14/100</f>
        <v>1033.26711777542</v>
      </c>
      <c r="I15" s="0" t="n">
        <f aca="false">I13-MAX(0,I13)*I14/100</f>
        <v>1074.59780248644</v>
      </c>
      <c r="J15" s="0" t="n">
        <f aca="false">J13-MAX(0,J13)*J14/100</f>
        <v>1112.20872557347</v>
      </c>
      <c r="K15" s="0" t="n">
        <f aca="false">K13-MAX(0,K13)*K14/100</f>
        <v>1145.57498734067</v>
      </c>
      <c r="L15" s="0" t="n">
        <f aca="false">L13-MAX(0,L13)*L14/100</f>
        <v>1179.94223696089</v>
      </c>
    </row>
    <row r="16" customFormat="false" ht="15" hidden="false" customHeight="false" outlineLevel="0" collapsed="false">
      <c r="A16" s="0" t="s">
        <v>128</v>
      </c>
      <c r="C16" s="0" t="n">
        <f aca="false">-C12</f>
        <v>98.20821615</v>
      </c>
      <c r="D16" s="0" t="n">
        <f aca="false">-D12</f>
        <v>99.3688587045</v>
      </c>
      <c r="E16" s="0" t="n">
        <f aca="false">-E12</f>
        <v>102.3686733069</v>
      </c>
      <c r="F16" s="0" t="n">
        <f aca="false">-F12</f>
        <v>102.860830390106</v>
      </c>
      <c r="G16" s="0" t="n">
        <f aca="false">-G12</f>
        <v>107.489567757661</v>
      </c>
      <c r="H16" s="0" t="n">
        <f aca="false">-H12</f>
        <v>111.789150467967</v>
      </c>
      <c r="I16" s="0" t="n">
        <f aca="false">-I12</f>
        <v>116.260716486686</v>
      </c>
      <c r="J16" s="0" t="n">
        <f aca="false">-J12</f>
        <v>120.32984156372</v>
      </c>
      <c r="K16" s="0" t="n">
        <f aca="false">-K12</f>
        <v>123.939736810632</v>
      </c>
      <c r="L16" s="0" t="n">
        <f aca="false">-L12</f>
        <v>127.657928914951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-71.4241572</v>
      </c>
      <c r="D17" s="4" t="n">
        <f aca="false">-D6*Assumptions!D32/100</f>
        <v>-78.745133313</v>
      </c>
      <c r="E17" s="4" t="n">
        <f aca="false">-E6*Assumptions!E32/100</f>
        <v>-86.6196466443</v>
      </c>
      <c r="F17" s="4" t="n">
        <f aca="false">-F6*Assumptions!F32/100</f>
        <v>-92.5747473510957</v>
      </c>
      <c r="G17" s="4" t="n">
        <f aca="false">-G6*Assumptions!G32/100</f>
        <v>-96.7406109818949</v>
      </c>
      <c r="H17" s="4" t="n">
        <f aca="false">-H6*Assumptions!H32/100</f>
        <v>-100.610235421171</v>
      </c>
      <c r="I17" s="4" t="n">
        <f aca="false">-I6*Assumptions!I32/100</f>
        <v>-104.634644838018</v>
      </c>
      <c r="J17" s="4" t="n">
        <f aca="false">-J6*Assumptions!J32/100</f>
        <v>-108.296857407348</v>
      </c>
      <c r="K17" s="4" t="n">
        <f aca="false">-K6*Assumptions!K32/100</f>
        <v>-111.545763129569</v>
      </c>
      <c r="L17" s="4" t="n">
        <f aca="false">-L6*Assumptions!L32/100</f>
        <v>-114.892136023456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-129.862104</v>
      </c>
      <c r="D18" s="4" t="n">
        <f aca="false">(D6-C6)*Assumptions!$B$37/100</f>
        <v>-71.4241572000002</v>
      </c>
      <c r="E18" s="4" t="n">
        <f aca="false">(E6-D6)*Assumptions!$B$37/100</f>
        <v>-74.99536506</v>
      </c>
      <c r="F18" s="4" t="n">
        <f aca="false">(F6-E6)*Assumptions!$B$37/100</f>
        <v>-70.8706199816999</v>
      </c>
      <c r="G18" s="4" t="n">
        <f aca="false">(G6-F6)*Assumptions!$B$37/100</f>
        <v>-74.0597978808763</v>
      </c>
      <c r="H18" s="4" t="n">
        <f aca="false">(H6-G6)*Assumptions!$B$37/100</f>
        <v>-68.7933233649031</v>
      </c>
      <c r="I18" s="4" t="n">
        <f aca="false">(I6-H6)*Assumptions!$B$37/100</f>
        <v>-71.5450562994991</v>
      </c>
      <c r="J18" s="4" t="n">
        <f aca="false">(J6-I6)*Assumptions!$B$37/100</f>
        <v>-65.1060012325441</v>
      </c>
      <c r="K18" s="4" t="n">
        <f aca="false">(K6-J6)*Assumptions!$B$37/100</f>
        <v>-57.7583239505856</v>
      </c>
      <c r="L18" s="4" t="n">
        <f aca="false">(L6-K6)*Assumptions!$B$37/100</f>
        <v>-59.4910736691032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672.945422928</v>
      </c>
      <c r="D19" s="0" t="n">
        <f aca="false">D15+D16+D17+D18</f>
        <v>792.053727259575</v>
      </c>
      <c r="E19" s="0" t="n">
        <f aca="false">E15+E16+E17+E18</f>
        <v>851.04740270088</v>
      </c>
      <c r="F19" s="0" t="n">
        <f aca="false">F15+F16+F17+F18</f>
        <v>901.534526194209</v>
      </c>
      <c r="G19" s="0" t="n">
        <f aca="false">G15+G16+G17+G18</f>
        <v>945.50025021409</v>
      </c>
      <c r="H19" s="0" t="n">
        <f aca="false">H15+H16+H17+H18</f>
        <v>975.652709457317</v>
      </c>
      <c r="I19" s="0" t="n">
        <f aca="false">I15+I16+I17+I18</f>
        <v>1014.67881783561</v>
      </c>
      <c r="J19" s="0" t="n">
        <f aca="false">J15+J16+J17+J18</f>
        <v>1059.13570849729</v>
      </c>
      <c r="K19" s="0" t="n">
        <f aca="false">K15+K16+K17+K18</f>
        <v>1100.21063707115</v>
      </c>
      <c r="L19" s="0" t="n">
        <f aca="false">L15+L16+L17+L18</f>
        <v>1133.21695618328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620.226196247004</v>
      </c>
      <c r="D21" s="0" t="n">
        <f aca="false">D19*D20</f>
        <v>672.814226048186</v>
      </c>
      <c r="E21" s="0" t="n">
        <f aca="false">E19*E20</f>
        <v>666.291903722958</v>
      </c>
      <c r="F21" s="0" t="n">
        <f aca="false">F19*F20</f>
        <v>650.524130481435</v>
      </c>
      <c r="G21" s="0" t="n">
        <f aca="false">G19*G20</f>
        <v>628.800614122952</v>
      </c>
      <c r="H21" s="0" t="n">
        <f aca="false">H19*H20</f>
        <v>598.021538381153</v>
      </c>
      <c r="I21" s="0" t="n">
        <f aca="false">I19*I20</f>
        <v>573.218801766267</v>
      </c>
      <c r="J21" s="0" t="n">
        <f aca="false">J19*J20</f>
        <v>551.459604400437</v>
      </c>
      <c r="K21" s="0" t="n">
        <f aca="false">K19*K20</f>
        <v>527.968723295846</v>
      </c>
      <c r="L21" s="0" t="n">
        <f aca="false">L19*L20</f>
        <v>501.20533179237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5990.53107025861</v>
      </c>
    </row>
    <row r="31" customFormat="false" ht="15" hidden="false" customHeight="false" outlineLevel="0" collapsed="false">
      <c r="A31" s="0" t="s">
        <v>137</v>
      </c>
      <c r="B31" s="0" t="n">
        <f aca="false">L19</f>
        <v>1133.21695618328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19359.1230014644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16998.2543427492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16998.2543427492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7518.07997688555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13508.6110471442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11978.1840471442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100.02575383207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-0.320015269666421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947.913888810947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1253.91003995231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118.412438943369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9292.37904070291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43.7411757676356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12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16232.763</v>
      </c>
      <c r="C6" s="0" t="n">
        <f aca="false">B6*(1+C5/100)</f>
        <v>18180.69456</v>
      </c>
      <c r="D6" s="0" t="n">
        <f aca="false">C6*(1+D5/100)</f>
        <v>19635.1501248</v>
      </c>
      <c r="E6" s="0" t="n">
        <f aca="false">D6*(1+E5/100)</f>
        <v>21009.610633536</v>
      </c>
      <c r="F6" s="0" t="n">
        <f aca="false">E6*(1+F5/100)</f>
        <v>22270.1872715482</v>
      </c>
      <c r="G6" s="0" t="n">
        <f aca="false">F6*(1+G5/100)</f>
        <v>23383.6966351256</v>
      </c>
      <c r="H6" s="0" t="n">
        <f aca="false">G6*(1+H5/100)</f>
        <v>24435.9629837062</v>
      </c>
      <c r="I6" s="0" t="n">
        <f aca="false">H6*(1+I5/100)</f>
        <v>25413.4015030545</v>
      </c>
      <c r="J6" s="0" t="n">
        <f aca="false">I6*(1+J5/100)</f>
        <v>26429.9375631767</v>
      </c>
      <c r="K6" s="0" t="n">
        <f aca="false">J6*(1+K5/100)</f>
        <v>27354.9853778878</v>
      </c>
      <c r="L6" s="0" t="n">
        <f aca="false">K6*(1+L5/100)</f>
        <v>28312.4098661139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6.7</v>
      </c>
      <c r="D7" s="4" t="n">
        <f aca="false">Assumptions!D42</f>
        <v>7.2</v>
      </c>
      <c r="E7" s="4" t="n">
        <f aca="false">Assumptions!E42</f>
        <v>7.6</v>
      </c>
      <c r="F7" s="4" t="n">
        <f aca="false">Assumptions!F42</f>
        <v>7.9</v>
      </c>
      <c r="G7" s="4" t="n">
        <f aca="false">Assumptions!G42</f>
        <v>8</v>
      </c>
      <c r="H7" s="4" t="n">
        <f aca="false">Assumptions!H42</f>
        <v>8</v>
      </c>
      <c r="I7" s="4" t="n">
        <f aca="false">Assumptions!I42</f>
        <v>8</v>
      </c>
      <c r="J7" s="4" t="n">
        <f aca="false">Assumptions!J42</f>
        <v>8</v>
      </c>
      <c r="K7" s="4" t="n">
        <f aca="false">Assumptions!K42</f>
        <v>8</v>
      </c>
      <c r="L7" s="4" t="n">
        <f aca="false">Assumptions!L42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1218.10653552</v>
      </c>
      <c r="D8" s="0" t="n">
        <f aca="false">D6*D7/100</f>
        <v>1413.7308089856</v>
      </c>
      <c r="E8" s="0" t="n">
        <f aca="false">E6*E7/100</f>
        <v>1596.73040814874</v>
      </c>
      <c r="F8" s="0" t="n">
        <f aca="false">F6*F7/100</f>
        <v>1759.34479445231</v>
      </c>
      <c r="G8" s="0" t="n">
        <f aca="false">G6*G7/100</f>
        <v>1870.69573081005</v>
      </c>
      <c r="H8" s="0" t="n">
        <f aca="false">H6*H7/100</f>
        <v>1954.8770386965</v>
      </c>
      <c r="I8" s="0" t="n">
        <f aca="false">I6*I7/100</f>
        <v>2033.07212024436</v>
      </c>
      <c r="J8" s="0" t="n">
        <f aca="false">J6*J7/100</f>
        <v>2114.39500505413</v>
      </c>
      <c r="K8" s="0" t="n">
        <f aca="false">K6*K7/100</f>
        <v>2188.39883023103</v>
      </c>
      <c r="L8" s="0" t="n">
        <f aca="false">L6*L7/100</f>
        <v>2264.99278928911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0.75</v>
      </c>
      <c r="D9" s="4" t="n">
        <f aca="false">Assumptions!D43</f>
        <v>0.72</v>
      </c>
      <c r="E9" s="4" t="n">
        <f aca="false">Assumptions!E43</f>
        <v>0.7</v>
      </c>
      <c r="F9" s="4" t="n">
        <f aca="false">Assumptions!F43</f>
        <v>0.68</v>
      </c>
      <c r="G9" s="4" t="n">
        <f aca="false">Assumptions!G43</f>
        <v>0.66</v>
      </c>
      <c r="H9" s="4" t="n">
        <f aca="false">Assumptions!H43</f>
        <v>0.65</v>
      </c>
      <c r="I9" s="4" t="n">
        <f aca="false">Assumptions!I43</f>
        <v>0.65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-136.3552092</v>
      </c>
      <c r="D10" s="0" t="n">
        <f aca="false">-D6*D9/100</f>
        <v>-141.37308089856</v>
      </c>
      <c r="E10" s="0" t="n">
        <f aca="false">-E6*E9/100</f>
        <v>-147.067274434752</v>
      </c>
      <c r="F10" s="0" t="n">
        <f aca="false">-F6*F9/100</f>
        <v>-151.437273446528</v>
      </c>
      <c r="G10" s="0" t="n">
        <f aca="false">-G6*G9/100</f>
        <v>-154.332397791829</v>
      </c>
      <c r="H10" s="0" t="n">
        <f aca="false">-H6*H9/100</f>
        <v>-158.833759394091</v>
      </c>
      <c r="I10" s="0" t="n">
        <f aca="false">-I6*I9/100</f>
        <v>-165.187109769854</v>
      </c>
      <c r="J10" s="0" t="n">
        <f aca="false">-J6*J9/100</f>
        <v>-171.794594160648</v>
      </c>
      <c r="K10" s="0" t="n">
        <f aca="false">-K6*K9/100</f>
        <v>-177.807404956271</v>
      </c>
      <c r="L10" s="0" t="n">
        <f aca="false">-L6*L9/100</f>
        <v>-184.03066412974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1081.75132632</v>
      </c>
      <c r="D11" s="0" t="n">
        <f aca="false">D8+D10+D24</f>
        <v>1272.35772808704</v>
      </c>
      <c r="E11" s="0" t="n">
        <f aca="false">E8+E10+E24</f>
        <v>1449.66313371398</v>
      </c>
      <c r="F11" s="0" t="n">
        <f aca="false">F8+F10+F24</f>
        <v>1607.90752100578</v>
      </c>
      <c r="G11" s="0" t="n">
        <f aca="false">G8+G10+G24</f>
        <v>1716.36333301822</v>
      </c>
      <c r="H11" s="0" t="n">
        <f aca="false">H8+H10+H24</f>
        <v>1796.04327930241</v>
      </c>
      <c r="I11" s="0" t="n">
        <f aca="false">I8+I10+I24</f>
        <v>1867.8850104745</v>
      </c>
      <c r="J11" s="0" t="n">
        <f aca="false">J8+J10+J24</f>
        <v>1942.60041089348</v>
      </c>
      <c r="K11" s="0" t="n">
        <f aca="false">K8+K10+K24</f>
        <v>2010.59142527476</v>
      </c>
      <c r="L11" s="0" t="n">
        <f aca="false">L8+L10+L24</f>
        <v>2080.96212515937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-99.99382008</v>
      </c>
      <c r="D12" s="4" t="n">
        <f aca="false">-D6*Assumptions!D45/100</f>
        <v>-104.06629566144</v>
      </c>
      <c r="E12" s="4" t="n">
        <f aca="false">-E6*Assumptions!E45/100</f>
        <v>-109.249975294387</v>
      </c>
      <c r="F12" s="4" t="n">
        <f aca="false">-F6*Assumptions!F45/100</f>
        <v>-111.350936357741</v>
      </c>
      <c r="G12" s="4" t="n">
        <f aca="false">-G6*Assumptions!G45/100</f>
        <v>-116.918483175628</v>
      </c>
      <c r="H12" s="4" t="n">
        <f aca="false">-H6*Assumptions!H45/100</f>
        <v>-122.179814918531</v>
      </c>
      <c r="I12" s="4" t="n">
        <f aca="false">-I6*Assumptions!I45/100</f>
        <v>-127.067007515272</v>
      </c>
      <c r="J12" s="4" t="n">
        <f aca="false">-J6*Assumptions!J45/100</f>
        <v>-132.149687815883</v>
      </c>
      <c r="K12" s="4" t="n">
        <f aca="false">-K6*Assumptions!K45/100</f>
        <v>-136.774926889439</v>
      </c>
      <c r="L12" s="4" t="n">
        <f aca="false">-L6*Assumptions!L45/100</f>
        <v>-141.56204933057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981.75750624</v>
      </c>
      <c r="D13" s="0" t="n">
        <f aca="false">D11+D12</f>
        <v>1168.2914324256</v>
      </c>
      <c r="E13" s="0" t="n">
        <f aca="false">E11+E12</f>
        <v>1340.4131584196</v>
      </c>
      <c r="F13" s="0" t="n">
        <f aca="false">F11+F12</f>
        <v>1496.55658464804</v>
      </c>
      <c r="G13" s="0" t="n">
        <f aca="false">G11+G12</f>
        <v>1599.44484984259</v>
      </c>
      <c r="H13" s="0" t="n">
        <f aca="false">H11+H12</f>
        <v>1673.86346438388</v>
      </c>
      <c r="I13" s="0" t="n">
        <f aca="false">I11+I12</f>
        <v>1740.81800295923</v>
      </c>
      <c r="J13" s="0" t="n">
        <f aca="false">J11+J12</f>
        <v>1810.4507230776</v>
      </c>
      <c r="K13" s="0" t="n">
        <f aca="false">K11+K12</f>
        <v>1873.81649838532</v>
      </c>
      <c r="L13" s="0" t="n">
        <f aca="false">L11+L12</f>
        <v>1939.4000758288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805.0411551168</v>
      </c>
      <c r="D15" s="0" t="n">
        <f aca="false">D13-MAX(0,D13)*D14/100</f>
        <v>946.316060264736</v>
      </c>
      <c r="E15" s="0" t="n">
        <f aca="false">E13-MAX(0,E13)*E14/100</f>
        <v>1072.33052673568</v>
      </c>
      <c r="F15" s="0" t="n">
        <f aca="false">F13-MAX(0,F13)*F14/100</f>
        <v>1182.27970187195</v>
      </c>
      <c r="G15" s="0" t="n">
        <f aca="false">G13-MAX(0,G13)*G14/100</f>
        <v>1263.56143137565</v>
      </c>
      <c r="H15" s="0" t="n">
        <f aca="false">H13-MAX(0,H13)*H14/100</f>
        <v>1322.35213686326</v>
      </c>
      <c r="I15" s="0" t="n">
        <f aca="false">I13-MAX(0,I13)*I14/100</f>
        <v>1375.24622233779</v>
      </c>
      <c r="J15" s="0" t="n">
        <f aca="false">J13-MAX(0,J13)*J14/100</f>
        <v>1430.2560712313</v>
      </c>
      <c r="K15" s="0" t="n">
        <f aca="false">K13-MAX(0,K13)*K14/100</f>
        <v>1480.3150337244</v>
      </c>
      <c r="L15" s="0" t="n">
        <f aca="false">L13-MAX(0,L13)*L14/100</f>
        <v>1532.12605990475</v>
      </c>
    </row>
    <row r="16" customFormat="false" ht="15" hidden="false" customHeight="false" outlineLevel="0" collapsed="false">
      <c r="A16" s="0" t="s">
        <v>128</v>
      </c>
      <c r="C16" s="0" t="n">
        <f aca="false">-C12</f>
        <v>99.99382008</v>
      </c>
      <c r="D16" s="0" t="n">
        <f aca="false">-D12</f>
        <v>104.06629566144</v>
      </c>
      <c r="E16" s="0" t="n">
        <f aca="false">-E12</f>
        <v>109.249975294387</v>
      </c>
      <c r="F16" s="0" t="n">
        <f aca="false">-F12</f>
        <v>111.350936357741</v>
      </c>
      <c r="G16" s="0" t="n">
        <f aca="false">-G12</f>
        <v>116.918483175628</v>
      </c>
      <c r="H16" s="0" t="n">
        <f aca="false">-H12</f>
        <v>122.179814918531</v>
      </c>
      <c r="I16" s="0" t="n">
        <f aca="false">-I12</f>
        <v>127.067007515272</v>
      </c>
      <c r="J16" s="0" t="n">
        <f aca="false">-J12</f>
        <v>132.149687815883</v>
      </c>
      <c r="K16" s="0" t="n">
        <f aca="false">-K12</f>
        <v>136.774926889439</v>
      </c>
      <c r="L16" s="0" t="n">
        <f aca="false">-L12</f>
        <v>141.56204933057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-72.72277824</v>
      </c>
      <c r="D17" s="4" t="n">
        <f aca="false">-D6*Assumptions!D46/100</f>
        <v>-82.46763052416</v>
      </c>
      <c r="E17" s="4" t="n">
        <f aca="false">-E6*Assumptions!E46/100</f>
        <v>-92.4422867875584</v>
      </c>
      <c r="F17" s="4" t="n">
        <f aca="false">-F6*Assumptions!F46/100</f>
        <v>-100.215842721967</v>
      </c>
      <c r="G17" s="4" t="n">
        <f aca="false">-G6*Assumptions!G46/100</f>
        <v>-105.226634858065</v>
      </c>
      <c r="H17" s="4" t="n">
        <f aca="false">-H6*Assumptions!H46/100</f>
        <v>-109.961833426678</v>
      </c>
      <c r="I17" s="4" t="n">
        <f aca="false">-I6*Assumptions!I46/100</f>
        <v>-114.360306763745</v>
      </c>
      <c r="J17" s="4" t="n">
        <f aca="false">-J6*Assumptions!J46/100</f>
        <v>-118.934719034295</v>
      </c>
      <c r="K17" s="4" t="n">
        <f aca="false">-K6*Assumptions!K46/100</f>
        <v>-123.097434200495</v>
      </c>
      <c r="L17" s="4" t="n">
        <f aca="false">-L6*Assumptions!L46/100</f>
        <v>-127.405844397513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-155.8345248</v>
      </c>
      <c r="D18" s="4" t="n">
        <f aca="false">(D6-C6)*Assumptions!$B$51/100</f>
        <v>-116.356445184</v>
      </c>
      <c r="E18" s="4" t="n">
        <f aca="false">(E6-D6)*Assumptions!$B$51/100</f>
        <v>-109.95684069888</v>
      </c>
      <c r="F18" s="4" t="n">
        <f aca="false">(F6-E6)*Assumptions!$B$51/100</f>
        <v>-100.846131040973</v>
      </c>
      <c r="G18" s="4" t="n">
        <f aca="false">(G6-F6)*Assumptions!$B$51/100</f>
        <v>-89.0807490861928</v>
      </c>
      <c r="H18" s="4" t="n">
        <f aca="false">(H6-G6)*Assumptions!$B$51/100</f>
        <v>-84.1813078864518</v>
      </c>
      <c r="I18" s="4" t="n">
        <f aca="false">(I6-H6)*Assumptions!$B$51/100</f>
        <v>-78.1950815478599</v>
      </c>
      <c r="J18" s="4" t="n">
        <f aca="false">(J6-I6)*Assumptions!$B$51/100</f>
        <v>-81.3228848097744</v>
      </c>
      <c r="K18" s="4" t="n">
        <f aca="false">(K6-J6)*Assumptions!$B$51/100</f>
        <v>-74.0038251768946</v>
      </c>
      <c r="L18" s="4" t="n">
        <f aca="false">(L6-K6)*Assumptions!$B$51/100</f>
        <v>-76.5939590580857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676.4776721568</v>
      </c>
      <c r="D19" s="0" t="n">
        <f aca="false">D15+D16+D17+D18</f>
        <v>851.558280218016</v>
      </c>
      <c r="E19" s="0" t="n">
        <f aca="false">E15+E16+E17+E18</f>
        <v>979.181374543627</v>
      </c>
      <c r="F19" s="0" t="n">
        <f aca="false">F15+F16+F17+F18</f>
        <v>1092.56866446675</v>
      </c>
      <c r="G19" s="0" t="n">
        <f aca="false">G15+G16+G17+G18</f>
        <v>1186.17253060702</v>
      </c>
      <c r="H19" s="0" t="n">
        <f aca="false">H15+H16+H17+H18</f>
        <v>1250.38881046866</v>
      </c>
      <c r="I19" s="0" t="n">
        <f aca="false">I15+I16+I17+I18</f>
        <v>1309.75784154146</v>
      </c>
      <c r="J19" s="0" t="n">
        <f aca="false">J15+J16+J17+J18</f>
        <v>1362.14815520312</v>
      </c>
      <c r="K19" s="0" t="n">
        <f aca="false">K15+K16+K17+K18</f>
        <v>1419.98870123645</v>
      </c>
      <c r="L19" s="0" t="n">
        <f aca="false">L15+L16+L17+L18</f>
        <v>1469.68830577973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623.481725490138</v>
      </c>
      <c r="D21" s="0" t="n">
        <f aca="false">D19*D20</f>
        <v>723.360683147246</v>
      </c>
      <c r="E21" s="0" t="n">
        <f aca="false">E19*E20</f>
        <v>766.609027962738</v>
      </c>
      <c r="F21" s="0" t="n">
        <f aca="false">F19*F20</f>
        <v>788.369452076189</v>
      </c>
      <c r="G21" s="0" t="n">
        <f aca="false">G19*G20</f>
        <v>788.858612710658</v>
      </c>
      <c r="H21" s="0" t="n">
        <f aca="false">H19*H20</f>
        <v>766.419682703462</v>
      </c>
      <c r="I21" s="0" t="n">
        <f aca="false">I19*I20</f>
        <v>739.916717817995</v>
      </c>
      <c r="J21" s="0" t="n">
        <f aca="false">J19*J20</f>
        <v>709.228927678078</v>
      </c>
      <c r="K21" s="0" t="n">
        <f aca="false">K19*K20</f>
        <v>681.423716900361</v>
      </c>
      <c r="L21" s="0" t="n">
        <f aca="false">L19*L20</f>
        <v>650.021702296658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7237.69024878352</v>
      </c>
    </row>
    <row r="31" customFormat="false" ht="15" hidden="false" customHeight="false" outlineLevel="0" collapsed="false">
      <c r="A31" s="0" t="s">
        <v>137</v>
      </c>
      <c r="B31" s="0" t="n">
        <f aca="false">L19</f>
        <v>1469.68830577973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27523.2537264203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23515.0128924756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23515.0128924756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10400.3472367465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17638.03748553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16107.61048553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134.509193956878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-0.0855935149090582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1019.65793107824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1524.2891095284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155.752833179988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12614.8246246093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57.8144474352259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48.1880795596871</v>
      </c>
      <c r="C4" s="0" t="n">
        <f aca="false">B4/Assumptions!$B$2-1</f>
        <v>-0.672412783414772</v>
      </c>
      <c r="D4" s="4" t="n">
        <f aca="false">Assumptions!$B$24</f>
        <v>0.2</v>
      </c>
      <c r="E4" s="4" t="n">
        <f aca="false">DCF_Bear!$B$43</f>
        <v>62.6288111560951</v>
      </c>
      <c r="F4" s="4" t="n">
        <f aca="false">DCF_Bear!$B$47</f>
        <v>22.7549139949364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100.02575383207</v>
      </c>
      <c r="C5" s="0" t="n">
        <f aca="false">B5/Assumptions!$B$2-1</f>
        <v>-0.320015269666421</v>
      </c>
      <c r="D5" s="4" t="n">
        <f aca="false">Assumptions!$B$38</f>
        <v>0.5</v>
      </c>
      <c r="E5" s="4" t="n">
        <f aca="false">DCF_Base!$B$43</f>
        <v>118.412438943369</v>
      </c>
      <c r="F5" s="4" t="n">
        <f aca="false">DCF_Base!$B$47</f>
        <v>43.7411757676356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134.509193956878</v>
      </c>
      <c r="C6" s="0" t="n">
        <f aca="false">B6/Assumptions!$B$2-1</f>
        <v>-0.0855935149090582</v>
      </c>
      <c r="D6" s="4" t="n">
        <f aca="false">Assumptions!$B$52</f>
        <v>0.3</v>
      </c>
      <c r="E6" s="4" t="n">
        <f aca="false">DCF_Bull!$B$43</f>
        <v>155.752833179988</v>
      </c>
      <c r="F6" s="4" t="n">
        <f aca="false">DCF_Bull!$B$47</f>
        <v>57.8144474352259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100.003251015035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118.4578316569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-0.470952179123493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255.203571942052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43.7659049133728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100.02575383207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96.0143136347342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83.6587427421759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71.8805554283019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62.599993900519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43.7411757676356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118.078938938045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118.078938938045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118.078938938045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118.078938938045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118.078938938045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108.629267614616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108.629267614616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108.629267614616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108.629267614616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108.629267614616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97.9330559347978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100.02575383207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100.02575383207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100.02575383207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100.02575383207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83.3529560220646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86.8373367003654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90.8194860469949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92.1832358232379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92.1832358232379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72.047742346746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74.5658945851011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77.3988158532505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80.6094599571533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84.2787675044706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2026-09-26T00:42:54Z</dcterms:created>
  <dc:creator>openpyxl</dc:creator>
  <dc:description/>
  <dc:language>en-NZ</dc:language>
  <cp:lastModifiedBy/>
  <dcterms:modified xsi:type="dcterms:W3CDTF">2026-09-26T00:42:54Z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