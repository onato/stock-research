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<sst xmlns="http://schemas.openxmlformats.org/spreadsheetml/2006/main" count="369" uniqueCount="170">
  <si>
    <t xml:space="preserve">Ticker</t>
  </si>
  <si>
    <t xml:space="preserve">HUB.AX</t>
  </si>
  <si>
    <t xml:space="preserve">Company</t>
  </si>
  <si>
    <t xml:space="preserve">HUB24 Limited</t>
  </si>
  <si>
    <t xml:space="preserve">Valuation date</t>
  </si>
  <si>
    <t xml:space="preserve">2026-09-23</t>
  </si>
  <si>
    <t xml:space="preserve">Current price</t>
  </si>
  <si>
    <t xml:space="preserve">Price as of</t>
  </si>
  <si>
    <t xml:space="preserve">2026-09-23T02:09:12Z (ASX intraday, regular session)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</si>
  <si>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</si>
  <si>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</si>
  <si>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</si>
  <si>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</si>
  <si>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</si>
  <si>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</si>
  <si>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</si>
  <si>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</si>
  <si>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</si>
  <si>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</si>
  <si>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</si>
  <si>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</si>
  <si>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2026-09-23T02:34:45Z</t>
  </si>
  <si>
    <t xml:space="preserve">Drivers file</t>
  </si>
  <si>
    <t xml:space="preserve">HUB.AX_Drivers.json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</si>
  <si>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</si>
  <si>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</si>
  <si>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</si>
  <si>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component DCF on a fee-earning custodial platform. Value is driven by (1) how much of the guided 15-20%/yr FUA growth survives fee tiering to reach revenue, (2) how far operating leverage takes a 41% pre-SBC margin, and (3) the true cost of equity compensation, which at HUB24 is the on-market treasury purchase (54-56m/yr) rather than the 13m grant-date expense. Interest &amp; other income is stripped and the loan/equity investments that earn it are added back at book; leases are an operating cost and excluded from net debt; net cash is 41m. One 10% AUD WACC; cyclicality and fee compression live in the bear flows and a 25% bear weight.
key_risks_to_valuation: FUA is marked to market: an equity/bond drawdown and RBA cash-rate cuts reduce ad-valorem fees and cash-account margin simultaneously, without any change in adviser behaviour; Platform revenue margin (bps of FUA) is compressing 1-2bps/yr from fee tiering and caps; the base case assumes ~2pp/yr of growth leakage, the bear 3-4pp; SBC charged at 5% of revenue sliding to 3% is a judgment between the 2.7% grant-date expense and the 11-13% cash settlement cost of FY25-26; each 1pp of revenue is ~2-3% of value; Two-horse competition with Netwealth for the same finite pool of adviser-directed flows; growth is a share-transfer story; DBFO/QAR reform could route advised assets through super-fund channels that bypass wrap platforms; 113.5m of related-party loans and minority equity stakes are added at book; the 77.5m HTFS loan supports the trustee being insourced and may be quasi-permanent capital; Terminal value is a large share of value at 10% WACC on a 45% margin; the 20x cap binds if Gordon exceeds it</t>
  </si>
  <si>
    <t xml:space="preserve">Data sources</t>
  </si>
  <si>
    <t xml:space="preserve">price: Yahoo Finance chart API at inputs.price_as_of (ASX intraday); 52-week range 68.70-122.03
financials: HUB.AX_Metrics.csv / HUB.AX.duckdb core_metrics (financial-parser, 2026-09-23) cross-checked against HUB.AX_Annual_FY2026.txt: cash flow statement (lines 4862-4900), segment note 2 (5060-5090), tax note 5.1 (6383-6400), balance sheet (4748-4795), notes 4.2/4.3/4.4, share capital note 4.5.1 (6186-6212), EPS note 2.5.2 (5250-5262), five-year summary (2170-2185)
qualitative: HUB.AX_Analysis.json (qualitative-analyst, 2026-09-23): FY27 FUA guidance 160-170bn, FY28 target 186-200bn, bull/bear axes, HTFS trustee insourcing</t>
  </si>
  <si>
    <t xml:space="preserve">Scenario narrative: bear</t>
  </si>
  <si>
    <t xml:space="preserve">A market drawdown in FY28-29 plus RBA cuts hit both ad-valorem and cash-margin revenue at the same time, revenue-margin compression accelerates under Netwealth competition and fee caps, and DBFO reforms let super funds deliver advice without a wrap platform. Growth stalls at 3-4%, the margin falls to 36.5%, and the business exits at 15x owner FCF. Not a solvency case: HUB24 has net cash, so the bear is a re-rating and margin case, not a survival one.</t>
  </si>
  <si>
    <t xml:space="preserve">Scenario narrative: base</t>
  </si>
  <si>
    <t xml:space="preserve">HUB24 keeps winning share from bank-owned platforms (BT Panorama, Macquarie Wrap, CFS, AMP North) as the #1 net-inflow platform, but FUA growth converts to revenue growth at roughly 0.85x because of admin-fee tiering. Revenue compounds 17% -&gt; 4% over ten years, the pre-SBC EBITDA margin drifts from 41% to 45%, and SBC is charged at the settlement cost of the FY24-26 grants (5% of revenue) fading to 3%. Cash tax normalises to 29%. Net cash plus the 113.5m of loans and equity investments is added at book.</t>
  </si>
  <si>
    <t xml:space="preserve">Scenario narrative: bull</t>
  </si>
  <si>
    <t xml:space="preserve">Upper end of the FY27/FY28 FUA ranges with stable markets, revenue-margin compression limited to ~1pp/yr, the HUB24 Super trustee insourced by end-2026 capturing EQT's economics, myhub/Class cross-sell lifting Tech Solutions, and operating leverage taking the margin to 49%. Terminal growth 3.5% (the superannuation system compounds ~7%/yr structurally).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</si>
  <si>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</si>
  <si>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</si>
  <si>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</si>
  <si>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</si>
  <si>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</si>
  <si>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</si>
  <si>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</si>
  <si>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</si>
  <si>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</si>
  <si>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</si>
  <si>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</si>
  <si>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</si>
  <si>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</si>
  <si>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</si>
  <si>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</si>
  <si>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</si>
  <si>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</si>
  <si>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</si>
  <si>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</si>
  <si>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</si>
  <si>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</si>
  <si>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</si>
  <si>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</si>
  <si>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</si>
  <si>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</si>
  <si>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</si>
  <si>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</si>
  <si>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DividendPerShareDeclared</t>
  </si>
  <si>
    <t xml:space="preserve">UnderlyingEBITDA</t>
  </si>
  <si>
    <t xml:space="preserve">UnderlyingEPS</t>
  </si>
  <si>
    <t xml:space="preserve">UnderlyingNPAT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</si>
  <si>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</si>
  <si>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</si>
  <si>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</si>
  <si>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</si>
  <si>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</si>
  <si>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</si>
  <si>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</si>
  <si>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</si>
  <si>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</si>
  <si>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</si>
  <si>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</si>
  <si>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</si>
  <si>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</si>
  <si>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</si>
  <si>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</si>
  <si>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</si>
  <si>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</si>
  <si>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</si>
  <si>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</si>
  <si>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</si>
  <si>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</si>
  <si>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</si>
  <si>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</si>
  <si>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</si>
  <si>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</si>
  <si>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</si>
  <si>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</si>
  <si>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</si>
  <si>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</si>
  <si>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</si>
  <si>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</si>
  <si>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</si>
  <si>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</si>
  <si>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</si>
  <si>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</si>
  <si>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</si>
  <si>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</si>
  <si>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</si>
  <si>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</si>
  <si>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</si>
  <si>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</si>
  <si>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</si>
  <si>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</si>
  <si>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</si>
  <si>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</si>
  <si>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</si>
  <si>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</si>
  <si>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</si>
  <si>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</si>
  <si>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HUB.AX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</si>
  <si>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</si>
  <si>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</si>
  <si>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</si>
  <si>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</si>
  <si>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</si>
  <si>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</si>
  <si>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</si>
  <si>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</si>
  <si>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</si>
  <si>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</si>
  <si>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</si>
  <si>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</si>
  <si>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</si>
  <si>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</si>
  <si>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</si>
  <si>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</si>
  <si>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</si>
  <si>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</si>
  <si>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</si>
  <si>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</si>
  <si>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</si>
  <si>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</si>
  <si>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</si>
  <si>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</si>
  <si>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</si>
  <si>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</si>
  <si>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</si>
  <si>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</si>
  <si>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</si>
  <si>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</si>
  <si>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HUB.AX owner-FCF component DCF: base case (millions, AUD)</t>
  </si>
  <si>
    <t xml:space="preserve">HUB.AX owner-FCF component DCF: bull case (millions, AUD)</t>
  </si>
  <si>
    <t xml:space="preserve">HUB.AX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</si>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</sst>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69.375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</row>
    <row r="2" customFormat="false" ht="15" hidden="false" customHeight="false" outlineLevel="0" collapsed="false">
      <c r="A2" s="0" t="s">
        <v>67</v>
      </c>
      <c r="B2" s="0" t="n">
        <v>28.669</v>
      </c>
      <c r="F2" s="0" t="n">
        <v>-5.985</v>
      </c>
      <c r="G2" s="0" t="n">
        <v>-20.9</v>
      </c>
      <c r="H2" s="0" t="n">
        <v>-5.368</v>
      </c>
      <c r="I2" s="0" t="n">
        <v>-6.457</v>
      </c>
      <c r="J2" s="0" t="n">
        <v>-22.5</v>
      </c>
      <c r="K2" s="0" t="n">
        <v>-0.1334</v>
      </c>
      <c r="L2" s="0" t="n">
        <v>-5.203</v>
      </c>
      <c r="M2" s="0" t="n">
        <v>0.851</v>
      </c>
      <c r="N2" s="0" t="n">
        <v>-6.054</v>
      </c>
      <c r="O2" s="0" t="n">
        <v>17.897</v>
      </c>
      <c r="P2" s="0" t="n">
        <v>28.072</v>
      </c>
      <c r="Q2" s="0" t="n">
        <v>10.175</v>
      </c>
      <c r="R2" s="0" t="n">
        <v>0</v>
      </c>
      <c r="S2" s="0" t="n">
        <v>12.109</v>
      </c>
      <c r="T2" s="0" t="n">
        <v>48.4</v>
      </c>
      <c r="U2" s="0" t="n">
        <v>0.903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68</v>
      </c>
      <c r="B3" s="0" t="n">
        <v>43.273</v>
      </c>
      <c r="F3" s="0" t="n">
        <v>-2.696</v>
      </c>
      <c r="G3" s="0" t="n">
        <v>-6.2</v>
      </c>
      <c r="H3" s="0" t="n">
        <v>-1.912</v>
      </c>
      <c r="I3" s="0" t="n">
        <v>-1.187</v>
      </c>
      <c r="J3" s="0" t="n">
        <v>-2.7</v>
      </c>
      <c r="K3" s="0" t="n">
        <v>-0.0226</v>
      </c>
      <c r="L3" s="0" t="n">
        <v>1.304</v>
      </c>
      <c r="M3" s="0" t="n">
        <v>1.564</v>
      </c>
      <c r="N3" s="0" t="n">
        <v>-0.26</v>
      </c>
      <c r="O3" s="0" t="n">
        <v>18.963</v>
      </c>
      <c r="P3" s="0" t="n">
        <v>28.849</v>
      </c>
      <c r="Q3" s="0" t="n">
        <v>9.886</v>
      </c>
      <c r="R3" s="0" t="n">
        <v>0</v>
      </c>
      <c r="S3" s="0" t="n">
        <v>9.267</v>
      </c>
      <c r="T3" s="0" t="n">
        <v>52.52</v>
      </c>
      <c r="U3" s="0" t="n">
        <v>1.312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69</v>
      </c>
      <c r="B4" s="0" t="n">
        <v>62.341</v>
      </c>
      <c r="F4" s="0" t="n">
        <v>2.323</v>
      </c>
      <c r="G4" s="0" t="n">
        <v>3.7</v>
      </c>
      <c r="H4" s="0" t="n">
        <v>3.747</v>
      </c>
      <c r="I4" s="0" t="n">
        <v>18.874</v>
      </c>
      <c r="J4" s="0" t="n">
        <v>30.3</v>
      </c>
      <c r="K4" s="0" t="n">
        <v>0.3315</v>
      </c>
      <c r="L4" s="0" t="n">
        <v>4.063</v>
      </c>
      <c r="M4" s="0" t="n">
        <v>2.473</v>
      </c>
      <c r="N4" s="0" t="n">
        <v>1.59</v>
      </c>
      <c r="O4" s="0" t="n">
        <v>43.615</v>
      </c>
      <c r="P4" s="0" t="n">
        <v>63.112</v>
      </c>
      <c r="Q4" s="0" t="n">
        <v>19.497</v>
      </c>
      <c r="R4" s="0" t="n">
        <v>0</v>
      </c>
      <c r="S4" s="0" t="n">
        <v>10.837</v>
      </c>
      <c r="T4" s="0" t="n">
        <v>56.94</v>
      </c>
      <c r="U4" s="0" t="n">
        <v>0.8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70</v>
      </c>
      <c r="B5" s="0" t="n">
        <v>84.051</v>
      </c>
      <c r="F5" s="0" t="n">
        <v>6.866</v>
      </c>
      <c r="G5" s="0" t="n">
        <v>8.2</v>
      </c>
      <c r="H5" s="0" t="n">
        <v>8.882</v>
      </c>
      <c r="I5" s="0" t="n">
        <v>7.379</v>
      </c>
      <c r="J5" s="0" t="n">
        <v>8.8</v>
      </c>
      <c r="K5" s="0" t="n">
        <v>0.1191</v>
      </c>
      <c r="L5" s="0" t="n">
        <v>12.251</v>
      </c>
      <c r="M5" s="0" t="n">
        <v>6.401</v>
      </c>
      <c r="N5" s="0" t="n">
        <v>5.85</v>
      </c>
      <c r="O5" s="0" t="n">
        <v>57.866</v>
      </c>
      <c r="P5" s="0" t="n">
        <v>72.422</v>
      </c>
      <c r="Q5" s="0" t="n">
        <v>14.556</v>
      </c>
      <c r="R5" s="0" t="n">
        <v>0</v>
      </c>
      <c r="S5" s="0" t="n">
        <v>16.959</v>
      </c>
      <c r="T5" s="0" t="n">
        <v>61.96</v>
      </c>
      <c r="U5" s="0" t="n">
        <v>1.448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71</v>
      </c>
      <c r="B6" s="0" t="n">
        <v>96.358</v>
      </c>
      <c r="F6" s="0" t="n">
        <v>8.536</v>
      </c>
      <c r="G6" s="0" t="n">
        <v>8.9</v>
      </c>
      <c r="H6" s="0" t="n">
        <v>11.11</v>
      </c>
      <c r="I6" s="0" t="n">
        <v>7.164</v>
      </c>
      <c r="J6" s="0" t="n">
        <v>7.4</v>
      </c>
      <c r="K6" s="0" t="n">
        <v>0.113</v>
      </c>
      <c r="L6" s="0" t="n">
        <v>11.631</v>
      </c>
      <c r="M6" s="0" t="n">
        <v>7.363</v>
      </c>
      <c r="N6" s="0" t="n">
        <v>4.268</v>
      </c>
      <c r="O6" s="0" t="n">
        <v>64.924</v>
      </c>
      <c r="P6" s="0" t="n">
        <v>77.522</v>
      </c>
      <c r="Q6" s="0" t="n">
        <v>12.598</v>
      </c>
      <c r="R6" s="0" t="n">
        <v>0</v>
      </c>
      <c r="S6" s="0" t="n">
        <v>18.466</v>
      </c>
      <c r="T6" s="0" t="n">
        <v>63.4</v>
      </c>
      <c r="U6" s="0" t="n">
        <v>1.826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72</v>
      </c>
      <c r="B7" s="0" t="n">
        <v>110.265</v>
      </c>
      <c r="F7" s="0" t="n">
        <v>11.236</v>
      </c>
      <c r="G7" s="0" t="n">
        <v>10.2</v>
      </c>
      <c r="H7" s="0" t="n">
        <v>16.559</v>
      </c>
      <c r="I7" s="0" t="n">
        <v>8.228</v>
      </c>
      <c r="J7" s="0" t="n">
        <v>7.5</v>
      </c>
      <c r="K7" s="0" t="n">
        <v>0.1285</v>
      </c>
      <c r="L7" s="0" t="n">
        <v>25.258</v>
      </c>
      <c r="M7" s="0" t="n">
        <v>7.225</v>
      </c>
      <c r="N7" s="0" t="n">
        <v>18.033</v>
      </c>
      <c r="O7" s="0" t="n">
        <v>74.823</v>
      </c>
      <c r="P7" s="0" t="n">
        <v>97.818</v>
      </c>
      <c r="Q7" s="0" t="n">
        <v>22.994</v>
      </c>
      <c r="R7" s="0" t="n">
        <v>0</v>
      </c>
      <c r="S7" s="0" t="n">
        <v>33.809</v>
      </c>
      <c r="T7" s="0" t="n">
        <v>64.03</v>
      </c>
      <c r="U7" s="0" t="n">
        <v>4.295</v>
      </c>
      <c r="X7" s="0" t="n">
        <v>80.715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73</v>
      </c>
      <c r="B8" s="0" t="n">
        <v>107.957</v>
      </c>
      <c r="F8" s="0" t="n">
        <v>12.663</v>
      </c>
      <c r="G8" s="0" t="n">
        <v>11.7</v>
      </c>
      <c r="H8" s="0" t="n">
        <v>19.62</v>
      </c>
      <c r="I8" s="0" t="n">
        <v>9.769</v>
      </c>
      <c r="J8" s="0" t="n">
        <v>9</v>
      </c>
      <c r="K8" s="0" t="n">
        <v>0.1428</v>
      </c>
      <c r="L8" s="0" t="n">
        <v>19.165</v>
      </c>
      <c r="M8" s="0" t="n">
        <v>6.046</v>
      </c>
      <c r="N8" s="0" t="n">
        <v>13.119</v>
      </c>
      <c r="O8" s="0" t="n">
        <v>181.07</v>
      </c>
      <c r="P8" s="0" t="n">
        <v>229.019</v>
      </c>
      <c r="Q8" s="0" t="n">
        <v>47.948</v>
      </c>
      <c r="R8" s="0" t="n">
        <v>12.5</v>
      </c>
      <c r="S8" s="0" t="n">
        <v>63.461</v>
      </c>
      <c r="T8" s="0" t="n">
        <v>68.41</v>
      </c>
      <c r="U8" s="0" t="n">
        <v>7.747</v>
      </c>
      <c r="X8" s="0" t="n">
        <v>107.957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74</v>
      </c>
      <c r="B9" s="0" t="n">
        <v>189.508</v>
      </c>
      <c r="F9" s="0" t="n">
        <v>18.892</v>
      </c>
      <c r="G9" s="0" t="n">
        <v>10</v>
      </c>
      <c r="H9" s="0" t="n">
        <v>38.723</v>
      </c>
      <c r="I9" s="0" t="n">
        <v>14.662</v>
      </c>
      <c r="J9" s="0" t="n">
        <v>7.7</v>
      </c>
      <c r="K9" s="0" t="n">
        <v>0.1953</v>
      </c>
      <c r="L9" s="0" t="n">
        <v>36.931</v>
      </c>
      <c r="M9" s="0" t="n">
        <v>12.591</v>
      </c>
      <c r="N9" s="0" t="n">
        <v>24.34</v>
      </c>
      <c r="O9" s="0" t="n">
        <v>455.66</v>
      </c>
      <c r="P9" s="0" t="n">
        <v>547.718</v>
      </c>
      <c r="Q9" s="0" t="n">
        <v>92.058</v>
      </c>
      <c r="R9" s="0" t="n">
        <v>39.295</v>
      </c>
      <c r="S9" s="0" t="n">
        <v>43.454</v>
      </c>
      <c r="T9" s="0" t="n">
        <v>75.07</v>
      </c>
      <c r="U9" s="0" t="n">
        <v>10.783</v>
      </c>
      <c r="X9" s="0" t="n">
        <v>189.508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75</v>
      </c>
      <c r="B10" s="0" t="n">
        <v>276.307</v>
      </c>
      <c r="F10" s="0" t="n">
        <v>47.446</v>
      </c>
      <c r="G10" s="0" t="n">
        <v>17.2</v>
      </c>
      <c r="H10" s="0" t="n">
        <v>75.152</v>
      </c>
      <c r="I10" s="0" t="n">
        <v>38.166</v>
      </c>
      <c r="J10" s="0" t="n">
        <v>13.8</v>
      </c>
      <c r="K10" s="0" t="n">
        <v>0.4606</v>
      </c>
      <c r="L10" s="0" t="n">
        <v>75.49</v>
      </c>
      <c r="M10" s="0" t="n">
        <v>17.826</v>
      </c>
      <c r="N10" s="0" t="n">
        <v>57.664</v>
      </c>
      <c r="O10" s="0" t="n">
        <v>510.412</v>
      </c>
      <c r="P10" s="0" t="n">
        <v>596.681</v>
      </c>
      <c r="Q10" s="0" t="n">
        <v>86.269</v>
      </c>
      <c r="R10" s="0" t="n">
        <v>29.975</v>
      </c>
      <c r="S10" s="0" t="n">
        <v>72.747</v>
      </c>
      <c r="T10" s="0" t="n">
        <v>82.86</v>
      </c>
      <c r="U10" s="0" t="n">
        <v>11.096</v>
      </c>
      <c r="X10" s="0" t="n">
        <v>276.307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76</v>
      </c>
      <c r="B11" s="0" t="n">
        <v>323.488</v>
      </c>
      <c r="F11" s="0" t="n">
        <v>54.301</v>
      </c>
      <c r="G11" s="0" t="n">
        <v>16.8</v>
      </c>
      <c r="H11" s="0" t="n">
        <v>91.124</v>
      </c>
      <c r="I11" s="0" t="n">
        <v>47.159</v>
      </c>
      <c r="J11" s="0" t="n">
        <v>14.6</v>
      </c>
      <c r="K11" s="0" t="n">
        <v>0.5638</v>
      </c>
      <c r="L11" s="0" t="n">
        <v>88.249</v>
      </c>
      <c r="M11" s="0" t="n">
        <v>22.731</v>
      </c>
      <c r="N11" s="0" t="n">
        <v>65.518</v>
      </c>
      <c r="O11" s="0" t="n">
        <v>519.702</v>
      </c>
      <c r="P11" s="0" t="n">
        <v>622.734</v>
      </c>
      <c r="Q11" s="0" t="n">
        <v>103.032</v>
      </c>
      <c r="R11" s="0" t="n">
        <v>29.975</v>
      </c>
      <c r="S11" s="0" t="n">
        <v>88.048</v>
      </c>
      <c r="T11" s="0" t="n">
        <v>83.64</v>
      </c>
      <c r="U11" s="0" t="n">
        <v>13.521</v>
      </c>
      <c r="X11" s="0" t="n">
        <v>323.488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77</v>
      </c>
      <c r="B12" s="0" t="n">
        <v>400.399</v>
      </c>
      <c r="F12" s="0" t="n">
        <v>96.801</v>
      </c>
      <c r="G12" s="0" t="n">
        <v>24.2</v>
      </c>
      <c r="H12" s="0" t="n">
        <v>142.243</v>
      </c>
      <c r="I12" s="0" t="n">
        <v>79.485</v>
      </c>
      <c r="J12" s="0" t="n">
        <v>19.9</v>
      </c>
      <c r="K12" s="0" t="n">
        <v>0.9573</v>
      </c>
      <c r="L12" s="0" t="n">
        <v>148.999</v>
      </c>
      <c r="M12" s="0" t="n">
        <v>24.453</v>
      </c>
      <c r="N12" s="0" t="n">
        <v>124.546</v>
      </c>
      <c r="O12" s="0" t="n">
        <v>529.886</v>
      </c>
      <c r="P12" s="0" t="n">
        <v>662.413</v>
      </c>
      <c r="Q12" s="0" t="n">
        <v>132.527</v>
      </c>
      <c r="R12" s="0" t="n">
        <v>29.975</v>
      </c>
      <c r="S12" s="0" t="n">
        <v>114.833</v>
      </c>
      <c r="T12" s="0" t="n">
        <v>83.03</v>
      </c>
      <c r="U12" s="0" t="n">
        <v>13.948</v>
      </c>
      <c r="X12" s="0" t="n">
        <v>400.399</v>
      </c>
      <c r="AA12" s="0" t="s">
        <v>17</v>
      </c>
      <c r="AB12" s="0" t="s">
        <v>14</v>
      </c>
      <c r="AD12" s="0" t="n">
        <v>162.365</v>
      </c>
    </row>
    <row r="13" customFormat="false" ht="15" hidden="false" customHeight="false" outlineLevel="0" collapsed="false">
      <c r="A13" s="0" t="s">
        <v>78</v>
      </c>
      <c r="B13" s="0" t="n">
        <v>490.884</v>
      </c>
      <c r="F13" s="0" t="n">
        <v>138.804</v>
      </c>
      <c r="G13" s="0" t="n">
        <v>28.3</v>
      </c>
      <c r="H13" s="0" t="n">
        <v>187.824</v>
      </c>
      <c r="I13" s="0" t="n">
        <v>120.2</v>
      </c>
      <c r="J13" s="0" t="n">
        <v>24.5</v>
      </c>
      <c r="K13" s="0" t="n">
        <v>1.46</v>
      </c>
      <c r="L13" s="0" t="n">
        <v>176.932</v>
      </c>
      <c r="M13" s="0" t="n">
        <v>23.12</v>
      </c>
      <c r="N13" s="0" t="n">
        <v>153.812</v>
      </c>
      <c r="O13" s="0" t="n">
        <v>552.745</v>
      </c>
      <c r="P13" s="0" t="n">
        <v>710.103</v>
      </c>
      <c r="Q13" s="0" t="n">
        <v>157.358</v>
      </c>
      <c r="R13" s="0" t="n">
        <v>29.975</v>
      </c>
      <c r="S13" s="0" t="n">
        <v>70.986</v>
      </c>
      <c r="T13" s="0" t="n">
        <v>82.33</v>
      </c>
      <c r="U13" s="0" t="n">
        <v>13.351</v>
      </c>
      <c r="V13" s="0" t="n">
        <v>0.78</v>
      </c>
      <c r="X13" s="0" t="n">
        <v>490.884</v>
      </c>
      <c r="AA13" s="0" t="s">
        <v>17</v>
      </c>
      <c r="AB13" s="0" t="s">
        <v>14</v>
      </c>
      <c r="AC13" s="0" t="n">
        <v>0.78</v>
      </c>
      <c r="AD13" s="0" t="n">
        <v>211.4</v>
      </c>
      <c r="AE13" s="0" t="n">
        <v>1.67</v>
      </c>
      <c r="AF13" s="0" t="n">
        <v>137.3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79</v>
      </c>
      <c r="B1" s="2" t="s">
        <v>80</v>
      </c>
    </row>
    <row r="2" customFormat="false" ht="15" hidden="false" customHeight="false" outlineLevel="0" collapsed="false">
      <c r="A2" s="0" t="s">
        <v>81</v>
      </c>
      <c r="B2" s="3" t="n">
        <v>69.375</v>
      </c>
    </row>
    <row r="3" customFormat="false" ht="15" hidden="false" customHeight="false" outlineLevel="0" collapsed="false">
      <c r="A3" s="0" t="s">
        <v>82</v>
      </c>
      <c r="B3" s="3" t="n">
        <v>82.3</v>
      </c>
    </row>
    <row r="4" customFormat="false" ht="15" hidden="false" customHeight="false" outlineLevel="0" collapsed="false">
      <c r="A4" s="0" t="s">
        <v>83</v>
      </c>
      <c r="B4" s="3" t="n">
        <v>-41.011</v>
      </c>
    </row>
    <row r="5" customFormat="false" ht="15" hidden="false" customHeight="false" outlineLevel="0" collapsed="false">
      <c r="A5" s="0" t="s">
        <v>84</v>
      </c>
      <c r="B5" s="3" t="n">
        <v>113.547</v>
      </c>
    </row>
    <row r="6" customFormat="false" ht="15" hidden="false" customHeight="false" outlineLevel="0" collapsed="false">
      <c r="A6" s="0" t="s">
        <v>85</v>
      </c>
      <c r="B6" s="3" t="n">
        <v>15</v>
      </c>
    </row>
    <row r="7" customFormat="false" ht="15" hidden="false" customHeight="false" outlineLevel="0" collapsed="false">
      <c r="A7" s="0" t="s">
        <v>86</v>
      </c>
      <c r="B7" s="3" t="n">
        <v>490.884</v>
      </c>
    </row>
    <row r="8" customFormat="false" ht="15" hidden="false" customHeight="false" outlineLevel="0" collapsed="false">
      <c r="A8" s="0" t="s">
        <v>87</v>
      </c>
      <c r="B8" s="3" t="s">
        <v>78</v>
      </c>
    </row>
    <row r="9" customFormat="false" ht="15" hidden="false" customHeight="false" outlineLevel="0" collapsed="false">
      <c r="A9" s="0" t="s">
        <v>88</v>
      </c>
      <c r="B9" s="3" t="s">
        <v>89</v>
      </c>
    </row>
    <row r="10" customFormat="false" ht="15" hidden="false" customHeight="false" outlineLevel="0" collapsed="false">
      <c r="A10" s="0" t="s">
        <v>90</v>
      </c>
      <c r="B10" s="3" t="n">
        <v>1</v>
      </c>
    </row>
    <row r="12" customFormat="false" ht="15" hidden="false" customHeight="false" outlineLevel="0" collapsed="false">
      <c r="A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2" t="s">
        <v>101</v>
      </c>
    </row>
    <row r="13" customFormat="false" ht="15" hidden="false" customHeight="false" outlineLevel="0" collapsed="false">
      <c r="A13" s="0" t="s">
        <v>102</v>
      </c>
      <c r="C13" s="3" t="n">
        <v>11</v>
      </c>
      <c r="D13" s="3" t="n">
        <v>7</v>
      </c>
      <c r="E13" s="3" t="n">
        <v>4</v>
      </c>
      <c r="F13" s="3" t="n">
        <v>3</v>
      </c>
      <c r="G13" s="3" t="n">
        <v>4</v>
      </c>
      <c r="H13" s="3" t="n">
        <v>4</v>
      </c>
      <c r="I13" s="3" t="n">
        <v>4</v>
      </c>
      <c r="J13" s="3" t="n">
        <v>3.5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103</v>
      </c>
      <c r="C14" s="3" t="n">
        <v>40</v>
      </c>
      <c r="D14" s="3" t="n">
        <v>38.5</v>
      </c>
      <c r="E14" s="3" t="n">
        <v>37</v>
      </c>
      <c r="F14" s="3" t="n">
        <v>36.5</v>
      </c>
      <c r="G14" s="3" t="n">
        <v>36.5</v>
      </c>
      <c r="H14" s="3" t="n">
        <v>36.5</v>
      </c>
      <c r="I14" s="3" t="n">
        <v>37</v>
      </c>
      <c r="J14" s="3" t="n">
        <v>37</v>
      </c>
      <c r="K14" s="3" t="n">
        <v>37</v>
      </c>
      <c r="L14" s="3" t="n">
        <v>37</v>
      </c>
    </row>
    <row r="15" customFormat="false" ht="15" hidden="false" customHeight="false" outlineLevel="0" collapsed="false">
      <c r="A15" s="0" t="s">
        <v>104</v>
      </c>
      <c r="C15" s="3" t="n">
        <v>5</v>
      </c>
      <c r="D15" s="3" t="n">
        <v>4.75</v>
      </c>
      <c r="E15" s="3" t="n">
        <v>4.5</v>
      </c>
      <c r="F15" s="3" t="n">
        <v>4.25</v>
      </c>
      <c r="G15" s="3" t="n">
        <v>4</v>
      </c>
      <c r="H15" s="3" t="n">
        <v>3.75</v>
      </c>
      <c r="I15" s="3" t="n">
        <v>3.5</v>
      </c>
      <c r="J15" s="3" t="n">
        <v>3.25</v>
      </c>
      <c r="K15" s="3" t="n">
        <v>3</v>
      </c>
      <c r="L15" s="3" t="n">
        <v>3</v>
      </c>
    </row>
    <row r="16" customFormat="false" ht="15" hidden="false" customHeight="false" outlineLevel="0" collapsed="false">
      <c r="A16" s="0" t="s">
        <v>105</v>
      </c>
      <c r="C16" s="3" t="n">
        <v>1.5</v>
      </c>
      <c r="D16" s="3" t="n">
        <v>1.5</v>
      </c>
      <c r="E16" s="3" t="n">
        <v>1.5</v>
      </c>
      <c r="F16" s="3" t="n">
        <v>1.5</v>
      </c>
      <c r="G16" s="3" t="n">
        <v>1.4</v>
      </c>
      <c r="H16" s="3" t="n">
        <v>1.4</v>
      </c>
      <c r="I16" s="3" t="n">
        <v>1.4</v>
      </c>
      <c r="J16" s="3" t="n">
        <v>1.4</v>
      </c>
      <c r="K16" s="3" t="n">
        <v>1.4</v>
      </c>
      <c r="L16" s="3" t="n">
        <v>1.4</v>
      </c>
    </row>
    <row r="17" customFormat="false" ht="15" hidden="false" customHeight="false" outlineLevel="0" collapsed="false">
      <c r="A17" s="0" t="s">
        <v>106</v>
      </c>
      <c r="C17" s="3" t="n">
        <v>4</v>
      </c>
      <c r="D17" s="3" t="n">
        <v>4.2</v>
      </c>
      <c r="E17" s="3" t="n">
        <v>4.3</v>
      </c>
      <c r="F17" s="3" t="n">
        <v>4.3</v>
      </c>
      <c r="G17" s="3" t="n">
        <v>4.3</v>
      </c>
      <c r="H17" s="3" t="n">
        <v>4.3</v>
      </c>
      <c r="I17" s="3" t="n">
        <v>4.3</v>
      </c>
      <c r="J17" s="3" t="n">
        <v>4.3</v>
      </c>
      <c r="K17" s="3" t="n">
        <v>4.3</v>
      </c>
      <c r="L17" s="3" t="n">
        <v>4.3</v>
      </c>
    </row>
    <row r="18" customFormat="false" ht="15" hidden="false" customHeight="false" outlineLevel="0" collapsed="false">
      <c r="A18" s="0" t="s">
        <v>107</v>
      </c>
      <c r="C18" s="3" t="n">
        <v>4.8</v>
      </c>
      <c r="D18" s="3" t="n">
        <v>4.8</v>
      </c>
      <c r="E18" s="3" t="n">
        <v>4.7</v>
      </c>
      <c r="F18" s="3" t="n">
        <v>4.6</v>
      </c>
      <c r="G18" s="3" t="n">
        <v>4.5</v>
      </c>
      <c r="H18" s="3" t="n">
        <v>4.5</v>
      </c>
      <c r="I18" s="3" t="n">
        <v>4.5</v>
      </c>
      <c r="J18" s="3" t="n">
        <v>4.5</v>
      </c>
      <c r="K18" s="3" t="n">
        <v>4.5</v>
      </c>
      <c r="L18" s="3" t="n">
        <v>4.5</v>
      </c>
    </row>
    <row r="19" customFormat="false" ht="15" hidden="false" customHeight="false" outlineLevel="0" collapsed="false">
      <c r="A19" s="0" t="s">
        <v>108</v>
      </c>
      <c r="C19" s="3" t="n">
        <v>20</v>
      </c>
      <c r="D19" s="3" t="n">
        <v>23</v>
      </c>
      <c r="E19" s="3" t="n">
        <v>26</v>
      </c>
      <c r="F19" s="3" t="n">
        <v>28</v>
      </c>
      <c r="G19" s="3" t="n">
        <v>29</v>
      </c>
      <c r="H19" s="3" t="n">
        <v>29</v>
      </c>
      <c r="I19" s="3" t="n">
        <v>29</v>
      </c>
      <c r="J19" s="3" t="n">
        <v>29</v>
      </c>
      <c r="K19" s="3" t="n">
        <v>29</v>
      </c>
      <c r="L19" s="3" t="n">
        <v>29</v>
      </c>
    </row>
    <row r="20" customFormat="false" ht="15" hidden="false" customHeight="false" outlineLevel="0" collapsed="false">
      <c r="A20" s="0" t="s">
        <v>109</v>
      </c>
      <c r="B20" s="3" t="n">
        <v>10</v>
      </c>
    </row>
    <row r="21" customFormat="false" ht="15" hidden="false" customHeight="false" outlineLevel="0" collapsed="false">
      <c r="A21" s="0" t="s">
        <v>110</v>
      </c>
      <c r="B21" s="3" t="n">
        <v>2.5</v>
      </c>
    </row>
    <row r="22" customFormat="false" ht="15" hidden="false" customHeight="false" outlineLevel="0" collapsed="false">
      <c r="A22" s="0" t="s">
        <v>111</v>
      </c>
      <c r="B22" s="3" t="n">
        <v>15</v>
      </c>
    </row>
    <row r="23" customFormat="false" ht="15" hidden="false" customHeight="false" outlineLevel="0" collapsed="false">
      <c r="A23" s="0" t="s">
        <v>112</v>
      </c>
      <c r="B23" s="3" t="n">
        <v>0</v>
      </c>
    </row>
    <row r="24" customFormat="false" ht="15" hidden="false" customHeight="false" outlineLevel="0" collapsed="false">
      <c r="A24" s="0" t="s">
        <v>113</v>
      </c>
      <c r="B24" s="3" t="n">
        <v>0.25</v>
      </c>
    </row>
    <row r="26" customFormat="false" ht="15" hidden="false" customHeight="false" outlineLevel="0" collapsed="false">
      <c r="A26" s="2" t="s">
        <v>114</v>
      </c>
      <c r="C26" s="2" t="s">
        <v>92</v>
      </c>
      <c r="D26" s="2" t="s">
        <v>93</v>
      </c>
      <c r="E26" s="2" t="s">
        <v>94</v>
      </c>
      <c r="F26" s="2" t="s">
        <v>95</v>
      </c>
      <c r="G26" s="2" t="s">
        <v>96</v>
      </c>
      <c r="H26" s="2" t="s">
        <v>97</v>
      </c>
      <c r="I26" s="2" t="s">
        <v>98</v>
      </c>
      <c r="J26" s="2" t="s">
        <v>99</v>
      </c>
      <c r="K26" s="2" t="s">
        <v>100</v>
      </c>
      <c r="L26" s="2" t="s">
        <v>101</v>
      </c>
    </row>
    <row r="27" customFormat="false" ht="15" hidden="false" customHeight="false" outlineLevel="0" collapsed="false">
      <c r="A27" s="0" t="s">
        <v>102</v>
      </c>
      <c r="C27" s="3" t="n">
        <v>17</v>
      </c>
      <c r="D27" s="3" t="n">
        <v>14</v>
      </c>
      <c r="E27" s="3" t="n">
        <v>12</v>
      </c>
      <c r="F27" s="3" t="n">
        <v>10</v>
      </c>
      <c r="G27" s="3" t="n">
        <v>9</v>
      </c>
      <c r="H27" s="3" t="n">
        <v>8</v>
      </c>
      <c r="I27" s="3" t="n">
        <v>7</v>
      </c>
      <c r="J27" s="3" t="n">
        <v>6</v>
      </c>
      <c r="K27" s="3" t="n">
        <v>5</v>
      </c>
      <c r="L27" s="3" t="n">
        <v>4</v>
      </c>
    </row>
    <row r="28" customFormat="false" ht="15" hidden="false" customHeight="false" outlineLevel="0" collapsed="false">
      <c r="A28" s="0" t="s">
        <v>103</v>
      </c>
      <c r="C28" s="3" t="n">
        <v>42</v>
      </c>
      <c r="D28" s="3" t="n">
        <v>43</v>
      </c>
      <c r="E28" s="3" t="n">
        <v>43.5</v>
      </c>
      <c r="F28" s="3" t="n">
        <v>44</v>
      </c>
      <c r="G28" s="3" t="n">
        <v>44.5</v>
      </c>
      <c r="H28" s="3" t="n">
        <v>45</v>
      </c>
      <c r="I28" s="3" t="n">
        <v>45</v>
      </c>
      <c r="J28" s="3" t="n">
        <v>45</v>
      </c>
      <c r="K28" s="3" t="n">
        <v>45</v>
      </c>
      <c r="L28" s="3" t="n">
        <v>45</v>
      </c>
    </row>
    <row r="29" customFormat="false" ht="15" hidden="false" customHeight="false" outlineLevel="0" collapsed="false">
      <c r="A29" s="0" t="s">
        <v>104</v>
      </c>
      <c r="C29" s="3" t="n">
        <v>5</v>
      </c>
      <c r="D29" s="3" t="n">
        <v>4.75</v>
      </c>
      <c r="E29" s="3" t="n">
        <v>4.5</v>
      </c>
      <c r="F29" s="3" t="n">
        <v>4.25</v>
      </c>
      <c r="G29" s="3" t="n">
        <v>4</v>
      </c>
      <c r="H29" s="3" t="n">
        <v>3.75</v>
      </c>
      <c r="I29" s="3" t="n">
        <v>3.5</v>
      </c>
      <c r="J29" s="3" t="n">
        <v>3.25</v>
      </c>
      <c r="K29" s="3" t="n">
        <v>3</v>
      </c>
      <c r="L29" s="3" t="n">
        <v>3</v>
      </c>
    </row>
    <row r="30" customFormat="false" ht="15" hidden="false" customHeight="false" outlineLevel="0" collapsed="false">
      <c r="A30" s="0" t="s">
        <v>105</v>
      </c>
      <c r="C30" s="3" t="n">
        <v>1.5</v>
      </c>
      <c r="D30" s="3" t="n">
        <v>1.4</v>
      </c>
      <c r="E30" s="3" t="n">
        <v>1.3</v>
      </c>
      <c r="F30" s="3" t="n">
        <v>1.3</v>
      </c>
      <c r="G30" s="3" t="n">
        <v>1.2</v>
      </c>
      <c r="H30" s="3" t="n">
        <v>1.2</v>
      </c>
      <c r="I30" s="3" t="n">
        <v>1.2</v>
      </c>
      <c r="J30" s="3" t="n">
        <v>1.2</v>
      </c>
      <c r="K30" s="3" t="n">
        <v>1.2</v>
      </c>
      <c r="L30" s="3" t="n">
        <v>1.2</v>
      </c>
    </row>
    <row r="31" customFormat="false" ht="15" hidden="false" customHeight="false" outlineLevel="0" collapsed="false">
      <c r="A31" s="0" t="s">
        <v>106</v>
      </c>
      <c r="C31" s="3" t="n">
        <v>4</v>
      </c>
      <c r="D31" s="3" t="n">
        <v>4</v>
      </c>
      <c r="E31" s="3" t="n">
        <v>4</v>
      </c>
      <c r="F31" s="3" t="n">
        <v>4</v>
      </c>
      <c r="G31" s="3" t="n">
        <v>4</v>
      </c>
      <c r="H31" s="3" t="n">
        <v>4</v>
      </c>
      <c r="I31" s="3" t="n">
        <v>4</v>
      </c>
      <c r="J31" s="3" t="n">
        <v>4</v>
      </c>
      <c r="K31" s="3" t="n">
        <v>4</v>
      </c>
      <c r="L31" s="3" t="n">
        <v>4</v>
      </c>
    </row>
    <row r="32" customFormat="false" ht="15" hidden="false" customHeight="false" outlineLevel="0" collapsed="false">
      <c r="A32" s="0" t="s">
        <v>107</v>
      </c>
      <c r="C32" s="3" t="n">
        <v>4.7</v>
      </c>
      <c r="D32" s="3" t="n">
        <v>4.5</v>
      </c>
      <c r="E32" s="3" t="n">
        <v>4.5</v>
      </c>
      <c r="F32" s="3" t="n">
        <v>4.3</v>
      </c>
      <c r="G32" s="3" t="n">
        <v>4.2</v>
      </c>
      <c r="H32" s="3" t="n">
        <v>4</v>
      </c>
      <c r="I32" s="3" t="n">
        <v>4</v>
      </c>
      <c r="J32" s="3" t="n">
        <v>4</v>
      </c>
      <c r="K32" s="3" t="n">
        <v>4</v>
      </c>
      <c r="L32" s="3" t="n">
        <v>4</v>
      </c>
    </row>
    <row r="33" customFormat="false" ht="15" hidden="false" customHeight="false" outlineLevel="0" collapsed="false">
      <c r="A33" s="0" t="s">
        <v>108</v>
      </c>
      <c r="C33" s="3" t="n">
        <v>20</v>
      </c>
      <c r="D33" s="3" t="n">
        <v>23</v>
      </c>
      <c r="E33" s="3" t="n">
        <v>26</v>
      </c>
      <c r="F33" s="3" t="n">
        <v>28</v>
      </c>
      <c r="G33" s="3" t="n">
        <v>29</v>
      </c>
      <c r="H33" s="3" t="n">
        <v>29</v>
      </c>
      <c r="I33" s="3" t="n">
        <v>29</v>
      </c>
      <c r="J33" s="3" t="n">
        <v>29</v>
      </c>
      <c r="K33" s="3" t="n">
        <v>29</v>
      </c>
      <c r="L33" s="3" t="n">
        <v>29</v>
      </c>
    </row>
    <row r="34" customFormat="false" ht="15" hidden="false" customHeight="false" outlineLevel="0" collapsed="false">
      <c r="A34" s="0" t="s">
        <v>109</v>
      </c>
      <c r="B34" s="3" t="n">
        <v>10</v>
      </c>
    </row>
    <row r="35" customFormat="false" ht="15" hidden="false" customHeight="false" outlineLevel="0" collapsed="false">
      <c r="A35" s="0" t="s">
        <v>110</v>
      </c>
      <c r="B35" s="3" t="n">
        <v>3</v>
      </c>
    </row>
    <row r="36" customFormat="false" ht="15" hidden="false" customHeight="false" outlineLevel="0" collapsed="false">
      <c r="A36" s="0" t="s">
        <v>111</v>
      </c>
      <c r="B36" s="3" t="n">
        <v>20</v>
      </c>
    </row>
    <row r="37" customFormat="false" ht="15" hidden="false" customHeight="false" outlineLevel="0" collapsed="false">
      <c r="A37" s="0" t="s">
        <v>112</v>
      </c>
      <c r="B37" s="3" t="n">
        <v>0</v>
      </c>
    </row>
    <row r="38" customFormat="false" ht="15" hidden="false" customHeight="false" outlineLevel="0" collapsed="false">
      <c r="A38" s="0" t="s">
        <v>113</v>
      </c>
      <c r="B38" s="3" t="n">
        <v>0.5</v>
      </c>
    </row>
    <row r="40" customFormat="false" ht="15" hidden="false" customHeight="false" outlineLevel="0" collapsed="false">
      <c r="A40" s="2" t="s">
        <v>115</v>
      </c>
      <c r="C40" s="2" t="s">
        <v>92</v>
      </c>
      <c r="D40" s="2" t="s">
        <v>93</v>
      </c>
      <c r="E40" s="2" t="s">
        <v>94</v>
      </c>
      <c r="F40" s="2" t="s">
        <v>95</v>
      </c>
      <c r="G40" s="2" t="s">
        <v>96</v>
      </c>
      <c r="H40" s="2" t="s">
        <v>97</v>
      </c>
      <c r="I40" s="2" t="s">
        <v>98</v>
      </c>
      <c r="J40" s="2" t="s">
        <v>99</v>
      </c>
      <c r="K40" s="2" t="s">
        <v>100</v>
      </c>
      <c r="L40" s="2" t="s">
        <v>101</v>
      </c>
    </row>
    <row r="41" customFormat="false" ht="15" hidden="false" customHeight="false" outlineLevel="0" collapsed="false">
      <c r="A41" s="0" t="s">
        <v>102</v>
      </c>
      <c r="C41" s="3" t="n">
        <v>21</v>
      </c>
      <c r="D41" s="3" t="n">
        <v>18</v>
      </c>
      <c r="E41" s="3" t="n">
        <v>16</v>
      </c>
      <c r="F41" s="3" t="n">
        <v>14</v>
      </c>
      <c r="G41" s="3" t="n">
        <v>12</v>
      </c>
      <c r="H41" s="3" t="n">
        <v>10</v>
      </c>
      <c r="I41" s="3" t="n">
        <v>9</v>
      </c>
      <c r="J41" s="3" t="n">
        <v>8</v>
      </c>
      <c r="K41" s="3" t="n">
        <v>7</v>
      </c>
      <c r="L41" s="3" t="n">
        <v>5</v>
      </c>
    </row>
    <row r="42" customFormat="false" ht="15" hidden="false" customHeight="false" outlineLevel="0" collapsed="false">
      <c r="A42" s="0" t="s">
        <v>103</v>
      </c>
      <c r="C42" s="3" t="n">
        <v>43</v>
      </c>
      <c r="D42" s="3" t="n">
        <v>44.5</v>
      </c>
      <c r="E42" s="3" t="n">
        <v>46</v>
      </c>
      <c r="F42" s="3" t="n">
        <v>47</v>
      </c>
      <c r="G42" s="3" t="n">
        <v>48</v>
      </c>
      <c r="H42" s="3" t="n">
        <v>48.5</v>
      </c>
      <c r="I42" s="3" t="n">
        <v>49</v>
      </c>
      <c r="J42" s="3" t="n">
        <v>49</v>
      </c>
      <c r="K42" s="3" t="n">
        <v>49</v>
      </c>
      <c r="L42" s="3" t="n">
        <v>49</v>
      </c>
    </row>
    <row r="43" customFormat="false" ht="15" hidden="false" customHeight="false" outlineLevel="0" collapsed="false">
      <c r="A43" s="0" t="s">
        <v>104</v>
      </c>
      <c r="C43" s="3" t="n">
        <v>5</v>
      </c>
      <c r="D43" s="3" t="n">
        <v>4.75</v>
      </c>
      <c r="E43" s="3" t="n">
        <v>4.5</v>
      </c>
      <c r="F43" s="3" t="n">
        <v>4.25</v>
      </c>
      <c r="G43" s="3" t="n">
        <v>4</v>
      </c>
      <c r="H43" s="3" t="n">
        <v>3.75</v>
      </c>
      <c r="I43" s="3" t="n">
        <v>3.5</v>
      </c>
      <c r="J43" s="3" t="n">
        <v>3.25</v>
      </c>
      <c r="K43" s="3" t="n">
        <v>3</v>
      </c>
      <c r="L43" s="3" t="n">
        <v>3</v>
      </c>
    </row>
    <row r="44" customFormat="false" ht="15" hidden="false" customHeight="false" outlineLevel="0" collapsed="false">
      <c r="A44" s="0" t="s">
        <v>105</v>
      </c>
      <c r="C44" s="3" t="n">
        <v>1.5</v>
      </c>
      <c r="D44" s="3" t="n">
        <v>1.4</v>
      </c>
      <c r="E44" s="3" t="n">
        <v>1.3</v>
      </c>
      <c r="F44" s="3" t="n">
        <v>1.2</v>
      </c>
      <c r="G44" s="3" t="n">
        <v>1.1</v>
      </c>
      <c r="H44" s="3" t="n">
        <v>1.1</v>
      </c>
      <c r="I44" s="3" t="n">
        <v>1</v>
      </c>
      <c r="J44" s="3" t="n">
        <v>1</v>
      </c>
      <c r="K44" s="3" t="n">
        <v>1</v>
      </c>
      <c r="L44" s="3" t="n">
        <v>1</v>
      </c>
    </row>
    <row r="45" customFormat="false" ht="15" hidden="false" customHeight="false" outlineLevel="0" collapsed="false">
      <c r="A45" s="0" t="s">
        <v>106</v>
      </c>
      <c r="C45" s="3" t="n">
        <v>4</v>
      </c>
      <c r="D45" s="3" t="n">
        <v>4</v>
      </c>
      <c r="E45" s="3" t="n">
        <v>4</v>
      </c>
      <c r="F45" s="3" t="n">
        <v>4</v>
      </c>
      <c r="G45" s="3" t="n">
        <v>4</v>
      </c>
      <c r="H45" s="3" t="n">
        <v>4</v>
      </c>
      <c r="I45" s="3" t="n">
        <v>4</v>
      </c>
      <c r="J45" s="3" t="n">
        <v>4</v>
      </c>
      <c r="K45" s="3" t="n">
        <v>4</v>
      </c>
      <c r="L45" s="3" t="n">
        <v>4</v>
      </c>
    </row>
    <row r="46" customFormat="false" ht="15" hidden="false" customHeight="false" outlineLevel="0" collapsed="false">
      <c r="A46" s="0" t="s">
        <v>107</v>
      </c>
      <c r="C46" s="3" t="n">
        <v>4.7</v>
      </c>
      <c r="D46" s="3" t="n">
        <v>4.5</v>
      </c>
      <c r="E46" s="3" t="n">
        <v>4.4</v>
      </c>
      <c r="F46" s="3" t="n">
        <v>4.2</v>
      </c>
      <c r="G46" s="3" t="n">
        <v>4</v>
      </c>
      <c r="H46" s="3" t="n">
        <v>4</v>
      </c>
      <c r="I46" s="3" t="n">
        <v>4</v>
      </c>
      <c r="J46" s="3" t="n">
        <v>4</v>
      </c>
      <c r="K46" s="3" t="n">
        <v>4</v>
      </c>
      <c r="L46" s="3" t="n">
        <v>4</v>
      </c>
    </row>
    <row r="47" customFormat="false" ht="15" hidden="false" customHeight="false" outlineLevel="0" collapsed="false">
      <c r="A47" s="0" t="s">
        <v>108</v>
      </c>
      <c r="C47" s="3" t="n">
        <v>20</v>
      </c>
      <c r="D47" s="3" t="n">
        <v>23</v>
      </c>
      <c r="E47" s="3" t="n">
        <v>26</v>
      </c>
      <c r="F47" s="3" t="n">
        <v>28</v>
      </c>
      <c r="G47" s="3" t="n">
        <v>29</v>
      </c>
      <c r="H47" s="3" t="n">
        <v>29</v>
      </c>
      <c r="I47" s="3" t="n">
        <v>29</v>
      </c>
      <c r="J47" s="3" t="n">
        <v>29</v>
      </c>
      <c r="K47" s="3" t="n">
        <v>29</v>
      </c>
      <c r="L47" s="3" t="n">
        <v>29</v>
      </c>
    </row>
    <row r="48" customFormat="false" ht="15" hidden="false" customHeight="false" outlineLevel="0" collapsed="false">
      <c r="A48" s="0" t="s">
        <v>109</v>
      </c>
      <c r="B48" s="3" t="n">
        <v>10</v>
      </c>
    </row>
    <row r="49" customFormat="false" ht="15" hidden="false" customHeight="false" outlineLevel="0" collapsed="false">
      <c r="A49" s="0" t="s">
        <v>110</v>
      </c>
      <c r="B49" s="3" t="n">
        <v>3.5</v>
      </c>
    </row>
    <row r="50" customFormat="false" ht="15" hidden="false" customHeight="false" outlineLevel="0" collapsed="false">
      <c r="A50" s="0" t="s">
        <v>111</v>
      </c>
      <c r="B50" s="3" t="n">
        <v>20</v>
      </c>
    </row>
    <row r="51" customFormat="false" ht="15" hidden="false" customHeight="false" outlineLevel="0" collapsed="false">
      <c r="A51" s="0" t="s">
        <v>112</v>
      </c>
      <c r="B51" s="3" t="n">
        <v>0</v>
      </c>
    </row>
    <row r="52" customFormat="false" ht="15" hidden="false" customHeight="false" outlineLevel="0" collapsed="false">
      <c r="A52" s="0" t="s">
        <v>113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116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Assumptions!C13</f>
        <v>11</v>
      </c>
      <c r="D5" s="4" t="n">
        <f aca="false">Assumptions!D13</f>
        <v>7</v>
      </c>
      <c r="E5" s="4" t="n">
        <f aca="false">Assumptions!E13</f>
        <v>4</v>
      </c>
      <c r="F5" s="4" t="n">
        <f aca="false">Assumptions!F13</f>
        <v>3</v>
      </c>
      <c r="G5" s="4" t="n">
        <f aca="false">Assumptions!G13</f>
        <v>4</v>
      </c>
      <c r="H5" s="4" t="n">
        <f aca="false">Assumptions!H13</f>
        <v>4</v>
      </c>
      <c r="I5" s="4" t="n">
        <f aca="false">Assumptions!I13</f>
        <v>4</v>
      </c>
      <c r="J5" s="4" t="n">
        <f aca="false">Assumptions!J13</f>
        <v>3.5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37</v>
      </c>
      <c r="B6" s="3" t="n">
        <v>490.884</v>
      </c>
      <c r="C6" s="0" t="n">
        <f aca="false">B6*(1+C5/100)</f>
        <v>544.88124</v>
      </c>
      <c r="D6" s="0" t="n">
        <f aca="false">C6*(1+D5/100)</f>
        <v>583.0229268</v>
      </c>
      <c r="E6" s="0" t="n">
        <f aca="false">D6*(1+E5/100)</f>
        <v>606.343843872</v>
      </c>
      <c r="F6" s="0" t="n">
        <f aca="false">E6*(1+F5/100)</f>
        <v>624.53415918816</v>
      </c>
      <c r="G6" s="0" t="n">
        <f aca="false">F6*(1+G5/100)</f>
        <v>649.515525555687</v>
      </c>
      <c r="H6" s="0" t="n">
        <f aca="false">G6*(1+H5/100)</f>
        <v>675.496146577914</v>
      </c>
      <c r="I6" s="0" t="n">
        <f aca="false">H6*(1+I5/100)</f>
        <v>702.515992441031</v>
      </c>
      <c r="J6" s="0" t="n">
        <f aca="false">I6*(1+J5/100)</f>
        <v>727.104052176467</v>
      </c>
      <c r="K6" s="0" t="n">
        <f aca="false">J6*(1+K5/100)</f>
        <v>748.917173741761</v>
      </c>
      <c r="L6" s="0" t="n">
        <f aca="false">K6*(1+L5/100)</f>
        <v>771.384688954013</v>
      </c>
    </row>
    <row r="7" customFormat="false" ht="15" hidden="false" customHeight="false" outlineLevel="0" collapsed="false">
      <c r="A7" s="0" t="s">
        <v>103</v>
      </c>
      <c r="C7" s="4" t="n">
        <f aca="false">Assumptions!C14</f>
        <v>40</v>
      </c>
      <c r="D7" s="4" t="n">
        <f aca="false">Assumptions!D14</f>
        <v>38.5</v>
      </c>
      <c r="E7" s="4" t="n">
        <f aca="false">Assumptions!E14</f>
        <v>37</v>
      </c>
      <c r="F7" s="4" t="n">
        <f aca="false">Assumptions!F14</f>
        <v>36.5</v>
      </c>
      <c r="G7" s="4" t="n">
        <f aca="false">Assumptions!G14</f>
        <v>36.5</v>
      </c>
      <c r="H7" s="4" t="n">
        <f aca="false">Assumptions!H14</f>
        <v>36.5</v>
      </c>
      <c r="I7" s="4" t="n">
        <f aca="false">Assumptions!I14</f>
        <v>37</v>
      </c>
      <c r="J7" s="4" t="n">
        <f aca="false">Assumptions!J14</f>
        <v>37</v>
      </c>
      <c r="K7" s="4" t="n">
        <f aca="false">Assumptions!K14</f>
        <v>37</v>
      </c>
      <c r="L7" s="4" t="n">
        <f aca="false">Assumptions!L14</f>
        <v>37</v>
      </c>
    </row>
    <row r="8" customFormat="false" ht="15" hidden="false" customHeight="false" outlineLevel="0" collapsed="false">
      <c r="A8" s="0" t="s">
        <v>43</v>
      </c>
      <c r="C8" s="0" t="n">
        <f aca="false">C6*C7/100</f>
        <v>217.952496</v>
      </c>
      <c r="D8" s="0" t="n">
        <f aca="false">D6*D7/100</f>
        <v>224.463826818</v>
      </c>
      <c r="E8" s="0" t="n">
        <f aca="false">E6*E7/100</f>
        <v>224.34722223264</v>
      </c>
      <c r="F8" s="0" t="n">
        <f aca="false">F6*F7/100</f>
        <v>227.954968103678</v>
      </c>
      <c r="G8" s="0" t="n">
        <f aca="false">G6*G7/100</f>
        <v>237.073166827826</v>
      </c>
      <c r="H8" s="0" t="n">
        <f aca="false">H6*H7/100</f>
        <v>246.556093500939</v>
      </c>
      <c r="I8" s="0" t="n">
        <f aca="false">I6*I7/100</f>
        <v>259.930917203181</v>
      </c>
      <c r="J8" s="0" t="n">
        <f aca="false">J6*J7/100</f>
        <v>269.028499305293</v>
      </c>
      <c r="K8" s="0" t="n">
        <f aca="false">K6*K7/100</f>
        <v>277.099354284451</v>
      </c>
      <c r="L8" s="0" t="n">
        <f aca="false">L6*L7/100</f>
        <v>285.412334912985</v>
      </c>
    </row>
    <row r="9" customFormat="false" ht="15" hidden="false" customHeight="false" outlineLevel="0" collapsed="false">
      <c r="A9" s="0" t="s">
        <v>104</v>
      </c>
      <c r="C9" s="4" t="n">
        <f aca="false">Assumptions!C15</f>
        <v>5</v>
      </c>
      <c r="D9" s="4" t="n">
        <f aca="false">Assumptions!D15</f>
        <v>4.75</v>
      </c>
      <c r="E9" s="4" t="n">
        <f aca="false">Assumptions!E15</f>
        <v>4.5</v>
      </c>
      <c r="F9" s="4" t="n">
        <f aca="false">Assumptions!F15</f>
        <v>4.25</v>
      </c>
      <c r="G9" s="4" t="n">
        <f aca="false">Assumptions!G15</f>
        <v>4</v>
      </c>
      <c r="H9" s="4" t="n">
        <f aca="false">Assumptions!H15</f>
        <v>3.75</v>
      </c>
      <c r="I9" s="4" t="n">
        <f aca="false">Assumptions!I15</f>
        <v>3.5</v>
      </c>
      <c r="J9" s="4" t="n">
        <f aca="false">Assumptions!J15</f>
        <v>3.25</v>
      </c>
      <c r="K9" s="4" t="n">
        <f aca="false">Assumptions!K15</f>
        <v>3</v>
      </c>
      <c r="L9" s="4" t="n">
        <f aca="false">Assumptions!L15</f>
        <v>3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-27.244062</v>
      </c>
      <c r="D10" s="0" t="n">
        <f aca="false">-D6*D9/100</f>
        <v>-27.693589023</v>
      </c>
      <c r="E10" s="0" t="n">
        <f aca="false">-E6*E9/100</f>
        <v>-27.28547297424</v>
      </c>
      <c r="F10" s="0" t="n">
        <f aca="false">-F6*F9/100</f>
        <v>-26.5427017654968</v>
      </c>
      <c r="G10" s="0" t="n">
        <f aca="false">-G6*G9/100</f>
        <v>-25.9806210222275</v>
      </c>
      <c r="H10" s="0" t="n">
        <f aca="false">-H6*H9/100</f>
        <v>-25.3311054966718</v>
      </c>
      <c r="I10" s="0" t="n">
        <f aca="false">-I6*I9/100</f>
        <v>-24.5880597354361</v>
      </c>
      <c r="J10" s="0" t="n">
        <f aca="false">-J6*J9/100</f>
        <v>-23.6308816957352</v>
      </c>
      <c r="K10" s="0" t="n">
        <f aca="false">-K6*K9/100</f>
        <v>-22.4675152122528</v>
      </c>
      <c r="L10" s="0" t="n">
        <f aca="false">-L6*L9/100</f>
        <v>-23.1415406686204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182.5352154</v>
      </c>
      <c r="D11" s="0" t="n">
        <f aca="false">D8+D10+D24</f>
        <v>188.024893893</v>
      </c>
      <c r="E11" s="0" t="n">
        <f aca="false">E8+E10+E24</f>
        <v>187.96659160032</v>
      </c>
      <c r="F11" s="0" t="n">
        <f aca="false">F8+F10+F24</f>
        <v>192.044253950359</v>
      </c>
      <c r="G11" s="0" t="n">
        <f aca="false">G8+G10+G24</f>
        <v>201.999328447819</v>
      </c>
      <c r="H11" s="0" t="n">
        <f aca="false">H8+H10+H24</f>
        <v>211.768041952176</v>
      </c>
      <c r="I11" s="0" t="n">
        <f aca="false">I8+I10+I24</f>
        <v>225.507633573571</v>
      </c>
      <c r="J11" s="0" t="n">
        <f aca="false">J8+J10+J24</f>
        <v>235.218160879087</v>
      </c>
      <c r="K11" s="0" t="n">
        <f aca="false">K8+K10+K24</f>
        <v>244.146998639814</v>
      </c>
      <c r="L11" s="0" t="n">
        <f aca="false">L8+L10+L24</f>
        <v>251.471408599008</v>
      </c>
    </row>
    <row r="12" customFormat="false" ht="15" hidden="false" customHeight="false" outlineLevel="0" collapsed="false">
      <c r="A12" s="0" t="s">
        <v>121</v>
      </c>
      <c r="C12" s="4" t="n">
        <f aca="false">-C6*Assumptions!C17/100</f>
        <v>-21.7952496</v>
      </c>
      <c r="D12" s="4" t="n">
        <f aca="false">-D6*Assumptions!D17/100</f>
        <v>-24.4869629256</v>
      </c>
      <c r="E12" s="4" t="n">
        <f aca="false">-E6*Assumptions!E17/100</f>
        <v>-26.072785286496</v>
      </c>
      <c r="F12" s="4" t="n">
        <f aca="false">-F6*Assumptions!F17/100</f>
        <v>-26.8549688450909</v>
      </c>
      <c r="G12" s="4" t="n">
        <f aca="false">-G6*Assumptions!G17/100</f>
        <v>-27.9291675988945</v>
      </c>
      <c r="H12" s="4" t="n">
        <f aca="false">-H6*Assumptions!H17/100</f>
        <v>-29.0463343028503</v>
      </c>
      <c r="I12" s="4" t="n">
        <f aca="false">-I6*Assumptions!I17/100</f>
        <v>-30.2081876749643</v>
      </c>
      <c r="J12" s="4" t="n">
        <f aca="false">-J6*Assumptions!J17/100</f>
        <v>-31.2654742435881</v>
      </c>
      <c r="K12" s="4" t="n">
        <f aca="false">-K6*Assumptions!K17/100</f>
        <v>-32.2034384708957</v>
      </c>
      <c r="L12" s="4" t="n">
        <f aca="false">-L6*Assumptions!L17/100</f>
        <v>-33.1695416250226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160.7399658</v>
      </c>
      <c r="D13" s="0" t="n">
        <f aca="false">D11+D12</f>
        <v>163.5379309674</v>
      </c>
      <c r="E13" s="0" t="n">
        <f aca="false">E11+E12</f>
        <v>161.893806313824</v>
      </c>
      <c r="F13" s="0" t="n">
        <f aca="false">F11+F12</f>
        <v>165.189285105268</v>
      </c>
      <c r="G13" s="0" t="n">
        <f aca="false">G11+G12</f>
        <v>174.070160848924</v>
      </c>
      <c r="H13" s="0" t="n">
        <f aca="false">H11+H12</f>
        <v>182.721707649326</v>
      </c>
      <c r="I13" s="0" t="n">
        <f aca="false">I11+I12</f>
        <v>195.299445898607</v>
      </c>
      <c r="J13" s="0" t="n">
        <f aca="false">J11+J12</f>
        <v>203.952686635499</v>
      </c>
      <c r="K13" s="0" t="n">
        <f aca="false">K11+K12</f>
        <v>211.943560168918</v>
      </c>
      <c r="L13" s="0" t="n">
        <f aca="false">L11+L12</f>
        <v>218.301866973986</v>
      </c>
    </row>
    <row r="14" customFormat="false" ht="15" hidden="false" customHeight="false" outlineLevel="0" collapsed="false">
      <c r="A14" s="0" t="s">
        <v>108</v>
      </c>
      <c r="C14" s="4" t="n">
        <f aca="false">Assumptions!C19</f>
        <v>20</v>
      </c>
      <c r="D14" s="4" t="n">
        <f aca="false">Assumptions!D19</f>
        <v>23</v>
      </c>
      <c r="E14" s="4" t="n">
        <f aca="false">Assumptions!E19</f>
        <v>26</v>
      </c>
      <c r="F14" s="4" t="n">
        <f aca="false">Assumptions!F19</f>
        <v>28</v>
      </c>
      <c r="G14" s="4" t="n">
        <f aca="false">Assumptions!G19</f>
        <v>29</v>
      </c>
      <c r="H14" s="4" t="n">
        <f aca="false">Assumptions!H19</f>
        <v>29</v>
      </c>
      <c r="I14" s="4" t="n">
        <f aca="false">Assumptions!I19</f>
        <v>29</v>
      </c>
      <c r="J14" s="4" t="n">
        <f aca="false">Assumptions!J19</f>
        <v>29</v>
      </c>
      <c r="K14" s="4" t="n">
        <f aca="false">Assumptions!K19</f>
        <v>29</v>
      </c>
      <c r="L14" s="4" t="n">
        <f aca="false">Assumptions!L19</f>
        <v>29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128.59197264</v>
      </c>
      <c r="D15" s="0" t="n">
        <f aca="false">D13-MAX(0,D13)*D14/100</f>
        <v>125.924206844898</v>
      </c>
      <c r="E15" s="0" t="n">
        <f aca="false">E13-MAX(0,E13)*E14/100</f>
        <v>119.80141667223</v>
      </c>
      <c r="F15" s="0" t="n">
        <f aca="false">F13-MAX(0,F13)*F14/100</f>
        <v>118.936285275793</v>
      </c>
      <c r="G15" s="0" t="n">
        <f aca="false">G13-MAX(0,G13)*G14/100</f>
        <v>123.589814202736</v>
      </c>
      <c r="H15" s="0" t="n">
        <f aca="false">H13-MAX(0,H13)*H14/100</f>
        <v>129.732412431021</v>
      </c>
      <c r="I15" s="0" t="n">
        <f aca="false">I13-MAX(0,I13)*I14/100</f>
        <v>138.662606588011</v>
      </c>
      <c r="J15" s="0" t="n">
        <f aca="false">J13-MAX(0,J13)*J14/100</f>
        <v>144.806407511204</v>
      </c>
      <c r="K15" s="0" t="n">
        <f aca="false">K13-MAX(0,K13)*K14/100</f>
        <v>150.479927719932</v>
      </c>
      <c r="L15" s="0" t="n">
        <f aca="false">L13-MAX(0,L13)*L14/100</f>
        <v>154.99432555153</v>
      </c>
    </row>
    <row r="16" customFormat="false" ht="15" hidden="false" customHeight="false" outlineLevel="0" collapsed="false">
      <c r="A16" s="0" t="s">
        <v>124</v>
      </c>
      <c r="C16" s="0" t="n">
        <f aca="false">-C12</f>
        <v>21.7952496</v>
      </c>
      <c r="D16" s="0" t="n">
        <f aca="false">-D12</f>
        <v>24.4869629256</v>
      </c>
      <c r="E16" s="0" t="n">
        <f aca="false">-E12</f>
        <v>26.072785286496</v>
      </c>
      <c r="F16" s="0" t="n">
        <f aca="false">-F12</f>
        <v>26.8549688450909</v>
      </c>
      <c r="G16" s="0" t="n">
        <f aca="false">-G12</f>
        <v>27.9291675988945</v>
      </c>
      <c r="H16" s="0" t="n">
        <f aca="false">-H12</f>
        <v>29.0463343028503</v>
      </c>
      <c r="I16" s="0" t="n">
        <f aca="false">-I12</f>
        <v>30.2081876749643</v>
      </c>
      <c r="J16" s="0" t="n">
        <f aca="false">-J12</f>
        <v>31.2654742435881</v>
      </c>
      <c r="K16" s="0" t="n">
        <f aca="false">-K12</f>
        <v>32.2034384708957</v>
      </c>
      <c r="L16" s="0" t="n">
        <f aca="false">-L12</f>
        <v>33.1695416250226</v>
      </c>
    </row>
    <row r="17" customFormat="false" ht="15" hidden="false" customHeight="false" outlineLevel="0" collapsed="false">
      <c r="A17" s="0" t="s">
        <v>125</v>
      </c>
      <c r="C17" s="4" t="n">
        <f aca="false">-C6*Assumptions!C18/100</f>
        <v>-26.15429952</v>
      </c>
      <c r="D17" s="4" t="n">
        <f aca="false">-D6*Assumptions!D18/100</f>
        <v>-27.9851004864</v>
      </c>
      <c r="E17" s="4" t="n">
        <f aca="false">-E6*Assumptions!E18/100</f>
        <v>-28.498160661984</v>
      </c>
      <c r="F17" s="4" t="n">
        <f aca="false">-F6*Assumptions!F18/100</f>
        <v>-28.7285713226554</v>
      </c>
      <c r="G17" s="4" t="n">
        <f aca="false">-G6*Assumptions!G18/100</f>
        <v>-29.2281986500059</v>
      </c>
      <c r="H17" s="4" t="n">
        <f aca="false">-H6*Assumptions!H18/100</f>
        <v>-30.3973265960061</v>
      </c>
      <c r="I17" s="4" t="n">
        <f aca="false">-I6*Assumptions!I18/100</f>
        <v>-31.6132196598464</v>
      </c>
      <c r="J17" s="4" t="n">
        <f aca="false">-J6*Assumptions!J18/100</f>
        <v>-32.719682347941</v>
      </c>
      <c r="K17" s="4" t="n">
        <f aca="false">-K6*Assumptions!K18/100</f>
        <v>-33.7012728183792</v>
      </c>
      <c r="L17" s="4" t="n">
        <f aca="false">-L6*Assumptions!L18/100</f>
        <v>-34.7123110029306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124.23292272</v>
      </c>
      <c r="D19" s="0" t="n">
        <f aca="false">D15+D16+D17+D18</f>
        <v>122.426069284098</v>
      </c>
      <c r="E19" s="0" t="n">
        <f aca="false">E15+E16+E17+E18</f>
        <v>117.376041296742</v>
      </c>
      <c r="F19" s="0" t="n">
        <f aca="false">F15+F16+F17+F18</f>
        <v>117.062682798229</v>
      </c>
      <c r="G19" s="0" t="n">
        <f aca="false">G15+G16+G17+G18</f>
        <v>122.290783151625</v>
      </c>
      <c r="H19" s="0" t="n">
        <f aca="false">H15+H16+H17+H18</f>
        <v>128.381420137865</v>
      </c>
      <c r="I19" s="0" t="n">
        <f aca="false">I15+I16+I17+I18</f>
        <v>137.257574603129</v>
      </c>
      <c r="J19" s="0" t="n">
        <f aca="false">J15+J16+J17+J18</f>
        <v>143.352199406851</v>
      </c>
      <c r="K19" s="0" t="n">
        <f aca="false">K15+K16+K17+K18</f>
        <v>148.982093372448</v>
      </c>
      <c r="L19" s="0" t="n">
        <f aca="false">L15+L16+L17+L18</f>
        <v>153.451556173622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112.939020654545</v>
      </c>
      <c r="D21" s="0" t="n">
        <f aca="false">D19*D20</f>
        <v>101.178569656279</v>
      </c>
      <c r="E21" s="0" t="n">
        <f aca="false">E19*E20</f>
        <v>88.1863570974769</v>
      </c>
      <c r="F21" s="0" t="n">
        <f aca="false">F19*F20</f>
        <v>79.9553874723234</v>
      </c>
      <c r="G21" s="0" t="n">
        <f aca="false">G19*G20</f>
        <v>75.932954872447</v>
      </c>
      <c r="H21" s="0" t="n">
        <f aca="false">H19*H20</f>
        <v>72.4679647711061</v>
      </c>
      <c r="I21" s="0" t="n">
        <f aca="false">I19*I20</f>
        <v>70.4348386962522</v>
      </c>
      <c r="J21" s="0" t="n">
        <f aca="false">J19*J20</f>
        <v>66.8748589925935</v>
      </c>
      <c r="K21" s="0" t="n">
        <f aca="false">K19*K20</f>
        <v>63.1829509794025</v>
      </c>
      <c r="L21" s="0" t="n">
        <f aca="false">L19*L20</f>
        <v>59.1622177352587</v>
      </c>
    </row>
    <row r="23" customFormat="false" ht="15" hidden="false" customHeight="false" outlineLevel="0" collapsed="false">
      <c r="A23" s="0" t="s">
        <v>105</v>
      </c>
      <c r="C23" s="4" t="n">
        <f aca="false">Assumptions!C16</f>
        <v>1.5</v>
      </c>
      <c r="D23" s="4" t="n">
        <f aca="false">Assumptions!D16</f>
        <v>1.5</v>
      </c>
      <c r="E23" s="4" t="n">
        <f aca="false">Assumptions!E16</f>
        <v>1.5</v>
      </c>
      <c r="F23" s="4" t="n">
        <f aca="false">Assumptions!F16</f>
        <v>1.5</v>
      </c>
      <c r="G23" s="4" t="n">
        <f aca="false">Assumptions!G16</f>
        <v>1.4</v>
      </c>
      <c r="H23" s="4" t="n">
        <f aca="false">Assumptions!H16</f>
        <v>1.4</v>
      </c>
      <c r="I23" s="4" t="n">
        <f aca="false">Assumptions!I16</f>
        <v>1.4</v>
      </c>
      <c r="J23" s="4" t="n">
        <f aca="false">Assumptions!J16</f>
        <v>1.4</v>
      </c>
      <c r="K23" s="4" t="n">
        <f aca="false">Assumptions!K16</f>
        <v>1.4</v>
      </c>
      <c r="L23" s="4" t="n">
        <f aca="false">Assumptions!L16</f>
        <v>1.4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-8.1732186</v>
      </c>
      <c r="D24" s="0" t="n">
        <f aca="false">-D6*D23/100</f>
        <v>-8.745343902</v>
      </c>
      <c r="E24" s="0" t="n">
        <f aca="false">-E6*E23/100</f>
        <v>-9.09515765808</v>
      </c>
      <c r="F24" s="0" t="n">
        <f aca="false">-F6*F23/100</f>
        <v>-9.3680123878224</v>
      </c>
      <c r="G24" s="0" t="n">
        <f aca="false">-G6*G23/100</f>
        <v>-9.09321735777961</v>
      </c>
      <c r="H24" s="0" t="n">
        <f aca="false">-H6*H23/100</f>
        <v>-9.4569460520908</v>
      </c>
      <c r="I24" s="0" t="n">
        <f aca="false">-I6*I23/100</f>
        <v>-9.83522389417443</v>
      </c>
      <c r="J24" s="0" t="n">
        <f aca="false">-J6*J23/100</f>
        <v>-10.1794567304705</v>
      </c>
      <c r="K24" s="0" t="n">
        <f aca="false">-K6*K23/100</f>
        <v>-10.4848404323847</v>
      </c>
      <c r="L24" s="0" t="n">
        <f aca="false">-L6*L23/100</f>
        <v>-10.7993856453562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110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111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790.315120927685</v>
      </c>
    </row>
    <row r="31" customFormat="false" ht="15" hidden="false" customHeight="false" outlineLevel="0" collapsed="false">
      <c r="A31" s="0" t="s">
        <v>133</v>
      </c>
      <c r="B31" s="0" t="n">
        <f aca="false">L19</f>
        <v>153.451556173622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2097.17126770617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2301.77334260433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2097.17126770617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808.550309048536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1598.86542997622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1753.42342997622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21.3052664638666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-0.692897059980301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158.806293721152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121.934898061912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24.7164595596511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1258.3027606237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13.4306839548658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Assumptions!C27</f>
        <v>17</v>
      </c>
      <c r="D5" s="4" t="n">
        <f aca="false">Assumptions!D27</f>
        <v>14</v>
      </c>
      <c r="E5" s="4" t="n">
        <f aca="false">Assumptions!E27</f>
        <v>12</v>
      </c>
      <c r="F5" s="4" t="n">
        <f aca="false">Assumptions!F27</f>
        <v>10</v>
      </c>
      <c r="G5" s="4" t="n">
        <f aca="false">Assumptions!G27</f>
        <v>9</v>
      </c>
      <c r="H5" s="4" t="n">
        <f aca="false">Assumptions!H27</f>
        <v>8</v>
      </c>
      <c r="I5" s="4" t="n">
        <f aca="false">Assumptions!I27</f>
        <v>7</v>
      </c>
      <c r="J5" s="4" t="n">
        <f aca="false">Assumptions!J27</f>
        <v>6</v>
      </c>
      <c r="K5" s="4" t="n">
        <f aca="false">Assumptions!K27</f>
        <v>5</v>
      </c>
      <c r="L5" s="4" t="n">
        <f aca="false">Assumptions!L27</f>
        <v>4</v>
      </c>
    </row>
    <row r="6" customFormat="false" ht="15" hidden="false" customHeight="false" outlineLevel="0" collapsed="false">
      <c r="A6" s="0" t="s">
        <v>37</v>
      </c>
      <c r="B6" s="3" t="n">
        <v>490.884</v>
      </c>
      <c r="C6" s="0" t="n">
        <f aca="false">B6*(1+C5/100)</f>
        <v>574.33428</v>
      </c>
      <c r="D6" s="0" t="n">
        <f aca="false">C6*(1+D5/100)</f>
        <v>654.7410792</v>
      </c>
      <c r="E6" s="0" t="n">
        <f aca="false">D6*(1+E5/100)</f>
        <v>733.310008704</v>
      </c>
      <c r="F6" s="0" t="n">
        <f aca="false">E6*(1+F5/100)</f>
        <v>806.6410095744</v>
      </c>
      <c r="G6" s="0" t="n">
        <f aca="false">F6*(1+G5/100)</f>
        <v>879.238700436096</v>
      </c>
      <c r="H6" s="0" t="n">
        <f aca="false">G6*(1+H5/100)</f>
        <v>949.577796470984</v>
      </c>
      <c r="I6" s="0" t="n">
        <f aca="false">H6*(1+I5/100)</f>
        <v>1016.04824222395</v>
      </c>
      <c r="J6" s="0" t="n">
        <f aca="false">I6*(1+J5/100)</f>
        <v>1077.01113675739</v>
      </c>
      <c r="K6" s="0" t="n">
        <f aca="false">J6*(1+K5/100)</f>
        <v>1130.86169359526</v>
      </c>
      <c r="L6" s="0" t="n">
        <f aca="false">K6*(1+L5/100)</f>
        <v>1176.09616133907</v>
      </c>
    </row>
    <row r="7" customFormat="false" ht="15" hidden="false" customHeight="false" outlineLevel="0" collapsed="false">
      <c r="A7" s="0" t="s">
        <v>103</v>
      </c>
      <c r="C7" s="4" t="n">
        <f aca="false">Assumptions!C28</f>
        <v>42</v>
      </c>
      <c r="D7" s="4" t="n">
        <f aca="false">Assumptions!D28</f>
        <v>43</v>
      </c>
      <c r="E7" s="4" t="n">
        <f aca="false">Assumptions!E28</f>
        <v>43.5</v>
      </c>
      <c r="F7" s="4" t="n">
        <f aca="false">Assumptions!F28</f>
        <v>44</v>
      </c>
      <c r="G7" s="4" t="n">
        <f aca="false">Assumptions!G28</f>
        <v>44.5</v>
      </c>
      <c r="H7" s="4" t="n">
        <f aca="false">Assumptions!H28</f>
        <v>45</v>
      </c>
      <c r="I7" s="4" t="n">
        <f aca="false">Assumptions!I28</f>
        <v>45</v>
      </c>
      <c r="J7" s="4" t="n">
        <f aca="false">Assumptions!J28</f>
        <v>45</v>
      </c>
      <c r="K7" s="4" t="n">
        <f aca="false">Assumptions!K28</f>
        <v>45</v>
      </c>
      <c r="L7" s="4" t="n">
        <f aca="false">Assumptions!L28</f>
        <v>45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241.2203976</v>
      </c>
      <c r="D8" s="0" t="n">
        <f aca="false">D6*D7/100</f>
        <v>281.538664056</v>
      </c>
      <c r="E8" s="0" t="n">
        <f aca="false">E6*E7/100</f>
        <v>318.98985378624</v>
      </c>
      <c r="F8" s="0" t="n">
        <f aca="false">F6*F7/100</f>
        <v>354.922044212736</v>
      </c>
      <c r="G8" s="0" t="n">
        <f aca="false">G6*G7/100</f>
        <v>391.261221694063</v>
      </c>
      <c r="H8" s="0" t="n">
        <f aca="false">H6*H7/100</f>
        <v>427.310008411943</v>
      </c>
      <c r="I8" s="0" t="n">
        <f aca="false">I6*I7/100</f>
        <v>457.221709000779</v>
      </c>
      <c r="J8" s="0" t="n">
        <f aca="false">J6*J7/100</f>
        <v>484.655011540826</v>
      </c>
      <c r="K8" s="0" t="n">
        <f aca="false">K6*K7/100</f>
        <v>508.887762117867</v>
      </c>
      <c r="L8" s="0" t="n">
        <f aca="false">L6*L7/100</f>
        <v>529.243272602582</v>
      </c>
    </row>
    <row r="9" customFormat="false" ht="15" hidden="false" customHeight="false" outlineLevel="0" collapsed="false">
      <c r="A9" s="0" t="s">
        <v>104</v>
      </c>
      <c r="C9" s="4" t="n">
        <f aca="false">Assumptions!C29</f>
        <v>5</v>
      </c>
      <c r="D9" s="4" t="n">
        <f aca="false">Assumptions!D29</f>
        <v>4.75</v>
      </c>
      <c r="E9" s="4" t="n">
        <f aca="false">Assumptions!E29</f>
        <v>4.5</v>
      </c>
      <c r="F9" s="4" t="n">
        <f aca="false">Assumptions!F29</f>
        <v>4.25</v>
      </c>
      <c r="G9" s="4" t="n">
        <f aca="false">Assumptions!G29</f>
        <v>4</v>
      </c>
      <c r="H9" s="4" t="n">
        <f aca="false">Assumptions!H29</f>
        <v>3.75</v>
      </c>
      <c r="I9" s="4" t="n">
        <f aca="false">Assumptions!I29</f>
        <v>3.5</v>
      </c>
      <c r="J9" s="4" t="n">
        <f aca="false">Assumptions!J29</f>
        <v>3.25</v>
      </c>
      <c r="K9" s="4" t="n">
        <f aca="false">Assumptions!K29</f>
        <v>3</v>
      </c>
      <c r="L9" s="4" t="n">
        <f aca="false">Assumptions!L29</f>
        <v>3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-28.716714</v>
      </c>
      <c r="D10" s="0" t="n">
        <f aca="false">-D6*D9/100</f>
        <v>-31.100201262</v>
      </c>
      <c r="E10" s="0" t="n">
        <f aca="false">-E6*E9/100</f>
        <v>-32.99895039168</v>
      </c>
      <c r="F10" s="0" t="n">
        <f aca="false">-F6*F9/100</f>
        <v>-34.282242906912</v>
      </c>
      <c r="G10" s="0" t="n">
        <f aca="false">-G6*G9/100</f>
        <v>-35.1695480174439</v>
      </c>
      <c r="H10" s="0" t="n">
        <f aca="false">-H6*H9/100</f>
        <v>-35.6091673676619</v>
      </c>
      <c r="I10" s="0" t="n">
        <f aca="false">-I6*I9/100</f>
        <v>-35.5616884778384</v>
      </c>
      <c r="J10" s="0" t="n">
        <f aca="false">-J6*J9/100</f>
        <v>-35.0028619446152</v>
      </c>
      <c r="K10" s="0" t="n">
        <f aca="false">-K6*K9/100</f>
        <v>-33.9258508078578</v>
      </c>
      <c r="L10" s="0" t="n">
        <f aca="false">-L6*L9/100</f>
        <v>-35.2828848401721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203.8886694</v>
      </c>
      <c r="D11" s="0" t="n">
        <f aca="false">D8+D10+D24</f>
        <v>241.2720876852</v>
      </c>
      <c r="E11" s="0" t="n">
        <f aca="false">E8+E10+E24</f>
        <v>276.457873281408</v>
      </c>
      <c r="F11" s="0" t="n">
        <f aca="false">F8+F10+F24</f>
        <v>310.153468181357</v>
      </c>
      <c r="G11" s="0" t="n">
        <f aca="false">G8+G10+G24</f>
        <v>345.540809271386</v>
      </c>
      <c r="H11" s="0" t="n">
        <f aca="false">H8+H10+H24</f>
        <v>380.305907486629</v>
      </c>
      <c r="I11" s="0" t="n">
        <f aca="false">I8+I10+I24</f>
        <v>409.467441616253</v>
      </c>
      <c r="J11" s="0" t="n">
        <f aca="false">J8+J10+J24</f>
        <v>436.728015955122</v>
      </c>
      <c r="K11" s="0" t="n">
        <f aca="false">K8+K10+K24</f>
        <v>461.391570986866</v>
      </c>
      <c r="L11" s="0" t="n">
        <f aca="false">L8+L10+L24</f>
        <v>479.847233826341</v>
      </c>
    </row>
    <row r="12" customFormat="false" ht="15" hidden="false" customHeight="false" outlineLevel="0" collapsed="false">
      <c r="A12" s="0" t="s">
        <v>121</v>
      </c>
      <c r="C12" s="4" t="n">
        <f aca="false">-C6*Assumptions!C31/100</f>
        <v>-22.9733712</v>
      </c>
      <c r="D12" s="4" t="n">
        <f aca="false">-D6*Assumptions!D31/100</f>
        <v>-26.189643168</v>
      </c>
      <c r="E12" s="4" t="n">
        <f aca="false">-E6*Assumptions!E31/100</f>
        <v>-29.33240034816</v>
      </c>
      <c r="F12" s="4" t="n">
        <f aca="false">-F6*Assumptions!F31/100</f>
        <v>-32.265640382976</v>
      </c>
      <c r="G12" s="4" t="n">
        <f aca="false">-G6*Assumptions!G31/100</f>
        <v>-35.1695480174439</v>
      </c>
      <c r="H12" s="4" t="n">
        <f aca="false">-H6*Assumptions!H31/100</f>
        <v>-37.9831118588394</v>
      </c>
      <c r="I12" s="4" t="n">
        <f aca="false">-I6*Assumptions!I31/100</f>
        <v>-40.6419296889581</v>
      </c>
      <c r="J12" s="4" t="n">
        <f aca="false">-J6*Assumptions!J31/100</f>
        <v>-43.0804454702956</v>
      </c>
      <c r="K12" s="4" t="n">
        <f aca="false">-K6*Assumptions!K31/100</f>
        <v>-45.2344677438104</v>
      </c>
      <c r="L12" s="4" t="n">
        <f aca="false">-L6*Assumptions!L31/100</f>
        <v>-47.0438464535628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180.9152982</v>
      </c>
      <c r="D13" s="0" t="n">
        <f aca="false">D11+D12</f>
        <v>215.0824445172</v>
      </c>
      <c r="E13" s="0" t="n">
        <f aca="false">E11+E12</f>
        <v>247.125472933248</v>
      </c>
      <c r="F13" s="0" t="n">
        <f aca="false">F11+F12</f>
        <v>277.887827798381</v>
      </c>
      <c r="G13" s="0" t="n">
        <f aca="false">G11+G12</f>
        <v>310.371261253942</v>
      </c>
      <c r="H13" s="0" t="n">
        <f aca="false">H11+H12</f>
        <v>342.32279562779</v>
      </c>
      <c r="I13" s="0" t="n">
        <f aca="false">I11+I12</f>
        <v>368.825511927295</v>
      </c>
      <c r="J13" s="0" t="n">
        <f aca="false">J11+J12</f>
        <v>393.647570484826</v>
      </c>
      <c r="K13" s="0" t="n">
        <f aca="false">K11+K12</f>
        <v>416.157103243056</v>
      </c>
      <c r="L13" s="0" t="n">
        <f aca="false">L11+L12</f>
        <v>432.803387372778</v>
      </c>
    </row>
    <row r="14" customFormat="false" ht="15" hidden="false" customHeight="false" outlineLevel="0" collapsed="false">
      <c r="A14" s="0" t="s">
        <v>108</v>
      </c>
      <c r="C14" s="4" t="n">
        <f aca="false">Assumptions!C33</f>
        <v>20</v>
      </c>
      <c r="D14" s="4" t="n">
        <f aca="false">Assumptions!D33</f>
        <v>23</v>
      </c>
      <c r="E14" s="4" t="n">
        <f aca="false">Assumptions!E33</f>
        <v>26</v>
      </c>
      <c r="F14" s="4" t="n">
        <f aca="false">Assumptions!F33</f>
        <v>28</v>
      </c>
      <c r="G14" s="4" t="n">
        <f aca="false">Assumptions!G33</f>
        <v>29</v>
      </c>
      <c r="H14" s="4" t="n">
        <f aca="false">Assumptions!H33</f>
        <v>29</v>
      </c>
      <c r="I14" s="4" t="n">
        <f aca="false">Assumptions!I33</f>
        <v>29</v>
      </c>
      <c r="J14" s="4" t="n">
        <f aca="false">Assumptions!J33</f>
        <v>29</v>
      </c>
      <c r="K14" s="4" t="n">
        <f aca="false">Assumptions!K33</f>
        <v>29</v>
      </c>
      <c r="L14" s="4" t="n">
        <f aca="false">Assumptions!L33</f>
        <v>29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144.73223856</v>
      </c>
      <c r="D15" s="0" t="n">
        <f aca="false">D13-MAX(0,D13)*D14/100</f>
        <v>165.613482278244</v>
      </c>
      <c r="E15" s="0" t="n">
        <f aca="false">E13-MAX(0,E13)*E14/100</f>
        <v>182.872849970604</v>
      </c>
      <c r="F15" s="0" t="n">
        <f aca="false">F13-MAX(0,F13)*F14/100</f>
        <v>200.079236014834</v>
      </c>
      <c r="G15" s="0" t="n">
        <f aca="false">G13-MAX(0,G13)*G14/100</f>
        <v>220.363595490299</v>
      </c>
      <c r="H15" s="0" t="n">
        <f aca="false">H13-MAX(0,H13)*H14/100</f>
        <v>243.049184895731</v>
      </c>
      <c r="I15" s="0" t="n">
        <f aca="false">I13-MAX(0,I13)*I14/100</f>
        <v>261.866113468379</v>
      </c>
      <c r="J15" s="0" t="n">
        <f aca="false">J13-MAX(0,J13)*J14/100</f>
        <v>279.489775044227</v>
      </c>
      <c r="K15" s="0" t="n">
        <f aca="false">K13-MAX(0,K13)*K14/100</f>
        <v>295.471543302569</v>
      </c>
      <c r="L15" s="0" t="n">
        <f aca="false">L13-MAX(0,L13)*L14/100</f>
        <v>307.290405034672</v>
      </c>
    </row>
    <row r="16" customFormat="false" ht="15" hidden="false" customHeight="false" outlineLevel="0" collapsed="false">
      <c r="A16" s="0" t="s">
        <v>124</v>
      </c>
      <c r="C16" s="0" t="n">
        <f aca="false">-C12</f>
        <v>22.9733712</v>
      </c>
      <c r="D16" s="0" t="n">
        <f aca="false">-D12</f>
        <v>26.189643168</v>
      </c>
      <c r="E16" s="0" t="n">
        <f aca="false">-E12</f>
        <v>29.33240034816</v>
      </c>
      <c r="F16" s="0" t="n">
        <f aca="false">-F12</f>
        <v>32.265640382976</v>
      </c>
      <c r="G16" s="0" t="n">
        <f aca="false">-G12</f>
        <v>35.1695480174439</v>
      </c>
      <c r="H16" s="0" t="n">
        <f aca="false">-H12</f>
        <v>37.9831118588394</v>
      </c>
      <c r="I16" s="0" t="n">
        <f aca="false">-I12</f>
        <v>40.6419296889581</v>
      </c>
      <c r="J16" s="0" t="n">
        <f aca="false">-J12</f>
        <v>43.0804454702956</v>
      </c>
      <c r="K16" s="0" t="n">
        <f aca="false">-K12</f>
        <v>45.2344677438104</v>
      </c>
      <c r="L16" s="0" t="n">
        <f aca="false">-L12</f>
        <v>47.0438464535628</v>
      </c>
    </row>
    <row r="17" customFormat="false" ht="15" hidden="false" customHeight="false" outlineLevel="0" collapsed="false">
      <c r="A17" s="0" t="s">
        <v>125</v>
      </c>
      <c r="C17" s="4" t="n">
        <f aca="false">-C6*Assumptions!C32/100</f>
        <v>-26.99371116</v>
      </c>
      <c r="D17" s="4" t="n">
        <f aca="false">-D6*Assumptions!D32/100</f>
        <v>-29.463348564</v>
      </c>
      <c r="E17" s="4" t="n">
        <f aca="false">-E6*Assumptions!E32/100</f>
        <v>-32.99895039168</v>
      </c>
      <c r="F17" s="4" t="n">
        <f aca="false">-F6*Assumptions!F32/100</f>
        <v>-34.6855634116992</v>
      </c>
      <c r="G17" s="4" t="n">
        <f aca="false">-G6*Assumptions!G32/100</f>
        <v>-36.928025418316</v>
      </c>
      <c r="H17" s="4" t="n">
        <f aca="false">-H6*Assumptions!H32/100</f>
        <v>-37.9831118588394</v>
      </c>
      <c r="I17" s="4" t="n">
        <f aca="false">-I6*Assumptions!I32/100</f>
        <v>-40.6419296889581</v>
      </c>
      <c r="J17" s="4" t="n">
        <f aca="false">-J6*Assumptions!J32/100</f>
        <v>-43.0804454702956</v>
      </c>
      <c r="K17" s="4" t="n">
        <f aca="false">-K6*Assumptions!K32/100</f>
        <v>-45.2344677438104</v>
      </c>
      <c r="L17" s="4" t="n">
        <f aca="false">-L6*Assumptions!L32/100</f>
        <v>-47.0438464535628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140.7118986</v>
      </c>
      <c r="D19" s="0" t="n">
        <f aca="false">D15+D16+D17+D18</f>
        <v>162.339776882244</v>
      </c>
      <c r="E19" s="0" t="n">
        <f aca="false">E15+E16+E17+E18</f>
        <v>179.206299927084</v>
      </c>
      <c r="F19" s="0" t="n">
        <f aca="false">F15+F16+F17+F18</f>
        <v>197.659312986111</v>
      </c>
      <c r="G19" s="0" t="n">
        <f aca="false">G15+G16+G17+G18</f>
        <v>218.605118089427</v>
      </c>
      <c r="H19" s="0" t="n">
        <f aca="false">H15+H16+H17+H18</f>
        <v>243.049184895731</v>
      </c>
      <c r="I19" s="0" t="n">
        <f aca="false">I15+I16+I17+I18</f>
        <v>261.866113468379</v>
      </c>
      <c r="J19" s="0" t="n">
        <f aca="false">J15+J16+J17+J18</f>
        <v>279.489775044227</v>
      </c>
      <c r="K19" s="0" t="n">
        <f aca="false">K15+K16+K17+K18</f>
        <v>295.471543302569</v>
      </c>
      <c r="L19" s="0" t="n">
        <f aca="false">L15+L16+L17+L18</f>
        <v>307.290405034672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127.919907818182</v>
      </c>
      <c r="D21" s="0" t="n">
        <f aca="false">D19*D20</f>
        <v>134.165104861359</v>
      </c>
      <c r="E21" s="0" t="n">
        <f aca="false">E19*E20</f>
        <v>134.640345550025</v>
      </c>
      <c r="F21" s="0" t="n">
        <f aca="false">F19*F20</f>
        <v>135.00397034773</v>
      </c>
      <c r="G21" s="0" t="n">
        <f aca="false">G19*G20</f>
        <v>135.73657915159</v>
      </c>
      <c r="H21" s="0" t="n">
        <f aca="false">H19*H20</f>
        <v>137.19492859446</v>
      </c>
      <c r="I21" s="0" t="n">
        <f aca="false">I19*I20</f>
        <v>134.378722015822</v>
      </c>
      <c r="J21" s="0" t="n">
        <f aca="false">J19*J20</f>
        <v>130.38404275129</v>
      </c>
      <c r="K21" s="0" t="n">
        <f aca="false">K19*K20</f>
        <v>125.308777811462</v>
      </c>
      <c r="L21" s="0" t="n">
        <f aca="false">L19*L20</f>
        <v>118.473753567201</v>
      </c>
    </row>
    <row r="23" customFormat="false" ht="15" hidden="false" customHeight="false" outlineLevel="0" collapsed="false">
      <c r="A23" s="0" t="s">
        <v>105</v>
      </c>
      <c r="C23" s="4" t="n">
        <f aca="false">Assumptions!C30</f>
        <v>1.5</v>
      </c>
      <c r="D23" s="4" t="n">
        <f aca="false">Assumptions!D30</f>
        <v>1.4</v>
      </c>
      <c r="E23" s="4" t="n">
        <f aca="false">Assumptions!E30</f>
        <v>1.3</v>
      </c>
      <c r="F23" s="4" t="n">
        <f aca="false">Assumptions!F30</f>
        <v>1.3</v>
      </c>
      <c r="G23" s="4" t="n">
        <f aca="false">Assumptions!G30</f>
        <v>1.2</v>
      </c>
      <c r="H23" s="4" t="n">
        <f aca="false">Assumptions!H30</f>
        <v>1.2</v>
      </c>
      <c r="I23" s="4" t="n">
        <f aca="false">Assumptions!I30</f>
        <v>1.2</v>
      </c>
      <c r="J23" s="4" t="n">
        <f aca="false">Assumptions!J30</f>
        <v>1.2</v>
      </c>
      <c r="K23" s="4" t="n">
        <f aca="false">Assumptions!K30</f>
        <v>1.2</v>
      </c>
      <c r="L23" s="4" t="n">
        <f aca="false">Assumptions!L30</f>
        <v>1.2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-8.6150142</v>
      </c>
      <c r="D24" s="0" t="n">
        <f aca="false">-D6*D23/100</f>
        <v>-9.1663751088</v>
      </c>
      <c r="E24" s="0" t="n">
        <f aca="false">-E6*E23/100</f>
        <v>-9.533030113152</v>
      </c>
      <c r="F24" s="0" t="n">
        <f aca="false">-F6*F23/100</f>
        <v>-10.4863331244672</v>
      </c>
      <c r="G24" s="0" t="n">
        <f aca="false">-G6*G23/100</f>
        <v>-10.5508644052332</v>
      </c>
      <c r="H24" s="0" t="n">
        <f aca="false">-H6*H23/100</f>
        <v>-11.3949335576518</v>
      </c>
      <c r="I24" s="0" t="n">
        <f aca="false">-I6*I23/100</f>
        <v>-12.1925789066874</v>
      </c>
      <c r="J24" s="0" t="n">
        <f aca="false">-J6*J23/100</f>
        <v>-12.9241336410887</v>
      </c>
      <c r="K24" s="0" t="n">
        <f aca="false">-K6*K23/100</f>
        <v>-13.5703403231431</v>
      </c>
      <c r="L24" s="0" t="n">
        <f aca="false">-L6*L23/100</f>
        <v>-14.1131539360688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110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111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1313.20613246912</v>
      </c>
    </row>
    <row r="31" customFormat="false" ht="15" hidden="false" customHeight="false" outlineLevel="0" collapsed="false">
      <c r="A31" s="0" t="s">
        <v>133</v>
      </c>
      <c r="B31" s="0" t="n">
        <f aca="false">L19</f>
        <v>307.290405034672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4521.55881693875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6145.80810069345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4521.55881693875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1743.25665963167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3056.46279210079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3211.02079210079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39.0160485066924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-0.437606508011641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204.523365849525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200.15959808998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43.9332169628225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2637.5759765476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22.4301613610435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Assumptions!C41</f>
        <v>21</v>
      </c>
      <c r="D5" s="4" t="n">
        <f aca="false">Assumptions!D41</f>
        <v>18</v>
      </c>
      <c r="E5" s="4" t="n">
        <f aca="false">Assumptions!E41</f>
        <v>16</v>
      </c>
      <c r="F5" s="4" t="n">
        <f aca="false">Assumptions!F41</f>
        <v>14</v>
      </c>
      <c r="G5" s="4" t="n">
        <f aca="false">Assumptions!G41</f>
        <v>12</v>
      </c>
      <c r="H5" s="4" t="n">
        <f aca="false">Assumptions!H41</f>
        <v>10</v>
      </c>
      <c r="I5" s="4" t="n">
        <f aca="false">Assumptions!I41</f>
        <v>9</v>
      </c>
      <c r="J5" s="4" t="n">
        <f aca="false">Assumptions!J41</f>
        <v>8</v>
      </c>
      <c r="K5" s="4" t="n">
        <f aca="false">Assumptions!K41</f>
        <v>7</v>
      </c>
      <c r="L5" s="4" t="n">
        <f aca="false">Assumptions!L41</f>
        <v>5</v>
      </c>
    </row>
    <row r="6" customFormat="false" ht="15" hidden="false" customHeight="false" outlineLevel="0" collapsed="false">
      <c r="A6" s="0" t="s">
        <v>37</v>
      </c>
      <c r="B6" s="3" t="n">
        <v>490.884</v>
      </c>
      <c r="C6" s="0" t="n">
        <f aca="false">B6*(1+C5/100)</f>
        <v>593.96964</v>
      </c>
      <c r="D6" s="0" t="n">
        <f aca="false">C6*(1+D5/100)</f>
        <v>700.8841752</v>
      </c>
      <c r="E6" s="0" t="n">
        <f aca="false">D6*(1+E5/100)</f>
        <v>813.025643232</v>
      </c>
      <c r="F6" s="0" t="n">
        <f aca="false">E6*(1+F5/100)</f>
        <v>926.84923328448</v>
      </c>
      <c r="G6" s="0" t="n">
        <f aca="false">F6*(1+G5/100)</f>
        <v>1038.07114127862</v>
      </c>
      <c r="H6" s="0" t="n">
        <f aca="false">G6*(1+H5/100)</f>
        <v>1141.87825540648</v>
      </c>
      <c r="I6" s="0" t="n">
        <f aca="false">H6*(1+I5/100)</f>
        <v>1244.64729839306</v>
      </c>
      <c r="J6" s="0" t="n">
        <f aca="false">I6*(1+J5/100)</f>
        <v>1344.21908226451</v>
      </c>
      <c r="K6" s="0" t="n">
        <f aca="false">J6*(1+K5/100)</f>
        <v>1438.31441802302</v>
      </c>
      <c r="L6" s="0" t="n">
        <f aca="false">K6*(1+L5/100)</f>
        <v>1510.23013892418</v>
      </c>
    </row>
    <row r="7" customFormat="false" ht="15" hidden="false" customHeight="false" outlineLevel="0" collapsed="false">
      <c r="A7" s="0" t="s">
        <v>103</v>
      </c>
      <c r="C7" s="4" t="n">
        <f aca="false">Assumptions!C42</f>
        <v>43</v>
      </c>
      <c r="D7" s="4" t="n">
        <f aca="false">Assumptions!D42</f>
        <v>44.5</v>
      </c>
      <c r="E7" s="4" t="n">
        <f aca="false">Assumptions!E42</f>
        <v>46</v>
      </c>
      <c r="F7" s="4" t="n">
        <f aca="false">Assumptions!F42</f>
        <v>47</v>
      </c>
      <c r="G7" s="4" t="n">
        <f aca="false">Assumptions!G42</f>
        <v>48</v>
      </c>
      <c r="H7" s="4" t="n">
        <f aca="false">Assumptions!H42</f>
        <v>48.5</v>
      </c>
      <c r="I7" s="4" t="n">
        <f aca="false">Assumptions!I42</f>
        <v>49</v>
      </c>
      <c r="J7" s="4" t="n">
        <f aca="false">Assumptions!J42</f>
        <v>49</v>
      </c>
      <c r="K7" s="4" t="n">
        <f aca="false">Assumptions!K42</f>
        <v>49</v>
      </c>
      <c r="L7" s="4" t="n">
        <f aca="false">Assumptions!L42</f>
        <v>49</v>
      </c>
    </row>
    <row r="8" customFormat="false" ht="15" hidden="false" customHeight="false" outlineLevel="0" collapsed="false">
      <c r="A8" s="0" t="s">
        <v>43</v>
      </c>
      <c r="C8" s="0" t="n">
        <f aca="false">C6*C7/100</f>
        <v>255.4069452</v>
      </c>
      <c r="D8" s="0" t="n">
        <f aca="false">D6*D7/100</f>
        <v>311.893457964</v>
      </c>
      <c r="E8" s="0" t="n">
        <f aca="false">E6*E7/100</f>
        <v>373.99179588672</v>
      </c>
      <c r="F8" s="0" t="n">
        <f aca="false">F6*F7/100</f>
        <v>435.619139643706</v>
      </c>
      <c r="G8" s="0" t="n">
        <f aca="false">G6*G7/100</f>
        <v>498.274147813737</v>
      </c>
      <c r="H8" s="0" t="n">
        <f aca="false">H6*H7/100</f>
        <v>553.810953872143</v>
      </c>
      <c r="I8" s="0" t="n">
        <f aca="false">I6*I7/100</f>
        <v>609.877176212601</v>
      </c>
      <c r="J8" s="0" t="n">
        <f aca="false">J6*J7/100</f>
        <v>658.667350309609</v>
      </c>
      <c r="K8" s="0" t="n">
        <f aca="false">K6*K7/100</f>
        <v>704.774064831282</v>
      </c>
      <c r="L8" s="0" t="n">
        <f aca="false">L6*L7/100</f>
        <v>740.012768072846</v>
      </c>
    </row>
    <row r="9" customFormat="false" ht="15" hidden="false" customHeight="false" outlineLevel="0" collapsed="false">
      <c r="A9" s="0" t="s">
        <v>104</v>
      </c>
      <c r="C9" s="4" t="n">
        <f aca="false">Assumptions!C43</f>
        <v>5</v>
      </c>
      <c r="D9" s="4" t="n">
        <f aca="false">Assumptions!D43</f>
        <v>4.75</v>
      </c>
      <c r="E9" s="4" t="n">
        <f aca="false">Assumptions!E43</f>
        <v>4.5</v>
      </c>
      <c r="F9" s="4" t="n">
        <f aca="false">Assumptions!F43</f>
        <v>4.25</v>
      </c>
      <c r="G9" s="4" t="n">
        <f aca="false">Assumptions!G43</f>
        <v>4</v>
      </c>
      <c r="H9" s="4" t="n">
        <f aca="false">Assumptions!H43</f>
        <v>3.75</v>
      </c>
      <c r="I9" s="4" t="n">
        <f aca="false">Assumptions!I43</f>
        <v>3.5</v>
      </c>
      <c r="J9" s="4" t="n">
        <f aca="false">Assumptions!J43</f>
        <v>3.25</v>
      </c>
      <c r="K9" s="4" t="n">
        <f aca="false">Assumptions!K43</f>
        <v>3</v>
      </c>
      <c r="L9" s="4" t="n">
        <f aca="false">Assumptions!L43</f>
        <v>3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-29.698482</v>
      </c>
      <c r="D10" s="0" t="n">
        <f aca="false">-D6*D9/100</f>
        <v>-33.291998322</v>
      </c>
      <c r="E10" s="0" t="n">
        <f aca="false">-E6*E9/100</f>
        <v>-36.58615394544</v>
      </c>
      <c r="F10" s="0" t="n">
        <f aca="false">-F6*F9/100</f>
        <v>-39.3910924145904</v>
      </c>
      <c r="G10" s="0" t="n">
        <f aca="false">-G6*G9/100</f>
        <v>-41.5228456511447</v>
      </c>
      <c r="H10" s="0" t="n">
        <f aca="false">-H6*H9/100</f>
        <v>-42.820434577743</v>
      </c>
      <c r="I10" s="0" t="n">
        <f aca="false">-I6*I9/100</f>
        <v>-43.5626554437572</v>
      </c>
      <c r="J10" s="0" t="n">
        <f aca="false">-J6*J9/100</f>
        <v>-43.6871201735965</v>
      </c>
      <c r="K10" s="0" t="n">
        <f aca="false">-K6*K9/100</f>
        <v>-43.1494325406907</v>
      </c>
      <c r="L10" s="0" t="n">
        <f aca="false">-L6*L9/100</f>
        <v>-45.3069041677253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216.7989186</v>
      </c>
      <c r="D11" s="0" t="n">
        <f aca="false">D8+D10+D24</f>
        <v>268.7890811892</v>
      </c>
      <c r="E11" s="0" t="n">
        <f aca="false">E8+E10+E24</f>
        <v>326.836308579264</v>
      </c>
      <c r="F11" s="0" t="n">
        <f aca="false">F8+F10+F24</f>
        <v>385.105856429701</v>
      </c>
      <c r="G11" s="0" t="n">
        <f aca="false">G8+G10+G24</f>
        <v>445.332519608527</v>
      </c>
      <c r="H11" s="0" t="n">
        <f aca="false">H8+H10+H24</f>
        <v>498.429858484928</v>
      </c>
      <c r="I11" s="0" t="n">
        <f aca="false">I8+I10+I24</f>
        <v>553.868047784913</v>
      </c>
      <c r="J11" s="0" t="n">
        <f aca="false">J8+J10+J24</f>
        <v>601.538039313367</v>
      </c>
      <c r="K11" s="0" t="n">
        <f aca="false">K8+K10+K24</f>
        <v>647.241488110361</v>
      </c>
      <c r="L11" s="0" t="n">
        <f aca="false">L8+L10+L24</f>
        <v>679.603562515879</v>
      </c>
    </row>
    <row r="12" customFormat="false" ht="15" hidden="false" customHeight="false" outlineLevel="0" collapsed="false">
      <c r="A12" s="0" t="s">
        <v>121</v>
      </c>
      <c r="C12" s="4" t="n">
        <f aca="false">-C6*Assumptions!C45/100</f>
        <v>-23.7587856</v>
      </c>
      <c r="D12" s="4" t="n">
        <f aca="false">-D6*Assumptions!D45/100</f>
        <v>-28.035367008</v>
      </c>
      <c r="E12" s="4" t="n">
        <f aca="false">-E6*Assumptions!E45/100</f>
        <v>-32.52102572928</v>
      </c>
      <c r="F12" s="4" t="n">
        <f aca="false">-F6*Assumptions!F45/100</f>
        <v>-37.0739693313792</v>
      </c>
      <c r="G12" s="4" t="n">
        <f aca="false">-G6*Assumptions!G45/100</f>
        <v>-41.5228456511447</v>
      </c>
      <c r="H12" s="4" t="n">
        <f aca="false">-H6*Assumptions!H45/100</f>
        <v>-45.6751302162592</v>
      </c>
      <c r="I12" s="4" t="n">
        <f aca="false">-I6*Assumptions!I45/100</f>
        <v>-49.7858919357225</v>
      </c>
      <c r="J12" s="4" t="n">
        <f aca="false">-J6*Assumptions!J45/100</f>
        <v>-53.7687632905803</v>
      </c>
      <c r="K12" s="4" t="n">
        <f aca="false">-K6*Assumptions!K45/100</f>
        <v>-57.532576720921</v>
      </c>
      <c r="L12" s="4" t="n">
        <f aca="false">-L6*Assumptions!L45/100</f>
        <v>-60.409205556967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193.040133</v>
      </c>
      <c r="D13" s="0" t="n">
        <f aca="false">D11+D12</f>
        <v>240.7537141812</v>
      </c>
      <c r="E13" s="0" t="n">
        <f aca="false">E11+E12</f>
        <v>294.315282849984</v>
      </c>
      <c r="F13" s="0" t="n">
        <f aca="false">F11+F12</f>
        <v>348.031887098322</v>
      </c>
      <c r="G13" s="0" t="n">
        <f aca="false">G11+G12</f>
        <v>403.809673957382</v>
      </c>
      <c r="H13" s="0" t="n">
        <f aca="false">H11+H12</f>
        <v>452.754728268669</v>
      </c>
      <c r="I13" s="0" t="n">
        <f aca="false">I11+I12</f>
        <v>504.082155849191</v>
      </c>
      <c r="J13" s="0" t="n">
        <f aca="false">J11+J12</f>
        <v>547.769276022787</v>
      </c>
      <c r="K13" s="0" t="n">
        <f aca="false">K11+K12</f>
        <v>589.70891138944</v>
      </c>
      <c r="L13" s="0" t="n">
        <f aca="false">L11+L12</f>
        <v>619.194356958912</v>
      </c>
    </row>
    <row r="14" customFormat="false" ht="15" hidden="false" customHeight="false" outlineLevel="0" collapsed="false">
      <c r="A14" s="0" t="s">
        <v>108</v>
      </c>
      <c r="C14" s="4" t="n">
        <f aca="false">Assumptions!C47</f>
        <v>20</v>
      </c>
      <c r="D14" s="4" t="n">
        <f aca="false">Assumptions!D47</f>
        <v>23</v>
      </c>
      <c r="E14" s="4" t="n">
        <f aca="false">Assumptions!E47</f>
        <v>26</v>
      </c>
      <c r="F14" s="4" t="n">
        <f aca="false">Assumptions!F47</f>
        <v>28</v>
      </c>
      <c r="G14" s="4" t="n">
        <f aca="false">Assumptions!G47</f>
        <v>29</v>
      </c>
      <c r="H14" s="4" t="n">
        <f aca="false">Assumptions!H47</f>
        <v>29</v>
      </c>
      <c r="I14" s="4" t="n">
        <f aca="false">Assumptions!I47</f>
        <v>29</v>
      </c>
      <c r="J14" s="4" t="n">
        <f aca="false">Assumptions!J47</f>
        <v>29</v>
      </c>
      <c r="K14" s="4" t="n">
        <f aca="false">Assumptions!K47</f>
        <v>29</v>
      </c>
      <c r="L14" s="4" t="n">
        <f aca="false">Assumptions!L47</f>
        <v>29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154.4321064</v>
      </c>
      <c r="D15" s="0" t="n">
        <f aca="false">D13-MAX(0,D13)*D14/100</f>
        <v>185.380359919524</v>
      </c>
      <c r="E15" s="0" t="n">
        <f aca="false">E13-MAX(0,E13)*E14/100</f>
        <v>217.793309308988</v>
      </c>
      <c r="F15" s="0" t="n">
        <f aca="false">F13-MAX(0,F13)*F14/100</f>
        <v>250.582958710792</v>
      </c>
      <c r="G15" s="0" t="n">
        <f aca="false">G13-MAX(0,G13)*G14/100</f>
        <v>286.704868509741</v>
      </c>
      <c r="H15" s="0" t="n">
        <f aca="false">H13-MAX(0,H13)*H14/100</f>
        <v>321.455857070755</v>
      </c>
      <c r="I15" s="0" t="n">
        <f aca="false">I13-MAX(0,I13)*I14/100</f>
        <v>357.898330652925</v>
      </c>
      <c r="J15" s="0" t="n">
        <f aca="false">J13-MAX(0,J13)*J14/100</f>
        <v>388.916185976179</v>
      </c>
      <c r="K15" s="0" t="n">
        <f aca="false">K13-MAX(0,K13)*K14/100</f>
        <v>418.693327086502</v>
      </c>
      <c r="L15" s="0" t="n">
        <f aca="false">L13-MAX(0,L13)*L14/100</f>
        <v>439.627993440827</v>
      </c>
    </row>
    <row r="16" customFormat="false" ht="15" hidden="false" customHeight="false" outlineLevel="0" collapsed="false">
      <c r="A16" s="0" t="s">
        <v>124</v>
      </c>
      <c r="C16" s="0" t="n">
        <f aca="false">-C12</f>
        <v>23.7587856</v>
      </c>
      <c r="D16" s="0" t="n">
        <f aca="false">-D12</f>
        <v>28.035367008</v>
      </c>
      <c r="E16" s="0" t="n">
        <f aca="false">-E12</f>
        <v>32.52102572928</v>
      </c>
      <c r="F16" s="0" t="n">
        <f aca="false">-F12</f>
        <v>37.0739693313792</v>
      </c>
      <c r="G16" s="0" t="n">
        <f aca="false">-G12</f>
        <v>41.5228456511447</v>
      </c>
      <c r="H16" s="0" t="n">
        <f aca="false">-H12</f>
        <v>45.6751302162592</v>
      </c>
      <c r="I16" s="0" t="n">
        <f aca="false">-I12</f>
        <v>49.7858919357225</v>
      </c>
      <c r="J16" s="0" t="n">
        <f aca="false">-J12</f>
        <v>53.7687632905803</v>
      </c>
      <c r="K16" s="0" t="n">
        <f aca="false">-K12</f>
        <v>57.532576720921</v>
      </c>
      <c r="L16" s="0" t="n">
        <f aca="false">-L12</f>
        <v>60.409205556967</v>
      </c>
    </row>
    <row r="17" customFormat="false" ht="15" hidden="false" customHeight="false" outlineLevel="0" collapsed="false">
      <c r="A17" s="0" t="s">
        <v>125</v>
      </c>
      <c r="C17" s="4" t="n">
        <f aca="false">-C6*Assumptions!C46/100</f>
        <v>-27.91657308</v>
      </c>
      <c r="D17" s="4" t="n">
        <f aca="false">-D6*Assumptions!D46/100</f>
        <v>-31.539787884</v>
      </c>
      <c r="E17" s="4" t="n">
        <f aca="false">-E6*Assumptions!E46/100</f>
        <v>-35.773128302208</v>
      </c>
      <c r="F17" s="4" t="n">
        <f aca="false">-F6*Assumptions!F46/100</f>
        <v>-38.9276677979482</v>
      </c>
      <c r="G17" s="4" t="n">
        <f aca="false">-G6*Assumptions!G46/100</f>
        <v>-41.5228456511447</v>
      </c>
      <c r="H17" s="4" t="n">
        <f aca="false">-H6*Assumptions!H46/100</f>
        <v>-45.6751302162592</v>
      </c>
      <c r="I17" s="4" t="n">
        <f aca="false">-I6*Assumptions!I46/100</f>
        <v>-49.7858919357225</v>
      </c>
      <c r="J17" s="4" t="n">
        <f aca="false">-J6*Assumptions!J46/100</f>
        <v>-53.7687632905803</v>
      </c>
      <c r="K17" s="4" t="n">
        <f aca="false">-K6*Assumptions!K46/100</f>
        <v>-57.532576720921</v>
      </c>
      <c r="L17" s="4" t="n">
        <f aca="false">-L6*Assumptions!L46/100</f>
        <v>-60.409205556967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150.27431892</v>
      </c>
      <c r="D19" s="0" t="n">
        <f aca="false">D15+D16+D17+D18</f>
        <v>181.875939043524</v>
      </c>
      <c r="E19" s="0" t="n">
        <f aca="false">E15+E16+E17+E18</f>
        <v>214.54120673606</v>
      </c>
      <c r="F19" s="0" t="n">
        <f aca="false">F15+F16+F17+F18</f>
        <v>248.729260244223</v>
      </c>
      <c r="G19" s="0" t="n">
        <f aca="false">G15+G16+G17+G18</f>
        <v>286.704868509741</v>
      </c>
      <c r="H19" s="0" t="n">
        <f aca="false">H15+H16+H17+H18</f>
        <v>321.455857070755</v>
      </c>
      <c r="I19" s="0" t="n">
        <f aca="false">I15+I16+I17+I18</f>
        <v>357.898330652925</v>
      </c>
      <c r="J19" s="0" t="n">
        <f aca="false">J15+J16+J17+J18</f>
        <v>388.916185976179</v>
      </c>
      <c r="K19" s="0" t="n">
        <f aca="false">K15+K16+K17+K18</f>
        <v>418.693327086502</v>
      </c>
      <c r="L19" s="0" t="n">
        <f aca="false">L15+L16+L17+L18</f>
        <v>439.627993440827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136.6130172</v>
      </c>
      <c r="D21" s="0" t="n">
        <f aca="false">D19*D20</f>
        <v>150.3106934244</v>
      </c>
      <c r="E21" s="0" t="n">
        <f aca="false">E19*E20</f>
        <v>161.187984024087</v>
      </c>
      <c r="F21" s="0" t="n">
        <f aca="false">F19*F20</f>
        <v>169.885431489805</v>
      </c>
      <c r="G21" s="0" t="n">
        <f aca="false">G19*G20</f>
        <v>178.02116628257</v>
      </c>
      <c r="H21" s="0" t="n">
        <f aca="false">H19*H20</f>
        <v>181.453450979534</v>
      </c>
      <c r="I21" s="0" t="n">
        <f aca="false">I19*I20</f>
        <v>183.658433875766</v>
      </c>
      <c r="J21" s="0" t="n">
        <f aca="false">J19*J20</f>
        <v>181.432271040909</v>
      </c>
      <c r="K21" s="0" t="n">
        <f aca="false">K19*K20</f>
        <v>177.566842845837</v>
      </c>
      <c r="L21" s="0" t="n">
        <f aca="false">L19*L20</f>
        <v>169.495622716481</v>
      </c>
    </row>
    <row r="23" customFormat="false" ht="15" hidden="false" customHeight="false" outlineLevel="0" collapsed="false">
      <c r="A23" s="0" t="s">
        <v>105</v>
      </c>
      <c r="C23" s="4" t="n">
        <f aca="false">Assumptions!C44</f>
        <v>1.5</v>
      </c>
      <c r="D23" s="4" t="n">
        <f aca="false">Assumptions!D44</f>
        <v>1.4</v>
      </c>
      <c r="E23" s="4" t="n">
        <f aca="false">Assumptions!E44</f>
        <v>1.3</v>
      </c>
      <c r="F23" s="4" t="n">
        <f aca="false">Assumptions!F44</f>
        <v>1.2</v>
      </c>
      <c r="G23" s="4" t="n">
        <f aca="false">Assumptions!G44</f>
        <v>1.1</v>
      </c>
      <c r="H23" s="4" t="n">
        <f aca="false">Assumptions!H44</f>
        <v>1.1</v>
      </c>
      <c r="I23" s="4" t="n">
        <f aca="false">Assumptions!I44</f>
        <v>1</v>
      </c>
      <c r="J23" s="4" t="n">
        <f aca="false">Assumptions!J44</f>
        <v>1</v>
      </c>
      <c r="K23" s="4" t="n">
        <f aca="false">Assumptions!K44</f>
        <v>1</v>
      </c>
      <c r="L23" s="4" t="n">
        <f aca="false">Assumptions!L44</f>
        <v>1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-8.9095446</v>
      </c>
      <c r="D24" s="0" t="n">
        <f aca="false">-D6*D23/100</f>
        <v>-9.8123784528</v>
      </c>
      <c r="E24" s="0" t="n">
        <f aca="false">-E6*E23/100</f>
        <v>-10.569333362016</v>
      </c>
      <c r="F24" s="0" t="n">
        <f aca="false">-F6*F23/100</f>
        <v>-11.1221907994138</v>
      </c>
      <c r="G24" s="0" t="n">
        <f aca="false">-G6*G23/100</f>
        <v>-11.4187825540648</v>
      </c>
      <c r="H24" s="0" t="n">
        <f aca="false">-H6*H23/100</f>
        <v>-12.5606608094713</v>
      </c>
      <c r="I24" s="0" t="n">
        <f aca="false">-I6*I23/100</f>
        <v>-12.4464729839306</v>
      </c>
      <c r="J24" s="0" t="n">
        <f aca="false">-J6*J23/100</f>
        <v>-13.4421908226451</v>
      </c>
      <c r="K24" s="0" t="n">
        <f aca="false">-K6*K23/100</f>
        <v>-14.3831441802302</v>
      </c>
      <c r="L24" s="0" t="n">
        <f aca="false">-L6*L23/100</f>
        <v>-15.1023013892418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110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111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1689.62491387939</v>
      </c>
    </row>
    <row r="31" customFormat="false" ht="15" hidden="false" customHeight="false" outlineLevel="0" collapsed="false">
      <c r="A31" s="0" t="s">
        <v>133</v>
      </c>
      <c r="B31" s="0" t="n">
        <f aca="false">L19</f>
        <v>439.627993440827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7000.23035709625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8792.55986881655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7000.23035709625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2698.89183863935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4388.51675251874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4543.07475251874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55.2013943197903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-0.204304226021041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237.360711274634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278.140691031194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61.4650808605658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3956.65194096745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29.8292289828003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2" t="s">
        <v>150</v>
      </c>
      <c r="B3" s="2" t="s">
        <v>151</v>
      </c>
      <c r="C3" s="2" t="s">
        <v>141</v>
      </c>
      <c r="D3" s="2" t="s">
        <v>152</v>
      </c>
      <c r="E3" s="2" t="s">
        <v>144</v>
      </c>
      <c r="F3" s="2" t="s">
        <v>153</v>
      </c>
    </row>
    <row r="4" customFormat="false" ht="15" hidden="false" customHeight="false" outlineLevel="0" collapsed="false">
      <c r="A4" s="0" t="s">
        <v>154</v>
      </c>
      <c r="B4" s="4" t="n">
        <f aca="false">DCF_Bear!$B$38</f>
        <v>21.3052664638666</v>
      </c>
      <c r="C4" s="0" t="n">
        <f aca="false">B4/Assumptions!$B$2-1</f>
        <v>-0.692897059980301</v>
      </c>
      <c r="D4" s="4" t="n">
        <f aca="false">Assumptions!$B$24</f>
        <v>0.25</v>
      </c>
      <c r="E4" s="4" t="n">
        <f aca="false">DCF_Bear!$B$43</f>
        <v>24.7164595596511</v>
      </c>
      <c r="F4" s="4" t="n">
        <f aca="false">DCF_Bear!$B$47</f>
        <v>13.4306839548658</v>
      </c>
    </row>
    <row r="5" customFormat="false" ht="15" hidden="false" customHeight="false" outlineLevel="0" collapsed="false">
      <c r="A5" s="0" t="s">
        <v>155</v>
      </c>
      <c r="B5" s="4" t="n">
        <f aca="false">DCF_Base!$B$38</f>
        <v>39.0160485066924</v>
      </c>
      <c r="C5" s="0" t="n">
        <f aca="false">B5/Assumptions!$B$2-1</f>
        <v>-0.437606508011641</v>
      </c>
      <c r="D5" s="4" t="n">
        <f aca="false">Assumptions!$B$38</f>
        <v>0.5</v>
      </c>
      <c r="E5" s="4" t="n">
        <f aca="false">DCF_Base!$B$43</f>
        <v>43.9332169628225</v>
      </c>
      <c r="F5" s="4" t="n">
        <f aca="false">DCF_Base!$B$47</f>
        <v>22.4301613610435</v>
      </c>
    </row>
    <row r="6" customFormat="false" ht="15" hidden="false" customHeight="false" outlineLevel="0" collapsed="false">
      <c r="A6" s="0" t="s">
        <v>156</v>
      </c>
      <c r="B6" s="4" t="n">
        <f aca="false">DCF_Bull!$B$38</f>
        <v>55.2013943197903</v>
      </c>
      <c r="C6" s="0" t="n">
        <f aca="false">B6/Assumptions!$B$2-1</f>
        <v>-0.204304226021041</v>
      </c>
      <c r="D6" s="4" t="n">
        <f aca="false">Assumptions!$B$52</f>
        <v>0.25</v>
      </c>
      <c r="E6" s="4" t="n">
        <f aca="false">DCF_Bull!$B$43</f>
        <v>61.4650808605658</v>
      </c>
      <c r="F6" s="4" t="n">
        <f aca="false">DCF_Bull!$B$47</f>
        <v>29.8292289828003</v>
      </c>
    </row>
    <row r="8" customFormat="false" ht="15" hidden="false" customHeight="false" outlineLevel="0" collapsed="false">
      <c r="A8" s="0" t="s">
        <v>157</v>
      </c>
      <c r="B8" s="0" t="n">
        <f aca="false">SUMPRODUCT(B4:B6,D4:D6)</f>
        <v>38.6346894492604</v>
      </c>
    </row>
    <row r="9" customFormat="false" ht="15" hidden="false" customHeight="false" outlineLevel="0" collapsed="false">
      <c r="A9" s="0" t="s">
        <v>158</v>
      </c>
      <c r="B9" s="0" t="n">
        <f aca="false">SUMPRODUCT(E4:E6,D4:D6)</f>
        <v>43.5119935864655</v>
      </c>
    </row>
    <row r="10" customFormat="false" ht="15" hidden="false" customHeight="false" outlineLevel="0" collapsed="false">
      <c r="A10" s="0" t="s">
        <v>159</v>
      </c>
      <c r="B10" s="0" t="n">
        <f aca="false">1-Assumptions!$B$2/B8</f>
        <v>-0.795666044918293</v>
      </c>
    </row>
    <row r="11" customFormat="false" ht="15" hidden="false" customHeight="false" outlineLevel="0" collapsed="false">
      <c r="A11" s="0" t="s">
        <v>160</v>
      </c>
      <c r="B11" s="0" t="n">
        <f aca="false">IF(ABS(B9-B8)&gt;0.01*ABS(B8),(Assumptions!$B$2-B8)/(B9-B8)*100,"n/a")</f>
        <v>630.27257857976</v>
      </c>
    </row>
    <row r="12" customFormat="false" ht="15" hidden="false" customHeight="false" outlineLevel="0" collapsed="false">
      <c r="A12" s="0" t="s">
        <v>161</v>
      </c>
      <c r="B12" s="0" t="n">
        <f aca="false">SUMPRODUCT(F4:F6,D4:D6)</f>
        <v>22.0300589149383</v>
      </c>
    </row>
    <row r="14" customFormat="false" ht="15" hidden="false" customHeight="false" outlineLevel="0" collapsed="false">
      <c r="A14" s="2" t="s">
        <v>162</v>
      </c>
      <c r="C14" s="0" t="s">
        <v>163</v>
      </c>
    </row>
    <row r="15" customFormat="false" ht="15" hidden="false" customHeight="false" outlineLevel="0" collapsed="false">
      <c r="A15" s="0" t="s">
        <v>164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45.727104983273</v>
      </c>
      <c r="C15" s="3" t="n">
        <v>9</v>
      </c>
    </row>
    <row r="16" customFormat="false" ht="15" hidden="false" customHeight="false" outlineLevel="0" collapsed="false">
      <c r="A16" s="0" t="s">
        <v>165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39.0160485066924</v>
      </c>
      <c r="C16" s="3" t="n">
        <v>10</v>
      </c>
    </row>
    <row r="17" customFormat="false" ht="15" hidden="false" customHeight="false" outlineLevel="0" collapsed="false">
      <c r="A17" s="0" t="s">
        <v>166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34.0037191270888</v>
      </c>
      <c r="C17" s="3" t="n">
        <v>11</v>
      </c>
    </row>
    <row r="18" customFormat="false" ht="15" hidden="false" customHeight="false" outlineLevel="0" collapsed="false">
      <c r="A18" s="0" t="s">
        <v>167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30.1226097540323</v>
      </c>
      <c r="C18" s="3" t="n">
        <v>12</v>
      </c>
    </row>
    <row r="19" customFormat="false" ht="15" hidden="false" customHeight="false" outlineLevel="0" collapsed="false">
      <c r="A19" s="0" t="s">
        <v>168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22.4301613610435</v>
      </c>
      <c r="C19" s="3" t="n">
        <v>15</v>
      </c>
    </row>
    <row r="21" customFormat="false" ht="15" hidden="false" customHeight="false" outlineLevel="0" collapsed="false">
      <c r="A21" s="2" t="s">
        <v>169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48.9325296969026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51.762562240958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54.1209226943375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54.1209226943375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54.1209226943375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41.6339198054457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43.5230821952122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45.727104983273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48.3318591873449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50.1958117370478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36.1883899204244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37.5079639273495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39.0160485066924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40.756146098242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42.7862599550498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31.976457223589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32.930462825236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34.0037191270888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35.2200762691886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36.6101987173027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28.6265654630083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29.3352180219144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30.1226097540323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31.0026358075759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31.9926651178124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2026-09-23T02:34:45Z</dcterms:created>
  <dc:creator>openpyxl</dc:creator>
  <dc:description/>
  <dc:language>en-NZ</dc:language>
  <cp:lastModifiedBy/>
  <dcterms:modified xsi:type="dcterms:W3CDTF">2026-09-23T02:34:45Z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